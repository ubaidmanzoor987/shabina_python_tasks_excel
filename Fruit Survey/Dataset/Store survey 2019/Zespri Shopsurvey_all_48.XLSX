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192.168.11.200\000_全国共有\2-Zespri\品質調査\2019\48週\"/>
    </mc:Choice>
  </mc:AlternateContent>
  <xr:revisionPtr revIDLastSave="0" documentId="13_ncr:1_{3E2E2647-BC02-4015-9B29-3D1AA4766D40}"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fukuoka!$A$1:$BA$124</definedName>
    <definedName name="_xlnm._FilterDatabase" localSheetId="4" hidden="1">hiroshima!$A$1:$BA$1</definedName>
    <definedName name="_xlnm._FilterDatabase" localSheetId="1" hidden="1">miyagi!$A$1:$BA$320</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'tokyo-west(kato)'!$A$1:$BA$146</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67" i="24" l="1"/>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43" i="23"/>
  <c r="V43" i="23" s="1"/>
  <c r="Q43" i="23"/>
  <c r="T42" i="23"/>
  <c r="V42" i="23" s="1"/>
  <c r="Q42" i="23"/>
  <c r="T41" i="23"/>
  <c r="V41" i="23" s="1"/>
  <c r="Q41"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24" i="22" l="1"/>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75" i="22"/>
  <c r="T75" i="22"/>
  <c r="Q75" i="22"/>
  <c r="V74" i="22"/>
  <c r="T74" i="22"/>
  <c r="Q74" i="22"/>
  <c r="V73" i="22"/>
  <c r="T73" i="22"/>
  <c r="Q73"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67" i="21" l="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20" i="18" l="1"/>
  <c r="T319" i="18"/>
  <c r="T318" i="18"/>
  <c r="T317" i="18"/>
  <c r="T316" i="18"/>
  <c r="T315" i="18"/>
  <c r="T314" i="18"/>
  <c r="T313" i="18"/>
  <c r="T312" i="18"/>
  <c r="T311" i="18"/>
  <c r="T310" i="18"/>
  <c r="T309" i="18"/>
  <c r="T308" i="18"/>
  <c r="T307" i="18"/>
  <c r="T306" i="18"/>
  <c r="T305" i="18"/>
  <c r="T304" i="18"/>
  <c r="T303" i="18"/>
  <c r="T302" i="18"/>
  <c r="T301" i="18"/>
  <c r="T300" i="18"/>
  <c r="V300" i="18" s="1"/>
  <c r="T299" i="18"/>
  <c r="V299" i="18" s="1"/>
  <c r="V298" i="18"/>
  <c r="T298" i="18"/>
  <c r="T297" i="18"/>
  <c r="V297" i="18" s="1"/>
  <c r="T296" i="18"/>
  <c r="V296" i="18" s="1"/>
  <c r="V295" i="18"/>
  <c r="T295" i="18"/>
  <c r="T294" i="18"/>
  <c r="V294" i="18" s="1"/>
  <c r="T293" i="18"/>
  <c r="V293" i="18" s="1"/>
  <c r="V292" i="18"/>
  <c r="T292" i="18"/>
  <c r="Q292" i="18"/>
  <c r="V291" i="18"/>
  <c r="T291" i="18"/>
  <c r="Q291" i="18"/>
  <c r="V290" i="18"/>
  <c r="T290" i="18"/>
  <c r="Q290" i="18"/>
  <c r="T289" i="18"/>
  <c r="V289" i="18" s="1"/>
  <c r="Q289" i="18"/>
  <c r="V288" i="18"/>
  <c r="T288" i="18"/>
  <c r="Q288" i="18"/>
  <c r="V287" i="18"/>
  <c r="T287" i="18"/>
  <c r="Q287" i="18"/>
  <c r="V286" i="18"/>
  <c r="T286" i="18"/>
  <c r="Q286" i="18"/>
  <c r="T285" i="18"/>
  <c r="V285" i="18" s="1"/>
  <c r="Q285" i="18"/>
  <c r="V284" i="18"/>
  <c r="T284" i="18"/>
  <c r="Q284" i="18"/>
  <c r="V283" i="18"/>
  <c r="T283" i="18"/>
  <c r="Q283" i="18"/>
  <c r="V282" i="18"/>
  <c r="T282" i="18"/>
  <c r="Q282" i="18"/>
  <c r="T281" i="18"/>
  <c r="V281" i="18" s="1"/>
  <c r="Q281" i="18"/>
  <c r="V280" i="18"/>
  <c r="T280" i="18"/>
  <c r="Q280" i="18"/>
  <c r="V279" i="18"/>
  <c r="T279" i="18"/>
  <c r="Q279" i="18"/>
  <c r="V278" i="18"/>
  <c r="T278" i="18"/>
  <c r="Q278" i="18"/>
  <c r="T277" i="18"/>
  <c r="V277" i="18" s="1"/>
  <c r="Q277" i="18"/>
  <c r="V276" i="18"/>
  <c r="T276" i="18"/>
  <c r="Q276" i="18"/>
  <c r="V275" i="18"/>
  <c r="T275" i="18"/>
  <c r="Q275" i="18"/>
  <c r="V274" i="18"/>
  <c r="T274" i="18"/>
  <c r="Q274" i="18"/>
  <c r="T273" i="18"/>
  <c r="V273" i="18" s="1"/>
  <c r="Q273" i="18"/>
  <c r="V272" i="18"/>
  <c r="T272" i="18"/>
  <c r="Q272" i="18"/>
  <c r="V271" i="18"/>
  <c r="T271" i="18"/>
  <c r="Q271" i="18"/>
  <c r="V270" i="18"/>
  <c r="T270" i="18"/>
  <c r="Q270" i="18"/>
  <c r="T269" i="18"/>
  <c r="V269" i="18" s="1"/>
  <c r="Q269" i="18"/>
  <c r="V268" i="18"/>
  <c r="T268" i="18"/>
  <c r="Q268" i="18"/>
  <c r="V267" i="18"/>
  <c r="T267" i="18"/>
  <c r="Q267" i="18"/>
  <c r="V266" i="18"/>
  <c r="T266" i="18"/>
  <c r="Q266" i="18"/>
  <c r="T265" i="18"/>
  <c r="V265" i="18" s="1"/>
  <c r="Q265" i="18"/>
  <c r="V264" i="18"/>
  <c r="T264" i="18"/>
  <c r="Q264" i="18"/>
  <c r="V263" i="18"/>
  <c r="T263" i="18"/>
  <c r="Q263" i="18"/>
  <c r="V262" i="18"/>
  <c r="T262" i="18"/>
  <c r="Q262" i="18"/>
  <c r="T261" i="18"/>
  <c r="V261" i="18" s="1"/>
  <c r="Q261" i="18"/>
  <c r="V260" i="18"/>
  <c r="T260" i="18"/>
  <c r="Q260" i="18"/>
  <c r="V259" i="18"/>
  <c r="T259" i="18"/>
  <c r="Q259" i="18"/>
  <c r="V258" i="18"/>
  <c r="T258" i="18"/>
  <c r="Q258" i="18"/>
  <c r="T257" i="18"/>
  <c r="V257" i="18" s="1"/>
  <c r="Q257" i="18"/>
  <c r="V256" i="18"/>
  <c r="T256" i="18"/>
  <c r="Q256" i="18"/>
  <c r="V255" i="18"/>
  <c r="T255" i="18"/>
  <c r="Q255" i="18"/>
  <c r="V254" i="18"/>
  <c r="T254" i="18"/>
  <c r="Q254" i="18"/>
  <c r="T253" i="18"/>
  <c r="V253" i="18" s="1"/>
  <c r="Q253" i="18"/>
  <c r="V252" i="18"/>
  <c r="T252" i="18"/>
  <c r="Q252" i="18"/>
  <c r="V251" i="18"/>
  <c r="T251" i="18"/>
  <c r="Q251" i="18"/>
  <c r="V250" i="18"/>
  <c r="T250" i="18"/>
  <c r="Q250" i="18"/>
  <c r="T249" i="18"/>
  <c r="V249" i="18" s="1"/>
  <c r="Q249" i="18"/>
  <c r="V248" i="18"/>
  <c r="T248" i="18"/>
  <c r="Q248" i="18"/>
  <c r="V247" i="18"/>
  <c r="T247" i="18"/>
  <c r="Q247" i="18"/>
  <c r="V246" i="18"/>
  <c r="T246" i="18"/>
  <c r="Q246" i="18"/>
  <c r="T245" i="18"/>
  <c r="V245" i="18" s="1"/>
  <c r="Q245" i="18"/>
  <c r="V244" i="18"/>
  <c r="T244" i="18"/>
  <c r="Q244" i="18"/>
  <c r="V243" i="18"/>
  <c r="T243" i="18"/>
  <c r="Q243" i="18"/>
  <c r="V242" i="18"/>
  <c r="T242" i="18"/>
  <c r="Q242" i="18"/>
  <c r="T241" i="18"/>
  <c r="V241" i="18" s="1"/>
  <c r="Q241" i="18"/>
  <c r="V240" i="18"/>
  <c r="T240" i="18"/>
  <c r="Q240" i="18"/>
  <c r="V239" i="18"/>
  <c r="T239" i="18"/>
  <c r="Q239" i="18"/>
  <c r="V238" i="18"/>
  <c r="T238" i="18"/>
  <c r="Q238" i="18"/>
  <c r="T237" i="18"/>
  <c r="V237" i="18" s="1"/>
  <c r="Q237" i="18"/>
  <c r="V236" i="18"/>
  <c r="T236" i="18"/>
  <c r="Q236" i="18"/>
  <c r="V235" i="18"/>
  <c r="T235" i="18"/>
  <c r="Q235" i="18"/>
  <c r="V234" i="18"/>
  <c r="T234" i="18"/>
  <c r="Q234" i="18"/>
  <c r="T233" i="18"/>
  <c r="V233" i="18" s="1"/>
  <c r="Q233" i="18"/>
  <c r="V232" i="18"/>
  <c r="T232" i="18"/>
  <c r="Q232" i="18"/>
  <c r="V231" i="18"/>
  <c r="T231" i="18"/>
  <c r="Q231" i="18"/>
  <c r="V230" i="18"/>
  <c r="T230" i="18"/>
  <c r="Q230" i="18"/>
  <c r="T229" i="18"/>
  <c r="V229" i="18" s="1"/>
  <c r="Q229" i="18"/>
  <c r="V228" i="18"/>
  <c r="T228" i="18"/>
  <c r="Q228" i="18"/>
  <c r="V227" i="18"/>
  <c r="T227" i="18"/>
  <c r="Q227" i="18"/>
  <c r="V226" i="18"/>
  <c r="T226" i="18"/>
  <c r="Q226" i="18"/>
  <c r="T225" i="18"/>
  <c r="V225" i="18" s="1"/>
  <c r="Q225" i="18"/>
  <c r="V224" i="18"/>
  <c r="T224" i="18"/>
  <c r="Q224" i="18"/>
  <c r="V223" i="18"/>
  <c r="T223" i="18"/>
  <c r="Q223" i="18"/>
  <c r="V222" i="18"/>
  <c r="T222" i="18"/>
  <c r="Q222" i="18"/>
  <c r="T221" i="18"/>
  <c r="V221" i="18" s="1"/>
  <c r="Q221" i="18"/>
  <c r="V220" i="18"/>
  <c r="T220" i="18"/>
  <c r="Q220" i="18"/>
  <c r="V219" i="18"/>
  <c r="T219" i="18"/>
  <c r="Q219" i="18"/>
  <c r="V218" i="18"/>
  <c r="T218" i="18"/>
  <c r="Q218" i="18"/>
  <c r="T217" i="18"/>
  <c r="V217" i="18" s="1"/>
  <c r="Q217" i="18"/>
  <c r="V216" i="18"/>
  <c r="T216" i="18"/>
  <c r="Q216" i="18"/>
  <c r="V215" i="18"/>
  <c r="T215" i="18"/>
  <c r="Q215" i="18"/>
  <c r="V214" i="18"/>
  <c r="T214" i="18"/>
  <c r="Q214" i="18"/>
  <c r="T213" i="18"/>
  <c r="V213" i="18" s="1"/>
  <c r="Q213" i="18"/>
  <c r="V212" i="18"/>
  <c r="T212" i="18"/>
  <c r="Q212" i="18"/>
  <c r="V211" i="18"/>
  <c r="T211" i="18"/>
  <c r="Q211" i="18"/>
  <c r="V210" i="18"/>
  <c r="T210" i="18"/>
  <c r="Q210" i="18"/>
  <c r="T209" i="18"/>
  <c r="V209" i="18" s="1"/>
  <c r="Q209" i="18"/>
  <c r="V208" i="18"/>
  <c r="T208" i="18"/>
  <c r="Q208" i="18"/>
  <c r="V207" i="18"/>
  <c r="T207" i="18"/>
  <c r="Q207" i="18"/>
  <c r="V206" i="18"/>
  <c r="T206" i="18"/>
  <c r="Q206" i="18"/>
  <c r="T205" i="18"/>
  <c r="V205" i="18" s="1"/>
  <c r="Q205" i="18"/>
  <c r="V204" i="18"/>
  <c r="T204" i="18"/>
  <c r="Q204" i="18"/>
  <c r="V203" i="18"/>
  <c r="T203" i="18"/>
  <c r="Q203" i="18"/>
  <c r="V202" i="18"/>
  <c r="T202" i="18"/>
  <c r="Q202" i="18"/>
  <c r="T201" i="18"/>
  <c r="V201" i="18" s="1"/>
  <c r="Q201" i="18"/>
  <c r="V200" i="18"/>
  <c r="T200" i="18"/>
  <c r="Q200" i="18"/>
  <c r="V199" i="18"/>
  <c r="T199" i="18"/>
  <c r="Q199" i="18"/>
  <c r="V198" i="18"/>
  <c r="T198" i="18"/>
  <c r="Q198" i="18"/>
  <c r="T197" i="18"/>
  <c r="V197" i="18" s="1"/>
  <c r="Q197" i="18"/>
  <c r="V196" i="18"/>
  <c r="T196" i="18"/>
  <c r="Q196" i="18"/>
  <c r="V195" i="18"/>
  <c r="T195" i="18"/>
  <c r="Q195" i="18"/>
  <c r="V194" i="18"/>
  <c r="T194" i="18"/>
  <c r="Q194" i="18"/>
  <c r="T193" i="18"/>
  <c r="V193" i="18" s="1"/>
  <c r="Q193" i="18"/>
  <c r="V192" i="18"/>
  <c r="T192" i="18"/>
  <c r="Q192" i="18"/>
  <c r="V191" i="18"/>
  <c r="T191" i="18"/>
  <c r="Q191" i="18"/>
  <c r="V190" i="18"/>
  <c r="T190" i="18"/>
  <c r="Q190" i="18"/>
  <c r="T189" i="18"/>
  <c r="V189" i="18" s="1"/>
  <c r="Q189" i="18"/>
  <c r="V188" i="18"/>
  <c r="T188" i="18"/>
  <c r="Q188" i="18"/>
  <c r="V187" i="18"/>
  <c r="T187" i="18"/>
  <c r="Q187" i="18"/>
  <c r="V186" i="18"/>
  <c r="T186" i="18"/>
  <c r="Q186" i="18"/>
  <c r="T185" i="18"/>
  <c r="V185" i="18" s="1"/>
  <c r="Q185" i="18"/>
  <c r="V184" i="18"/>
  <c r="T184" i="18"/>
  <c r="Q184" i="18"/>
  <c r="V183" i="18"/>
  <c r="T183" i="18"/>
  <c r="Q183" i="18"/>
  <c r="V182" i="18"/>
  <c r="T182" i="18"/>
  <c r="Q182" i="18"/>
  <c r="T181" i="18"/>
  <c r="V181" i="18" s="1"/>
  <c r="Q181" i="18"/>
  <c r="V180" i="18"/>
  <c r="T180" i="18"/>
  <c r="Q180" i="18"/>
  <c r="V179" i="18"/>
  <c r="T179" i="18"/>
  <c r="Q179" i="18"/>
  <c r="V178" i="18"/>
  <c r="T178" i="18"/>
  <c r="Q178" i="18"/>
  <c r="T177" i="18"/>
  <c r="V177" i="18" s="1"/>
  <c r="Q177" i="18"/>
  <c r="V176" i="18"/>
  <c r="T176" i="18"/>
  <c r="Q176" i="18"/>
  <c r="V175" i="18"/>
  <c r="T175" i="18"/>
  <c r="Q175" i="18"/>
  <c r="V174" i="18"/>
  <c r="T174" i="18"/>
  <c r="Q174" i="18"/>
  <c r="T173" i="18"/>
  <c r="V173" i="18" s="1"/>
  <c r="Q173" i="18"/>
  <c r="V172" i="18"/>
  <c r="T172" i="18"/>
  <c r="Q172" i="18"/>
  <c r="V171" i="18"/>
  <c r="T171" i="18"/>
  <c r="Q171" i="18"/>
  <c r="V170" i="18"/>
  <c r="T170" i="18"/>
  <c r="Q170" i="18"/>
  <c r="T169" i="18"/>
  <c r="V169" i="18" s="1"/>
  <c r="Q169" i="18"/>
  <c r="V168" i="18"/>
  <c r="T168" i="18"/>
  <c r="Q168" i="18"/>
  <c r="V167" i="18"/>
  <c r="T167" i="18"/>
  <c r="Q167" i="18"/>
  <c r="V166" i="18"/>
  <c r="T166" i="18"/>
  <c r="Q166" i="18"/>
  <c r="T165" i="18"/>
  <c r="V165" i="18" s="1"/>
  <c r="Q165" i="18"/>
  <c r="V164" i="18"/>
  <c r="T164" i="18"/>
  <c r="Q164" i="18"/>
  <c r="V163" i="18"/>
  <c r="T163" i="18"/>
  <c r="Q163" i="18"/>
  <c r="V162" i="18"/>
  <c r="T162" i="18"/>
  <c r="Q162" i="18"/>
  <c r="T161" i="18"/>
  <c r="V161" i="18" s="1"/>
  <c r="Q161" i="18"/>
  <c r="V160" i="18"/>
  <c r="T160" i="18"/>
  <c r="Q160" i="18"/>
  <c r="V159" i="18"/>
  <c r="T159" i="18"/>
  <c r="Q159" i="18"/>
  <c r="V158" i="18"/>
  <c r="T158" i="18"/>
  <c r="Q158" i="18"/>
  <c r="T157" i="18"/>
  <c r="V157" i="18" s="1"/>
  <c r="Q157" i="18"/>
  <c r="V156" i="18"/>
  <c r="T156" i="18"/>
  <c r="Q156" i="18"/>
  <c r="V155" i="18"/>
  <c r="T155" i="18"/>
  <c r="Q155" i="18"/>
  <c r="V154" i="18"/>
  <c r="T154" i="18"/>
  <c r="Q154" i="18"/>
  <c r="T153" i="18"/>
  <c r="V153" i="18" s="1"/>
  <c r="Q153" i="18"/>
  <c r="V152" i="18"/>
  <c r="T152" i="18"/>
  <c r="Q152" i="18"/>
  <c r="V151" i="18"/>
  <c r="T151" i="18"/>
  <c r="Q151" i="18"/>
  <c r="V150" i="18"/>
  <c r="T150" i="18"/>
  <c r="Q150" i="18"/>
  <c r="T149" i="18"/>
  <c r="V149" i="18" s="1"/>
  <c r="Q149" i="18"/>
  <c r="V148" i="18"/>
  <c r="T148" i="18"/>
  <c r="Q148" i="18"/>
  <c r="V147" i="18"/>
  <c r="T147" i="18"/>
  <c r="Q147" i="18"/>
  <c r="V146" i="18"/>
  <c r="T146" i="18"/>
  <c r="Q146" i="18"/>
  <c r="T145" i="18"/>
  <c r="V145" i="18" s="1"/>
  <c r="Q145" i="18"/>
  <c r="V144" i="18"/>
  <c r="T144" i="18"/>
  <c r="Q144" i="18"/>
  <c r="V143" i="18"/>
  <c r="T143" i="18"/>
  <c r="Q143" i="18"/>
  <c r="V142" i="18"/>
  <c r="T142" i="18"/>
  <c r="Q142" i="18"/>
  <c r="T141" i="18"/>
  <c r="V141" i="18" s="1"/>
  <c r="Q141" i="18"/>
  <c r="V140" i="18"/>
  <c r="T140" i="18"/>
  <c r="Q140" i="18"/>
  <c r="V139" i="18"/>
  <c r="T139" i="18"/>
  <c r="Q139" i="18"/>
  <c r="V138" i="18"/>
  <c r="T138" i="18"/>
  <c r="Q138" i="18"/>
  <c r="T137" i="18"/>
  <c r="V137" i="18" s="1"/>
  <c r="Q137" i="18"/>
  <c r="V136" i="18"/>
  <c r="T136" i="18"/>
  <c r="Q136" i="18"/>
  <c r="V135" i="18"/>
  <c r="T135" i="18"/>
  <c r="Q135" i="18"/>
  <c r="V134" i="18"/>
  <c r="T134" i="18"/>
  <c r="Q134" i="18"/>
  <c r="T133" i="18"/>
  <c r="V133" i="18" s="1"/>
  <c r="Q133" i="18"/>
  <c r="V132" i="18"/>
  <c r="T132" i="18"/>
  <c r="Q132" i="18"/>
  <c r="V131" i="18"/>
  <c r="T131" i="18"/>
  <c r="Q131" i="18"/>
  <c r="V130" i="18"/>
  <c r="T130" i="18"/>
  <c r="Q130" i="18"/>
  <c r="T129" i="18"/>
  <c r="V129" i="18" s="1"/>
  <c r="Q129" i="18"/>
  <c r="V128" i="18"/>
  <c r="T128" i="18"/>
  <c r="Q128" i="18"/>
  <c r="V127" i="18"/>
  <c r="T127" i="18"/>
  <c r="Q127" i="18"/>
  <c r="V126" i="18"/>
  <c r="T126" i="18"/>
  <c r="Q126" i="18"/>
  <c r="T125" i="18"/>
  <c r="V125" i="18" s="1"/>
  <c r="Q125" i="18"/>
  <c r="V124" i="18"/>
  <c r="T124" i="18"/>
  <c r="Q124" i="18"/>
  <c r="V123" i="18"/>
  <c r="T123" i="18"/>
  <c r="Q123" i="18"/>
  <c r="V122" i="18"/>
  <c r="T122" i="18"/>
  <c r="Q122" i="18"/>
  <c r="T121" i="18"/>
  <c r="V121" i="18" s="1"/>
  <c r="Q121" i="18"/>
  <c r="V120" i="18"/>
  <c r="T120" i="18"/>
  <c r="Q120" i="18"/>
  <c r="V119" i="18"/>
  <c r="T119" i="18"/>
  <c r="Q119" i="18"/>
  <c r="V118" i="18"/>
  <c r="T118" i="18"/>
  <c r="Q118" i="18"/>
  <c r="T117" i="18"/>
  <c r="V117" i="18" s="1"/>
  <c r="Q117" i="18"/>
  <c r="V116" i="18"/>
  <c r="T116" i="18"/>
  <c r="Q116" i="18"/>
  <c r="V115" i="18"/>
  <c r="T115" i="18"/>
  <c r="Q115" i="18"/>
  <c r="V114" i="18"/>
  <c r="T114" i="18"/>
  <c r="Q114" i="18"/>
  <c r="T113" i="18"/>
  <c r="V113" i="18" s="1"/>
  <c r="Q113" i="18"/>
  <c r="V112" i="18"/>
  <c r="T112" i="18"/>
  <c r="Q112" i="18"/>
  <c r="V111" i="18"/>
  <c r="T111" i="18"/>
  <c r="Q111" i="18"/>
  <c r="V110" i="18"/>
  <c r="T110" i="18"/>
  <c r="Q110" i="18"/>
  <c r="T109" i="18"/>
  <c r="V109" i="18" s="1"/>
  <c r="Q109" i="18"/>
  <c r="V108" i="18"/>
  <c r="T108" i="18"/>
  <c r="Q108" i="18"/>
  <c r="V107" i="18"/>
  <c r="T107" i="18"/>
  <c r="Q107" i="18"/>
  <c r="V106" i="18"/>
  <c r="T106" i="18"/>
  <c r="Q106" i="18"/>
  <c r="T105" i="18"/>
  <c r="V105" i="18" s="1"/>
  <c r="Q105" i="18"/>
  <c r="V104" i="18"/>
  <c r="T104" i="18"/>
  <c r="Q104" i="18"/>
  <c r="V91" i="18"/>
  <c r="T91" i="18"/>
  <c r="Q91" i="18"/>
  <c r="T90" i="18"/>
  <c r="V90" i="18" s="1"/>
  <c r="Q90" i="18"/>
  <c r="T89" i="18"/>
  <c r="V89" i="18" s="1"/>
  <c r="Q89" i="18"/>
  <c r="T88" i="18"/>
  <c r="V88" i="18" s="1"/>
  <c r="Q88" i="18"/>
  <c r="V87" i="18"/>
  <c r="T87" i="18"/>
  <c r="Q87" i="18"/>
  <c r="T86" i="18"/>
  <c r="V86" i="18" s="1"/>
  <c r="Q86" i="18"/>
  <c r="T85" i="18"/>
  <c r="V85" i="18" s="1"/>
  <c r="Q85" i="18"/>
  <c r="T84" i="18"/>
  <c r="V84" i="18" s="1"/>
  <c r="Q84" i="18"/>
  <c r="V83" i="18"/>
  <c r="T83" i="18"/>
  <c r="Q83" i="18"/>
  <c r="T82" i="18"/>
  <c r="V82" i="18" s="1"/>
  <c r="Q82" i="18"/>
  <c r="T81" i="18"/>
  <c r="V81" i="18" s="1"/>
  <c r="Q81" i="18"/>
  <c r="T80" i="18"/>
  <c r="V80" i="18" s="1"/>
  <c r="Q80" i="18"/>
  <c r="V79" i="18"/>
  <c r="T79" i="18"/>
  <c r="Q79" i="18"/>
  <c r="T78" i="18"/>
  <c r="V78" i="18" s="1"/>
  <c r="Q78" i="18"/>
  <c r="T77" i="18"/>
  <c r="V77" i="18" s="1"/>
  <c r="Q77" i="18"/>
  <c r="T76" i="18"/>
  <c r="V76" i="18" s="1"/>
  <c r="Q76" i="18"/>
  <c r="V75" i="18"/>
  <c r="T75" i="18"/>
  <c r="Q75" i="18"/>
  <c r="T74" i="18"/>
  <c r="V74" i="18" s="1"/>
  <c r="Q74" i="18"/>
  <c r="T73" i="18"/>
  <c r="V73" i="18" s="1"/>
  <c r="Q73" i="18"/>
  <c r="T72" i="18"/>
  <c r="V72" i="18" s="1"/>
  <c r="Q72" i="18"/>
  <c r="V71" i="18"/>
  <c r="T71" i="18"/>
  <c r="Q71" i="18"/>
  <c r="T70" i="18"/>
  <c r="V70" i="18" s="1"/>
  <c r="Q70" i="18"/>
  <c r="T69" i="18"/>
  <c r="V69" i="18" s="1"/>
  <c r="Q69" i="18"/>
  <c r="T68" i="18"/>
  <c r="V68" i="18" s="1"/>
  <c r="Q68" i="18"/>
  <c r="T67" i="18"/>
  <c r="V67" i="18" s="1"/>
  <c r="Q67" i="18"/>
  <c r="T66" i="18"/>
  <c r="V66" i="18" s="1"/>
  <c r="Q66" i="18"/>
  <c r="T65" i="18"/>
  <c r="V65" i="18" s="1"/>
  <c r="Q65" i="18"/>
  <c r="T64" i="18"/>
  <c r="Q64" i="18"/>
  <c r="T63" i="18"/>
  <c r="Q63" i="18"/>
  <c r="T62" i="18"/>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Q40" i="18"/>
  <c r="T39" i="18"/>
  <c r="V39" i="18" s="1"/>
  <c r="Q39" i="18"/>
  <c r="T38" i="18"/>
  <c r="V38" i="18" s="1"/>
  <c r="Q38" i="18"/>
  <c r="T37" i="18"/>
  <c r="V37" i="18" s="1"/>
  <c r="V36" i="18"/>
  <c r="T36" i="18"/>
  <c r="T35" i="18"/>
  <c r="V35" i="18" s="1"/>
  <c r="T34" i="18"/>
  <c r="V34" i="18" s="1"/>
  <c r="T33" i="18"/>
  <c r="V33" i="18" s="1"/>
  <c r="V32" i="18"/>
  <c r="T32" i="18"/>
  <c r="T31" i="18"/>
  <c r="V31" i="18" s="1"/>
  <c r="T30" i="18"/>
  <c r="V30" i="18" s="1"/>
  <c r="T29" i="18"/>
  <c r="V29" i="18" s="1"/>
  <c r="T28" i="18"/>
  <c r="V28" i="18" s="1"/>
  <c r="T27" i="18"/>
  <c r="V27" i="18" s="1"/>
  <c r="V26" i="18"/>
  <c r="T26" i="18"/>
  <c r="T25" i="18"/>
  <c r="V25" i="18" s="1"/>
  <c r="T24" i="18"/>
  <c r="V24" i="18" s="1"/>
  <c r="T23" i="18"/>
  <c r="V23" i="18" s="1"/>
  <c r="T22" i="18"/>
  <c r="V22" i="18" s="1"/>
  <c r="T21" i="18"/>
  <c r="V21" i="18" s="1"/>
  <c r="V20" i="18"/>
  <c r="T20" i="18"/>
  <c r="T19" i="18"/>
  <c r="V19" i="18" s="1"/>
  <c r="T18" i="18"/>
  <c r="V18" i="18" s="1"/>
  <c r="T17" i="18"/>
  <c r="V17" i="18" s="1"/>
  <c r="T16" i="18"/>
  <c r="V16" i="18" s="1"/>
  <c r="T15" i="18"/>
  <c r="V15" i="18" s="1"/>
  <c r="V14" i="18"/>
  <c r="T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<sst xmlns="http://schemas.openxmlformats.org/spreadsheetml/2006/main" count="8127" uniqueCount="392">
  <si>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</si>
  <si>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</si>
  <si>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</si>
  <si>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</si>
  <si>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</si>
  <si>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</si>
  <si>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</si>
  <si>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</si>
  <si>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</si>
  <si>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</si>
  <si>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</si>
  <si>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</si>
  <si>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</si>
  <si>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</si>
  <si>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</si>
  <si>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</si>
  <si>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</si>
  <si>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</si>
  <si>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</si>
  <si>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</si>
  <si>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</si>
  <si>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</si>
  <si>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</si>
  <si>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</si>
  <si>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</si>
  <si>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</si>
  <si>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</si>
  <si>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</si>
  <si>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</si>
  <si>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</si>
  <si>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</si>
  <si>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</si>
  <si>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</si>
  <si>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</si>
  <si>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</si>
  <si>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</si>
  <si>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</si>
  <si>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</si>
  <si>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</si>
  <si>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</si>
  <si>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</si>
  <si>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</si>
  <si>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</si>
  <si>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</si>
  <si>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</si>
  <si>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</si>
  <si>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</si>
  <si>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</si>
  <si>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</si>
  <si>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</si>
  <si>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</si>
  <si>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</si>
  <si>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</si>
  <si>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</si>
  <si>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</si>
  <si>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</si>
  <si>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</si>
  <si>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</si>
  <si>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</si>
  <si>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</si>
  <si>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</si>
  <si>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</si>
  <si>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</si>
  <si>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</si>
  <si>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</si>
  <si>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</si>
  <si>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</si>
  <si>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</si>
  <si>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</si>
  <si>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</si>
  <si>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</si>
  <si>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</si>
  <si>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</si>
  <si>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</si>
  <si>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</si>
  <si>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</si>
  <si>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</si>
  <si>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</si>
  <si>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</si>
  <si>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</si>
  <si>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</si>
  <si>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</si>
  <si>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</si>
  <si>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</si>
  <si>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</si>
  <si>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</si>
  <si>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</si>
  <si>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</si>
  <si>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</si>
  <si>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</si>
  <si>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</si>
  <si>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</si>
  <si>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</si>
  <si>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</si>
  <si>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</si>
  <si>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</si>
  <si>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</si>
  <si>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</si>
  <si>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</si>
  <si>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</si>
  <si>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</si>
  <si>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</si>
  <si>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</si>
  <si>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</si>
  <si>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</si>
  <si>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</si>
  <si>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</si>
  <si>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</si>
  <si>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</si>
  <si>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</si>
  <si>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</si>
  <si>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</si>
  <si>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</si>
  <si>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</si>
  <si>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</si>
  <si>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</si>
  <si>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</si>
  <si>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</si>
  <si>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</si>
  <si>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</si>
  <si>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</si>
  <si>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</si>
  <si>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</si>
  <si>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</si>
  <si>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</si>
  <si>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</si>
  <si>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</si>
  <si>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</si>
  <si>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</si>
  <si>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</si>
  <si>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</si>
  <si>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</si>
  <si>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</si>
  <si>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</si>
  <si>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</si>
  <si>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</si>
  <si>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</si>
  <si>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</si>
  <si>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</si>
  <si>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</si>
  <si>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</si>
  <si>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</si>
  <si>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</si>
  <si>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</si>
  <si>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</si>
  <si>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</si>
  <si>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</si>
  <si>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</si>
  <si>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</si>
  <si>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</si>
  <si>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</si>
  <si>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</si>
  <si>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</si>
  <si>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</si>
  <si>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</si>
  <si>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</si>
  <si>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</si>
  <si>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</si>
  <si>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</si>
  <si>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</si>
  <si>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</si>
  <si>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</si>
  <si>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</si>
  <si>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</si>
  <si>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</si>
  <si>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26.11.2019</t>
  </si>
  <si>
    <t>26.11.2019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</si>
  <si>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</si>
  <si>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</si>
  <si>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</si>
  <si>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</si>
  <si>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</si>
  <si>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</si>
  <si>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</si>
  <si>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</si>
  <si>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</si>
  <si>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</si>
  <si>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</si>
  <si>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</si>
  <si>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</si>
  <si>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</si>
  <si>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</si>
  <si>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</si>
  <si>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27.11.2019</t>
    <phoneticPr fontId="16"/>
  </si>
  <si>
    <t>利府店</t>
  </si>
  <si>
    <t>その他グリーン</t>
  </si>
  <si>
    <t>みやぎ生協</t>
  </si>
  <si>
    <t>その他ゴールド</t>
  </si>
  <si>
    <t>27.11.2019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</si>
  <si>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</si>
  <si>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</si>
  <si>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</si>
  <si>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</si>
  <si>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</si>
  <si>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</si>
  <si>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</si>
  <si>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</si>
  <si>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</si>
  <si>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</si>
  <si>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</si>
  <si>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</si>
  <si>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</si>
  <si>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</si>
  <si>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</si>
  <si>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</si>
  <si>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</si>
  <si>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</si>
  <si>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</si>
  <si>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</si>
  <si>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</si>
  <si>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</si>
  <si>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</si>
  <si>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</si>
  <si>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</si>
  <si>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</si>
  <si>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</si>
  <si>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</si>
  <si>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</si>
  <si>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</si>
  <si>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</si>
  <si>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</si>
  <si>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</si>
  <si>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</si>
  <si>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</si>
  <si>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</si>
  <si>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</si>
  <si>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</si>
  <si>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</si>
  <si>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</si>
  <si>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</si>
  <si>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</si>
  <si>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</si>
  <si>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</si>
  <si>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</si>
  <si>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</si>
  <si>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</si>
  <si>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　</t>
    <phoneticPr fontId="16"/>
  </si>
  <si>
    <t>JP</t>
    <phoneticPr fontId="3"/>
  </si>
  <si>
    <t>27.11.2019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</si>
  <si>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</si>
  <si>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</si>
  <si>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</si>
  <si>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</si>
  <si>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</si>
  <si>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</si>
  <si>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</si>
  <si>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</si>
  <si>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</si>
  <si>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</si>
  <si>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</si>
  <si>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</si>
  <si>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</si>
  <si>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</si>
  <si>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</si>
  <si>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</si>
  <si>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長久手店</t>
  </si>
  <si>
    <t>カネトク</t>
    <phoneticPr fontId="4"/>
  </si>
  <si>
    <t>ピアゴ</t>
  </si>
  <si>
    <t>長久手南店</t>
  </si>
  <si>
    <t>カネスエ</t>
  </si>
  <si>
    <t>ラフランス</t>
    <phoneticPr fontId="4"/>
  </si>
  <si>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</si>
  <si>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</si>
  <si>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</si>
  <si>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</si>
  <si>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</si>
  <si>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29.11.2019</t>
  </si>
  <si>
    <t>コノミヤ</t>
  </si>
  <si>
    <t>深井店</t>
  </si>
  <si>
    <t>上野芝店</t>
  </si>
  <si>
    <t>デイリーカナート</t>
  </si>
  <si>
    <t>向ヶ丘店</t>
  </si>
  <si>
    <t>松源</t>
  </si>
  <si>
    <t>北条店</t>
  </si>
  <si>
    <t>ライフ</t>
  </si>
  <si>
    <t>キンショー</t>
  </si>
  <si>
    <t>東湊店</t>
  </si>
  <si>
    <t>万代</t>
  </si>
  <si>
    <t>津久野店</t>
  </si>
  <si>
    <t>イズミヤ</t>
  </si>
  <si>
    <t>泉北店</t>
  </si>
  <si>
    <t>ダイエーグルメシティ</t>
  </si>
  <si>
    <t>県名</t>
    <phoneticPr fontId="3"/>
  </si>
  <si>
    <t>チェーン名</t>
    <phoneticPr fontId="3"/>
  </si>
  <si>
    <t>品種</t>
    <phoneticPr fontId="3"/>
  </si>
  <si>
    <t>11.29.2019</t>
    <phoneticPr fontId="3"/>
  </si>
  <si>
    <t>福や</t>
  </si>
  <si>
    <t>鉄砲町店</t>
  </si>
  <si>
    <t>鉄砲町店</t>
    <rPh sb="3" eb="4">
      <t>テン</t>
    </rPh>
    <phoneticPr fontId="3"/>
  </si>
  <si>
    <t>ユアーズ</t>
  </si>
  <si>
    <t>十日市店</t>
    <rPh sb="3" eb="4">
      <t>テン</t>
    </rPh>
    <phoneticPr fontId="3"/>
  </si>
  <si>
    <t>スパーク</t>
  </si>
  <si>
    <t>御幸の杜店</t>
    <rPh sb="3" eb="4">
      <t>モリ</t>
    </rPh>
    <rPh sb="4" eb="5">
      <t>テン</t>
    </rPh>
    <phoneticPr fontId="3"/>
  </si>
  <si>
    <t>十日市店</t>
  </si>
  <si>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</si>
  <si>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</si>
  <si>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</si>
  <si>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</si>
  <si>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</si>
  <si>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</si>
  <si>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</si>
  <si>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</si>
  <si>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</si>
  <si>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</si>
  <si>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</si>
  <si>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</si>
  <si>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みかん</t>
    <phoneticPr fontId="4"/>
  </si>
  <si>
    <t>マンゴー</t>
    <phoneticPr fontId="3"/>
  </si>
  <si>
    <t>山陽マルナカ</t>
  </si>
  <si>
    <t>白島店</t>
    <rPh sb="0" eb="2">
      <t>ハクシマ</t>
    </rPh>
    <rPh sb="2" eb="3">
      <t>テン</t>
    </rPh>
    <phoneticPr fontId="3"/>
  </si>
  <si>
    <t>アルク</t>
  </si>
  <si>
    <t>東千田店</t>
  </si>
  <si>
    <t>フレスタ</t>
  </si>
  <si>
    <t>吉島店</t>
  </si>
  <si>
    <t>観音店</t>
  </si>
  <si>
    <t>11.29.2019</t>
  </si>
  <si>
    <t>販売
ユニット
個数</t>
    <phoneticPr fontId="4"/>
  </si>
  <si>
    <t>U/P JPY</t>
    <phoneticPr fontId="4"/>
  </si>
  <si>
    <t>マルショク</t>
    <phoneticPr fontId="3"/>
  </si>
  <si>
    <t>野間大池</t>
    <rPh sb="0" eb="2">
      <t>ノマ</t>
    </rPh>
    <rPh sb="2" eb="4">
      <t>オオイケ</t>
    </rPh>
    <phoneticPr fontId="3"/>
  </si>
  <si>
    <t>柿</t>
    <rPh sb="0" eb="1">
      <t>カキ</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</si>
  <si>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</si>
  <si>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</si>
  <si>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</si>
  <si>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</si>
  <si>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</si>
  <si>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</si>
  <si>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</si>
  <si>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</si>
  <si>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</si>
  <si>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</si>
  <si>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</si>
  <si>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</si>
  <si>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</si>
  <si>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</si>
  <si>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</si>
  <si>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</si>
  <si>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</si>
  <si>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</si>
  <si>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</si>
  <si>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</si>
  <si>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</si>
  <si>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</si>
  <si>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</si>
  <si>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</si>
  <si>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</si>
  <si>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</si>
  <si>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</si>
  <si>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</si>
  <si>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</si>
  <si>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</si>
  <si>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</si>
  <si>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</si>
  <si>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</si>
  <si>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</si>
  <si>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</si>
  <si>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</si>
  <si>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</si>
  <si>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</si>
  <si>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</si>
  <si>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</si>
  <si>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28.11.2019</t>
    <phoneticPr fontId="3"/>
  </si>
  <si>
    <t>サミット</t>
  </si>
  <si>
    <t>久が原食品館</t>
  </si>
  <si>
    <t>28.11.2019</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</si>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</sst>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178" fontId="1" fillId="2" borderId="0" xfId="1" applyNumberFormat="1" applyFill="1"/>
    <xf numFmtId="0" fontId="15" fillId="0" borderId="0" xfId="9" applyFont="1">
      <alignment vertical="center"/>
    </xf>
    <xf numFmtId="0" fontId="15" fillId="0" borderId="0" xfId="1" applyFo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8C2EBBB0-85F4-474B-BD34-59CC3BC208B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S56" sqref="S56"/>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0.5</v>
      </c>
      <c r="P2" s="15">
        <v>0.55000000000000004</v>
      </c>
      <c r="Q2" s="51">
        <f t="shared" ref="Q2:Q65" si="0">IF(OR(O2="",P2=""),"",AVERAGE(O2,P2))</f>
        <v>0.52500000000000002</v>
      </c>
      <c r="R2" s="15">
        <v>15.1</v>
      </c>
      <c r="S2" s="15">
        <v>120</v>
      </c>
      <c r="T2" s="38">
        <f t="shared" ref="T2:T59" si="1">IF(H2="","",IF(OR(H2="GREEN",H2="GK"),IF(S2&gt;=$AX$2,VLOOKUP(S2,$AX$2:$AY$12,2,1),""),IF(S2&gt;=$AZ$2,VLOOKUP(S2,$AZ$2:$BA$12,2,1),"")))</f>
        <v>30</v>
      </c>
      <c r="U2" s="15">
        <v>79</v>
      </c>
      <c r="V2" s="38">
        <f t="shared" ref="V2:V65" si="2">IF(OR(N2="",U2="",T2=""),"",U2/N2*T2)</f>
        <v>2370</v>
      </c>
      <c r="W2" s="15">
        <v>4</v>
      </c>
      <c r="X2" s="15" t="s">
        <v>39</v>
      </c>
      <c r="Y2" s="15" t="s">
        <v>84</v>
      </c>
      <c r="Z2" s="15" t="s">
        <v>90</v>
      </c>
      <c r="AA2" s="15" t="s">
        <v>50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0.6</v>
      </c>
      <c r="P3" s="7">
        <v>0.6</v>
      </c>
      <c r="Q3" s="52">
        <f t="shared" si="0"/>
        <v>0.6</v>
      </c>
      <c r="R3" s="7">
        <v>13.4</v>
      </c>
      <c r="S3" s="7">
        <v>122</v>
      </c>
      <c r="T3" s="16">
        <f t="shared" si="1"/>
        <v>27</v>
      </c>
      <c r="U3" s="15">
        <v>79</v>
      </c>
      <c r="V3" s="16">
        <f t="shared" si="2"/>
        <v>2133</v>
      </c>
      <c r="W3" s="15">
        <v>4</v>
      </c>
      <c r="X3" s="15" t="s">
        <v>39</v>
      </c>
      <c r="Y3" s="54" t="s">
        <v>84</v>
      </c>
      <c r="Z3" s="54" t="s">
        <v>90</v>
      </c>
      <c r="AA3" s="54" t="s">
        <v>50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0.5</v>
      </c>
      <c r="P4" s="7">
        <v>0.5</v>
      </c>
      <c r="Q4" s="52">
        <f t="shared" si="0"/>
        <v>0.5</v>
      </c>
      <c r="R4" s="7">
        <v>14.7</v>
      </c>
      <c r="S4" s="7">
        <v>121</v>
      </c>
      <c r="T4" s="16">
        <f t="shared" si="1"/>
        <v>27</v>
      </c>
      <c r="U4" s="15">
        <v>79</v>
      </c>
      <c r="V4" s="16">
        <f t="shared" si="2"/>
        <v>2133</v>
      </c>
      <c r="W4" s="15">
        <v>4</v>
      </c>
      <c r="X4" s="54" t="s">
        <v>39</v>
      </c>
      <c r="Y4" s="54" t="s">
        <v>84</v>
      </c>
      <c r="Z4" s="54" t="s">
        <v>90</v>
      </c>
      <c r="AA4" s="54" t="s">
        <v>50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54" t="s">
        <v>141</v>
      </c>
      <c r="F5" s="53" t="s">
        <v>149</v>
      </c>
      <c r="G5" s="7" t="s">
        <v>36</v>
      </c>
      <c r="H5" s="54" t="s">
        <v>160</v>
      </c>
      <c r="I5" s="7" t="s">
        <v>159</v>
      </c>
      <c r="J5" s="15" t="s">
        <v>38</v>
      </c>
      <c r="K5" s="7" t="s">
        <v>54</v>
      </c>
      <c r="L5" s="7">
        <v>1</v>
      </c>
      <c r="N5" s="53">
        <v>1</v>
      </c>
      <c r="O5" s="7">
        <v>0.8</v>
      </c>
      <c r="P5" s="7">
        <v>0.95</v>
      </c>
      <c r="Q5" s="52">
        <f t="shared" si="0"/>
        <v>0.875</v>
      </c>
      <c r="R5" s="7">
        <v>15.9</v>
      </c>
      <c r="S5" s="7">
        <v>108</v>
      </c>
      <c r="T5" s="16">
        <f t="shared" si="1"/>
        <v>33</v>
      </c>
      <c r="U5" s="15">
        <v>135</v>
      </c>
      <c r="V5" s="16">
        <f t="shared" si="2"/>
        <v>4455</v>
      </c>
      <c r="W5" s="15">
        <v>3</v>
      </c>
      <c r="X5" s="54" t="s">
        <v>39</v>
      </c>
      <c r="Y5" s="54" t="s">
        <v>84</v>
      </c>
      <c r="Z5" s="54" t="s">
        <v>90</v>
      </c>
      <c r="AA5" s="54" t="s">
        <v>50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54" t="s">
        <v>141</v>
      </c>
      <c r="F6" s="53" t="s">
        <v>149</v>
      </c>
      <c r="G6" s="7" t="s">
        <v>36</v>
      </c>
      <c r="H6" s="54" t="s">
        <v>160</v>
      </c>
      <c r="I6" s="53" t="s">
        <v>159</v>
      </c>
      <c r="J6" s="15" t="s">
        <v>38</v>
      </c>
      <c r="K6" s="53" t="s">
        <v>54</v>
      </c>
      <c r="L6" s="7">
        <v>2</v>
      </c>
      <c r="N6" s="53">
        <v>1</v>
      </c>
      <c r="O6" s="7">
        <v>1</v>
      </c>
      <c r="P6" s="7">
        <v>1.05</v>
      </c>
      <c r="Q6" s="52">
        <f t="shared" si="0"/>
        <v>1.0249999999999999</v>
      </c>
      <c r="R6" s="7">
        <v>12.7</v>
      </c>
      <c r="S6" s="7">
        <v>106</v>
      </c>
      <c r="T6" s="16">
        <f t="shared" si="1"/>
        <v>33</v>
      </c>
      <c r="U6" s="15">
        <v>135</v>
      </c>
      <c r="V6" s="16">
        <f t="shared" si="2"/>
        <v>4455</v>
      </c>
      <c r="W6" s="15">
        <v>3</v>
      </c>
      <c r="X6" s="54" t="s">
        <v>39</v>
      </c>
      <c r="Y6" s="54" t="s">
        <v>84</v>
      </c>
      <c r="Z6" s="54" t="s">
        <v>90</v>
      </c>
      <c r="AA6" s="54" t="s">
        <v>50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54" t="s">
        <v>141</v>
      </c>
      <c r="F7" s="53" t="s">
        <v>149</v>
      </c>
      <c r="G7" s="7" t="s">
        <v>36</v>
      </c>
      <c r="H7" s="54" t="s">
        <v>160</v>
      </c>
      <c r="I7" s="53" t="s">
        <v>159</v>
      </c>
      <c r="J7" s="15" t="s">
        <v>38</v>
      </c>
      <c r="K7" s="53" t="s">
        <v>54</v>
      </c>
      <c r="L7" s="7">
        <v>3</v>
      </c>
      <c r="N7" s="53">
        <v>1</v>
      </c>
      <c r="O7" s="7">
        <v>1.1000000000000001</v>
      </c>
      <c r="P7" s="7">
        <v>1.1499999999999999</v>
      </c>
      <c r="Q7" s="52">
        <f t="shared" si="0"/>
        <v>1.125</v>
      </c>
      <c r="R7" s="34">
        <v>12.8</v>
      </c>
      <c r="S7" s="7">
        <v>109</v>
      </c>
      <c r="T7" s="16">
        <f t="shared" si="1"/>
        <v>33</v>
      </c>
      <c r="U7" s="15">
        <v>135</v>
      </c>
      <c r="V7" s="16">
        <f t="shared" si="2"/>
        <v>4455</v>
      </c>
      <c r="W7" s="15">
        <v>3</v>
      </c>
      <c r="X7" s="54" t="s">
        <v>39</v>
      </c>
      <c r="Y7" s="54" t="s">
        <v>84</v>
      </c>
      <c r="Z7" s="54" t="s">
        <v>90</v>
      </c>
      <c r="AA7" s="54" t="s">
        <v>50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0.85</v>
      </c>
      <c r="P8" s="7">
        <v>1</v>
      </c>
      <c r="Q8" s="52">
        <f t="shared" si="0"/>
        <v>0.92500000000000004</v>
      </c>
      <c r="R8" s="34">
        <v>15.3</v>
      </c>
      <c r="S8" s="7">
        <v>121</v>
      </c>
      <c r="T8" s="16">
        <f t="shared" si="1"/>
        <v>27</v>
      </c>
      <c r="U8" s="15">
        <v>78</v>
      </c>
      <c r="V8" s="16">
        <f t="shared" si="2"/>
        <v>2106</v>
      </c>
      <c r="W8" s="15">
        <v>10</v>
      </c>
      <c r="X8" s="54" t="s">
        <v>46</v>
      </c>
      <c r="Y8" s="54" t="s">
        <v>84</v>
      </c>
      <c r="Z8" s="54" t="s">
        <v>90</v>
      </c>
      <c r="AA8" s="54" t="s">
        <v>50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53" t="s">
        <v>159</v>
      </c>
      <c r="J9" s="54" t="s">
        <v>38</v>
      </c>
      <c r="K9" s="53" t="s">
        <v>161</v>
      </c>
      <c r="L9" s="7">
        <v>2</v>
      </c>
      <c r="N9" s="7">
        <v>1</v>
      </c>
      <c r="O9" s="7">
        <v>0.95</v>
      </c>
      <c r="P9" s="7">
        <v>1</v>
      </c>
      <c r="Q9" s="52">
        <f t="shared" si="0"/>
        <v>0.97499999999999998</v>
      </c>
      <c r="R9" s="7">
        <v>13.7</v>
      </c>
      <c r="S9" s="7">
        <v>123</v>
      </c>
      <c r="T9" s="16">
        <f t="shared" si="1"/>
        <v>27</v>
      </c>
      <c r="U9" s="15">
        <v>78</v>
      </c>
      <c r="V9" s="16">
        <f t="shared" si="2"/>
        <v>2106</v>
      </c>
      <c r="W9" s="15">
        <v>10</v>
      </c>
      <c r="X9" s="54" t="s">
        <v>46</v>
      </c>
      <c r="Y9" s="54" t="s">
        <v>84</v>
      </c>
      <c r="Z9" s="54" t="s">
        <v>90</v>
      </c>
      <c r="AA9" s="54" t="s">
        <v>50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53" t="s">
        <v>159</v>
      </c>
      <c r="J10" s="54" t="s">
        <v>38</v>
      </c>
      <c r="K10" s="53" t="s">
        <v>161</v>
      </c>
      <c r="L10" s="7">
        <v>3</v>
      </c>
      <c r="N10" s="7">
        <v>1</v>
      </c>
      <c r="O10" s="7">
        <v>0.7</v>
      </c>
      <c r="P10" s="7">
        <v>0.65</v>
      </c>
      <c r="Q10" s="52">
        <f t="shared" si="0"/>
        <v>0.67500000000000004</v>
      </c>
      <c r="R10" s="7">
        <v>13.4</v>
      </c>
      <c r="S10" s="7">
        <v>115</v>
      </c>
      <c r="T10" s="16">
        <f t="shared" si="1"/>
        <v>30</v>
      </c>
      <c r="U10" s="15">
        <v>78</v>
      </c>
      <c r="V10" s="16">
        <f t="shared" si="2"/>
        <v>2340</v>
      </c>
      <c r="W10" s="15">
        <v>10</v>
      </c>
      <c r="X10" s="54" t="s">
        <v>46</v>
      </c>
      <c r="Y10" s="54" t="s">
        <v>84</v>
      </c>
      <c r="Z10" s="54" t="s">
        <v>90</v>
      </c>
      <c r="AA10" s="54" t="s">
        <v>50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128</v>
      </c>
      <c r="I11" s="7" t="s">
        <v>159</v>
      </c>
      <c r="J11" s="15" t="s">
        <v>80</v>
      </c>
      <c r="K11" s="7" t="s">
        <v>45</v>
      </c>
      <c r="L11" s="7">
        <v>1</v>
      </c>
      <c r="N11" s="7">
        <v>1</v>
      </c>
      <c r="O11" s="7">
        <v>0.9</v>
      </c>
      <c r="P11" s="7">
        <v>0.95</v>
      </c>
      <c r="Q11" s="52">
        <f t="shared" si="0"/>
        <v>0.92500000000000004</v>
      </c>
      <c r="R11" s="7">
        <v>14.6</v>
      </c>
      <c r="S11" s="7">
        <v>109</v>
      </c>
      <c r="T11" s="16">
        <f t="shared" si="1"/>
        <v>33</v>
      </c>
      <c r="U11" s="7">
        <v>78</v>
      </c>
      <c r="V11" s="16">
        <f t="shared" si="2"/>
        <v>2574</v>
      </c>
      <c r="W11" s="7">
        <v>2</v>
      </c>
      <c r="X11" s="54" t="s">
        <v>46</v>
      </c>
      <c r="Y11" s="54" t="s">
        <v>84</v>
      </c>
      <c r="Z11" s="54" t="s">
        <v>90</v>
      </c>
      <c r="AA11" s="54" t="s">
        <v>50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128</v>
      </c>
      <c r="I12" s="53" t="s">
        <v>159</v>
      </c>
      <c r="J12" s="15" t="s">
        <v>80</v>
      </c>
      <c r="K12" s="7" t="s">
        <v>45</v>
      </c>
      <c r="L12" s="7">
        <v>2</v>
      </c>
      <c r="N12" s="7">
        <v>1</v>
      </c>
      <c r="O12" s="7">
        <v>1</v>
      </c>
      <c r="P12" s="7">
        <v>1.1499999999999999</v>
      </c>
      <c r="Q12" s="52">
        <f t="shared" si="0"/>
        <v>1.075</v>
      </c>
      <c r="R12" s="34">
        <v>15.9</v>
      </c>
      <c r="S12" s="7">
        <v>114</v>
      </c>
      <c r="T12" s="16">
        <f t="shared" si="1"/>
        <v>30</v>
      </c>
      <c r="U12" s="7">
        <v>78</v>
      </c>
      <c r="V12" s="16">
        <f t="shared" si="2"/>
        <v>2340</v>
      </c>
      <c r="W12" s="7">
        <v>2</v>
      </c>
      <c r="X12" s="54" t="s">
        <v>46</v>
      </c>
      <c r="Y12" s="54" t="s">
        <v>84</v>
      </c>
      <c r="Z12" s="54" t="s">
        <v>90</v>
      </c>
      <c r="AA12" s="54" t="s">
        <v>50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128</v>
      </c>
      <c r="I13" s="53" t="s">
        <v>159</v>
      </c>
      <c r="J13" s="15" t="s">
        <v>80</v>
      </c>
      <c r="K13" s="7" t="s">
        <v>45</v>
      </c>
      <c r="L13" s="7">
        <v>3</v>
      </c>
      <c r="N13" s="7">
        <v>1</v>
      </c>
      <c r="O13" s="7">
        <v>0.95</v>
      </c>
      <c r="P13" s="7">
        <v>1.05</v>
      </c>
      <c r="Q13" s="52">
        <f t="shared" si="0"/>
        <v>1</v>
      </c>
      <c r="R13" s="7">
        <v>17.399999999999999</v>
      </c>
      <c r="S13" s="7">
        <v>113</v>
      </c>
      <c r="T13" s="16">
        <f t="shared" si="1"/>
        <v>30</v>
      </c>
      <c r="U13" s="7">
        <v>78</v>
      </c>
      <c r="V13" s="16">
        <f t="shared" si="2"/>
        <v>2340</v>
      </c>
      <c r="W13" s="7">
        <v>2</v>
      </c>
      <c r="X13" s="54" t="s">
        <v>46</v>
      </c>
      <c r="Y13" s="54" t="s">
        <v>84</v>
      </c>
      <c r="Z13" s="54" t="s">
        <v>90</v>
      </c>
      <c r="AA13" s="54" t="s">
        <v>50</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0.75</v>
      </c>
      <c r="P14" s="7">
        <v>0.85</v>
      </c>
      <c r="Q14" s="52">
        <f t="shared" si="0"/>
        <v>0.8</v>
      </c>
      <c r="R14" s="7">
        <v>12.7</v>
      </c>
      <c r="S14" s="7">
        <v>125</v>
      </c>
      <c r="T14" s="16">
        <f t="shared" si="1"/>
        <v>27</v>
      </c>
      <c r="U14" s="7">
        <v>138</v>
      </c>
      <c r="V14" s="16">
        <f t="shared" si="2"/>
        <v>3726</v>
      </c>
      <c r="W14" s="7">
        <v>3</v>
      </c>
      <c r="X14" s="54" t="s">
        <v>46</v>
      </c>
      <c r="Y14" s="54" t="s">
        <v>84</v>
      </c>
      <c r="Z14" s="54" t="s">
        <v>90</v>
      </c>
      <c r="AA14" s="54" t="s">
        <v>50</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0.85</v>
      </c>
      <c r="P15" s="7">
        <v>0.85</v>
      </c>
      <c r="Q15" s="52">
        <f t="shared" si="0"/>
        <v>0.85</v>
      </c>
      <c r="R15" s="7">
        <v>13.7</v>
      </c>
      <c r="S15" s="7">
        <v>124</v>
      </c>
      <c r="T15" s="16">
        <f t="shared" si="1"/>
        <v>27</v>
      </c>
      <c r="U15" s="7">
        <v>138</v>
      </c>
      <c r="V15" s="16">
        <f t="shared" si="2"/>
        <v>3726</v>
      </c>
      <c r="W15" s="7">
        <v>3</v>
      </c>
      <c r="X15" s="54" t="s">
        <v>46</v>
      </c>
      <c r="Y15" s="54" t="s">
        <v>84</v>
      </c>
      <c r="Z15" s="54" t="s">
        <v>90</v>
      </c>
      <c r="AA15" s="54" t="s">
        <v>50</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0.95</v>
      </c>
      <c r="P16" s="7">
        <v>0.95</v>
      </c>
      <c r="Q16" s="52">
        <f t="shared" si="0"/>
        <v>0.95</v>
      </c>
      <c r="R16" s="7">
        <v>13.6</v>
      </c>
      <c r="S16" s="7">
        <v>120</v>
      </c>
      <c r="T16" s="16">
        <f t="shared" si="1"/>
        <v>30</v>
      </c>
      <c r="U16" s="7">
        <v>138</v>
      </c>
      <c r="V16" s="16">
        <f t="shared" si="2"/>
        <v>4140</v>
      </c>
      <c r="W16" s="7">
        <v>3</v>
      </c>
      <c r="X16" s="54" t="s">
        <v>46</v>
      </c>
      <c r="Y16" s="54" t="s">
        <v>84</v>
      </c>
      <c r="Z16" s="54" t="s">
        <v>90</v>
      </c>
      <c r="AA16" s="54" t="s">
        <v>50</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54</v>
      </c>
      <c r="L17" s="7">
        <v>1</v>
      </c>
      <c r="N17" s="7">
        <v>1</v>
      </c>
      <c r="O17" s="7">
        <v>0.95</v>
      </c>
      <c r="P17" s="7">
        <v>0.9</v>
      </c>
      <c r="Q17" s="52">
        <f t="shared" si="0"/>
        <v>0.92500000000000004</v>
      </c>
      <c r="R17" s="7">
        <v>16.7</v>
      </c>
      <c r="S17" s="7">
        <v>141</v>
      </c>
      <c r="T17" s="16">
        <f t="shared" si="1"/>
        <v>22</v>
      </c>
      <c r="U17" s="7">
        <v>198</v>
      </c>
      <c r="V17" s="16">
        <f t="shared" si="2"/>
        <v>4356</v>
      </c>
      <c r="W17" s="7">
        <v>1</v>
      </c>
      <c r="X17" s="54" t="s">
        <v>46</v>
      </c>
      <c r="Y17" s="54" t="s">
        <v>84</v>
      </c>
      <c r="Z17" s="54" t="s">
        <v>90</v>
      </c>
      <c r="AA17" s="54" t="s">
        <v>50</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54</v>
      </c>
      <c r="L18" s="7">
        <v>2</v>
      </c>
      <c r="N18" s="7">
        <v>1</v>
      </c>
      <c r="O18" s="7">
        <v>0.9</v>
      </c>
      <c r="P18" s="7">
        <v>1.05</v>
      </c>
      <c r="Q18" s="52">
        <f t="shared" si="0"/>
        <v>0.97500000000000009</v>
      </c>
      <c r="R18" s="7">
        <v>12.6</v>
      </c>
      <c r="S18" s="7">
        <v>139</v>
      </c>
      <c r="T18" s="16">
        <f t="shared" si="1"/>
        <v>22</v>
      </c>
      <c r="U18" s="7">
        <v>198</v>
      </c>
      <c r="V18" s="16">
        <f t="shared" si="2"/>
        <v>4356</v>
      </c>
      <c r="W18" s="7">
        <v>1</v>
      </c>
      <c r="X18" s="54" t="s">
        <v>46</v>
      </c>
      <c r="Y18" s="54" t="s">
        <v>84</v>
      </c>
      <c r="Z18" s="54" t="s">
        <v>90</v>
      </c>
      <c r="AA18" s="54" t="s">
        <v>50</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54</v>
      </c>
      <c r="L19" s="7">
        <v>3</v>
      </c>
      <c r="N19" s="7">
        <v>1</v>
      </c>
      <c r="O19" s="7">
        <v>0.8</v>
      </c>
      <c r="P19" s="7">
        <v>0.7</v>
      </c>
      <c r="Q19" s="52">
        <f t="shared" si="0"/>
        <v>0.75</v>
      </c>
      <c r="R19" s="7">
        <v>12.4</v>
      </c>
      <c r="S19" s="7">
        <v>150</v>
      </c>
      <c r="T19" s="16">
        <f t="shared" si="1"/>
        <v>22</v>
      </c>
      <c r="U19" s="7">
        <v>198</v>
      </c>
      <c r="V19" s="16">
        <f t="shared" si="2"/>
        <v>4356</v>
      </c>
      <c r="W19" s="7">
        <v>1</v>
      </c>
      <c r="X19" s="54" t="s">
        <v>46</v>
      </c>
      <c r="Y19" s="54" t="s">
        <v>84</v>
      </c>
      <c r="Z19" s="54" t="s">
        <v>90</v>
      </c>
      <c r="AA19" s="54" t="s">
        <v>50</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0.9</v>
      </c>
      <c r="P20" s="34">
        <v>0.8</v>
      </c>
      <c r="Q20" s="52">
        <f t="shared" si="0"/>
        <v>0.85000000000000009</v>
      </c>
      <c r="R20" s="7">
        <v>13.1</v>
      </c>
      <c r="S20" s="7">
        <v>122</v>
      </c>
      <c r="T20" s="16">
        <f t="shared" si="1"/>
        <v>27</v>
      </c>
      <c r="U20" s="7">
        <v>79</v>
      </c>
      <c r="V20" s="16">
        <f t="shared" si="2"/>
        <v>2133</v>
      </c>
      <c r="W20" s="7">
        <v>2</v>
      </c>
      <c r="X20" s="54" t="s">
        <v>39</v>
      </c>
      <c r="Y20" s="54" t="s">
        <v>90</v>
      </c>
      <c r="Z20" s="54" t="s">
        <v>84</v>
      </c>
      <c r="AA20" s="54" t="s">
        <v>78</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54" t="s">
        <v>164</v>
      </c>
      <c r="I21" s="7" t="s">
        <v>159</v>
      </c>
      <c r="J21" s="15" t="s">
        <v>38</v>
      </c>
      <c r="K21" s="53" t="s">
        <v>161</v>
      </c>
      <c r="L21" s="7">
        <v>2</v>
      </c>
      <c r="N21" s="7">
        <v>1</v>
      </c>
      <c r="O21" s="7">
        <v>0.9</v>
      </c>
      <c r="P21" s="7">
        <v>0.9</v>
      </c>
      <c r="Q21" s="52">
        <f t="shared" si="0"/>
        <v>0.9</v>
      </c>
      <c r="R21" s="7">
        <v>12.9</v>
      </c>
      <c r="S21" s="7">
        <v>125</v>
      </c>
      <c r="T21" s="16">
        <f t="shared" si="1"/>
        <v>27</v>
      </c>
      <c r="U21" s="7">
        <v>79</v>
      </c>
      <c r="V21" s="16">
        <f t="shared" si="2"/>
        <v>2133</v>
      </c>
      <c r="W21" s="7">
        <v>2</v>
      </c>
      <c r="X21" s="54" t="s">
        <v>39</v>
      </c>
      <c r="Y21" s="54" t="s">
        <v>90</v>
      </c>
      <c r="Z21" s="54" t="s">
        <v>84</v>
      </c>
      <c r="AA21" s="54" t="s">
        <v>78</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54" t="s">
        <v>164</v>
      </c>
      <c r="I22" s="7" t="s">
        <v>159</v>
      </c>
      <c r="J22" s="15" t="s">
        <v>38</v>
      </c>
      <c r="K22" s="53" t="s">
        <v>161</v>
      </c>
      <c r="L22" s="7">
        <v>3</v>
      </c>
      <c r="N22" s="7">
        <v>1</v>
      </c>
      <c r="O22" s="34">
        <v>1.1000000000000001</v>
      </c>
      <c r="P22" s="7">
        <v>1.2</v>
      </c>
      <c r="Q22" s="52">
        <f t="shared" si="0"/>
        <v>1.1499999999999999</v>
      </c>
      <c r="R22" s="7">
        <v>12.5</v>
      </c>
      <c r="S22" s="7">
        <v>119</v>
      </c>
      <c r="T22" s="16">
        <f t="shared" si="1"/>
        <v>30</v>
      </c>
      <c r="U22" s="7">
        <v>79</v>
      </c>
      <c r="V22" s="16">
        <f t="shared" si="2"/>
        <v>2370</v>
      </c>
      <c r="W22" s="7">
        <v>2</v>
      </c>
      <c r="X22" s="54" t="s">
        <v>39</v>
      </c>
      <c r="Y22" s="54" t="s">
        <v>90</v>
      </c>
      <c r="Z22" s="54" t="s">
        <v>84</v>
      </c>
      <c r="AA22" s="54" t="s">
        <v>78</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54</v>
      </c>
      <c r="L23" s="7">
        <v>1</v>
      </c>
      <c r="N23" s="7">
        <v>1</v>
      </c>
      <c r="O23" s="34">
        <v>0.65</v>
      </c>
      <c r="P23" s="7">
        <v>0.8</v>
      </c>
      <c r="Q23" s="52">
        <f t="shared" si="0"/>
        <v>0.72500000000000009</v>
      </c>
      <c r="R23" s="7">
        <v>12.4</v>
      </c>
      <c r="S23" s="7">
        <v>108</v>
      </c>
      <c r="T23" s="16">
        <f t="shared" si="1"/>
        <v>33</v>
      </c>
      <c r="U23" s="7">
        <v>138</v>
      </c>
      <c r="V23" s="16">
        <f t="shared" si="2"/>
        <v>4554</v>
      </c>
      <c r="W23" s="7">
        <v>1</v>
      </c>
      <c r="X23" s="54" t="s">
        <v>39</v>
      </c>
      <c r="Y23" s="54" t="s">
        <v>90</v>
      </c>
      <c r="Z23" s="54" t="s">
        <v>84</v>
      </c>
      <c r="AA23" s="54" t="s">
        <v>78</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54</v>
      </c>
      <c r="L24" s="7">
        <v>2</v>
      </c>
      <c r="N24" s="7">
        <v>1</v>
      </c>
      <c r="O24" s="7">
        <v>1.2</v>
      </c>
      <c r="P24" s="7">
        <v>1.2</v>
      </c>
      <c r="Q24" s="52">
        <f t="shared" si="0"/>
        <v>1.2</v>
      </c>
      <c r="R24" s="7">
        <v>14.2</v>
      </c>
      <c r="S24" s="7">
        <v>109</v>
      </c>
      <c r="T24" s="16">
        <f t="shared" si="1"/>
        <v>33</v>
      </c>
      <c r="U24" s="7">
        <v>138</v>
      </c>
      <c r="V24" s="16">
        <f t="shared" si="2"/>
        <v>4554</v>
      </c>
      <c r="W24" s="7">
        <v>1</v>
      </c>
      <c r="X24" s="54" t="s">
        <v>39</v>
      </c>
      <c r="Y24" s="54" t="s">
        <v>90</v>
      </c>
      <c r="Z24" s="54" t="s">
        <v>84</v>
      </c>
      <c r="AA24" s="54" t="s">
        <v>78</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54</v>
      </c>
      <c r="L25" s="7">
        <v>3</v>
      </c>
      <c r="N25" s="7">
        <v>1</v>
      </c>
      <c r="O25" s="7">
        <v>0.95</v>
      </c>
      <c r="P25" s="7">
        <v>0.85</v>
      </c>
      <c r="Q25" s="52">
        <f t="shared" si="0"/>
        <v>0.89999999999999991</v>
      </c>
      <c r="R25" s="7">
        <v>17.100000000000001</v>
      </c>
      <c r="S25" s="7">
        <v>106</v>
      </c>
      <c r="T25" s="16">
        <f t="shared" si="1"/>
        <v>33</v>
      </c>
      <c r="U25" s="7">
        <v>138</v>
      </c>
      <c r="V25" s="16">
        <f t="shared" si="2"/>
        <v>4554</v>
      </c>
      <c r="W25" s="7">
        <v>1</v>
      </c>
      <c r="X25" s="54" t="s">
        <v>39</v>
      </c>
      <c r="Y25" s="54" t="s">
        <v>90</v>
      </c>
      <c r="Z25" s="54" t="s">
        <v>84</v>
      </c>
      <c r="AA25" s="54" t="s">
        <v>78</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0.5</v>
      </c>
      <c r="P26" s="7">
        <v>0.5</v>
      </c>
      <c r="Q26" s="52">
        <f t="shared" si="0"/>
        <v>0.5</v>
      </c>
      <c r="R26" s="7">
        <v>12.1</v>
      </c>
      <c r="S26" s="7">
        <v>122</v>
      </c>
      <c r="T26" s="16">
        <f t="shared" si="1"/>
        <v>27</v>
      </c>
      <c r="U26" s="7">
        <v>138</v>
      </c>
      <c r="V26" s="16">
        <f t="shared" si="2"/>
        <v>3726</v>
      </c>
      <c r="W26" s="7">
        <v>2</v>
      </c>
      <c r="X26" s="54" t="s">
        <v>39</v>
      </c>
      <c r="Y26" s="54" t="s">
        <v>84</v>
      </c>
      <c r="Z26" s="54" t="s">
        <v>50</v>
      </c>
      <c r="AA26" s="54" t="s">
        <v>90</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0.55000000000000004</v>
      </c>
      <c r="P27" s="7">
        <v>0.5</v>
      </c>
      <c r="Q27" s="52">
        <f t="shared" si="0"/>
        <v>0.52500000000000002</v>
      </c>
      <c r="R27" s="7">
        <v>12.7</v>
      </c>
      <c r="S27" s="7">
        <v>127</v>
      </c>
      <c r="T27" s="16">
        <f t="shared" si="1"/>
        <v>27</v>
      </c>
      <c r="U27" s="7">
        <v>138</v>
      </c>
      <c r="V27" s="16">
        <f t="shared" si="2"/>
        <v>3726</v>
      </c>
      <c r="W27" s="7">
        <v>2</v>
      </c>
      <c r="X27" s="54" t="s">
        <v>39</v>
      </c>
      <c r="Y27" s="54" t="s">
        <v>84</v>
      </c>
      <c r="Z27" s="54" t="s">
        <v>50</v>
      </c>
      <c r="AA27" s="54" t="s">
        <v>90</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0.5</v>
      </c>
      <c r="P28" s="7">
        <v>0.5</v>
      </c>
      <c r="Q28" s="52">
        <f t="shared" si="0"/>
        <v>0.5</v>
      </c>
      <c r="R28" s="7">
        <v>13.7</v>
      </c>
      <c r="S28" s="7">
        <v>120</v>
      </c>
      <c r="T28" s="16">
        <f t="shared" si="1"/>
        <v>30</v>
      </c>
      <c r="U28" s="7">
        <v>138</v>
      </c>
      <c r="V28" s="16">
        <f t="shared" si="2"/>
        <v>4140</v>
      </c>
      <c r="W28" s="7">
        <v>2</v>
      </c>
      <c r="X28" s="54" t="s">
        <v>39</v>
      </c>
      <c r="Y28" s="54" t="s">
        <v>84</v>
      </c>
      <c r="Z28" s="54" t="s">
        <v>50</v>
      </c>
      <c r="AA28" s="54" t="s">
        <v>90</v>
      </c>
      <c r="AB28" s="39" t="s">
        <v>158</v>
      </c>
      <c r="AP28" s="27"/>
      <c r="AR28" s="23"/>
    </row>
    <row r="29" spans="1:48" x14ac:dyDescent="0.15">
      <c r="A29" s="15" t="s">
        <v>156</v>
      </c>
      <c r="B29" s="15" t="s">
        <v>157</v>
      </c>
      <c r="C29" s="15">
        <v>2019</v>
      </c>
      <c r="D29" s="37" t="s">
        <v>165</v>
      </c>
      <c r="E29" s="7" t="s">
        <v>139</v>
      </c>
      <c r="F29" s="7" t="s">
        <v>145</v>
      </c>
      <c r="G29" s="7" t="s">
        <v>36</v>
      </c>
      <c r="H29" s="54" t="s">
        <v>164</v>
      </c>
      <c r="I29" s="7" t="s">
        <v>159</v>
      </c>
      <c r="J29" s="15" t="s">
        <v>38</v>
      </c>
      <c r="K29" s="7" t="s">
        <v>161</v>
      </c>
      <c r="L29" s="7">
        <v>1</v>
      </c>
      <c r="N29" s="53">
        <v>1</v>
      </c>
      <c r="O29" s="7">
        <v>0.5</v>
      </c>
      <c r="P29" s="7">
        <v>0.5</v>
      </c>
      <c r="Q29" s="52">
        <f t="shared" si="0"/>
        <v>0.5</v>
      </c>
      <c r="R29" s="7">
        <v>12.3</v>
      </c>
      <c r="S29" s="7">
        <v>110</v>
      </c>
      <c r="T29" s="16">
        <f t="shared" si="1"/>
        <v>33</v>
      </c>
      <c r="U29" s="7">
        <v>100</v>
      </c>
      <c r="V29" s="16">
        <f t="shared" si="2"/>
        <v>3300</v>
      </c>
      <c r="W29" s="7">
        <v>3</v>
      </c>
      <c r="X29" s="54" t="s">
        <v>46</v>
      </c>
      <c r="Y29" s="54" t="s">
        <v>84</v>
      </c>
      <c r="Z29" s="54" t="s">
        <v>50</v>
      </c>
      <c r="AA29" s="54" t="s">
        <v>90</v>
      </c>
      <c r="AB29" s="39" t="s">
        <v>158</v>
      </c>
      <c r="AP29" s="27"/>
      <c r="AR29" s="27"/>
      <c r="AV29" s="28"/>
    </row>
    <row r="30" spans="1:48" x14ac:dyDescent="0.15">
      <c r="A30" s="15" t="s">
        <v>156</v>
      </c>
      <c r="B30" s="15" t="s">
        <v>157</v>
      </c>
      <c r="C30" s="15">
        <v>2019</v>
      </c>
      <c r="D30" s="37" t="s">
        <v>165</v>
      </c>
      <c r="E30" s="7" t="s">
        <v>139</v>
      </c>
      <c r="F30" s="7" t="s">
        <v>145</v>
      </c>
      <c r="G30" s="7" t="s">
        <v>36</v>
      </c>
      <c r="H30" s="54" t="s">
        <v>164</v>
      </c>
      <c r="I30" s="53" t="s">
        <v>159</v>
      </c>
      <c r="J30" s="15" t="s">
        <v>38</v>
      </c>
      <c r="K30" s="7" t="s">
        <v>161</v>
      </c>
      <c r="L30" s="7">
        <v>2</v>
      </c>
      <c r="N30" s="7">
        <v>1</v>
      </c>
      <c r="O30" s="7">
        <v>0.65</v>
      </c>
      <c r="P30" s="7">
        <v>0.75</v>
      </c>
      <c r="Q30" s="52">
        <f t="shared" si="0"/>
        <v>0.7</v>
      </c>
      <c r="R30" s="7">
        <v>12.5</v>
      </c>
      <c r="S30" s="7">
        <v>114</v>
      </c>
      <c r="T30" s="16">
        <f t="shared" si="1"/>
        <v>30</v>
      </c>
      <c r="U30" s="7">
        <v>100</v>
      </c>
      <c r="V30" s="16">
        <f t="shared" si="2"/>
        <v>3000</v>
      </c>
      <c r="W30" s="7">
        <v>3</v>
      </c>
      <c r="X30" s="54" t="s">
        <v>46</v>
      </c>
      <c r="Y30" s="54" t="s">
        <v>84</v>
      </c>
      <c r="Z30" s="54" t="s">
        <v>50</v>
      </c>
      <c r="AA30" s="54" t="s">
        <v>90</v>
      </c>
      <c r="AB30" s="39" t="s">
        <v>158</v>
      </c>
      <c r="AP30" s="27"/>
      <c r="AR30" s="27"/>
    </row>
    <row r="31" spans="1:48" x14ac:dyDescent="0.15">
      <c r="A31" s="15" t="s">
        <v>156</v>
      </c>
      <c r="B31" s="15" t="s">
        <v>157</v>
      </c>
      <c r="C31" s="15">
        <v>2019</v>
      </c>
      <c r="D31" s="37" t="s">
        <v>165</v>
      </c>
      <c r="E31" s="7" t="s">
        <v>139</v>
      </c>
      <c r="F31" s="7" t="s">
        <v>145</v>
      </c>
      <c r="G31" s="7" t="s">
        <v>36</v>
      </c>
      <c r="H31" s="54" t="s">
        <v>164</v>
      </c>
      <c r="I31" s="53" t="s">
        <v>159</v>
      </c>
      <c r="J31" s="15" t="s">
        <v>38</v>
      </c>
      <c r="K31" s="7" t="s">
        <v>161</v>
      </c>
      <c r="L31" s="7">
        <v>3</v>
      </c>
      <c r="N31" s="7">
        <v>1</v>
      </c>
      <c r="O31" s="7">
        <v>0.85</v>
      </c>
      <c r="P31" s="7">
        <v>0.8</v>
      </c>
      <c r="Q31" s="52">
        <f t="shared" si="0"/>
        <v>0.82499999999999996</v>
      </c>
      <c r="R31" s="7">
        <v>13.6</v>
      </c>
      <c r="S31" s="7">
        <v>109</v>
      </c>
      <c r="T31" s="16">
        <f t="shared" si="1"/>
        <v>33</v>
      </c>
      <c r="U31" s="7">
        <v>100</v>
      </c>
      <c r="V31" s="16">
        <f t="shared" si="2"/>
        <v>3300</v>
      </c>
      <c r="W31" s="7">
        <v>3</v>
      </c>
      <c r="X31" s="54" t="s">
        <v>46</v>
      </c>
      <c r="Y31" s="54" t="s">
        <v>84</v>
      </c>
      <c r="Z31" s="54" t="s">
        <v>50</v>
      </c>
      <c r="AA31" s="54" t="s">
        <v>90</v>
      </c>
      <c r="AB31" s="39" t="s">
        <v>158</v>
      </c>
      <c r="AP31" s="27"/>
      <c r="AR31" s="27"/>
    </row>
    <row r="32" spans="1:48" x14ac:dyDescent="0.15">
      <c r="A32" s="15" t="s">
        <v>156</v>
      </c>
      <c r="B32" s="15" t="s">
        <v>157</v>
      </c>
      <c r="C32" s="15">
        <v>2019</v>
      </c>
      <c r="D32" s="37" t="s">
        <v>165</v>
      </c>
      <c r="E32" s="7" t="s">
        <v>139</v>
      </c>
      <c r="F32" s="7" t="s">
        <v>145</v>
      </c>
      <c r="G32" s="7" t="s">
        <v>36</v>
      </c>
      <c r="H32" s="15" t="s">
        <v>160</v>
      </c>
      <c r="I32" s="7" t="s">
        <v>159</v>
      </c>
      <c r="J32" s="15" t="s">
        <v>38</v>
      </c>
      <c r="K32" s="7" t="s">
        <v>54</v>
      </c>
      <c r="L32" s="7">
        <v>1</v>
      </c>
      <c r="N32" s="7">
        <v>1</v>
      </c>
      <c r="O32" s="7">
        <v>0.8</v>
      </c>
      <c r="P32" s="7">
        <v>0.8</v>
      </c>
      <c r="Q32" s="52">
        <f t="shared" si="0"/>
        <v>0.8</v>
      </c>
      <c r="R32" s="7">
        <v>16.8</v>
      </c>
      <c r="S32" s="7">
        <v>105</v>
      </c>
      <c r="T32" s="16">
        <f t="shared" si="1"/>
        <v>33</v>
      </c>
      <c r="U32" s="7">
        <v>100</v>
      </c>
      <c r="V32" s="16">
        <f t="shared" si="2"/>
        <v>3300</v>
      </c>
      <c r="W32" s="7">
        <v>1</v>
      </c>
      <c r="X32" s="54" t="s">
        <v>46</v>
      </c>
      <c r="Y32" s="54" t="s">
        <v>84</v>
      </c>
      <c r="Z32" s="54" t="s">
        <v>50</v>
      </c>
      <c r="AA32" s="54" t="s">
        <v>90</v>
      </c>
      <c r="AB32" s="39" t="s">
        <v>158</v>
      </c>
      <c r="AP32" s="28"/>
      <c r="AR32" s="28"/>
    </row>
    <row r="33" spans="1:44" x14ac:dyDescent="0.15">
      <c r="A33" s="15" t="s">
        <v>156</v>
      </c>
      <c r="B33" s="15" t="s">
        <v>157</v>
      </c>
      <c r="C33" s="15">
        <v>2019</v>
      </c>
      <c r="D33" s="37" t="s">
        <v>165</v>
      </c>
      <c r="E33" s="7" t="s">
        <v>139</v>
      </c>
      <c r="F33" s="7" t="s">
        <v>145</v>
      </c>
      <c r="G33" s="7" t="s">
        <v>36</v>
      </c>
      <c r="H33" s="54" t="s">
        <v>160</v>
      </c>
      <c r="I33" s="53" t="s">
        <v>159</v>
      </c>
      <c r="J33" s="54" t="s">
        <v>38</v>
      </c>
      <c r="K33" s="53" t="s">
        <v>54</v>
      </c>
      <c r="L33" s="7">
        <v>2</v>
      </c>
      <c r="N33" s="7">
        <v>1</v>
      </c>
      <c r="O33" s="7">
        <v>0.6</v>
      </c>
      <c r="P33" s="7">
        <v>0.6</v>
      </c>
      <c r="Q33" s="52">
        <f t="shared" si="0"/>
        <v>0.6</v>
      </c>
      <c r="R33" s="7">
        <v>13.4</v>
      </c>
      <c r="S33" s="7">
        <v>109</v>
      </c>
      <c r="T33" s="16">
        <f t="shared" si="1"/>
        <v>33</v>
      </c>
      <c r="U33" s="7">
        <v>100</v>
      </c>
      <c r="V33" s="16">
        <f t="shared" si="2"/>
        <v>3300</v>
      </c>
      <c r="W33" s="7">
        <v>1</v>
      </c>
      <c r="X33" s="54" t="s">
        <v>46</v>
      </c>
      <c r="Y33" s="54" t="s">
        <v>84</v>
      </c>
      <c r="Z33" s="54" t="s">
        <v>50</v>
      </c>
      <c r="AA33" s="54" t="s">
        <v>90</v>
      </c>
      <c r="AB33" s="39" t="s">
        <v>158</v>
      </c>
    </row>
    <row r="34" spans="1:44" x14ac:dyDescent="0.15">
      <c r="A34" s="15" t="s">
        <v>156</v>
      </c>
      <c r="B34" s="15" t="s">
        <v>157</v>
      </c>
      <c r="C34" s="15">
        <v>2019</v>
      </c>
      <c r="D34" s="37" t="s">
        <v>165</v>
      </c>
      <c r="E34" s="7" t="s">
        <v>139</v>
      </c>
      <c r="F34" s="7" t="s">
        <v>145</v>
      </c>
      <c r="G34" s="7" t="s">
        <v>36</v>
      </c>
      <c r="H34" s="54" t="s">
        <v>160</v>
      </c>
      <c r="I34" s="53" t="s">
        <v>159</v>
      </c>
      <c r="J34" s="54" t="s">
        <v>38</v>
      </c>
      <c r="K34" s="53" t="s">
        <v>54</v>
      </c>
      <c r="L34" s="7">
        <v>3</v>
      </c>
      <c r="N34" s="7">
        <v>1</v>
      </c>
      <c r="O34" s="7">
        <v>0.75</v>
      </c>
      <c r="P34" s="7">
        <v>0.9</v>
      </c>
      <c r="Q34" s="52">
        <f t="shared" si="0"/>
        <v>0.82499999999999996</v>
      </c>
      <c r="R34" s="7">
        <v>15.6</v>
      </c>
      <c r="S34" s="7">
        <v>108</v>
      </c>
      <c r="T34" s="16">
        <f t="shared" si="1"/>
        <v>33</v>
      </c>
      <c r="U34" s="7">
        <v>100</v>
      </c>
      <c r="V34" s="16">
        <f t="shared" si="2"/>
        <v>3300</v>
      </c>
      <c r="W34" s="7">
        <v>1</v>
      </c>
      <c r="X34" s="54" t="s">
        <v>46</v>
      </c>
      <c r="Y34" s="54" t="s">
        <v>84</v>
      </c>
      <c r="Z34" s="54" t="s">
        <v>50</v>
      </c>
      <c r="AA34" s="54" t="s">
        <v>90</v>
      </c>
      <c r="AB34" s="39" t="s">
        <v>158</v>
      </c>
    </row>
    <row r="35" spans="1:44" x14ac:dyDescent="0.15">
      <c r="A35" s="15" t="s">
        <v>156</v>
      </c>
      <c r="B35" s="15" t="s">
        <v>157</v>
      </c>
      <c r="C35" s="15">
        <v>2019</v>
      </c>
      <c r="D35" s="37" t="s">
        <v>165</v>
      </c>
      <c r="E35" s="7" t="s">
        <v>139</v>
      </c>
      <c r="F35" s="7" t="s">
        <v>145</v>
      </c>
      <c r="G35" s="7" t="s">
        <v>36</v>
      </c>
      <c r="H35" s="15" t="s">
        <v>128</v>
      </c>
      <c r="I35" s="7" t="s">
        <v>159</v>
      </c>
      <c r="J35" s="15" t="s">
        <v>58</v>
      </c>
      <c r="K35" s="7" t="s">
        <v>59</v>
      </c>
      <c r="L35" s="7">
        <v>1</v>
      </c>
      <c r="N35" s="7">
        <v>1</v>
      </c>
      <c r="O35" s="7">
        <v>0.6</v>
      </c>
      <c r="P35" s="7">
        <v>0.6</v>
      </c>
      <c r="Q35" s="52">
        <f t="shared" si="0"/>
        <v>0.6</v>
      </c>
      <c r="R35" s="7">
        <v>13.1</v>
      </c>
      <c r="S35" s="7">
        <v>99</v>
      </c>
      <c r="T35" s="16">
        <f t="shared" si="1"/>
        <v>33</v>
      </c>
      <c r="U35" s="7">
        <v>100</v>
      </c>
      <c r="V35" s="16">
        <f t="shared" si="2"/>
        <v>3300</v>
      </c>
      <c r="W35" s="7">
        <v>2</v>
      </c>
      <c r="X35" s="54" t="s">
        <v>46</v>
      </c>
      <c r="Y35" s="54" t="s">
        <v>84</v>
      </c>
      <c r="Z35" s="54" t="s">
        <v>50</v>
      </c>
      <c r="AA35" s="54" t="s">
        <v>90</v>
      </c>
      <c r="AB35" s="39" t="s">
        <v>158</v>
      </c>
      <c r="AP35" s="28"/>
      <c r="AR35" s="28"/>
    </row>
    <row r="36" spans="1:44" x14ac:dyDescent="0.15">
      <c r="A36" s="15" t="s">
        <v>156</v>
      </c>
      <c r="B36" s="15" t="s">
        <v>157</v>
      </c>
      <c r="C36" s="15">
        <v>2019</v>
      </c>
      <c r="D36" s="37" t="s">
        <v>165</v>
      </c>
      <c r="E36" s="7" t="s">
        <v>139</v>
      </c>
      <c r="F36" s="7" t="s">
        <v>145</v>
      </c>
      <c r="G36" s="7" t="s">
        <v>36</v>
      </c>
      <c r="H36" s="54" t="s">
        <v>128</v>
      </c>
      <c r="I36" s="7" t="s">
        <v>159</v>
      </c>
      <c r="J36" s="15" t="s">
        <v>58</v>
      </c>
      <c r="K36" s="7" t="s">
        <v>59</v>
      </c>
      <c r="L36" s="7">
        <v>2</v>
      </c>
      <c r="N36" s="7">
        <v>1</v>
      </c>
      <c r="O36" s="7">
        <v>0.5</v>
      </c>
      <c r="P36" s="7">
        <v>0.5</v>
      </c>
      <c r="Q36" s="52">
        <f t="shared" si="0"/>
        <v>0.5</v>
      </c>
      <c r="R36" s="7">
        <v>10.8</v>
      </c>
      <c r="S36" s="7">
        <v>100</v>
      </c>
      <c r="T36" s="16">
        <f t="shared" si="1"/>
        <v>33</v>
      </c>
      <c r="U36" s="7">
        <v>100</v>
      </c>
      <c r="V36" s="16">
        <f t="shared" si="2"/>
        <v>3300</v>
      </c>
      <c r="W36" s="7">
        <v>2</v>
      </c>
      <c r="X36" s="54" t="s">
        <v>46</v>
      </c>
      <c r="Y36" s="54" t="s">
        <v>84</v>
      </c>
      <c r="Z36" s="54" t="s">
        <v>50</v>
      </c>
      <c r="AA36" s="54" t="s">
        <v>90</v>
      </c>
      <c r="AB36" s="39" t="s">
        <v>158</v>
      </c>
    </row>
    <row r="37" spans="1:44" x14ac:dyDescent="0.15">
      <c r="A37" s="15" t="s">
        <v>156</v>
      </c>
      <c r="B37" s="15" t="s">
        <v>157</v>
      </c>
      <c r="C37" s="15">
        <v>2019</v>
      </c>
      <c r="D37" s="37" t="s">
        <v>165</v>
      </c>
      <c r="E37" s="7" t="s">
        <v>139</v>
      </c>
      <c r="F37" s="7" t="s">
        <v>145</v>
      </c>
      <c r="G37" s="7" t="s">
        <v>36</v>
      </c>
      <c r="H37" s="54" t="s">
        <v>128</v>
      </c>
      <c r="I37" s="7" t="s">
        <v>159</v>
      </c>
      <c r="J37" s="15" t="s">
        <v>58</v>
      </c>
      <c r="K37" s="7" t="s">
        <v>59</v>
      </c>
      <c r="L37" s="7">
        <v>3</v>
      </c>
      <c r="N37" s="7">
        <v>1</v>
      </c>
      <c r="O37" s="34">
        <v>0.5</v>
      </c>
      <c r="P37" s="34">
        <v>0.5</v>
      </c>
      <c r="Q37" s="52">
        <f t="shared" si="0"/>
        <v>0.5</v>
      </c>
      <c r="R37" s="7">
        <v>10.3</v>
      </c>
      <c r="S37" s="7">
        <v>99</v>
      </c>
      <c r="T37" s="16">
        <f t="shared" si="1"/>
        <v>33</v>
      </c>
      <c r="U37" s="7">
        <v>100</v>
      </c>
      <c r="V37" s="16">
        <f t="shared" si="2"/>
        <v>3300</v>
      </c>
      <c r="W37" s="7">
        <v>2</v>
      </c>
      <c r="X37" s="54" t="s">
        <v>46</v>
      </c>
      <c r="Y37" s="54" t="s">
        <v>84</v>
      </c>
      <c r="Z37" s="54" t="s">
        <v>50</v>
      </c>
      <c r="AA37" s="54" t="s">
        <v>90</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1.1499999999999999</v>
      </c>
      <c r="P38" s="34">
        <v>1.1499999999999999</v>
      </c>
      <c r="Q38" s="52">
        <f t="shared" si="0"/>
        <v>1.1499999999999999</v>
      </c>
      <c r="R38" s="7">
        <v>13.3</v>
      </c>
      <c r="S38" s="7">
        <v>121</v>
      </c>
      <c r="T38" s="16">
        <f t="shared" si="1"/>
        <v>27</v>
      </c>
      <c r="U38" s="7">
        <v>98</v>
      </c>
      <c r="V38" s="16">
        <f t="shared" si="2"/>
        <v>2646</v>
      </c>
      <c r="W38" s="7">
        <v>3</v>
      </c>
      <c r="X38" s="54" t="s">
        <v>39</v>
      </c>
      <c r="Y38" s="54" t="s">
        <v>84</v>
      </c>
      <c r="Z38" s="54" t="s">
        <v>90</v>
      </c>
      <c r="AA38" s="54" t="s">
        <v>50</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0.9</v>
      </c>
      <c r="P39" s="7">
        <v>0.85</v>
      </c>
      <c r="Q39" s="52">
        <f t="shared" si="0"/>
        <v>0.875</v>
      </c>
      <c r="R39" s="34">
        <v>12.5</v>
      </c>
      <c r="S39" s="7">
        <v>118</v>
      </c>
      <c r="T39" s="16">
        <f t="shared" si="1"/>
        <v>30</v>
      </c>
      <c r="U39" s="7">
        <v>98</v>
      </c>
      <c r="V39" s="16">
        <f t="shared" si="2"/>
        <v>2940</v>
      </c>
      <c r="W39" s="7">
        <v>3</v>
      </c>
      <c r="X39" s="54" t="s">
        <v>39</v>
      </c>
      <c r="Y39" s="54" t="s">
        <v>84</v>
      </c>
      <c r="Z39" s="54" t="s">
        <v>90</v>
      </c>
      <c r="AA39" s="54" t="s">
        <v>50</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0.75</v>
      </c>
      <c r="P40" s="7">
        <v>0.85</v>
      </c>
      <c r="Q40" s="52">
        <f t="shared" si="0"/>
        <v>0.8</v>
      </c>
      <c r="R40" s="7">
        <v>12.4</v>
      </c>
      <c r="S40" s="7">
        <v>117</v>
      </c>
      <c r="T40" s="16">
        <f t="shared" si="1"/>
        <v>30</v>
      </c>
      <c r="U40" s="7">
        <v>98</v>
      </c>
      <c r="V40" s="16">
        <f t="shared" si="2"/>
        <v>2940</v>
      </c>
      <c r="W40" s="7">
        <v>3</v>
      </c>
      <c r="X40" s="54" t="s">
        <v>39</v>
      </c>
      <c r="Y40" s="54" t="s">
        <v>84</v>
      </c>
      <c r="Z40" s="54" t="s">
        <v>90</v>
      </c>
      <c r="AA40" s="54" t="s">
        <v>50</v>
      </c>
      <c r="AB40" s="39" t="s">
        <v>158</v>
      </c>
    </row>
    <row r="41" spans="1:44" ht="12.75" customHeight="1" x14ac:dyDescent="0.15">
      <c r="A41" s="15" t="s">
        <v>156</v>
      </c>
      <c r="B41" s="15" t="s">
        <v>157</v>
      </c>
      <c r="C41" s="15">
        <v>2019</v>
      </c>
      <c r="D41" s="37" t="s">
        <v>165</v>
      </c>
      <c r="E41" s="7" t="s">
        <v>130</v>
      </c>
      <c r="F41" s="7" t="s">
        <v>146</v>
      </c>
      <c r="G41" s="7" t="s">
        <v>36</v>
      </c>
      <c r="H41" s="15" t="s">
        <v>164</v>
      </c>
      <c r="I41" s="7" t="s">
        <v>159</v>
      </c>
      <c r="J41" s="15" t="s">
        <v>38</v>
      </c>
      <c r="K41" s="7" t="s">
        <v>161</v>
      </c>
      <c r="L41" s="7">
        <v>1</v>
      </c>
      <c r="N41" s="7">
        <v>1</v>
      </c>
      <c r="O41" s="7">
        <v>0.7</v>
      </c>
      <c r="P41" s="7">
        <v>0.75</v>
      </c>
      <c r="Q41" s="52">
        <f t="shared" si="0"/>
        <v>0.72499999999999998</v>
      </c>
      <c r="R41" s="7">
        <v>16.2</v>
      </c>
      <c r="S41" s="7">
        <v>123</v>
      </c>
      <c r="T41" s="16">
        <f t="shared" si="1"/>
        <v>27</v>
      </c>
      <c r="U41" s="7">
        <v>79</v>
      </c>
      <c r="V41" s="16">
        <f t="shared" si="2"/>
        <v>2133</v>
      </c>
      <c r="W41" s="7">
        <v>9</v>
      </c>
      <c r="X41" s="54" t="s">
        <v>46</v>
      </c>
      <c r="Y41" s="54" t="s">
        <v>84</v>
      </c>
      <c r="Z41" s="54" t="s">
        <v>50</v>
      </c>
      <c r="AA41" s="54" t="s">
        <v>90</v>
      </c>
      <c r="AB41" s="39" t="s">
        <v>158</v>
      </c>
    </row>
    <row r="42" spans="1:44" x14ac:dyDescent="0.15">
      <c r="A42" s="15" t="s">
        <v>156</v>
      </c>
      <c r="B42" s="15" t="s">
        <v>157</v>
      </c>
      <c r="C42" s="15">
        <v>2019</v>
      </c>
      <c r="D42" s="37" t="s">
        <v>165</v>
      </c>
      <c r="E42" s="7" t="s">
        <v>130</v>
      </c>
      <c r="F42" s="7" t="s">
        <v>146</v>
      </c>
      <c r="G42" s="7" t="s">
        <v>36</v>
      </c>
      <c r="H42" s="54" t="s">
        <v>164</v>
      </c>
      <c r="I42" s="7" t="s">
        <v>159</v>
      </c>
      <c r="J42" s="15" t="s">
        <v>38</v>
      </c>
      <c r="K42" s="53" t="s">
        <v>161</v>
      </c>
      <c r="L42" s="7">
        <v>2</v>
      </c>
      <c r="N42" s="7">
        <v>1</v>
      </c>
      <c r="O42" s="7">
        <v>0.8</v>
      </c>
      <c r="P42" s="7">
        <v>0.75</v>
      </c>
      <c r="Q42" s="52">
        <f t="shared" si="0"/>
        <v>0.77500000000000002</v>
      </c>
      <c r="R42" s="7">
        <v>14.7</v>
      </c>
      <c r="S42" s="7">
        <v>124</v>
      </c>
      <c r="T42" s="16">
        <f t="shared" si="1"/>
        <v>27</v>
      </c>
      <c r="U42" s="7">
        <v>79</v>
      </c>
      <c r="V42" s="16">
        <f t="shared" si="2"/>
        <v>2133</v>
      </c>
      <c r="W42" s="7">
        <v>9</v>
      </c>
      <c r="X42" s="54" t="s">
        <v>46</v>
      </c>
      <c r="Y42" s="54" t="s">
        <v>84</v>
      </c>
      <c r="Z42" s="54" t="s">
        <v>50</v>
      </c>
      <c r="AA42" s="54" t="s">
        <v>90</v>
      </c>
      <c r="AB42" s="39" t="s">
        <v>158</v>
      </c>
    </row>
    <row r="43" spans="1:44" x14ac:dyDescent="0.15">
      <c r="A43" s="15" t="s">
        <v>156</v>
      </c>
      <c r="B43" s="15" t="s">
        <v>157</v>
      </c>
      <c r="C43" s="15">
        <v>2019</v>
      </c>
      <c r="D43" s="37" t="s">
        <v>165</v>
      </c>
      <c r="E43" s="7" t="s">
        <v>130</v>
      </c>
      <c r="F43" s="7" t="s">
        <v>146</v>
      </c>
      <c r="G43" s="7" t="s">
        <v>36</v>
      </c>
      <c r="H43" s="54" t="s">
        <v>164</v>
      </c>
      <c r="I43" s="7" t="s">
        <v>159</v>
      </c>
      <c r="J43" s="15" t="s">
        <v>38</v>
      </c>
      <c r="K43" s="53" t="s">
        <v>161</v>
      </c>
      <c r="L43" s="7">
        <v>3</v>
      </c>
      <c r="N43" s="7">
        <v>1</v>
      </c>
      <c r="O43" s="7">
        <v>0.9</v>
      </c>
      <c r="P43" s="7">
        <v>0.95</v>
      </c>
      <c r="Q43" s="52">
        <f t="shared" si="0"/>
        <v>0.92500000000000004</v>
      </c>
      <c r="R43" s="7">
        <v>11.9</v>
      </c>
      <c r="S43" s="7">
        <v>123</v>
      </c>
      <c r="T43" s="16">
        <f t="shared" si="1"/>
        <v>27</v>
      </c>
      <c r="U43" s="7">
        <v>79</v>
      </c>
      <c r="V43" s="16">
        <f t="shared" si="2"/>
        <v>2133</v>
      </c>
      <c r="W43" s="7">
        <v>9</v>
      </c>
      <c r="X43" s="54" t="s">
        <v>46</v>
      </c>
      <c r="Y43" s="54" t="s">
        <v>84</v>
      </c>
      <c r="Z43" s="54" t="s">
        <v>50</v>
      </c>
      <c r="AA43" s="54" t="s">
        <v>90</v>
      </c>
      <c r="AB43" s="39" t="s">
        <v>158</v>
      </c>
    </row>
    <row r="44" spans="1:44" x14ac:dyDescent="0.15">
      <c r="A44" s="15" t="s">
        <v>156</v>
      </c>
      <c r="B44" s="15" t="s">
        <v>157</v>
      </c>
      <c r="C44" s="15">
        <v>2019</v>
      </c>
      <c r="D44" s="37" t="s">
        <v>165</v>
      </c>
      <c r="E44" s="7" t="s">
        <v>130</v>
      </c>
      <c r="F44" s="7" t="s">
        <v>146</v>
      </c>
      <c r="G44" s="7" t="s">
        <v>36</v>
      </c>
      <c r="H44" s="15" t="s">
        <v>160</v>
      </c>
      <c r="I44" s="7" t="s">
        <v>159</v>
      </c>
      <c r="J44" s="15" t="s">
        <v>38</v>
      </c>
      <c r="K44" s="7" t="s">
        <v>54</v>
      </c>
      <c r="L44" s="7">
        <v>1</v>
      </c>
      <c r="N44" s="7">
        <v>4</v>
      </c>
      <c r="O44" s="7">
        <v>0.7</v>
      </c>
      <c r="P44" s="7">
        <v>0.6</v>
      </c>
      <c r="Q44" s="52">
        <f t="shared" si="0"/>
        <v>0.64999999999999991</v>
      </c>
      <c r="R44" s="7">
        <v>12.6</v>
      </c>
      <c r="S44" s="7">
        <v>85</v>
      </c>
      <c r="T44" s="16">
        <f t="shared" si="1"/>
        <v>36</v>
      </c>
      <c r="U44" s="7">
        <v>490</v>
      </c>
      <c r="V44" s="16">
        <f t="shared" si="2"/>
        <v>4410</v>
      </c>
      <c r="W44" s="7">
        <v>2</v>
      </c>
      <c r="X44" s="54" t="s">
        <v>46</v>
      </c>
      <c r="Y44" s="54" t="s">
        <v>84</v>
      </c>
      <c r="Z44" s="54" t="s">
        <v>50</v>
      </c>
      <c r="AA44" s="54" t="s">
        <v>90</v>
      </c>
      <c r="AB44" s="39" t="s">
        <v>158</v>
      </c>
    </row>
    <row r="45" spans="1:44" x14ac:dyDescent="0.15">
      <c r="A45" s="15" t="s">
        <v>156</v>
      </c>
      <c r="B45" s="15" t="s">
        <v>157</v>
      </c>
      <c r="C45" s="15">
        <v>2019</v>
      </c>
      <c r="D45" s="37" t="s">
        <v>165</v>
      </c>
      <c r="E45" s="7" t="s">
        <v>130</v>
      </c>
      <c r="F45" s="7" t="s">
        <v>146</v>
      </c>
      <c r="G45" s="7" t="s">
        <v>36</v>
      </c>
      <c r="H45" s="15" t="s">
        <v>160</v>
      </c>
      <c r="I45" s="7" t="s">
        <v>159</v>
      </c>
      <c r="J45" s="15" t="s">
        <v>38</v>
      </c>
      <c r="K45" s="7" t="s">
        <v>54</v>
      </c>
      <c r="L45" s="7">
        <v>2</v>
      </c>
      <c r="N45" s="7">
        <v>4</v>
      </c>
      <c r="O45" s="7">
        <v>0.8</v>
      </c>
      <c r="P45" s="7">
        <v>0.8</v>
      </c>
      <c r="Q45" s="52">
        <f t="shared" si="0"/>
        <v>0.8</v>
      </c>
      <c r="R45" s="7">
        <v>13.2</v>
      </c>
      <c r="S45" s="7">
        <v>86</v>
      </c>
      <c r="T45" s="16">
        <f t="shared" si="1"/>
        <v>36</v>
      </c>
      <c r="U45" s="7">
        <v>490</v>
      </c>
      <c r="V45" s="16">
        <f t="shared" si="2"/>
        <v>4410</v>
      </c>
      <c r="W45" s="7">
        <v>2</v>
      </c>
      <c r="X45" s="54" t="s">
        <v>46</v>
      </c>
      <c r="Y45" s="54" t="s">
        <v>84</v>
      </c>
      <c r="Z45" s="54" t="s">
        <v>50</v>
      </c>
      <c r="AA45" s="54" t="s">
        <v>90</v>
      </c>
      <c r="AB45" s="39" t="s">
        <v>158</v>
      </c>
    </row>
    <row r="46" spans="1:44" x14ac:dyDescent="0.15">
      <c r="A46" s="15" t="s">
        <v>156</v>
      </c>
      <c r="B46" s="15" t="s">
        <v>157</v>
      </c>
      <c r="C46" s="15">
        <v>2019</v>
      </c>
      <c r="D46" s="37" t="s">
        <v>165</v>
      </c>
      <c r="E46" s="7" t="s">
        <v>130</v>
      </c>
      <c r="F46" s="7" t="s">
        <v>146</v>
      </c>
      <c r="G46" s="7" t="s">
        <v>36</v>
      </c>
      <c r="H46" s="15" t="s">
        <v>160</v>
      </c>
      <c r="I46" s="7" t="s">
        <v>159</v>
      </c>
      <c r="J46" s="15" t="s">
        <v>38</v>
      </c>
      <c r="K46" s="7" t="s">
        <v>54</v>
      </c>
      <c r="L46" s="7">
        <v>3</v>
      </c>
      <c r="N46" s="7">
        <v>4</v>
      </c>
      <c r="O46" s="7">
        <v>0.8</v>
      </c>
      <c r="P46" s="34">
        <v>0.85</v>
      </c>
      <c r="Q46" s="52">
        <f t="shared" si="0"/>
        <v>0.82499999999999996</v>
      </c>
      <c r="R46" s="7">
        <v>13</v>
      </c>
      <c r="S46" s="7">
        <v>86</v>
      </c>
      <c r="T46" s="16">
        <f t="shared" si="1"/>
        <v>36</v>
      </c>
      <c r="U46" s="7">
        <v>490</v>
      </c>
      <c r="V46" s="16">
        <f t="shared" si="2"/>
        <v>4410</v>
      </c>
      <c r="W46" s="7">
        <v>2</v>
      </c>
      <c r="X46" s="54" t="s">
        <v>46</v>
      </c>
      <c r="Y46" s="54" t="s">
        <v>84</v>
      </c>
      <c r="Z46" s="54" t="s">
        <v>50</v>
      </c>
      <c r="AA46" s="54" t="s">
        <v>90</v>
      </c>
      <c r="AB46" s="39" t="s">
        <v>158</v>
      </c>
    </row>
    <row r="47" spans="1:44" x14ac:dyDescent="0.15">
      <c r="A47" s="15" t="s">
        <v>156</v>
      </c>
      <c r="B47" s="15" t="s">
        <v>157</v>
      </c>
      <c r="C47" s="15">
        <v>2019</v>
      </c>
      <c r="D47" s="37" t="s">
        <v>165</v>
      </c>
      <c r="E47" s="7" t="s">
        <v>132</v>
      </c>
      <c r="F47" s="7" t="s">
        <v>147</v>
      </c>
      <c r="G47" s="7" t="s">
        <v>36</v>
      </c>
      <c r="H47" s="15" t="s">
        <v>164</v>
      </c>
      <c r="I47" s="7" t="s">
        <v>159</v>
      </c>
      <c r="J47" s="15" t="s">
        <v>38</v>
      </c>
      <c r="K47" s="7" t="s">
        <v>161</v>
      </c>
      <c r="L47" s="7">
        <v>1</v>
      </c>
      <c r="N47" s="7">
        <v>1</v>
      </c>
      <c r="O47" s="7">
        <v>0.65</v>
      </c>
      <c r="P47" s="7">
        <v>0.6</v>
      </c>
      <c r="Q47" s="52">
        <f t="shared" si="0"/>
        <v>0.625</v>
      </c>
      <c r="R47" s="7">
        <v>16</v>
      </c>
      <c r="S47" s="7">
        <v>124</v>
      </c>
      <c r="T47" s="16">
        <f t="shared" si="1"/>
        <v>27</v>
      </c>
      <c r="U47" s="7">
        <v>108</v>
      </c>
      <c r="V47" s="16">
        <f t="shared" si="2"/>
        <v>2916</v>
      </c>
      <c r="W47" s="7">
        <v>4</v>
      </c>
      <c r="X47" s="15" t="s">
        <v>39</v>
      </c>
      <c r="Y47" s="54" t="s">
        <v>84</v>
      </c>
      <c r="Z47" s="54" t="s">
        <v>50</v>
      </c>
      <c r="AA47" s="54" t="s">
        <v>90</v>
      </c>
      <c r="AB47" s="39" t="s">
        <v>158</v>
      </c>
    </row>
    <row r="48" spans="1:44" x14ac:dyDescent="0.15">
      <c r="A48" s="15" t="s">
        <v>156</v>
      </c>
      <c r="B48" s="15" t="s">
        <v>157</v>
      </c>
      <c r="C48" s="15">
        <v>2019</v>
      </c>
      <c r="D48" s="37" t="s">
        <v>165</v>
      </c>
      <c r="E48" s="7" t="s">
        <v>132</v>
      </c>
      <c r="F48" s="7" t="s">
        <v>147</v>
      </c>
      <c r="G48" s="7" t="s">
        <v>36</v>
      </c>
      <c r="H48" s="54" t="s">
        <v>164</v>
      </c>
      <c r="I48" s="7" t="s">
        <v>159</v>
      </c>
      <c r="J48" s="15" t="s">
        <v>38</v>
      </c>
      <c r="K48" s="53" t="s">
        <v>161</v>
      </c>
      <c r="L48" s="7">
        <v>2</v>
      </c>
      <c r="N48" s="7">
        <v>1</v>
      </c>
      <c r="O48" s="7">
        <v>0.85</v>
      </c>
      <c r="P48" s="7">
        <v>0.85</v>
      </c>
      <c r="Q48" s="52">
        <f t="shared" si="0"/>
        <v>0.85</v>
      </c>
      <c r="R48" s="7">
        <v>13.3</v>
      </c>
      <c r="S48" s="7">
        <v>120</v>
      </c>
      <c r="T48" s="16">
        <f t="shared" si="1"/>
        <v>30</v>
      </c>
      <c r="U48" s="7">
        <v>108</v>
      </c>
      <c r="V48" s="16">
        <f t="shared" si="2"/>
        <v>3240</v>
      </c>
      <c r="W48" s="7">
        <v>4</v>
      </c>
      <c r="X48" s="54" t="s">
        <v>39</v>
      </c>
      <c r="Y48" s="54" t="s">
        <v>84</v>
      </c>
      <c r="Z48" s="54" t="s">
        <v>50</v>
      </c>
      <c r="AA48" s="54" t="s">
        <v>90</v>
      </c>
      <c r="AB48" s="39" t="s">
        <v>158</v>
      </c>
    </row>
    <row r="49" spans="1:29" x14ac:dyDescent="0.15">
      <c r="A49" s="15" t="s">
        <v>156</v>
      </c>
      <c r="B49" s="15" t="s">
        <v>157</v>
      </c>
      <c r="C49" s="15">
        <v>2019</v>
      </c>
      <c r="D49" s="37" t="s">
        <v>165</v>
      </c>
      <c r="E49" s="7" t="s">
        <v>132</v>
      </c>
      <c r="F49" s="7" t="s">
        <v>147</v>
      </c>
      <c r="G49" s="7" t="s">
        <v>36</v>
      </c>
      <c r="H49" s="54" t="s">
        <v>164</v>
      </c>
      <c r="I49" s="7" t="s">
        <v>159</v>
      </c>
      <c r="J49" s="15" t="s">
        <v>38</v>
      </c>
      <c r="K49" s="53" t="s">
        <v>161</v>
      </c>
      <c r="L49" s="7">
        <v>3</v>
      </c>
      <c r="N49" s="7">
        <v>1</v>
      </c>
      <c r="O49" s="7">
        <v>0.65</v>
      </c>
      <c r="P49" s="34">
        <v>0.7</v>
      </c>
      <c r="Q49" s="52">
        <f t="shared" si="0"/>
        <v>0.67500000000000004</v>
      </c>
      <c r="R49" s="7">
        <v>14.2</v>
      </c>
      <c r="S49" s="7">
        <v>119</v>
      </c>
      <c r="T49" s="16">
        <f t="shared" si="1"/>
        <v>30</v>
      </c>
      <c r="U49" s="7">
        <v>108</v>
      </c>
      <c r="V49" s="16">
        <f t="shared" si="2"/>
        <v>3240</v>
      </c>
      <c r="W49" s="7">
        <v>4</v>
      </c>
      <c r="X49" s="54" t="s">
        <v>39</v>
      </c>
      <c r="Y49" s="54" t="s">
        <v>84</v>
      </c>
      <c r="Z49" s="54" t="s">
        <v>50</v>
      </c>
      <c r="AA49" s="54" t="s">
        <v>90</v>
      </c>
      <c r="AB49" s="39" t="s">
        <v>158</v>
      </c>
    </row>
    <row r="50" spans="1:29" x14ac:dyDescent="0.15">
      <c r="A50" s="15" t="s">
        <v>156</v>
      </c>
      <c r="B50" s="15" t="s">
        <v>157</v>
      </c>
      <c r="C50" s="15">
        <v>2019</v>
      </c>
      <c r="D50" s="37" t="s">
        <v>165</v>
      </c>
      <c r="E50" s="7" t="s">
        <v>140</v>
      </c>
      <c r="F50" s="7" t="s">
        <v>148</v>
      </c>
      <c r="G50" s="7" t="s">
        <v>36</v>
      </c>
      <c r="H50" s="15" t="s">
        <v>164</v>
      </c>
      <c r="I50" s="7" t="s">
        <v>159</v>
      </c>
      <c r="J50" s="15" t="s">
        <v>38</v>
      </c>
      <c r="K50" s="7" t="s">
        <v>161</v>
      </c>
      <c r="L50" s="7">
        <v>1</v>
      </c>
      <c r="N50" s="7">
        <v>1</v>
      </c>
      <c r="O50" s="7">
        <v>0.5</v>
      </c>
      <c r="P50" s="7">
        <v>0.5</v>
      </c>
      <c r="Q50" s="52">
        <f t="shared" si="0"/>
        <v>0.5</v>
      </c>
      <c r="R50" s="7">
        <v>15.9</v>
      </c>
      <c r="S50" s="7">
        <v>87</v>
      </c>
      <c r="T50" s="16">
        <f t="shared" si="1"/>
        <v>36</v>
      </c>
      <c r="U50" s="7">
        <v>59</v>
      </c>
      <c r="V50" s="16">
        <f t="shared" si="2"/>
        <v>2124</v>
      </c>
      <c r="W50" s="7">
        <v>8</v>
      </c>
      <c r="X50" s="15" t="s">
        <v>46</v>
      </c>
      <c r="Y50" s="54" t="s">
        <v>84</v>
      </c>
      <c r="Z50" s="54" t="s">
        <v>90</v>
      </c>
      <c r="AA50" s="54" t="s">
        <v>69</v>
      </c>
      <c r="AB50" s="39" t="s">
        <v>158</v>
      </c>
    </row>
    <row r="51" spans="1:29" x14ac:dyDescent="0.15">
      <c r="A51" s="15" t="s">
        <v>156</v>
      </c>
      <c r="B51" s="15" t="s">
        <v>157</v>
      </c>
      <c r="C51" s="15">
        <v>2019</v>
      </c>
      <c r="D51" s="37" t="s">
        <v>165</v>
      </c>
      <c r="E51" s="7" t="s">
        <v>140</v>
      </c>
      <c r="F51" s="7" t="s">
        <v>148</v>
      </c>
      <c r="G51" s="7" t="s">
        <v>36</v>
      </c>
      <c r="H51" s="15" t="s">
        <v>164</v>
      </c>
      <c r="I51" s="7" t="s">
        <v>159</v>
      </c>
      <c r="J51" s="15" t="s">
        <v>38</v>
      </c>
      <c r="K51" s="7" t="s">
        <v>161</v>
      </c>
      <c r="L51" s="7">
        <v>2</v>
      </c>
      <c r="N51" s="7">
        <v>1</v>
      </c>
      <c r="O51" s="7">
        <v>0.5</v>
      </c>
      <c r="P51" s="7">
        <v>0.5</v>
      </c>
      <c r="Q51" s="52">
        <f t="shared" si="0"/>
        <v>0.5</v>
      </c>
      <c r="R51" s="7">
        <v>12.4</v>
      </c>
      <c r="S51" s="7">
        <v>92</v>
      </c>
      <c r="T51" s="16">
        <f t="shared" si="1"/>
        <v>36</v>
      </c>
      <c r="U51" s="7">
        <v>59</v>
      </c>
      <c r="V51" s="16">
        <f t="shared" si="2"/>
        <v>2124</v>
      </c>
      <c r="W51" s="7">
        <v>8</v>
      </c>
      <c r="X51" s="54" t="s">
        <v>46</v>
      </c>
      <c r="Y51" s="54" t="s">
        <v>84</v>
      </c>
      <c r="Z51" s="54" t="s">
        <v>90</v>
      </c>
      <c r="AA51" s="54" t="s">
        <v>69</v>
      </c>
      <c r="AB51" s="39" t="s">
        <v>158</v>
      </c>
    </row>
    <row r="52" spans="1:29" x14ac:dyDescent="0.15">
      <c r="A52" s="15" t="s">
        <v>156</v>
      </c>
      <c r="B52" s="15" t="s">
        <v>157</v>
      </c>
      <c r="C52" s="15">
        <v>2019</v>
      </c>
      <c r="D52" s="37" t="s">
        <v>165</v>
      </c>
      <c r="E52" s="7" t="s">
        <v>140</v>
      </c>
      <c r="F52" s="7" t="s">
        <v>148</v>
      </c>
      <c r="G52" s="7" t="s">
        <v>36</v>
      </c>
      <c r="H52" s="15" t="s">
        <v>164</v>
      </c>
      <c r="I52" s="7" t="s">
        <v>159</v>
      </c>
      <c r="J52" s="15" t="s">
        <v>38</v>
      </c>
      <c r="K52" s="7" t="s">
        <v>161</v>
      </c>
      <c r="L52" s="7">
        <v>3</v>
      </c>
      <c r="N52" s="7">
        <v>1</v>
      </c>
      <c r="O52" s="7">
        <v>0.5</v>
      </c>
      <c r="P52" s="7">
        <v>0.5</v>
      </c>
      <c r="Q52" s="52">
        <f t="shared" si="0"/>
        <v>0.5</v>
      </c>
      <c r="R52" s="7">
        <v>12.4</v>
      </c>
      <c r="S52" s="7">
        <v>89</v>
      </c>
      <c r="T52" s="16">
        <f t="shared" si="1"/>
        <v>36</v>
      </c>
      <c r="U52" s="7">
        <v>59</v>
      </c>
      <c r="V52" s="16">
        <f t="shared" si="2"/>
        <v>2124</v>
      </c>
      <c r="W52" s="7">
        <v>8</v>
      </c>
      <c r="X52" s="54" t="s">
        <v>46</v>
      </c>
      <c r="Y52" s="54" t="s">
        <v>84</v>
      </c>
      <c r="Z52" s="54" t="s">
        <v>90</v>
      </c>
      <c r="AA52" s="54" t="s">
        <v>69</v>
      </c>
      <c r="AB52" s="39" t="s">
        <v>158</v>
      </c>
    </row>
    <row r="53" spans="1:29" x14ac:dyDescent="0.15">
      <c r="A53" s="15" t="s">
        <v>156</v>
      </c>
      <c r="B53" s="15" t="s">
        <v>157</v>
      </c>
      <c r="C53" s="15">
        <v>2019</v>
      </c>
      <c r="D53" s="37" t="s">
        <v>165</v>
      </c>
      <c r="E53" s="7" t="s">
        <v>140</v>
      </c>
      <c r="F53" s="7" t="s">
        <v>148</v>
      </c>
      <c r="G53" s="7" t="s">
        <v>36</v>
      </c>
      <c r="H53" s="15" t="s">
        <v>160</v>
      </c>
      <c r="I53" s="7" t="s">
        <v>159</v>
      </c>
      <c r="J53" s="15" t="s">
        <v>38</v>
      </c>
      <c r="K53" s="7" t="s">
        <v>54</v>
      </c>
      <c r="L53" s="7">
        <v>1</v>
      </c>
      <c r="N53" s="7">
        <v>1</v>
      </c>
      <c r="O53" s="7">
        <v>1.05</v>
      </c>
      <c r="P53" s="7">
        <v>1</v>
      </c>
      <c r="Q53" s="52">
        <f t="shared" si="0"/>
        <v>1.0249999999999999</v>
      </c>
      <c r="R53" s="7">
        <v>15</v>
      </c>
      <c r="S53" s="7">
        <v>150</v>
      </c>
      <c r="T53" s="16">
        <f t="shared" si="1"/>
        <v>22</v>
      </c>
      <c r="U53" s="7">
        <v>213</v>
      </c>
      <c r="V53" s="16">
        <f t="shared" si="2"/>
        <v>4686</v>
      </c>
      <c r="W53" s="7">
        <v>4</v>
      </c>
      <c r="X53" s="54" t="s">
        <v>46</v>
      </c>
      <c r="Y53" s="54" t="s">
        <v>84</v>
      </c>
      <c r="Z53" s="54" t="s">
        <v>90</v>
      </c>
      <c r="AA53" s="54" t="s">
        <v>69</v>
      </c>
      <c r="AB53" s="39" t="s">
        <v>158</v>
      </c>
      <c r="AC53" s="36"/>
    </row>
    <row r="54" spans="1:29" x14ac:dyDescent="0.15">
      <c r="A54" s="15" t="s">
        <v>156</v>
      </c>
      <c r="B54" s="15" t="s">
        <v>157</v>
      </c>
      <c r="C54" s="15">
        <v>2019</v>
      </c>
      <c r="D54" s="37" t="s">
        <v>165</v>
      </c>
      <c r="E54" s="7" t="s">
        <v>140</v>
      </c>
      <c r="F54" s="7" t="s">
        <v>148</v>
      </c>
      <c r="G54" s="7" t="s">
        <v>36</v>
      </c>
      <c r="H54" s="15" t="s">
        <v>160</v>
      </c>
      <c r="I54" s="7" t="s">
        <v>159</v>
      </c>
      <c r="J54" s="15" t="s">
        <v>38</v>
      </c>
      <c r="K54" s="53" t="s">
        <v>54</v>
      </c>
      <c r="L54" s="7">
        <v>2</v>
      </c>
      <c r="N54" s="7">
        <v>1</v>
      </c>
      <c r="O54" s="7">
        <v>0.9</v>
      </c>
      <c r="P54" s="7">
        <v>0.95</v>
      </c>
      <c r="Q54" s="52">
        <f t="shared" si="0"/>
        <v>0.92500000000000004</v>
      </c>
      <c r="R54" s="7">
        <v>13.2</v>
      </c>
      <c r="S54" s="7">
        <v>146</v>
      </c>
      <c r="T54" s="16">
        <f t="shared" si="1"/>
        <v>22</v>
      </c>
      <c r="U54" s="7">
        <v>213</v>
      </c>
      <c r="V54" s="16">
        <f t="shared" si="2"/>
        <v>4686</v>
      </c>
      <c r="W54" s="7">
        <v>4</v>
      </c>
      <c r="X54" s="54" t="s">
        <v>46</v>
      </c>
      <c r="Y54" s="54" t="s">
        <v>84</v>
      </c>
      <c r="Z54" s="54" t="s">
        <v>90</v>
      </c>
      <c r="AA54" s="54" t="s">
        <v>69</v>
      </c>
      <c r="AB54" s="39" t="s">
        <v>158</v>
      </c>
      <c r="AC54" s="36"/>
    </row>
    <row r="55" spans="1:29" x14ac:dyDescent="0.15">
      <c r="A55" s="15" t="s">
        <v>156</v>
      </c>
      <c r="B55" s="15" t="s">
        <v>157</v>
      </c>
      <c r="C55" s="15">
        <v>2019</v>
      </c>
      <c r="D55" s="37" t="s">
        <v>165</v>
      </c>
      <c r="E55" s="7" t="s">
        <v>140</v>
      </c>
      <c r="F55" s="7" t="s">
        <v>148</v>
      </c>
      <c r="G55" s="7" t="s">
        <v>36</v>
      </c>
      <c r="H55" s="15" t="s">
        <v>160</v>
      </c>
      <c r="I55" s="7" t="s">
        <v>159</v>
      </c>
      <c r="J55" s="15" t="s">
        <v>38</v>
      </c>
      <c r="K55" s="53" t="s">
        <v>54</v>
      </c>
      <c r="L55" s="7">
        <v>3</v>
      </c>
      <c r="N55" s="7">
        <v>1</v>
      </c>
      <c r="O55" s="7">
        <v>0.7</v>
      </c>
      <c r="P55" s="7">
        <v>0.85</v>
      </c>
      <c r="Q55" s="52">
        <f t="shared" si="0"/>
        <v>0.77499999999999991</v>
      </c>
      <c r="R55" s="7">
        <v>15.4</v>
      </c>
      <c r="S55" s="7">
        <v>146</v>
      </c>
      <c r="T55" s="16">
        <f t="shared" si="1"/>
        <v>22</v>
      </c>
      <c r="U55" s="7">
        <v>213</v>
      </c>
      <c r="V55" s="16">
        <f t="shared" si="2"/>
        <v>4686</v>
      </c>
      <c r="W55" s="7">
        <v>4</v>
      </c>
      <c r="X55" s="54" t="s">
        <v>46</v>
      </c>
      <c r="Y55" s="54" t="s">
        <v>84</v>
      </c>
      <c r="Z55" s="54" t="s">
        <v>90</v>
      </c>
      <c r="AA55" s="54" t="s">
        <v>69</v>
      </c>
      <c r="AB55" s="39" t="s">
        <v>158</v>
      </c>
      <c r="AC55" s="36"/>
    </row>
    <row r="56" spans="1:29" x14ac:dyDescent="0.15">
      <c r="A56" s="15"/>
      <c r="B56" s="15"/>
      <c r="C56" s="15"/>
      <c r="D56" s="37"/>
      <c r="H56" s="15"/>
      <c r="J56" s="15"/>
      <c r="Q56" s="52" t="str">
        <f t="shared" si="0"/>
        <v/>
      </c>
      <c r="T56" s="16" t="str">
        <f t="shared" si="1"/>
        <v/>
      </c>
      <c r="V56" s="16" t="str">
        <f t="shared" si="2"/>
        <v/>
      </c>
      <c r="X56" s="15"/>
      <c r="Y56" s="54"/>
      <c r="Z56" s="54"/>
      <c r="AA56" s="54"/>
      <c r="AB56" s="39"/>
    </row>
    <row r="57" spans="1:29" x14ac:dyDescent="0.15">
      <c r="A57" s="15"/>
      <c r="B57" s="15"/>
      <c r="C57" s="15"/>
      <c r="D57" s="37"/>
      <c r="H57" s="54"/>
      <c r="J57" s="15"/>
      <c r="Q57" s="52" t="str">
        <f t="shared" si="0"/>
        <v/>
      </c>
      <c r="T57" s="16" t="str">
        <f t="shared" si="1"/>
        <v/>
      </c>
      <c r="V57" s="16" t="str">
        <f t="shared" si="2"/>
        <v/>
      </c>
      <c r="X57" s="15"/>
      <c r="Y57" s="54"/>
      <c r="Z57" s="54"/>
      <c r="AA57" s="54"/>
      <c r="AB57" s="39"/>
    </row>
    <row r="58" spans="1:29" x14ac:dyDescent="0.15">
      <c r="A58" s="15"/>
      <c r="B58" s="15"/>
      <c r="C58" s="15"/>
      <c r="D58" s="37"/>
      <c r="H58" s="54"/>
      <c r="J58" s="15"/>
      <c r="Q58" s="52" t="str">
        <f t="shared" si="0"/>
        <v/>
      </c>
      <c r="T58" s="16" t="str">
        <f t="shared" si="1"/>
        <v/>
      </c>
      <c r="V58" s="16" t="str">
        <f t="shared" si="2"/>
        <v/>
      </c>
      <c r="X58" s="15"/>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0FCBD-4DCC-4C98-BBBA-60B354D072CC}">
  <dimension ref="A1:BA321"/>
  <sheetViews>
    <sheetView topLeftCell="A31" zoomScale="70" zoomScaleNormal="70" workbookViewId="0">
      <selection activeCell="AE67" sqref="AE67"/>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0.65</v>
      </c>
      <c r="P2" s="53">
        <v>0.7</v>
      </c>
      <c r="Q2" s="16">
        <f t="shared" ref="Q2:Q13" si="0">IF(OR(O2="",P2=""),"",AVERAGE(O2,P2))</f>
        <v>0.67500000000000004</v>
      </c>
      <c r="R2" s="53">
        <v>11.2</v>
      </c>
      <c r="S2" s="53">
        <v>127</v>
      </c>
      <c r="T2" s="16">
        <f t="shared" ref="T2:T65" si="1">IF(H2="","",IF(OR(H2="GREEN",H2="GK"),IF(S2&gt;=$AX$2,VLOOKUP(S2,$AX$2:$AY$10,2,1),""),IF(S2&gt;=$AZ$2,VLOOKUP(S2,$AZ$2:$BA$10,2,1),"")))</f>
        <v>27</v>
      </c>
      <c r="U2" s="53">
        <v>105</v>
      </c>
      <c r="V2" s="16">
        <f t="shared" ref="V2:V61" si="2">IF(OR(N2="",U2="",T2=""),"",U2/N2*T2)</f>
        <v>2835</v>
      </c>
      <c r="W2" s="53">
        <v>2</v>
      </c>
      <c r="X2" s="53" t="s">
        <v>46</v>
      </c>
      <c r="Y2" s="53" t="s">
        <v>84</v>
      </c>
      <c r="Z2" s="53" t="s">
        <v>90</v>
      </c>
      <c r="AA2" s="53" t="s">
        <v>69</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0.5</v>
      </c>
      <c r="P3" s="53">
        <v>0.65</v>
      </c>
      <c r="Q3" s="16">
        <f t="shared" si="0"/>
        <v>0.57499999999999996</v>
      </c>
      <c r="R3" s="53">
        <v>10.3</v>
      </c>
      <c r="S3" s="53">
        <v>129</v>
      </c>
      <c r="T3" s="16">
        <f t="shared" si="1"/>
        <v>25</v>
      </c>
      <c r="U3" s="53">
        <v>105</v>
      </c>
      <c r="V3" s="16">
        <f t="shared" si="2"/>
        <v>2625</v>
      </c>
      <c r="W3" s="53">
        <v>2</v>
      </c>
      <c r="X3" s="53" t="s">
        <v>46</v>
      </c>
      <c r="Y3" s="53" t="s">
        <v>84</v>
      </c>
      <c r="Z3" s="53" t="s">
        <v>90</v>
      </c>
      <c r="AA3" s="53" t="s">
        <v>69</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0.65</v>
      </c>
      <c r="P4" s="53">
        <v>0.5</v>
      </c>
      <c r="Q4" s="16">
        <f t="shared" si="0"/>
        <v>0.57499999999999996</v>
      </c>
      <c r="R4" s="53">
        <v>13.4</v>
      </c>
      <c r="S4" s="53">
        <v>128</v>
      </c>
      <c r="T4" s="16">
        <f t="shared" si="1"/>
        <v>27</v>
      </c>
      <c r="U4" s="53">
        <v>105</v>
      </c>
      <c r="V4" s="16">
        <f t="shared" si="2"/>
        <v>2835</v>
      </c>
      <c r="W4" s="53">
        <v>2</v>
      </c>
      <c r="X4" s="53" t="s">
        <v>46</v>
      </c>
      <c r="Y4" s="53" t="s">
        <v>84</v>
      </c>
      <c r="Z4" s="53" t="s">
        <v>90</v>
      </c>
      <c r="AA4" s="53" t="s">
        <v>69</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6</v>
      </c>
      <c r="O5" s="53">
        <v>0.8</v>
      </c>
      <c r="P5" s="53">
        <v>0.8</v>
      </c>
      <c r="Q5" s="72">
        <f t="shared" si="0"/>
        <v>0.8</v>
      </c>
      <c r="R5" s="53">
        <v>13.8</v>
      </c>
      <c r="S5" s="53">
        <v>114</v>
      </c>
      <c r="T5" s="16">
        <f t="shared" si="1"/>
        <v>30</v>
      </c>
      <c r="U5" s="53">
        <v>646</v>
      </c>
      <c r="V5" s="16">
        <f t="shared" si="2"/>
        <v>3230</v>
      </c>
      <c r="W5" s="53">
        <v>1</v>
      </c>
      <c r="X5" s="53" t="s">
        <v>46</v>
      </c>
      <c r="Y5" s="53" t="s">
        <v>84</v>
      </c>
      <c r="Z5" s="53" t="s">
        <v>90</v>
      </c>
      <c r="AA5" s="53" t="s">
        <v>69</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6</v>
      </c>
      <c r="O6" s="53">
        <v>0.95</v>
      </c>
      <c r="P6" s="53">
        <v>0.9</v>
      </c>
      <c r="Q6" s="72">
        <f t="shared" si="0"/>
        <v>0.92500000000000004</v>
      </c>
      <c r="R6" s="53">
        <v>12.4</v>
      </c>
      <c r="S6" s="53">
        <v>112</v>
      </c>
      <c r="T6" s="16">
        <f t="shared" si="1"/>
        <v>33</v>
      </c>
      <c r="U6" s="53">
        <v>646</v>
      </c>
      <c r="V6" s="16">
        <f t="shared" si="2"/>
        <v>3553</v>
      </c>
      <c r="W6" s="53">
        <v>1</v>
      </c>
      <c r="X6" s="53" t="s">
        <v>46</v>
      </c>
      <c r="Y6" s="53" t="s">
        <v>84</v>
      </c>
      <c r="Z6" s="53" t="s">
        <v>90</v>
      </c>
      <c r="AA6" s="53" t="s">
        <v>69</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6</v>
      </c>
      <c r="O7" s="53">
        <v>0.7</v>
      </c>
      <c r="P7" s="53">
        <v>0.65</v>
      </c>
      <c r="Q7" s="72">
        <f t="shared" si="0"/>
        <v>0.67500000000000004</v>
      </c>
      <c r="R7" s="53">
        <v>11.7</v>
      </c>
      <c r="S7" s="53">
        <v>112</v>
      </c>
      <c r="T7" s="16">
        <f t="shared" si="1"/>
        <v>33</v>
      </c>
      <c r="U7" s="53">
        <v>646</v>
      </c>
      <c r="V7" s="16">
        <f t="shared" si="2"/>
        <v>3553</v>
      </c>
      <c r="W7" s="53">
        <v>1</v>
      </c>
      <c r="X7" s="53" t="s">
        <v>46</v>
      </c>
      <c r="Y7" s="53" t="s">
        <v>84</v>
      </c>
      <c r="Z7" s="53" t="s">
        <v>90</v>
      </c>
      <c r="AA7" s="53" t="s">
        <v>69</v>
      </c>
      <c r="AB7" s="53" t="s">
        <v>158</v>
      </c>
      <c r="AE7" s="22" t="s">
        <v>61</v>
      </c>
      <c r="AG7" s="71" t="s">
        <v>199</v>
      </c>
      <c r="AH7" s="71" t="s">
        <v>196</v>
      </c>
      <c r="AL7" s="53"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187</v>
      </c>
      <c r="I8" s="53" t="s">
        <v>159</v>
      </c>
      <c r="J8" s="53" t="s">
        <v>80</v>
      </c>
      <c r="K8" s="53" t="s">
        <v>45</v>
      </c>
      <c r="L8" s="53">
        <v>1</v>
      </c>
      <c r="N8" s="53">
        <v>1</v>
      </c>
      <c r="O8" s="53">
        <v>0.4</v>
      </c>
      <c r="P8" s="53">
        <v>0.7</v>
      </c>
      <c r="Q8" s="74">
        <f t="shared" si="0"/>
        <v>0.55000000000000004</v>
      </c>
      <c r="R8" s="53">
        <v>14.1</v>
      </c>
      <c r="S8" s="53">
        <v>124</v>
      </c>
      <c r="T8" s="16">
        <f t="shared" si="1"/>
        <v>27</v>
      </c>
      <c r="U8" s="53">
        <v>149</v>
      </c>
      <c r="V8" s="16">
        <f t="shared" si="2"/>
        <v>4023</v>
      </c>
      <c r="W8" s="53">
        <v>2</v>
      </c>
      <c r="X8" s="53" t="s">
        <v>46</v>
      </c>
      <c r="Y8" s="53" t="s">
        <v>84</v>
      </c>
      <c r="Z8" s="53" t="s">
        <v>90</v>
      </c>
      <c r="AA8" s="53" t="s">
        <v>69</v>
      </c>
      <c r="AB8" s="53" t="s">
        <v>158</v>
      </c>
      <c r="AE8" s="22" t="s">
        <v>59</v>
      </c>
      <c r="AG8" s="71" t="s">
        <v>202</v>
      </c>
      <c r="AH8" s="71" t="s">
        <v>203</v>
      </c>
      <c r="AL8" s="53"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187</v>
      </c>
      <c r="I9" s="53" t="s">
        <v>159</v>
      </c>
      <c r="J9" s="53" t="s">
        <v>80</v>
      </c>
      <c r="K9" s="53" t="s">
        <v>45</v>
      </c>
      <c r="L9" s="53">
        <v>2</v>
      </c>
      <c r="M9" s="75"/>
      <c r="N9" s="53">
        <v>1</v>
      </c>
      <c r="O9" s="53">
        <v>0.5</v>
      </c>
      <c r="P9" s="53">
        <v>0.65</v>
      </c>
      <c r="Q9" s="74">
        <f t="shared" si="0"/>
        <v>0.57499999999999996</v>
      </c>
      <c r="R9" s="53">
        <v>13.5</v>
      </c>
      <c r="S9" s="53">
        <v>125</v>
      </c>
      <c r="T9" s="16">
        <f t="shared" si="1"/>
        <v>27</v>
      </c>
      <c r="U9" s="53">
        <v>149</v>
      </c>
      <c r="V9" s="16">
        <f t="shared" si="2"/>
        <v>4023</v>
      </c>
      <c r="W9" s="53">
        <v>2</v>
      </c>
      <c r="X9" s="53" t="s">
        <v>46</v>
      </c>
      <c r="Y9" s="53" t="s">
        <v>84</v>
      </c>
      <c r="Z9" s="53" t="s">
        <v>90</v>
      </c>
      <c r="AA9" s="53" t="s">
        <v>69</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187</v>
      </c>
      <c r="I10" s="53" t="s">
        <v>159</v>
      </c>
      <c r="J10" s="53" t="s">
        <v>80</v>
      </c>
      <c r="K10" s="53" t="s">
        <v>45</v>
      </c>
      <c r="L10" s="53">
        <v>3</v>
      </c>
      <c r="M10" s="75"/>
      <c r="N10" s="53">
        <v>1</v>
      </c>
      <c r="O10" s="53">
        <v>0.35</v>
      </c>
      <c r="P10" s="53">
        <v>0.5</v>
      </c>
      <c r="Q10" s="74">
        <f t="shared" si="0"/>
        <v>0.42499999999999999</v>
      </c>
      <c r="R10" s="53">
        <v>12.8</v>
      </c>
      <c r="S10" s="53">
        <v>122</v>
      </c>
      <c r="T10" s="16">
        <f t="shared" si="1"/>
        <v>27</v>
      </c>
      <c r="U10" s="53">
        <v>149</v>
      </c>
      <c r="V10" s="16">
        <f t="shared" si="2"/>
        <v>4023</v>
      </c>
      <c r="W10" s="53">
        <v>2</v>
      </c>
      <c r="X10" s="53" t="s">
        <v>46</v>
      </c>
      <c r="Y10" s="53" t="s">
        <v>84</v>
      </c>
      <c r="Z10" s="53" t="s">
        <v>90</v>
      </c>
      <c r="AA10" s="53" t="s">
        <v>69</v>
      </c>
      <c r="AB10" s="53" t="s">
        <v>158</v>
      </c>
      <c r="AE10" s="22" t="s">
        <v>208</v>
      </c>
      <c r="AG10" s="71" t="s">
        <v>202</v>
      </c>
      <c r="AH10" s="71" t="s">
        <v>209</v>
      </c>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186</v>
      </c>
      <c r="F11" s="53" t="s">
        <v>184</v>
      </c>
      <c r="G11" s="53" t="s">
        <v>42</v>
      </c>
      <c r="H11" s="53" t="s">
        <v>160</v>
      </c>
      <c r="I11" s="53" t="s">
        <v>159</v>
      </c>
      <c r="J11" s="53" t="s">
        <v>38</v>
      </c>
      <c r="K11" s="53" t="s">
        <v>54</v>
      </c>
      <c r="L11" s="53">
        <v>1</v>
      </c>
      <c r="M11" s="75"/>
      <c r="N11" s="53">
        <v>1</v>
      </c>
      <c r="O11" s="53">
        <v>0.25</v>
      </c>
      <c r="P11" s="53">
        <v>0.3</v>
      </c>
      <c r="Q11" s="72">
        <f t="shared" si="0"/>
        <v>0.27500000000000002</v>
      </c>
      <c r="R11" s="53">
        <v>14.2</v>
      </c>
      <c r="S11" s="53">
        <v>129</v>
      </c>
      <c r="T11" s="16">
        <f t="shared" si="1"/>
        <v>25</v>
      </c>
      <c r="U11" s="53">
        <v>181</v>
      </c>
      <c r="V11" s="16">
        <f t="shared" si="2"/>
        <v>4525</v>
      </c>
      <c r="W11" s="53">
        <v>1</v>
      </c>
      <c r="X11" s="53" t="s">
        <v>46</v>
      </c>
      <c r="Y11" s="53" t="s">
        <v>84</v>
      </c>
      <c r="Z11" s="53" t="s">
        <v>90</v>
      </c>
      <c r="AA11" s="53" t="s">
        <v>69</v>
      </c>
      <c r="AB11" s="53" t="s">
        <v>158</v>
      </c>
      <c r="AE11" s="22" t="s">
        <v>68</v>
      </c>
      <c r="AG11" s="71" t="s">
        <v>211</v>
      </c>
      <c r="AH11" s="71" t="s">
        <v>212</v>
      </c>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186</v>
      </c>
      <c r="F12" s="53" t="s">
        <v>184</v>
      </c>
      <c r="G12" s="53" t="s">
        <v>42</v>
      </c>
      <c r="H12" s="53" t="s">
        <v>160</v>
      </c>
      <c r="I12" s="53" t="s">
        <v>159</v>
      </c>
      <c r="J12" s="53" t="s">
        <v>38</v>
      </c>
      <c r="K12" s="53" t="s">
        <v>54</v>
      </c>
      <c r="L12" s="53">
        <v>2</v>
      </c>
      <c r="M12" s="75"/>
      <c r="N12" s="53">
        <v>1</v>
      </c>
      <c r="O12" s="53">
        <v>0.3</v>
      </c>
      <c r="P12" s="53">
        <v>0.25</v>
      </c>
      <c r="Q12" s="72">
        <f t="shared" si="0"/>
        <v>0.27500000000000002</v>
      </c>
      <c r="R12" s="53">
        <v>15.2</v>
      </c>
      <c r="S12" s="53">
        <v>130</v>
      </c>
      <c r="T12" s="16">
        <f t="shared" si="1"/>
        <v>25</v>
      </c>
      <c r="U12" s="53">
        <v>181</v>
      </c>
      <c r="V12" s="16">
        <f t="shared" si="2"/>
        <v>4525</v>
      </c>
      <c r="W12" s="53">
        <v>1</v>
      </c>
      <c r="X12" s="53" t="s">
        <v>46</v>
      </c>
      <c r="Y12" s="53" t="s">
        <v>84</v>
      </c>
      <c r="Z12" s="53" t="s">
        <v>90</v>
      </c>
      <c r="AA12" s="53" t="s">
        <v>69</v>
      </c>
      <c r="AB12" s="53" t="s">
        <v>158</v>
      </c>
      <c r="AE12" s="22" t="s">
        <v>214</v>
      </c>
      <c r="AG12" s="22"/>
      <c r="AH12" s="22"/>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186</v>
      </c>
      <c r="F13" s="53" t="s">
        <v>184</v>
      </c>
      <c r="G13" s="53" t="s">
        <v>42</v>
      </c>
      <c r="H13" s="53" t="s">
        <v>160</v>
      </c>
      <c r="I13" s="53" t="s">
        <v>159</v>
      </c>
      <c r="J13" s="53" t="s">
        <v>38</v>
      </c>
      <c r="K13" s="53" t="s">
        <v>54</v>
      </c>
      <c r="L13" s="53">
        <v>3</v>
      </c>
      <c r="M13" s="75"/>
      <c r="N13" s="53">
        <v>1</v>
      </c>
      <c r="O13" s="53">
        <v>0.25</v>
      </c>
      <c r="P13" s="53">
        <v>0.25</v>
      </c>
      <c r="Q13" s="72">
        <f t="shared" si="0"/>
        <v>0.25</v>
      </c>
      <c r="R13" s="53">
        <v>13.7</v>
      </c>
      <c r="S13" s="53">
        <v>131</v>
      </c>
      <c r="T13" s="16">
        <f t="shared" si="1"/>
        <v>25</v>
      </c>
      <c r="U13" s="53">
        <v>181</v>
      </c>
      <c r="V13" s="16">
        <f t="shared" si="2"/>
        <v>4525</v>
      </c>
      <c r="W13" s="53">
        <v>1</v>
      </c>
      <c r="X13" s="53" t="s">
        <v>46</v>
      </c>
      <c r="Y13" s="53" t="s">
        <v>84</v>
      </c>
      <c r="Z13" s="53" t="s">
        <v>90</v>
      </c>
      <c r="AA13" s="53" t="s">
        <v>69</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186</v>
      </c>
      <c r="F14" s="53" t="s">
        <v>184</v>
      </c>
      <c r="G14" s="53" t="s">
        <v>42</v>
      </c>
      <c r="H14" s="53" t="s">
        <v>187</v>
      </c>
      <c r="I14" s="53" t="s">
        <v>159</v>
      </c>
      <c r="J14" s="53" t="s">
        <v>58</v>
      </c>
      <c r="K14" s="53" t="s">
        <v>59</v>
      </c>
      <c r="L14" s="53">
        <v>1</v>
      </c>
      <c r="M14" s="75"/>
      <c r="N14" s="53">
        <v>5</v>
      </c>
      <c r="O14" s="53">
        <v>0.3</v>
      </c>
      <c r="P14" s="53">
        <v>0.45</v>
      </c>
      <c r="Q14" s="74">
        <v>0.55000000000000004</v>
      </c>
      <c r="R14" s="53">
        <v>14.2</v>
      </c>
      <c r="S14" s="53">
        <v>122</v>
      </c>
      <c r="T14" s="16">
        <f t="shared" si="1"/>
        <v>27</v>
      </c>
      <c r="U14" s="53">
        <v>429</v>
      </c>
      <c r="V14" s="16">
        <f t="shared" si="2"/>
        <v>2316.6</v>
      </c>
      <c r="W14" s="53">
        <v>1</v>
      </c>
      <c r="X14" s="53" t="s">
        <v>46</v>
      </c>
      <c r="Y14" s="53" t="s">
        <v>84</v>
      </c>
      <c r="Z14" s="53" t="s">
        <v>90</v>
      </c>
      <c r="AA14" s="53" t="s">
        <v>69</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186</v>
      </c>
      <c r="F15" s="53" t="s">
        <v>184</v>
      </c>
      <c r="G15" s="53" t="s">
        <v>42</v>
      </c>
      <c r="H15" s="53" t="s">
        <v>187</v>
      </c>
      <c r="I15" s="53" t="s">
        <v>159</v>
      </c>
      <c r="J15" s="53" t="s">
        <v>58</v>
      </c>
      <c r="K15" s="53" t="s">
        <v>59</v>
      </c>
      <c r="L15" s="53">
        <v>2</v>
      </c>
      <c r="M15" s="75"/>
      <c r="N15" s="53">
        <v>5</v>
      </c>
      <c r="O15" s="53">
        <v>0.45</v>
      </c>
      <c r="P15" s="53">
        <v>0.45</v>
      </c>
      <c r="Q15" s="74">
        <v>0.65</v>
      </c>
      <c r="R15" s="53">
        <v>11.6</v>
      </c>
      <c r="S15" s="53">
        <v>121</v>
      </c>
      <c r="T15" s="16">
        <f t="shared" si="1"/>
        <v>27</v>
      </c>
      <c r="U15" s="53">
        <v>429</v>
      </c>
      <c r="V15" s="16">
        <f t="shared" si="2"/>
        <v>2316.6</v>
      </c>
      <c r="W15" s="53">
        <v>1</v>
      </c>
      <c r="X15" s="53" t="s">
        <v>46</v>
      </c>
      <c r="Y15" s="53" t="s">
        <v>84</v>
      </c>
      <c r="Z15" s="53" t="s">
        <v>90</v>
      </c>
      <c r="AA15" s="53" t="s">
        <v>69</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186</v>
      </c>
      <c r="F16" s="53" t="s">
        <v>184</v>
      </c>
      <c r="G16" s="53" t="s">
        <v>42</v>
      </c>
      <c r="H16" s="53" t="s">
        <v>187</v>
      </c>
      <c r="I16" s="53" t="s">
        <v>159</v>
      </c>
      <c r="J16" s="53" t="s">
        <v>58</v>
      </c>
      <c r="K16" s="53" t="s">
        <v>59</v>
      </c>
      <c r="L16" s="53">
        <v>3</v>
      </c>
      <c r="M16" s="75"/>
      <c r="N16" s="53">
        <v>5</v>
      </c>
      <c r="O16" s="53">
        <v>0.5</v>
      </c>
      <c r="P16" s="53">
        <v>0.75</v>
      </c>
      <c r="Q16" s="74">
        <v>0.57999999999999996</v>
      </c>
      <c r="R16" s="53">
        <v>13.1</v>
      </c>
      <c r="S16" s="53">
        <v>120</v>
      </c>
      <c r="T16" s="16">
        <f t="shared" si="1"/>
        <v>30</v>
      </c>
      <c r="U16" s="53">
        <v>429</v>
      </c>
      <c r="V16" s="16">
        <f t="shared" si="2"/>
        <v>2574</v>
      </c>
      <c r="W16" s="53">
        <v>1</v>
      </c>
      <c r="X16" s="53" t="s">
        <v>46</v>
      </c>
      <c r="Y16" s="53" t="s">
        <v>84</v>
      </c>
      <c r="Z16" s="53" t="s">
        <v>90</v>
      </c>
      <c r="AA16" s="53" t="s">
        <v>69</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186</v>
      </c>
      <c r="F17" s="53" t="s">
        <v>184</v>
      </c>
      <c r="G17" s="53" t="s">
        <v>42</v>
      </c>
      <c r="H17" s="53" t="s">
        <v>164</v>
      </c>
      <c r="I17" s="53" t="s">
        <v>159</v>
      </c>
      <c r="J17" s="53" t="s">
        <v>38</v>
      </c>
      <c r="K17" s="53" t="s">
        <v>161</v>
      </c>
      <c r="L17" s="53">
        <v>1</v>
      </c>
      <c r="M17" s="75"/>
      <c r="N17" s="53">
        <v>1</v>
      </c>
      <c r="O17" s="53">
        <v>0.8</v>
      </c>
      <c r="P17" s="53">
        <v>0.6</v>
      </c>
      <c r="Q17" s="74">
        <v>0.55000000000000004</v>
      </c>
      <c r="R17" s="53">
        <v>12.5</v>
      </c>
      <c r="S17" s="53">
        <v>129</v>
      </c>
      <c r="T17" s="16">
        <f t="shared" si="1"/>
        <v>25</v>
      </c>
      <c r="U17" s="53">
        <v>105</v>
      </c>
      <c r="V17" s="16">
        <f t="shared" si="2"/>
        <v>2625</v>
      </c>
      <c r="W17" s="53">
        <v>3</v>
      </c>
      <c r="X17" s="53" t="s">
        <v>46</v>
      </c>
      <c r="Y17" s="53" t="s">
        <v>84</v>
      </c>
      <c r="Z17" s="53" t="s">
        <v>90</v>
      </c>
      <c r="AA17" s="53" t="s">
        <v>69</v>
      </c>
      <c r="AB17" s="53" t="s">
        <v>158</v>
      </c>
      <c r="AE17" s="22" t="s">
        <v>220</v>
      </c>
      <c r="AP17" s="27" t="s">
        <v>221</v>
      </c>
      <c r="AR17" s="23" t="s">
        <v>96</v>
      </c>
      <c r="AV17" s="23" t="s">
        <v>86</v>
      </c>
    </row>
    <row r="18" spans="1:48" x14ac:dyDescent="0.15">
      <c r="A18" s="53" t="s">
        <v>41</v>
      </c>
      <c r="B18" s="53" t="s">
        <v>157</v>
      </c>
      <c r="C18" s="62">
        <v>2019</v>
      </c>
      <c r="D18" s="63" t="s">
        <v>188</v>
      </c>
      <c r="E18" s="53" t="s">
        <v>186</v>
      </c>
      <c r="F18" s="53" t="s">
        <v>184</v>
      </c>
      <c r="G18" s="53" t="s">
        <v>42</v>
      </c>
      <c r="H18" s="53" t="s">
        <v>164</v>
      </c>
      <c r="I18" s="53" t="s">
        <v>159</v>
      </c>
      <c r="J18" s="53" t="s">
        <v>38</v>
      </c>
      <c r="K18" s="53" t="s">
        <v>161</v>
      </c>
      <c r="L18" s="53">
        <v>2</v>
      </c>
      <c r="M18" s="75"/>
      <c r="N18" s="53">
        <v>1</v>
      </c>
      <c r="O18" s="53">
        <v>0.9</v>
      </c>
      <c r="P18" s="53">
        <v>0.85</v>
      </c>
      <c r="Q18" s="74">
        <v>0.65</v>
      </c>
      <c r="R18" s="53">
        <v>10.5</v>
      </c>
      <c r="S18" s="53">
        <v>130</v>
      </c>
      <c r="T18" s="16">
        <f t="shared" si="1"/>
        <v>25</v>
      </c>
      <c r="U18" s="53">
        <v>105</v>
      </c>
      <c r="V18" s="16">
        <f t="shared" si="2"/>
        <v>2625</v>
      </c>
      <c r="W18" s="53">
        <v>3</v>
      </c>
      <c r="X18" s="53" t="s">
        <v>46</v>
      </c>
      <c r="Y18" s="53" t="s">
        <v>84</v>
      </c>
      <c r="Z18" s="53" t="s">
        <v>90</v>
      </c>
      <c r="AA18" s="53" t="s">
        <v>69</v>
      </c>
      <c r="AB18" s="53" t="s">
        <v>158</v>
      </c>
      <c r="AE18" s="22" t="s">
        <v>213</v>
      </c>
      <c r="AP18" s="27" t="s">
        <v>222</v>
      </c>
      <c r="AR18" s="23" t="s">
        <v>101</v>
      </c>
      <c r="AV18" s="23" t="s">
        <v>88</v>
      </c>
    </row>
    <row r="19" spans="1:48" x14ac:dyDescent="0.15">
      <c r="A19" s="53" t="s">
        <v>41</v>
      </c>
      <c r="B19" s="53" t="s">
        <v>157</v>
      </c>
      <c r="C19" s="62">
        <v>2019</v>
      </c>
      <c r="D19" s="63" t="s">
        <v>188</v>
      </c>
      <c r="E19" s="53" t="s">
        <v>186</v>
      </c>
      <c r="F19" s="53" t="s">
        <v>184</v>
      </c>
      <c r="G19" s="53" t="s">
        <v>42</v>
      </c>
      <c r="H19" s="53" t="s">
        <v>164</v>
      </c>
      <c r="I19" s="53" t="s">
        <v>159</v>
      </c>
      <c r="J19" s="53" t="s">
        <v>38</v>
      </c>
      <c r="K19" s="53" t="s">
        <v>161</v>
      </c>
      <c r="L19" s="53">
        <v>3</v>
      </c>
      <c r="M19" s="75"/>
      <c r="N19" s="53">
        <v>1</v>
      </c>
      <c r="O19" s="53">
        <v>1</v>
      </c>
      <c r="P19" s="53">
        <v>0.9</v>
      </c>
      <c r="Q19" s="74">
        <v>0.57999999999999996</v>
      </c>
      <c r="R19" s="53">
        <v>10.7</v>
      </c>
      <c r="S19" s="53">
        <v>133</v>
      </c>
      <c r="T19" s="16">
        <f t="shared" si="1"/>
        <v>25</v>
      </c>
      <c r="U19" s="53">
        <v>105</v>
      </c>
      <c r="V19" s="16">
        <f t="shared" si="2"/>
        <v>2625</v>
      </c>
      <c r="W19" s="53">
        <v>3</v>
      </c>
      <c r="X19" s="53" t="s">
        <v>46</v>
      </c>
      <c r="Y19" s="53" t="s">
        <v>84</v>
      </c>
      <c r="Z19" s="53" t="s">
        <v>90</v>
      </c>
      <c r="AA19" s="53" t="s">
        <v>69</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164</v>
      </c>
      <c r="I20" s="53" t="s">
        <v>159</v>
      </c>
      <c r="J20" s="53" t="s">
        <v>38</v>
      </c>
      <c r="K20" s="53" t="s">
        <v>161</v>
      </c>
      <c r="L20" s="53">
        <v>1</v>
      </c>
      <c r="M20" s="75"/>
      <c r="N20" s="53">
        <v>8</v>
      </c>
      <c r="O20" s="53">
        <v>0.65</v>
      </c>
      <c r="P20" s="53">
        <v>0.7</v>
      </c>
      <c r="Q20" s="74">
        <v>0.63</v>
      </c>
      <c r="R20" s="53">
        <v>11.8</v>
      </c>
      <c r="S20" s="53">
        <v>120</v>
      </c>
      <c r="T20" s="16">
        <f t="shared" si="1"/>
        <v>30</v>
      </c>
      <c r="U20" s="53">
        <v>626</v>
      </c>
      <c r="V20" s="16">
        <f t="shared" si="2"/>
        <v>2347.5</v>
      </c>
      <c r="W20" s="53">
        <v>1</v>
      </c>
      <c r="X20" s="53" t="s">
        <v>46</v>
      </c>
      <c r="Y20" s="53" t="s">
        <v>84</v>
      </c>
      <c r="Z20" s="53" t="s">
        <v>90</v>
      </c>
      <c r="AA20" s="53" t="s">
        <v>69</v>
      </c>
      <c r="AB20" s="53" t="s">
        <v>158</v>
      </c>
      <c r="AP20" s="27" t="s">
        <v>225</v>
      </c>
      <c r="AR20" s="23" t="s">
        <v>105</v>
      </c>
      <c r="AV20" s="27" t="s">
        <v>226</v>
      </c>
    </row>
    <row r="21" spans="1:48" x14ac:dyDescent="0.15">
      <c r="A21" s="53" t="s">
        <v>41</v>
      </c>
      <c r="B21" s="53" t="s">
        <v>157</v>
      </c>
      <c r="C21" s="62">
        <v>2019</v>
      </c>
      <c r="D21" s="63" t="s">
        <v>188</v>
      </c>
      <c r="E21" s="53" t="s">
        <v>186</v>
      </c>
      <c r="F21" s="53" t="s">
        <v>184</v>
      </c>
      <c r="G21" s="53" t="s">
        <v>42</v>
      </c>
      <c r="H21" s="53" t="s">
        <v>164</v>
      </c>
      <c r="I21" s="53" t="s">
        <v>159</v>
      </c>
      <c r="J21" s="53" t="s">
        <v>38</v>
      </c>
      <c r="K21" s="53" t="s">
        <v>161</v>
      </c>
      <c r="L21" s="53">
        <v>2</v>
      </c>
      <c r="M21" s="75"/>
      <c r="N21" s="53">
        <v>8</v>
      </c>
      <c r="O21" s="53">
        <v>0.7</v>
      </c>
      <c r="P21" s="53">
        <v>0.45</v>
      </c>
      <c r="Q21" s="74">
        <v>0.78</v>
      </c>
      <c r="R21" s="53">
        <v>11.2</v>
      </c>
      <c r="S21" s="53">
        <v>114</v>
      </c>
      <c r="T21" s="16">
        <f t="shared" si="1"/>
        <v>30</v>
      </c>
      <c r="U21" s="53">
        <v>626</v>
      </c>
      <c r="V21" s="16">
        <f t="shared" si="2"/>
        <v>2347.5</v>
      </c>
      <c r="W21" s="53">
        <v>1</v>
      </c>
      <c r="X21" s="53" t="s">
        <v>46</v>
      </c>
      <c r="Y21" s="53" t="s">
        <v>84</v>
      </c>
      <c r="Z21" s="53" t="s">
        <v>90</v>
      </c>
      <c r="AA21" s="53" t="s">
        <v>69</v>
      </c>
      <c r="AB21" s="53" t="s">
        <v>158</v>
      </c>
      <c r="AP21" s="27" t="s">
        <v>227</v>
      </c>
      <c r="AR21" s="23" t="s">
        <v>68</v>
      </c>
      <c r="AV21" s="28" t="s">
        <v>228</v>
      </c>
    </row>
    <row r="22" spans="1:48" x14ac:dyDescent="0.15">
      <c r="A22" s="53" t="s">
        <v>41</v>
      </c>
      <c r="B22" s="53" t="s">
        <v>157</v>
      </c>
      <c r="C22" s="62">
        <v>2019</v>
      </c>
      <c r="D22" s="63" t="s">
        <v>188</v>
      </c>
      <c r="E22" s="53" t="s">
        <v>186</v>
      </c>
      <c r="F22" s="53" t="s">
        <v>184</v>
      </c>
      <c r="G22" s="53" t="s">
        <v>42</v>
      </c>
      <c r="H22" s="53" t="s">
        <v>164</v>
      </c>
      <c r="I22" s="53" t="s">
        <v>159</v>
      </c>
      <c r="J22" s="53" t="s">
        <v>38</v>
      </c>
      <c r="K22" s="53" t="s">
        <v>161</v>
      </c>
      <c r="L22" s="53">
        <v>3</v>
      </c>
      <c r="M22" s="75"/>
      <c r="N22" s="53">
        <v>8</v>
      </c>
      <c r="O22" s="53">
        <v>0.65</v>
      </c>
      <c r="P22" s="53">
        <v>0.5</v>
      </c>
      <c r="Q22" s="74">
        <v>0.65</v>
      </c>
      <c r="R22" s="53">
        <v>14.2</v>
      </c>
      <c r="S22" s="53">
        <v>118</v>
      </c>
      <c r="T22" s="16">
        <f t="shared" si="1"/>
        <v>30</v>
      </c>
      <c r="U22" s="53">
        <v>626</v>
      </c>
      <c r="V22" s="16">
        <f t="shared" si="2"/>
        <v>2347.5</v>
      </c>
      <c r="W22" s="53">
        <v>1</v>
      </c>
      <c r="X22" s="53" t="s">
        <v>46</v>
      </c>
      <c r="Y22" s="53" t="s">
        <v>84</v>
      </c>
      <c r="Z22" s="53" t="s">
        <v>90</v>
      </c>
      <c r="AA22" s="53" t="s">
        <v>69</v>
      </c>
      <c r="AB22" s="53" t="s">
        <v>158</v>
      </c>
      <c r="AP22" s="27" t="s">
        <v>229</v>
      </c>
      <c r="AR22" s="23" t="s">
        <v>83</v>
      </c>
    </row>
    <row r="23" spans="1:48" x14ac:dyDescent="0.15">
      <c r="A23" s="53" t="s">
        <v>41</v>
      </c>
      <c r="B23" s="53" t="s">
        <v>157</v>
      </c>
      <c r="C23" s="62">
        <v>2019</v>
      </c>
      <c r="D23" s="63" t="s">
        <v>188</v>
      </c>
      <c r="E23" s="53" t="s">
        <v>186</v>
      </c>
      <c r="F23" s="53" t="s">
        <v>184</v>
      </c>
      <c r="G23" s="53" t="s">
        <v>42</v>
      </c>
      <c r="H23" s="53" t="s">
        <v>164</v>
      </c>
      <c r="I23" s="53" t="s">
        <v>159</v>
      </c>
      <c r="J23" s="53" t="s">
        <v>38</v>
      </c>
      <c r="K23" s="53" t="s">
        <v>161</v>
      </c>
      <c r="L23" s="53">
        <v>1</v>
      </c>
      <c r="M23" s="75"/>
      <c r="N23" s="53">
        <v>10</v>
      </c>
      <c r="O23" s="53">
        <v>0.35</v>
      </c>
      <c r="P23" s="53">
        <v>0.25</v>
      </c>
      <c r="Q23" s="16">
        <v>0.38</v>
      </c>
      <c r="R23" s="53">
        <v>15.6</v>
      </c>
      <c r="S23" s="53">
        <v>75</v>
      </c>
      <c r="T23" s="16">
        <f t="shared" si="1"/>
        <v>42</v>
      </c>
      <c r="U23" s="53">
        <v>540</v>
      </c>
      <c r="V23" s="16">
        <f t="shared" si="2"/>
        <v>2268</v>
      </c>
      <c r="W23" s="53">
        <v>2</v>
      </c>
      <c r="X23" s="53" t="s">
        <v>46</v>
      </c>
      <c r="Y23" s="53" t="s">
        <v>84</v>
      </c>
      <c r="Z23" s="53" t="s">
        <v>90</v>
      </c>
      <c r="AA23" s="53" t="s">
        <v>69</v>
      </c>
      <c r="AB23" s="53" t="s">
        <v>158</v>
      </c>
      <c r="AP23" s="27" t="s">
        <v>230</v>
      </c>
      <c r="AR23" s="23" t="s">
        <v>61</v>
      </c>
    </row>
    <row r="24" spans="1:48" x14ac:dyDescent="0.15">
      <c r="A24" s="53" t="s">
        <v>41</v>
      </c>
      <c r="B24" s="53" t="s">
        <v>157</v>
      </c>
      <c r="C24" s="62">
        <v>2019</v>
      </c>
      <c r="D24" s="63" t="s">
        <v>188</v>
      </c>
      <c r="E24" s="53" t="s">
        <v>186</v>
      </c>
      <c r="F24" s="53" t="s">
        <v>184</v>
      </c>
      <c r="G24" s="53" t="s">
        <v>42</v>
      </c>
      <c r="H24" s="53" t="s">
        <v>164</v>
      </c>
      <c r="I24" s="53" t="s">
        <v>159</v>
      </c>
      <c r="J24" s="53" t="s">
        <v>38</v>
      </c>
      <c r="K24" s="53" t="s">
        <v>161</v>
      </c>
      <c r="L24" s="53">
        <v>2</v>
      </c>
      <c r="M24" s="75"/>
      <c r="N24" s="53">
        <v>10</v>
      </c>
      <c r="O24" s="53">
        <v>0.25</v>
      </c>
      <c r="P24" s="53">
        <v>0.35</v>
      </c>
      <c r="Q24" s="16">
        <v>0.83</v>
      </c>
      <c r="R24" s="53">
        <v>12.4</v>
      </c>
      <c r="S24" s="53">
        <v>80</v>
      </c>
      <c r="T24" s="16">
        <f t="shared" si="1"/>
        <v>39</v>
      </c>
      <c r="U24" s="53">
        <v>540</v>
      </c>
      <c r="V24" s="16">
        <f t="shared" si="2"/>
        <v>2106</v>
      </c>
      <c r="W24" s="53">
        <v>2</v>
      </c>
      <c r="X24" s="53" t="s">
        <v>46</v>
      </c>
      <c r="Y24" s="53" t="s">
        <v>84</v>
      </c>
      <c r="Z24" s="53" t="s">
        <v>90</v>
      </c>
      <c r="AA24" s="53" t="s">
        <v>69</v>
      </c>
      <c r="AB24" s="53" t="s">
        <v>158</v>
      </c>
      <c r="AP24" s="27" t="s">
        <v>231</v>
      </c>
      <c r="AR24" s="23" t="s">
        <v>91</v>
      </c>
    </row>
    <row r="25" spans="1:48" x14ac:dyDescent="0.15">
      <c r="A25" s="53" t="s">
        <v>41</v>
      </c>
      <c r="B25" s="53" t="s">
        <v>157</v>
      </c>
      <c r="C25" s="62">
        <v>2019</v>
      </c>
      <c r="D25" s="63" t="s">
        <v>188</v>
      </c>
      <c r="E25" s="53" t="s">
        <v>186</v>
      </c>
      <c r="F25" s="53" t="s">
        <v>184</v>
      </c>
      <c r="G25" s="53" t="s">
        <v>42</v>
      </c>
      <c r="H25" s="53" t="s">
        <v>164</v>
      </c>
      <c r="I25" s="53" t="s">
        <v>159</v>
      </c>
      <c r="J25" s="53" t="s">
        <v>38</v>
      </c>
      <c r="K25" s="53" t="s">
        <v>161</v>
      </c>
      <c r="L25" s="53">
        <v>3</v>
      </c>
      <c r="M25" s="75"/>
      <c r="N25" s="53">
        <v>10</v>
      </c>
      <c r="O25" s="53">
        <v>0.4</v>
      </c>
      <c r="P25" s="53">
        <v>0.4</v>
      </c>
      <c r="Q25" s="16">
        <v>0.5</v>
      </c>
      <c r="R25" s="53">
        <v>14.7</v>
      </c>
      <c r="S25" s="53">
        <v>78</v>
      </c>
      <c r="T25" s="16">
        <f t="shared" si="1"/>
        <v>39</v>
      </c>
      <c r="U25" s="53">
        <v>540</v>
      </c>
      <c r="V25" s="16">
        <f t="shared" si="2"/>
        <v>2106</v>
      </c>
      <c r="W25" s="53">
        <v>2</v>
      </c>
      <c r="X25" s="53" t="s">
        <v>46</v>
      </c>
      <c r="Y25" s="53" t="s">
        <v>84</v>
      </c>
      <c r="Z25" s="53" t="s">
        <v>90</v>
      </c>
      <c r="AA25" s="53" t="s">
        <v>69</v>
      </c>
      <c r="AB25" s="53" t="s">
        <v>158</v>
      </c>
      <c r="AP25" s="27" t="s">
        <v>232</v>
      </c>
      <c r="AR25" s="27" t="s">
        <v>51</v>
      </c>
    </row>
    <row r="26" spans="1:48" x14ac:dyDescent="0.15">
      <c r="A26" s="53" t="s">
        <v>41</v>
      </c>
      <c r="B26" s="53" t="s">
        <v>157</v>
      </c>
      <c r="C26" s="62">
        <v>2019</v>
      </c>
      <c r="D26" s="63" t="s">
        <v>188</v>
      </c>
      <c r="E26" s="53" t="s">
        <v>186</v>
      </c>
      <c r="F26" s="53" t="s">
        <v>189</v>
      </c>
      <c r="G26" s="53" t="s">
        <v>42</v>
      </c>
      <c r="H26" s="53" t="s">
        <v>187</v>
      </c>
      <c r="I26" s="53" t="s">
        <v>159</v>
      </c>
      <c r="J26" s="53" t="s">
        <v>58</v>
      </c>
      <c r="K26" s="53" t="s">
        <v>59</v>
      </c>
      <c r="L26" s="53">
        <v>1</v>
      </c>
      <c r="M26" s="75"/>
      <c r="N26" s="53">
        <v>6</v>
      </c>
      <c r="O26" s="53">
        <v>0.4</v>
      </c>
      <c r="P26" s="53">
        <v>0.6</v>
      </c>
      <c r="Q26" s="16">
        <v>0.8</v>
      </c>
      <c r="R26" s="53">
        <v>13.8</v>
      </c>
      <c r="S26" s="53">
        <v>98</v>
      </c>
      <c r="T26" s="16">
        <f t="shared" si="1"/>
        <v>36</v>
      </c>
      <c r="U26" s="53">
        <v>378</v>
      </c>
      <c r="V26" s="16">
        <f t="shared" si="2"/>
        <v>2268</v>
      </c>
      <c r="W26" s="53">
        <v>1</v>
      </c>
      <c r="X26" s="53" t="s">
        <v>39</v>
      </c>
      <c r="Y26" s="53" t="s">
        <v>90</v>
      </c>
      <c r="Z26" s="53" t="s">
        <v>84</v>
      </c>
      <c r="AA26" s="53" t="s">
        <v>69</v>
      </c>
      <c r="AB26" s="53" t="s">
        <v>158</v>
      </c>
      <c r="AP26" s="27" t="s">
        <v>233</v>
      </c>
      <c r="AR26" s="53" t="s">
        <v>234</v>
      </c>
    </row>
    <row r="27" spans="1:48" x14ac:dyDescent="0.15">
      <c r="A27" s="53" t="s">
        <v>41</v>
      </c>
      <c r="B27" s="53" t="s">
        <v>157</v>
      </c>
      <c r="C27" s="62">
        <v>2019</v>
      </c>
      <c r="D27" s="63" t="s">
        <v>188</v>
      </c>
      <c r="E27" s="53" t="s">
        <v>186</v>
      </c>
      <c r="F27" s="53" t="s">
        <v>189</v>
      </c>
      <c r="G27" s="53" t="s">
        <v>42</v>
      </c>
      <c r="H27" s="53" t="s">
        <v>187</v>
      </c>
      <c r="I27" s="53" t="s">
        <v>159</v>
      </c>
      <c r="J27" s="53" t="s">
        <v>58</v>
      </c>
      <c r="K27" s="53" t="s">
        <v>59</v>
      </c>
      <c r="L27" s="53">
        <v>2</v>
      </c>
      <c r="M27" s="75"/>
      <c r="N27" s="53">
        <v>6</v>
      </c>
      <c r="O27" s="53">
        <v>0.8</v>
      </c>
      <c r="P27" s="53">
        <v>0.75</v>
      </c>
      <c r="Q27" s="16">
        <v>0.2</v>
      </c>
      <c r="R27" s="53">
        <v>10.199999999999999</v>
      </c>
      <c r="S27" s="53">
        <v>95</v>
      </c>
      <c r="T27" s="16">
        <f t="shared" si="1"/>
        <v>36</v>
      </c>
      <c r="U27" s="53">
        <v>378</v>
      </c>
      <c r="V27" s="16">
        <f t="shared" si="2"/>
        <v>2268</v>
      </c>
      <c r="W27" s="53">
        <v>1</v>
      </c>
      <c r="X27" s="53" t="s">
        <v>39</v>
      </c>
      <c r="Y27" s="53" t="s">
        <v>90</v>
      </c>
      <c r="Z27" s="53" t="s">
        <v>84</v>
      </c>
      <c r="AA27" s="53" t="s">
        <v>69</v>
      </c>
      <c r="AB27" s="53" t="s">
        <v>158</v>
      </c>
      <c r="AP27" s="27" t="s">
        <v>235</v>
      </c>
    </row>
    <row r="28" spans="1:48" x14ac:dyDescent="0.15">
      <c r="A28" s="53" t="s">
        <v>41</v>
      </c>
      <c r="B28" s="53" t="s">
        <v>157</v>
      </c>
      <c r="C28" s="62">
        <v>2019</v>
      </c>
      <c r="D28" s="63" t="s">
        <v>188</v>
      </c>
      <c r="E28" s="53" t="s">
        <v>186</v>
      </c>
      <c r="F28" s="53" t="s">
        <v>189</v>
      </c>
      <c r="G28" s="53" t="s">
        <v>42</v>
      </c>
      <c r="H28" s="53" t="s">
        <v>187</v>
      </c>
      <c r="I28" s="53" t="s">
        <v>159</v>
      </c>
      <c r="J28" s="53" t="s">
        <v>58</v>
      </c>
      <c r="K28" s="53" t="s">
        <v>59</v>
      </c>
      <c r="L28" s="53">
        <v>3</v>
      </c>
      <c r="M28" s="75"/>
      <c r="N28" s="53">
        <v>6</v>
      </c>
      <c r="O28" s="53">
        <v>0.65</v>
      </c>
      <c r="P28" s="53">
        <v>0.55000000000000004</v>
      </c>
      <c r="Q28" s="16">
        <v>0.6</v>
      </c>
      <c r="R28" s="53">
        <v>14.1</v>
      </c>
      <c r="S28" s="53">
        <v>97</v>
      </c>
      <c r="T28" s="16">
        <f t="shared" si="1"/>
        <v>36</v>
      </c>
      <c r="U28" s="53">
        <v>378</v>
      </c>
      <c r="V28" s="16">
        <f t="shared" si="2"/>
        <v>2268</v>
      </c>
      <c r="W28" s="53">
        <v>1</v>
      </c>
      <c r="X28" s="53" t="s">
        <v>39</v>
      </c>
      <c r="Y28" s="53" t="s">
        <v>90</v>
      </c>
      <c r="Z28" s="53" t="s">
        <v>84</v>
      </c>
      <c r="AA28" s="53" t="s">
        <v>69</v>
      </c>
      <c r="AB28" s="53" t="s">
        <v>158</v>
      </c>
    </row>
    <row r="29" spans="1:48" x14ac:dyDescent="0.15">
      <c r="A29" s="53" t="s">
        <v>41</v>
      </c>
      <c r="B29" s="53" t="s">
        <v>157</v>
      </c>
      <c r="C29" s="62">
        <v>2019</v>
      </c>
      <c r="D29" s="63" t="s">
        <v>188</v>
      </c>
      <c r="E29" s="53" t="s">
        <v>186</v>
      </c>
      <c r="F29" s="53" t="s">
        <v>189</v>
      </c>
      <c r="G29" s="53" t="s">
        <v>42</v>
      </c>
      <c r="H29" s="53" t="s">
        <v>164</v>
      </c>
      <c r="I29" s="53" t="s">
        <v>159</v>
      </c>
      <c r="J29" s="53" t="s">
        <v>38</v>
      </c>
      <c r="K29" s="53" t="s">
        <v>161</v>
      </c>
      <c r="L29" s="53">
        <v>1</v>
      </c>
      <c r="M29" s="75"/>
      <c r="N29" s="53">
        <v>5</v>
      </c>
      <c r="O29" s="53">
        <v>0.9</v>
      </c>
      <c r="P29" s="53">
        <v>0.8</v>
      </c>
      <c r="Q29" s="16">
        <v>0.38</v>
      </c>
      <c r="R29" s="53">
        <v>11.5</v>
      </c>
      <c r="S29" s="53">
        <v>100</v>
      </c>
      <c r="T29" s="16">
        <f t="shared" si="1"/>
        <v>33</v>
      </c>
      <c r="U29" s="53">
        <v>429</v>
      </c>
      <c r="V29" s="16">
        <f t="shared" si="2"/>
        <v>2831.4</v>
      </c>
      <c r="W29" s="53">
        <v>1</v>
      </c>
      <c r="X29" s="53" t="s">
        <v>39</v>
      </c>
      <c r="Y29" s="53" t="s">
        <v>90</v>
      </c>
      <c r="Z29" s="53" t="s">
        <v>84</v>
      </c>
      <c r="AA29" s="53" t="s">
        <v>69</v>
      </c>
      <c r="AB29" s="53" t="s">
        <v>158</v>
      </c>
    </row>
    <row r="30" spans="1:48" x14ac:dyDescent="0.15">
      <c r="A30" s="53" t="s">
        <v>41</v>
      </c>
      <c r="B30" s="53" t="s">
        <v>157</v>
      </c>
      <c r="C30" s="62">
        <v>2019</v>
      </c>
      <c r="D30" s="63" t="s">
        <v>188</v>
      </c>
      <c r="E30" s="53" t="s">
        <v>186</v>
      </c>
      <c r="F30" s="53" t="s">
        <v>189</v>
      </c>
      <c r="G30" s="53" t="s">
        <v>42</v>
      </c>
      <c r="H30" s="53" t="s">
        <v>164</v>
      </c>
      <c r="I30" s="53" t="s">
        <v>159</v>
      </c>
      <c r="J30" s="53" t="s">
        <v>38</v>
      </c>
      <c r="K30" s="53" t="s">
        <v>161</v>
      </c>
      <c r="L30" s="53">
        <v>2</v>
      </c>
      <c r="M30" s="75"/>
      <c r="N30" s="53">
        <v>5</v>
      </c>
      <c r="O30" s="53">
        <v>1.2</v>
      </c>
      <c r="P30" s="53">
        <v>1.35</v>
      </c>
      <c r="Q30" s="16">
        <v>0.83</v>
      </c>
      <c r="R30" s="53">
        <v>12.6</v>
      </c>
      <c r="S30" s="53">
        <v>104</v>
      </c>
      <c r="T30" s="16">
        <f t="shared" si="1"/>
        <v>33</v>
      </c>
      <c r="U30" s="53">
        <v>429</v>
      </c>
      <c r="V30" s="16">
        <f t="shared" si="2"/>
        <v>2831.4</v>
      </c>
      <c r="W30" s="53">
        <v>1</v>
      </c>
      <c r="X30" s="53" t="s">
        <v>39</v>
      </c>
      <c r="Y30" s="53" t="s">
        <v>90</v>
      </c>
      <c r="Z30" s="53" t="s">
        <v>84</v>
      </c>
      <c r="AA30" s="53" t="s">
        <v>69</v>
      </c>
      <c r="AB30" s="53" t="s">
        <v>158</v>
      </c>
    </row>
    <row r="31" spans="1:48" x14ac:dyDescent="0.15">
      <c r="A31" s="53" t="s">
        <v>41</v>
      </c>
      <c r="B31" s="53" t="s">
        <v>157</v>
      </c>
      <c r="C31" s="62">
        <v>2019</v>
      </c>
      <c r="D31" s="63" t="s">
        <v>188</v>
      </c>
      <c r="E31" s="53" t="s">
        <v>186</v>
      </c>
      <c r="F31" s="53" t="s">
        <v>189</v>
      </c>
      <c r="G31" s="53" t="s">
        <v>42</v>
      </c>
      <c r="H31" s="53" t="s">
        <v>164</v>
      </c>
      <c r="I31" s="53" t="s">
        <v>159</v>
      </c>
      <c r="J31" s="53" t="s">
        <v>38</v>
      </c>
      <c r="K31" s="53" t="s">
        <v>161</v>
      </c>
      <c r="L31" s="53">
        <v>3</v>
      </c>
      <c r="M31" s="75"/>
      <c r="N31" s="53">
        <v>5</v>
      </c>
      <c r="O31" s="53">
        <v>1</v>
      </c>
      <c r="P31" s="53">
        <v>1.2</v>
      </c>
      <c r="Q31" s="16">
        <v>0.5</v>
      </c>
      <c r="R31" s="53">
        <v>13</v>
      </c>
      <c r="S31" s="53">
        <v>105</v>
      </c>
      <c r="T31" s="16">
        <f t="shared" si="1"/>
        <v>33</v>
      </c>
      <c r="U31" s="53">
        <v>429</v>
      </c>
      <c r="V31" s="16">
        <f t="shared" si="2"/>
        <v>2831.4</v>
      </c>
      <c r="W31" s="53">
        <v>1</v>
      </c>
      <c r="X31" s="53" t="s">
        <v>39</v>
      </c>
      <c r="Y31" s="53" t="s">
        <v>90</v>
      </c>
      <c r="Z31" s="53" t="s">
        <v>84</v>
      </c>
      <c r="AA31" s="53" t="s">
        <v>69</v>
      </c>
      <c r="AB31" s="53" t="s">
        <v>158</v>
      </c>
    </row>
    <row r="32" spans="1:48" x14ac:dyDescent="0.15">
      <c r="A32" s="53" t="s">
        <v>41</v>
      </c>
      <c r="B32" s="53" t="s">
        <v>157</v>
      </c>
      <c r="C32" s="62">
        <v>2019</v>
      </c>
      <c r="D32" s="63" t="s">
        <v>188</v>
      </c>
      <c r="E32" s="53" t="s">
        <v>186</v>
      </c>
      <c r="F32" s="53" t="s">
        <v>189</v>
      </c>
      <c r="G32" s="53" t="s">
        <v>42</v>
      </c>
      <c r="H32" s="53" t="s">
        <v>164</v>
      </c>
      <c r="I32" s="53" t="s">
        <v>159</v>
      </c>
      <c r="J32" s="53" t="s">
        <v>38</v>
      </c>
      <c r="K32" s="53" t="s">
        <v>161</v>
      </c>
      <c r="L32" s="53">
        <v>1</v>
      </c>
      <c r="M32" s="75"/>
      <c r="N32" s="53">
        <v>1</v>
      </c>
      <c r="O32" s="53">
        <v>0.7</v>
      </c>
      <c r="P32" s="53">
        <v>0.8</v>
      </c>
      <c r="Q32" s="16">
        <v>2.4</v>
      </c>
      <c r="R32" s="53">
        <v>12.8</v>
      </c>
      <c r="S32" s="53">
        <v>130</v>
      </c>
      <c r="T32" s="16">
        <f t="shared" si="1"/>
        <v>25</v>
      </c>
      <c r="U32" s="53">
        <v>105</v>
      </c>
      <c r="V32" s="16">
        <f t="shared" si="2"/>
        <v>2625</v>
      </c>
      <c r="W32" s="53">
        <v>2</v>
      </c>
      <c r="X32" s="53" t="s">
        <v>39</v>
      </c>
      <c r="Y32" s="53" t="s">
        <v>90</v>
      </c>
      <c r="Z32" s="53" t="s">
        <v>84</v>
      </c>
      <c r="AA32" s="53" t="s">
        <v>69</v>
      </c>
      <c r="AB32" s="53" t="s">
        <v>158</v>
      </c>
    </row>
    <row r="33" spans="1:28" x14ac:dyDescent="0.15">
      <c r="A33" s="53" t="s">
        <v>41</v>
      </c>
      <c r="B33" s="53" t="s">
        <v>157</v>
      </c>
      <c r="C33" s="62">
        <v>2019</v>
      </c>
      <c r="D33" s="63" t="s">
        <v>188</v>
      </c>
      <c r="E33" s="53" t="s">
        <v>186</v>
      </c>
      <c r="F33" s="53" t="s">
        <v>189</v>
      </c>
      <c r="G33" s="53" t="s">
        <v>42</v>
      </c>
      <c r="H33" s="53" t="s">
        <v>164</v>
      </c>
      <c r="I33" s="53" t="s">
        <v>159</v>
      </c>
      <c r="J33" s="53" t="s">
        <v>38</v>
      </c>
      <c r="K33" s="53" t="s">
        <v>161</v>
      </c>
      <c r="L33" s="53">
        <v>2</v>
      </c>
      <c r="M33" s="75"/>
      <c r="N33" s="53">
        <v>1</v>
      </c>
      <c r="O33" s="53">
        <v>0.95</v>
      </c>
      <c r="P33" s="53">
        <v>0.9</v>
      </c>
      <c r="Q33" s="16">
        <v>1.73</v>
      </c>
      <c r="R33" s="53">
        <v>13.3</v>
      </c>
      <c r="S33" s="53">
        <v>132</v>
      </c>
      <c r="T33" s="16">
        <f t="shared" si="1"/>
        <v>25</v>
      </c>
      <c r="U33" s="53">
        <v>105</v>
      </c>
      <c r="V33" s="16">
        <f t="shared" si="2"/>
        <v>2625</v>
      </c>
      <c r="W33" s="53">
        <v>2</v>
      </c>
      <c r="X33" s="53" t="s">
        <v>39</v>
      </c>
      <c r="Y33" s="53" t="s">
        <v>90</v>
      </c>
      <c r="Z33" s="53" t="s">
        <v>84</v>
      </c>
      <c r="AA33" s="53" t="s">
        <v>69</v>
      </c>
      <c r="AB33" s="53" t="s">
        <v>158</v>
      </c>
    </row>
    <row r="34" spans="1:28" x14ac:dyDescent="0.15">
      <c r="A34" s="53" t="s">
        <v>41</v>
      </c>
      <c r="B34" s="53" t="s">
        <v>157</v>
      </c>
      <c r="C34" s="62">
        <v>2019</v>
      </c>
      <c r="D34" s="63" t="s">
        <v>188</v>
      </c>
      <c r="E34" s="53" t="s">
        <v>186</v>
      </c>
      <c r="F34" s="53" t="s">
        <v>189</v>
      </c>
      <c r="G34" s="53" t="s">
        <v>42</v>
      </c>
      <c r="H34" s="53" t="s">
        <v>164</v>
      </c>
      <c r="I34" s="53" t="s">
        <v>159</v>
      </c>
      <c r="J34" s="53" t="s">
        <v>38</v>
      </c>
      <c r="K34" s="53" t="s">
        <v>161</v>
      </c>
      <c r="L34" s="53">
        <v>3</v>
      </c>
      <c r="M34" s="75"/>
      <c r="N34" s="53">
        <v>1</v>
      </c>
      <c r="O34" s="53">
        <v>0.8</v>
      </c>
      <c r="P34" s="53">
        <v>0.85</v>
      </c>
      <c r="Q34" s="16">
        <v>1.88</v>
      </c>
      <c r="R34" s="53">
        <v>12.4</v>
      </c>
      <c r="S34" s="53">
        <v>133</v>
      </c>
      <c r="T34" s="16">
        <f t="shared" si="1"/>
        <v>25</v>
      </c>
      <c r="U34" s="53">
        <v>105</v>
      </c>
      <c r="V34" s="16">
        <f t="shared" si="2"/>
        <v>2625</v>
      </c>
      <c r="W34" s="53">
        <v>2</v>
      </c>
      <c r="X34" s="53" t="s">
        <v>39</v>
      </c>
      <c r="Y34" s="53" t="s">
        <v>90</v>
      </c>
      <c r="Z34" s="53" t="s">
        <v>84</v>
      </c>
      <c r="AA34" s="53" t="s">
        <v>69</v>
      </c>
      <c r="AB34" s="53" t="s">
        <v>158</v>
      </c>
    </row>
    <row r="35" spans="1:28" x14ac:dyDescent="0.15">
      <c r="A35" s="53" t="s">
        <v>41</v>
      </c>
      <c r="B35" s="53" t="s">
        <v>157</v>
      </c>
      <c r="C35" s="62">
        <v>2019</v>
      </c>
      <c r="D35" s="63" t="s">
        <v>188</v>
      </c>
      <c r="E35" s="53" t="s">
        <v>194</v>
      </c>
      <c r="F35" s="53" t="s">
        <v>184</v>
      </c>
      <c r="G35" s="53" t="s">
        <v>42</v>
      </c>
      <c r="H35" s="53" t="s">
        <v>160</v>
      </c>
      <c r="I35" s="53" t="s">
        <v>159</v>
      </c>
      <c r="J35" s="53" t="s">
        <v>38</v>
      </c>
      <c r="K35" s="53" t="s">
        <v>54</v>
      </c>
      <c r="L35" s="53">
        <v>1</v>
      </c>
      <c r="M35" s="75"/>
      <c r="N35" s="53">
        <v>1</v>
      </c>
      <c r="O35" s="53">
        <v>0.25</v>
      </c>
      <c r="P35" s="53">
        <v>0.25</v>
      </c>
      <c r="Q35" s="16">
        <v>1.1299999999999999</v>
      </c>
      <c r="R35" s="53">
        <v>15.2</v>
      </c>
      <c r="S35" s="53">
        <v>127</v>
      </c>
      <c r="T35" s="16">
        <f t="shared" si="1"/>
        <v>27</v>
      </c>
      <c r="U35" s="53">
        <v>192</v>
      </c>
      <c r="V35" s="16">
        <f t="shared" si="2"/>
        <v>5184</v>
      </c>
      <c r="W35" s="53">
        <v>1</v>
      </c>
      <c r="X35" s="53" t="s">
        <v>46</v>
      </c>
      <c r="Y35" s="53" t="s">
        <v>84</v>
      </c>
      <c r="Z35" s="53" t="s">
        <v>90</v>
      </c>
      <c r="AA35" s="53" t="s">
        <v>78</v>
      </c>
      <c r="AB35" s="53" t="s">
        <v>158</v>
      </c>
    </row>
    <row r="36" spans="1:28" x14ac:dyDescent="0.15">
      <c r="A36" s="53" t="s">
        <v>41</v>
      </c>
      <c r="B36" s="53" t="s">
        <v>157</v>
      </c>
      <c r="C36" s="62">
        <v>2019</v>
      </c>
      <c r="D36" s="63" t="s">
        <v>188</v>
      </c>
      <c r="E36" s="53" t="s">
        <v>194</v>
      </c>
      <c r="F36" s="53" t="s">
        <v>184</v>
      </c>
      <c r="G36" s="53" t="s">
        <v>42</v>
      </c>
      <c r="H36" s="53" t="s">
        <v>160</v>
      </c>
      <c r="I36" s="53" t="s">
        <v>159</v>
      </c>
      <c r="J36" s="53" t="s">
        <v>38</v>
      </c>
      <c r="K36" s="53" t="s">
        <v>54</v>
      </c>
      <c r="L36" s="53">
        <v>2</v>
      </c>
      <c r="M36" s="75"/>
      <c r="N36" s="53">
        <v>1</v>
      </c>
      <c r="O36" s="53">
        <v>0.25</v>
      </c>
      <c r="P36" s="53">
        <v>0.25</v>
      </c>
      <c r="Q36" s="16">
        <v>1.2</v>
      </c>
      <c r="R36" s="53">
        <v>16.100000000000001</v>
      </c>
      <c r="S36" s="53">
        <v>125</v>
      </c>
      <c r="T36" s="16">
        <f t="shared" si="1"/>
        <v>27</v>
      </c>
      <c r="U36" s="53">
        <v>192</v>
      </c>
      <c r="V36" s="16">
        <f t="shared" si="2"/>
        <v>5184</v>
      </c>
      <c r="W36" s="53">
        <v>1</v>
      </c>
      <c r="X36" s="53" t="s">
        <v>46</v>
      </c>
      <c r="Y36" s="53" t="s">
        <v>84</v>
      </c>
      <c r="Z36" s="53" t="s">
        <v>90</v>
      </c>
      <c r="AA36" s="53" t="s">
        <v>78</v>
      </c>
      <c r="AB36" s="53" t="s">
        <v>158</v>
      </c>
    </row>
    <row r="37" spans="1:28" x14ac:dyDescent="0.15">
      <c r="A37" s="53" t="s">
        <v>41</v>
      </c>
      <c r="B37" s="53" t="s">
        <v>157</v>
      </c>
      <c r="C37" s="62">
        <v>2019</v>
      </c>
      <c r="D37" s="63" t="s">
        <v>188</v>
      </c>
      <c r="E37" s="53" t="s">
        <v>194</v>
      </c>
      <c r="F37" s="53" t="s">
        <v>184</v>
      </c>
      <c r="G37" s="53" t="s">
        <v>42</v>
      </c>
      <c r="H37" s="53" t="s">
        <v>160</v>
      </c>
      <c r="I37" s="53" t="s">
        <v>159</v>
      </c>
      <c r="J37" s="53" t="s">
        <v>38</v>
      </c>
      <c r="K37" s="53" t="s">
        <v>54</v>
      </c>
      <c r="L37" s="53">
        <v>3</v>
      </c>
      <c r="M37" s="75"/>
      <c r="N37" s="53">
        <v>1</v>
      </c>
      <c r="O37" s="53">
        <v>0.25</v>
      </c>
      <c r="P37" s="53">
        <v>0.25</v>
      </c>
      <c r="Q37" s="16">
        <v>1.1299999999999999</v>
      </c>
      <c r="R37" s="53">
        <v>14</v>
      </c>
      <c r="S37" s="53">
        <v>128</v>
      </c>
      <c r="T37" s="16">
        <f t="shared" si="1"/>
        <v>27</v>
      </c>
      <c r="U37" s="53">
        <v>192</v>
      </c>
      <c r="V37" s="16">
        <f t="shared" si="2"/>
        <v>5184</v>
      </c>
      <c r="W37" s="53">
        <v>1</v>
      </c>
      <c r="X37" s="53" t="s">
        <v>46</v>
      </c>
      <c r="Y37" s="53" t="s">
        <v>84</v>
      </c>
      <c r="Z37" s="53" t="s">
        <v>90</v>
      </c>
      <c r="AA37" s="53" t="s">
        <v>78</v>
      </c>
      <c r="AB37" s="53" t="s">
        <v>158</v>
      </c>
    </row>
    <row r="38" spans="1:28" x14ac:dyDescent="0.15">
      <c r="A38" s="53" t="s">
        <v>41</v>
      </c>
      <c r="B38" s="53" t="s">
        <v>157</v>
      </c>
      <c r="C38" s="62">
        <v>2019</v>
      </c>
      <c r="D38" s="63" t="s">
        <v>188</v>
      </c>
      <c r="E38" s="53" t="s">
        <v>194</v>
      </c>
      <c r="F38" s="53" t="s">
        <v>184</v>
      </c>
      <c r="G38" s="53" t="s">
        <v>42</v>
      </c>
      <c r="H38" s="53" t="s">
        <v>164</v>
      </c>
      <c r="I38" s="53" t="s">
        <v>159</v>
      </c>
      <c r="J38" s="53" t="s">
        <v>38</v>
      </c>
      <c r="K38" s="53" t="s">
        <v>161</v>
      </c>
      <c r="L38" s="53">
        <v>1</v>
      </c>
      <c r="N38" s="53">
        <v>1</v>
      </c>
      <c r="O38" s="53">
        <v>1</v>
      </c>
      <c r="P38" s="53">
        <v>0.9</v>
      </c>
      <c r="Q38" s="74">
        <f t="shared" ref="Q38:Q91" si="3">IF(OR(O38="",P38=""),"",AVERAGE(O38,P38))</f>
        <v>0.95</v>
      </c>
      <c r="R38" s="53">
        <v>14.5</v>
      </c>
      <c r="S38" s="53">
        <v>125</v>
      </c>
      <c r="T38" s="16">
        <f t="shared" si="1"/>
        <v>27</v>
      </c>
      <c r="U38" s="53">
        <v>108</v>
      </c>
      <c r="V38" s="16">
        <f t="shared" si="2"/>
        <v>2916</v>
      </c>
      <c r="W38" s="53">
        <v>2</v>
      </c>
      <c r="X38" s="53" t="s">
        <v>46</v>
      </c>
      <c r="Y38" s="53" t="s">
        <v>84</v>
      </c>
      <c r="Z38" s="53" t="s">
        <v>90</v>
      </c>
      <c r="AA38" s="53" t="s">
        <v>78</v>
      </c>
      <c r="AB38" s="53" t="s">
        <v>158</v>
      </c>
    </row>
    <row r="39" spans="1:28" x14ac:dyDescent="0.15">
      <c r="A39" s="53" t="s">
        <v>41</v>
      </c>
      <c r="B39" s="53" t="s">
        <v>157</v>
      </c>
      <c r="C39" s="62">
        <v>2019</v>
      </c>
      <c r="D39" s="63" t="s">
        <v>188</v>
      </c>
      <c r="E39" s="53" t="s">
        <v>194</v>
      </c>
      <c r="F39" s="53" t="s">
        <v>184</v>
      </c>
      <c r="G39" s="53" t="s">
        <v>42</v>
      </c>
      <c r="H39" s="53" t="s">
        <v>164</v>
      </c>
      <c r="I39" s="53" t="s">
        <v>159</v>
      </c>
      <c r="J39" s="53" t="s">
        <v>38</v>
      </c>
      <c r="K39" s="53" t="s">
        <v>161</v>
      </c>
      <c r="L39" s="53">
        <v>2</v>
      </c>
      <c r="M39" s="75"/>
      <c r="N39" s="53">
        <v>1</v>
      </c>
      <c r="O39" s="53">
        <v>0.65</v>
      </c>
      <c r="P39" s="53">
        <v>0.65</v>
      </c>
      <c r="Q39" s="74">
        <f t="shared" si="3"/>
        <v>0.65</v>
      </c>
      <c r="R39" s="53">
        <v>13.5</v>
      </c>
      <c r="S39" s="53">
        <v>122</v>
      </c>
      <c r="T39" s="16">
        <f t="shared" si="1"/>
        <v>27</v>
      </c>
      <c r="U39" s="53">
        <v>108</v>
      </c>
      <c r="V39" s="16">
        <f t="shared" si="2"/>
        <v>2916</v>
      </c>
      <c r="W39" s="53">
        <v>2</v>
      </c>
      <c r="X39" s="53" t="s">
        <v>46</v>
      </c>
      <c r="Y39" s="53" t="s">
        <v>84</v>
      </c>
      <c r="Z39" s="53" t="s">
        <v>90</v>
      </c>
      <c r="AA39" s="53" t="s">
        <v>78</v>
      </c>
      <c r="AB39" s="53" t="s">
        <v>158</v>
      </c>
    </row>
    <row r="40" spans="1:28" x14ac:dyDescent="0.15">
      <c r="A40" s="53" t="s">
        <v>41</v>
      </c>
      <c r="B40" s="53" t="s">
        <v>157</v>
      </c>
      <c r="C40" s="62">
        <v>2019</v>
      </c>
      <c r="D40" s="63" t="s">
        <v>188</v>
      </c>
      <c r="E40" s="53" t="s">
        <v>194</v>
      </c>
      <c r="F40" s="53" t="s">
        <v>184</v>
      </c>
      <c r="G40" s="53" t="s">
        <v>42</v>
      </c>
      <c r="H40" s="53" t="s">
        <v>164</v>
      </c>
      <c r="I40" s="53" t="s">
        <v>159</v>
      </c>
      <c r="J40" s="53" t="s">
        <v>38</v>
      </c>
      <c r="K40" s="53" t="s">
        <v>161</v>
      </c>
      <c r="L40" s="53">
        <v>3</v>
      </c>
      <c r="M40" s="75"/>
      <c r="N40" s="53">
        <v>1</v>
      </c>
      <c r="O40" s="53">
        <v>0.9</v>
      </c>
      <c r="P40" s="53">
        <v>0.8</v>
      </c>
      <c r="Q40" s="74">
        <f t="shared" si="3"/>
        <v>0.85000000000000009</v>
      </c>
      <c r="R40" s="53">
        <v>12</v>
      </c>
      <c r="S40" s="53">
        <v>124</v>
      </c>
      <c r="T40" s="16">
        <f t="shared" si="1"/>
        <v>27</v>
      </c>
      <c r="U40" s="53">
        <v>108</v>
      </c>
      <c r="V40" s="16">
        <f t="shared" si="2"/>
        <v>2916</v>
      </c>
      <c r="W40" s="53">
        <v>2</v>
      </c>
      <c r="X40" s="53" t="s">
        <v>46</v>
      </c>
      <c r="Y40" s="53" t="s">
        <v>84</v>
      </c>
      <c r="Z40" s="53" t="s">
        <v>90</v>
      </c>
      <c r="AA40" s="53" t="s">
        <v>78</v>
      </c>
      <c r="AB40" s="53" t="s">
        <v>158</v>
      </c>
    </row>
    <row r="41" spans="1:28" x14ac:dyDescent="0.15">
      <c r="A41" s="53" t="s">
        <v>41</v>
      </c>
      <c r="B41" s="53" t="s">
        <v>157</v>
      </c>
      <c r="C41" s="62">
        <v>2019</v>
      </c>
      <c r="D41" s="63" t="s">
        <v>188</v>
      </c>
      <c r="E41" s="53" t="s">
        <v>194</v>
      </c>
      <c r="F41" s="53" t="s">
        <v>184</v>
      </c>
      <c r="G41" s="53" t="s">
        <v>42</v>
      </c>
      <c r="H41" s="53" t="s">
        <v>164</v>
      </c>
      <c r="I41" s="53" t="s">
        <v>159</v>
      </c>
      <c r="J41" s="53" t="s">
        <v>38</v>
      </c>
      <c r="K41" s="53" t="s">
        <v>161</v>
      </c>
      <c r="L41" s="53">
        <v>1</v>
      </c>
      <c r="N41" s="53">
        <v>8</v>
      </c>
      <c r="O41" s="53">
        <v>0.8</v>
      </c>
      <c r="P41" s="53">
        <v>0.95</v>
      </c>
      <c r="Q41" s="74">
        <f t="shared" si="3"/>
        <v>0.875</v>
      </c>
      <c r="R41" s="53">
        <v>14.2</v>
      </c>
      <c r="S41" s="53">
        <v>114</v>
      </c>
      <c r="T41" s="16">
        <f t="shared" si="1"/>
        <v>30</v>
      </c>
      <c r="U41" s="53">
        <v>646</v>
      </c>
      <c r="V41" s="16">
        <f t="shared" si="2"/>
        <v>2422.5</v>
      </c>
      <c r="W41" s="53">
        <v>2</v>
      </c>
      <c r="X41" s="53" t="s">
        <v>46</v>
      </c>
      <c r="Y41" s="53" t="s">
        <v>84</v>
      </c>
      <c r="Z41" s="53" t="s">
        <v>90</v>
      </c>
      <c r="AA41" s="53" t="s">
        <v>78</v>
      </c>
      <c r="AB41" s="53" t="s">
        <v>158</v>
      </c>
    </row>
    <row r="42" spans="1:28" x14ac:dyDescent="0.15">
      <c r="A42" s="53" t="s">
        <v>41</v>
      </c>
      <c r="B42" s="53" t="s">
        <v>157</v>
      </c>
      <c r="C42" s="62">
        <v>2019</v>
      </c>
      <c r="D42" s="63" t="s">
        <v>188</v>
      </c>
      <c r="E42" s="53" t="s">
        <v>194</v>
      </c>
      <c r="F42" s="53" t="s">
        <v>184</v>
      </c>
      <c r="G42" s="53" t="s">
        <v>42</v>
      </c>
      <c r="H42" s="53" t="s">
        <v>164</v>
      </c>
      <c r="I42" s="53" t="s">
        <v>159</v>
      </c>
      <c r="J42" s="53" t="s">
        <v>38</v>
      </c>
      <c r="K42" s="53" t="s">
        <v>161</v>
      </c>
      <c r="L42" s="53">
        <v>2</v>
      </c>
      <c r="M42" s="75"/>
      <c r="N42" s="53">
        <v>8</v>
      </c>
      <c r="O42" s="53">
        <v>0.65</v>
      </c>
      <c r="P42" s="53">
        <v>0.7</v>
      </c>
      <c r="Q42" s="74">
        <f t="shared" si="3"/>
        <v>0.67500000000000004</v>
      </c>
      <c r="R42" s="53">
        <v>12.1</v>
      </c>
      <c r="S42" s="53">
        <v>115</v>
      </c>
      <c r="T42" s="16">
        <f t="shared" si="1"/>
        <v>30</v>
      </c>
      <c r="U42" s="53">
        <v>646</v>
      </c>
      <c r="V42" s="16">
        <f t="shared" si="2"/>
        <v>2422.5</v>
      </c>
      <c r="W42" s="53">
        <v>2</v>
      </c>
      <c r="X42" s="53" t="s">
        <v>46</v>
      </c>
      <c r="Y42" s="53" t="s">
        <v>84</v>
      </c>
      <c r="Z42" s="53" t="s">
        <v>90</v>
      </c>
      <c r="AA42" s="53" t="s">
        <v>78</v>
      </c>
      <c r="AB42" s="53" t="s">
        <v>158</v>
      </c>
    </row>
    <row r="43" spans="1:28" x14ac:dyDescent="0.15">
      <c r="A43" s="53" t="s">
        <v>41</v>
      </c>
      <c r="B43" s="53" t="s">
        <v>157</v>
      </c>
      <c r="C43" s="62">
        <v>2019</v>
      </c>
      <c r="D43" s="63" t="s">
        <v>188</v>
      </c>
      <c r="E43" s="53" t="s">
        <v>194</v>
      </c>
      <c r="F43" s="53" t="s">
        <v>184</v>
      </c>
      <c r="G43" s="53" t="s">
        <v>42</v>
      </c>
      <c r="H43" s="53" t="s">
        <v>164</v>
      </c>
      <c r="I43" s="53" t="s">
        <v>159</v>
      </c>
      <c r="J43" s="53" t="s">
        <v>38</v>
      </c>
      <c r="K43" s="53" t="s">
        <v>161</v>
      </c>
      <c r="L43" s="53">
        <v>3</v>
      </c>
      <c r="M43" s="75"/>
      <c r="N43" s="53">
        <v>8</v>
      </c>
      <c r="O43" s="53">
        <v>0.5</v>
      </c>
      <c r="P43" s="53">
        <v>0.65</v>
      </c>
      <c r="Q43" s="74">
        <f t="shared" si="3"/>
        <v>0.57499999999999996</v>
      </c>
      <c r="R43" s="53">
        <v>12.8</v>
      </c>
      <c r="S43" s="53">
        <v>117</v>
      </c>
      <c r="T43" s="16">
        <f t="shared" si="1"/>
        <v>30</v>
      </c>
      <c r="U43" s="53">
        <v>646</v>
      </c>
      <c r="V43" s="16">
        <f t="shared" si="2"/>
        <v>2422.5</v>
      </c>
      <c r="W43" s="53">
        <v>2</v>
      </c>
      <c r="X43" s="53" t="s">
        <v>46</v>
      </c>
      <c r="Y43" s="53" t="s">
        <v>84</v>
      </c>
      <c r="Z43" s="53" t="s">
        <v>90</v>
      </c>
      <c r="AA43" s="53" t="s">
        <v>78</v>
      </c>
      <c r="AB43" s="53" t="s">
        <v>158</v>
      </c>
    </row>
    <row r="44" spans="1:28" x14ac:dyDescent="0.15">
      <c r="A44" s="53" t="s">
        <v>41</v>
      </c>
      <c r="B44" s="53" t="s">
        <v>157</v>
      </c>
      <c r="C44" s="62">
        <v>2019</v>
      </c>
      <c r="D44" s="63" t="s">
        <v>188</v>
      </c>
      <c r="E44" s="53" t="s">
        <v>194</v>
      </c>
      <c r="F44" s="53" t="s">
        <v>196</v>
      </c>
      <c r="G44" s="53" t="s">
        <v>42</v>
      </c>
      <c r="H44" s="53" t="s">
        <v>164</v>
      </c>
      <c r="I44" s="53" t="s">
        <v>159</v>
      </c>
      <c r="J44" s="53" t="s">
        <v>38</v>
      </c>
      <c r="K44" s="53" t="s">
        <v>161</v>
      </c>
      <c r="L44" s="53">
        <v>1</v>
      </c>
      <c r="N44" s="53">
        <v>1</v>
      </c>
      <c r="O44" s="53">
        <v>1.2</v>
      </c>
      <c r="P44" s="53">
        <v>1</v>
      </c>
      <c r="Q44" s="74">
        <f t="shared" si="3"/>
        <v>1.1000000000000001</v>
      </c>
      <c r="R44" s="53">
        <v>10.199999999999999</v>
      </c>
      <c r="S44" s="53">
        <v>124</v>
      </c>
      <c r="T44" s="16">
        <f t="shared" si="1"/>
        <v>27</v>
      </c>
      <c r="U44" s="53">
        <v>108</v>
      </c>
      <c r="V44" s="16">
        <f t="shared" si="2"/>
        <v>2916</v>
      </c>
      <c r="W44" s="53">
        <v>1</v>
      </c>
      <c r="X44" s="53" t="s">
        <v>46</v>
      </c>
      <c r="Y44" s="53" t="s">
        <v>69</v>
      </c>
      <c r="Z44" s="53" t="s">
        <v>84</v>
      </c>
      <c r="AA44" s="53" t="s">
        <v>78</v>
      </c>
      <c r="AB44" s="53" t="s">
        <v>158</v>
      </c>
    </row>
    <row r="45" spans="1:28" x14ac:dyDescent="0.15">
      <c r="A45" s="53" t="s">
        <v>41</v>
      </c>
      <c r="B45" s="53" t="s">
        <v>157</v>
      </c>
      <c r="C45" s="62">
        <v>2019</v>
      </c>
      <c r="D45" s="63" t="s">
        <v>188</v>
      </c>
      <c r="E45" s="53" t="s">
        <v>194</v>
      </c>
      <c r="F45" s="53" t="s">
        <v>196</v>
      </c>
      <c r="G45" s="53" t="s">
        <v>42</v>
      </c>
      <c r="H45" s="53" t="s">
        <v>164</v>
      </c>
      <c r="I45" s="53" t="s">
        <v>159</v>
      </c>
      <c r="J45" s="53" t="s">
        <v>38</v>
      </c>
      <c r="K45" s="53" t="s">
        <v>161</v>
      </c>
      <c r="L45" s="53">
        <v>2</v>
      </c>
      <c r="M45" s="75"/>
      <c r="N45" s="53">
        <v>1</v>
      </c>
      <c r="O45" s="53">
        <v>1</v>
      </c>
      <c r="P45" s="53">
        <v>1.3</v>
      </c>
      <c r="Q45" s="74">
        <f t="shared" si="3"/>
        <v>1.1499999999999999</v>
      </c>
      <c r="R45" s="53">
        <v>11.2</v>
      </c>
      <c r="S45" s="53">
        <v>126</v>
      </c>
      <c r="T45" s="16">
        <f t="shared" si="1"/>
        <v>27</v>
      </c>
      <c r="U45" s="53">
        <v>108</v>
      </c>
      <c r="V45" s="16">
        <f t="shared" si="2"/>
        <v>2916</v>
      </c>
      <c r="W45" s="53">
        <v>1</v>
      </c>
      <c r="X45" s="53" t="s">
        <v>46</v>
      </c>
      <c r="Y45" s="53" t="s">
        <v>69</v>
      </c>
      <c r="Z45" s="53" t="s">
        <v>84</v>
      </c>
      <c r="AA45" s="53" t="s">
        <v>78</v>
      </c>
      <c r="AB45" s="53" t="s">
        <v>158</v>
      </c>
    </row>
    <row r="46" spans="1:28" x14ac:dyDescent="0.15">
      <c r="A46" s="53" t="s">
        <v>41</v>
      </c>
      <c r="B46" s="53" t="s">
        <v>157</v>
      </c>
      <c r="C46" s="62">
        <v>2019</v>
      </c>
      <c r="D46" s="63" t="s">
        <v>188</v>
      </c>
      <c r="E46" s="53" t="s">
        <v>194</v>
      </c>
      <c r="F46" s="53" t="s">
        <v>196</v>
      </c>
      <c r="G46" s="53" t="s">
        <v>42</v>
      </c>
      <c r="H46" s="53" t="s">
        <v>164</v>
      </c>
      <c r="I46" s="53" t="s">
        <v>159</v>
      </c>
      <c r="J46" s="53" t="s">
        <v>38</v>
      </c>
      <c r="K46" s="53" t="s">
        <v>161</v>
      </c>
      <c r="L46" s="53">
        <v>3</v>
      </c>
      <c r="M46" s="75"/>
      <c r="N46" s="53">
        <v>1</v>
      </c>
      <c r="O46" s="53">
        <v>0.9</v>
      </c>
      <c r="P46" s="53">
        <v>0.95</v>
      </c>
      <c r="Q46" s="74">
        <f t="shared" si="3"/>
        <v>0.92500000000000004</v>
      </c>
      <c r="R46" s="53">
        <v>11.1</v>
      </c>
      <c r="S46" s="53">
        <v>125</v>
      </c>
      <c r="T46" s="16">
        <f t="shared" si="1"/>
        <v>27</v>
      </c>
      <c r="U46" s="53">
        <v>108</v>
      </c>
      <c r="V46" s="16">
        <f t="shared" si="2"/>
        <v>2916</v>
      </c>
      <c r="W46" s="53">
        <v>1</v>
      </c>
      <c r="X46" s="53" t="s">
        <v>46</v>
      </c>
      <c r="Y46" s="53" t="s">
        <v>69</v>
      </c>
      <c r="Z46" s="53" t="s">
        <v>84</v>
      </c>
      <c r="AA46" s="53" t="s">
        <v>78</v>
      </c>
      <c r="AB46" s="53" t="s">
        <v>158</v>
      </c>
    </row>
    <row r="47" spans="1:28" x14ac:dyDescent="0.15">
      <c r="A47" s="53" t="s">
        <v>41</v>
      </c>
      <c r="B47" s="53" t="s">
        <v>157</v>
      </c>
      <c r="C47" s="62">
        <v>2019</v>
      </c>
      <c r="D47" s="63" t="s">
        <v>188</v>
      </c>
      <c r="E47" s="53" t="s">
        <v>194</v>
      </c>
      <c r="F47" s="53" t="s">
        <v>196</v>
      </c>
      <c r="G47" s="53" t="s">
        <v>42</v>
      </c>
      <c r="H47" s="53" t="s">
        <v>164</v>
      </c>
      <c r="I47" s="53" t="s">
        <v>159</v>
      </c>
      <c r="J47" s="53" t="s">
        <v>38</v>
      </c>
      <c r="K47" s="53" t="s">
        <v>161</v>
      </c>
      <c r="L47" s="53">
        <v>1</v>
      </c>
      <c r="N47" s="53">
        <v>4</v>
      </c>
      <c r="O47" s="53">
        <v>0.7</v>
      </c>
      <c r="P47" s="53">
        <v>0.8</v>
      </c>
      <c r="Q47" s="74">
        <f t="shared" si="3"/>
        <v>0.75</v>
      </c>
      <c r="R47" s="53">
        <v>12.3</v>
      </c>
      <c r="S47" s="53">
        <v>117</v>
      </c>
      <c r="T47" s="16">
        <f t="shared" si="1"/>
        <v>30</v>
      </c>
      <c r="U47" s="53">
        <v>429</v>
      </c>
      <c r="V47" s="16">
        <f t="shared" si="2"/>
        <v>3217.5</v>
      </c>
      <c r="W47" s="53">
        <v>2</v>
      </c>
      <c r="X47" s="53" t="s">
        <v>46</v>
      </c>
      <c r="Y47" s="53" t="s">
        <v>69</v>
      </c>
      <c r="Z47" s="53" t="s">
        <v>84</v>
      </c>
      <c r="AA47" s="53" t="s">
        <v>78</v>
      </c>
      <c r="AB47" s="53" t="s">
        <v>158</v>
      </c>
    </row>
    <row r="48" spans="1:28" x14ac:dyDescent="0.15">
      <c r="A48" s="53" t="s">
        <v>41</v>
      </c>
      <c r="B48" s="53" t="s">
        <v>157</v>
      </c>
      <c r="C48" s="62">
        <v>2019</v>
      </c>
      <c r="D48" s="63" t="s">
        <v>188</v>
      </c>
      <c r="E48" s="53" t="s">
        <v>194</v>
      </c>
      <c r="F48" s="53" t="s">
        <v>196</v>
      </c>
      <c r="G48" s="53" t="s">
        <v>42</v>
      </c>
      <c r="H48" s="53" t="s">
        <v>164</v>
      </c>
      <c r="I48" s="53" t="s">
        <v>159</v>
      </c>
      <c r="J48" s="53" t="s">
        <v>38</v>
      </c>
      <c r="K48" s="53" t="s">
        <v>161</v>
      </c>
      <c r="L48" s="53">
        <v>2</v>
      </c>
      <c r="M48" s="75"/>
      <c r="N48" s="53">
        <v>4</v>
      </c>
      <c r="O48" s="53">
        <v>0.8</v>
      </c>
      <c r="P48" s="53">
        <v>1</v>
      </c>
      <c r="Q48" s="74">
        <f t="shared" si="3"/>
        <v>0.9</v>
      </c>
      <c r="R48" s="53">
        <v>12</v>
      </c>
      <c r="S48" s="53">
        <v>115</v>
      </c>
      <c r="T48" s="16">
        <f t="shared" si="1"/>
        <v>30</v>
      </c>
      <c r="U48" s="53">
        <v>429</v>
      </c>
      <c r="V48" s="16">
        <f t="shared" si="2"/>
        <v>3217.5</v>
      </c>
      <c r="W48" s="53">
        <v>2</v>
      </c>
      <c r="X48" s="53" t="s">
        <v>46</v>
      </c>
      <c r="Y48" s="53" t="s">
        <v>69</v>
      </c>
      <c r="Z48" s="53" t="s">
        <v>84</v>
      </c>
      <c r="AA48" s="53" t="s">
        <v>78</v>
      </c>
      <c r="AB48" s="53" t="s">
        <v>158</v>
      </c>
    </row>
    <row r="49" spans="1:34" x14ac:dyDescent="0.15">
      <c r="A49" s="53" t="s">
        <v>41</v>
      </c>
      <c r="B49" s="53" t="s">
        <v>157</v>
      </c>
      <c r="C49" s="62">
        <v>2019</v>
      </c>
      <c r="D49" s="63" t="s">
        <v>188</v>
      </c>
      <c r="E49" s="53" t="s">
        <v>194</v>
      </c>
      <c r="F49" s="53" t="s">
        <v>196</v>
      </c>
      <c r="G49" s="53" t="s">
        <v>42</v>
      </c>
      <c r="H49" s="53" t="s">
        <v>164</v>
      </c>
      <c r="I49" s="53" t="s">
        <v>159</v>
      </c>
      <c r="J49" s="53" t="s">
        <v>38</v>
      </c>
      <c r="K49" s="53" t="s">
        <v>161</v>
      </c>
      <c r="L49" s="53">
        <v>3</v>
      </c>
      <c r="M49" s="75"/>
      <c r="N49" s="53">
        <v>4</v>
      </c>
      <c r="O49" s="53">
        <v>0.65</v>
      </c>
      <c r="P49" s="53">
        <v>0.55000000000000004</v>
      </c>
      <c r="Q49" s="74">
        <f t="shared" si="3"/>
        <v>0.60000000000000009</v>
      </c>
      <c r="R49" s="53">
        <v>13.4</v>
      </c>
      <c r="S49" s="53">
        <v>118</v>
      </c>
      <c r="T49" s="16">
        <f t="shared" si="1"/>
        <v>30</v>
      </c>
      <c r="U49" s="53">
        <v>429</v>
      </c>
      <c r="V49" s="16">
        <f t="shared" si="2"/>
        <v>3217.5</v>
      </c>
      <c r="W49" s="53">
        <v>2</v>
      </c>
      <c r="X49" s="53" t="s">
        <v>46</v>
      </c>
      <c r="Y49" s="53" t="s">
        <v>69</v>
      </c>
      <c r="Z49" s="53" t="s">
        <v>84</v>
      </c>
      <c r="AA49" s="53" t="s">
        <v>78</v>
      </c>
      <c r="AB49" s="53" t="s">
        <v>158</v>
      </c>
    </row>
    <row r="50" spans="1:34" x14ac:dyDescent="0.15">
      <c r="A50" s="53" t="s">
        <v>41</v>
      </c>
      <c r="B50" s="53" t="s">
        <v>157</v>
      </c>
      <c r="C50" s="62">
        <v>2019</v>
      </c>
      <c r="D50" s="63" t="s">
        <v>188</v>
      </c>
      <c r="E50" s="53" t="s">
        <v>194</v>
      </c>
      <c r="F50" s="53" t="s">
        <v>196</v>
      </c>
      <c r="G50" s="53" t="s">
        <v>42</v>
      </c>
      <c r="H50" s="53" t="s">
        <v>164</v>
      </c>
      <c r="I50" s="53" t="s">
        <v>159</v>
      </c>
      <c r="J50" s="53" t="s">
        <v>38</v>
      </c>
      <c r="K50" s="53" t="s">
        <v>161</v>
      </c>
      <c r="L50" s="53">
        <v>1</v>
      </c>
      <c r="N50" s="53">
        <v>8</v>
      </c>
      <c r="O50" s="53">
        <v>0.4</v>
      </c>
      <c r="P50" s="53">
        <v>0.45</v>
      </c>
      <c r="Q50" s="74">
        <f t="shared" si="3"/>
        <v>0.42500000000000004</v>
      </c>
      <c r="R50" s="53">
        <v>10.9</v>
      </c>
      <c r="S50" s="53">
        <v>104</v>
      </c>
      <c r="T50" s="16">
        <f t="shared" si="1"/>
        <v>33</v>
      </c>
      <c r="U50" s="53">
        <v>540</v>
      </c>
      <c r="V50" s="16">
        <f t="shared" si="2"/>
        <v>2227.5</v>
      </c>
      <c r="W50" s="53">
        <v>2</v>
      </c>
      <c r="X50" s="53" t="s">
        <v>46</v>
      </c>
      <c r="Y50" s="53" t="s">
        <v>69</v>
      </c>
      <c r="Z50" s="53" t="s">
        <v>84</v>
      </c>
      <c r="AA50" s="53" t="s">
        <v>78</v>
      </c>
      <c r="AB50" s="53" t="s">
        <v>158</v>
      </c>
    </row>
    <row r="51" spans="1:34" x14ac:dyDescent="0.15">
      <c r="A51" s="53" t="s">
        <v>41</v>
      </c>
      <c r="B51" s="53" t="s">
        <v>157</v>
      </c>
      <c r="C51" s="62">
        <v>2019</v>
      </c>
      <c r="D51" s="63" t="s">
        <v>188</v>
      </c>
      <c r="E51" s="53" t="s">
        <v>194</v>
      </c>
      <c r="F51" s="53" t="s">
        <v>196</v>
      </c>
      <c r="G51" s="53" t="s">
        <v>42</v>
      </c>
      <c r="H51" s="53" t="s">
        <v>164</v>
      </c>
      <c r="I51" s="53" t="s">
        <v>159</v>
      </c>
      <c r="J51" s="53" t="s">
        <v>38</v>
      </c>
      <c r="K51" s="53" t="s">
        <v>161</v>
      </c>
      <c r="L51" s="53">
        <v>2</v>
      </c>
      <c r="M51" s="75"/>
      <c r="N51" s="53">
        <v>8</v>
      </c>
      <c r="O51" s="53">
        <v>0.5</v>
      </c>
      <c r="P51" s="53">
        <v>0.45</v>
      </c>
      <c r="Q51" s="74">
        <f t="shared" si="3"/>
        <v>0.47499999999999998</v>
      </c>
      <c r="R51" s="53">
        <v>9.8000000000000007</v>
      </c>
      <c r="S51" s="53">
        <v>100</v>
      </c>
      <c r="T51" s="16">
        <f t="shared" si="1"/>
        <v>33</v>
      </c>
      <c r="U51" s="53">
        <v>540</v>
      </c>
      <c r="V51" s="16">
        <f t="shared" si="2"/>
        <v>2227.5</v>
      </c>
      <c r="W51" s="53">
        <v>2</v>
      </c>
      <c r="X51" s="53" t="s">
        <v>46</v>
      </c>
      <c r="Y51" s="53" t="s">
        <v>69</v>
      </c>
      <c r="Z51" s="53" t="s">
        <v>84</v>
      </c>
      <c r="AA51" s="53" t="s">
        <v>78</v>
      </c>
      <c r="AB51" s="53" t="s">
        <v>158</v>
      </c>
    </row>
    <row r="52" spans="1:34" x14ac:dyDescent="0.15">
      <c r="A52" s="53" t="s">
        <v>41</v>
      </c>
      <c r="B52" s="53" t="s">
        <v>157</v>
      </c>
      <c r="C52" s="62">
        <v>2019</v>
      </c>
      <c r="D52" s="63" t="s">
        <v>188</v>
      </c>
      <c r="E52" s="53" t="s">
        <v>194</v>
      </c>
      <c r="F52" s="53" t="s">
        <v>196</v>
      </c>
      <c r="G52" s="53" t="s">
        <v>42</v>
      </c>
      <c r="H52" s="53" t="s">
        <v>164</v>
      </c>
      <c r="I52" s="53" t="s">
        <v>159</v>
      </c>
      <c r="J52" s="53" t="s">
        <v>38</v>
      </c>
      <c r="K52" s="53" t="s">
        <v>161</v>
      </c>
      <c r="L52" s="53">
        <v>3</v>
      </c>
      <c r="M52" s="75"/>
      <c r="N52" s="53">
        <v>8</v>
      </c>
      <c r="O52" s="53">
        <v>0.5</v>
      </c>
      <c r="P52" s="53">
        <v>0.45</v>
      </c>
      <c r="Q52" s="74">
        <f t="shared" si="3"/>
        <v>0.47499999999999998</v>
      </c>
      <c r="R52" s="53">
        <v>14.1</v>
      </c>
      <c r="S52" s="53">
        <v>108</v>
      </c>
      <c r="T52" s="16">
        <f t="shared" si="1"/>
        <v>33</v>
      </c>
      <c r="U52" s="53">
        <v>540</v>
      </c>
      <c r="V52" s="16">
        <f t="shared" si="2"/>
        <v>2227.5</v>
      </c>
      <c r="W52" s="53">
        <v>2</v>
      </c>
      <c r="X52" s="53" t="s">
        <v>46</v>
      </c>
      <c r="Y52" s="53" t="s">
        <v>69</v>
      </c>
      <c r="Z52" s="53" t="s">
        <v>84</v>
      </c>
      <c r="AA52" s="53" t="s">
        <v>78</v>
      </c>
      <c r="AB52" s="53" t="s">
        <v>158</v>
      </c>
    </row>
    <row r="53" spans="1:34" x14ac:dyDescent="0.15">
      <c r="A53" s="53" t="s">
        <v>41</v>
      </c>
      <c r="B53" s="53" t="s">
        <v>157</v>
      </c>
      <c r="C53" s="62">
        <v>2019</v>
      </c>
      <c r="D53" s="63" t="s">
        <v>188</v>
      </c>
      <c r="E53" s="53" t="s">
        <v>194</v>
      </c>
      <c r="F53" s="53" t="s">
        <v>196</v>
      </c>
      <c r="G53" s="53" t="s">
        <v>42</v>
      </c>
      <c r="H53" s="53" t="s">
        <v>160</v>
      </c>
      <c r="I53" s="53" t="s">
        <v>159</v>
      </c>
      <c r="J53" s="53" t="s">
        <v>38</v>
      </c>
      <c r="K53" s="53" t="s">
        <v>54</v>
      </c>
      <c r="L53" s="53">
        <v>1</v>
      </c>
      <c r="N53" s="53">
        <v>1</v>
      </c>
      <c r="O53" s="53">
        <v>0.35</v>
      </c>
      <c r="P53" s="53">
        <v>0.3</v>
      </c>
      <c r="Q53" s="74">
        <f t="shared" si="3"/>
        <v>0.32499999999999996</v>
      </c>
      <c r="R53" s="53">
        <v>15.2</v>
      </c>
      <c r="S53" s="53">
        <v>131</v>
      </c>
      <c r="T53" s="16">
        <f t="shared" si="1"/>
        <v>25</v>
      </c>
      <c r="U53" s="53">
        <v>214</v>
      </c>
      <c r="V53" s="16">
        <f t="shared" si="2"/>
        <v>5350</v>
      </c>
      <c r="W53" s="53">
        <v>1</v>
      </c>
      <c r="X53" s="53" t="s">
        <v>46</v>
      </c>
      <c r="Y53" s="53" t="s">
        <v>69</v>
      </c>
      <c r="Z53" s="53" t="s">
        <v>84</v>
      </c>
      <c r="AA53" s="53" t="s">
        <v>78</v>
      </c>
      <c r="AB53" s="53" t="s">
        <v>158</v>
      </c>
    </row>
    <row r="54" spans="1:34" x14ac:dyDescent="0.15">
      <c r="A54" s="53" t="s">
        <v>41</v>
      </c>
      <c r="B54" s="53" t="s">
        <v>157</v>
      </c>
      <c r="C54" s="62">
        <v>2019</v>
      </c>
      <c r="D54" s="63" t="s">
        <v>188</v>
      </c>
      <c r="E54" s="53" t="s">
        <v>194</v>
      </c>
      <c r="F54" s="53" t="s">
        <v>196</v>
      </c>
      <c r="G54" s="53" t="s">
        <v>42</v>
      </c>
      <c r="H54" s="53" t="s">
        <v>160</v>
      </c>
      <c r="I54" s="53" t="s">
        <v>159</v>
      </c>
      <c r="J54" s="53" t="s">
        <v>38</v>
      </c>
      <c r="K54" s="53" t="s">
        <v>54</v>
      </c>
      <c r="L54" s="53">
        <v>2</v>
      </c>
      <c r="M54" s="75"/>
      <c r="N54" s="53">
        <v>1</v>
      </c>
      <c r="O54" s="53">
        <v>0.25</v>
      </c>
      <c r="P54" s="53">
        <v>0.25</v>
      </c>
      <c r="Q54" s="74">
        <f t="shared" si="3"/>
        <v>0.25</v>
      </c>
      <c r="R54" s="53">
        <v>16</v>
      </c>
      <c r="S54" s="53">
        <v>128</v>
      </c>
      <c r="T54" s="16">
        <f t="shared" si="1"/>
        <v>27</v>
      </c>
      <c r="U54" s="53">
        <v>214</v>
      </c>
      <c r="V54" s="16">
        <f t="shared" si="2"/>
        <v>5778</v>
      </c>
      <c r="W54" s="53">
        <v>1</v>
      </c>
      <c r="X54" s="53" t="s">
        <v>46</v>
      </c>
      <c r="Y54" s="53" t="s">
        <v>69</v>
      </c>
      <c r="Z54" s="53" t="s">
        <v>84</v>
      </c>
      <c r="AA54" s="53" t="s">
        <v>78</v>
      </c>
      <c r="AB54" s="53" t="s">
        <v>158</v>
      </c>
    </row>
    <row r="55" spans="1:34" x14ac:dyDescent="0.15">
      <c r="A55" s="53" t="s">
        <v>41</v>
      </c>
      <c r="B55" s="53" t="s">
        <v>157</v>
      </c>
      <c r="C55" s="62">
        <v>2019</v>
      </c>
      <c r="D55" s="63" t="s">
        <v>188</v>
      </c>
      <c r="E55" s="53" t="s">
        <v>194</v>
      </c>
      <c r="F55" s="53" t="s">
        <v>196</v>
      </c>
      <c r="G55" s="53" t="s">
        <v>42</v>
      </c>
      <c r="H55" s="53" t="s">
        <v>160</v>
      </c>
      <c r="I55" s="53" t="s">
        <v>159</v>
      </c>
      <c r="J55" s="53" t="s">
        <v>38</v>
      </c>
      <c r="K55" s="53" t="s">
        <v>54</v>
      </c>
      <c r="L55" s="53">
        <v>3</v>
      </c>
      <c r="M55" s="75"/>
      <c r="N55" s="53">
        <v>1</v>
      </c>
      <c r="O55" s="53">
        <v>0.3</v>
      </c>
      <c r="P55" s="53">
        <v>0.25</v>
      </c>
      <c r="Q55" s="74">
        <f t="shared" si="3"/>
        <v>0.27500000000000002</v>
      </c>
      <c r="R55" s="53">
        <v>13.7</v>
      </c>
      <c r="S55" s="53">
        <v>127</v>
      </c>
      <c r="T55" s="16">
        <f t="shared" si="1"/>
        <v>27</v>
      </c>
      <c r="U55" s="53">
        <v>214</v>
      </c>
      <c r="V55" s="16">
        <f t="shared" si="2"/>
        <v>5778</v>
      </c>
      <c r="W55" s="53">
        <v>1</v>
      </c>
      <c r="X55" s="53" t="s">
        <v>46</v>
      </c>
      <c r="Y55" s="53" t="s">
        <v>69</v>
      </c>
      <c r="Z55" s="53" t="s">
        <v>84</v>
      </c>
      <c r="AA55" s="53" t="s">
        <v>78</v>
      </c>
      <c r="AB55" s="53" t="s">
        <v>158</v>
      </c>
    </row>
    <row r="56" spans="1:34" x14ac:dyDescent="0.15">
      <c r="A56" s="53" t="s">
        <v>41</v>
      </c>
      <c r="B56" s="53" t="s">
        <v>157</v>
      </c>
      <c r="C56" s="62">
        <v>2019</v>
      </c>
      <c r="D56" s="63" t="s">
        <v>188</v>
      </c>
      <c r="E56" s="53" t="s">
        <v>199</v>
      </c>
      <c r="F56" s="53" t="s">
        <v>196</v>
      </c>
      <c r="G56" s="53" t="s">
        <v>42</v>
      </c>
      <c r="H56" s="53" t="s">
        <v>164</v>
      </c>
      <c r="I56" s="53" t="s">
        <v>159</v>
      </c>
      <c r="J56" s="53" t="s">
        <v>38</v>
      </c>
      <c r="K56" s="53" t="s">
        <v>161</v>
      </c>
      <c r="L56" s="53">
        <v>1</v>
      </c>
      <c r="N56" s="53">
        <v>1</v>
      </c>
      <c r="O56" s="53">
        <v>0.9</v>
      </c>
      <c r="P56" s="53">
        <v>0.8</v>
      </c>
      <c r="Q56" s="72">
        <f t="shared" si="3"/>
        <v>0.85000000000000009</v>
      </c>
      <c r="R56" s="53">
        <v>10.199999999999999</v>
      </c>
      <c r="S56" s="53">
        <v>120</v>
      </c>
      <c r="T56" s="16">
        <f t="shared" si="1"/>
        <v>30</v>
      </c>
      <c r="U56" s="53">
        <v>94</v>
      </c>
      <c r="V56" s="16">
        <f t="shared" si="2"/>
        <v>2820</v>
      </c>
      <c r="W56" s="53">
        <v>2</v>
      </c>
      <c r="X56" s="53" t="s">
        <v>46</v>
      </c>
      <c r="Y56" s="53" t="s">
        <v>84</v>
      </c>
      <c r="Z56" s="53" t="s">
        <v>90</v>
      </c>
      <c r="AA56" s="53" t="s">
        <v>69</v>
      </c>
      <c r="AB56" s="53" t="s">
        <v>158</v>
      </c>
    </row>
    <row r="57" spans="1:34" x14ac:dyDescent="0.15">
      <c r="A57" s="53" t="s">
        <v>41</v>
      </c>
      <c r="B57" s="53" t="s">
        <v>157</v>
      </c>
      <c r="C57" s="62">
        <v>2019</v>
      </c>
      <c r="D57" s="63" t="s">
        <v>188</v>
      </c>
      <c r="E57" s="53" t="s">
        <v>199</v>
      </c>
      <c r="F57" s="53" t="s">
        <v>196</v>
      </c>
      <c r="G57" s="53" t="s">
        <v>42</v>
      </c>
      <c r="H57" s="53" t="s">
        <v>164</v>
      </c>
      <c r="I57" s="53" t="s">
        <v>159</v>
      </c>
      <c r="J57" s="53" t="s">
        <v>38</v>
      </c>
      <c r="K57" s="53" t="s">
        <v>161</v>
      </c>
      <c r="L57" s="53">
        <v>2</v>
      </c>
      <c r="M57" s="75"/>
      <c r="N57" s="53">
        <v>1</v>
      </c>
      <c r="O57" s="53">
        <v>1</v>
      </c>
      <c r="P57" s="53">
        <v>0.85</v>
      </c>
      <c r="Q57" s="72">
        <f t="shared" si="3"/>
        <v>0.92500000000000004</v>
      </c>
      <c r="R57" s="53">
        <v>13.2</v>
      </c>
      <c r="S57" s="53">
        <v>115</v>
      </c>
      <c r="T57" s="16">
        <f t="shared" si="1"/>
        <v>30</v>
      </c>
      <c r="U57" s="53">
        <v>94</v>
      </c>
      <c r="V57" s="16">
        <f t="shared" si="2"/>
        <v>2820</v>
      </c>
      <c r="W57" s="53">
        <v>2</v>
      </c>
      <c r="X57" s="53" t="s">
        <v>46</v>
      </c>
      <c r="Y57" s="53" t="s">
        <v>84</v>
      </c>
      <c r="Z57" s="53" t="s">
        <v>90</v>
      </c>
      <c r="AA57" s="53" t="s">
        <v>69</v>
      </c>
      <c r="AB57" s="53" t="s">
        <v>158</v>
      </c>
    </row>
    <row r="58" spans="1:34" x14ac:dyDescent="0.15">
      <c r="A58" s="53" t="s">
        <v>41</v>
      </c>
      <c r="B58" s="53" t="s">
        <v>157</v>
      </c>
      <c r="C58" s="62">
        <v>2019</v>
      </c>
      <c r="D58" s="63" t="s">
        <v>188</v>
      </c>
      <c r="E58" s="53" t="s">
        <v>199</v>
      </c>
      <c r="F58" s="53" t="s">
        <v>196</v>
      </c>
      <c r="G58" s="53" t="s">
        <v>42</v>
      </c>
      <c r="H58" s="53" t="s">
        <v>164</v>
      </c>
      <c r="I58" s="53" t="s">
        <v>159</v>
      </c>
      <c r="J58" s="53" t="s">
        <v>38</v>
      </c>
      <c r="K58" s="53" t="s">
        <v>161</v>
      </c>
      <c r="L58" s="53">
        <v>3</v>
      </c>
      <c r="M58" s="75"/>
      <c r="N58" s="53">
        <v>1</v>
      </c>
      <c r="O58" s="53">
        <v>0.8</v>
      </c>
      <c r="P58" s="53">
        <v>0.7</v>
      </c>
      <c r="Q58" s="72">
        <f t="shared" si="3"/>
        <v>0.75</v>
      </c>
      <c r="R58" s="53">
        <v>12.4</v>
      </c>
      <c r="S58" s="53">
        <v>117</v>
      </c>
      <c r="T58" s="16">
        <f t="shared" si="1"/>
        <v>30</v>
      </c>
      <c r="U58" s="53">
        <v>94</v>
      </c>
      <c r="V58" s="16">
        <f t="shared" si="2"/>
        <v>2820</v>
      </c>
      <c r="W58" s="53">
        <v>2</v>
      </c>
      <c r="X58" s="53" t="s">
        <v>46</v>
      </c>
      <c r="Y58" s="53" t="s">
        <v>84</v>
      </c>
      <c r="Z58" s="53" t="s">
        <v>90</v>
      </c>
      <c r="AA58" s="53" t="s">
        <v>69</v>
      </c>
      <c r="AB58" s="53" t="s">
        <v>158</v>
      </c>
    </row>
    <row r="59" spans="1:34" x14ac:dyDescent="0.15">
      <c r="A59" s="53" t="s">
        <v>41</v>
      </c>
      <c r="B59" s="53" t="s">
        <v>157</v>
      </c>
      <c r="C59" s="62">
        <v>2019</v>
      </c>
      <c r="D59" s="63" t="s">
        <v>188</v>
      </c>
      <c r="E59" s="53" t="s">
        <v>199</v>
      </c>
      <c r="F59" s="53" t="s">
        <v>196</v>
      </c>
      <c r="G59" s="53" t="s">
        <v>42</v>
      </c>
      <c r="H59" s="53" t="s">
        <v>187</v>
      </c>
      <c r="I59" s="53" t="s">
        <v>159</v>
      </c>
      <c r="J59" s="53" t="s">
        <v>80</v>
      </c>
      <c r="K59" s="53" t="s">
        <v>80</v>
      </c>
      <c r="L59" s="53">
        <v>1</v>
      </c>
      <c r="N59" s="53">
        <v>1</v>
      </c>
      <c r="O59" s="53">
        <v>0.65</v>
      </c>
      <c r="P59" s="53">
        <v>0.7</v>
      </c>
      <c r="Q59" s="72">
        <f t="shared" si="3"/>
        <v>0.67500000000000004</v>
      </c>
      <c r="R59" s="53">
        <v>12.3</v>
      </c>
      <c r="S59" s="53">
        <v>100</v>
      </c>
      <c r="T59" s="16">
        <f t="shared" si="1"/>
        <v>33</v>
      </c>
      <c r="U59" s="53">
        <v>94</v>
      </c>
      <c r="V59" s="16">
        <f t="shared" si="2"/>
        <v>3102</v>
      </c>
      <c r="W59" s="53">
        <v>2</v>
      </c>
      <c r="X59" s="53" t="s">
        <v>46</v>
      </c>
      <c r="Y59" s="53" t="s">
        <v>84</v>
      </c>
      <c r="Z59" s="53" t="s">
        <v>90</v>
      </c>
      <c r="AA59" s="53" t="s">
        <v>69</v>
      </c>
      <c r="AB59" s="53" t="s">
        <v>158</v>
      </c>
    </row>
    <row r="60" spans="1:34" x14ac:dyDescent="0.15">
      <c r="A60" s="53" t="s">
        <v>41</v>
      </c>
      <c r="B60" s="53" t="s">
        <v>157</v>
      </c>
      <c r="C60" s="62">
        <v>2019</v>
      </c>
      <c r="D60" s="63" t="s">
        <v>188</v>
      </c>
      <c r="E60" s="53" t="s">
        <v>199</v>
      </c>
      <c r="F60" s="53" t="s">
        <v>196</v>
      </c>
      <c r="G60" s="53" t="s">
        <v>42</v>
      </c>
      <c r="H60" s="53" t="s">
        <v>187</v>
      </c>
      <c r="I60" s="53" t="s">
        <v>159</v>
      </c>
      <c r="J60" s="53" t="s">
        <v>80</v>
      </c>
      <c r="K60" s="53" t="s">
        <v>80</v>
      </c>
      <c r="L60" s="53">
        <v>2</v>
      </c>
      <c r="M60" s="75"/>
      <c r="N60" s="53">
        <v>1</v>
      </c>
      <c r="O60" s="53">
        <v>0.8</v>
      </c>
      <c r="P60" s="53">
        <v>0.5</v>
      </c>
      <c r="Q60" s="72">
        <f t="shared" si="3"/>
        <v>0.65</v>
      </c>
      <c r="R60" s="53">
        <v>9.9</v>
      </c>
      <c r="S60" s="53">
        <v>104</v>
      </c>
      <c r="T60" s="16">
        <f t="shared" si="1"/>
        <v>33</v>
      </c>
      <c r="U60" s="53">
        <v>94</v>
      </c>
      <c r="V60" s="16">
        <f t="shared" si="2"/>
        <v>3102</v>
      </c>
      <c r="W60" s="53">
        <v>2</v>
      </c>
      <c r="X60" s="53" t="s">
        <v>46</v>
      </c>
      <c r="Y60" s="53" t="s">
        <v>84</v>
      </c>
      <c r="Z60" s="53" t="s">
        <v>90</v>
      </c>
      <c r="AA60" s="53" t="s">
        <v>69</v>
      </c>
      <c r="AB60" s="53" t="s">
        <v>158</v>
      </c>
    </row>
    <row r="61" spans="1:34" x14ac:dyDescent="0.15">
      <c r="A61" s="53" t="s">
        <v>41</v>
      </c>
      <c r="B61" s="53" t="s">
        <v>157</v>
      </c>
      <c r="C61" s="62">
        <v>2019</v>
      </c>
      <c r="D61" s="63" t="s">
        <v>188</v>
      </c>
      <c r="E61" s="53" t="s">
        <v>199</v>
      </c>
      <c r="F61" s="53" t="s">
        <v>196</v>
      </c>
      <c r="G61" s="53" t="s">
        <v>42</v>
      </c>
      <c r="H61" s="53" t="s">
        <v>187</v>
      </c>
      <c r="I61" s="53" t="s">
        <v>159</v>
      </c>
      <c r="J61" s="53" t="s">
        <v>80</v>
      </c>
      <c r="K61" s="53" t="s">
        <v>80</v>
      </c>
      <c r="L61" s="53">
        <v>3</v>
      </c>
      <c r="M61" s="75"/>
      <c r="N61" s="53">
        <v>1</v>
      </c>
      <c r="O61" s="53">
        <v>0.75</v>
      </c>
      <c r="P61" s="53">
        <v>0.65</v>
      </c>
      <c r="Q61" s="72">
        <f t="shared" si="3"/>
        <v>0.7</v>
      </c>
      <c r="R61" s="53">
        <v>10.7</v>
      </c>
      <c r="S61" s="53">
        <v>110</v>
      </c>
      <c r="T61" s="16">
        <f t="shared" si="1"/>
        <v>33</v>
      </c>
      <c r="U61" s="53">
        <v>94</v>
      </c>
      <c r="V61" s="16">
        <f t="shared" si="2"/>
        <v>3102</v>
      </c>
      <c r="W61" s="53">
        <v>2</v>
      </c>
      <c r="X61" s="53" t="s">
        <v>46</v>
      </c>
      <c r="Y61" s="53" t="s">
        <v>84</v>
      </c>
      <c r="Z61" s="53" t="s">
        <v>90</v>
      </c>
      <c r="AA61" s="53" t="s">
        <v>69</v>
      </c>
      <c r="AB61" s="53" t="s">
        <v>158</v>
      </c>
    </row>
    <row r="62" spans="1:34" x14ac:dyDescent="0.15">
      <c r="A62" s="53" t="s">
        <v>41</v>
      </c>
      <c r="B62" s="53" t="s">
        <v>157</v>
      </c>
      <c r="C62" s="62">
        <v>2019</v>
      </c>
      <c r="D62" s="63" t="s">
        <v>188</v>
      </c>
      <c r="E62" s="53" t="s">
        <v>202</v>
      </c>
      <c r="F62" s="53" t="s">
        <v>203</v>
      </c>
      <c r="G62" s="53" t="s">
        <v>42</v>
      </c>
      <c r="H62" s="53" t="s">
        <v>164</v>
      </c>
      <c r="I62" s="53" t="s">
        <v>159</v>
      </c>
      <c r="J62" s="53" t="s">
        <v>38</v>
      </c>
      <c r="K62" s="53" t="s">
        <v>161</v>
      </c>
      <c r="L62" s="53">
        <v>1</v>
      </c>
      <c r="N62" s="53">
        <v>1</v>
      </c>
      <c r="O62" s="53">
        <v>1.2</v>
      </c>
      <c r="P62" s="53">
        <v>1.1499999999999999</v>
      </c>
      <c r="Q62" s="74">
        <f t="shared" si="3"/>
        <v>1.1749999999999998</v>
      </c>
      <c r="R62" s="53">
        <v>10.8</v>
      </c>
      <c r="S62" s="53">
        <v>127</v>
      </c>
      <c r="T62" s="16">
        <f t="shared" si="1"/>
        <v>27</v>
      </c>
      <c r="U62" s="53">
        <v>73</v>
      </c>
      <c r="V62" s="38">
        <v>3146</v>
      </c>
      <c r="W62" s="53">
        <v>2</v>
      </c>
      <c r="X62" s="53" t="s">
        <v>46</v>
      </c>
      <c r="Y62" s="53" t="s">
        <v>84</v>
      </c>
      <c r="Z62" s="53" t="s">
        <v>90</v>
      </c>
      <c r="AA62" s="53" t="s">
        <v>69</v>
      </c>
      <c r="AB62" s="53" t="s">
        <v>158</v>
      </c>
      <c r="AC62" s="75"/>
      <c r="AD62" s="75"/>
      <c r="AF62" s="75"/>
      <c r="AG62" s="75"/>
      <c r="AH62" s="75"/>
    </row>
    <row r="63" spans="1:34" x14ac:dyDescent="0.15">
      <c r="A63" s="53" t="s">
        <v>41</v>
      </c>
      <c r="B63" s="53" t="s">
        <v>157</v>
      </c>
      <c r="C63" s="62">
        <v>2019</v>
      </c>
      <c r="D63" s="63" t="s">
        <v>188</v>
      </c>
      <c r="E63" s="53" t="s">
        <v>202</v>
      </c>
      <c r="F63" s="53" t="s">
        <v>203</v>
      </c>
      <c r="G63" s="53" t="s">
        <v>42</v>
      </c>
      <c r="H63" s="53" t="s">
        <v>164</v>
      </c>
      <c r="I63" s="53" t="s">
        <v>159</v>
      </c>
      <c r="J63" s="53" t="s">
        <v>38</v>
      </c>
      <c r="K63" s="53" t="s">
        <v>161</v>
      </c>
      <c r="L63" s="53">
        <v>2</v>
      </c>
      <c r="N63" s="53">
        <v>1</v>
      </c>
      <c r="O63" s="53">
        <v>1</v>
      </c>
      <c r="P63" s="53">
        <v>1.3</v>
      </c>
      <c r="Q63" s="74">
        <f t="shared" si="3"/>
        <v>1.1499999999999999</v>
      </c>
      <c r="R63" s="53">
        <v>12.4</v>
      </c>
      <c r="S63" s="53">
        <v>125</v>
      </c>
      <c r="T63" s="16">
        <f t="shared" si="1"/>
        <v>27</v>
      </c>
      <c r="U63" s="53">
        <v>73</v>
      </c>
      <c r="V63" s="38">
        <v>3146</v>
      </c>
      <c r="W63" s="53">
        <v>2</v>
      </c>
      <c r="X63" s="53" t="s">
        <v>46</v>
      </c>
      <c r="Y63" s="53" t="s">
        <v>84</v>
      </c>
      <c r="Z63" s="53" t="s">
        <v>90</v>
      </c>
      <c r="AA63" s="53" t="s">
        <v>69</v>
      </c>
      <c r="AB63" s="53" t="s">
        <v>158</v>
      </c>
      <c r="AC63" s="75"/>
      <c r="AD63" s="75"/>
      <c r="AF63" s="75"/>
      <c r="AG63" s="75"/>
      <c r="AH63" s="75"/>
    </row>
    <row r="64" spans="1:34" x14ac:dyDescent="0.15">
      <c r="A64" s="53" t="s">
        <v>41</v>
      </c>
      <c r="B64" s="53" t="s">
        <v>157</v>
      </c>
      <c r="C64" s="62">
        <v>2019</v>
      </c>
      <c r="D64" s="63" t="s">
        <v>188</v>
      </c>
      <c r="E64" s="53" t="s">
        <v>202</v>
      </c>
      <c r="F64" s="53" t="s">
        <v>203</v>
      </c>
      <c r="G64" s="53" t="s">
        <v>42</v>
      </c>
      <c r="H64" s="53" t="s">
        <v>164</v>
      </c>
      <c r="I64" s="53" t="s">
        <v>159</v>
      </c>
      <c r="J64" s="53" t="s">
        <v>38</v>
      </c>
      <c r="K64" s="53" t="s">
        <v>161</v>
      </c>
      <c r="L64" s="53">
        <v>3</v>
      </c>
      <c r="N64" s="53">
        <v>1</v>
      </c>
      <c r="O64" s="53">
        <v>0.95</v>
      </c>
      <c r="P64" s="53">
        <v>0.8</v>
      </c>
      <c r="Q64" s="74">
        <f t="shared" si="3"/>
        <v>0.875</v>
      </c>
      <c r="R64" s="53">
        <v>14</v>
      </c>
      <c r="S64" s="53">
        <v>126</v>
      </c>
      <c r="T64" s="16">
        <f t="shared" si="1"/>
        <v>27</v>
      </c>
      <c r="U64" s="53">
        <v>73</v>
      </c>
      <c r="V64" s="38">
        <v>3146</v>
      </c>
      <c r="W64" s="53">
        <v>2</v>
      </c>
      <c r="X64" s="53" t="s">
        <v>46</v>
      </c>
      <c r="Y64" s="53" t="s">
        <v>84</v>
      </c>
      <c r="Z64" s="53" t="s">
        <v>90</v>
      </c>
      <c r="AA64" s="53" t="s">
        <v>69</v>
      </c>
      <c r="AB64" s="53" t="s">
        <v>158</v>
      </c>
      <c r="AC64" s="75"/>
      <c r="AD64" s="75"/>
      <c r="AF64" s="75"/>
      <c r="AG64" s="75"/>
      <c r="AH64" s="75"/>
    </row>
    <row r="65" spans="1:34" x14ac:dyDescent="0.15">
      <c r="A65" s="53" t="s">
        <v>41</v>
      </c>
      <c r="B65" s="53" t="s">
        <v>157</v>
      </c>
      <c r="C65" s="62">
        <v>2019</v>
      </c>
      <c r="D65" s="63" t="s">
        <v>188</v>
      </c>
      <c r="E65" s="53" t="s">
        <v>202</v>
      </c>
      <c r="F65" s="53" t="s">
        <v>209</v>
      </c>
      <c r="G65" s="53" t="s">
        <v>42</v>
      </c>
      <c r="H65" s="53" t="s">
        <v>164</v>
      </c>
      <c r="I65" s="53" t="s">
        <v>159</v>
      </c>
      <c r="J65" s="53" t="s">
        <v>38</v>
      </c>
      <c r="K65" s="53" t="s">
        <v>161</v>
      </c>
      <c r="L65" s="53">
        <v>1</v>
      </c>
      <c r="N65" s="53">
        <v>1</v>
      </c>
      <c r="O65" s="53">
        <v>0.8</v>
      </c>
      <c r="P65" s="53">
        <v>0.9</v>
      </c>
      <c r="Q65" s="16">
        <f t="shared" si="3"/>
        <v>0.85000000000000009</v>
      </c>
      <c r="R65" s="53">
        <v>10.5</v>
      </c>
      <c r="S65" s="53">
        <v>124</v>
      </c>
      <c r="T65" s="16">
        <f t="shared" si="1"/>
        <v>27</v>
      </c>
      <c r="U65" s="53">
        <v>94</v>
      </c>
      <c r="V65" s="38">
        <f t="shared" ref="V65:V91" si="4">IF(OR(N65="",U65="",T65=""),"",U65/N65*T65)</f>
        <v>2538</v>
      </c>
      <c r="W65" s="53">
        <v>1</v>
      </c>
      <c r="X65" s="53" t="s">
        <v>46</v>
      </c>
      <c r="Y65" s="53" t="s">
        <v>84</v>
      </c>
      <c r="Z65" s="53" t="s">
        <v>90</v>
      </c>
      <c r="AA65" s="53" t="s">
        <v>69</v>
      </c>
      <c r="AB65" s="53" t="s">
        <v>158</v>
      </c>
      <c r="AC65" s="75"/>
      <c r="AD65" s="75"/>
      <c r="AF65" s="75"/>
      <c r="AG65" s="75"/>
      <c r="AH65" s="75"/>
    </row>
    <row r="66" spans="1:34" x14ac:dyDescent="0.15">
      <c r="A66" s="53" t="s">
        <v>41</v>
      </c>
      <c r="B66" s="53" t="s">
        <v>157</v>
      </c>
      <c r="C66" s="62">
        <v>2019</v>
      </c>
      <c r="D66" s="63" t="s">
        <v>188</v>
      </c>
      <c r="E66" s="53" t="s">
        <v>202</v>
      </c>
      <c r="F66" s="53" t="s">
        <v>209</v>
      </c>
      <c r="G66" s="53" t="s">
        <v>42</v>
      </c>
      <c r="H66" s="53" t="s">
        <v>164</v>
      </c>
      <c r="I66" s="53" t="s">
        <v>159</v>
      </c>
      <c r="J66" s="53" t="s">
        <v>38</v>
      </c>
      <c r="K66" s="53" t="s">
        <v>161</v>
      </c>
      <c r="L66" s="53">
        <v>2</v>
      </c>
      <c r="N66" s="53">
        <v>1</v>
      </c>
      <c r="O66" s="53">
        <v>0.95</v>
      </c>
      <c r="P66" s="53">
        <v>0.95</v>
      </c>
      <c r="Q66" s="16">
        <f t="shared" si="3"/>
        <v>0.95</v>
      </c>
      <c r="R66" s="53">
        <v>11.4</v>
      </c>
      <c r="S66" s="53">
        <v>128</v>
      </c>
      <c r="T66" s="16">
        <f t="shared" ref="T66:T101" si="5">IF(H66="","",IF(OR(H66="GREEN",H66="GK"),IF(S66&gt;=$AX$2,VLOOKUP(S66,$AX$2:$AY$10,2,1),""),IF(S66&gt;=$AZ$2,VLOOKUP(S66,$AZ$2:$BA$10,2,1),"")))</f>
        <v>27</v>
      </c>
      <c r="U66" s="53">
        <v>94</v>
      </c>
      <c r="V66" s="38">
        <f t="shared" si="4"/>
        <v>2538</v>
      </c>
      <c r="W66" s="53">
        <v>1</v>
      </c>
      <c r="X66" s="53" t="s">
        <v>46</v>
      </c>
      <c r="Y66" s="53" t="s">
        <v>84</v>
      </c>
      <c r="Z66" s="53" t="s">
        <v>90</v>
      </c>
      <c r="AA66" s="53" t="s">
        <v>69</v>
      </c>
      <c r="AB66" s="53" t="s">
        <v>158</v>
      </c>
      <c r="AC66" s="75"/>
      <c r="AD66" s="75"/>
      <c r="AF66" s="75"/>
      <c r="AG66" s="75"/>
      <c r="AH66" s="75"/>
    </row>
    <row r="67" spans="1:34" x14ac:dyDescent="0.15">
      <c r="A67" s="53" t="s">
        <v>41</v>
      </c>
      <c r="B67" s="53" t="s">
        <v>157</v>
      </c>
      <c r="C67" s="62">
        <v>2019</v>
      </c>
      <c r="D67" s="63" t="s">
        <v>188</v>
      </c>
      <c r="E67" s="53" t="s">
        <v>202</v>
      </c>
      <c r="F67" s="53" t="s">
        <v>209</v>
      </c>
      <c r="G67" s="53" t="s">
        <v>42</v>
      </c>
      <c r="H67" s="53" t="s">
        <v>164</v>
      </c>
      <c r="I67" s="53" t="s">
        <v>159</v>
      </c>
      <c r="J67" s="53" t="s">
        <v>38</v>
      </c>
      <c r="K67" s="53" t="s">
        <v>161</v>
      </c>
      <c r="L67" s="53">
        <v>3</v>
      </c>
      <c r="N67" s="53">
        <v>1</v>
      </c>
      <c r="O67" s="53">
        <v>0.7</v>
      </c>
      <c r="P67" s="53">
        <v>0.75</v>
      </c>
      <c r="Q67" s="16">
        <f t="shared" si="3"/>
        <v>0.72499999999999998</v>
      </c>
      <c r="R67" s="53">
        <v>12.4</v>
      </c>
      <c r="S67" s="53">
        <v>128</v>
      </c>
      <c r="T67" s="16">
        <f t="shared" si="5"/>
        <v>27</v>
      </c>
      <c r="U67" s="53">
        <v>94</v>
      </c>
      <c r="V67" s="38">
        <f t="shared" si="4"/>
        <v>2538</v>
      </c>
      <c r="W67" s="53">
        <v>1</v>
      </c>
      <c r="X67" s="53" t="s">
        <v>46</v>
      </c>
      <c r="Y67" s="53" t="s">
        <v>84</v>
      </c>
      <c r="Z67" s="53" t="s">
        <v>90</v>
      </c>
      <c r="AA67" s="53" t="s">
        <v>69</v>
      </c>
      <c r="AB67" s="53" t="s">
        <v>158</v>
      </c>
      <c r="AC67" s="75"/>
      <c r="AD67" s="75"/>
      <c r="AF67" s="75"/>
      <c r="AG67" s="75"/>
      <c r="AH67" s="75"/>
    </row>
    <row r="68" spans="1:34" x14ac:dyDescent="0.15">
      <c r="A68" s="53" t="s">
        <v>41</v>
      </c>
      <c r="B68" s="53" t="s">
        <v>157</v>
      </c>
      <c r="C68" s="62">
        <v>2019</v>
      </c>
      <c r="D68" s="63" t="s">
        <v>188</v>
      </c>
      <c r="E68" s="53" t="s">
        <v>202</v>
      </c>
      <c r="F68" s="53" t="s">
        <v>209</v>
      </c>
      <c r="G68" s="53" t="s">
        <v>42</v>
      </c>
      <c r="H68" s="53" t="s">
        <v>164</v>
      </c>
      <c r="I68" s="53" t="s">
        <v>159</v>
      </c>
      <c r="J68" s="53" t="s">
        <v>38</v>
      </c>
      <c r="K68" s="53" t="s">
        <v>161</v>
      </c>
      <c r="L68" s="53">
        <v>1</v>
      </c>
      <c r="N68" s="53">
        <v>6</v>
      </c>
      <c r="O68" s="53">
        <v>0.25</v>
      </c>
      <c r="P68" s="53">
        <v>0.3</v>
      </c>
      <c r="Q68" s="16">
        <f t="shared" si="3"/>
        <v>0.27500000000000002</v>
      </c>
      <c r="R68" s="53">
        <v>12.6</v>
      </c>
      <c r="S68" s="53">
        <v>120</v>
      </c>
      <c r="T68" s="16">
        <f t="shared" si="5"/>
        <v>30</v>
      </c>
      <c r="U68" s="53">
        <v>538</v>
      </c>
      <c r="V68" s="16">
        <f t="shared" si="4"/>
        <v>2690</v>
      </c>
      <c r="W68" s="53">
        <v>1</v>
      </c>
      <c r="X68" s="53" t="s">
        <v>46</v>
      </c>
      <c r="Y68" s="53" t="s">
        <v>84</v>
      </c>
      <c r="Z68" s="53" t="s">
        <v>90</v>
      </c>
      <c r="AA68" s="53" t="s">
        <v>69</v>
      </c>
      <c r="AB68" s="53" t="s">
        <v>158</v>
      </c>
      <c r="AC68" s="75"/>
      <c r="AD68" s="75"/>
      <c r="AF68" s="75"/>
      <c r="AG68" s="75"/>
      <c r="AH68" s="75"/>
    </row>
    <row r="69" spans="1:34" x14ac:dyDescent="0.15">
      <c r="A69" s="53" t="s">
        <v>41</v>
      </c>
      <c r="B69" s="53" t="s">
        <v>157</v>
      </c>
      <c r="C69" s="62">
        <v>2019</v>
      </c>
      <c r="D69" s="63" t="s">
        <v>188</v>
      </c>
      <c r="E69" s="53" t="s">
        <v>202</v>
      </c>
      <c r="F69" s="53" t="s">
        <v>209</v>
      </c>
      <c r="G69" s="53" t="s">
        <v>42</v>
      </c>
      <c r="H69" s="53" t="s">
        <v>164</v>
      </c>
      <c r="I69" s="53" t="s">
        <v>159</v>
      </c>
      <c r="J69" s="53" t="s">
        <v>38</v>
      </c>
      <c r="K69" s="53" t="s">
        <v>161</v>
      </c>
      <c r="L69" s="53">
        <v>2</v>
      </c>
      <c r="N69" s="53">
        <v>6</v>
      </c>
      <c r="O69" s="53">
        <v>0.3</v>
      </c>
      <c r="P69" s="53">
        <v>0.25</v>
      </c>
      <c r="Q69" s="16">
        <f t="shared" si="3"/>
        <v>0.27500000000000002</v>
      </c>
      <c r="R69" s="53">
        <v>13.5</v>
      </c>
      <c r="S69" s="53">
        <v>116</v>
      </c>
      <c r="T69" s="16">
        <f t="shared" si="5"/>
        <v>30</v>
      </c>
      <c r="U69" s="53">
        <v>538</v>
      </c>
      <c r="V69" s="16">
        <f t="shared" si="4"/>
        <v>2690</v>
      </c>
      <c r="W69" s="53">
        <v>1</v>
      </c>
      <c r="X69" s="53" t="s">
        <v>46</v>
      </c>
      <c r="Y69" s="53" t="s">
        <v>84</v>
      </c>
      <c r="Z69" s="53" t="s">
        <v>90</v>
      </c>
      <c r="AA69" s="53" t="s">
        <v>69</v>
      </c>
      <c r="AB69" s="53" t="s">
        <v>158</v>
      </c>
      <c r="AC69" s="75"/>
      <c r="AD69" s="75"/>
      <c r="AF69" s="75"/>
      <c r="AG69" s="75"/>
      <c r="AH69" s="75"/>
    </row>
    <row r="70" spans="1:34" x14ac:dyDescent="0.15">
      <c r="A70" s="53" t="s">
        <v>41</v>
      </c>
      <c r="B70" s="53" t="s">
        <v>157</v>
      </c>
      <c r="C70" s="62">
        <v>2019</v>
      </c>
      <c r="D70" s="63" t="s">
        <v>188</v>
      </c>
      <c r="E70" s="53" t="s">
        <v>202</v>
      </c>
      <c r="F70" s="53" t="s">
        <v>209</v>
      </c>
      <c r="G70" s="53" t="s">
        <v>42</v>
      </c>
      <c r="H70" s="53" t="s">
        <v>164</v>
      </c>
      <c r="I70" s="53" t="s">
        <v>159</v>
      </c>
      <c r="J70" s="53" t="s">
        <v>38</v>
      </c>
      <c r="K70" s="53" t="s">
        <v>161</v>
      </c>
      <c r="L70" s="53">
        <v>3</v>
      </c>
      <c r="N70" s="53">
        <v>6</v>
      </c>
      <c r="O70" s="53">
        <v>0.45</v>
      </c>
      <c r="P70" s="53">
        <v>0.35</v>
      </c>
      <c r="Q70" s="16">
        <f t="shared" si="3"/>
        <v>0.4</v>
      </c>
      <c r="R70" s="53">
        <v>14</v>
      </c>
      <c r="S70" s="53">
        <v>117</v>
      </c>
      <c r="T70" s="16">
        <f t="shared" si="5"/>
        <v>30</v>
      </c>
      <c r="U70" s="53">
        <v>538</v>
      </c>
      <c r="V70" s="16">
        <f t="shared" si="4"/>
        <v>2690</v>
      </c>
      <c r="W70" s="53">
        <v>1</v>
      </c>
      <c r="X70" s="53" t="s">
        <v>46</v>
      </c>
      <c r="Y70" s="53" t="s">
        <v>84</v>
      </c>
      <c r="Z70" s="53" t="s">
        <v>90</v>
      </c>
      <c r="AA70" s="53" t="s">
        <v>69</v>
      </c>
      <c r="AB70" s="53" t="s">
        <v>158</v>
      </c>
      <c r="AC70" s="75"/>
      <c r="AD70" s="75"/>
      <c r="AF70" s="75"/>
      <c r="AG70" s="75"/>
      <c r="AH70" s="75"/>
    </row>
    <row r="71" spans="1:34" x14ac:dyDescent="0.15">
      <c r="A71" s="53" t="s">
        <v>41</v>
      </c>
      <c r="B71" s="53" t="s">
        <v>157</v>
      </c>
      <c r="C71" s="62">
        <v>2019</v>
      </c>
      <c r="D71" s="63" t="s">
        <v>188</v>
      </c>
      <c r="E71" s="53" t="s">
        <v>205</v>
      </c>
      <c r="F71" s="53" t="s">
        <v>206</v>
      </c>
      <c r="G71" s="53" t="s">
        <v>42</v>
      </c>
      <c r="H71" s="53" t="s">
        <v>164</v>
      </c>
      <c r="I71" s="53" t="s">
        <v>159</v>
      </c>
      <c r="J71" s="53" t="s">
        <v>38</v>
      </c>
      <c r="K71" s="53" t="s">
        <v>161</v>
      </c>
      <c r="L71" s="53">
        <v>1</v>
      </c>
      <c r="N71" s="53">
        <v>1</v>
      </c>
      <c r="O71" s="53">
        <v>0.6</v>
      </c>
      <c r="P71" s="53">
        <v>0.75</v>
      </c>
      <c r="Q71" s="74">
        <f t="shared" si="3"/>
        <v>0.67500000000000004</v>
      </c>
      <c r="R71" s="53">
        <v>13.2</v>
      </c>
      <c r="S71" s="53">
        <v>124</v>
      </c>
      <c r="T71" s="16">
        <f t="shared" si="5"/>
        <v>27</v>
      </c>
      <c r="U71" s="53">
        <v>95</v>
      </c>
      <c r="V71" s="16">
        <f t="shared" si="4"/>
        <v>2565</v>
      </c>
      <c r="W71" s="53">
        <v>2</v>
      </c>
      <c r="X71" s="53" t="s">
        <v>46</v>
      </c>
      <c r="Y71" s="53" t="s">
        <v>84</v>
      </c>
      <c r="Z71" s="53" t="s">
        <v>90</v>
      </c>
      <c r="AA71" s="53" t="s">
        <v>69</v>
      </c>
      <c r="AB71" s="53" t="s">
        <v>158</v>
      </c>
      <c r="AC71" s="75"/>
      <c r="AD71" s="75"/>
      <c r="AF71" s="75"/>
      <c r="AG71" s="75"/>
      <c r="AH71" s="75"/>
    </row>
    <row r="72" spans="1:34" x14ac:dyDescent="0.15">
      <c r="A72" s="53" t="s">
        <v>41</v>
      </c>
      <c r="B72" s="53" t="s">
        <v>157</v>
      </c>
      <c r="C72" s="62">
        <v>2019</v>
      </c>
      <c r="D72" s="63" t="s">
        <v>188</v>
      </c>
      <c r="E72" s="53" t="s">
        <v>205</v>
      </c>
      <c r="F72" s="53" t="s">
        <v>206</v>
      </c>
      <c r="G72" s="53" t="s">
        <v>42</v>
      </c>
      <c r="H72" s="53" t="s">
        <v>164</v>
      </c>
      <c r="I72" s="53" t="s">
        <v>159</v>
      </c>
      <c r="J72" s="53" t="s">
        <v>38</v>
      </c>
      <c r="K72" s="53" t="s">
        <v>161</v>
      </c>
      <c r="L72" s="53">
        <v>2</v>
      </c>
      <c r="N72" s="53">
        <v>1</v>
      </c>
      <c r="O72" s="53">
        <v>0.5</v>
      </c>
      <c r="P72" s="53">
        <v>0.5</v>
      </c>
      <c r="Q72" s="74">
        <f t="shared" si="3"/>
        <v>0.5</v>
      </c>
      <c r="R72" s="53">
        <v>14.1</v>
      </c>
      <c r="S72" s="53">
        <v>123</v>
      </c>
      <c r="T72" s="16">
        <f t="shared" si="5"/>
        <v>27</v>
      </c>
      <c r="U72" s="53">
        <v>95</v>
      </c>
      <c r="V72" s="16">
        <f t="shared" si="4"/>
        <v>2565</v>
      </c>
      <c r="W72" s="53">
        <v>2</v>
      </c>
      <c r="X72" s="53" t="s">
        <v>46</v>
      </c>
      <c r="Y72" s="53" t="s">
        <v>84</v>
      </c>
      <c r="Z72" s="53" t="s">
        <v>90</v>
      </c>
      <c r="AA72" s="53" t="s">
        <v>69</v>
      </c>
      <c r="AB72" s="53" t="s">
        <v>158</v>
      </c>
      <c r="AC72" s="75"/>
      <c r="AD72" s="75"/>
      <c r="AF72" s="75"/>
      <c r="AG72" s="75"/>
      <c r="AH72" s="75"/>
    </row>
    <row r="73" spans="1:34" x14ac:dyDescent="0.15">
      <c r="A73" s="53" t="s">
        <v>41</v>
      </c>
      <c r="B73" s="53" t="s">
        <v>157</v>
      </c>
      <c r="C73" s="62">
        <v>2019</v>
      </c>
      <c r="D73" s="63" t="s">
        <v>188</v>
      </c>
      <c r="E73" s="53" t="s">
        <v>205</v>
      </c>
      <c r="F73" s="53" t="s">
        <v>206</v>
      </c>
      <c r="G73" s="53" t="s">
        <v>42</v>
      </c>
      <c r="H73" s="53" t="s">
        <v>164</v>
      </c>
      <c r="I73" s="53" t="s">
        <v>159</v>
      </c>
      <c r="J73" s="53" t="s">
        <v>38</v>
      </c>
      <c r="K73" s="53" t="s">
        <v>161</v>
      </c>
      <c r="L73" s="53">
        <v>3</v>
      </c>
      <c r="N73" s="53">
        <v>1</v>
      </c>
      <c r="O73" s="53">
        <v>0.65</v>
      </c>
      <c r="P73" s="53">
        <v>0.55000000000000004</v>
      </c>
      <c r="Q73" s="74">
        <f t="shared" si="3"/>
        <v>0.60000000000000009</v>
      </c>
      <c r="R73" s="53">
        <v>12.5</v>
      </c>
      <c r="S73" s="53">
        <v>125</v>
      </c>
      <c r="T73" s="16">
        <f t="shared" si="5"/>
        <v>27</v>
      </c>
      <c r="U73" s="53">
        <v>95</v>
      </c>
      <c r="V73" s="38">
        <f t="shared" si="4"/>
        <v>2565</v>
      </c>
      <c r="W73" s="53">
        <v>2</v>
      </c>
      <c r="X73" s="53" t="s">
        <v>46</v>
      </c>
      <c r="Y73" s="53" t="s">
        <v>84</v>
      </c>
      <c r="Z73" s="53" t="s">
        <v>90</v>
      </c>
      <c r="AA73" s="53" t="s">
        <v>69</v>
      </c>
      <c r="AB73" s="53" t="s">
        <v>158</v>
      </c>
      <c r="AC73" s="75"/>
      <c r="AD73" s="75"/>
      <c r="AF73" s="75"/>
      <c r="AG73" s="75"/>
      <c r="AH73" s="75"/>
    </row>
    <row r="74" spans="1:34" x14ac:dyDescent="0.15">
      <c r="A74" s="53" t="s">
        <v>41</v>
      </c>
      <c r="B74" s="53" t="s">
        <v>157</v>
      </c>
      <c r="C74" s="62">
        <v>2019</v>
      </c>
      <c r="D74" s="63" t="s">
        <v>188</v>
      </c>
      <c r="E74" s="53" t="s">
        <v>205</v>
      </c>
      <c r="F74" s="53" t="s">
        <v>206</v>
      </c>
      <c r="G74" s="53" t="s">
        <v>42</v>
      </c>
      <c r="H74" s="53" t="s">
        <v>164</v>
      </c>
      <c r="I74" s="53" t="s">
        <v>159</v>
      </c>
      <c r="J74" s="53" t="s">
        <v>38</v>
      </c>
      <c r="K74" s="53" t="s">
        <v>161</v>
      </c>
      <c r="L74" s="53">
        <v>1</v>
      </c>
      <c r="N74" s="53">
        <v>4</v>
      </c>
      <c r="O74" s="53">
        <v>0.25</v>
      </c>
      <c r="P74" s="53">
        <v>0.25</v>
      </c>
      <c r="Q74" s="74">
        <f t="shared" si="3"/>
        <v>0.25</v>
      </c>
      <c r="R74" s="53">
        <v>12.6</v>
      </c>
      <c r="S74" s="53">
        <v>118</v>
      </c>
      <c r="T74" s="16">
        <f t="shared" si="5"/>
        <v>30</v>
      </c>
      <c r="U74" s="53">
        <v>375</v>
      </c>
      <c r="V74" s="16">
        <f t="shared" si="4"/>
        <v>2812.5</v>
      </c>
      <c r="W74" s="53">
        <v>2</v>
      </c>
      <c r="X74" s="53" t="s">
        <v>46</v>
      </c>
      <c r="Y74" s="53" t="s">
        <v>84</v>
      </c>
      <c r="Z74" s="53" t="s">
        <v>90</v>
      </c>
      <c r="AA74" s="53" t="s">
        <v>69</v>
      </c>
      <c r="AB74" s="53" t="s">
        <v>158</v>
      </c>
      <c r="AC74" s="75"/>
      <c r="AD74" s="75"/>
      <c r="AF74" s="75"/>
      <c r="AG74" s="75"/>
      <c r="AH74" s="75"/>
    </row>
    <row r="75" spans="1:34" x14ac:dyDescent="0.15">
      <c r="A75" s="53" t="s">
        <v>41</v>
      </c>
      <c r="B75" s="53" t="s">
        <v>157</v>
      </c>
      <c r="C75" s="62">
        <v>2019</v>
      </c>
      <c r="D75" s="63" t="s">
        <v>188</v>
      </c>
      <c r="E75" s="53" t="s">
        <v>205</v>
      </c>
      <c r="F75" s="53" t="s">
        <v>206</v>
      </c>
      <c r="G75" s="53" t="s">
        <v>42</v>
      </c>
      <c r="H75" s="53" t="s">
        <v>164</v>
      </c>
      <c r="I75" s="53" t="s">
        <v>159</v>
      </c>
      <c r="J75" s="53" t="s">
        <v>38</v>
      </c>
      <c r="K75" s="53" t="s">
        <v>161</v>
      </c>
      <c r="L75" s="53">
        <v>2</v>
      </c>
      <c r="N75" s="53">
        <v>4</v>
      </c>
      <c r="O75" s="53">
        <v>0.3</v>
      </c>
      <c r="P75" s="53">
        <v>0.25</v>
      </c>
      <c r="Q75" s="74">
        <f t="shared" si="3"/>
        <v>0.27500000000000002</v>
      </c>
      <c r="R75" s="53">
        <v>13.7</v>
      </c>
      <c r="S75" s="53">
        <v>115</v>
      </c>
      <c r="T75" s="16">
        <f t="shared" si="5"/>
        <v>30</v>
      </c>
      <c r="U75" s="53">
        <v>375</v>
      </c>
      <c r="V75" s="16">
        <f t="shared" si="4"/>
        <v>2812.5</v>
      </c>
      <c r="W75" s="53">
        <v>2</v>
      </c>
      <c r="X75" s="53" t="s">
        <v>46</v>
      </c>
      <c r="Y75" s="53" t="s">
        <v>84</v>
      </c>
      <c r="Z75" s="53" t="s">
        <v>90</v>
      </c>
      <c r="AA75" s="53" t="s">
        <v>69</v>
      </c>
      <c r="AB75" s="53" t="s">
        <v>158</v>
      </c>
      <c r="AC75" s="75"/>
      <c r="AD75" s="75"/>
      <c r="AF75" s="75"/>
      <c r="AG75" s="75"/>
      <c r="AH75" s="75"/>
    </row>
    <row r="76" spans="1:34" x14ac:dyDescent="0.15">
      <c r="A76" s="53" t="s">
        <v>41</v>
      </c>
      <c r="B76" s="53" t="s">
        <v>157</v>
      </c>
      <c r="C76" s="62">
        <v>2019</v>
      </c>
      <c r="D76" s="63" t="s">
        <v>188</v>
      </c>
      <c r="E76" s="53" t="s">
        <v>205</v>
      </c>
      <c r="F76" s="53" t="s">
        <v>206</v>
      </c>
      <c r="G76" s="53" t="s">
        <v>42</v>
      </c>
      <c r="H76" s="53" t="s">
        <v>164</v>
      </c>
      <c r="I76" s="53" t="s">
        <v>159</v>
      </c>
      <c r="J76" s="53" t="s">
        <v>38</v>
      </c>
      <c r="K76" s="53" t="s">
        <v>161</v>
      </c>
      <c r="L76" s="53">
        <v>3</v>
      </c>
      <c r="N76" s="53">
        <v>4</v>
      </c>
      <c r="O76" s="53">
        <v>0.35</v>
      </c>
      <c r="P76" s="53">
        <v>0.4</v>
      </c>
      <c r="Q76" s="74">
        <f t="shared" si="3"/>
        <v>0.375</v>
      </c>
      <c r="R76" s="53">
        <v>10.4</v>
      </c>
      <c r="S76" s="53">
        <v>116</v>
      </c>
      <c r="T76" s="16">
        <f t="shared" si="5"/>
        <v>30</v>
      </c>
      <c r="U76" s="53">
        <v>375</v>
      </c>
      <c r="V76" s="38">
        <f t="shared" si="4"/>
        <v>2812.5</v>
      </c>
      <c r="W76" s="53">
        <v>2</v>
      </c>
      <c r="X76" s="53" t="s">
        <v>46</v>
      </c>
      <c r="Y76" s="53" t="s">
        <v>84</v>
      </c>
      <c r="Z76" s="53" t="s">
        <v>90</v>
      </c>
      <c r="AA76" s="53" t="s">
        <v>69</v>
      </c>
      <c r="AB76" s="53" t="s">
        <v>158</v>
      </c>
      <c r="AC76" s="75"/>
      <c r="AD76" s="75"/>
      <c r="AF76" s="75"/>
      <c r="AG76" s="75"/>
      <c r="AH76" s="75"/>
    </row>
    <row r="77" spans="1:34" x14ac:dyDescent="0.15">
      <c r="A77" s="53" t="s">
        <v>41</v>
      </c>
      <c r="B77" s="53" t="s">
        <v>157</v>
      </c>
      <c r="C77" s="62">
        <v>2018</v>
      </c>
      <c r="D77" s="63" t="s">
        <v>188</v>
      </c>
      <c r="E77" s="53" t="s">
        <v>205</v>
      </c>
      <c r="F77" s="53" t="s">
        <v>206</v>
      </c>
      <c r="G77" s="53" t="s">
        <v>42</v>
      </c>
      <c r="H77" s="53" t="s">
        <v>164</v>
      </c>
      <c r="I77" s="53" t="s">
        <v>159</v>
      </c>
      <c r="J77" s="53" t="s">
        <v>38</v>
      </c>
      <c r="K77" s="53" t="s">
        <v>161</v>
      </c>
      <c r="L77" s="53">
        <v>1</v>
      </c>
      <c r="N77" s="53">
        <v>8</v>
      </c>
      <c r="O77" s="53">
        <v>0.8</v>
      </c>
      <c r="P77" s="53">
        <v>0.75</v>
      </c>
      <c r="Q77" s="74">
        <f t="shared" si="3"/>
        <v>0.77500000000000002</v>
      </c>
      <c r="R77" s="53">
        <v>11.4</v>
      </c>
      <c r="S77" s="53">
        <v>100</v>
      </c>
      <c r="T77" s="16">
        <f t="shared" si="5"/>
        <v>33</v>
      </c>
      <c r="U77" s="53">
        <v>734</v>
      </c>
      <c r="V77" s="16">
        <f t="shared" si="4"/>
        <v>3027.75</v>
      </c>
      <c r="W77" s="53">
        <v>1</v>
      </c>
      <c r="X77" s="53" t="s">
        <v>46</v>
      </c>
      <c r="Y77" s="53" t="s">
        <v>84</v>
      </c>
      <c r="Z77" s="53" t="s">
        <v>90</v>
      </c>
      <c r="AA77" s="53" t="s">
        <v>69</v>
      </c>
      <c r="AB77" s="53" t="s">
        <v>158</v>
      </c>
      <c r="AC77" s="75"/>
      <c r="AD77" s="75"/>
      <c r="AF77" s="75"/>
      <c r="AG77" s="75"/>
      <c r="AH77" s="75"/>
    </row>
    <row r="78" spans="1:34" x14ac:dyDescent="0.15">
      <c r="A78" s="53" t="s">
        <v>41</v>
      </c>
      <c r="B78" s="53" t="s">
        <v>157</v>
      </c>
      <c r="C78" s="62">
        <v>2018</v>
      </c>
      <c r="D78" s="63" t="s">
        <v>188</v>
      </c>
      <c r="E78" s="53" t="s">
        <v>205</v>
      </c>
      <c r="F78" s="53" t="s">
        <v>206</v>
      </c>
      <c r="G78" s="53" t="s">
        <v>42</v>
      </c>
      <c r="H78" s="53" t="s">
        <v>164</v>
      </c>
      <c r="I78" s="53" t="s">
        <v>159</v>
      </c>
      <c r="J78" s="53" t="s">
        <v>38</v>
      </c>
      <c r="K78" s="53" t="s">
        <v>161</v>
      </c>
      <c r="L78" s="53">
        <v>2</v>
      </c>
      <c r="N78" s="53">
        <v>8</v>
      </c>
      <c r="O78" s="53">
        <v>0.75</v>
      </c>
      <c r="P78" s="53">
        <v>0.65</v>
      </c>
      <c r="Q78" s="74">
        <f t="shared" si="3"/>
        <v>0.7</v>
      </c>
      <c r="R78" s="53">
        <v>12.5</v>
      </c>
      <c r="S78" s="53">
        <v>102</v>
      </c>
      <c r="T78" s="16">
        <f t="shared" si="5"/>
        <v>33</v>
      </c>
      <c r="U78" s="53">
        <v>734</v>
      </c>
      <c r="V78" s="16">
        <f t="shared" si="4"/>
        <v>3027.75</v>
      </c>
      <c r="W78" s="53">
        <v>1</v>
      </c>
      <c r="X78" s="53" t="s">
        <v>46</v>
      </c>
      <c r="Y78" s="53" t="s">
        <v>84</v>
      </c>
      <c r="Z78" s="53" t="s">
        <v>90</v>
      </c>
      <c r="AA78" s="53" t="s">
        <v>69</v>
      </c>
      <c r="AB78" s="53" t="s">
        <v>158</v>
      </c>
      <c r="AC78" s="75"/>
      <c r="AD78" s="75"/>
      <c r="AF78" s="75"/>
      <c r="AG78" s="75"/>
      <c r="AH78" s="75"/>
    </row>
    <row r="79" spans="1:34" x14ac:dyDescent="0.15">
      <c r="A79" s="53" t="s">
        <v>41</v>
      </c>
      <c r="B79" s="53" t="s">
        <v>157</v>
      </c>
      <c r="C79" s="62">
        <v>2018</v>
      </c>
      <c r="D79" s="63" t="s">
        <v>188</v>
      </c>
      <c r="E79" s="53" t="s">
        <v>205</v>
      </c>
      <c r="F79" s="53" t="s">
        <v>206</v>
      </c>
      <c r="G79" s="53" t="s">
        <v>42</v>
      </c>
      <c r="H79" s="53" t="s">
        <v>164</v>
      </c>
      <c r="I79" s="53" t="s">
        <v>159</v>
      </c>
      <c r="J79" s="53" t="s">
        <v>38</v>
      </c>
      <c r="K79" s="53" t="s">
        <v>161</v>
      </c>
      <c r="L79" s="53">
        <v>3</v>
      </c>
      <c r="N79" s="53">
        <v>8</v>
      </c>
      <c r="O79" s="53">
        <v>0.65</v>
      </c>
      <c r="P79" s="53">
        <v>0.8</v>
      </c>
      <c r="Q79" s="74">
        <f t="shared" si="3"/>
        <v>0.72500000000000009</v>
      </c>
      <c r="R79" s="53">
        <v>13.8</v>
      </c>
      <c r="S79" s="53">
        <v>107</v>
      </c>
      <c r="T79" s="16">
        <f t="shared" si="5"/>
        <v>33</v>
      </c>
      <c r="U79" s="53">
        <v>734</v>
      </c>
      <c r="V79" s="16">
        <f t="shared" si="4"/>
        <v>3027.75</v>
      </c>
      <c r="W79" s="53">
        <v>1</v>
      </c>
      <c r="X79" s="53" t="s">
        <v>46</v>
      </c>
      <c r="Y79" s="53" t="s">
        <v>84</v>
      </c>
      <c r="Z79" s="53" t="s">
        <v>90</v>
      </c>
      <c r="AA79" s="53" t="s">
        <v>69</v>
      </c>
      <c r="AB79" s="53" t="s">
        <v>158</v>
      </c>
      <c r="AC79" s="75"/>
      <c r="AD79" s="75"/>
      <c r="AF79" s="75"/>
      <c r="AG79" s="75"/>
      <c r="AH79" s="75"/>
    </row>
    <row r="80" spans="1:34" x14ac:dyDescent="0.15">
      <c r="A80" s="53" t="s">
        <v>41</v>
      </c>
      <c r="B80" s="53" t="s">
        <v>157</v>
      </c>
      <c r="C80" s="62">
        <v>2019</v>
      </c>
      <c r="D80" s="63" t="s">
        <v>188</v>
      </c>
      <c r="E80" s="53" t="s">
        <v>205</v>
      </c>
      <c r="F80" s="53" t="s">
        <v>206</v>
      </c>
      <c r="G80" s="53" t="s">
        <v>42</v>
      </c>
      <c r="H80" s="53" t="s">
        <v>160</v>
      </c>
      <c r="I80" s="53" t="s">
        <v>159</v>
      </c>
      <c r="J80" s="53" t="s">
        <v>38</v>
      </c>
      <c r="K80" s="53" t="s">
        <v>153</v>
      </c>
      <c r="L80" s="53">
        <v>1</v>
      </c>
      <c r="N80" s="53">
        <v>1</v>
      </c>
      <c r="O80" s="53">
        <v>0.25</v>
      </c>
      <c r="P80" s="53">
        <v>0.25</v>
      </c>
      <c r="Q80" s="74">
        <f t="shared" si="3"/>
        <v>0.25</v>
      </c>
      <c r="R80" s="53">
        <v>15.4</v>
      </c>
      <c r="S80" s="53">
        <v>124</v>
      </c>
      <c r="T80" s="16">
        <f t="shared" si="5"/>
        <v>27</v>
      </c>
      <c r="U80" s="53">
        <v>149</v>
      </c>
      <c r="V80" s="16">
        <f t="shared" si="4"/>
        <v>4023</v>
      </c>
      <c r="W80" s="53">
        <v>2</v>
      </c>
      <c r="X80" s="53" t="s">
        <v>46</v>
      </c>
      <c r="Y80" s="53" t="s">
        <v>84</v>
      </c>
      <c r="Z80" s="53" t="s">
        <v>90</v>
      </c>
      <c r="AA80" s="53" t="s">
        <v>69</v>
      </c>
      <c r="AB80" s="53" t="s">
        <v>158</v>
      </c>
      <c r="AC80" s="75"/>
      <c r="AD80" s="75"/>
      <c r="AF80" s="75"/>
      <c r="AG80" s="75"/>
      <c r="AH80" s="75"/>
    </row>
    <row r="81" spans="1:34" x14ac:dyDescent="0.15">
      <c r="A81" s="53" t="s">
        <v>41</v>
      </c>
      <c r="B81" s="53" t="s">
        <v>157</v>
      </c>
      <c r="C81" s="62">
        <v>2019</v>
      </c>
      <c r="D81" s="63" t="s">
        <v>188</v>
      </c>
      <c r="E81" s="53" t="s">
        <v>205</v>
      </c>
      <c r="F81" s="53" t="s">
        <v>206</v>
      </c>
      <c r="G81" s="53" t="s">
        <v>42</v>
      </c>
      <c r="H81" s="53" t="s">
        <v>160</v>
      </c>
      <c r="I81" s="53" t="s">
        <v>159</v>
      </c>
      <c r="J81" s="53" t="s">
        <v>38</v>
      </c>
      <c r="K81" s="53" t="s">
        <v>153</v>
      </c>
      <c r="L81" s="53">
        <v>2</v>
      </c>
      <c r="N81" s="53">
        <v>1</v>
      </c>
      <c r="O81" s="53">
        <v>0.3</v>
      </c>
      <c r="P81" s="53">
        <v>0.3</v>
      </c>
      <c r="Q81" s="74">
        <f t="shared" si="3"/>
        <v>0.3</v>
      </c>
      <c r="R81" s="53">
        <v>13.5</v>
      </c>
      <c r="S81" s="53">
        <v>121</v>
      </c>
      <c r="T81" s="16">
        <f t="shared" si="5"/>
        <v>27</v>
      </c>
      <c r="U81" s="53">
        <v>149</v>
      </c>
      <c r="V81" s="16">
        <f t="shared" si="4"/>
        <v>4023</v>
      </c>
      <c r="W81" s="53">
        <v>2</v>
      </c>
      <c r="X81" s="53" t="s">
        <v>46</v>
      </c>
      <c r="Y81" s="53" t="s">
        <v>84</v>
      </c>
      <c r="Z81" s="53" t="s">
        <v>90</v>
      </c>
      <c r="AA81" s="53" t="s">
        <v>69</v>
      </c>
      <c r="AB81" s="53" t="s">
        <v>158</v>
      </c>
      <c r="AC81" s="75"/>
      <c r="AD81" s="75"/>
      <c r="AF81" s="75"/>
      <c r="AG81" s="75"/>
      <c r="AH81" s="75"/>
    </row>
    <row r="82" spans="1:34" x14ac:dyDescent="0.15">
      <c r="A82" s="53" t="s">
        <v>41</v>
      </c>
      <c r="B82" s="53" t="s">
        <v>157</v>
      </c>
      <c r="C82" s="62">
        <v>2019</v>
      </c>
      <c r="D82" s="63" t="s">
        <v>188</v>
      </c>
      <c r="E82" s="53" t="s">
        <v>205</v>
      </c>
      <c r="F82" s="53" t="s">
        <v>206</v>
      </c>
      <c r="G82" s="53" t="s">
        <v>42</v>
      </c>
      <c r="H82" s="53" t="s">
        <v>160</v>
      </c>
      <c r="I82" s="53" t="s">
        <v>159</v>
      </c>
      <c r="J82" s="53" t="s">
        <v>38</v>
      </c>
      <c r="K82" s="53" t="s">
        <v>153</v>
      </c>
      <c r="L82" s="53">
        <v>3</v>
      </c>
      <c r="N82" s="53">
        <v>1</v>
      </c>
      <c r="O82" s="53">
        <v>0.45</v>
      </c>
      <c r="P82" s="53">
        <v>0.4</v>
      </c>
      <c r="Q82" s="74">
        <f t="shared" si="3"/>
        <v>0.42500000000000004</v>
      </c>
      <c r="R82" s="53">
        <v>12.1</v>
      </c>
      <c r="S82" s="53">
        <v>122</v>
      </c>
      <c r="T82" s="16">
        <f t="shared" si="5"/>
        <v>27</v>
      </c>
      <c r="U82" s="53">
        <v>149</v>
      </c>
      <c r="V82" s="38">
        <f t="shared" si="4"/>
        <v>4023</v>
      </c>
      <c r="W82" s="53">
        <v>2</v>
      </c>
      <c r="X82" s="53" t="s">
        <v>46</v>
      </c>
      <c r="Y82" s="53" t="s">
        <v>84</v>
      </c>
      <c r="Z82" s="53" t="s">
        <v>90</v>
      </c>
      <c r="AA82" s="53" t="s">
        <v>69</v>
      </c>
      <c r="AB82" s="53" t="s">
        <v>158</v>
      </c>
      <c r="AC82" s="75"/>
      <c r="AD82" s="75"/>
      <c r="AF82" s="75"/>
      <c r="AG82" s="75"/>
      <c r="AH82" s="75"/>
    </row>
    <row r="83" spans="1:34" x14ac:dyDescent="0.15">
      <c r="A83" s="53" t="s">
        <v>41</v>
      </c>
      <c r="B83" s="53" t="s">
        <v>157</v>
      </c>
      <c r="C83" s="62">
        <v>2019</v>
      </c>
      <c r="D83" s="63" t="s">
        <v>188</v>
      </c>
      <c r="E83" s="53" t="s">
        <v>205</v>
      </c>
      <c r="F83" s="53" t="s">
        <v>206</v>
      </c>
      <c r="G83" s="53" t="s">
        <v>42</v>
      </c>
      <c r="H83" s="53" t="s">
        <v>160</v>
      </c>
      <c r="I83" s="53" t="s">
        <v>159</v>
      </c>
      <c r="J83" s="53" t="s">
        <v>38</v>
      </c>
      <c r="K83" s="53" t="s">
        <v>153</v>
      </c>
      <c r="L83" s="53">
        <v>1</v>
      </c>
      <c r="N83" s="53">
        <v>4</v>
      </c>
      <c r="O83" s="53">
        <v>0.4</v>
      </c>
      <c r="P83" s="53">
        <v>0.3</v>
      </c>
      <c r="Q83" s="74">
        <f t="shared" si="3"/>
        <v>0.35</v>
      </c>
      <c r="R83" s="53">
        <v>12.8</v>
      </c>
      <c r="S83" s="53">
        <v>115</v>
      </c>
      <c r="T83" s="16">
        <f t="shared" si="5"/>
        <v>30</v>
      </c>
      <c r="U83" s="53">
        <v>626</v>
      </c>
      <c r="V83" s="16">
        <f t="shared" si="4"/>
        <v>4695</v>
      </c>
      <c r="W83" s="53">
        <v>2</v>
      </c>
      <c r="X83" s="53" t="s">
        <v>46</v>
      </c>
      <c r="Y83" s="53" t="s">
        <v>84</v>
      </c>
      <c r="Z83" s="53" t="s">
        <v>90</v>
      </c>
      <c r="AA83" s="53" t="s">
        <v>69</v>
      </c>
      <c r="AB83" s="53" t="s">
        <v>158</v>
      </c>
      <c r="AC83" s="75"/>
      <c r="AD83" s="75"/>
      <c r="AF83" s="75"/>
      <c r="AG83" s="75"/>
      <c r="AH83" s="75"/>
    </row>
    <row r="84" spans="1:34" x14ac:dyDescent="0.15">
      <c r="A84" s="53" t="s">
        <v>41</v>
      </c>
      <c r="B84" s="53" t="s">
        <v>157</v>
      </c>
      <c r="C84" s="62">
        <v>2019</v>
      </c>
      <c r="D84" s="63" t="s">
        <v>188</v>
      </c>
      <c r="E84" s="53" t="s">
        <v>205</v>
      </c>
      <c r="F84" s="53" t="s">
        <v>206</v>
      </c>
      <c r="G84" s="53" t="s">
        <v>42</v>
      </c>
      <c r="H84" s="53" t="s">
        <v>160</v>
      </c>
      <c r="I84" s="53" t="s">
        <v>159</v>
      </c>
      <c r="J84" s="53" t="s">
        <v>38</v>
      </c>
      <c r="K84" s="53" t="s">
        <v>153</v>
      </c>
      <c r="L84" s="53">
        <v>2</v>
      </c>
      <c r="N84" s="53">
        <v>4</v>
      </c>
      <c r="O84" s="53">
        <v>0.25</v>
      </c>
      <c r="P84" s="53">
        <v>0.25</v>
      </c>
      <c r="Q84" s="74">
        <f t="shared" si="3"/>
        <v>0.25</v>
      </c>
      <c r="R84" s="53">
        <v>15.2</v>
      </c>
      <c r="S84" s="53">
        <v>117</v>
      </c>
      <c r="T84" s="16">
        <f t="shared" si="5"/>
        <v>30</v>
      </c>
      <c r="U84" s="53">
        <v>626</v>
      </c>
      <c r="V84" s="16">
        <f t="shared" si="4"/>
        <v>4695</v>
      </c>
      <c r="W84" s="53">
        <v>2</v>
      </c>
      <c r="X84" s="53" t="s">
        <v>46</v>
      </c>
      <c r="Y84" s="53" t="s">
        <v>84</v>
      </c>
      <c r="Z84" s="53" t="s">
        <v>90</v>
      </c>
      <c r="AA84" s="53" t="s">
        <v>69</v>
      </c>
      <c r="AB84" s="53" t="s">
        <v>158</v>
      </c>
      <c r="AC84" s="75"/>
      <c r="AD84" s="75"/>
      <c r="AF84" s="75"/>
      <c r="AG84" s="75"/>
      <c r="AH84" s="75"/>
    </row>
    <row r="85" spans="1:34" x14ac:dyDescent="0.15">
      <c r="A85" s="53" t="s">
        <v>41</v>
      </c>
      <c r="B85" s="53" t="s">
        <v>157</v>
      </c>
      <c r="C85" s="62">
        <v>2019</v>
      </c>
      <c r="D85" s="63" t="s">
        <v>188</v>
      </c>
      <c r="E85" s="53" t="s">
        <v>205</v>
      </c>
      <c r="F85" s="53" t="s">
        <v>206</v>
      </c>
      <c r="G85" s="53" t="s">
        <v>42</v>
      </c>
      <c r="H85" s="53" t="s">
        <v>160</v>
      </c>
      <c r="I85" s="53" t="s">
        <v>159</v>
      </c>
      <c r="J85" s="53" t="s">
        <v>38</v>
      </c>
      <c r="K85" s="53" t="s">
        <v>153</v>
      </c>
      <c r="L85" s="53">
        <v>3</v>
      </c>
      <c r="N85" s="53">
        <v>4</v>
      </c>
      <c r="O85" s="53">
        <v>0.25</v>
      </c>
      <c r="P85" s="53">
        <v>0.3</v>
      </c>
      <c r="Q85" s="74">
        <f t="shared" si="3"/>
        <v>0.27500000000000002</v>
      </c>
      <c r="R85" s="53">
        <v>16.399999999999999</v>
      </c>
      <c r="S85" s="53">
        <v>115</v>
      </c>
      <c r="T85" s="16">
        <f t="shared" si="5"/>
        <v>30</v>
      </c>
      <c r="U85" s="53">
        <v>626</v>
      </c>
      <c r="V85" s="38">
        <f t="shared" si="4"/>
        <v>4695</v>
      </c>
      <c r="W85" s="53">
        <v>2</v>
      </c>
      <c r="X85" s="53" t="s">
        <v>46</v>
      </c>
      <c r="Y85" s="53" t="s">
        <v>84</v>
      </c>
      <c r="Z85" s="53" t="s">
        <v>90</v>
      </c>
      <c r="AA85" s="53" t="s">
        <v>69</v>
      </c>
      <c r="AB85" s="53" t="s">
        <v>158</v>
      </c>
      <c r="AC85" s="75"/>
      <c r="AD85" s="75"/>
      <c r="AF85" s="75"/>
      <c r="AG85" s="75"/>
      <c r="AH85" s="75"/>
    </row>
    <row r="86" spans="1:34" x14ac:dyDescent="0.15">
      <c r="A86" s="53" t="s">
        <v>41</v>
      </c>
      <c r="B86" s="53" t="s">
        <v>157</v>
      </c>
      <c r="C86" s="62">
        <v>2019</v>
      </c>
      <c r="D86" s="63" t="s">
        <v>188</v>
      </c>
      <c r="E86" s="53" t="s">
        <v>211</v>
      </c>
      <c r="F86" s="53" t="s">
        <v>212</v>
      </c>
      <c r="G86" s="53" t="s">
        <v>42</v>
      </c>
      <c r="H86" s="53" t="s">
        <v>164</v>
      </c>
      <c r="I86" s="53" t="s">
        <v>159</v>
      </c>
      <c r="J86" s="53" t="s">
        <v>38</v>
      </c>
      <c r="K86" s="53" t="s">
        <v>161</v>
      </c>
      <c r="L86" s="53">
        <v>1</v>
      </c>
      <c r="N86" s="53">
        <v>1</v>
      </c>
      <c r="O86" s="53">
        <v>0.65</v>
      </c>
      <c r="P86" s="76">
        <v>0.55000000000000004</v>
      </c>
      <c r="Q86" s="16">
        <f t="shared" si="3"/>
        <v>0.60000000000000009</v>
      </c>
      <c r="R86" s="53">
        <v>10.5</v>
      </c>
      <c r="S86" s="53">
        <v>131</v>
      </c>
      <c r="T86" s="16">
        <f t="shared" si="5"/>
        <v>25</v>
      </c>
      <c r="U86" s="53">
        <v>105</v>
      </c>
      <c r="V86" s="38">
        <f t="shared" si="4"/>
        <v>2625</v>
      </c>
      <c r="W86" s="53">
        <v>2</v>
      </c>
      <c r="X86" s="53" t="s">
        <v>46</v>
      </c>
      <c r="Y86" s="53" t="s">
        <v>84</v>
      </c>
      <c r="Z86" s="53" t="s">
        <v>90</v>
      </c>
      <c r="AA86" s="53" t="s">
        <v>69</v>
      </c>
      <c r="AB86" s="53" t="s">
        <v>158</v>
      </c>
      <c r="AC86" s="75"/>
      <c r="AD86" s="75"/>
      <c r="AF86" s="75"/>
      <c r="AG86" s="75"/>
      <c r="AH86" s="75"/>
    </row>
    <row r="87" spans="1:34" x14ac:dyDescent="0.15">
      <c r="A87" s="53" t="s">
        <v>41</v>
      </c>
      <c r="B87" s="53" t="s">
        <v>157</v>
      </c>
      <c r="C87" s="62">
        <v>2019</v>
      </c>
      <c r="D87" s="63" t="s">
        <v>188</v>
      </c>
      <c r="E87" s="53" t="s">
        <v>211</v>
      </c>
      <c r="F87" s="53" t="s">
        <v>212</v>
      </c>
      <c r="G87" s="53" t="s">
        <v>42</v>
      </c>
      <c r="H87" s="53" t="s">
        <v>164</v>
      </c>
      <c r="I87" s="53" t="s">
        <v>159</v>
      </c>
      <c r="J87" s="53" t="s">
        <v>38</v>
      </c>
      <c r="K87" s="53" t="s">
        <v>161</v>
      </c>
      <c r="L87" s="53">
        <v>2</v>
      </c>
      <c r="N87" s="53">
        <v>1</v>
      </c>
      <c r="O87" s="53">
        <v>0.7</v>
      </c>
      <c r="P87" s="53">
        <v>0.75</v>
      </c>
      <c r="Q87" s="16">
        <f t="shared" si="3"/>
        <v>0.72499999999999998</v>
      </c>
      <c r="R87" s="53">
        <v>12.4</v>
      </c>
      <c r="S87" s="53">
        <v>129</v>
      </c>
      <c r="T87" s="16">
        <f t="shared" si="5"/>
        <v>25</v>
      </c>
      <c r="U87" s="53">
        <v>105</v>
      </c>
      <c r="V87" s="38">
        <f t="shared" si="4"/>
        <v>2625</v>
      </c>
      <c r="W87" s="53">
        <v>2</v>
      </c>
      <c r="X87" s="53" t="s">
        <v>46</v>
      </c>
      <c r="Y87" s="53" t="s">
        <v>84</v>
      </c>
      <c r="Z87" s="53" t="s">
        <v>90</v>
      </c>
      <c r="AA87" s="53" t="s">
        <v>69</v>
      </c>
      <c r="AB87" s="53" t="s">
        <v>158</v>
      </c>
      <c r="AC87" s="75"/>
      <c r="AD87" s="75"/>
      <c r="AF87" s="75"/>
      <c r="AG87" s="75"/>
      <c r="AH87" s="75"/>
    </row>
    <row r="88" spans="1:34" x14ac:dyDescent="0.15">
      <c r="A88" s="53" t="s">
        <v>41</v>
      </c>
      <c r="B88" s="53" t="s">
        <v>157</v>
      </c>
      <c r="C88" s="62">
        <v>2019</v>
      </c>
      <c r="D88" s="63" t="s">
        <v>188</v>
      </c>
      <c r="E88" s="53" t="s">
        <v>211</v>
      </c>
      <c r="F88" s="53" t="s">
        <v>212</v>
      </c>
      <c r="G88" s="53" t="s">
        <v>42</v>
      </c>
      <c r="H88" s="53" t="s">
        <v>164</v>
      </c>
      <c r="I88" s="53" t="s">
        <v>159</v>
      </c>
      <c r="J88" s="53" t="s">
        <v>38</v>
      </c>
      <c r="K88" s="53" t="s">
        <v>161</v>
      </c>
      <c r="L88" s="53">
        <v>3</v>
      </c>
      <c r="N88" s="53">
        <v>1</v>
      </c>
      <c r="O88" s="53">
        <v>0.65</v>
      </c>
      <c r="P88" s="53">
        <v>0.6</v>
      </c>
      <c r="Q88" s="16">
        <f t="shared" si="3"/>
        <v>0.625</v>
      </c>
      <c r="R88" s="53">
        <v>11.9</v>
      </c>
      <c r="S88" s="53">
        <v>132</v>
      </c>
      <c r="T88" s="38">
        <f t="shared" si="5"/>
        <v>25</v>
      </c>
      <c r="U88" s="53">
        <v>105</v>
      </c>
      <c r="V88" s="38">
        <f t="shared" si="4"/>
        <v>2625</v>
      </c>
      <c r="W88" s="53">
        <v>2</v>
      </c>
      <c r="X88" s="53" t="s">
        <v>46</v>
      </c>
      <c r="Y88" s="53" t="s">
        <v>84</v>
      </c>
      <c r="Z88" s="53" t="s">
        <v>90</v>
      </c>
      <c r="AA88" s="53" t="s">
        <v>69</v>
      </c>
      <c r="AB88" s="53" t="s">
        <v>158</v>
      </c>
      <c r="AC88" s="75"/>
      <c r="AD88" s="75"/>
      <c r="AF88" s="75"/>
      <c r="AG88" s="75"/>
      <c r="AH88" s="75"/>
    </row>
    <row r="89" spans="1:34" x14ac:dyDescent="0.15">
      <c r="A89" s="53" t="s">
        <v>41</v>
      </c>
      <c r="B89" s="53" t="s">
        <v>157</v>
      </c>
      <c r="C89" s="62">
        <v>2019</v>
      </c>
      <c r="D89" s="63" t="s">
        <v>188</v>
      </c>
      <c r="E89" s="53" t="s">
        <v>211</v>
      </c>
      <c r="F89" s="53" t="s">
        <v>212</v>
      </c>
      <c r="G89" s="53" t="s">
        <v>42</v>
      </c>
      <c r="H89" s="53" t="s">
        <v>164</v>
      </c>
      <c r="I89" s="53" t="s">
        <v>159</v>
      </c>
      <c r="J89" s="53" t="s">
        <v>38</v>
      </c>
      <c r="K89" s="53" t="s">
        <v>161</v>
      </c>
      <c r="L89" s="53">
        <v>1</v>
      </c>
      <c r="N89" s="53">
        <v>4</v>
      </c>
      <c r="O89" s="53">
        <v>0.3</v>
      </c>
      <c r="P89" s="76">
        <v>0.25</v>
      </c>
      <c r="Q89" s="16">
        <f t="shared" si="3"/>
        <v>0.27500000000000002</v>
      </c>
      <c r="R89" s="53">
        <v>12.6</v>
      </c>
      <c r="S89" s="53">
        <v>115</v>
      </c>
      <c r="T89" s="16">
        <f t="shared" si="5"/>
        <v>30</v>
      </c>
      <c r="U89" s="53">
        <v>407</v>
      </c>
      <c r="V89" s="38">
        <f t="shared" si="4"/>
        <v>3052.5</v>
      </c>
      <c r="W89" s="53">
        <v>1</v>
      </c>
      <c r="X89" s="53" t="s">
        <v>46</v>
      </c>
      <c r="Y89" s="53" t="s">
        <v>84</v>
      </c>
      <c r="Z89" s="53" t="s">
        <v>90</v>
      </c>
      <c r="AA89" s="53" t="s">
        <v>69</v>
      </c>
      <c r="AB89" s="53" t="s">
        <v>158</v>
      </c>
    </row>
    <row r="90" spans="1:34" x14ac:dyDescent="0.15">
      <c r="A90" s="53" t="s">
        <v>41</v>
      </c>
      <c r="B90" s="53" t="s">
        <v>157</v>
      </c>
      <c r="C90" s="62">
        <v>2019</v>
      </c>
      <c r="D90" s="63" t="s">
        <v>188</v>
      </c>
      <c r="E90" s="53" t="s">
        <v>211</v>
      </c>
      <c r="F90" s="53" t="s">
        <v>212</v>
      </c>
      <c r="G90" s="53" t="s">
        <v>42</v>
      </c>
      <c r="H90" s="53" t="s">
        <v>164</v>
      </c>
      <c r="I90" s="53" t="s">
        <v>159</v>
      </c>
      <c r="J90" s="53" t="s">
        <v>38</v>
      </c>
      <c r="K90" s="53" t="s">
        <v>161</v>
      </c>
      <c r="L90" s="53">
        <v>2</v>
      </c>
      <c r="N90" s="53">
        <v>4</v>
      </c>
      <c r="O90" s="53">
        <v>0.45</v>
      </c>
      <c r="P90" s="53">
        <v>0.3</v>
      </c>
      <c r="Q90" s="16">
        <f t="shared" si="3"/>
        <v>0.375</v>
      </c>
      <c r="R90" s="53">
        <v>13.7</v>
      </c>
      <c r="S90" s="53">
        <v>118</v>
      </c>
      <c r="T90" s="16">
        <f t="shared" si="5"/>
        <v>30</v>
      </c>
      <c r="U90" s="53">
        <v>407</v>
      </c>
      <c r="V90" s="38">
        <f t="shared" si="4"/>
        <v>3052.5</v>
      </c>
      <c r="W90" s="53">
        <v>1</v>
      </c>
      <c r="X90" s="53" t="s">
        <v>46</v>
      </c>
      <c r="Y90" s="53" t="s">
        <v>84</v>
      </c>
      <c r="Z90" s="53" t="s">
        <v>90</v>
      </c>
      <c r="AA90" s="53" t="s">
        <v>69</v>
      </c>
      <c r="AB90" s="53" t="s">
        <v>158</v>
      </c>
    </row>
    <row r="91" spans="1:34" x14ac:dyDescent="0.15">
      <c r="A91" s="53" t="s">
        <v>41</v>
      </c>
      <c r="B91" s="53" t="s">
        <v>157</v>
      </c>
      <c r="C91" s="62">
        <v>2019</v>
      </c>
      <c r="D91" s="63" t="s">
        <v>188</v>
      </c>
      <c r="E91" s="53" t="s">
        <v>211</v>
      </c>
      <c r="F91" s="53" t="s">
        <v>212</v>
      </c>
      <c r="G91" s="53" t="s">
        <v>42</v>
      </c>
      <c r="H91" s="53" t="s">
        <v>164</v>
      </c>
      <c r="I91" s="53" t="s">
        <v>159</v>
      </c>
      <c r="J91" s="53" t="s">
        <v>38</v>
      </c>
      <c r="K91" s="53" t="s">
        <v>161</v>
      </c>
      <c r="L91" s="53">
        <v>3</v>
      </c>
      <c r="N91" s="53">
        <v>4</v>
      </c>
      <c r="O91" s="53">
        <v>0.65</v>
      </c>
      <c r="P91" s="53">
        <v>0.45</v>
      </c>
      <c r="Q91" s="16">
        <f t="shared" si="3"/>
        <v>0.55000000000000004</v>
      </c>
      <c r="R91" s="53">
        <v>14</v>
      </c>
      <c r="S91" s="53">
        <v>119</v>
      </c>
      <c r="T91" s="38">
        <f t="shared" si="5"/>
        <v>30</v>
      </c>
      <c r="U91" s="53">
        <v>407</v>
      </c>
      <c r="V91" s="38">
        <f t="shared" si="4"/>
        <v>3052.5</v>
      </c>
      <c r="W91" s="53">
        <v>1</v>
      </c>
      <c r="X91" s="53" t="s">
        <v>46</v>
      </c>
      <c r="Y91" s="53" t="s">
        <v>84</v>
      </c>
      <c r="Z91" s="53" t="s">
        <v>90</v>
      </c>
      <c r="AA91" s="53" t="s">
        <v>69</v>
      </c>
      <c r="AB91" s="53" t="s">
        <v>158</v>
      </c>
    </row>
    <row r="92" spans="1:34" x14ac:dyDescent="0.15">
      <c r="C92" s="62"/>
      <c r="D92" s="63"/>
      <c r="P92" s="76"/>
      <c r="V92" s="38"/>
      <c r="AC92" s="75"/>
      <c r="AD92" s="75"/>
      <c r="AF92" s="75"/>
      <c r="AG92" s="75"/>
      <c r="AH92" s="75"/>
    </row>
    <row r="93" spans="1:34" x14ac:dyDescent="0.15">
      <c r="C93" s="62"/>
      <c r="D93" s="63"/>
      <c r="V93" s="38"/>
      <c r="AC93" s="75"/>
      <c r="AD93" s="75"/>
      <c r="AF93" s="75"/>
      <c r="AG93" s="75"/>
      <c r="AH93" s="75"/>
    </row>
    <row r="94" spans="1:34" x14ac:dyDescent="0.15">
      <c r="C94" s="62"/>
      <c r="D94" s="63"/>
      <c r="T94" s="38"/>
      <c r="V94" s="38"/>
      <c r="AC94" s="75"/>
      <c r="AD94" s="75"/>
      <c r="AF94" s="75"/>
      <c r="AG94" s="75"/>
      <c r="AH94" s="75"/>
    </row>
    <row r="95" spans="1:34" x14ac:dyDescent="0.15">
      <c r="C95" s="62"/>
      <c r="D95" s="63"/>
      <c r="P95" s="76"/>
      <c r="V95" s="38"/>
      <c r="AC95" s="75"/>
      <c r="AD95" s="75"/>
      <c r="AF95" s="75"/>
      <c r="AG95" s="75"/>
      <c r="AH95" s="75"/>
    </row>
    <row r="96" spans="1:34" x14ac:dyDescent="0.15">
      <c r="C96" s="62"/>
      <c r="D96" s="63"/>
      <c r="V96" s="38"/>
      <c r="AC96" s="75"/>
      <c r="AD96" s="75"/>
      <c r="AF96" s="75"/>
      <c r="AG96" s="75"/>
      <c r="AH96" s="75"/>
    </row>
    <row r="97" spans="3:34" x14ac:dyDescent="0.15">
      <c r="C97" s="62"/>
      <c r="D97" s="63"/>
      <c r="T97" s="38"/>
      <c r="V97" s="38"/>
      <c r="AC97" s="75"/>
      <c r="AD97" s="75"/>
      <c r="AF97" s="75"/>
      <c r="AG97" s="75"/>
      <c r="AH97" s="75"/>
    </row>
    <row r="98" spans="3:34" x14ac:dyDescent="0.15">
      <c r="C98" s="62"/>
      <c r="D98" s="63"/>
      <c r="P98" s="76"/>
      <c r="V98" s="38"/>
      <c r="AC98" s="75"/>
      <c r="AD98" s="75"/>
      <c r="AF98" s="75"/>
      <c r="AG98" s="75"/>
      <c r="AH98" s="75"/>
    </row>
    <row r="99" spans="3:34" x14ac:dyDescent="0.15">
      <c r="C99" s="62"/>
      <c r="D99" s="63"/>
      <c r="V99" s="38"/>
      <c r="AC99" s="75"/>
      <c r="AD99" s="75"/>
      <c r="AF99" s="75"/>
      <c r="AG99" s="75"/>
      <c r="AH99" s="75"/>
    </row>
    <row r="100" spans="3:34" x14ac:dyDescent="0.15">
      <c r="C100" s="62"/>
      <c r="D100" s="63"/>
      <c r="T100" s="38"/>
      <c r="V100" s="38"/>
      <c r="AC100" s="75"/>
      <c r="AD100" s="75"/>
      <c r="AF100" s="75"/>
      <c r="AG100" s="75"/>
      <c r="AH100" s="75"/>
    </row>
    <row r="101" spans="3:34" x14ac:dyDescent="0.15">
      <c r="Q101" s="74"/>
    </row>
    <row r="102" spans="3:34" x14ac:dyDescent="0.15">
      <c r="Q102" s="74"/>
    </row>
    <row r="103" spans="3:34" x14ac:dyDescent="0.15">
      <c r="Q103" s="74"/>
    </row>
    <row r="104" spans="3:34" x14ac:dyDescent="0.15">
      <c r="Q104" s="74" t="str">
        <f t="shared" ref="Q104:Q167" si="6">IF(OR(O104="",P104=""),"",AVERAGE(O104,P104))</f>
        <v/>
      </c>
      <c r="T104" s="16" t="str">
        <f t="shared" ref="T104:T167" si="7">IF(H104="","",IF(OR(H104="GREEN",H104="GK"),IF(S104&gt;=$AX$2,VLOOKUP(S104,$AX$2:$AY$10,2,1),""),IF(S104&gt;=$AZ$2,VLOOKUP(S104,$AZ$2:$BA$10,2,1),"")))</f>
        <v/>
      </c>
      <c r="V104" s="16" t="str">
        <f t="shared" ref="V104:V167" si="8">IF(OR(N104="",U104="",T104=""),"",U104/N104*T104)</f>
        <v/>
      </c>
    </row>
    <row r="105" spans="3:34" x14ac:dyDescent="0.15">
      <c r="Q105" s="74" t="str">
        <f t="shared" si="6"/>
        <v/>
      </c>
      <c r="T105" s="16" t="str">
        <f t="shared" si="7"/>
        <v/>
      </c>
      <c r="V105" s="16" t="str">
        <f t="shared" si="8"/>
        <v/>
      </c>
    </row>
    <row r="106" spans="3:34" x14ac:dyDescent="0.15">
      <c r="Q106" s="74" t="str">
        <f t="shared" si="6"/>
        <v/>
      </c>
      <c r="T106" s="16" t="str">
        <f t="shared" si="7"/>
        <v/>
      </c>
      <c r="V106" s="16" t="str">
        <f t="shared" si="8"/>
        <v/>
      </c>
    </row>
    <row r="107" spans="3:34" x14ac:dyDescent="0.15">
      <c r="Q107" s="74" t="str">
        <f t="shared" si="6"/>
        <v/>
      </c>
      <c r="T107" s="16" t="str">
        <f t="shared" si="7"/>
        <v/>
      </c>
      <c r="V107" s="16" t="str">
        <f t="shared" si="8"/>
        <v/>
      </c>
    </row>
    <row r="108" spans="3:34" x14ac:dyDescent="0.15">
      <c r="Q108" s="74" t="str">
        <f t="shared" si="6"/>
        <v/>
      </c>
      <c r="T108" s="16" t="str">
        <f t="shared" si="7"/>
        <v/>
      </c>
      <c r="V108" s="16" t="str">
        <f t="shared" si="8"/>
        <v/>
      </c>
    </row>
    <row r="109" spans="3:34" x14ac:dyDescent="0.15">
      <c r="Q109" s="74" t="str">
        <f t="shared" si="6"/>
        <v/>
      </c>
      <c r="T109" s="16" t="str">
        <f t="shared" si="7"/>
        <v/>
      </c>
      <c r="V109" s="16" t="str">
        <f t="shared" si="8"/>
        <v/>
      </c>
    </row>
    <row r="110" spans="3:34" x14ac:dyDescent="0.15">
      <c r="Q110" s="74" t="str">
        <f t="shared" si="6"/>
        <v/>
      </c>
      <c r="T110" s="16" t="str">
        <f t="shared" si="7"/>
        <v/>
      </c>
      <c r="V110" s="16" t="str">
        <f t="shared" si="8"/>
        <v/>
      </c>
    </row>
    <row r="111" spans="3:34" x14ac:dyDescent="0.15">
      <c r="Q111" s="74" t="str">
        <f t="shared" si="6"/>
        <v/>
      </c>
      <c r="T111" s="16" t="str">
        <f t="shared" si="7"/>
        <v/>
      </c>
      <c r="V111" s="16" t="str">
        <f t="shared" si="8"/>
        <v/>
      </c>
    </row>
    <row r="112" spans="3:34" x14ac:dyDescent="0.15">
      <c r="Q112" s="74" t="str">
        <f t="shared" si="6"/>
        <v/>
      </c>
      <c r="T112" s="16" t="str">
        <f t="shared" si="7"/>
        <v/>
      </c>
      <c r="V112" s="16" t="str">
        <f t="shared" si="8"/>
        <v/>
      </c>
    </row>
    <row r="113" spans="17:22" x14ac:dyDescent="0.15">
      <c r="Q113" s="74" t="str">
        <f t="shared" si="6"/>
        <v/>
      </c>
      <c r="T113" s="16" t="str">
        <f t="shared" si="7"/>
        <v/>
      </c>
      <c r="V113" s="16" t="str">
        <f t="shared" si="8"/>
        <v/>
      </c>
    </row>
    <row r="114" spans="17:22" x14ac:dyDescent="0.15">
      <c r="Q114" s="74" t="str">
        <f t="shared" si="6"/>
        <v/>
      </c>
      <c r="T114" s="16" t="str">
        <f t="shared" si="7"/>
        <v/>
      </c>
      <c r="V114" s="16" t="str">
        <f t="shared" si="8"/>
        <v/>
      </c>
    </row>
    <row r="115" spans="17:22" x14ac:dyDescent="0.15">
      <c r="Q115" s="74" t="str">
        <f t="shared" si="6"/>
        <v/>
      </c>
      <c r="T115" s="16" t="str">
        <f t="shared" si="7"/>
        <v/>
      </c>
      <c r="V115" s="16" t="str">
        <f t="shared" si="8"/>
        <v/>
      </c>
    </row>
    <row r="116" spans="17:22" x14ac:dyDescent="0.15">
      <c r="Q116" s="74" t="str">
        <f t="shared" si="6"/>
        <v/>
      </c>
      <c r="T116" s="16" t="str">
        <f t="shared" si="7"/>
        <v/>
      </c>
      <c r="V116" s="16" t="str">
        <f t="shared" si="8"/>
        <v/>
      </c>
    </row>
    <row r="117" spans="17:22" x14ac:dyDescent="0.15">
      <c r="Q117" s="74" t="str">
        <f t="shared" si="6"/>
        <v/>
      </c>
      <c r="T117" s="16" t="str">
        <f t="shared" si="7"/>
        <v/>
      </c>
      <c r="V117" s="16" t="str">
        <f t="shared" si="8"/>
        <v/>
      </c>
    </row>
    <row r="118" spans="17:22" x14ac:dyDescent="0.15">
      <c r="Q118" s="74" t="str">
        <f t="shared" si="6"/>
        <v/>
      </c>
      <c r="T118" s="16" t="str">
        <f t="shared" si="7"/>
        <v/>
      </c>
      <c r="V118" s="16" t="str">
        <f t="shared" si="8"/>
        <v/>
      </c>
    </row>
    <row r="119" spans="17:22" x14ac:dyDescent="0.15">
      <c r="Q119" s="74" t="str">
        <f t="shared" si="6"/>
        <v/>
      </c>
      <c r="T119" s="16" t="str">
        <f t="shared" si="7"/>
        <v/>
      </c>
      <c r="V119" s="16" t="str">
        <f t="shared" si="8"/>
        <v/>
      </c>
    </row>
    <row r="120" spans="17:22" x14ac:dyDescent="0.15">
      <c r="Q120" s="74" t="str">
        <f t="shared" si="6"/>
        <v/>
      </c>
      <c r="T120" s="16" t="str">
        <f t="shared" si="7"/>
        <v/>
      </c>
      <c r="V120" s="16" t="str">
        <f t="shared" si="8"/>
        <v/>
      </c>
    </row>
    <row r="121" spans="17:22" x14ac:dyDescent="0.15">
      <c r="Q121" s="74" t="str">
        <f t="shared" si="6"/>
        <v/>
      </c>
      <c r="T121" s="16" t="str">
        <f t="shared" si="7"/>
        <v/>
      </c>
      <c r="V121" s="16" t="str">
        <f t="shared" si="8"/>
        <v/>
      </c>
    </row>
    <row r="122" spans="17:22" x14ac:dyDescent="0.15">
      <c r="Q122" s="74" t="str">
        <f t="shared" si="6"/>
        <v/>
      </c>
      <c r="T122" s="16" t="str">
        <f t="shared" si="7"/>
        <v/>
      </c>
      <c r="V122" s="16" t="str">
        <f t="shared" si="8"/>
        <v/>
      </c>
    </row>
    <row r="123" spans="17:22" x14ac:dyDescent="0.15">
      <c r="Q123" s="74" t="str">
        <f t="shared" si="6"/>
        <v/>
      </c>
      <c r="T123" s="16" t="str">
        <f t="shared" si="7"/>
        <v/>
      </c>
      <c r="V123" s="16" t="str">
        <f t="shared" si="8"/>
        <v/>
      </c>
    </row>
    <row r="124" spans="17:22" x14ac:dyDescent="0.15">
      <c r="Q124" s="74" t="str">
        <f t="shared" si="6"/>
        <v/>
      </c>
      <c r="T124" s="16" t="str">
        <f t="shared" si="7"/>
        <v/>
      </c>
      <c r="V124" s="16" t="str">
        <f t="shared" si="8"/>
        <v/>
      </c>
    </row>
    <row r="125" spans="17:22" x14ac:dyDescent="0.15">
      <c r="Q125" s="74" t="str">
        <f t="shared" si="6"/>
        <v/>
      </c>
      <c r="T125" s="16" t="str">
        <f t="shared" si="7"/>
        <v/>
      </c>
      <c r="V125" s="16" t="str">
        <f t="shared" si="8"/>
        <v/>
      </c>
    </row>
    <row r="126" spans="17:22" x14ac:dyDescent="0.15">
      <c r="Q126" s="74" t="str">
        <f t="shared" si="6"/>
        <v/>
      </c>
      <c r="T126" s="16" t="str">
        <f t="shared" si="7"/>
        <v/>
      </c>
      <c r="V126" s="16" t="str">
        <f t="shared" si="8"/>
        <v/>
      </c>
    </row>
    <row r="127" spans="17:22" x14ac:dyDescent="0.15">
      <c r="Q127" s="74" t="str">
        <f t="shared" si="6"/>
        <v/>
      </c>
      <c r="T127" s="16" t="str">
        <f t="shared" si="7"/>
        <v/>
      </c>
      <c r="V127" s="16" t="str">
        <f t="shared" si="8"/>
        <v/>
      </c>
    </row>
    <row r="128" spans="17:22" x14ac:dyDescent="0.15">
      <c r="Q128" s="74" t="str">
        <f t="shared" si="6"/>
        <v/>
      </c>
      <c r="T128" s="16" t="str">
        <f t="shared" si="7"/>
        <v/>
      </c>
      <c r="V128" s="16" t="str">
        <f t="shared" si="8"/>
        <v/>
      </c>
    </row>
    <row r="129" spans="17:22" x14ac:dyDescent="0.15">
      <c r="Q129" s="74" t="str">
        <f t="shared" si="6"/>
        <v/>
      </c>
      <c r="T129" s="16" t="str">
        <f t="shared" si="7"/>
        <v/>
      </c>
      <c r="V129" s="16" t="str">
        <f t="shared" si="8"/>
        <v/>
      </c>
    </row>
    <row r="130" spans="17:22" x14ac:dyDescent="0.15">
      <c r="Q130" s="74" t="str">
        <f t="shared" si="6"/>
        <v/>
      </c>
      <c r="T130" s="16" t="str">
        <f t="shared" si="7"/>
        <v/>
      </c>
      <c r="V130" s="16" t="str">
        <f t="shared" si="8"/>
        <v/>
      </c>
    </row>
    <row r="131" spans="17:22" x14ac:dyDescent="0.15">
      <c r="Q131" s="74" t="str">
        <f t="shared" si="6"/>
        <v/>
      </c>
      <c r="T131" s="16" t="str">
        <f t="shared" si="7"/>
        <v/>
      </c>
      <c r="V131" s="16" t="str">
        <f t="shared" si="8"/>
        <v/>
      </c>
    </row>
    <row r="132" spans="17:22" x14ac:dyDescent="0.15">
      <c r="Q132" s="74" t="str">
        <f t="shared" si="6"/>
        <v/>
      </c>
      <c r="T132" s="16" t="str">
        <f t="shared" si="7"/>
        <v/>
      </c>
      <c r="V132" s="16" t="str">
        <f t="shared" si="8"/>
        <v/>
      </c>
    </row>
    <row r="133" spans="17:22" x14ac:dyDescent="0.15">
      <c r="Q133" s="74" t="str">
        <f t="shared" si="6"/>
        <v/>
      </c>
      <c r="T133" s="16" t="str">
        <f t="shared" si="7"/>
        <v/>
      </c>
      <c r="V133" s="16" t="str">
        <f t="shared" si="8"/>
        <v/>
      </c>
    </row>
    <row r="134" spans="17:22" x14ac:dyDescent="0.15">
      <c r="Q134" s="74" t="str">
        <f t="shared" si="6"/>
        <v/>
      </c>
      <c r="T134" s="16" t="str">
        <f t="shared" si="7"/>
        <v/>
      </c>
      <c r="V134" s="16" t="str">
        <f t="shared" si="8"/>
        <v/>
      </c>
    </row>
    <row r="135" spans="17:22" x14ac:dyDescent="0.15">
      <c r="Q135" s="74" t="str">
        <f t="shared" si="6"/>
        <v/>
      </c>
      <c r="T135" s="16" t="str">
        <f t="shared" si="7"/>
        <v/>
      </c>
      <c r="V135" s="16" t="str">
        <f t="shared" si="8"/>
        <v/>
      </c>
    </row>
    <row r="136" spans="17:22" x14ac:dyDescent="0.15">
      <c r="Q136" s="74" t="str">
        <f t="shared" si="6"/>
        <v/>
      </c>
      <c r="T136" s="16" t="str">
        <f t="shared" si="7"/>
        <v/>
      </c>
      <c r="V136" s="16" t="str">
        <f t="shared" si="8"/>
        <v/>
      </c>
    </row>
    <row r="137" spans="17:22" x14ac:dyDescent="0.15">
      <c r="Q137" s="74" t="str">
        <f t="shared" si="6"/>
        <v/>
      </c>
      <c r="T137" s="16" t="str">
        <f t="shared" si="7"/>
        <v/>
      </c>
      <c r="V137" s="16" t="str">
        <f t="shared" si="8"/>
        <v/>
      </c>
    </row>
    <row r="138" spans="17:22" x14ac:dyDescent="0.15">
      <c r="Q138" s="74" t="str">
        <f t="shared" si="6"/>
        <v/>
      </c>
      <c r="T138" s="16" t="str">
        <f t="shared" si="7"/>
        <v/>
      </c>
      <c r="V138" s="16" t="str">
        <f t="shared" si="8"/>
        <v/>
      </c>
    </row>
    <row r="139" spans="17:22" x14ac:dyDescent="0.15">
      <c r="Q139" s="74" t="str">
        <f t="shared" si="6"/>
        <v/>
      </c>
      <c r="T139" s="16" t="str">
        <f t="shared" si="7"/>
        <v/>
      </c>
      <c r="V139" s="16" t="str">
        <f t="shared" si="8"/>
        <v/>
      </c>
    </row>
    <row r="140" spans="17:22" x14ac:dyDescent="0.15">
      <c r="Q140" s="74" t="str">
        <f t="shared" si="6"/>
        <v/>
      </c>
      <c r="T140" s="16" t="str">
        <f t="shared" si="7"/>
        <v/>
      </c>
      <c r="V140" s="16" t="str">
        <f t="shared" si="8"/>
        <v/>
      </c>
    </row>
    <row r="141" spans="17:22" x14ac:dyDescent="0.15">
      <c r="Q141" s="74" t="str">
        <f t="shared" si="6"/>
        <v/>
      </c>
      <c r="T141" s="16" t="str">
        <f t="shared" si="7"/>
        <v/>
      </c>
      <c r="V141" s="16" t="str">
        <f t="shared" si="8"/>
        <v/>
      </c>
    </row>
    <row r="142" spans="17:22" x14ac:dyDescent="0.15">
      <c r="Q142" s="74" t="str">
        <f t="shared" si="6"/>
        <v/>
      </c>
      <c r="T142" s="16" t="str">
        <f t="shared" si="7"/>
        <v/>
      </c>
      <c r="V142" s="16" t="str">
        <f t="shared" si="8"/>
        <v/>
      </c>
    </row>
    <row r="143" spans="17:22" x14ac:dyDescent="0.15">
      <c r="Q143" s="74" t="str">
        <f t="shared" si="6"/>
        <v/>
      </c>
      <c r="T143" s="16" t="str">
        <f t="shared" si="7"/>
        <v/>
      </c>
      <c r="V143" s="16" t="str">
        <f t="shared" si="8"/>
        <v/>
      </c>
    </row>
    <row r="144" spans="17:22" x14ac:dyDescent="0.15">
      <c r="Q144" s="74" t="str">
        <f t="shared" si="6"/>
        <v/>
      </c>
      <c r="T144" s="16" t="str">
        <f t="shared" si="7"/>
        <v/>
      </c>
      <c r="V144" s="16" t="str">
        <f t="shared" si="8"/>
        <v/>
      </c>
    </row>
    <row r="145" spans="17:22" x14ac:dyDescent="0.15">
      <c r="Q145" s="74" t="str">
        <f t="shared" si="6"/>
        <v/>
      </c>
      <c r="T145" s="16" t="str">
        <f t="shared" si="7"/>
        <v/>
      </c>
      <c r="V145" s="16" t="str">
        <f t="shared" si="8"/>
        <v/>
      </c>
    </row>
    <row r="146" spans="17:22" x14ac:dyDescent="0.15">
      <c r="Q146" s="74" t="str">
        <f t="shared" si="6"/>
        <v/>
      </c>
      <c r="T146" s="16" t="str">
        <f t="shared" si="7"/>
        <v/>
      </c>
      <c r="V146" s="16" t="str">
        <f t="shared" si="8"/>
        <v/>
      </c>
    </row>
    <row r="147" spans="17:22" x14ac:dyDescent="0.15">
      <c r="Q147" s="74" t="str">
        <f t="shared" si="6"/>
        <v/>
      </c>
      <c r="T147" s="16" t="str">
        <f t="shared" si="7"/>
        <v/>
      </c>
      <c r="V147" s="16" t="str">
        <f t="shared" si="8"/>
        <v/>
      </c>
    </row>
    <row r="148" spans="17:22" x14ac:dyDescent="0.15">
      <c r="Q148" s="74" t="str">
        <f t="shared" si="6"/>
        <v/>
      </c>
      <c r="T148" s="16" t="str">
        <f t="shared" si="7"/>
        <v/>
      </c>
      <c r="V148" s="16" t="str">
        <f t="shared" si="8"/>
        <v/>
      </c>
    </row>
    <row r="149" spans="17:22" x14ac:dyDescent="0.15">
      <c r="Q149" s="74" t="str">
        <f t="shared" si="6"/>
        <v/>
      </c>
      <c r="T149" s="16" t="str">
        <f t="shared" si="7"/>
        <v/>
      </c>
      <c r="V149" s="16" t="str">
        <f t="shared" si="8"/>
        <v/>
      </c>
    </row>
    <row r="150" spans="17:22" x14ac:dyDescent="0.15">
      <c r="Q150" s="74" t="str">
        <f t="shared" si="6"/>
        <v/>
      </c>
      <c r="T150" s="16" t="str">
        <f t="shared" si="7"/>
        <v/>
      </c>
      <c r="V150" s="16" t="str">
        <f t="shared" si="8"/>
        <v/>
      </c>
    </row>
    <row r="151" spans="17:22" x14ac:dyDescent="0.15">
      <c r="Q151" s="74" t="str">
        <f t="shared" si="6"/>
        <v/>
      </c>
      <c r="T151" s="16" t="str">
        <f t="shared" si="7"/>
        <v/>
      </c>
      <c r="V151" s="16" t="str">
        <f t="shared" si="8"/>
        <v/>
      </c>
    </row>
    <row r="152" spans="17:22" x14ac:dyDescent="0.15">
      <c r="Q152" s="74" t="str">
        <f t="shared" si="6"/>
        <v/>
      </c>
      <c r="T152" s="16" t="str">
        <f t="shared" si="7"/>
        <v/>
      </c>
      <c r="V152" s="16" t="str">
        <f t="shared" si="8"/>
        <v/>
      </c>
    </row>
    <row r="153" spans="17:22" x14ac:dyDescent="0.15">
      <c r="Q153" s="74" t="str">
        <f t="shared" si="6"/>
        <v/>
      </c>
      <c r="T153" s="16" t="str">
        <f t="shared" si="7"/>
        <v/>
      </c>
      <c r="V153" s="16" t="str">
        <f t="shared" si="8"/>
        <v/>
      </c>
    </row>
    <row r="154" spans="17:22" x14ac:dyDescent="0.15">
      <c r="Q154" s="74" t="str">
        <f t="shared" si="6"/>
        <v/>
      </c>
      <c r="T154" s="16" t="str">
        <f t="shared" si="7"/>
        <v/>
      </c>
      <c r="V154" s="16" t="str">
        <f t="shared" si="8"/>
        <v/>
      </c>
    </row>
    <row r="155" spans="17:22" x14ac:dyDescent="0.15">
      <c r="Q155" s="74" t="str">
        <f t="shared" si="6"/>
        <v/>
      </c>
      <c r="T155" s="16" t="str">
        <f t="shared" si="7"/>
        <v/>
      </c>
      <c r="V155" s="16" t="str">
        <f t="shared" si="8"/>
        <v/>
      </c>
    </row>
    <row r="156" spans="17:22" x14ac:dyDescent="0.15">
      <c r="Q156" s="74" t="str">
        <f t="shared" si="6"/>
        <v/>
      </c>
      <c r="T156" s="16" t="str">
        <f t="shared" si="7"/>
        <v/>
      </c>
      <c r="V156" s="16" t="str">
        <f t="shared" si="8"/>
        <v/>
      </c>
    </row>
    <row r="157" spans="17:22" x14ac:dyDescent="0.15">
      <c r="Q157" s="74" t="str">
        <f t="shared" si="6"/>
        <v/>
      </c>
      <c r="T157" s="16" t="str">
        <f t="shared" si="7"/>
        <v/>
      </c>
      <c r="V157" s="16" t="str">
        <f t="shared" si="8"/>
        <v/>
      </c>
    </row>
    <row r="158" spans="17:22" x14ac:dyDescent="0.15">
      <c r="Q158" s="74" t="str">
        <f t="shared" si="6"/>
        <v/>
      </c>
      <c r="T158" s="16" t="str">
        <f t="shared" si="7"/>
        <v/>
      </c>
      <c r="V158" s="16" t="str">
        <f t="shared" si="8"/>
        <v/>
      </c>
    </row>
    <row r="159" spans="17:22" x14ac:dyDescent="0.15">
      <c r="Q159" s="74" t="str">
        <f t="shared" si="6"/>
        <v/>
      </c>
      <c r="T159" s="16" t="str">
        <f t="shared" si="7"/>
        <v/>
      </c>
      <c r="V159" s="16" t="str">
        <f t="shared" si="8"/>
        <v/>
      </c>
    </row>
    <row r="160" spans="17:22" x14ac:dyDescent="0.15">
      <c r="Q160" s="74" t="str">
        <f t="shared" si="6"/>
        <v/>
      </c>
      <c r="T160" s="16" t="str">
        <f t="shared" si="7"/>
        <v/>
      </c>
      <c r="V160" s="16" t="str">
        <f t="shared" si="8"/>
        <v/>
      </c>
    </row>
    <row r="161" spans="17:22" x14ac:dyDescent="0.15">
      <c r="Q161" s="74" t="str">
        <f t="shared" si="6"/>
        <v/>
      </c>
      <c r="T161" s="16" t="str">
        <f t="shared" si="7"/>
        <v/>
      </c>
      <c r="V161" s="16" t="str">
        <f t="shared" si="8"/>
        <v/>
      </c>
    </row>
    <row r="162" spans="17:22" x14ac:dyDescent="0.15">
      <c r="Q162" s="74" t="str">
        <f t="shared" si="6"/>
        <v/>
      </c>
      <c r="T162" s="16" t="str">
        <f t="shared" si="7"/>
        <v/>
      </c>
      <c r="V162" s="16" t="str">
        <f t="shared" si="8"/>
        <v/>
      </c>
    </row>
    <row r="163" spans="17:22" x14ac:dyDescent="0.15">
      <c r="Q163" s="74" t="str">
        <f t="shared" si="6"/>
        <v/>
      </c>
      <c r="T163" s="16" t="str">
        <f t="shared" si="7"/>
        <v/>
      </c>
      <c r="V163" s="16" t="str">
        <f t="shared" si="8"/>
        <v/>
      </c>
    </row>
    <row r="164" spans="17:22" x14ac:dyDescent="0.15">
      <c r="Q164" s="74" t="str">
        <f t="shared" si="6"/>
        <v/>
      </c>
      <c r="T164" s="16" t="str">
        <f t="shared" si="7"/>
        <v/>
      </c>
      <c r="V164" s="16" t="str">
        <f t="shared" si="8"/>
        <v/>
      </c>
    </row>
    <row r="165" spans="17:22" x14ac:dyDescent="0.15">
      <c r="Q165" s="74" t="str">
        <f t="shared" si="6"/>
        <v/>
      </c>
      <c r="T165" s="16" t="str">
        <f t="shared" si="7"/>
        <v/>
      </c>
      <c r="V165" s="16" t="str">
        <f t="shared" si="8"/>
        <v/>
      </c>
    </row>
    <row r="166" spans="17:22" x14ac:dyDescent="0.15">
      <c r="Q166" s="74" t="str">
        <f t="shared" si="6"/>
        <v/>
      </c>
      <c r="T166" s="16" t="str">
        <f t="shared" si="7"/>
        <v/>
      </c>
      <c r="V166" s="16" t="str">
        <f t="shared" si="8"/>
        <v/>
      </c>
    </row>
    <row r="167" spans="17:22" x14ac:dyDescent="0.15">
      <c r="Q167" s="74" t="str">
        <f t="shared" si="6"/>
        <v/>
      </c>
      <c r="T167" s="16" t="str">
        <f t="shared" si="7"/>
        <v/>
      </c>
      <c r="V167" s="16" t="str">
        <f t="shared" si="8"/>
        <v/>
      </c>
    </row>
    <row r="168" spans="17:22" x14ac:dyDescent="0.15">
      <c r="Q168" s="74" t="str">
        <f t="shared" ref="Q168:Q231" si="9">IF(OR(O168="",P168=""),"",AVERAGE(O168,P168))</f>
        <v/>
      </c>
      <c r="T168" s="16" t="str">
        <f t="shared" ref="T168:T231" si="10">IF(H168="","",IF(OR(H168="GREEN",H168="GK"),IF(S168&gt;=$AX$2,VLOOKUP(S168,$AX$2:$AY$10,2,1),""),IF(S168&gt;=$AZ$2,VLOOKUP(S168,$AZ$2:$BA$10,2,1),"")))</f>
        <v/>
      </c>
      <c r="V168" s="16" t="str">
        <f t="shared" ref="V168:V231" si="11">IF(OR(N168="",U168="",T168=""),"",U168/N168*T168)</f>
        <v/>
      </c>
    </row>
    <row r="169" spans="17:22" x14ac:dyDescent="0.15">
      <c r="Q169" s="74" t="str">
        <f t="shared" si="9"/>
        <v/>
      </c>
      <c r="T169" s="16" t="str">
        <f t="shared" si="10"/>
        <v/>
      </c>
      <c r="V169" s="16" t="str">
        <f t="shared" si="11"/>
        <v/>
      </c>
    </row>
    <row r="170" spans="17:22" x14ac:dyDescent="0.15">
      <c r="Q170" s="74" t="str">
        <f t="shared" si="9"/>
        <v/>
      </c>
      <c r="T170" s="16" t="str">
        <f t="shared" si="10"/>
        <v/>
      </c>
      <c r="V170" s="16" t="str">
        <f t="shared" si="11"/>
        <v/>
      </c>
    </row>
    <row r="171" spans="17:22" x14ac:dyDescent="0.15">
      <c r="Q171" s="74" t="str">
        <f t="shared" si="9"/>
        <v/>
      </c>
      <c r="T171" s="16" t="str">
        <f t="shared" si="10"/>
        <v/>
      </c>
      <c r="V171" s="16" t="str">
        <f t="shared" si="11"/>
        <v/>
      </c>
    </row>
    <row r="172" spans="17:22" x14ac:dyDescent="0.15">
      <c r="Q172" s="74" t="str">
        <f t="shared" si="9"/>
        <v/>
      </c>
      <c r="T172" s="16" t="str">
        <f t="shared" si="10"/>
        <v/>
      </c>
      <c r="V172" s="16" t="str">
        <f t="shared" si="11"/>
        <v/>
      </c>
    </row>
    <row r="173" spans="17:22" x14ac:dyDescent="0.15">
      <c r="Q173" s="74" t="str">
        <f t="shared" si="9"/>
        <v/>
      </c>
      <c r="T173" s="16" t="str">
        <f t="shared" si="10"/>
        <v/>
      </c>
      <c r="V173" s="16" t="str">
        <f t="shared" si="11"/>
        <v/>
      </c>
    </row>
    <row r="174" spans="17:22" x14ac:dyDescent="0.15">
      <c r="Q174" s="74" t="str">
        <f t="shared" si="9"/>
        <v/>
      </c>
      <c r="T174" s="16" t="str">
        <f t="shared" si="10"/>
        <v/>
      </c>
      <c r="V174" s="16" t="str">
        <f t="shared" si="11"/>
        <v/>
      </c>
    </row>
    <row r="175" spans="17:22" x14ac:dyDescent="0.15">
      <c r="Q175" s="74" t="str">
        <f t="shared" si="9"/>
        <v/>
      </c>
      <c r="T175" s="16" t="str">
        <f t="shared" si="10"/>
        <v/>
      </c>
      <c r="V175" s="16" t="str">
        <f t="shared" si="11"/>
        <v/>
      </c>
    </row>
    <row r="176" spans="17:22" x14ac:dyDescent="0.15">
      <c r="Q176" s="74" t="str">
        <f t="shared" si="9"/>
        <v/>
      </c>
      <c r="T176" s="16" t="str">
        <f t="shared" si="10"/>
        <v/>
      </c>
      <c r="V176" s="16" t="str">
        <f t="shared" si="11"/>
        <v/>
      </c>
    </row>
    <row r="177" spans="17:22" x14ac:dyDescent="0.15">
      <c r="Q177" s="74" t="str">
        <f t="shared" si="9"/>
        <v/>
      </c>
      <c r="T177" s="16" t="str">
        <f t="shared" si="10"/>
        <v/>
      </c>
      <c r="V177" s="16" t="str">
        <f t="shared" si="11"/>
        <v/>
      </c>
    </row>
    <row r="178" spans="17:22" x14ac:dyDescent="0.15">
      <c r="Q178" s="74" t="str">
        <f t="shared" si="9"/>
        <v/>
      </c>
      <c r="T178" s="16" t="str">
        <f t="shared" si="10"/>
        <v/>
      </c>
      <c r="V178" s="16" t="str">
        <f t="shared" si="11"/>
        <v/>
      </c>
    </row>
    <row r="179" spans="17:22" x14ac:dyDescent="0.15">
      <c r="Q179" s="74" t="str">
        <f t="shared" si="9"/>
        <v/>
      </c>
      <c r="T179" s="16" t="str">
        <f t="shared" si="10"/>
        <v/>
      </c>
      <c r="V179" s="16" t="str">
        <f t="shared" si="11"/>
        <v/>
      </c>
    </row>
    <row r="180" spans="17:22" x14ac:dyDescent="0.15">
      <c r="Q180" s="74" t="str">
        <f t="shared" si="9"/>
        <v/>
      </c>
      <c r="T180" s="16" t="str">
        <f t="shared" si="10"/>
        <v/>
      </c>
      <c r="V180" s="16" t="str">
        <f t="shared" si="11"/>
        <v/>
      </c>
    </row>
    <row r="181" spans="17:22" x14ac:dyDescent="0.15">
      <c r="Q181" s="74" t="str">
        <f t="shared" si="9"/>
        <v/>
      </c>
      <c r="T181" s="16" t="str">
        <f t="shared" si="10"/>
        <v/>
      </c>
      <c r="V181" s="16" t="str">
        <f t="shared" si="11"/>
        <v/>
      </c>
    </row>
    <row r="182" spans="17:22" x14ac:dyDescent="0.15">
      <c r="Q182" s="74" t="str">
        <f t="shared" si="9"/>
        <v/>
      </c>
      <c r="T182" s="16" t="str">
        <f t="shared" si="10"/>
        <v/>
      </c>
      <c r="V182" s="16" t="str">
        <f t="shared" si="11"/>
        <v/>
      </c>
    </row>
    <row r="183" spans="17:22" x14ac:dyDescent="0.15">
      <c r="Q183" s="74" t="str">
        <f t="shared" si="9"/>
        <v/>
      </c>
      <c r="T183" s="16" t="str">
        <f t="shared" si="10"/>
        <v/>
      </c>
      <c r="V183" s="16" t="str">
        <f t="shared" si="11"/>
        <v/>
      </c>
    </row>
    <row r="184" spans="17:22" x14ac:dyDescent="0.15">
      <c r="Q184" s="74" t="str">
        <f t="shared" si="9"/>
        <v/>
      </c>
      <c r="T184" s="16" t="str">
        <f t="shared" si="10"/>
        <v/>
      </c>
      <c r="V184" s="16" t="str">
        <f t="shared" si="11"/>
        <v/>
      </c>
    </row>
    <row r="185" spans="17:22" x14ac:dyDescent="0.15">
      <c r="Q185" s="74" t="str">
        <f t="shared" si="9"/>
        <v/>
      </c>
      <c r="T185" s="16" t="str">
        <f t="shared" si="10"/>
        <v/>
      </c>
      <c r="V185" s="16" t="str">
        <f t="shared" si="11"/>
        <v/>
      </c>
    </row>
    <row r="186" spans="17:22" x14ac:dyDescent="0.15">
      <c r="Q186" s="74" t="str">
        <f t="shared" si="9"/>
        <v/>
      </c>
      <c r="T186" s="16" t="str">
        <f t="shared" si="10"/>
        <v/>
      </c>
      <c r="V186" s="16" t="str">
        <f t="shared" si="11"/>
        <v/>
      </c>
    </row>
    <row r="187" spans="17:22" x14ac:dyDescent="0.15">
      <c r="Q187" s="74" t="str">
        <f t="shared" si="9"/>
        <v/>
      </c>
      <c r="T187" s="16" t="str">
        <f t="shared" si="10"/>
        <v/>
      </c>
      <c r="V187" s="16" t="str">
        <f t="shared" si="11"/>
        <v/>
      </c>
    </row>
    <row r="188" spans="17:22" x14ac:dyDescent="0.15">
      <c r="Q188" s="74" t="str">
        <f t="shared" si="9"/>
        <v/>
      </c>
      <c r="T188" s="16" t="str">
        <f t="shared" si="10"/>
        <v/>
      </c>
      <c r="V188" s="16" t="str">
        <f t="shared" si="11"/>
        <v/>
      </c>
    </row>
    <row r="189" spans="17:22" x14ac:dyDescent="0.15">
      <c r="Q189" s="74" t="str">
        <f t="shared" si="9"/>
        <v/>
      </c>
      <c r="T189" s="16" t="str">
        <f t="shared" si="10"/>
        <v/>
      </c>
      <c r="V189" s="16" t="str">
        <f t="shared" si="11"/>
        <v/>
      </c>
    </row>
    <row r="190" spans="17:22" x14ac:dyDescent="0.15">
      <c r="Q190" s="74" t="str">
        <f t="shared" si="9"/>
        <v/>
      </c>
      <c r="T190" s="16" t="str">
        <f t="shared" si="10"/>
        <v/>
      </c>
      <c r="V190" s="16" t="str">
        <f t="shared" si="11"/>
        <v/>
      </c>
    </row>
    <row r="191" spans="17:22" x14ac:dyDescent="0.15">
      <c r="Q191" s="74" t="str">
        <f t="shared" si="9"/>
        <v/>
      </c>
      <c r="T191" s="16" t="str">
        <f t="shared" si="10"/>
        <v/>
      </c>
      <c r="V191" s="16" t="str">
        <f t="shared" si="11"/>
        <v/>
      </c>
    </row>
    <row r="192" spans="17:22" x14ac:dyDescent="0.15">
      <c r="Q192" s="74" t="str">
        <f t="shared" si="9"/>
        <v/>
      </c>
      <c r="T192" s="16" t="str">
        <f t="shared" si="10"/>
        <v/>
      </c>
      <c r="V192" s="16" t="str">
        <f t="shared" si="11"/>
        <v/>
      </c>
    </row>
    <row r="193" spans="17:22" x14ac:dyDescent="0.15">
      <c r="Q193" s="74" t="str">
        <f t="shared" si="9"/>
        <v/>
      </c>
      <c r="T193" s="16" t="str">
        <f t="shared" si="10"/>
        <v/>
      </c>
      <c r="V193" s="16" t="str">
        <f t="shared" si="11"/>
        <v/>
      </c>
    </row>
    <row r="194" spans="17:22" x14ac:dyDescent="0.15">
      <c r="Q194" s="74" t="str">
        <f t="shared" si="9"/>
        <v/>
      </c>
      <c r="T194" s="16" t="str">
        <f t="shared" si="10"/>
        <v/>
      </c>
      <c r="V194" s="16" t="str">
        <f t="shared" si="11"/>
        <v/>
      </c>
    </row>
    <row r="195" spans="17:22" x14ac:dyDescent="0.15">
      <c r="Q195" s="74" t="str">
        <f t="shared" si="9"/>
        <v/>
      </c>
      <c r="T195" s="16" t="str">
        <f t="shared" si="10"/>
        <v/>
      </c>
      <c r="V195" s="16" t="str">
        <f t="shared" si="11"/>
        <v/>
      </c>
    </row>
    <row r="196" spans="17:22" x14ac:dyDescent="0.15">
      <c r="Q196" s="74" t="str">
        <f t="shared" si="9"/>
        <v/>
      </c>
      <c r="T196" s="16" t="str">
        <f t="shared" si="10"/>
        <v/>
      </c>
      <c r="V196" s="16" t="str">
        <f t="shared" si="11"/>
        <v/>
      </c>
    </row>
    <row r="197" spans="17:22" x14ac:dyDescent="0.15">
      <c r="Q197" s="74" t="str">
        <f t="shared" si="9"/>
        <v/>
      </c>
      <c r="T197" s="16" t="str">
        <f t="shared" si="10"/>
        <v/>
      </c>
      <c r="V197" s="16" t="str">
        <f t="shared" si="11"/>
        <v/>
      </c>
    </row>
    <row r="198" spans="17:22" x14ac:dyDescent="0.15">
      <c r="Q198" s="74" t="str">
        <f t="shared" si="9"/>
        <v/>
      </c>
      <c r="T198" s="16" t="str">
        <f t="shared" si="10"/>
        <v/>
      </c>
      <c r="V198" s="16" t="str">
        <f t="shared" si="11"/>
        <v/>
      </c>
    </row>
    <row r="199" spans="17:22" x14ac:dyDescent="0.15">
      <c r="Q199" s="74" t="str">
        <f t="shared" si="9"/>
        <v/>
      </c>
      <c r="T199" s="16" t="str">
        <f t="shared" si="10"/>
        <v/>
      </c>
      <c r="V199" s="16" t="str">
        <f t="shared" si="11"/>
        <v/>
      </c>
    </row>
    <row r="200" spans="17:22" x14ac:dyDescent="0.15">
      <c r="Q200" s="74" t="str">
        <f t="shared" si="9"/>
        <v/>
      </c>
      <c r="T200" s="16" t="str">
        <f t="shared" si="10"/>
        <v/>
      </c>
      <c r="V200" s="16" t="str">
        <f t="shared" si="11"/>
        <v/>
      </c>
    </row>
    <row r="201" spans="17:22" x14ac:dyDescent="0.15">
      <c r="Q201" s="74" t="str">
        <f t="shared" si="9"/>
        <v/>
      </c>
      <c r="T201" s="16" t="str">
        <f t="shared" si="10"/>
        <v/>
      </c>
      <c r="V201" s="16" t="str">
        <f t="shared" si="11"/>
        <v/>
      </c>
    </row>
    <row r="202" spans="17:22" x14ac:dyDescent="0.15">
      <c r="Q202" s="74" t="str">
        <f t="shared" si="9"/>
        <v/>
      </c>
      <c r="T202" s="16" t="str">
        <f t="shared" si="10"/>
        <v/>
      </c>
      <c r="V202" s="16" t="str">
        <f t="shared" si="11"/>
        <v/>
      </c>
    </row>
    <row r="203" spans="17:22" x14ac:dyDescent="0.15">
      <c r="Q203" s="74" t="str">
        <f t="shared" si="9"/>
        <v/>
      </c>
      <c r="T203" s="16" t="str">
        <f t="shared" si="10"/>
        <v/>
      </c>
      <c r="V203" s="16" t="str">
        <f t="shared" si="11"/>
        <v/>
      </c>
    </row>
    <row r="204" spans="17:22" x14ac:dyDescent="0.15">
      <c r="Q204" s="74" t="str">
        <f t="shared" si="9"/>
        <v/>
      </c>
      <c r="T204" s="16" t="str">
        <f t="shared" si="10"/>
        <v/>
      </c>
      <c r="V204" s="16" t="str">
        <f t="shared" si="11"/>
        <v/>
      </c>
    </row>
    <row r="205" spans="17:22" x14ac:dyDescent="0.15">
      <c r="Q205" s="74" t="str">
        <f t="shared" si="9"/>
        <v/>
      </c>
      <c r="T205" s="16" t="str">
        <f t="shared" si="10"/>
        <v/>
      </c>
      <c r="V205" s="16" t="str">
        <f t="shared" si="11"/>
        <v/>
      </c>
    </row>
    <row r="206" spans="17:22" x14ac:dyDescent="0.15">
      <c r="Q206" s="74" t="str">
        <f t="shared" si="9"/>
        <v/>
      </c>
      <c r="T206" s="16" t="str">
        <f t="shared" si="10"/>
        <v/>
      </c>
      <c r="V206" s="16" t="str">
        <f t="shared" si="11"/>
        <v/>
      </c>
    </row>
    <row r="207" spans="17:22" x14ac:dyDescent="0.15">
      <c r="Q207" s="74" t="str">
        <f t="shared" si="9"/>
        <v/>
      </c>
      <c r="T207" s="16" t="str">
        <f t="shared" si="10"/>
        <v/>
      </c>
      <c r="V207" s="16" t="str">
        <f t="shared" si="11"/>
        <v/>
      </c>
    </row>
    <row r="208" spans="17:22" x14ac:dyDescent="0.15">
      <c r="Q208" s="74" t="str">
        <f t="shared" si="9"/>
        <v/>
      </c>
      <c r="T208" s="16" t="str">
        <f t="shared" si="10"/>
        <v/>
      </c>
      <c r="V208" s="16" t="str">
        <f t="shared" si="11"/>
        <v/>
      </c>
    </row>
    <row r="209" spans="17:22" x14ac:dyDescent="0.15">
      <c r="Q209" s="74" t="str">
        <f t="shared" si="9"/>
        <v/>
      </c>
      <c r="T209" s="16" t="str">
        <f t="shared" si="10"/>
        <v/>
      </c>
      <c r="V209" s="16" t="str">
        <f t="shared" si="11"/>
        <v/>
      </c>
    </row>
    <row r="210" spans="17:22" x14ac:dyDescent="0.15">
      <c r="Q210" s="74" t="str">
        <f t="shared" si="9"/>
        <v/>
      </c>
      <c r="T210" s="16" t="str">
        <f t="shared" si="10"/>
        <v/>
      </c>
      <c r="V210" s="16" t="str">
        <f t="shared" si="11"/>
        <v/>
      </c>
    </row>
    <row r="211" spans="17:22" x14ac:dyDescent="0.15">
      <c r="Q211" s="74" t="str">
        <f t="shared" si="9"/>
        <v/>
      </c>
      <c r="T211" s="16" t="str">
        <f t="shared" si="10"/>
        <v/>
      </c>
      <c r="V211" s="16" t="str">
        <f t="shared" si="11"/>
        <v/>
      </c>
    </row>
    <row r="212" spans="17:22" x14ac:dyDescent="0.15">
      <c r="Q212" s="74" t="str">
        <f t="shared" si="9"/>
        <v/>
      </c>
      <c r="T212" s="16" t="str">
        <f t="shared" si="10"/>
        <v/>
      </c>
      <c r="V212" s="16" t="str">
        <f t="shared" si="11"/>
        <v/>
      </c>
    </row>
    <row r="213" spans="17:22" x14ac:dyDescent="0.15">
      <c r="Q213" s="74" t="str">
        <f t="shared" si="9"/>
        <v/>
      </c>
      <c r="T213" s="16" t="str">
        <f t="shared" si="10"/>
        <v/>
      </c>
      <c r="V213" s="16" t="str">
        <f t="shared" si="11"/>
        <v/>
      </c>
    </row>
    <row r="214" spans="17:22" x14ac:dyDescent="0.15">
      <c r="Q214" s="74" t="str">
        <f t="shared" si="9"/>
        <v/>
      </c>
      <c r="T214" s="16" t="str">
        <f t="shared" si="10"/>
        <v/>
      </c>
      <c r="V214" s="16" t="str">
        <f t="shared" si="11"/>
        <v/>
      </c>
    </row>
    <row r="215" spans="17:22" x14ac:dyDescent="0.15">
      <c r="Q215" s="74" t="str">
        <f t="shared" si="9"/>
        <v/>
      </c>
      <c r="T215" s="16" t="str">
        <f t="shared" si="10"/>
        <v/>
      </c>
      <c r="V215" s="16" t="str">
        <f t="shared" si="11"/>
        <v/>
      </c>
    </row>
    <row r="216" spans="17:22" x14ac:dyDescent="0.15">
      <c r="Q216" s="74" t="str">
        <f t="shared" si="9"/>
        <v/>
      </c>
      <c r="T216" s="16" t="str">
        <f t="shared" si="10"/>
        <v/>
      </c>
      <c r="V216" s="16" t="str">
        <f t="shared" si="11"/>
        <v/>
      </c>
    </row>
    <row r="217" spans="17:22" x14ac:dyDescent="0.15">
      <c r="Q217" s="74" t="str">
        <f t="shared" si="9"/>
        <v/>
      </c>
      <c r="T217" s="16" t="str">
        <f t="shared" si="10"/>
        <v/>
      </c>
      <c r="V217" s="16" t="str">
        <f t="shared" si="11"/>
        <v/>
      </c>
    </row>
    <row r="218" spans="17:22" x14ac:dyDescent="0.15">
      <c r="Q218" s="74" t="str">
        <f t="shared" si="9"/>
        <v/>
      </c>
      <c r="T218" s="16" t="str">
        <f t="shared" si="10"/>
        <v/>
      </c>
      <c r="V218" s="16" t="str">
        <f t="shared" si="11"/>
        <v/>
      </c>
    </row>
    <row r="219" spans="17:22" x14ac:dyDescent="0.15">
      <c r="Q219" s="74" t="str">
        <f t="shared" si="9"/>
        <v/>
      </c>
      <c r="T219" s="16" t="str">
        <f t="shared" si="10"/>
        <v/>
      </c>
      <c r="V219" s="16" t="str">
        <f t="shared" si="11"/>
        <v/>
      </c>
    </row>
    <row r="220" spans="17:22" x14ac:dyDescent="0.15">
      <c r="Q220" s="74" t="str">
        <f t="shared" si="9"/>
        <v/>
      </c>
      <c r="T220" s="16" t="str">
        <f t="shared" si="10"/>
        <v/>
      </c>
      <c r="V220" s="16" t="str">
        <f t="shared" si="11"/>
        <v/>
      </c>
    </row>
    <row r="221" spans="17:22" x14ac:dyDescent="0.15">
      <c r="Q221" s="74" t="str">
        <f t="shared" si="9"/>
        <v/>
      </c>
      <c r="T221" s="16" t="str">
        <f t="shared" si="10"/>
        <v/>
      </c>
      <c r="V221" s="16" t="str">
        <f t="shared" si="11"/>
        <v/>
      </c>
    </row>
    <row r="222" spans="17:22" x14ac:dyDescent="0.15">
      <c r="Q222" s="74" t="str">
        <f t="shared" si="9"/>
        <v/>
      </c>
      <c r="T222" s="16" t="str">
        <f t="shared" si="10"/>
        <v/>
      </c>
      <c r="V222" s="16" t="str">
        <f t="shared" si="11"/>
        <v/>
      </c>
    </row>
    <row r="223" spans="17:22" x14ac:dyDescent="0.15">
      <c r="Q223" s="74" t="str">
        <f t="shared" si="9"/>
        <v/>
      </c>
      <c r="T223" s="16" t="str">
        <f t="shared" si="10"/>
        <v/>
      </c>
      <c r="V223" s="16" t="str">
        <f t="shared" si="11"/>
        <v/>
      </c>
    </row>
    <row r="224" spans="17:22" x14ac:dyDescent="0.15">
      <c r="Q224" s="74" t="str">
        <f t="shared" si="9"/>
        <v/>
      </c>
      <c r="T224" s="16" t="str">
        <f t="shared" si="10"/>
        <v/>
      </c>
      <c r="V224" s="16" t="str">
        <f t="shared" si="11"/>
        <v/>
      </c>
    </row>
    <row r="225" spans="17:22" x14ac:dyDescent="0.15">
      <c r="Q225" s="74" t="str">
        <f t="shared" si="9"/>
        <v/>
      </c>
      <c r="T225" s="16" t="str">
        <f t="shared" si="10"/>
        <v/>
      </c>
      <c r="V225" s="16" t="str">
        <f t="shared" si="11"/>
        <v/>
      </c>
    </row>
    <row r="226" spans="17:22" x14ac:dyDescent="0.15">
      <c r="Q226" s="74" t="str">
        <f t="shared" si="9"/>
        <v/>
      </c>
      <c r="T226" s="16" t="str">
        <f t="shared" si="10"/>
        <v/>
      </c>
      <c r="V226" s="16" t="str">
        <f t="shared" si="11"/>
        <v/>
      </c>
    </row>
    <row r="227" spans="17:22" x14ac:dyDescent="0.15">
      <c r="Q227" s="74" t="str">
        <f t="shared" si="9"/>
        <v/>
      </c>
      <c r="T227" s="16" t="str">
        <f t="shared" si="10"/>
        <v/>
      </c>
      <c r="V227" s="16" t="str">
        <f t="shared" si="11"/>
        <v/>
      </c>
    </row>
    <row r="228" spans="17:22" x14ac:dyDescent="0.15">
      <c r="Q228" s="74" t="str">
        <f t="shared" si="9"/>
        <v/>
      </c>
      <c r="T228" s="16" t="str">
        <f t="shared" si="10"/>
        <v/>
      </c>
      <c r="V228" s="16" t="str">
        <f t="shared" si="11"/>
        <v/>
      </c>
    </row>
    <row r="229" spans="17:22" x14ac:dyDescent="0.15">
      <c r="Q229" s="74" t="str">
        <f t="shared" si="9"/>
        <v/>
      </c>
      <c r="T229" s="16" t="str">
        <f t="shared" si="10"/>
        <v/>
      </c>
      <c r="V229" s="16" t="str">
        <f t="shared" si="11"/>
        <v/>
      </c>
    </row>
    <row r="230" spans="17:22" x14ac:dyDescent="0.15">
      <c r="Q230" s="74" t="str">
        <f t="shared" si="9"/>
        <v/>
      </c>
      <c r="T230" s="16" t="str">
        <f t="shared" si="10"/>
        <v/>
      </c>
      <c r="V230" s="16" t="str">
        <f t="shared" si="11"/>
        <v/>
      </c>
    </row>
    <row r="231" spans="17:22" x14ac:dyDescent="0.15">
      <c r="Q231" s="74" t="str">
        <f t="shared" si="9"/>
        <v/>
      </c>
      <c r="T231" s="16" t="str">
        <f t="shared" si="10"/>
        <v/>
      </c>
      <c r="V231" s="16" t="str">
        <f t="shared" si="11"/>
        <v/>
      </c>
    </row>
    <row r="232" spans="17:22" x14ac:dyDescent="0.15">
      <c r="Q232" s="74" t="str">
        <f t="shared" ref="Q232:Q295" si="12">IF(OR(O232="",P232=""),"",AVERAGE(O232,P232))</f>
        <v/>
      </c>
      <c r="T232" s="16" t="str">
        <f t="shared" ref="T232:T295" si="13">IF(H232="","",IF(OR(H232="GREEN",H232="GK"),IF(S232&gt;=$AX$2,VLOOKUP(S232,$AX$2:$AY$10,2,1),""),IF(S232&gt;=$AZ$2,VLOOKUP(S232,$AZ$2:$BA$10,2,1),"")))</f>
        <v/>
      </c>
      <c r="V232" s="16" t="str">
        <f t="shared" ref="V232:V295" si="14">IF(OR(N232="",U232="",T232=""),"",U232/N232*T232)</f>
        <v/>
      </c>
    </row>
    <row r="233" spans="17:22" x14ac:dyDescent="0.15">
      <c r="Q233" s="74" t="str">
        <f t="shared" si="12"/>
        <v/>
      </c>
      <c r="T233" s="16" t="str">
        <f t="shared" si="13"/>
        <v/>
      </c>
      <c r="V233" s="16" t="str">
        <f t="shared" si="14"/>
        <v/>
      </c>
    </row>
    <row r="234" spans="17:22" x14ac:dyDescent="0.15">
      <c r="Q234" s="74" t="str">
        <f t="shared" si="12"/>
        <v/>
      </c>
      <c r="T234" s="16" t="str">
        <f t="shared" si="13"/>
        <v/>
      </c>
      <c r="V234" s="16" t="str">
        <f t="shared" si="14"/>
        <v/>
      </c>
    </row>
    <row r="235" spans="17:22" x14ac:dyDescent="0.15">
      <c r="Q235" s="74" t="str">
        <f t="shared" si="12"/>
        <v/>
      </c>
      <c r="T235" s="16" t="str">
        <f t="shared" si="13"/>
        <v/>
      </c>
      <c r="V235" s="16" t="str">
        <f t="shared" si="14"/>
        <v/>
      </c>
    </row>
    <row r="236" spans="17:22" x14ac:dyDescent="0.15">
      <c r="Q236" s="74" t="str">
        <f t="shared" si="12"/>
        <v/>
      </c>
      <c r="T236" s="16" t="str">
        <f t="shared" si="13"/>
        <v/>
      </c>
      <c r="V236" s="16" t="str">
        <f t="shared" si="14"/>
        <v/>
      </c>
    </row>
    <row r="237" spans="17:22" x14ac:dyDescent="0.15">
      <c r="Q237" s="74" t="str">
        <f t="shared" si="12"/>
        <v/>
      </c>
      <c r="T237" s="16" t="str">
        <f t="shared" si="13"/>
        <v/>
      </c>
      <c r="V237" s="16" t="str">
        <f t="shared" si="14"/>
        <v/>
      </c>
    </row>
    <row r="238" spans="17:22" x14ac:dyDescent="0.15">
      <c r="Q238" s="74" t="str">
        <f t="shared" si="12"/>
        <v/>
      </c>
      <c r="T238" s="16" t="str">
        <f t="shared" si="13"/>
        <v/>
      </c>
      <c r="V238" s="16" t="str">
        <f t="shared" si="14"/>
        <v/>
      </c>
    </row>
    <row r="239" spans="17:22" x14ac:dyDescent="0.15">
      <c r="Q239" s="74" t="str">
        <f t="shared" si="12"/>
        <v/>
      </c>
      <c r="T239" s="16" t="str">
        <f t="shared" si="13"/>
        <v/>
      </c>
      <c r="V239" s="16" t="str">
        <f t="shared" si="14"/>
        <v/>
      </c>
    </row>
    <row r="240" spans="17:22" x14ac:dyDescent="0.15">
      <c r="Q240" s="74" t="str">
        <f t="shared" si="12"/>
        <v/>
      </c>
      <c r="T240" s="16" t="str">
        <f t="shared" si="13"/>
        <v/>
      </c>
      <c r="V240" s="16" t="str">
        <f t="shared" si="14"/>
        <v/>
      </c>
    </row>
    <row r="241" spans="17:22" x14ac:dyDescent="0.15">
      <c r="Q241" s="74" t="str">
        <f t="shared" si="12"/>
        <v/>
      </c>
      <c r="T241" s="16" t="str">
        <f t="shared" si="13"/>
        <v/>
      </c>
      <c r="V241" s="16" t="str">
        <f t="shared" si="14"/>
        <v/>
      </c>
    </row>
    <row r="242" spans="17:22" x14ac:dyDescent="0.15">
      <c r="Q242" s="74" t="str">
        <f t="shared" si="12"/>
        <v/>
      </c>
      <c r="T242" s="16" t="str">
        <f t="shared" si="13"/>
        <v/>
      </c>
      <c r="V242" s="16" t="str">
        <f t="shared" si="14"/>
        <v/>
      </c>
    </row>
    <row r="243" spans="17:22" x14ac:dyDescent="0.15">
      <c r="Q243" s="74" t="str">
        <f t="shared" si="12"/>
        <v/>
      </c>
      <c r="T243" s="16" t="str">
        <f t="shared" si="13"/>
        <v/>
      </c>
      <c r="V243" s="16" t="str">
        <f t="shared" si="14"/>
        <v/>
      </c>
    </row>
    <row r="244" spans="17:22" x14ac:dyDescent="0.15">
      <c r="Q244" s="74" t="str">
        <f t="shared" si="12"/>
        <v/>
      </c>
      <c r="T244" s="16" t="str">
        <f t="shared" si="13"/>
        <v/>
      </c>
      <c r="V244" s="16" t="str">
        <f t="shared" si="14"/>
        <v/>
      </c>
    </row>
    <row r="245" spans="17:22" x14ac:dyDescent="0.15">
      <c r="Q245" s="74" t="str">
        <f t="shared" si="12"/>
        <v/>
      </c>
      <c r="T245" s="16" t="str">
        <f t="shared" si="13"/>
        <v/>
      </c>
      <c r="V245" s="16" t="str">
        <f t="shared" si="14"/>
        <v/>
      </c>
    </row>
    <row r="246" spans="17:22" x14ac:dyDescent="0.15">
      <c r="Q246" s="74" t="str">
        <f t="shared" si="12"/>
        <v/>
      </c>
      <c r="T246" s="16" t="str">
        <f t="shared" si="13"/>
        <v/>
      </c>
      <c r="V246" s="16" t="str">
        <f t="shared" si="14"/>
        <v/>
      </c>
    </row>
    <row r="247" spans="17:22" x14ac:dyDescent="0.15">
      <c r="Q247" s="74" t="str">
        <f t="shared" si="12"/>
        <v/>
      </c>
      <c r="T247" s="16" t="str">
        <f t="shared" si="13"/>
        <v/>
      </c>
      <c r="V247" s="16" t="str">
        <f t="shared" si="14"/>
        <v/>
      </c>
    </row>
    <row r="248" spans="17:22" x14ac:dyDescent="0.15">
      <c r="Q248" s="74" t="str">
        <f t="shared" si="12"/>
        <v/>
      </c>
      <c r="T248" s="16" t="str">
        <f t="shared" si="13"/>
        <v/>
      </c>
      <c r="V248" s="16" t="str">
        <f t="shared" si="14"/>
        <v/>
      </c>
    </row>
    <row r="249" spans="17:22" x14ac:dyDescent="0.15">
      <c r="Q249" s="74" t="str">
        <f t="shared" si="12"/>
        <v/>
      </c>
      <c r="T249" s="16" t="str">
        <f t="shared" si="13"/>
        <v/>
      </c>
      <c r="V249" s="16" t="str">
        <f t="shared" si="14"/>
        <v/>
      </c>
    </row>
    <row r="250" spans="17:22" x14ac:dyDescent="0.15">
      <c r="Q250" s="74" t="str">
        <f t="shared" si="12"/>
        <v/>
      </c>
      <c r="T250" s="16" t="str">
        <f t="shared" si="13"/>
        <v/>
      </c>
      <c r="V250" s="16" t="str">
        <f t="shared" si="14"/>
        <v/>
      </c>
    </row>
    <row r="251" spans="17:22" x14ac:dyDescent="0.15">
      <c r="Q251" s="74" t="str">
        <f t="shared" si="12"/>
        <v/>
      </c>
      <c r="T251" s="16" t="str">
        <f t="shared" si="13"/>
        <v/>
      </c>
      <c r="V251" s="16" t="str">
        <f t="shared" si="14"/>
        <v/>
      </c>
    </row>
    <row r="252" spans="17:22" x14ac:dyDescent="0.15">
      <c r="Q252" s="74" t="str">
        <f t="shared" si="12"/>
        <v/>
      </c>
      <c r="T252" s="16" t="str">
        <f t="shared" si="13"/>
        <v/>
      </c>
      <c r="V252" s="16" t="str">
        <f t="shared" si="14"/>
        <v/>
      </c>
    </row>
    <row r="253" spans="17:22" x14ac:dyDescent="0.15">
      <c r="Q253" s="74" t="str">
        <f t="shared" si="12"/>
        <v/>
      </c>
      <c r="T253" s="16" t="str">
        <f t="shared" si="13"/>
        <v/>
      </c>
      <c r="V253" s="16" t="str">
        <f t="shared" si="14"/>
        <v/>
      </c>
    </row>
    <row r="254" spans="17:22" x14ac:dyDescent="0.15">
      <c r="Q254" s="74" t="str">
        <f t="shared" si="12"/>
        <v/>
      </c>
      <c r="T254" s="16" t="str">
        <f t="shared" si="13"/>
        <v/>
      </c>
      <c r="V254" s="16" t="str">
        <f t="shared" si="14"/>
        <v/>
      </c>
    </row>
    <row r="255" spans="17:22" x14ac:dyDescent="0.15">
      <c r="Q255" s="74" t="str">
        <f t="shared" si="12"/>
        <v/>
      </c>
      <c r="T255" s="16" t="str">
        <f t="shared" si="13"/>
        <v/>
      </c>
      <c r="V255" s="16" t="str">
        <f t="shared" si="14"/>
        <v/>
      </c>
    </row>
    <row r="256" spans="17:22" x14ac:dyDescent="0.15">
      <c r="Q256" s="74" t="str">
        <f t="shared" si="12"/>
        <v/>
      </c>
      <c r="T256" s="16" t="str">
        <f t="shared" si="13"/>
        <v/>
      </c>
      <c r="V256" s="16" t="str">
        <f t="shared" si="14"/>
        <v/>
      </c>
    </row>
    <row r="257" spans="17:22" x14ac:dyDescent="0.15">
      <c r="Q257" s="74" t="str">
        <f t="shared" si="12"/>
        <v/>
      </c>
      <c r="T257" s="16" t="str">
        <f t="shared" si="13"/>
        <v/>
      </c>
      <c r="V257" s="16" t="str">
        <f t="shared" si="14"/>
        <v/>
      </c>
    </row>
    <row r="258" spans="17:22" x14ac:dyDescent="0.15">
      <c r="Q258" s="74" t="str">
        <f t="shared" si="12"/>
        <v/>
      </c>
      <c r="T258" s="16" t="str">
        <f t="shared" si="13"/>
        <v/>
      </c>
      <c r="V258" s="16" t="str">
        <f t="shared" si="14"/>
        <v/>
      </c>
    </row>
    <row r="259" spans="17:22" x14ac:dyDescent="0.15">
      <c r="Q259" s="74" t="str">
        <f t="shared" si="12"/>
        <v/>
      </c>
      <c r="T259" s="16" t="str">
        <f t="shared" si="13"/>
        <v/>
      </c>
      <c r="V259" s="16" t="str">
        <f t="shared" si="14"/>
        <v/>
      </c>
    </row>
    <row r="260" spans="17:22" x14ac:dyDescent="0.15">
      <c r="Q260" s="74" t="str">
        <f t="shared" si="12"/>
        <v/>
      </c>
      <c r="T260" s="16" t="str">
        <f t="shared" si="13"/>
        <v/>
      </c>
      <c r="V260" s="16" t="str">
        <f t="shared" si="14"/>
        <v/>
      </c>
    </row>
    <row r="261" spans="17:22" x14ac:dyDescent="0.15">
      <c r="Q261" s="74" t="str">
        <f t="shared" si="12"/>
        <v/>
      </c>
      <c r="T261" s="16" t="str">
        <f t="shared" si="13"/>
        <v/>
      </c>
      <c r="V261" s="16" t="str">
        <f t="shared" si="14"/>
        <v/>
      </c>
    </row>
    <row r="262" spans="17:22" x14ac:dyDescent="0.15">
      <c r="Q262" s="74" t="str">
        <f t="shared" si="12"/>
        <v/>
      </c>
      <c r="T262" s="16" t="str">
        <f t="shared" si="13"/>
        <v/>
      </c>
      <c r="V262" s="16" t="str">
        <f t="shared" si="14"/>
        <v/>
      </c>
    </row>
    <row r="263" spans="17:22" x14ac:dyDescent="0.15">
      <c r="Q263" s="74" t="str">
        <f t="shared" si="12"/>
        <v/>
      </c>
      <c r="T263" s="16" t="str">
        <f t="shared" si="13"/>
        <v/>
      </c>
      <c r="V263" s="16" t="str">
        <f t="shared" si="14"/>
        <v/>
      </c>
    </row>
    <row r="264" spans="17:22" x14ac:dyDescent="0.15">
      <c r="Q264" s="74" t="str">
        <f t="shared" si="12"/>
        <v/>
      </c>
      <c r="T264" s="16" t="str">
        <f t="shared" si="13"/>
        <v/>
      </c>
      <c r="V264" s="16" t="str">
        <f t="shared" si="14"/>
        <v/>
      </c>
    </row>
    <row r="265" spans="17:22" x14ac:dyDescent="0.15">
      <c r="Q265" s="74" t="str">
        <f t="shared" si="12"/>
        <v/>
      </c>
      <c r="T265" s="16" t="str">
        <f t="shared" si="13"/>
        <v/>
      </c>
      <c r="V265" s="16" t="str">
        <f t="shared" si="14"/>
        <v/>
      </c>
    </row>
    <row r="266" spans="17:22" x14ac:dyDescent="0.15">
      <c r="Q266" s="74" t="str">
        <f t="shared" si="12"/>
        <v/>
      </c>
      <c r="T266" s="16" t="str">
        <f t="shared" si="13"/>
        <v/>
      </c>
      <c r="V266" s="16" t="str">
        <f t="shared" si="14"/>
        <v/>
      </c>
    </row>
    <row r="267" spans="17:22" x14ac:dyDescent="0.15">
      <c r="Q267" s="74" t="str">
        <f t="shared" si="12"/>
        <v/>
      </c>
      <c r="T267" s="16" t="str">
        <f t="shared" si="13"/>
        <v/>
      </c>
      <c r="V267" s="16" t="str">
        <f t="shared" si="14"/>
        <v/>
      </c>
    </row>
    <row r="268" spans="17:22" x14ac:dyDescent="0.15">
      <c r="Q268" s="74" t="str">
        <f t="shared" si="12"/>
        <v/>
      </c>
      <c r="T268" s="16" t="str">
        <f t="shared" si="13"/>
        <v/>
      </c>
      <c r="V268" s="16" t="str">
        <f t="shared" si="14"/>
        <v/>
      </c>
    </row>
    <row r="269" spans="17:22" x14ac:dyDescent="0.15">
      <c r="Q269" s="74" t="str">
        <f t="shared" si="12"/>
        <v/>
      </c>
      <c r="T269" s="16" t="str">
        <f t="shared" si="13"/>
        <v/>
      </c>
      <c r="V269" s="16" t="str">
        <f t="shared" si="14"/>
        <v/>
      </c>
    </row>
    <row r="270" spans="17:22" x14ac:dyDescent="0.15">
      <c r="Q270" s="74" t="str">
        <f t="shared" si="12"/>
        <v/>
      </c>
      <c r="T270" s="16" t="str">
        <f t="shared" si="13"/>
        <v/>
      </c>
      <c r="V270" s="16" t="str">
        <f t="shared" si="14"/>
        <v/>
      </c>
    </row>
    <row r="271" spans="17:22" x14ac:dyDescent="0.15">
      <c r="Q271" s="74" t="str">
        <f t="shared" si="12"/>
        <v/>
      </c>
      <c r="T271" s="16" t="str">
        <f t="shared" si="13"/>
        <v/>
      </c>
      <c r="V271" s="16" t="str">
        <f t="shared" si="14"/>
        <v/>
      </c>
    </row>
    <row r="272" spans="17:22" x14ac:dyDescent="0.15">
      <c r="Q272" s="74" t="str">
        <f t="shared" si="12"/>
        <v/>
      </c>
      <c r="T272" s="16" t="str">
        <f t="shared" si="13"/>
        <v/>
      </c>
      <c r="V272" s="16" t="str">
        <f t="shared" si="14"/>
        <v/>
      </c>
    </row>
    <row r="273" spans="17:22" x14ac:dyDescent="0.15">
      <c r="Q273" s="74" t="str">
        <f t="shared" si="12"/>
        <v/>
      </c>
      <c r="T273" s="16" t="str">
        <f t="shared" si="13"/>
        <v/>
      </c>
      <c r="V273" s="16" t="str">
        <f t="shared" si="14"/>
        <v/>
      </c>
    </row>
    <row r="274" spans="17:22" x14ac:dyDescent="0.15">
      <c r="Q274" s="74" t="str">
        <f t="shared" si="12"/>
        <v/>
      </c>
      <c r="T274" s="16" t="str">
        <f t="shared" si="13"/>
        <v/>
      </c>
      <c r="V274" s="16" t="str">
        <f t="shared" si="14"/>
        <v/>
      </c>
    </row>
    <row r="275" spans="17:22" x14ac:dyDescent="0.15">
      <c r="Q275" s="74" t="str">
        <f t="shared" si="12"/>
        <v/>
      </c>
      <c r="T275" s="16" t="str">
        <f t="shared" si="13"/>
        <v/>
      </c>
      <c r="V275" s="16" t="str">
        <f t="shared" si="14"/>
        <v/>
      </c>
    </row>
    <row r="276" spans="17:22" x14ac:dyDescent="0.15">
      <c r="Q276" s="74" t="str">
        <f t="shared" si="12"/>
        <v/>
      </c>
      <c r="T276" s="16" t="str">
        <f t="shared" si="13"/>
        <v/>
      </c>
      <c r="V276" s="16" t="str">
        <f t="shared" si="14"/>
        <v/>
      </c>
    </row>
    <row r="277" spans="17:22" x14ac:dyDescent="0.15">
      <c r="Q277" s="74" t="str">
        <f t="shared" si="12"/>
        <v/>
      </c>
      <c r="T277" s="16" t="str">
        <f t="shared" si="13"/>
        <v/>
      </c>
      <c r="V277" s="16" t="str">
        <f t="shared" si="14"/>
        <v/>
      </c>
    </row>
    <row r="278" spans="17:22" x14ac:dyDescent="0.15">
      <c r="Q278" s="74" t="str">
        <f t="shared" si="12"/>
        <v/>
      </c>
      <c r="T278" s="16" t="str">
        <f t="shared" si="13"/>
        <v/>
      </c>
      <c r="V278" s="16" t="str">
        <f t="shared" si="14"/>
        <v/>
      </c>
    </row>
    <row r="279" spans="17:22" x14ac:dyDescent="0.15">
      <c r="Q279" s="74" t="str">
        <f t="shared" si="12"/>
        <v/>
      </c>
      <c r="T279" s="16" t="str">
        <f t="shared" si="13"/>
        <v/>
      </c>
      <c r="V279" s="16" t="str">
        <f t="shared" si="14"/>
        <v/>
      </c>
    </row>
    <row r="280" spans="17:22" x14ac:dyDescent="0.15">
      <c r="Q280" s="74" t="str">
        <f t="shared" si="12"/>
        <v/>
      </c>
      <c r="T280" s="16" t="str">
        <f t="shared" si="13"/>
        <v/>
      </c>
      <c r="V280" s="16" t="str">
        <f t="shared" si="14"/>
        <v/>
      </c>
    </row>
    <row r="281" spans="17:22" x14ac:dyDescent="0.15">
      <c r="Q281" s="74" t="str">
        <f t="shared" si="12"/>
        <v/>
      </c>
      <c r="T281" s="16" t="str">
        <f t="shared" si="13"/>
        <v/>
      </c>
      <c r="V281" s="16" t="str">
        <f t="shared" si="14"/>
        <v/>
      </c>
    </row>
    <row r="282" spans="17:22" x14ac:dyDescent="0.15">
      <c r="Q282" s="74" t="str">
        <f t="shared" si="12"/>
        <v/>
      </c>
      <c r="T282" s="16" t="str">
        <f t="shared" si="13"/>
        <v/>
      </c>
      <c r="V282" s="16" t="str">
        <f t="shared" si="14"/>
        <v/>
      </c>
    </row>
    <row r="283" spans="17:22" x14ac:dyDescent="0.15">
      <c r="Q283" s="74" t="str">
        <f t="shared" si="12"/>
        <v/>
      </c>
      <c r="T283" s="16" t="str">
        <f t="shared" si="13"/>
        <v/>
      </c>
      <c r="V283" s="16" t="str">
        <f t="shared" si="14"/>
        <v/>
      </c>
    </row>
    <row r="284" spans="17:22" x14ac:dyDescent="0.15">
      <c r="Q284" s="74" t="str">
        <f t="shared" si="12"/>
        <v/>
      </c>
      <c r="T284" s="16" t="str">
        <f t="shared" si="13"/>
        <v/>
      </c>
      <c r="V284" s="16" t="str">
        <f t="shared" si="14"/>
        <v/>
      </c>
    </row>
    <row r="285" spans="17:22" x14ac:dyDescent="0.15">
      <c r="Q285" s="74" t="str">
        <f t="shared" si="12"/>
        <v/>
      </c>
      <c r="T285" s="16" t="str">
        <f t="shared" si="13"/>
        <v/>
      </c>
      <c r="V285" s="16" t="str">
        <f t="shared" si="14"/>
        <v/>
      </c>
    </row>
    <row r="286" spans="17:22" x14ac:dyDescent="0.15">
      <c r="Q286" s="74" t="str">
        <f t="shared" si="12"/>
        <v/>
      </c>
      <c r="T286" s="16" t="str">
        <f t="shared" si="13"/>
        <v/>
      </c>
      <c r="V286" s="16" t="str">
        <f t="shared" si="14"/>
        <v/>
      </c>
    </row>
    <row r="287" spans="17:22" x14ac:dyDescent="0.15">
      <c r="Q287" s="74" t="str">
        <f t="shared" si="12"/>
        <v/>
      </c>
      <c r="T287" s="16" t="str">
        <f t="shared" si="13"/>
        <v/>
      </c>
      <c r="V287" s="16" t="str">
        <f t="shared" si="14"/>
        <v/>
      </c>
    </row>
    <row r="288" spans="17:22" x14ac:dyDescent="0.15">
      <c r="Q288" s="74" t="str">
        <f t="shared" si="12"/>
        <v/>
      </c>
      <c r="T288" s="16" t="str">
        <f t="shared" si="13"/>
        <v/>
      </c>
      <c r="V288" s="16" t="str">
        <f t="shared" si="14"/>
        <v/>
      </c>
    </row>
    <row r="289" spans="17:22" x14ac:dyDescent="0.15">
      <c r="Q289" s="74" t="str">
        <f t="shared" si="12"/>
        <v/>
      </c>
      <c r="T289" s="16" t="str">
        <f t="shared" si="13"/>
        <v/>
      </c>
      <c r="V289" s="16" t="str">
        <f t="shared" si="14"/>
        <v/>
      </c>
    </row>
    <row r="290" spans="17:22" x14ac:dyDescent="0.15">
      <c r="Q290" s="74" t="str">
        <f t="shared" si="12"/>
        <v/>
      </c>
      <c r="T290" s="16" t="str">
        <f t="shared" si="13"/>
        <v/>
      </c>
      <c r="V290" s="16" t="str">
        <f t="shared" si="14"/>
        <v/>
      </c>
    </row>
    <row r="291" spans="17:22" x14ac:dyDescent="0.15">
      <c r="Q291" s="74" t="str">
        <f t="shared" si="12"/>
        <v/>
      </c>
      <c r="T291" s="16" t="str">
        <f t="shared" si="13"/>
        <v/>
      </c>
      <c r="V291" s="16" t="str">
        <f t="shared" si="14"/>
        <v/>
      </c>
    </row>
    <row r="292" spans="17:22" x14ac:dyDescent="0.15">
      <c r="Q292" s="74" t="str">
        <f t="shared" si="12"/>
        <v/>
      </c>
      <c r="T292" s="16" t="str">
        <f t="shared" si="13"/>
        <v/>
      </c>
      <c r="V292" s="16" t="str">
        <f t="shared" si="14"/>
        <v/>
      </c>
    </row>
    <row r="293" spans="17:22" x14ac:dyDescent="0.15">
      <c r="T293" s="16" t="str">
        <f t="shared" si="13"/>
        <v/>
      </c>
      <c r="V293" s="16" t="str">
        <f t="shared" si="14"/>
        <v/>
      </c>
    </row>
    <row r="294" spans="17:22" x14ac:dyDescent="0.15">
      <c r="T294" s="16" t="str">
        <f t="shared" si="13"/>
        <v/>
      </c>
      <c r="V294" s="16" t="str">
        <f t="shared" si="14"/>
        <v/>
      </c>
    </row>
    <row r="295" spans="17:22" x14ac:dyDescent="0.15">
      <c r="T295" s="16" t="str">
        <f t="shared" si="13"/>
        <v/>
      </c>
      <c r="V295" s="16" t="str">
        <f t="shared" si="14"/>
        <v/>
      </c>
    </row>
    <row r="296" spans="17:22" x14ac:dyDescent="0.15">
      <c r="T296" s="16" t="str">
        <f t="shared" ref="T296:T354" si="15">IF(H296="","",IF(OR(H296="GREEN",H296="GK"),IF(S296&gt;=$AX$2,VLOOKUP(S296,$AX$2:$AY$10,2,1),""),IF(S296&gt;=$AZ$2,VLOOKUP(S296,$AZ$2:$BA$10,2,1),"")))</f>
        <v/>
      </c>
      <c r="V296" s="16" t="str">
        <f t="shared" ref="V296:V359" si="16">IF(OR(N296="",U296="",T296=""),"",U296/N296*T296)</f>
        <v/>
      </c>
    </row>
    <row r="297" spans="17:22" x14ac:dyDescent="0.15">
      <c r="T297" s="16" t="str">
        <f t="shared" si="15"/>
        <v/>
      </c>
      <c r="V297" s="16" t="str">
        <f t="shared" si="16"/>
        <v/>
      </c>
    </row>
    <row r="298" spans="17:22" x14ac:dyDescent="0.15">
      <c r="T298" s="16" t="str">
        <f t="shared" si="15"/>
        <v/>
      </c>
      <c r="V298" s="16" t="str">
        <f t="shared" si="16"/>
        <v/>
      </c>
    </row>
    <row r="299" spans="17:22" x14ac:dyDescent="0.15">
      <c r="T299" s="16" t="str">
        <f t="shared" si="15"/>
        <v/>
      </c>
      <c r="V299" s="16" t="str">
        <f t="shared" si="16"/>
        <v/>
      </c>
    </row>
    <row r="300" spans="17:22" x14ac:dyDescent="0.15">
      <c r="T300" s="16" t="str">
        <f t="shared" si="15"/>
        <v/>
      </c>
      <c r="V300" s="16" t="str">
        <f t="shared" si="16"/>
        <v/>
      </c>
    </row>
    <row r="301" spans="17:22" x14ac:dyDescent="0.15">
      <c r="T301" s="16" t="str">
        <f t="shared" si="15"/>
        <v/>
      </c>
    </row>
    <row r="302" spans="17:22" x14ac:dyDescent="0.15">
      <c r="T302" s="16" t="str">
        <f t="shared" si="15"/>
        <v/>
      </c>
    </row>
    <row r="303" spans="17:22" x14ac:dyDescent="0.15">
      <c r="T303" s="16" t="str">
        <f t="shared" si="15"/>
        <v/>
      </c>
    </row>
    <row r="304" spans="17:22" x14ac:dyDescent="0.15">
      <c r="T304" s="16" t="str">
        <f t="shared" si="15"/>
        <v/>
      </c>
    </row>
    <row r="305" spans="20:20" x14ac:dyDescent="0.15">
      <c r="T305" s="16" t="str">
        <f t="shared" si="15"/>
        <v/>
      </c>
    </row>
    <row r="306" spans="20:20" x14ac:dyDescent="0.15">
      <c r="T306" s="16" t="str">
        <f t="shared" si="15"/>
        <v/>
      </c>
    </row>
    <row r="307" spans="20:20" x14ac:dyDescent="0.15">
      <c r="T307" s="16" t="str">
        <f t="shared" si="15"/>
        <v/>
      </c>
    </row>
    <row r="308" spans="20:20" x14ac:dyDescent="0.15">
      <c r="T308" s="16" t="str">
        <f t="shared" si="15"/>
        <v/>
      </c>
    </row>
    <row r="309" spans="20:20" x14ac:dyDescent="0.15">
      <c r="T309" s="16" t="str">
        <f t="shared" si="15"/>
        <v/>
      </c>
    </row>
    <row r="310" spans="20:20" x14ac:dyDescent="0.15">
      <c r="T310" s="16" t="str">
        <f t="shared" si="15"/>
        <v/>
      </c>
    </row>
    <row r="311" spans="20:20" x14ac:dyDescent="0.15">
      <c r="T311" s="16" t="str">
        <f t="shared" si="15"/>
        <v/>
      </c>
    </row>
    <row r="312" spans="20:20" x14ac:dyDescent="0.15">
      <c r="T312" s="16" t="str">
        <f t="shared" si="15"/>
        <v/>
      </c>
    </row>
    <row r="313" spans="20:20" x14ac:dyDescent="0.15">
      <c r="T313" s="16" t="str">
        <f t="shared" si="15"/>
        <v/>
      </c>
    </row>
    <row r="314" spans="20:20" x14ac:dyDescent="0.15">
      <c r="T314" s="16" t="str">
        <f t="shared" si="15"/>
        <v/>
      </c>
    </row>
    <row r="315" spans="20:20" x14ac:dyDescent="0.15">
      <c r="T315" s="16" t="str">
        <f t="shared" si="15"/>
        <v/>
      </c>
    </row>
    <row r="316" spans="20:20" x14ac:dyDescent="0.15">
      <c r="T316" s="16" t="str">
        <f t="shared" si="15"/>
        <v/>
      </c>
    </row>
    <row r="317" spans="20:20" x14ac:dyDescent="0.15">
      <c r="T317" s="16" t="str">
        <f t="shared" si="15"/>
        <v/>
      </c>
    </row>
    <row r="318" spans="20:20" x14ac:dyDescent="0.15">
      <c r="T318" s="16" t="str">
        <f t="shared" si="15"/>
        <v/>
      </c>
    </row>
    <row r="319" spans="20:20" x14ac:dyDescent="0.15">
      <c r="T319" s="16" t="str">
        <f t="shared" si="15"/>
        <v/>
      </c>
    </row>
    <row r="320" spans="20:20" x14ac:dyDescent="0.15">
      <c r="T320" s="16" t="str">
        <f t="shared" si="15"/>
        <v/>
      </c>
    </row>
    <row r="321" spans="16:16" x14ac:dyDescent="0.15">
      <c r="P321" s="53" t="s">
        <v>236</v>
      </c>
    </row>
  </sheetData>
  <autoFilter ref="A1:BA320" xr:uid="{00000000-0009-0000-0000-000001000000}"/>
  <phoneticPr fontId="3"/>
  <dataValidations count="14">
    <dataValidation type="list" allowBlank="1" showInputMessage="1" showErrorMessage="1" sqref="X2:X276" xr:uid="{627C4C29-97F4-4302-8375-28D8F88559B9}">
      <formula1>$AT$2:$AT$3</formula1>
    </dataValidation>
    <dataValidation type="decimal" allowBlank="1" showInputMessage="1" showErrorMessage="1" error="硬度を正しく入力して下さい。" sqref="O2:P276" xr:uid="{B403CE93-A272-4D12-A663-57772F64A285}">
      <formula1>0</formula1>
      <formula2>7</formula2>
    </dataValidation>
    <dataValidation type="list" allowBlank="1" showInputMessage="1" showErrorMessage="1" sqref="H2:H276" xr:uid="{A86976C0-3860-4F16-8F6F-6AF03B03CDB1}">
      <formula1>$AL$2:$AL$8</formula1>
    </dataValidation>
    <dataValidation type="list" allowBlank="1" showInputMessage="1" showErrorMessage="1" sqref="G2:G276" xr:uid="{12264B0E-3EA3-4EAF-BA8B-236CF388C304}">
      <formula1>$AJ$2:$AJ$4</formula1>
    </dataValidation>
    <dataValidation type="list" allowBlank="1" showInputMessage="1" showErrorMessage="1" sqref="I2:I276" xr:uid="{F77AB0AD-D7D9-4808-AE28-E194D374E347}">
      <formula1>$AN$5:$AN$6</formula1>
    </dataValidation>
    <dataValidation type="list" allowBlank="1" showInputMessage="1" showErrorMessage="1" sqref="E1:E65430" xr:uid="{A228E394-E111-4F81-87C2-000984391519}">
      <formula1>$AG$2:$AG$11</formula1>
    </dataValidation>
    <dataValidation type="list" allowBlank="1" showInputMessage="1" showErrorMessage="1" sqref="J2:J276" xr:uid="{8A966739-9E23-4523-AE84-AE0B272FB3A6}">
      <formula1>$AP$2:$AP$19</formula1>
    </dataValidation>
    <dataValidation type="list" allowBlank="1" showInputMessage="1" showErrorMessage="1" sqref="F1:F65430" xr:uid="{5CF75813-1F26-438B-BC20-90525BE0A428}">
      <formula1>$AH$2:$AH$11</formula1>
    </dataValidation>
    <dataValidation type="list" allowBlank="1" showInputMessage="1" showErrorMessage="1" sqref="A2:A276" xr:uid="{F2EEEA2C-E0E9-4D98-8FE9-7763B4F8CB6F}">
      <formula1>$AE$2:$AE$16</formula1>
    </dataValidation>
    <dataValidation type="list" allowBlank="1" showInputMessage="1" showErrorMessage="1" sqref="Y2:AA100" xr:uid="{22F7D27F-12F5-4254-AFD5-C5074A15733D}">
      <formula1>$AV$2:$AV$23</formula1>
    </dataValidation>
    <dataValidation type="list" allowBlank="1" showInputMessage="1" showErrorMessage="1" sqref="K2:K79 K86:K100" xr:uid="{2455E1BE-5F72-4AEC-B284-C73C37E865BD}">
      <formula1>$AR$2:$AR$23</formula1>
    </dataValidation>
    <dataValidation allowBlank="1" showInputMessage="1" showErrorMessage="1" sqref="B2:B100" xr:uid="{18E5B6A2-4C2C-44FA-A73A-A6422C4B2B4B}"/>
    <dataValidation type="list" allowBlank="1" showInputMessage="1" showErrorMessage="1" sqref="Y101:AA276" xr:uid="{75BDBCAD-8E4B-4006-A87C-808C0E71D3AC}">
      <formula1>$AV$2:$AV$16</formula1>
    </dataValidation>
    <dataValidation type="list" allowBlank="1" showInputMessage="1" showErrorMessage="1" sqref="K101:K276" xr:uid="{89DA2DF7-E4BA-422F-84A5-B73461B18A5E}">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8236-AFC3-4339-A61B-9F921ECD5A43}">
  <dimension ref="A1:BA82"/>
  <sheetViews>
    <sheetView topLeftCell="A28" zoomScale="85" zoomScaleNormal="85" workbookViewId="0">
      <selection activeCell="AC35" sqref="AC35"/>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237</v>
      </c>
      <c r="C2" s="53">
        <v>2019</v>
      </c>
      <c r="D2" s="81" t="s">
        <v>238</v>
      </c>
      <c r="E2" s="53" t="s">
        <v>239</v>
      </c>
      <c r="F2" s="53" t="s">
        <v>240</v>
      </c>
      <c r="G2" s="53" t="s">
        <v>42</v>
      </c>
      <c r="H2" s="53" t="s">
        <v>164</v>
      </c>
      <c r="I2" s="53" t="s">
        <v>198</v>
      </c>
      <c r="J2" s="53" t="s">
        <v>38</v>
      </c>
      <c r="K2" s="53" t="s">
        <v>161</v>
      </c>
      <c r="L2" s="53">
        <v>1</v>
      </c>
      <c r="N2" s="53">
        <v>4</v>
      </c>
      <c r="O2" s="53">
        <v>0.8</v>
      </c>
      <c r="P2" s="53">
        <v>0.75</v>
      </c>
      <c r="Q2" s="74">
        <f t="shared" ref="Q2:Q61" si="0">IF(OR(O2="",P2=""),"",AVERAGE(O2,P2))</f>
        <v>0.77500000000000002</v>
      </c>
      <c r="R2" s="53">
        <v>15.3</v>
      </c>
      <c r="S2" s="53">
        <v>103</v>
      </c>
      <c r="T2" s="16">
        <f t="shared" ref="T2:T61" si="1">IF(H2="","",IF(OR(H2="GREEN",H2="GK"),IF(S2&gt;=$AX$2,VLOOKUP(S2,$AX$2:$AY$10,2,1),""),IF(S2&gt;=$AZ$2,VLOOKUP(S2,$AZ$2:$BA$10,2,1),"")))</f>
        <v>33</v>
      </c>
      <c r="U2" s="53">
        <v>486</v>
      </c>
      <c r="V2" s="16">
        <f t="shared" ref="V2:V61" si="2">IF(OR(N2="",U2="",T2=""),"",U2/N2*T2)</f>
        <v>4009.5</v>
      </c>
      <c r="W2" s="53">
        <v>3</v>
      </c>
      <c r="X2" s="53" t="s">
        <v>39</v>
      </c>
      <c r="Y2" s="53" t="s">
        <v>90</v>
      </c>
      <c r="Z2" s="53" t="s">
        <v>84</v>
      </c>
      <c r="AA2" s="53" t="s">
        <v>50</v>
      </c>
      <c r="AB2" s="53" t="s">
        <v>241</v>
      </c>
      <c r="AE2" s="64" t="s">
        <v>35</v>
      </c>
      <c r="AG2" s="23" t="s">
        <v>242</v>
      </c>
      <c r="AH2" s="82" t="s">
        <v>243</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237</v>
      </c>
      <c r="C3" s="53">
        <v>2019</v>
      </c>
      <c r="D3" s="81" t="s">
        <v>238</v>
      </c>
      <c r="E3" s="53" t="s">
        <v>239</v>
      </c>
      <c r="F3" s="53" t="s">
        <v>240</v>
      </c>
      <c r="G3" s="53" t="s">
        <v>42</v>
      </c>
      <c r="H3" s="53" t="s">
        <v>164</v>
      </c>
      <c r="I3" s="53" t="s">
        <v>198</v>
      </c>
      <c r="J3" s="53" t="s">
        <v>38</v>
      </c>
      <c r="K3" s="53" t="s">
        <v>161</v>
      </c>
      <c r="L3" s="53">
        <v>2</v>
      </c>
      <c r="N3" s="53">
        <v>4</v>
      </c>
      <c r="O3" s="53">
        <v>0.6</v>
      </c>
      <c r="P3" s="53">
        <v>0.6</v>
      </c>
      <c r="Q3" s="74">
        <f t="shared" si="0"/>
        <v>0.6</v>
      </c>
      <c r="R3" s="53">
        <v>13.5</v>
      </c>
      <c r="S3" s="53">
        <v>100</v>
      </c>
      <c r="T3" s="16">
        <f t="shared" si="1"/>
        <v>33</v>
      </c>
      <c r="U3" s="53">
        <v>486</v>
      </c>
      <c r="V3" s="16">
        <f t="shared" si="2"/>
        <v>4009.5</v>
      </c>
      <c r="W3" s="53">
        <v>3</v>
      </c>
      <c r="X3" s="53" t="s">
        <v>39</v>
      </c>
      <c r="Y3" s="53" t="s">
        <v>90</v>
      </c>
      <c r="Z3" s="53" t="s">
        <v>84</v>
      </c>
      <c r="AA3" s="53" t="s">
        <v>50</v>
      </c>
      <c r="AB3" s="53" t="s">
        <v>241</v>
      </c>
      <c r="AE3" s="22" t="s">
        <v>41</v>
      </c>
      <c r="AG3" s="23" t="s">
        <v>244</v>
      </c>
      <c r="AH3" s="82" t="s">
        <v>240</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237</v>
      </c>
      <c r="C4" s="53">
        <v>2019</v>
      </c>
      <c r="D4" s="81" t="s">
        <v>238</v>
      </c>
      <c r="E4" s="53" t="s">
        <v>239</v>
      </c>
      <c r="F4" s="53" t="s">
        <v>240</v>
      </c>
      <c r="G4" s="53" t="s">
        <v>42</v>
      </c>
      <c r="H4" s="53" t="s">
        <v>164</v>
      </c>
      <c r="I4" s="53" t="s">
        <v>198</v>
      </c>
      <c r="J4" s="53" t="s">
        <v>38</v>
      </c>
      <c r="K4" s="53" t="s">
        <v>161</v>
      </c>
      <c r="L4" s="53">
        <v>3</v>
      </c>
      <c r="N4" s="53">
        <v>4</v>
      </c>
      <c r="O4" s="53">
        <v>0.65</v>
      </c>
      <c r="P4" s="53">
        <v>0.65</v>
      </c>
      <c r="Q4" s="74">
        <f t="shared" si="0"/>
        <v>0.65</v>
      </c>
      <c r="R4" s="53">
        <v>13.7</v>
      </c>
      <c r="S4" s="53">
        <v>100</v>
      </c>
      <c r="T4" s="16">
        <f t="shared" si="1"/>
        <v>33</v>
      </c>
      <c r="U4" s="53">
        <v>486</v>
      </c>
      <c r="V4" s="16">
        <f t="shared" si="2"/>
        <v>4009.5</v>
      </c>
      <c r="W4" s="53">
        <v>3</v>
      </c>
      <c r="X4" s="53" t="s">
        <v>39</v>
      </c>
      <c r="Y4" s="53" t="s">
        <v>90</v>
      </c>
      <c r="Z4" s="53" t="s">
        <v>84</v>
      </c>
      <c r="AA4" s="53" t="s">
        <v>50</v>
      </c>
      <c r="AB4" s="53" t="s">
        <v>241</v>
      </c>
      <c r="AE4" s="22" t="s">
        <v>34</v>
      </c>
      <c r="AG4" s="23" t="s">
        <v>245</v>
      </c>
      <c r="AH4" s="82" t="s">
        <v>246</v>
      </c>
      <c r="AJ4" s="27" t="s">
        <v>48</v>
      </c>
      <c r="AL4" s="27" t="s">
        <v>247</v>
      </c>
      <c r="AN4" s="28" t="s">
        <v>49</v>
      </c>
      <c r="AP4" s="23" t="s">
        <v>93</v>
      </c>
      <c r="AR4" s="23" t="s">
        <v>121</v>
      </c>
      <c r="AT4" s="28"/>
      <c r="AV4" s="23" t="s">
        <v>50</v>
      </c>
      <c r="AX4" s="24">
        <v>75</v>
      </c>
      <c r="AY4" s="25">
        <v>42</v>
      </c>
      <c r="AZ4" s="25">
        <v>76</v>
      </c>
      <c r="BA4" s="26">
        <v>39</v>
      </c>
    </row>
    <row r="5" spans="1:53" x14ac:dyDescent="0.15">
      <c r="A5" s="53" t="s">
        <v>56</v>
      </c>
      <c r="B5" s="53" t="s">
        <v>237</v>
      </c>
      <c r="C5" s="53">
        <v>2019</v>
      </c>
      <c r="D5" s="81" t="s">
        <v>238</v>
      </c>
      <c r="E5" s="53" t="s">
        <v>248</v>
      </c>
      <c r="F5" s="53" t="s">
        <v>240</v>
      </c>
      <c r="G5" s="53" t="s">
        <v>42</v>
      </c>
      <c r="H5" s="53" t="s">
        <v>164</v>
      </c>
      <c r="I5" s="53" t="s">
        <v>159</v>
      </c>
      <c r="J5" s="53" t="s">
        <v>38</v>
      </c>
      <c r="K5" s="53" t="s">
        <v>161</v>
      </c>
      <c r="L5" s="53">
        <v>1</v>
      </c>
      <c r="N5" s="53">
        <v>1</v>
      </c>
      <c r="O5" s="53">
        <v>0.85</v>
      </c>
      <c r="P5" s="53">
        <v>0.8</v>
      </c>
      <c r="Q5" s="74">
        <f t="shared" si="0"/>
        <v>0.82499999999999996</v>
      </c>
      <c r="R5" s="53">
        <v>14.8</v>
      </c>
      <c r="S5" s="53">
        <v>127</v>
      </c>
      <c r="T5" s="16">
        <f t="shared" si="1"/>
        <v>27</v>
      </c>
      <c r="U5" s="53">
        <v>108</v>
      </c>
      <c r="V5" s="16">
        <f t="shared" si="2"/>
        <v>2916</v>
      </c>
      <c r="W5" s="53">
        <v>5</v>
      </c>
      <c r="X5" s="53" t="s">
        <v>46</v>
      </c>
      <c r="Y5" s="53" t="s">
        <v>84</v>
      </c>
      <c r="Z5" s="53" t="s">
        <v>90</v>
      </c>
      <c r="AA5" s="53" t="s">
        <v>50</v>
      </c>
      <c r="AB5" s="53" t="s">
        <v>241</v>
      </c>
      <c r="AE5" s="22" t="s">
        <v>51</v>
      </c>
      <c r="AG5" s="23" t="s">
        <v>249</v>
      </c>
      <c r="AH5" s="82" t="s">
        <v>250</v>
      </c>
      <c r="AJ5" s="28"/>
      <c r="AL5" s="73" t="s">
        <v>66</v>
      </c>
      <c r="AN5" s="73" t="s">
        <v>52</v>
      </c>
      <c r="AP5" s="23" t="s">
        <v>251</v>
      </c>
      <c r="AR5" s="23" t="s">
        <v>54</v>
      </c>
      <c r="AV5" s="23" t="s">
        <v>55</v>
      </c>
      <c r="AX5" s="24">
        <v>84</v>
      </c>
      <c r="AY5" s="25">
        <v>39</v>
      </c>
      <c r="AZ5" s="25">
        <v>84</v>
      </c>
      <c r="BA5" s="26">
        <v>36</v>
      </c>
    </row>
    <row r="6" spans="1:53" x14ac:dyDescent="0.15">
      <c r="A6" s="53" t="s">
        <v>56</v>
      </c>
      <c r="B6" s="53" t="s">
        <v>237</v>
      </c>
      <c r="C6" s="53">
        <v>2019</v>
      </c>
      <c r="D6" s="81" t="s">
        <v>238</v>
      </c>
      <c r="E6" s="53" t="s">
        <v>248</v>
      </c>
      <c r="F6" s="53" t="s">
        <v>240</v>
      </c>
      <c r="G6" s="53" t="s">
        <v>42</v>
      </c>
      <c r="H6" s="53" t="s">
        <v>164</v>
      </c>
      <c r="I6" s="53" t="s">
        <v>159</v>
      </c>
      <c r="J6" s="53" t="s">
        <v>38</v>
      </c>
      <c r="K6" s="53" t="s">
        <v>161</v>
      </c>
      <c r="L6" s="53">
        <v>2</v>
      </c>
      <c r="N6" s="53">
        <v>1</v>
      </c>
      <c r="O6" s="53">
        <v>0.75</v>
      </c>
      <c r="P6" s="53">
        <v>0.7</v>
      </c>
      <c r="Q6" s="74">
        <f t="shared" si="0"/>
        <v>0.72499999999999998</v>
      </c>
      <c r="R6" s="53">
        <v>14.5</v>
      </c>
      <c r="S6" s="53">
        <v>126</v>
      </c>
      <c r="T6" s="16">
        <f t="shared" si="1"/>
        <v>27</v>
      </c>
      <c r="U6" s="53">
        <v>108</v>
      </c>
      <c r="V6" s="16">
        <f t="shared" si="2"/>
        <v>2916</v>
      </c>
      <c r="W6" s="53">
        <v>5</v>
      </c>
      <c r="X6" s="53" t="s">
        <v>46</v>
      </c>
      <c r="Y6" s="53" t="s">
        <v>84</v>
      </c>
      <c r="Z6" s="53" t="s">
        <v>90</v>
      </c>
      <c r="AA6" s="53" t="s">
        <v>50</v>
      </c>
      <c r="AB6" s="53" t="s">
        <v>241</v>
      </c>
      <c r="AE6" s="22" t="s">
        <v>56</v>
      </c>
      <c r="AG6" s="23" t="s">
        <v>252</v>
      </c>
      <c r="AH6" s="82" t="s">
        <v>250</v>
      </c>
      <c r="AL6" s="73" t="s">
        <v>99</v>
      </c>
      <c r="AN6" s="73" t="s">
        <v>57</v>
      </c>
      <c r="AP6" s="23" t="s">
        <v>53</v>
      </c>
      <c r="AR6" s="23" t="s">
        <v>59</v>
      </c>
      <c r="AV6" s="23" t="s">
        <v>60</v>
      </c>
      <c r="AX6" s="24">
        <v>97</v>
      </c>
      <c r="AY6" s="25">
        <v>36</v>
      </c>
      <c r="AZ6" s="25">
        <v>99</v>
      </c>
      <c r="BA6" s="26">
        <v>33</v>
      </c>
    </row>
    <row r="7" spans="1:53" x14ac:dyDescent="0.15">
      <c r="A7" s="53" t="s">
        <v>56</v>
      </c>
      <c r="B7" s="53" t="s">
        <v>237</v>
      </c>
      <c r="C7" s="53">
        <v>2019</v>
      </c>
      <c r="D7" s="81" t="s">
        <v>238</v>
      </c>
      <c r="E7" s="53" t="s">
        <v>248</v>
      </c>
      <c r="F7" s="53" t="s">
        <v>240</v>
      </c>
      <c r="G7" s="53" t="s">
        <v>42</v>
      </c>
      <c r="H7" s="53" t="s">
        <v>164</v>
      </c>
      <c r="I7" s="53" t="s">
        <v>159</v>
      </c>
      <c r="J7" s="53" t="s">
        <v>38</v>
      </c>
      <c r="K7" s="53" t="s">
        <v>161</v>
      </c>
      <c r="L7" s="53">
        <v>3</v>
      </c>
      <c r="N7" s="53">
        <v>1</v>
      </c>
      <c r="O7" s="53">
        <v>0.7</v>
      </c>
      <c r="P7" s="53">
        <v>0.7</v>
      </c>
      <c r="Q7" s="74">
        <f t="shared" si="0"/>
        <v>0.7</v>
      </c>
      <c r="R7" s="53">
        <v>14.9</v>
      </c>
      <c r="S7" s="53">
        <v>130</v>
      </c>
      <c r="T7" s="16">
        <f t="shared" si="1"/>
        <v>25</v>
      </c>
      <c r="U7" s="53">
        <v>108</v>
      </c>
      <c r="V7" s="16">
        <f t="shared" si="2"/>
        <v>2700</v>
      </c>
      <c r="W7" s="53">
        <v>5</v>
      </c>
      <c r="X7" s="53" t="s">
        <v>46</v>
      </c>
      <c r="Y7" s="53" t="s">
        <v>84</v>
      </c>
      <c r="Z7" s="53" t="s">
        <v>90</v>
      </c>
      <c r="AA7" s="53" t="s">
        <v>50</v>
      </c>
      <c r="AB7" s="53" t="s">
        <v>241</v>
      </c>
      <c r="AE7" s="22" t="s">
        <v>61</v>
      </c>
      <c r="AG7" s="23" t="s">
        <v>253</v>
      </c>
      <c r="AH7" s="82" t="s">
        <v>254</v>
      </c>
      <c r="AL7" s="83" t="s">
        <v>109</v>
      </c>
      <c r="AP7" s="23" t="s">
        <v>58</v>
      </c>
      <c r="AR7" s="23" t="s">
        <v>122</v>
      </c>
      <c r="AV7" s="23" t="s">
        <v>64</v>
      </c>
      <c r="AX7" s="24">
        <v>109</v>
      </c>
      <c r="AY7" s="25">
        <v>33</v>
      </c>
      <c r="AZ7" s="25">
        <v>113</v>
      </c>
      <c r="BA7" s="26">
        <v>30</v>
      </c>
    </row>
    <row r="8" spans="1:53" x14ac:dyDescent="0.15">
      <c r="A8" s="53" t="s">
        <v>56</v>
      </c>
      <c r="B8" s="53" t="s">
        <v>237</v>
      </c>
      <c r="C8" s="53">
        <v>2019</v>
      </c>
      <c r="D8" s="81" t="s">
        <v>238</v>
      </c>
      <c r="E8" s="53" t="s">
        <v>162</v>
      </c>
      <c r="F8" s="53" t="s">
        <v>255</v>
      </c>
      <c r="G8" s="53" t="s">
        <v>42</v>
      </c>
      <c r="H8" s="53" t="s">
        <v>164</v>
      </c>
      <c r="I8" s="53" t="s">
        <v>159</v>
      </c>
      <c r="J8" s="53" t="s">
        <v>38</v>
      </c>
      <c r="K8" s="53" t="s">
        <v>161</v>
      </c>
      <c r="L8" s="53">
        <v>1</v>
      </c>
      <c r="N8" s="53">
        <v>8</v>
      </c>
      <c r="O8" s="53">
        <v>0.55000000000000004</v>
      </c>
      <c r="P8" s="53">
        <v>0.6</v>
      </c>
      <c r="Q8" s="74">
        <f t="shared" si="0"/>
        <v>0.57499999999999996</v>
      </c>
      <c r="R8" s="53">
        <v>15.2</v>
      </c>
      <c r="S8" s="53">
        <v>85</v>
      </c>
      <c r="T8" s="16">
        <f t="shared" si="1"/>
        <v>36</v>
      </c>
      <c r="U8" s="53">
        <v>537</v>
      </c>
      <c r="V8" s="16">
        <f t="shared" si="2"/>
        <v>2416.5</v>
      </c>
      <c r="W8" s="53">
        <v>4</v>
      </c>
      <c r="X8" s="53" t="s">
        <v>46</v>
      </c>
      <c r="Y8" s="53" t="s">
        <v>84</v>
      </c>
      <c r="Z8" s="53" t="s">
        <v>78</v>
      </c>
      <c r="AA8" s="53" t="s">
        <v>90</v>
      </c>
      <c r="AB8" s="53" t="s">
        <v>241</v>
      </c>
      <c r="AE8" s="22" t="s">
        <v>59</v>
      </c>
      <c r="AG8" s="23" t="s">
        <v>256</v>
      </c>
      <c r="AH8" s="82" t="s">
        <v>254</v>
      </c>
      <c r="AL8" s="83" t="s">
        <v>134</v>
      </c>
      <c r="AP8" s="23" t="s">
        <v>62</v>
      </c>
      <c r="AR8" s="23" t="s">
        <v>81</v>
      </c>
      <c r="AV8" s="23" t="s">
        <v>97</v>
      </c>
      <c r="AX8" s="24">
        <v>119</v>
      </c>
      <c r="AY8" s="25">
        <v>30</v>
      </c>
      <c r="AZ8" s="25">
        <v>121</v>
      </c>
      <c r="BA8" s="26">
        <v>27</v>
      </c>
    </row>
    <row r="9" spans="1:53" x14ac:dyDescent="0.15">
      <c r="A9" s="53" t="s">
        <v>56</v>
      </c>
      <c r="B9" s="53" t="s">
        <v>237</v>
      </c>
      <c r="C9" s="53">
        <v>2019</v>
      </c>
      <c r="D9" s="81" t="s">
        <v>238</v>
      </c>
      <c r="E9" s="53" t="s">
        <v>162</v>
      </c>
      <c r="F9" s="53" t="s">
        <v>255</v>
      </c>
      <c r="G9" s="53" t="s">
        <v>42</v>
      </c>
      <c r="H9" s="53" t="s">
        <v>164</v>
      </c>
      <c r="I9" s="53" t="s">
        <v>159</v>
      </c>
      <c r="J9" s="53" t="s">
        <v>38</v>
      </c>
      <c r="K9" s="53" t="s">
        <v>161</v>
      </c>
      <c r="L9" s="53">
        <v>2</v>
      </c>
      <c r="N9" s="53">
        <v>8</v>
      </c>
      <c r="O9" s="53">
        <v>0.5</v>
      </c>
      <c r="P9" s="53">
        <v>0.5</v>
      </c>
      <c r="Q9" s="74">
        <f t="shared" si="0"/>
        <v>0.5</v>
      </c>
      <c r="R9" s="53">
        <v>13.5</v>
      </c>
      <c r="S9" s="53">
        <v>86</v>
      </c>
      <c r="T9" s="16">
        <f t="shared" si="1"/>
        <v>36</v>
      </c>
      <c r="U9" s="53">
        <v>537</v>
      </c>
      <c r="V9" s="16">
        <f t="shared" si="2"/>
        <v>2416.5</v>
      </c>
      <c r="W9" s="53">
        <v>4</v>
      </c>
      <c r="X9" s="53" t="s">
        <v>46</v>
      </c>
      <c r="Y9" s="53" t="s">
        <v>84</v>
      </c>
      <c r="Z9" s="53" t="s">
        <v>78</v>
      </c>
      <c r="AA9" s="53" t="s">
        <v>90</v>
      </c>
      <c r="AB9" s="53" t="s">
        <v>241</v>
      </c>
      <c r="AE9" s="22" t="s">
        <v>98</v>
      </c>
      <c r="AG9" s="23" t="s">
        <v>239</v>
      </c>
      <c r="AH9" s="23" t="s">
        <v>240</v>
      </c>
      <c r="AL9" s="73"/>
      <c r="AP9" s="23" t="s">
        <v>95</v>
      </c>
      <c r="AR9" s="23" t="s">
        <v>89</v>
      </c>
      <c r="AV9" s="23" t="s">
        <v>102</v>
      </c>
      <c r="AX9" s="24">
        <v>128</v>
      </c>
      <c r="AY9" s="25">
        <v>27</v>
      </c>
      <c r="AZ9" s="25">
        <v>129</v>
      </c>
      <c r="BA9" s="26">
        <v>25</v>
      </c>
    </row>
    <row r="10" spans="1:53" x14ac:dyDescent="0.15">
      <c r="A10" s="53" t="s">
        <v>56</v>
      </c>
      <c r="B10" s="53" t="s">
        <v>237</v>
      </c>
      <c r="C10" s="53">
        <v>2019</v>
      </c>
      <c r="D10" s="81" t="s">
        <v>238</v>
      </c>
      <c r="E10" s="53" t="s">
        <v>162</v>
      </c>
      <c r="F10" s="53" t="s">
        <v>255</v>
      </c>
      <c r="G10" s="53" t="s">
        <v>42</v>
      </c>
      <c r="H10" s="53" t="s">
        <v>164</v>
      </c>
      <c r="I10" s="53" t="s">
        <v>159</v>
      </c>
      <c r="J10" s="53" t="s">
        <v>38</v>
      </c>
      <c r="K10" s="53" t="s">
        <v>161</v>
      </c>
      <c r="L10" s="53">
        <v>3</v>
      </c>
      <c r="N10" s="53">
        <v>8</v>
      </c>
      <c r="O10" s="53">
        <v>0.7</v>
      </c>
      <c r="P10" s="53">
        <v>0.65</v>
      </c>
      <c r="Q10" s="74">
        <f t="shared" si="0"/>
        <v>0.67500000000000004</v>
      </c>
      <c r="R10" s="53">
        <v>14.8</v>
      </c>
      <c r="S10" s="53">
        <v>83</v>
      </c>
      <c r="T10" s="16">
        <f t="shared" si="1"/>
        <v>39</v>
      </c>
      <c r="U10" s="53">
        <v>537</v>
      </c>
      <c r="V10" s="16">
        <f t="shared" si="2"/>
        <v>2617.875</v>
      </c>
      <c r="W10" s="53">
        <v>4</v>
      </c>
      <c r="X10" s="53" t="s">
        <v>46</v>
      </c>
      <c r="Y10" s="53" t="s">
        <v>84</v>
      </c>
      <c r="Z10" s="53" t="s">
        <v>78</v>
      </c>
      <c r="AA10" s="53" t="s">
        <v>90</v>
      </c>
      <c r="AB10" s="53" t="s">
        <v>241</v>
      </c>
      <c r="AE10" s="22" t="s">
        <v>103</v>
      </c>
      <c r="AG10" s="23" t="s">
        <v>253</v>
      </c>
      <c r="AH10" s="82" t="s">
        <v>250</v>
      </c>
      <c r="AL10" s="83"/>
      <c r="AP10" s="23" t="s">
        <v>100</v>
      </c>
      <c r="AR10" s="23" t="s">
        <v>123</v>
      </c>
      <c r="AV10" s="23" t="s">
        <v>106</v>
      </c>
      <c r="AX10" s="24">
        <v>138</v>
      </c>
      <c r="AY10" s="25">
        <v>25</v>
      </c>
      <c r="AZ10" s="25">
        <v>138</v>
      </c>
      <c r="BA10" s="26">
        <v>22</v>
      </c>
    </row>
    <row r="11" spans="1:53" x14ac:dyDescent="0.15">
      <c r="A11" s="53" t="s">
        <v>56</v>
      </c>
      <c r="B11" s="53" t="s">
        <v>237</v>
      </c>
      <c r="C11" s="53">
        <v>2019</v>
      </c>
      <c r="D11" s="81" t="s">
        <v>238</v>
      </c>
      <c r="E11" s="53" t="s">
        <v>257</v>
      </c>
      <c r="F11" s="53" t="s">
        <v>258</v>
      </c>
      <c r="G11" s="53" t="s">
        <v>42</v>
      </c>
      <c r="H11" s="53" t="s">
        <v>164</v>
      </c>
      <c r="I11" s="53" t="s">
        <v>159</v>
      </c>
      <c r="J11" s="53" t="s">
        <v>38</v>
      </c>
      <c r="K11" s="53" t="s">
        <v>161</v>
      </c>
      <c r="L11" s="53">
        <v>1</v>
      </c>
      <c r="N11" s="53">
        <v>1</v>
      </c>
      <c r="O11" s="53">
        <v>0.5</v>
      </c>
      <c r="P11" s="53">
        <v>0.5</v>
      </c>
      <c r="Q11" s="74">
        <f t="shared" si="0"/>
        <v>0.5</v>
      </c>
      <c r="R11" s="53">
        <v>16.399999999999999</v>
      </c>
      <c r="S11" s="53">
        <v>113</v>
      </c>
      <c r="T11" s="16">
        <f t="shared" si="1"/>
        <v>30</v>
      </c>
      <c r="U11" s="53">
        <v>138</v>
      </c>
      <c r="V11" s="16">
        <f t="shared" si="2"/>
        <v>4140</v>
      </c>
      <c r="W11" s="53">
        <v>2</v>
      </c>
      <c r="X11" s="53" t="s">
        <v>46</v>
      </c>
      <c r="Y11" s="53" t="s">
        <v>84</v>
      </c>
      <c r="Z11" s="53" t="s">
        <v>50</v>
      </c>
      <c r="AA11" s="53" t="s">
        <v>90</v>
      </c>
      <c r="AB11" s="53" t="s">
        <v>241</v>
      </c>
      <c r="AE11" s="22" t="s">
        <v>65</v>
      </c>
      <c r="AG11" s="23" t="s">
        <v>252</v>
      </c>
      <c r="AH11" s="82" t="s">
        <v>250</v>
      </c>
      <c r="AJ11" s="83"/>
      <c r="AP11" s="23" t="s">
        <v>104</v>
      </c>
      <c r="AR11" s="23" t="s">
        <v>87</v>
      </c>
      <c r="AV11" s="23" t="s">
        <v>69</v>
      </c>
    </row>
    <row r="12" spans="1:53" x14ac:dyDescent="0.15">
      <c r="A12" s="53" t="s">
        <v>56</v>
      </c>
      <c r="B12" s="53" t="s">
        <v>237</v>
      </c>
      <c r="C12" s="53">
        <v>2019</v>
      </c>
      <c r="D12" s="81" t="s">
        <v>238</v>
      </c>
      <c r="E12" s="53" t="s">
        <v>257</v>
      </c>
      <c r="F12" s="53" t="s">
        <v>258</v>
      </c>
      <c r="G12" s="53" t="s">
        <v>42</v>
      </c>
      <c r="H12" s="53" t="s">
        <v>164</v>
      </c>
      <c r="I12" s="53" t="s">
        <v>159</v>
      </c>
      <c r="J12" s="53" t="s">
        <v>38</v>
      </c>
      <c r="K12" s="53" t="s">
        <v>161</v>
      </c>
      <c r="L12" s="53">
        <v>2</v>
      </c>
      <c r="N12" s="53">
        <v>1</v>
      </c>
      <c r="O12" s="53">
        <v>0.55000000000000004</v>
      </c>
      <c r="P12" s="53">
        <v>0.55000000000000004</v>
      </c>
      <c r="Q12" s="74">
        <f t="shared" si="0"/>
        <v>0.55000000000000004</v>
      </c>
      <c r="R12" s="53">
        <v>14.2</v>
      </c>
      <c r="S12" s="53">
        <v>116</v>
      </c>
      <c r="T12" s="16">
        <f t="shared" si="1"/>
        <v>30</v>
      </c>
      <c r="U12" s="53">
        <v>138</v>
      </c>
      <c r="V12" s="16">
        <f t="shared" si="2"/>
        <v>4140</v>
      </c>
      <c r="W12" s="53">
        <v>2</v>
      </c>
      <c r="X12" s="53" t="s">
        <v>46</v>
      </c>
      <c r="Y12" s="53" t="s">
        <v>84</v>
      </c>
      <c r="Z12" s="53" t="s">
        <v>50</v>
      </c>
      <c r="AA12" s="53" t="s">
        <v>90</v>
      </c>
      <c r="AB12" s="53" t="s">
        <v>241</v>
      </c>
      <c r="AE12" s="22" t="s">
        <v>70</v>
      </c>
      <c r="AG12" s="23" t="s">
        <v>244</v>
      </c>
      <c r="AH12" s="82" t="s">
        <v>250</v>
      </c>
      <c r="AJ12" s="83"/>
      <c r="AP12" s="23" t="s">
        <v>67</v>
      </c>
      <c r="AR12" s="23" t="s">
        <v>124</v>
      </c>
      <c r="AV12" s="23" t="s">
        <v>72</v>
      </c>
    </row>
    <row r="13" spans="1:53" x14ac:dyDescent="0.15">
      <c r="A13" s="53" t="s">
        <v>56</v>
      </c>
      <c r="B13" s="53" t="s">
        <v>237</v>
      </c>
      <c r="C13" s="53">
        <v>2019</v>
      </c>
      <c r="D13" s="81" t="s">
        <v>238</v>
      </c>
      <c r="E13" s="53" t="s">
        <v>257</v>
      </c>
      <c r="F13" s="53" t="s">
        <v>258</v>
      </c>
      <c r="G13" s="53" t="s">
        <v>42</v>
      </c>
      <c r="H13" s="53" t="s">
        <v>164</v>
      </c>
      <c r="I13" s="53" t="s">
        <v>159</v>
      </c>
      <c r="J13" s="53" t="s">
        <v>38</v>
      </c>
      <c r="K13" s="53" t="s">
        <v>161</v>
      </c>
      <c r="L13" s="53">
        <v>3</v>
      </c>
      <c r="N13" s="53">
        <v>1</v>
      </c>
      <c r="O13" s="53">
        <v>0.6</v>
      </c>
      <c r="P13" s="53">
        <v>0.55000000000000004</v>
      </c>
      <c r="Q13" s="74">
        <f t="shared" si="0"/>
        <v>0.57499999999999996</v>
      </c>
      <c r="R13" s="53">
        <v>12.5</v>
      </c>
      <c r="S13" s="53">
        <v>118</v>
      </c>
      <c r="T13" s="16">
        <f t="shared" si="1"/>
        <v>30</v>
      </c>
      <c r="U13" s="53">
        <v>138</v>
      </c>
      <c r="V13" s="16">
        <f t="shared" si="2"/>
        <v>4140</v>
      </c>
      <c r="W13" s="53">
        <v>2</v>
      </c>
      <c r="X13" s="53" t="s">
        <v>46</v>
      </c>
      <c r="Y13" s="53" t="s">
        <v>84</v>
      </c>
      <c r="Z13" s="53" t="s">
        <v>50</v>
      </c>
      <c r="AA13" s="53" t="s">
        <v>90</v>
      </c>
      <c r="AB13" s="53" t="s">
        <v>241</v>
      </c>
      <c r="AE13" s="22" t="s">
        <v>73</v>
      </c>
      <c r="AP13" s="23" t="s">
        <v>71</v>
      </c>
      <c r="AR13" s="23" t="s">
        <v>103</v>
      </c>
      <c r="AV13" s="23" t="s">
        <v>75</v>
      </c>
    </row>
    <row r="14" spans="1:53" x14ac:dyDescent="0.15">
      <c r="A14" s="53" t="s">
        <v>56</v>
      </c>
      <c r="B14" s="53" t="s">
        <v>237</v>
      </c>
      <c r="C14" s="53">
        <v>2019</v>
      </c>
      <c r="D14" s="81" t="s">
        <v>238</v>
      </c>
      <c r="E14" s="53" t="s">
        <v>257</v>
      </c>
      <c r="F14" s="53" t="s">
        <v>258</v>
      </c>
      <c r="G14" s="53" t="s">
        <v>42</v>
      </c>
      <c r="H14" s="53" t="s">
        <v>160</v>
      </c>
      <c r="I14" s="53" t="s">
        <v>159</v>
      </c>
      <c r="J14" s="53" t="s">
        <v>38</v>
      </c>
      <c r="K14" s="53" t="s">
        <v>161</v>
      </c>
      <c r="L14" s="53">
        <v>1</v>
      </c>
      <c r="N14" s="53">
        <v>1</v>
      </c>
      <c r="O14" s="53">
        <v>0.6</v>
      </c>
      <c r="P14" s="53">
        <v>0.6</v>
      </c>
      <c r="Q14" s="74">
        <f t="shared" si="0"/>
        <v>0.6</v>
      </c>
      <c r="R14" s="53">
        <v>15.6</v>
      </c>
      <c r="S14" s="53">
        <v>118</v>
      </c>
      <c r="T14" s="16">
        <f t="shared" si="1"/>
        <v>30</v>
      </c>
      <c r="U14" s="53">
        <v>138</v>
      </c>
      <c r="V14" s="16">
        <f t="shared" si="2"/>
        <v>4140</v>
      </c>
      <c r="W14" s="53">
        <v>2</v>
      </c>
      <c r="X14" s="53" t="s">
        <v>46</v>
      </c>
      <c r="Y14" s="53" t="s">
        <v>84</v>
      </c>
      <c r="Z14" s="53" t="s">
        <v>50</v>
      </c>
      <c r="AA14" s="53" t="s">
        <v>90</v>
      </c>
      <c r="AB14" s="53" t="s">
        <v>241</v>
      </c>
      <c r="AE14" s="22" t="s">
        <v>76</v>
      </c>
      <c r="AP14" s="23" t="s">
        <v>74</v>
      </c>
      <c r="AR14" s="23" t="s">
        <v>125</v>
      </c>
      <c r="AV14" s="23" t="s">
        <v>78</v>
      </c>
    </row>
    <row r="15" spans="1:53" x14ac:dyDescent="0.15">
      <c r="A15" s="53" t="s">
        <v>56</v>
      </c>
      <c r="B15" s="53" t="s">
        <v>237</v>
      </c>
      <c r="C15" s="53">
        <v>2019</v>
      </c>
      <c r="D15" s="81" t="s">
        <v>238</v>
      </c>
      <c r="E15" s="53" t="s">
        <v>257</v>
      </c>
      <c r="F15" s="53" t="s">
        <v>258</v>
      </c>
      <c r="G15" s="53" t="s">
        <v>42</v>
      </c>
      <c r="H15" s="53" t="s">
        <v>160</v>
      </c>
      <c r="I15" s="53" t="s">
        <v>159</v>
      </c>
      <c r="J15" s="53" t="s">
        <v>38</v>
      </c>
      <c r="K15" s="53" t="s">
        <v>161</v>
      </c>
      <c r="L15" s="53">
        <v>2</v>
      </c>
      <c r="N15" s="53">
        <v>1</v>
      </c>
      <c r="O15" s="53">
        <v>0.5</v>
      </c>
      <c r="P15" s="53">
        <v>0.5</v>
      </c>
      <c r="Q15" s="74">
        <f t="shared" si="0"/>
        <v>0.5</v>
      </c>
      <c r="R15" s="53">
        <v>16.5</v>
      </c>
      <c r="S15" s="53">
        <v>113</v>
      </c>
      <c r="T15" s="16">
        <f t="shared" si="1"/>
        <v>30</v>
      </c>
      <c r="U15" s="53">
        <v>138</v>
      </c>
      <c r="V15" s="16">
        <f t="shared" si="2"/>
        <v>4140</v>
      </c>
      <c r="W15" s="53">
        <v>2</v>
      </c>
      <c r="X15" s="53" t="s">
        <v>46</v>
      </c>
      <c r="Y15" s="53" t="s">
        <v>84</v>
      </c>
      <c r="Z15" s="53" t="s">
        <v>50</v>
      </c>
      <c r="AA15" s="53" t="s">
        <v>90</v>
      </c>
      <c r="AB15" s="53" t="s">
        <v>241</v>
      </c>
      <c r="AE15" s="22" t="s">
        <v>79</v>
      </c>
      <c r="AP15" s="23" t="s">
        <v>77</v>
      </c>
      <c r="AR15" s="23" t="s">
        <v>94</v>
      </c>
      <c r="AV15" s="23" t="s">
        <v>107</v>
      </c>
    </row>
    <row r="16" spans="1:53" x14ac:dyDescent="0.15">
      <c r="A16" s="53" t="s">
        <v>56</v>
      </c>
      <c r="B16" s="53" t="s">
        <v>237</v>
      </c>
      <c r="C16" s="53">
        <v>2019</v>
      </c>
      <c r="D16" s="81" t="s">
        <v>238</v>
      </c>
      <c r="E16" s="53" t="s">
        <v>257</v>
      </c>
      <c r="F16" s="53" t="s">
        <v>258</v>
      </c>
      <c r="G16" s="53" t="s">
        <v>42</v>
      </c>
      <c r="H16" s="53" t="s">
        <v>160</v>
      </c>
      <c r="I16" s="53" t="s">
        <v>159</v>
      </c>
      <c r="J16" s="53" t="s">
        <v>38</v>
      </c>
      <c r="K16" s="53" t="s">
        <v>161</v>
      </c>
      <c r="L16" s="53">
        <v>3</v>
      </c>
      <c r="N16" s="53">
        <v>1</v>
      </c>
      <c r="O16" s="53">
        <v>0.5</v>
      </c>
      <c r="P16" s="53">
        <v>0.5</v>
      </c>
      <c r="Q16" s="74">
        <f t="shared" si="0"/>
        <v>0.5</v>
      </c>
      <c r="R16" s="53">
        <v>15.5</v>
      </c>
      <c r="S16" s="53">
        <v>124</v>
      </c>
      <c r="T16" s="16">
        <f t="shared" si="1"/>
        <v>27</v>
      </c>
      <c r="U16" s="53">
        <v>138</v>
      </c>
      <c r="V16" s="16">
        <f t="shared" si="2"/>
        <v>3726</v>
      </c>
      <c r="W16" s="53">
        <v>2</v>
      </c>
      <c r="X16" s="53" t="s">
        <v>46</v>
      </c>
      <c r="Y16" s="53" t="s">
        <v>84</v>
      </c>
      <c r="Z16" s="53" t="s">
        <v>50</v>
      </c>
      <c r="AA16" s="53" t="s">
        <v>90</v>
      </c>
      <c r="AB16" s="53" t="s">
        <v>241</v>
      </c>
      <c r="AE16" s="22" t="s">
        <v>82</v>
      </c>
      <c r="AP16" s="23" t="s">
        <v>80</v>
      </c>
      <c r="AR16" s="23" t="s">
        <v>63</v>
      </c>
      <c r="AV16" s="23" t="s">
        <v>84</v>
      </c>
    </row>
    <row r="17" spans="1:48" x14ac:dyDescent="0.15">
      <c r="A17" s="53" t="s">
        <v>56</v>
      </c>
      <c r="B17" s="53" t="s">
        <v>237</v>
      </c>
      <c r="C17" s="53">
        <v>2019</v>
      </c>
      <c r="D17" s="81" t="s">
        <v>238</v>
      </c>
      <c r="E17" s="53" t="s">
        <v>259</v>
      </c>
      <c r="F17" s="53" t="s">
        <v>255</v>
      </c>
      <c r="G17" s="53" t="s">
        <v>42</v>
      </c>
      <c r="H17" s="53" t="s">
        <v>247</v>
      </c>
      <c r="I17" s="53" t="s">
        <v>159</v>
      </c>
      <c r="J17" s="53" t="s">
        <v>58</v>
      </c>
      <c r="K17" s="53" t="s">
        <v>59</v>
      </c>
      <c r="L17" s="53">
        <v>1</v>
      </c>
      <c r="N17" s="53">
        <v>5</v>
      </c>
      <c r="O17" s="53">
        <v>0.5</v>
      </c>
      <c r="P17" s="53">
        <v>0.5</v>
      </c>
      <c r="Q17" s="16">
        <f t="shared" si="0"/>
        <v>0.5</v>
      </c>
      <c r="R17" s="53">
        <v>16.5</v>
      </c>
      <c r="S17" s="53">
        <v>74</v>
      </c>
      <c r="T17" s="16">
        <f t="shared" si="1"/>
        <v>42</v>
      </c>
      <c r="U17" s="53">
        <v>321</v>
      </c>
      <c r="V17" s="16">
        <f t="shared" si="2"/>
        <v>2696.4</v>
      </c>
      <c r="W17" s="53">
        <v>2</v>
      </c>
      <c r="X17" s="53" t="s">
        <v>39</v>
      </c>
      <c r="Y17" s="53" t="s">
        <v>84</v>
      </c>
      <c r="Z17" s="53" t="s">
        <v>50</v>
      </c>
      <c r="AA17" s="53" t="s">
        <v>78</v>
      </c>
      <c r="AB17" s="53" t="s">
        <v>241</v>
      </c>
      <c r="AE17" s="22" t="s">
        <v>85</v>
      </c>
      <c r="AP17" s="27" t="s">
        <v>110</v>
      </c>
      <c r="AR17" s="23" t="s">
        <v>96</v>
      </c>
      <c r="AV17" s="23" t="s">
        <v>86</v>
      </c>
    </row>
    <row r="18" spans="1:48" x14ac:dyDescent="0.15">
      <c r="A18" s="53" t="s">
        <v>56</v>
      </c>
      <c r="B18" s="53" t="s">
        <v>237</v>
      </c>
      <c r="C18" s="53">
        <v>2019</v>
      </c>
      <c r="D18" s="81" t="s">
        <v>238</v>
      </c>
      <c r="E18" s="53" t="s">
        <v>259</v>
      </c>
      <c r="F18" s="53" t="s">
        <v>255</v>
      </c>
      <c r="G18" s="53" t="s">
        <v>42</v>
      </c>
      <c r="H18" s="53" t="s">
        <v>247</v>
      </c>
      <c r="I18" s="53" t="s">
        <v>159</v>
      </c>
      <c r="J18" s="53" t="s">
        <v>58</v>
      </c>
      <c r="K18" s="53" t="s">
        <v>59</v>
      </c>
      <c r="L18" s="53">
        <v>2</v>
      </c>
      <c r="N18" s="53">
        <v>5</v>
      </c>
      <c r="O18" s="53">
        <v>0.5</v>
      </c>
      <c r="P18" s="53">
        <v>0.5</v>
      </c>
      <c r="Q18" s="16">
        <f t="shared" si="0"/>
        <v>0.5</v>
      </c>
      <c r="R18" s="53">
        <v>12.1</v>
      </c>
      <c r="S18" s="53">
        <v>51</v>
      </c>
      <c r="T18" s="16">
        <f t="shared" si="1"/>
        <v>50</v>
      </c>
      <c r="U18" s="53">
        <v>321</v>
      </c>
      <c r="V18" s="16">
        <f t="shared" si="2"/>
        <v>3210</v>
      </c>
      <c r="W18" s="53">
        <v>2</v>
      </c>
      <c r="X18" s="53" t="s">
        <v>39</v>
      </c>
      <c r="Y18" s="53" t="s">
        <v>84</v>
      </c>
      <c r="Z18" s="53" t="s">
        <v>50</v>
      </c>
      <c r="AA18" s="53" t="s">
        <v>78</v>
      </c>
      <c r="AB18" s="53" t="s">
        <v>241</v>
      </c>
      <c r="AE18" s="22" t="s">
        <v>87</v>
      </c>
      <c r="AP18" s="27" t="s">
        <v>111</v>
      </c>
      <c r="AR18" s="23" t="s">
        <v>101</v>
      </c>
      <c r="AV18" s="23" t="s">
        <v>88</v>
      </c>
    </row>
    <row r="19" spans="1:48" x14ac:dyDescent="0.15">
      <c r="A19" s="53" t="s">
        <v>56</v>
      </c>
      <c r="B19" s="53" t="s">
        <v>237</v>
      </c>
      <c r="C19" s="53">
        <v>2019</v>
      </c>
      <c r="D19" s="81" t="s">
        <v>238</v>
      </c>
      <c r="E19" s="53" t="s">
        <v>259</v>
      </c>
      <c r="F19" s="53" t="s">
        <v>255</v>
      </c>
      <c r="G19" s="53" t="s">
        <v>42</v>
      </c>
      <c r="H19" s="53" t="s">
        <v>247</v>
      </c>
      <c r="I19" s="53" t="s">
        <v>159</v>
      </c>
      <c r="J19" s="53" t="s">
        <v>58</v>
      </c>
      <c r="K19" s="53" t="s">
        <v>59</v>
      </c>
      <c r="L19" s="53">
        <v>3</v>
      </c>
      <c r="N19" s="53">
        <v>5</v>
      </c>
      <c r="O19" s="53">
        <v>0.55000000000000004</v>
      </c>
      <c r="P19" s="53">
        <v>0.5</v>
      </c>
      <c r="Q19" s="16">
        <f t="shared" si="0"/>
        <v>0.52500000000000002</v>
      </c>
      <c r="R19" s="53">
        <v>13.7</v>
      </c>
      <c r="S19" s="53">
        <v>54</v>
      </c>
      <c r="T19" s="16">
        <f t="shared" si="1"/>
        <v>50</v>
      </c>
      <c r="U19" s="53">
        <v>321</v>
      </c>
      <c r="V19" s="16">
        <f t="shared" si="2"/>
        <v>3210</v>
      </c>
      <c r="W19" s="53">
        <v>2</v>
      </c>
      <c r="X19" s="53" t="s">
        <v>39</v>
      </c>
      <c r="Y19" s="53" t="s">
        <v>84</v>
      </c>
      <c r="Z19" s="53" t="s">
        <v>50</v>
      </c>
      <c r="AA19" s="53" t="s">
        <v>78</v>
      </c>
      <c r="AB19" s="53" t="s">
        <v>241</v>
      </c>
      <c r="AE19" s="35" t="s">
        <v>89</v>
      </c>
      <c r="AP19" s="27" t="s">
        <v>112</v>
      </c>
      <c r="AR19" s="23" t="s">
        <v>126</v>
      </c>
      <c r="AV19" s="23" t="s">
        <v>90</v>
      </c>
    </row>
    <row r="20" spans="1:48" x14ac:dyDescent="0.15">
      <c r="A20" s="53" t="s">
        <v>56</v>
      </c>
      <c r="B20" s="53" t="s">
        <v>237</v>
      </c>
      <c r="C20" s="53">
        <v>2019</v>
      </c>
      <c r="D20" s="81" t="s">
        <v>238</v>
      </c>
      <c r="E20" s="53" t="s">
        <v>259</v>
      </c>
      <c r="F20" s="53" t="s">
        <v>255</v>
      </c>
      <c r="G20" s="53" t="s">
        <v>42</v>
      </c>
      <c r="H20" s="53" t="s">
        <v>164</v>
      </c>
      <c r="I20" s="53" t="s">
        <v>159</v>
      </c>
      <c r="J20" s="53" t="s">
        <v>38</v>
      </c>
      <c r="K20" s="53" t="s">
        <v>161</v>
      </c>
      <c r="L20" s="53">
        <v>1</v>
      </c>
      <c r="N20" s="53">
        <v>1</v>
      </c>
      <c r="O20" s="53">
        <v>0.65</v>
      </c>
      <c r="P20" s="53">
        <v>0.6</v>
      </c>
      <c r="Q20" s="16">
        <f t="shared" si="0"/>
        <v>0.625</v>
      </c>
      <c r="R20" s="53">
        <v>15.3</v>
      </c>
      <c r="S20" s="53">
        <v>127</v>
      </c>
      <c r="T20" s="16">
        <f t="shared" si="1"/>
        <v>27</v>
      </c>
      <c r="U20" s="53">
        <v>105</v>
      </c>
      <c r="V20" s="16">
        <f t="shared" si="2"/>
        <v>2835</v>
      </c>
      <c r="W20" s="53">
        <v>2</v>
      </c>
      <c r="X20" s="53" t="s">
        <v>39</v>
      </c>
      <c r="Y20" s="53" t="s">
        <v>84</v>
      </c>
      <c r="Z20" s="53" t="s">
        <v>50</v>
      </c>
      <c r="AA20" s="53" t="s">
        <v>78</v>
      </c>
      <c r="AB20" s="53" t="s">
        <v>241</v>
      </c>
      <c r="AP20" s="27" t="s">
        <v>113</v>
      </c>
      <c r="AR20" s="23" t="s">
        <v>105</v>
      </c>
      <c r="AV20" s="27" t="s">
        <v>135</v>
      </c>
    </row>
    <row r="21" spans="1:48" x14ac:dyDescent="0.15">
      <c r="A21" s="53" t="s">
        <v>56</v>
      </c>
      <c r="B21" s="53" t="s">
        <v>237</v>
      </c>
      <c r="C21" s="53">
        <v>2019</v>
      </c>
      <c r="D21" s="81" t="s">
        <v>238</v>
      </c>
      <c r="E21" s="53" t="s">
        <v>259</v>
      </c>
      <c r="F21" s="53" t="s">
        <v>255</v>
      </c>
      <c r="G21" s="53" t="s">
        <v>42</v>
      </c>
      <c r="H21" s="53" t="s">
        <v>164</v>
      </c>
      <c r="I21" s="53" t="s">
        <v>159</v>
      </c>
      <c r="J21" s="53" t="s">
        <v>38</v>
      </c>
      <c r="K21" s="53" t="s">
        <v>161</v>
      </c>
      <c r="L21" s="53">
        <v>2</v>
      </c>
      <c r="N21" s="53">
        <v>1</v>
      </c>
      <c r="O21" s="53">
        <v>0.55000000000000004</v>
      </c>
      <c r="P21" s="53">
        <v>0.55000000000000004</v>
      </c>
      <c r="Q21" s="16">
        <f t="shared" si="0"/>
        <v>0.55000000000000004</v>
      </c>
      <c r="R21" s="53">
        <v>18.100000000000001</v>
      </c>
      <c r="S21" s="53">
        <v>131</v>
      </c>
      <c r="T21" s="16">
        <f t="shared" si="1"/>
        <v>25</v>
      </c>
      <c r="U21" s="53">
        <v>105</v>
      </c>
      <c r="V21" s="16">
        <f t="shared" si="2"/>
        <v>2625</v>
      </c>
      <c r="W21" s="53">
        <v>2</v>
      </c>
      <c r="X21" s="53" t="s">
        <v>39</v>
      </c>
      <c r="Y21" s="53" t="s">
        <v>84</v>
      </c>
      <c r="Z21" s="53" t="s">
        <v>50</v>
      </c>
      <c r="AA21" s="53" t="s">
        <v>78</v>
      </c>
      <c r="AB21" s="53" t="s">
        <v>241</v>
      </c>
      <c r="AP21" s="27" t="s">
        <v>114</v>
      </c>
      <c r="AR21" s="23" t="s">
        <v>68</v>
      </c>
      <c r="AV21" s="28" t="s">
        <v>260</v>
      </c>
    </row>
    <row r="22" spans="1:48" x14ac:dyDescent="0.15">
      <c r="A22" s="53" t="s">
        <v>56</v>
      </c>
      <c r="B22" s="53" t="s">
        <v>237</v>
      </c>
      <c r="C22" s="53">
        <v>2019</v>
      </c>
      <c r="D22" s="81" t="s">
        <v>238</v>
      </c>
      <c r="E22" s="53" t="s">
        <v>259</v>
      </c>
      <c r="F22" s="53" t="s">
        <v>255</v>
      </c>
      <c r="G22" s="53" t="s">
        <v>42</v>
      </c>
      <c r="H22" s="53" t="s">
        <v>164</v>
      </c>
      <c r="I22" s="53" t="s">
        <v>159</v>
      </c>
      <c r="J22" s="53" t="s">
        <v>38</v>
      </c>
      <c r="K22" s="53" t="s">
        <v>161</v>
      </c>
      <c r="L22" s="53">
        <v>3</v>
      </c>
      <c r="N22" s="53">
        <v>1</v>
      </c>
      <c r="O22" s="53">
        <v>0.6</v>
      </c>
      <c r="P22" s="53">
        <v>0.6</v>
      </c>
      <c r="Q22" s="16">
        <f t="shared" si="0"/>
        <v>0.6</v>
      </c>
      <c r="R22" s="53">
        <v>14.8</v>
      </c>
      <c r="S22" s="53">
        <v>126</v>
      </c>
      <c r="T22" s="16">
        <f t="shared" si="1"/>
        <v>27</v>
      </c>
      <c r="U22" s="53">
        <v>105</v>
      </c>
      <c r="V22" s="16">
        <f t="shared" si="2"/>
        <v>2835</v>
      </c>
      <c r="W22" s="53">
        <v>2</v>
      </c>
      <c r="X22" s="53" t="s">
        <v>39</v>
      </c>
      <c r="Y22" s="53" t="s">
        <v>84</v>
      </c>
      <c r="Z22" s="53" t="s">
        <v>50</v>
      </c>
      <c r="AA22" s="53" t="s">
        <v>78</v>
      </c>
      <c r="AB22" s="53" t="s">
        <v>241</v>
      </c>
      <c r="AP22" s="27" t="s">
        <v>115</v>
      </c>
      <c r="AR22" s="23" t="s">
        <v>83</v>
      </c>
    </row>
    <row r="23" spans="1:48" x14ac:dyDescent="0.15">
      <c r="A23" s="53" t="s">
        <v>56</v>
      </c>
      <c r="B23" s="53" t="s">
        <v>237</v>
      </c>
      <c r="C23" s="53">
        <v>2019</v>
      </c>
      <c r="D23" s="81" t="s">
        <v>238</v>
      </c>
      <c r="E23" s="53" t="s">
        <v>259</v>
      </c>
      <c r="F23" s="53" t="s">
        <v>255</v>
      </c>
      <c r="G23" s="53" t="s">
        <v>42</v>
      </c>
      <c r="H23" s="53" t="s">
        <v>128</v>
      </c>
      <c r="I23" s="53" t="s">
        <v>159</v>
      </c>
      <c r="J23" s="53" t="s">
        <v>80</v>
      </c>
      <c r="K23" s="53" t="s">
        <v>63</v>
      </c>
      <c r="L23" s="53">
        <v>1</v>
      </c>
      <c r="N23" s="53">
        <v>4</v>
      </c>
      <c r="O23" s="53">
        <v>0.8</v>
      </c>
      <c r="P23" s="53">
        <v>0.8</v>
      </c>
      <c r="Q23" s="16">
        <f t="shared" si="0"/>
        <v>0.8</v>
      </c>
      <c r="R23" s="53">
        <v>16.399999999999999</v>
      </c>
      <c r="S23" s="53">
        <v>89</v>
      </c>
      <c r="T23" s="16">
        <f t="shared" si="1"/>
        <v>36</v>
      </c>
      <c r="U23" s="53">
        <v>386</v>
      </c>
      <c r="V23" s="16">
        <f t="shared" si="2"/>
        <v>3474</v>
      </c>
      <c r="W23" s="53">
        <v>2</v>
      </c>
      <c r="X23" s="53" t="s">
        <v>39</v>
      </c>
      <c r="Y23" s="53" t="s">
        <v>84</v>
      </c>
      <c r="Z23" s="53" t="s">
        <v>50</v>
      </c>
      <c r="AA23" s="53" t="s">
        <v>78</v>
      </c>
      <c r="AB23" s="53" t="s">
        <v>241</v>
      </c>
      <c r="AP23" s="27" t="s">
        <v>137</v>
      </c>
      <c r="AR23" s="23" t="s">
        <v>61</v>
      </c>
    </row>
    <row r="24" spans="1:48" x14ac:dyDescent="0.15">
      <c r="A24" s="53" t="s">
        <v>56</v>
      </c>
      <c r="B24" s="53" t="s">
        <v>237</v>
      </c>
      <c r="C24" s="53">
        <v>2019</v>
      </c>
      <c r="D24" s="81" t="s">
        <v>238</v>
      </c>
      <c r="E24" s="53" t="s">
        <v>259</v>
      </c>
      <c r="F24" s="53" t="s">
        <v>255</v>
      </c>
      <c r="G24" s="53" t="s">
        <v>42</v>
      </c>
      <c r="H24" s="53" t="s">
        <v>128</v>
      </c>
      <c r="I24" s="53" t="s">
        <v>159</v>
      </c>
      <c r="J24" s="53" t="s">
        <v>80</v>
      </c>
      <c r="K24" s="53" t="s">
        <v>63</v>
      </c>
      <c r="L24" s="53">
        <v>2</v>
      </c>
      <c r="N24" s="53">
        <v>4</v>
      </c>
      <c r="O24" s="53">
        <v>0.75</v>
      </c>
      <c r="P24" s="53">
        <v>0.8</v>
      </c>
      <c r="Q24" s="16">
        <f t="shared" si="0"/>
        <v>0.77500000000000002</v>
      </c>
      <c r="R24" s="53">
        <v>15.2</v>
      </c>
      <c r="S24" s="53">
        <v>88</v>
      </c>
      <c r="T24" s="16">
        <f t="shared" si="1"/>
        <v>36</v>
      </c>
      <c r="U24" s="53">
        <v>386</v>
      </c>
      <c r="V24" s="16">
        <f t="shared" si="2"/>
        <v>3474</v>
      </c>
      <c r="W24" s="53">
        <v>2</v>
      </c>
      <c r="X24" s="53" t="s">
        <v>39</v>
      </c>
      <c r="Y24" s="53" t="s">
        <v>84</v>
      </c>
      <c r="Z24" s="53" t="s">
        <v>50</v>
      </c>
      <c r="AA24" s="53" t="s">
        <v>78</v>
      </c>
      <c r="AB24" s="53" t="s">
        <v>241</v>
      </c>
      <c r="AP24" s="27" t="s">
        <v>138</v>
      </c>
      <c r="AR24" s="23" t="s">
        <v>91</v>
      </c>
    </row>
    <row r="25" spans="1:48" x14ac:dyDescent="0.15">
      <c r="A25" s="53" t="s">
        <v>56</v>
      </c>
      <c r="B25" s="53" t="s">
        <v>237</v>
      </c>
      <c r="C25" s="53">
        <v>2019</v>
      </c>
      <c r="D25" s="81" t="s">
        <v>238</v>
      </c>
      <c r="E25" s="53" t="s">
        <v>259</v>
      </c>
      <c r="F25" s="53" t="s">
        <v>255</v>
      </c>
      <c r="G25" s="53" t="s">
        <v>42</v>
      </c>
      <c r="H25" s="53" t="s">
        <v>128</v>
      </c>
      <c r="I25" s="53" t="s">
        <v>159</v>
      </c>
      <c r="J25" s="53" t="s">
        <v>80</v>
      </c>
      <c r="K25" s="53" t="s">
        <v>63</v>
      </c>
      <c r="L25" s="53">
        <v>3</v>
      </c>
      <c r="N25" s="53">
        <v>4</v>
      </c>
      <c r="O25" s="53">
        <v>0.6</v>
      </c>
      <c r="P25" s="53">
        <v>0.6</v>
      </c>
      <c r="Q25" s="16">
        <f t="shared" si="0"/>
        <v>0.6</v>
      </c>
      <c r="R25" s="53">
        <v>14.8</v>
      </c>
      <c r="S25" s="53">
        <v>84</v>
      </c>
      <c r="T25" s="16">
        <f t="shared" si="1"/>
        <v>36</v>
      </c>
      <c r="U25" s="53">
        <v>386</v>
      </c>
      <c r="V25" s="16">
        <f t="shared" si="2"/>
        <v>3474</v>
      </c>
      <c r="W25" s="53">
        <v>2</v>
      </c>
      <c r="X25" s="53" t="s">
        <v>39</v>
      </c>
      <c r="Y25" s="53" t="s">
        <v>84</v>
      </c>
      <c r="Z25" s="53" t="s">
        <v>50</v>
      </c>
      <c r="AA25" s="53" t="s">
        <v>78</v>
      </c>
      <c r="AB25" s="53" t="s">
        <v>241</v>
      </c>
      <c r="AP25" s="27" t="s">
        <v>116</v>
      </c>
      <c r="AR25" s="27" t="s">
        <v>92</v>
      </c>
    </row>
    <row r="26" spans="1:48" x14ac:dyDescent="0.15">
      <c r="A26" s="53" t="s">
        <v>56</v>
      </c>
      <c r="B26" s="53" t="s">
        <v>237</v>
      </c>
      <c r="C26" s="53">
        <v>2019</v>
      </c>
      <c r="D26" s="81" t="s">
        <v>238</v>
      </c>
      <c r="E26" s="53" t="s">
        <v>162</v>
      </c>
      <c r="F26" s="53" t="s">
        <v>254</v>
      </c>
      <c r="G26" s="53" t="s">
        <v>42</v>
      </c>
      <c r="H26" s="53" t="s">
        <v>164</v>
      </c>
      <c r="I26" s="53" t="s">
        <v>159</v>
      </c>
      <c r="J26" s="53" t="s">
        <v>38</v>
      </c>
      <c r="K26" s="53" t="s">
        <v>161</v>
      </c>
      <c r="L26" s="53">
        <v>1</v>
      </c>
      <c r="N26" s="53">
        <v>1</v>
      </c>
      <c r="O26" s="53">
        <v>0.75</v>
      </c>
      <c r="P26" s="53">
        <v>0.85</v>
      </c>
      <c r="Q26" s="16">
        <f t="shared" si="0"/>
        <v>0.8</v>
      </c>
      <c r="R26" s="53">
        <v>15.5</v>
      </c>
      <c r="S26" s="53">
        <v>107</v>
      </c>
      <c r="T26" s="16">
        <f t="shared" si="1"/>
        <v>33</v>
      </c>
      <c r="U26" s="53">
        <v>106</v>
      </c>
      <c r="V26" s="16">
        <f t="shared" si="2"/>
        <v>3498</v>
      </c>
      <c r="W26" s="53">
        <v>2</v>
      </c>
      <c r="X26" s="53" t="s">
        <v>46</v>
      </c>
      <c r="Y26" s="53" t="s">
        <v>84</v>
      </c>
      <c r="Z26" s="53" t="s">
        <v>90</v>
      </c>
      <c r="AA26" s="53" t="s">
        <v>78</v>
      </c>
      <c r="AB26" s="53" t="s">
        <v>241</v>
      </c>
      <c r="AP26" s="27" t="s">
        <v>117</v>
      </c>
      <c r="AR26" s="53" t="s">
        <v>153</v>
      </c>
    </row>
    <row r="27" spans="1:48" x14ac:dyDescent="0.15">
      <c r="A27" s="53" t="s">
        <v>56</v>
      </c>
      <c r="B27" s="53" t="s">
        <v>237</v>
      </c>
      <c r="C27" s="53">
        <v>2019</v>
      </c>
      <c r="D27" s="81" t="s">
        <v>238</v>
      </c>
      <c r="E27" s="53" t="s">
        <v>162</v>
      </c>
      <c r="F27" s="53" t="s">
        <v>254</v>
      </c>
      <c r="G27" s="53" t="s">
        <v>42</v>
      </c>
      <c r="H27" s="53" t="s">
        <v>164</v>
      </c>
      <c r="I27" s="53" t="s">
        <v>159</v>
      </c>
      <c r="J27" s="53" t="s">
        <v>38</v>
      </c>
      <c r="K27" s="53" t="s">
        <v>161</v>
      </c>
      <c r="L27" s="53">
        <v>2</v>
      </c>
      <c r="N27" s="53">
        <v>1</v>
      </c>
      <c r="O27" s="53">
        <v>0.5</v>
      </c>
      <c r="P27" s="53">
        <v>0.5</v>
      </c>
      <c r="Q27" s="16">
        <f t="shared" si="0"/>
        <v>0.5</v>
      </c>
      <c r="R27" s="53">
        <v>14.5</v>
      </c>
      <c r="S27" s="53">
        <v>110</v>
      </c>
      <c r="T27" s="16">
        <f t="shared" si="1"/>
        <v>33</v>
      </c>
      <c r="U27" s="53">
        <v>106</v>
      </c>
      <c r="V27" s="16">
        <f t="shared" si="2"/>
        <v>3498</v>
      </c>
      <c r="W27" s="53">
        <v>2</v>
      </c>
      <c r="X27" s="53" t="s">
        <v>46</v>
      </c>
      <c r="Y27" s="53" t="s">
        <v>84</v>
      </c>
      <c r="Z27" s="53" t="s">
        <v>90</v>
      </c>
      <c r="AA27" s="53" t="s">
        <v>78</v>
      </c>
      <c r="AB27" s="53" t="s">
        <v>241</v>
      </c>
      <c r="AP27" s="27" t="s">
        <v>118</v>
      </c>
    </row>
    <row r="28" spans="1:48" x14ac:dyDescent="0.15">
      <c r="A28" s="53" t="s">
        <v>56</v>
      </c>
      <c r="B28" s="53" t="s">
        <v>237</v>
      </c>
      <c r="C28" s="53">
        <v>2019</v>
      </c>
      <c r="D28" s="81" t="s">
        <v>238</v>
      </c>
      <c r="E28" s="53" t="s">
        <v>162</v>
      </c>
      <c r="F28" s="53" t="s">
        <v>254</v>
      </c>
      <c r="G28" s="53" t="s">
        <v>42</v>
      </c>
      <c r="H28" s="53" t="s">
        <v>164</v>
      </c>
      <c r="I28" s="53" t="s">
        <v>159</v>
      </c>
      <c r="J28" s="53" t="s">
        <v>38</v>
      </c>
      <c r="K28" s="53" t="s">
        <v>161</v>
      </c>
      <c r="L28" s="53">
        <v>3</v>
      </c>
      <c r="N28" s="53">
        <v>1</v>
      </c>
      <c r="O28" s="53">
        <v>0.5</v>
      </c>
      <c r="P28" s="53">
        <v>0.55000000000000004</v>
      </c>
      <c r="Q28" s="16">
        <f t="shared" si="0"/>
        <v>0.52500000000000002</v>
      </c>
      <c r="R28" s="53">
        <v>14.3</v>
      </c>
      <c r="S28" s="53">
        <v>110</v>
      </c>
      <c r="T28" s="16">
        <f t="shared" si="1"/>
        <v>33</v>
      </c>
      <c r="U28" s="53">
        <v>106</v>
      </c>
      <c r="V28" s="16">
        <f t="shared" si="2"/>
        <v>3498</v>
      </c>
      <c r="W28" s="53">
        <v>2</v>
      </c>
      <c r="X28" s="53" t="s">
        <v>46</v>
      </c>
      <c r="Y28" s="53" t="s">
        <v>84</v>
      </c>
      <c r="Z28" s="53" t="s">
        <v>90</v>
      </c>
      <c r="AA28" s="53" t="s">
        <v>78</v>
      </c>
      <c r="AB28" s="53" t="s">
        <v>241</v>
      </c>
    </row>
    <row r="29" spans="1:48" x14ac:dyDescent="0.15">
      <c r="A29" s="53" t="s">
        <v>56</v>
      </c>
      <c r="B29" s="53" t="s">
        <v>237</v>
      </c>
      <c r="C29" s="53">
        <v>2019</v>
      </c>
      <c r="D29" s="81" t="s">
        <v>238</v>
      </c>
      <c r="E29" s="53" t="s">
        <v>162</v>
      </c>
      <c r="F29" s="53" t="s">
        <v>254</v>
      </c>
      <c r="G29" s="53" t="s">
        <v>42</v>
      </c>
      <c r="H29" s="53" t="s">
        <v>160</v>
      </c>
      <c r="I29" s="53" t="s">
        <v>159</v>
      </c>
      <c r="J29" s="53" t="s">
        <v>38</v>
      </c>
      <c r="K29" s="53" t="s">
        <v>161</v>
      </c>
      <c r="L29" s="53">
        <v>1</v>
      </c>
      <c r="N29" s="53">
        <v>1</v>
      </c>
      <c r="O29" s="53">
        <v>0.65</v>
      </c>
      <c r="P29" s="53">
        <v>0.6</v>
      </c>
      <c r="Q29" s="16">
        <f t="shared" si="0"/>
        <v>0.625</v>
      </c>
      <c r="R29" s="53">
        <v>14.5</v>
      </c>
      <c r="S29" s="53">
        <v>95</v>
      </c>
      <c r="T29" s="16">
        <f t="shared" si="1"/>
        <v>36</v>
      </c>
      <c r="U29" s="53">
        <v>138</v>
      </c>
      <c r="V29" s="16">
        <f t="shared" si="2"/>
        <v>4968</v>
      </c>
      <c r="W29" s="53">
        <v>2</v>
      </c>
      <c r="X29" s="53" t="s">
        <v>46</v>
      </c>
      <c r="Y29" s="53" t="s">
        <v>84</v>
      </c>
      <c r="Z29" s="53" t="s">
        <v>90</v>
      </c>
      <c r="AA29" s="53" t="s">
        <v>78</v>
      </c>
      <c r="AB29" s="53" t="s">
        <v>241</v>
      </c>
    </row>
    <row r="30" spans="1:48" x14ac:dyDescent="0.15">
      <c r="A30" s="53" t="s">
        <v>56</v>
      </c>
      <c r="B30" s="53" t="s">
        <v>237</v>
      </c>
      <c r="C30" s="53">
        <v>2019</v>
      </c>
      <c r="D30" s="81" t="s">
        <v>238</v>
      </c>
      <c r="E30" s="53" t="s">
        <v>162</v>
      </c>
      <c r="F30" s="53" t="s">
        <v>254</v>
      </c>
      <c r="G30" s="53" t="s">
        <v>42</v>
      </c>
      <c r="H30" s="53" t="s">
        <v>160</v>
      </c>
      <c r="I30" s="53" t="s">
        <v>159</v>
      </c>
      <c r="J30" s="53" t="s">
        <v>38</v>
      </c>
      <c r="K30" s="53" t="s">
        <v>161</v>
      </c>
      <c r="L30" s="53">
        <v>2</v>
      </c>
      <c r="N30" s="53">
        <v>1</v>
      </c>
      <c r="O30" s="53">
        <v>0.65</v>
      </c>
      <c r="P30" s="53">
        <v>0.6</v>
      </c>
      <c r="Q30" s="16">
        <f t="shared" si="0"/>
        <v>0.625</v>
      </c>
      <c r="R30" s="53">
        <v>15.4</v>
      </c>
      <c r="S30" s="53">
        <v>93</v>
      </c>
      <c r="T30" s="16">
        <f t="shared" si="1"/>
        <v>36</v>
      </c>
      <c r="U30" s="53">
        <v>138</v>
      </c>
      <c r="V30" s="16">
        <f t="shared" si="2"/>
        <v>4968</v>
      </c>
      <c r="W30" s="53">
        <v>2</v>
      </c>
      <c r="X30" s="53" t="s">
        <v>46</v>
      </c>
      <c r="Y30" s="53" t="s">
        <v>84</v>
      </c>
      <c r="Z30" s="53" t="s">
        <v>90</v>
      </c>
      <c r="AA30" s="53" t="s">
        <v>78</v>
      </c>
      <c r="AB30" s="53" t="s">
        <v>241</v>
      </c>
    </row>
    <row r="31" spans="1:48" x14ac:dyDescent="0.15">
      <c r="A31" s="53" t="s">
        <v>56</v>
      </c>
      <c r="B31" s="53" t="s">
        <v>237</v>
      </c>
      <c r="C31" s="53">
        <v>2019</v>
      </c>
      <c r="D31" s="81" t="s">
        <v>238</v>
      </c>
      <c r="E31" s="53" t="s">
        <v>162</v>
      </c>
      <c r="F31" s="53" t="s">
        <v>254</v>
      </c>
      <c r="G31" s="53" t="s">
        <v>42</v>
      </c>
      <c r="H31" s="53" t="s">
        <v>160</v>
      </c>
      <c r="I31" s="53" t="s">
        <v>159</v>
      </c>
      <c r="J31" s="53" t="s">
        <v>38</v>
      </c>
      <c r="K31" s="53" t="s">
        <v>161</v>
      </c>
      <c r="L31" s="53">
        <v>3</v>
      </c>
      <c r="N31" s="53">
        <v>1</v>
      </c>
      <c r="O31" s="53">
        <v>0.6</v>
      </c>
      <c r="P31" s="53">
        <v>0.6</v>
      </c>
      <c r="Q31" s="16">
        <f t="shared" si="0"/>
        <v>0.6</v>
      </c>
      <c r="R31" s="53">
        <v>14.4</v>
      </c>
      <c r="S31" s="53">
        <v>93</v>
      </c>
      <c r="T31" s="16">
        <f t="shared" si="1"/>
        <v>36</v>
      </c>
      <c r="U31" s="53">
        <v>138</v>
      </c>
      <c r="V31" s="16">
        <f t="shared" si="2"/>
        <v>4968</v>
      </c>
      <c r="W31" s="53">
        <v>2</v>
      </c>
      <c r="X31" s="53" t="s">
        <v>46</v>
      </c>
      <c r="Y31" s="53" t="s">
        <v>84</v>
      </c>
      <c r="Z31" s="53" t="s">
        <v>90</v>
      </c>
      <c r="AA31" s="53" t="s">
        <v>78</v>
      </c>
      <c r="AB31" s="53" t="s">
        <v>241</v>
      </c>
    </row>
    <row r="32" spans="1:48" x14ac:dyDescent="0.15">
      <c r="A32" s="53" t="s">
        <v>56</v>
      </c>
      <c r="B32" s="53" t="s">
        <v>237</v>
      </c>
      <c r="C32" s="53">
        <v>2019</v>
      </c>
      <c r="D32" s="81" t="s">
        <v>238</v>
      </c>
      <c r="E32" s="53" t="s">
        <v>162</v>
      </c>
      <c r="F32" s="53" t="s">
        <v>254</v>
      </c>
      <c r="G32" s="53" t="s">
        <v>42</v>
      </c>
      <c r="H32" s="53" t="s">
        <v>128</v>
      </c>
      <c r="I32" s="53" t="s">
        <v>159</v>
      </c>
      <c r="J32" s="53" t="s">
        <v>80</v>
      </c>
      <c r="K32" s="53" t="s">
        <v>45</v>
      </c>
      <c r="L32" s="53">
        <v>1</v>
      </c>
      <c r="N32" s="53">
        <v>5</v>
      </c>
      <c r="O32" s="53">
        <v>0.8</v>
      </c>
      <c r="P32" s="53">
        <v>0.7</v>
      </c>
      <c r="Q32" s="16">
        <f t="shared" si="0"/>
        <v>0.75</v>
      </c>
      <c r="R32" s="53">
        <v>14.3</v>
      </c>
      <c r="S32" s="53">
        <v>89</v>
      </c>
      <c r="T32" s="16">
        <f t="shared" si="1"/>
        <v>36</v>
      </c>
      <c r="U32" s="53">
        <v>430</v>
      </c>
      <c r="V32" s="16">
        <f t="shared" si="2"/>
        <v>3096</v>
      </c>
      <c r="W32" s="53">
        <v>1</v>
      </c>
      <c r="X32" s="53" t="s">
        <v>46</v>
      </c>
      <c r="Y32" s="53" t="s">
        <v>84</v>
      </c>
      <c r="Z32" s="53" t="s">
        <v>90</v>
      </c>
      <c r="AA32" s="53" t="s">
        <v>78</v>
      </c>
      <c r="AB32" s="53" t="s">
        <v>241</v>
      </c>
    </row>
    <row r="33" spans="1:28" x14ac:dyDescent="0.15">
      <c r="A33" s="53" t="s">
        <v>56</v>
      </c>
      <c r="B33" s="53" t="s">
        <v>237</v>
      </c>
      <c r="C33" s="53">
        <v>2019</v>
      </c>
      <c r="D33" s="81" t="s">
        <v>238</v>
      </c>
      <c r="E33" s="53" t="s">
        <v>162</v>
      </c>
      <c r="F33" s="53" t="s">
        <v>254</v>
      </c>
      <c r="G33" s="53" t="s">
        <v>42</v>
      </c>
      <c r="H33" s="53" t="s">
        <v>128</v>
      </c>
      <c r="I33" s="53" t="s">
        <v>159</v>
      </c>
      <c r="J33" s="53" t="s">
        <v>80</v>
      </c>
      <c r="K33" s="53" t="s">
        <v>45</v>
      </c>
      <c r="L33" s="53">
        <v>2</v>
      </c>
      <c r="N33" s="53">
        <v>5</v>
      </c>
      <c r="O33" s="53">
        <v>0.95</v>
      </c>
      <c r="P33" s="53">
        <v>0.95</v>
      </c>
      <c r="Q33" s="16">
        <f t="shared" si="0"/>
        <v>0.95</v>
      </c>
      <c r="R33" s="53">
        <v>14.7</v>
      </c>
      <c r="S33" s="53">
        <v>90</v>
      </c>
      <c r="T33" s="16">
        <f t="shared" si="1"/>
        <v>36</v>
      </c>
      <c r="U33" s="53">
        <v>430</v>
      </c>
      <c r="V33" s="16">
        <f t="shared" si="2"/>
        <v>3096</v>
      </c>
      <c r="W33" s="53">
        <v>1</v>
      </c>
      <c r="X33" s="53" t="s">
        <v>46</v>
      </c>
      <c r="Y33" s="53" t="s">
        <v>84</v>
      </c>
      <c r="Z33" s="53" t="s">
        <v>90</v>
      </c>
      <c r="AA33" s="53" t="s">
        <v>78</v>
      </c>
      <c r="AB33" s="53" t="s">
        <v>241</v>
      </c>
    </row>
    <row r="34" spans="1:28" x14ac:dyDescent="0.15">
      <c r="A34" s="53" t="s">
        <v>56</v>
      </c>
      <c r="B34" s="53" t="s">
        <v>237</v>
      </c>
      <c r="C34" s="53">
        <v>2019</v>
      </c>
      <c r="D34" s="81" t="s">
        <v>238</v>
      </c>
      <c r="E34" s="53" t="s">
        <v>162</v>
      </c>
      <c r="F34" s="53" t="s">
        <v>254</v>
      </c>
      <c r="G34" s="53" t="s">
        <v>42</v>
      </c>
      <c r="H34" s="53" t="s">
        <v>128</v>
      </c>
      <c r="I34" s="53" t="s">
        <v>159</v>
      </c>
      <c r="J34" s="53" t="s">
        <v>80</v>
      </c>
      <c r="K34" s="53" t="s">
        <v>45</v>
      </c>
      <c r="L34" s="53">
        <v>3</v>
      </c>
      <c r="N34" s="53">
        <v>5</v>
      </c>
      <c r="O34" s="53">
        <v>1.05</v>
      </c>
      <c r="P34" s="53">
        <v>1.4</v>
      </c>
      <c r="Q34" s="16">
        <f t="shared" si="0"/>
        <v>1.2250000000000001</v>
      </c>
      <c r="R34" s="53">
        <v>13.6</v>
      </c>
      <c r="S34" s="53">
        <v>94</v>
      </c>
      <c r="T34" s="16">
        <f t="shared" si="1"/>
        <v>36</v>
      </c>
      <c r="U34" s="53">
        <v>430</v>
      </c>
      <c r="V34" s="16">
        <f t="shared" si="2"/>
        <v>3096</v>
      </c>
      <c r="W34" s="53">
        <v>1</v>
      </c>
      <c r="X34" s="53" t="s">
        <v>46</v>
      </c>
      <c r="Y34" s="53" t="s">
        <v>84</v>
      </c>
      <c r="Z34" s="53" t="s">
        <v>90</v>
      </c>
      <c r="AA34" s="53" t="s">
        <v>78</v>
      </c>
      <c r="AB34" s="53" t="s">
        <v>241</v>
      </c>
    </row>
    <row r="35" spans="1:28" x14ac:dyDescent="0.15">
      <c r="A35" s="53" t="s">
        <v>56</v>
      </c>
      <c r="B35" s="53" t="s">
        <v>237</v>
      </c>
      <c r="C35" s="53">
        <v>2019</v>
      </c>
      <c r="D35" s="81" t="s">
        <v>238</v>
      </c>
      <c r="E35" s="53" t="s">
        <v>261</v>
      </c>
      <c r="F35" s="53" t="s">
        <v>254</v>
      </c>
      <c r="G35" s="53" t="s">
        <v>42</v>
      </c>
      <c r="H35" s="53" t="s">
        <v>164</v>
      </c>
      <c r="I35" s="53" t="s">
        <v>159</v>
      </c>
      <c r="J35" s="53" t="s">
        <v>38</v>
      </c>
      <c r="K35" s="53" t="s">
        <v>161</v>
      </c>
      <c r="L35" s="53">
        <v>1</v>
      </c>
      <c r="N35" s="53">
        <v>1</v>
      </c>
      <c r="O35" s="53">
        <v>0.6</v>
      </c>
      <c r="P35" s="53">
        <v>0.55000000000000004</v>
      </c>
      <c r="Q35" s="16">
        <f t="shared" si="0"/>
        <v>0.57499999999999996</v>
      </c>
      <c r="R35" s="53">
        <v>15.6</v>
      </c>
      <c r="S35" s="53">
        <v>131</v>
      </c>
      <c r="T35" s="16">
        <f t="shared" si="1"/>
        <v>25</v>
      </c>
      <c r="U35" s="53">
        <v>138</v>
      </c>
      <c r="V35" s="16">
        <f t="shared" si="2"/>
        <v>3450</v>
      </c>
      <c r="W35" s="53">
        <v>1</v>
      </c>
      <c r="X35" s="53" t="s">
        <v>39</v>
      </c>
      <c r="Y35" s="53" t="s">
        <v>84</v>
      </c>
      <c r="Z35" s="53" t="s">
        <v>90</v>
      </c>
      <c r="AA35" s="53" t="s">
        <v>50</v>
      </c>
      <c r="AB35" s="53" t="s">
        <v>241</v>
      </c>
    </row>
    <row r="36" spans="1:28" x14ac:dyDescent="0.15">
      <c r="A36" s="53" t="s">
        <v>56</v>
      </c>
      <c r="B36" s="53" t="s">
        <v>237</v>
      </c>
      <c r="C36" s="53">
        <v>2019</v>
      </c>
      <c r="D36" s="81" t="s">
        <v>238</v>
      </c>
      <c r="E36" s="53" t="s">
        <v>261</v>
      </c>
      <c r="F36" s="53" t="s">
        <v>254</v>
      </c>
      <c r="G36" s="53" t="s">
        <v>42</v>
      </c>
      <c r="H36" s="53" t="s">
        <v>164</v>
      </c>
      <c r="I36" s="53" t="s">
        <v>159</v>
      </c>
      <c r="J36" s="53" t="s">
        <v>38</v>
      </c>
      <c r="K36" s="53" t="s">
        <v>161</v>
      </c>
      <c r="L36" s="53">
        <v>2</v>
      </c>
      <c r="N36" s="53">
        <v>1</v>
      </c>
      <c r="O36" s="53">
        <v>0.55000000000000004</v>
      </c>
      <c r="P36" s="53">
        <v>0.55000000000000004</v>
      </c>
      <c r="Q36" s="16">
        <f t="shared" si="0"/>
        <v>0.55000000000000004</v>
      </c>
      <c r="R36" s="53">
        <v>14.5</v>
      </c>
      <c r="S36" s="53">
        <v>132</v>
      </c>
      <c r="T36" s="16">
        <f t="shared" si="1"/>
        <v>25</v>
      </c>
      <c r="U36" s="53">
        <v>138</v>
      </c>
      <c r="V36" s="16">
        <f t="shared" si="2"/>
        <v>3450</v>
      </c>
      <c r="W36" s="53">
        <v>1</v>
      </c>
      <c r="X36" s="53" t="s">
        <v>39</v>
      </c>
      <c r="Y36" s="53" t="s">
        <v>84</v>
      </c>
      <c r="Z36" s="53" t="s">
        <v>90</v>
      </c>
      <c r="AA36" s="53" t="s">
        <v>50</v>
      </c>
      <c r="AB36" s="53" t="s">
        <v>241</v>
      </c>
    </row>
    <row r="37" spans="1:28" x14ac:dyDescent="0.15">
      <c r="A37" s="53" t="s">
        <v>56</v>
      </c>
      <c r="B37" s="53" t="s">
        <v>237</v>
      </c>
      <c r="C37" s="53">
        <v>2019</v>
      </c>
      <c r="D37" s="81" t="s">
        <v>238</v>
      </c>
      <c r="E37" s="53" t="s">
        <v>261</v>
      </c>
      <c r="F37" s="53" t="s">
        <v>254</v>
      </c>
      <c r="G37" s="53" t="s">
        <v>42</v>
      </c>
      <c r="H37" s="53" t="s">
        <v>164</v>
      </c>
      <c r="I37" s="53" t="s">
        <v>159</v>
      </c>
      <c r="J37" s="53" t="s">
        <v>38</v>
      </c>
      <c r="K37" s="53" t="s">
        <v>161</v>
      </c>
      <c r="L37" s="53">
        <v>3</v>
      </c>
      <c r="N37" s="53">
        <v>1</v>
      </c>
      <c r="O37" s="53">
        <v>0.55000000000000004</v>
      </c>
      <c r="P37" s="53">
        <v>0.55000000000000004</v>
      </c>
      <c r="Q37" s="16">
        <f t="shared" si="0"/>
        <v>0.55000000000000004</v>
      </c>
      <c r="R37" s="53">
        <v>12.7</v>
      </c>
      <c r="S37" s="53">
        <v>124</v>
      </c>
      <c r="T37" s="16">
        <f t="shared" si="1"/>
        <v>27</v>
      </c>
      <c r="U37" s="53">
        <v>138</v>
      </c>
      <c r="V37" s="16">
        <f t="shared" si="2"/>
        <v>3726</v>
      </c>
      <c r="W37" s="53">
        <v>1</v>
      </c>
      <c r="X37" s="53" t="s">
        <v>39</v>
      </c>
      <c r="Y37" s="53" t="s">
        <v>84</v>
      </c>
      <c r="Z37" s="53" t="s">
        <v>90</v>
      </c>
      <c r="AA37" s="53" t="s">
        <v>50</v>
      </c>
      <c r="AB37" s="53" t="s">
        <v>241</v>
      </c>
    </row>
    <row r="38" spans="1:28" x14ac:dyDescent="0.15">
      <c r="A38" s="53" t="s">
        <v>56</v>
      </c>
      <c r="B38" s="53" t="s">
        <v>237</v>
      </c>
      <c r="C38" s="53">
        <v>2019</v>
      </c>
      <c r="D38" s="81" t="s">
        <v>238</v>
      </c>
      <c r="E38" s="53" t="s">
        <v>261</v>
      </c>
      <c r="F38" s="53" t="s">
        <v>254</v>
      </c>
      <c r="G38" s="53" t="s">
        <v>42</v>
      </c>
      <c r="H38" s="53" t="s">
        <v>160</v>
      </c>
      <c r="I38" s="53" t="s">
        <v>159</v>
      </c>
      <c r="J38" s="53" t="s">
        <v>38</v>
      </c>
      <c r="K38" s="53" t="s">
        <v>161</v>
      </c>
      <c r="L38" s="53">
        <v>1</v>
      </c>
      <c r="N38" s="53">
        <v>1</v>
      </c>
      <c r="O38" s="53">
        <v>0.55000000000000004</v>
      </c>
      <c r="P38" s="53">
        <v>0.55000000000000004</v>
      </c>
      <c r="Q38" s="16">
        <f t="shared" si="0"/>
        <v>0.55000000000000004</v>
      </c>
      <c r="R38" s="53">
        <v>14.6</v>
      </c>
      <c r="S38" s="53">
        <v>96</v>
      </c>
      <c r="T38" s="16">
        <f t="shared" si="1"/>
        <v>36</v>
      </c>
      <c r="U38" s="53">
        <v>198</v>
      </c>
      <c r="V38" s="16">
        <f t="shared" si="2"/>
        <v>7128</v>
      </c>
      <c r="W38" s="53">
        <v>1</v>
      </c>
      <c r="X38" s="53" t="s">
        <v>39</v>
      </c>
      <c r="Y38" s="53" t="s">
        <v>84</v>
      </c>
      <c r="Z38" s="53" t="s">
        <v>90</v>
      </c>
      <c r="AA38" s="53" t="s">
        <v>50</v>
      </c>
      <c r="AB38" s="53" t="s">
        <v>241</v>
      </c>
    </row>
    <row r="39" spans="1:28" x14ac:dyDescent="0.15">
      <c r="A39" s="53" t="s">
        <v>56</v>
      </c>
      <c r="B39" s="53" t="s">
        <v>237</v>
      </c>
      <c r="C39" s="53">
        <v>2019</v>
      </c>
      <c r="D39" s="81" t="s">
        <v>238</v>
      </c>
      <c r="E39" s="53" t="s">
        <v>261</v>
      </c>
      <c r="F39" s="53" t="s">
        <v>254</v>
      </c>
      <c r="G39" s="53" t="s">
        <v>42</v>
      </c>
      <c r="H39" s="53" t="s">
        <v>160</v>
      </c>
      <c r="I39" s="53" t="s">
        <v>159</v>
      </c>
      <c r="J39" s="53" t="s">
        <v>38</v>
      </c>
      <c r="K39" s="53" t="s">
        <v>161</v>
      </c>
      <c r="L39" s="53">
        <v>2</v>
      </c>
      <c r="N39" s="53">
        <v>1</v>
      </c>
      <c r="O39" s="53">
        <v>0.6</v>
      </c>
      <c r="P39" s="53">
        <v>0.65</v>
      </c>
      <c r="Q39" s="16">
        <f t="shared" si="0"/>
        <v>0.625</v>
      </c>
      <c r="R39" s="53">
        <v>15.1</v>
      </c>
      <c r="S39" s="53">
        <v>90</v>
      </c>
      <c r="T39" s="16">
        <f t="shared" si="1"/>
        <v>36</v>
      </c>
      <c r="U39" s="53">
        <v>198</v>
      </c>
      <c r="V39" s="16">
        <f t="shared" si="2"/>
        <v>7128</v>
      </c>
      <c r="W39" s="53">
        <v>1</v>
      </c>
      <c r="X39" s="53" t="s">
        <v>39</v>
      </c>
      <c r="Y39" s="53" t="s">
        <v>84</v>
      </c>
      <c r="Z39" s="53" t="s">
        <v>90</v>
      </c>
      <c r="AA39" s="53" t="s">
        <v>50</v>
      </c>
      <c r="AB39" s="53" t="s">
        <v>241</v>
      </c>
    </row>
    <row r="40" spans="1:28" x14ac:dyDescent="0.15">
      <c r="A40" s="53" t="s">
        <v>56</v>
      </c>
      <c r="B40" s="53" t="s">
        <v>237</v>
      </c>
      <c r="C40" s="53">
        <v>2019</v>
      </c>
      <c r="D40" s="81" t="s">
        <v>238</v>
      </c>
      <c r="E40" s="53" t="s">
        <v>261</v>
      </c>
      <c r="F40" s="53" t="s">
        <v>254</v>
      </c>
      <c r="G40" s="53" t="s">
        <v>42</v>
      </c>
      <c r="H40" s="53" t="s">
        <v>160</v>
      </c>
      <c r="I40" s="53" t="s">
        <v>159</v>
      </c>
      <c r="J40" s="53" t="s">
        <v>38</v>
      </c>
      <c r="K40" s="53" t="s">
        <v>161</v>
      </c>
      <c r="L40" s="53">
        <v>3</v>
      </c>
      <c r="N40" s="53">
        <v>1</v>
      </c>
      <c r="O40" s="53">
        <v>0.65</v>
      </c>
      <c r="P40" s="53">
        <v>0.65</v>
      </c>
      <c r="Q40" s="16">
        <f t="shared" si="0"/>
        <v>0.65</v>
      </c>
      <c r="R40" s="53">
        <v>17.7</v>
      </c>
      <c r="S40" s="53">
        <v>98</v>
      </c>
      <c r="T40" s="16">
        <f t="shared" si="1"/>
        <v>36</v>
      </c>
      <c r="U40" s="53">
        <v>198</v>
      </c>
      <c r="V40" s="16">
        <f t="shared" si="2"/>
        <v>7128</v>
      </c>
      <c r="W40" s="53">
        <v>1</v>
      </c>
      <c r="X40" s="53" t="s">
        <v>39</v>
      </c>
      <c r="Y40" s="53" t="s">
        <v>84</v>
      </c>
      <c r="Z40" s="53" t="s">
        <v>90</v>
      </c>
      <c r="AA40" s="53" t="s">
        <v>50</v>
      </c>
      <c r="AB40" s="53" t="s">
        <v>241</v>
      </c>
    </row>
    <row r="41" spans="1:28" x14ac:dyDescent="0.15">
      <c r="A41" s="53" t="s">
        <v>56</v>
      </c>
      <c r="B41" s="53" t="s">
        <v>237</v>
      </c>
      <c r="C41" s="53">
        <v>2019</v>
      </c>
      <c r="D41" s="81" t="s">
        <v>238</v>
      </c>
      <c r="E41" s="53" t="s">
        <v>261</v>
      </c>
      <c r="F41" s="53" t="s">
        <v>254</v>
      </c>
      <c r="G41" s="53" t="s">
        <v>42</v>
      </c>
      <c r="H41" s="53" t="s">
        <v>127</v>
      </c>
      <c r="I41" s="53" t="s">
        <v>159</v>
      </c>
      <c r="J41" s="53" t="s">
        <v>80</v>
      </c>
      <c r="K41" s="53" t="s">
        <v>126</v>
      </c>
      <c r="L41" s="53">
        <v>1</v>
      </c>
      <c r="N41" s="53">
        <v>7</v>
      </c>
      <c r="O41" s="53">
        <v>1.3</v>
      </c>
      <c r="P41" s="53">
        <v>1.3</v>
      </c>
      <c r="Q41" s="16">
        <f t="shared" si="0"/>
        <v>1.3</v>
      </c>
      <c r="R41" s="53">
        <v>13.7</v>
      </c>
      <c r="S41" s="53">
        <v>57</v>
      </c>
      <c r="T41" s="16">
        <f t="shared" si="1"/>
        <v>50</v>
      </c>
      <c r="U41" s="53">
        <v>214</v>
      </c>
      <c r="V41" s="16">
        <f t="shared" si="2"/>
        <v>1528.5714285714287</v>
      </c>
      <c r="W41" s="53">
        <v>1</v>
      </c>
      <c r="X41" s="53" t="s">
        <v>39</v>
      </c>
      <c r="Y41" s="53" t="s">
        <v>84</v>
      </c>
      <c r="Z41" s="53" t="s">
        <v>90</v>
      </c>
      <c r="AA41" s="53" t="s">
        <v>50</v>
      </c>
      <c r="AB41" s="53" t="s">
        <v>241</v>
      </c>
    </row>
    <row r="42" spans="1:28" x14ac:dyDescent="0.15">
      <c r="A42" s="53" t="s">
        <v>56</v>
      </c>
      <c r="B42" s="53" t="s">
        <v>237</v>
      </c>
      <c r="C42" s="53">
        <v>2019</v>
      </c>
      <c r="D42" s="81" t="s">
        <v>238</v>
      </c>
      <c r="E42" s="53" t="s">
        <v>261</v>
      </c>
      <c r="F42" s="53" t="s">
        <v>254</v>
      </c>
      <c r="G42" s="53" t="s">
        <v>42</v>
      </c>
      <c r="H42" s="53" t="s">
        <v>127</v>
      </c>
      <c r="I42" s="53" t="s">
        <v>159</v>
      </c>
      <c r="J42" s="53" t="s">
        <v>80</v>
      </c>
      <c r="K42" s="53" t="s">
        <v>126</v>
      </c>
      <c r="L42" s="53">
        <v>2</v>
      </c>
      <c r="N42" s="53">
        <v>7</v>
      </c>
      <c r="O42" s="53">
        <v>1.1000000000000001</v>
      </c>
      <c r="P42" s="53">
        <v>1.1000000000000001</v>
      </c>
      <c r="Q42" s="16">
        <f t="shared" si="0"/>
        <v>1.1000000000000001</v>
      </c>
      <c r="R42" s="53">
        <v>12</v>
      </c>
      <c r="S42" s="53">
        <v>62</v>
      </c>
      <c r="T42" s="16">
        <f t="shared" si="1"/>
        <v>50</v>
      </c>
      <c r="U42" s="53">
        <v>214</v>
      </c>
      <c r="V42" s="16">
        <f t="shared" si="2"/>
        <v>1528.5714285714287</v>
      </c>
      <c r="W42" s="53">
        <v>1</v>
      </c>
      <c r="X42" s="53" t="s">
        <v>39</v>
      </c>
      <c r="Y42" s="53" t="s">
        <v>84</v>
      </c>
      <c r="Z42" s="53" t="s">
        <v>90</v>
      </c>
      <c r="AA42" s="53" t="s">
        <v>50</v>
      </c>
      <c r="AB42" s="53" t="s">
        <v>241</v>
      </c>
    </row>
    <row r="43" spans="1:28" x14ac:dyDescent="0.15">
      <c r="A43" s="53" t="s">
        <v>56</v>
      </c>
      <c r="B43" s="53" t="s">
        <v>237</v>
      </c>
      <c r="C43" s="53">
        <v>2019</v>
      </c>
      <c r="D43" s="81" t="s">
        <v>238</v>
      </c>
      <c r="E43" s="53" t="s">
        <v>261</v>
      </c>
      <c r="F43" s="53" t="s">
        <v>254</v>
      </c>
      <c r="G43" s="53" t="s">
        <v>42</v>
      </c>
      <c r="H43" s="53" t="s">
        <v>127</v>
      </c>
      <c r="I43" s="53" t="s">
        <v>159</v>
      </c>
      <c r="J43" s="53" t="s">
        <v>80</v>
      </c>
      <c r="K43" s="53" t="s">
        <v>126</v>
      </c>
      <c r="L43" s="53">
        <v>3</v>
      </c>
      <c r="N43" s="53">
        <v>7</v>
      </c>
      <c r="O43" s="53">
        <v>1.6</v>
      </c>
      <c r="P43" s="53">
        <v>1.65</v>
      </c>
      <c r="Q43" s="16">
        <f t="shared" si="0"/>
        <v>1.625</v>
      </c>
      <c r="R43" s="53">
        <v>12.5</v>
      </c>
      <c r="S43" s="53">
        <v>68</v>
      </c>
      <c r="T43" s="16">
        <f t="shared" si="1"/>
        <v>50</v>
      </c>
      <c r="U43" s="53">
        <v>214</v>
      </c>
      <c r="V43" s="16">
        <f t="shared" si="2"/>
        <v>1528.5714285714287</v>
      </c>
      <c r="W43" s="53">
        <v>1</v>
      </c>
      <c r="X43" s="53" t="s">
        <v>39</v>
      </c>
      <c r="Y43" s="53" t="s">
        <v>84</v>
      </c>
      <c r="Z43" s="53" t="s">
        <v>90</v>
      </c>
      <c r="AA43" s="53" t="s">
        <v>50</v>
      </c>
      <c r="AB43" s="53" t="s">
        <v>241</v>
      </c>
    </row>
    <row r="44" spans="1:28" x14ac:dyDescent="0.15">
      <c r="A44" s="53" t="s">
        <v>56</v>
      </c>
      <c r="B44" s="53" t="s">
        <v>237</v>
      </c>
      <c r="C44" s="53">
        <v>2019</v>
      </c>
      <c r="D44" s="81" t="s">
        <v>238</v>
      </c>
      <c r="E44" s="53" t="s">
        <v>262</v>
      </c>
      <c r="F44" s="53" t="s">
        <v>243</v>
      </c>
      <c r="G44" s="53" t="s">
        <v>42</v>
      </c>
      <c r="H44" s="53" t="s">
        <v>164</v>
      </c>
      <c r="I44" s="53" t="s">
        <v>159</v>
      </c>
      <c r="J44" s="53" t="s">
        <v>38</v>
      </c>
      <c r="K44" s="53" t="s">
        <v>161</v>
      </c>
      <c r="L44" s="53">
        <v>1</v>
      </c>
      <c r="N44" s="53">
        <v>5</v>
      </c>
      <c r="O44" s="53">
        <v>0.7</v>
      </c>
      <c r="P44" s="53">
        <v>0.7</v>
      </c>
      <c r="Q44" s="16">
        <f t="shared" si="0"/>
        <v>0.7</v>
      </c>
      <c r="R44" s="53">
        <v>15.1</v>
      </c>
      <c r="S44" s="53">
        <v>106</v>
      </c>
      <c r="T44" s="16">
        <f t="shared" si="1"/>
        <v>33</v>
      </c>
      <c r="U44" s="53">
        <v>386</v>
      </c>
      <c r="V44" s="16">
        <f t="shared" si="2"/>
        <v>2547.6</v>
      </c>
      <c r="W44" s="53">
        <v>1</v>
      </c>
      <c r="X44" s="53" t="s">
        <v>39</v>
      </c>
      <c r="Y44" s="53" t="s">
        <v>84</v>
      </c>
      <c r="Z44" s="53" t="s">
        <v>90</v>
      </c>
      <c r="AA44" s="53" t="s">
        <v>50</v>
      </c>
      <c r="AB44" s="53" t="s">
        <v>241</v>
      </c>
    </row>
    <row r="45" spans="1:28" x14ac:dyDescent="0.15">
      <c r="A45" s="53" t="s">
        <v>56</v>
      </c>
      <c r="B45" s="53" t="s">
        <v>237</v>
      </c>
      <c r="C45" s="53">
        <v>2019</v>
      </c>
      <c r="D45" s="81" t="s">
        <v>238</v>
      </c>
      <c r="E45" s="53" t="s">
        <v>262</v>
      </c>
      <c r="F45" s="53" t="s">
        <v>243</v>
      </c>
      <c r="G45" s="53" t="s">
        <v>42</v>
      </c>
      <c r="H45" s="53" t="s">
        <v>164</v>
      </c>
      <c r="I45" s="53" t="s">
        <v>159</v>
      </c>
      <c r="J45" s="53" t="s">
        <v>38</v>
      </c>
      <c r="K45" s="53" t="s">
        <v>161</v>
      </c>
      <c r="L45" s="53">
        <v>2</v>
      </c>
      <c r="N45" s="53">
        <v>5</v>
      </c>
      <c r="O45" s="53">
        <v>0.65</v>
      </c>
      <c r="P45" s="53">
        <v>0.6</v>
      </c>
      <c r="Q45" s="16">
        <f t="shared" si="0"/>
        <v>0.625</v>
      </c>
      <c r="R45" s="53">
        <v>14.7</v>
      </c>
      <c r="S45" s="53">
        <v>98</v>
      </c>
      <c r="T45" s="16">
        <f t="shared" si="1"/>
        <v>36</v>
      </c>
      <c r="U45" s="53">
        <v>386</v>
      </c>
      <c r="V45" s="16">
        <f t="shared" si="2"/>
        <v>2779.2000000000003</v>
      </c>
      <c r="W45" s="53">
        <v>1</v>
      </c>
      <c r="X45" s="53" t="s">
        <v>39</v>
      </c>
      <c r="Y45" s="53" t="s">
        <v>84</v>
      </c>
      <c r="Z45" s="53" t="s">
        <v>90</v>
      </c>
      <c r="AA45" s="53" t="s">
        <v>50</v>
      </c>
      <c r="AB45" s="53" t="s">
        <v>241</v>
      </c>
    </row>
    <row r="46" spans="1:28" x14ac:dyDescent="0.15">
      <c r="A46" s="53" t="s">
        <v>56</v>
      </c>
      <c r="B46" s="53" t="s">
        <v>237</v>
      </c>
      <c r="C46" s="53">
        <v>2019</v>
      </c>
      <c r="D46" s="81" t="s">
        <v>238</v>
      </c>
      <c r="E46" s="53" t="s">
        <v>262</v>
      </c>
      <c r="F46" s="53" t="s">
        <v>243</v>
      </c>
      <c r="G46" s="53" t="s">
        <v>42</v>
      </c>
      <c r="H46" s="53" t="s">
        <v>164</v>
      </c>
      <c r="I46" s="53" t="s">
        <v>159</v>
      </c>
      <c r="J46" s="53" t="s">
        <v>38</v>
      </c>
      <c r="K46" s="53" t="s">
        <v>161</v>
      </c>
      <c r="L46" s="53">
        <v>3</v>
      </c>
      <c r="N46" s="53">
        <v>5</v>
      </c>
      <c r="O46" s="53">
        <v>0.75</v>
      </c>
      <c r="P46" s="53">
        <v>0.6</v>
      </c>
      <c r="Q46" s="16">
        <f t="shared" si="0"/>
        <v>0.67500000000000004</v>
      </c>
      <c r="R46" s="53">
        <v>13.8</v>
      </c>
      <c r="S46" s="53">
        <v>96</v>
      </c>
      <c r="T46" s="16">
        <f t="shared" si="1"/>
        <v>36</v>
      </c>
      <c r="U46" s="53">
        <v>386</v>
      </c>
      <c r="V46" s="16">
        <f t="shared" si="2"/>
        <v>2779.2000000000003</v>
      </c>
      <c r="W46" s="53">
        <v>1</v>
      </c>
      <c r="X46" s="53" t="s">
        <v>39</v>
      </c>
      <c r="Y46" s="53" t="s">
        <v>84</v>
      </c>
      <c r="Z46" s="53" t="s">
        <v>90</v>
      </c>
      <c r="AA46" s="53" t="s">
        <v>50</v>
      </c>
      <c r="AB46" s="53" t="s">
        <v>241</v>
      </c>
    </row>
    <row r="47" spans="1:28" x14ac:dyDescent="0.15">
      <c r="A47" s="53" t="s">
        <v>56</v>
      </c>
      <c r="B47" s="53" t="s">
        <v>237</v>
      </c>
      <c r="C47" s="53">
        <v>2019</v>
      </c>
      <c r="D47" s="81" t="s">
        <v>238</v>
      </c>
      <c r="E47" s="53" t="s">
        <v>262</v>
      </c>
      <c r="F47" s="53" t="s">
        <v>243</v>
      </c>
      <c r="G47" s="53" t="s">
        <v>42</v>
      </c>
      <c r="H47" s="53" t="s">
        <v>128</v>
      </c>
      <c r="I47" s="53" t="s">
        <v>159</v>
      </c>
      <c r="J47" s="53" t="s">
        <v>80</v>
      </c>
      <c r="K47" s="53" t="s">
        <v>63</v>
      </c>
      <c r="L47" s="53">
        <v>1</v>
      </c>
      <c r="N47" s="53">
        <v>4</v>
      </c>
      <c r="O47" s="53">
        <v>0.75</v>
      </c>
      <c r="P47" s="53">
        <v>0.75</v>
      </c>
      <c r="Q47" s="16">
        <f t="shared" si="0"/>
        <v>0.75</v>
      </c>
      <c r="R47" s="53">
        <v>15</v>
      </c>
      <c r="S47" s="53">
        <v>89</v>
      </c>
      <c r="T47" s="16">
        <f t="shared" si="1"/>
        <v>36</v>
      </c>
      <c r="U47" s="53">
        <v>386</v>
      </c>
      <c r="V47" s="16">
        <f t="shared" si="2"/>
        <v>3474</v>
      </c>
      <c r="W47" s="53">
        <v>1</v>
      </c>
      <c r="X47" s="53" t="s">
        <v>39</v>
      </c>
      <c r="Y47" s="53" t="s">
        <v>84</v>
      </c>
      <c r="Z47" s="53" t="s">
        <v>90</v>
      </c>
      <c r="AA47" s="53" t="s">
        <v>50</v>
      </c>
      <c r="AB47" s="53" t="s">
        <v>241</v>
      </c>
    </row>
    <row r="48" spans="1:28" x14ac:dyDescent="0.15">
      <c r="A48" s="53" t="s">
        <v>56</v>
      </c>
      <c r="B48" s="53" t="s">
        <v>237</v>
      </c>
      <c r="C48" s="53">
        <v>2019</v>
      </c>
      <c r="D48" s="81" t="s">
        <v>238</v>
      </c>
      <c r="E48" s="53" t="s">
        <v>262</v>
      </c>
      <c r="F48" s="53" t="s">
        <v>243</v>
      </c>
      <c r="G48" s="53" t="s">
        <v>42</v>
      </c>
      <c r="H48" s="53" t="s">
        <v>128</v>
      </c>
      <c r="I48" s="53" t="s">
        <v>159</v>
      </c>
      <c r="J48" s="53" t="s">
        <v>80</v>
      </c>
      <c r="K48" s="53" t="s">
        <v>63</v>
      </c>
      <c r="L48" s="53">
        <v>2</v>
      </c>
      <c r="N48" s="53">
        <v>4</v>
      </c>
      <c r="O48" s="53">
        <v>0.5</v>
      </c>
      <c r="P48" s="53">
        <v>0.55000000000000004</v>
      </c>
      <c r="Q48" s="16">
        <f t="shared" si="0"/>
        <v>0.52500000000000002</v>
      </c>
      <c r="R48" s="53">
        <v>14.5</v>
      </c>
      <c r="S48" s="53">
        <v>88</v>
      </c>
      <c r="T48" s="16">
        <f t="shared" si="1"/>
        <v>36</v>
      </c>
      <c r="U48" s="53">
        <v>386</v>
      </c>
      <c r="V48" s="16">
        <f t="shared" si="2"/>
        <v>3474</v>
      </c>
      <c r="W48" s="53">
        <v>1</v>
      </c>
      <c r="X48" s="53" t="s">
        <v>39</v>
      </c>
      <c r="Y48" s="53" t="s">
        <v>84</v>
      </c>
      <c r="Z48" s="53" t="s">
        <v>90</v>
      </c>
      <c r="AA48" s="53" t="s">
        <v>50</v>
      </c>
      <c r="AB48" s="53" t="s">
        <v>241</v>
      </c>
    </row>
    <row r="49" spans="1:28" x14ac:dyDescent="0.15">
      <c r="A49" s="53" t="s">
        <v>56</v>
      </c>
      <c r="B49" s="53" t="s">
        <v>237</v>
      </c>
      <c r="C49" s="53">
        <v>2019</v>
      </c>
      <c r="D49" s="81" t="s">
        <v>238</v>
      </c>
      <c r="E49" s="53" t="s">
        <v>262</v>
      </c>
      <c r="F49" s="53" t="s">
        <v>243</v>
      </c>
      <c r="G49" s="53" t="s">
        <v>42</v>
      </c>
      <c r="H49" s="53" t="s">
        <v>128</v>
      </c>
      <c r="I49" s="53" t="s">
        <v>159</v>
      </c>
      <c r="J49" s="53" t="s">
        <v>80</v>
      </c>
      <c r="K49" s="53" t="s">
        <v>63</v>
      </c>
      <c r="L49" s="53">
        <v>3</v>
      </c>
      <c r="N49" s="53">
        <v>4</v>
      </c>
      <c r="O49" s="53">
        <v>0.75</v>
      </c>
      <c r="P49" s="53">
        <v>0.9</v>
      </c>
      <c r="Q49" s="16">
        <f t="shared" si="0"/>
        <v>0.82499999999999996</v>
      </c>
      <c r="R49" s="53">
        <v>16.399999999999999</v>
      </c>
      <c r="S49" s="53">
        <v>87</v>
      </c>
      <c r="T49" s="16">
        <f t="shared" si="1"/>
        <v>36</v>
      </c>
      <c r="U49" s="53">
        <v>386</v>
      </c>
      <c r="V49" s="16">
        <f t="shared" si="2"/>
        <v>3474</v>
      </c>
      <c r="W49" s="53">
        <v>1</v>
      </c>
      <c r="X49" s="53" t="s">
        <v>39</v>
      </c>
      <c r="Y49" s="53" t="s">
        <v>84</v>
      </c>
      <c r="Z49" s="53" t="s">
        <v>90</v>
      </c>
      <c r="AA49" s="53" t="s">
        <v>50</v>
      </c>
      <c r="AB49" s="53" t="s">
        <v>241</v>
      </c>
    </row>
    <row r="50" spans="1:28" x14ac:dyDescent="0.15">
      <c r="A50" s="53" t="s">
        <v>56</v>
      </c>
      <c r="B50" s="53" t="s">
        <v>237</v>
      </c>
      <c r="C50" s="53">
        <v>2019</v>
      </c>
      <c r="D50" s="81" t="s">
        <v>238</v>
      </c>
      <c r="E50" s="53" t="s">
        <v>262</v>
      </c>
      <c r="F50" s="53" t="s">
        <v>243</v>
      </c>
      <c r="G50" s="53" t="s">
        <v>42</v>
      </c>
      <c r="H50" s="53" t="s">
        <v>247</v>
      </c>
      <c r="I50" s="53" t="s">
        <v>159</v>
      </c>
      <c r="J50" s="53" t="s">
        <v>58</v>
      </c>
      <c r="K50" s="53" t="s">
        <v>59</v>
      </c>
      <c r="L50" s="53">
        <v>1</v>
      </c>
      <c r="N50" s="53">
        <v>4</v>
      </c>
      <c r="O50" s="53">
        <v>0.65</v>
      </c>
      <c r="P50" s="53">
        <v>0.5</v>
      </c>
      <c r="Q50" s="16">
        <f t="shared" si="0"/>
        <v>0.57499999999999996</v>
      </c>
      <c r="R50" s="53">
        <v>14.7</v>
      </c>
      <c r="S50" s="53">
        <v>74</v>
      </c>
      <c r="T50" s="16">
        <f t="shared" si="1"/>
        <v>42</v>
      </c>
      <c r="U50" s="53">
        <v>386</v>
      </c>
      <c r="V50" s="16">
        <f t="shared" si="2"/>
        <v>4053</v>
      </c>
      <c r="W50" s="53">
        <v>1</v>
      </c>
      <c r="X50" s="53" t="s">
        <v>39</v>
      </c>
      <c r="Y50" s="53" t="s">
        <v>84</v>
      </c>
      <c r="Z50" s="53" t="s">
        <v>90</v>
      </c>
      <c r="AA50" s="53" t="s">
        <v>50</v>
      </c>
      <c r="AB50" s="53" t="s">
        <v>241</v>
      </c>
    </row>
    <row r="51" spans="1:28" x14ac:dyDescent="0.15">
      <c r="A51" s="53" t="s">
        <v>56</v>
      </c>
      <c r="B51" s="53" t="s">
        <v>237</v>
      </c>
      <c r="C51" s="53">
        <v>2019</v>
      </c>
      <c r="D51" s="81" t="s">
        <v>238</v>
      </c>
      <c r="E51" s="53" t="s">
        <v>262</v>
      </c>
      <c r="F51" s="53" t="s">
        <v>243</v>
      </c>
      <c r="G51" s="53" t="s">
        <v>42</v>
      </c>
      <c r="H51" s="53" t="s">
        <v>247</v>
      </c>
      <c r="I51" s="53" t="s">
        <v>159</v>
      </c>
      <c r="J51" s="53" t="s">
        <v>58</v>
      </c>
      <c r="K51" s="53" t="s">
        <v>59</v>
      </c>
      <c r="L51" s="53">
        <v>2</v>
      </c>
      <c r="N51" s="53">
        <v>4</v>
      </c>
      <c r="O51" s="53">
        <v>0.6</v>
      </c>
      <c r="P51" s="53">
        <v>0.55000000000000004</v>
      </c>
      <c r="Q51" s="16">
        <f t="shared" si="0"/>
        <v>0.57499999999999996</v>
      </c>
      <c r="R51" s="53">
        <v>15.2</v>
      </c>
      <c r="S51" s="53">
        <v>56</v>
      </c>
      <c r="T51" s="16">
        <f t="shared" si="1"/>
        <v>50</v>
      </c>
      <c r="U51" s="53">
        <v>386</v>
      </c>
      <c r="V51" s="16">
        <f t="shared" si="2"/>
        <v>4825</v>
      </c>
      <c r="W51" s="53">
        <v>1</v>
      </c>
      <c r="X51" s="53" t="s">
        <v>39</v>
      </c>
      <c r="Y51" s="53" t="s">
        <v>84</v>
      </c>
      <c r="Z51" s="53" t="s">
        <v>90</v>
      </c>
      <c r="AA51" s="53" t="s">
        <v>50</v>
      </c>
      <c r="AB51" s="53" t="s">
        <v>241</v>
      </c>
    </row>
    <row r="52" spans="1:28" x14ac:dyDescent="0.15">
      <c r="A52" s="53" t="s">
        <v>56</v>
      </c>
      <c r="B52" s="53" t="s">
        <v>237</v>
      </c>
      <c r="C52" s="53">
        <v>2019</v>
      </c>
      <c r="D52" s="81" t="s">
        <v>238</v>
      </c>
      <c r="E52" s="53" t="s">
        <v>262</v>
      </c>
      <c r="F52" s="53" t="s">
        <v>243</v>
      </c>
      <c r="G52" s="53" t="s">
        <v>42</v>
      </c>
      <c r="H52" s="53" t="s">
        <v>247</v>
      </c>
      <c r="I52" s="53" t="s">
        <v>159</v>
      </c>
      <c r="J52" s="53" t="s">
        <v>58</v>
      </c>
      <c r="K52" s="53" t="s">
        <v>59</v>
      </c>
      <c r="L52" s="53">
        <v>3</v>
      </c>
      <c r="N52" s="53">
        <v>4</v>
      </c>
      <c r="O52" s="53">
        <v>0.65</v>
      </c>
      <c r="P52" s="53">
        <v>0.7</v>
      </c>
      <c r="Q52" s="16">
        <f t="shared" si="0"/>
        <v>0.67500000000000004</v>
      </c>
      <c r="R52" s="53">
        <v>14.6</v>
      </c>
      <c r="S52" s="53">
        <v>70</v>
      </c>
      <c r="T52" s="16">
        <f t="shared" si="1"/>
        <v>50</v>
      </c>
      <c r="U52" s="53">
        <v>386</v>
      </c>
      <c r="V52" s="16">
        <f t="shared" si="2"/>
        <v>4825</v>
      </c>
      <c r="W52" s="53">
        <v>1</v>
      </c>
      <c r="X52" s="53" t="s">
        <v>39</v>
      </c>
      <c r="Y52" s="53" t="s">
        <v>84</v>
      </c>
      <c r="Z52" s="53" t="s">
        <v>90</v>
      </c>
      <c r="AA52" s="53" t="s">
        <v>50</v>
      </c>
      <c r="AB52" s="53" t="s">
        <v>241</v>
      </c>
    </row>
    <row r="53" spans="1:28" x14ac:dyDescent="0.15">
      <c r="A53" s="53" t="s">
        <v>56</v>
      </c>
      <c r="B53" s="53" t="s">
        <v>237</v>
      </c>
      <c r="C53" s="53">
        <v>2019</v>
      </c>
      <c r="D53" s="81" t="s">
        <v>238</v>
      </c>
      <c r="E53" s="53" t="s">
        <v>248</v>
      </c>
      <c r="F53" s="53" t="s">
        <v>255</v>
      </c>
      <c r="G53" s="53" t="s">
        <v>42</v>
      </c>
      <c r="H53" s="53" t="s">
        <v>164</v>
      </c>
      <c r="I53" s="53" t="s">
        <v>159</v>
      </c>
      <c r="J53" s="53" t="s">
        <v>38</v>
      </c>
      <c r="K53" s="53" t="s">
        <v>161</v>
      </c>
      <c r="L53" s="53">
        <v>1</v>
      </c>
      <c r="N53" s="53">
        <v>1</v>
      </c>
      <c r="O53" s="53">
        <v>0.65</v>
      </c>
      <c r="P53" s="53">
        <v>0.6</v>
      </c>
      <c r="Q53" s="16">
        <f t="shared" si="0"/>
        <v>0.625</v>
      </c>
      <c r="R53" s="53">
        <v>14</v>
      </c>
      <c r="S53" s="53">
        <v>112</v>
      </c>
      <c r="T53" s="16">
        <f t="shared" si="1"/>
        <v>33</v>
      </c>
      <c r="U53" s="53">
        <v>106</v>
      </c>
      <c r="V53" s="16">
        <f t="shared" si="2"/>
        <v>3498</v>
      </c>
      <c r="W53" s="53">
        <v>4</v>
      </c>
      <c r="X53" s="53" t="s">
        <v>46</v>
      </c>
      <c r="Y53" s="53" t="s">
        <v>84</v>
      </c>
      <c r="Z53" s="53" t="s">
        <v>90</v>
      </c>
      <c r="AA53" s="53" t="s">
        <v>50</v>
      </c>
      <c r="AB53" s="53" t="s">
        <v>241</v>
      </c>
    </row>
    <row r="54" spans="1:28" x14ac:dyDescent="0.15">
      <c r="A54" s="53" t="s">
        <v>56</v>
      </c>
      <c r="B54" s="53" t="s">
        <v>237</v>
      </c>
      <c r="C54" s="53">
        <v>2019</v>
      </c>
      <c r="D54" s="81" t="s">
        <v>238</v>
      </c>
      <c r="E54" s="53" t="s">
        <v>248</v>
      </c>
      <c r="F54" s="53" t="s">
        <v>255</v>
      </c>
      <c r="G54" s="53" t="s">
        <v>42</v>
      </c>
      <c r="H54" s="53" t="s">
        <v>164</v>
      </c>
      <c r="I54" s="53" t="s">
        <v>159</v>
      </c>
      <c r="J54" s="53" t="s">
        <v>38</v>
      </c>
      <c r="K54" s="53" t="s">
        <v>161</v>
      </c>
      <c r="L54" s="53">
        <v>2</v>
      </c>
      <c r="N54" s="53">
        <v>1</v>
      </c>
      <c r="O54" s="53">
        <v>0.7</v>
      </c>
      <c r="P54" s="53">
        <v>0.75</v>
      </c>
      <c r="Q54" s="16">
        <f t="shared" si="0"/>
        <v>0.72499999999999998</v>
      </c>
      <c r="R54" s="53">
        <v>12.5</v>
      </c>
      <c r="S54" s="53">
        <v>122</v>
      </c>
      <c r="T54" s="16">
        <f t="shared" si="1"/>
        <v>27</v>
      </c>
      <c r="U54" s="53">
        <v>106</v>
      </c>
      <c r="V54" s="16">
        <f t="shared" si="2"/>
        <v>2862</v>
      </c>
      <c r="W54" s="53">
        <v>4</v>
      </c>
      <c r="X54" s="53" t="s">
        <v>46</v>
      </c>
      <c r="Y54" s="53" t="s">
        <v>84</v>
      </c>
      <c r="Z54" s="53" t="s">
        <v>90</v>
      </c>
      <c r="AA54" s="53" t="s">
        <v>50</v>
      </c>
      <c r="AB54" s="53" t="s">
        <v>241</v>
      </c>
    </row>
    <row r="55" spans="1:28" x14ac:dyDescent="0.15">
      <c r="A55" s="53" t="s">
        <v>56</v>
      </c>
      <c r="B55" s="53" t="s">
        <v>237</v>
      </c>
      <c r="C55" s="53">
        <v>2019</v>
      </c>
      <c r="D55" s="81" t="s">
        <v>238</v>
      </c>
      <c r="E55" s="53" t="s">
        <v>248</v>
      </c>
      <c r="F55" s="53" t="s">
        <v>255</v>
      </c>
      <c r="G55" s="53" t="s">
        <v>42</v>
      </c>
      <c r="H55" s="53" t="s">
        <v>164</v>
      </c>
      <c r="I55" s="53" t="s">
        <v>159</v>
      </c>
      <c r="J55" s="53" t="s">
        <v>38</v>
      </c>
      <c r="K55" s="53" t="s">
        <v>161</v>
      </c>
      <c r="L55" s="53">
        <v>3</v>
      </c>
      <c r="N55" s="53">
        <v>1</v>
      </c>
      <c r="O55" s="53">
        <v>0.65</v>
      </c>
      <c r="P55" s="53">
        <v>0.65</v>
      </c>
      <c r="Q55" s="16">
        <f t="shared" si="0"/>
        <v>0.65</v>
      </c>
      <c r="R55" s="53">
        <v>14.2</v>
      </c>
      <c r="S55" s="53">
        <v>118</v>
      </c>
      <c r="T55" s="16">
        <f t="shared" si="1"/>
        <v>30</v>
      </c>
      <c r="U55" s="53">
        <v>106</v>
      </c>
      <c r="V55" s="16">
        <f t="shared" si="2"/>
        <v>3180</v>
      </c>
      <c r="W55" s="53">
        <v>4</v>
      </c>
      <c r="X55" s="53" t="s">
        <v>46</v>
      </c>
      <c r="Y55" s="53" t="s">
        <v>84</v>
      </c>
      <c r="Z55" s="53" t="s">
        <v>90</v>
      </c>
      <c r="AA55" s="53" t="s">
        <v>50</v>
      </c>
      <c r="AB55" s="53" t="s">
        <v>241</v>
      </c>
    </row>
    <row r="56" spans="1:28" x14ac:dyDescent="0.15">
      <c r="A56" s="53" t="s">
        <v>56</v>
      </c>
      <c r="B56" s="53" t="s">
        <v>237</v>
      </c>
      <c r="C56" s="53">
        <v>2019</v>
      </c>
      <c r="D56" s="81" t="s">
        <v>238</v>
      </c>
      <c r="E56" s="53" t="s">
        <v>263</v>
      </c>
      <c r="F56" s="53" t="s">
        <v>255</v>
      </c>
      <c r="G56" s="53" t="s">
        <v>42</v>
      </c>
      <c r="H56" s="53" t="s">
        <v>164</v>
      </c>
      <c r="I56" s="53" t="s">
        <v>159</v>
      </c>
      <c r="J56" s="53" t="s">
        <v>38</v>
      </c>
      <c r="K56" s="53" t="s">
        <v>161</v>
      </c>
      <c r="L56" s="53">
        <v>1</v>
      </c>
      <c r="N56" s="53">
        <v>5</v>
      </c>
      <c r="O56" s="53">
        <v>0.8</v>
      </c>
      <c r="P56" s="53">
        <v>0.8</v>
      </c>
      <c r="Q56" s="16">
        <f t="shared" si="0"/>
        <v>0.8</v>
      </c>
      <c r="R56" s="53">
        <v>13.7</v>
      </c>
      <c r="S56" s="53">
        <v>95</v>
      </c>
      <c r="T56" s="16">
        <f t="shared" si="1"/>
        <v>36</v>
      </c>
      <c r="U56" s="53">
        <v>430</v>
      </c>
      <c r="V56" s="16">
        <f t="shared" si="2"/>
        <v>3096</v>
      </c>
      <c r="W56" s="53">
        <v>4</v>
      </c>
      <c r="X56" s="53" t="s">
        <v>46</v>
      </c>
      <c r="Y56" s="53" t="s">
        <v>84</v>
      </c>
      <c r="Z56" s="53" t="s">
        <v>50</v>
      </c>
      <c r="AA56" s="53" t="s">
        <v>90</v>
      </c>
      <c r="AB56" s="53" t="s">
        <v>241</v>
      </c>
    </row>
    <row r="57" spans="1:28" x14ac:dyDescent="0.15">
      <c r="A57" s="53" t="s">
        <v>56</v>
      </c>
      <c r="B57" s="53" t="s">
        <v>237</v>
      </c>
      <c r="C57" s="53">
        <v>2019</v>
      </c>
      <c r="D57" s="81" t="s">
        <v>238</v>
      </c>
      <c r="E57" s="53" t="s">
        <v>263</v>
      </c>
      <c r="F57" s="53" t="s">
        <v>255</v>
      </c>
      <c r="G57" s="53" t="s">
        <v>42</v>
      </c>
      <c r="H57" s="53" t="s">
        <v>164</v>
      </c>
      <c r="I57" s="53" t="s">
        <v>159</v>
      </c>
      <c r="J57" s="53" t="s">
        <v>38</v>
      </c>
      <c r="K57" s="53" t="s">
        <v>161</v>
      </c>
      <c r="L57" s="53">
        <v>2</v>
      </c>
      <c r="N57" s="53">
        <v>5</v>
      </c>
      <c r="O57" s="53">
        <v>1.1000000000000001</v>
      </c>
      <c r="P57" s="53">
        <v>1.2</v>
      </c>
      <c r="Q57" s="16">
        <f t="shared" si="0"/>
        <v>1.1499999999999999</v>
      </c>
      <c r="R57" s="53">
        <v>12.2</v>
      </c>
      <c r="S57" s="53">
        <v>93</v>
      </c>
      <c r="T57" s="16">
        <f t="shared" si="1"/>
        <v>36</v>
      </c>
      <c r="U57" s="53">
        <v>430</v>
      </c>
      <c r="V57" s="16">
        <f t="shared" si="2"/>
        <v>3096</v>
      </c>
      <c r="W57" s="53">
        <v>4</v>
      </c>
      <c r="X57" s="53" t="s">
        <v>46</v>
      </c>
      <c r="Y57" s="53" t="s">
        <v>84</v>
      </c>
      <c r="Z57" s="53" t="s">
        <v>50</v>
      </c>
      <c r="AA57" s="53" t="s">
        <v>90</v>
      </c>
      <c r="AB57" s="53" t="s">
        <v>241</v>
      </c>
    </row>
    <row r="58" spans="1:28" x14ac:dyDescent="0.15">
      <c r="A58" s="53" t="s">
        <v>56</v>
      </c>
      <c r="B58" s="53" t="s">
        <v>237</v>
      </c>
      <c r="C58" s="53">
        <v>2019</v>
      </c>
      <c r="D58" s="81" t="s">
        <v>238</v>
      </c>
      <c r="E58" s="53" t="s">
        <v>263</v>
      </c>
      <c r="F58" s="53" t="s">
        <v>255</v>
      </c>
      <c r="G58" s="53" t="s">
        <v>42</v>
      </c>
      <c r="H58" s="53" t="s">
        <v>164</v>
      </c>
      <c r="I58" s="53" t="s">
        <v>159</v>
      </c>
      <c r="J58" s="53" t="s">
        <v>38</v>
      </c>
      <c r="K58" s="53" t="s">
        <v>161</v>
      </c>
      <c r="L58" s="53">
        <v>3</v>
      </c>
      <c r="N58" s="53">
        <v>5</v>
      </c>
      <c r="O58" s="53">
        <v>1.05</v>
      </c>
      <c r="P58" s="53">
        <v>1.1000000000000001</v>
      </c>
      <c r="Q58" s="16">
        <f t="shared" si="0"/>
        <v>1.0750000000000002</v>
      </c>
      <c r="R58" s="53">
        <v>12.7</v>
      </c>
      <c r="S58" s="53">
        <v>91</v>
      </c>
      <c r="T58" s="16">
        <f t="shared" si="1"/>
        <v>36</v>
      </c>
      <c r="U58" s="53">
        <v>430</v>
      </c>
      <c r="V58" s="16">
        <f t="shared" si="2"/>
        <v>3096</v>
      </c>
      <c r="W58" s="53">
        <v>4</v>
      </c>
      <c r="X58" s="53" t="s">
        <v>46</v>
      </c>
      <c r="Y58" s="53" t="s">
        <v>84</v>
      </c>
      <c r="Z58" s="53" t="s">
        <v>50</v>
      </c>
      <c r="AA58" s="53" t="s">
        <v>90</v>
      </c>
      <c r="AB58" s="53" t="s">
        <v>241</v>
      </c>
    </row>
    <row r="59" spans="1:28" x14ac:dyDescent="0.15">
      <c r="A59" s="53" t="s">
        <v>56</v>
      </c>
      <c r="B59" s="53" t="s">
        <v>237</v>
      </c>
      <c r="C59" s="53">
        <v>2019</v>
      </c>
      <c r="D59" s="81" t="s">
        <v>238</v>
      </c>
      <c r="E59" s="53" t="s">
        <v>263</v>
      </c>
      <c r="F59" s="53" t="s">
        <v>255</v>
      </c>
      <c r="G59" s="53" t="s">
        <v>42</v>
      </c>
      <c r="H59" s="53" t="s">
        <v>160</v>
      </c>
      <c r="I59" s="53" t="s">
        <v>159</v>
      </c>
      <c r="J59" s="53" t="s">
        <v>38</v>
      </c>
      <c r="K59" s="53" t="s">
        <v>161</v>
      </c>
      <c r="L59" s="53">
        <v>1</v>
      </c>
      <c r="N59" s="53">
        <v>5</v>
      </c>
      <c r="O59" s="53">
        <v>0.6</v>
      </c>
      <c r="P59" s="53">
        <v>0.65</v>
      </c>
      <c r="Q59" s="16">
        <f t="shared" si="0"/>
        <v>0.625</v>
      </c>
      <c r="R59" s="53">
        <v>15.3</v>
      </c>
      <c r="S59" s="53">
        <v>99</v>
      </c>
      <c r="T59" s="16">
        <f t="shared" si="1"/>
        <v>33</v>
      </c>
      <c r="U59" s="53">
        <v>646</v>
      </c>
      <c r="V59" s="16">
        <f t="shared" si="2"/>
        <v>4263.5999999999995</v>
      </c>
      <c r="W59" s="53">
        <v>4</v>
      </c>
      <c r="X59" s="53" t="s">
        <v>46</v>
      </c>
      <c r="Y59" s="53" t="s">
        <v>84</v>
      </c>
      <c r="Z59" s="53" t="s">
        <v>50</v>
      </c>
      <c r="AA59" s="53" t="s">
        <v>90</v>
      </c>
      <c r="AB59" s="53" t="s">
        <v>241</v>
      </c>
    </row>
    <row r="60" spans="1:28" x14ac:dyDescent="0.15">
      <c r="A60" s="53" t="s">
        <v>56</v>
      </c>
      <c r="B60" s="53" t="s">
        <v>237</v>
      </c>
      <c r="C60" s="53">
        <v>2019</v>
      </c>
      <c r="D60" s="81" t="s">
        <v>238</v>
      </c>
      <c r="E60" s="53" t="s">
        <v>263</v>
      </c>
      <c r="F60" s="53" t="s">
        <v>255</v>
      </c>
      <c r="G60" s="53" t="s">
        <v>42</v>
      </c>
      <c r="H60" s="53" t="s">
        <v>160</v>
      </c>
      <c r="I60" s="53" t="s">
        <v>159</v>
      </c>
      <c r="J60" s="53" t="s">
        <v>38</v>
      </c>
      <c r="K60" s="53" t="s">
        <v>161</v>
      </c>
      <c r="L60" s="53">
        <v>2</v>
      </c>
      <c r="N60" s="53">
        <v>5</v>
      </c>
      <c r="O60" s="53">
        <v>0.65</v>
      </c>
      <c r="P60" s="53">
        <v>0.7</v>
      </c>
      <c r="Q60" s="16">
        <f t="shared" si="0"/>
        <v>0.67500000000000004</v>
      </c>
      <c r="R60" s="53">
        <v>14.4</v>
      </c>
      <c r="S60" s="53">
        <v>98</v>
      </c>
      <c r="T60" s="16">
        <f t="shared" si="1"/>
        <v>36</v>
      </c>
      <c r="U60" s="53">
        <v>646</v>
      </c>
      <c r="V60" s="16">
        <f t="shared" si="2"/>
        <v>4651.2</v>
      </c>
      <c r="W60" s="53">
        <v>4</v>
      </c>
      <c r="X60" s="53" t="s">
        <v>46</v>
      </c>
      <c r="Y60" s="53" t="s">
        <v>84</v>
      </c>
      <c r="Z60" s="53" t="s">
        <v>50</v>
      </c>
      <c r="AA60" s="53" t="s">
        <v>90</v>
      </c>
      <c r="AB60" s="53" t="s">
        <v>241</v>
      </c>
    </row>
    <row r="61" spans="1:28" x14ac:dyDescent="0.15">
      <c r="A61" s="53" t="s">
        <v>56</v>
      </c>
      <c r="B61" s="53" t="s">
        <v>237</v>
      </c>
      <c r="C61" s="53">
        <v>2019</v>
      </c>
      <c r="D61" s="81" t="s">
        <v>238</v>
      </c>
      <c r="E61" s="53" t="s">
        <v>263</v>
      </c>
      <c r="F61" s="53" t="s">
        <v>255</v>
      </c>
      <c r="G61" s="53" t="s">
        <v>42</v>
      </c>
      <c r="H61" s="53" t="s">
        <v>160</v>
      </c>
      <c r="I61" s="53" t="s">
        <v>159</v>
      </c>
      <c r="J61" s="53" t="s">
        <v>38</v>
      </c>
      <c r="K61" s="53" t="s">
        <v>161</v>
      </c>
      <c r="L61" s="53">
        <v>3</v>
      </c>
      <c r="N61" s="53">
        <v>5</v>
      </c>
      <c r="O61" s="53">
        <v>0.65</v>
      </c>
      <c r="P61" s="53">
        <v>0.65</v>
      </c>
      <c r="Q61" s="16">
        <f t="shared" si="0"/>
        <v>0.65</v>
      </c>
      <c r="R61" s="53">
        <v>13.7</v>
      </c>
      <c r="S61" s="53">
        <v>98</v>
      </c>
      <c r="T61" s="16">
        <f t="shared" si="1"/>
        <v>36</v>
      </c>
      <c r="U61" s="53">
        <v>646</v>
      </c>
      <c r="V61" s="16">
        <f t="shared" si="2"/>
        <v>4651.2</v>
      </c>
      <c r="W61" s="53">
        <v>4</v>
      </c>
      <c r="X61" s="53" t="s">
        <v>46</v>
      </c>
      <c r="Y61" s="53" t="s">
        <v>84</v>
      </c>
      <c r="Z61" s="53" t="s">
        <v>50</v>
      </c>
      <c r="AA61" s="53" t="s">
        <v>90</v>
      </c>
      <c r="AB61" s="53" t="s">
        <v>241</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222D88E5-17BA-4D70-B9D6-62C1993E0A7E}">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65F9A498-CD26-4C53-BFBD-1B123AECB97A}">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CA88FB18-67FF-4334-8A73-3B516C7B5D63}">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5A7D7B83-3C32-4560-8FD6-7DAB33761C21}">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645BF508-8151-479E-9076-18EC32264720}">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2440D979-FD97-4C73-A0A2-3D955428C1B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E2A6628F-047C-41EA-A854-B3DBE4031110}">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C6A533A5-1B42-4848-8098-51E9FFE3EE2A}">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9BFB35A8-83FC-427A-B649-EA3895C73075}">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5EC8132C-EC73-4E36-87C8-D8598D9FD107}">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5087A310-ED71-4DB2-AF63-DD7D8610D8E3}">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DF867E07-0577-4334-994D-3B0E62E149F2}">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215CEE7A-95A0-4C3A-AA16-78BC895AA8C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E9078938-90AB-4DB9-9438-43EB39BB9E49}">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2CD83EEF-1704-48D4-A95E-5DF4723EBC74}">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454C33A8-BACF-4C49-8D4A-E97F8AC9947A}">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168BE11B-9903-43C4-A2AA-C97F1C640E00}">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C221D5F7-7E40-43BF-BCC7-C7083D88D5D5}">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5EED-A1C5-4BC4-BE20-E7D057841779}">
  <dimension ref="A1:BA91"/>
  <sheetViews>
    <sheetView zoomScale="70" zoomScaleNormal="70" workbookViewId="0">
      <selection activeCell="M20" sqref="M20"/>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264</v>
      </c>
      <c r="AY1" s="99" t="s">
        <v>180</v>
      </c>
      <c r="AZ1" s="99" t="s">
        <v>265</v>
      </c>
      <c r="BA1" s="100" t="s">
        <v>182</v>
      </c>
    </row>
    <row r="2" spans="1:53" x14ac:dyDescent="0.15">
      <c r="A2" s="93" t="s">
        <v>51</v>
      </c>
      <c r="B2" s="93" t="s">
        <v>157</v>
      </c>
      <c r="C2" s="93">
        <v>2019</v>
      </c>
      <c r="D2" s="101" t="s">
        <v>266</v>
      </c>
      <c r="E2" s="93" t="s">
        <v>267</v>
      </c>
      <c r="F2" s="93" t="s">
        <v>268</v>
      </c>
      <c r="G2" s="93" t="s">
        <v>42</v>
      </c>
      <c r="H2" s="93" t="s">
        <v>164</v>
      </c>
      <c r="I2" s="93" t="s">
        <v>159</v>
      </c>
      <c r="J2" s="93" t="s">
        <v>38</v>
      </c>
      <c r="K2" s="93" t="s">
        <v>161</v>
      </c>
      <c r="L2" s="93">
        <v>1</v>
      </c>
      <c r="N2" s="93">
        <v>1</v>
      </c>
      <c r="O2" s="93">
        <v>0.95</v>
      </c>
      <c r="P2" s="93">
        <v>0.8</v>
      </c>
      <c r="Q2" s="102">
        <f t="shared" ref="Q2:Q65" si="0">IF(OR(O2="",P2=""),"",AVERAGE(O2,P2))</f>
        <v>0.875</v>
      </c>
      <c r="R2" s="93">
        <v>15.4</v>
      </c>
      <c r="S2" s="93">
        <v>120</v>
      </c>
      <c r="T2" s="103">
        <f t="shared" ref="T2:T65" si="1">IF(H2="","",IF(OR(H2="GREEN",H2="GK"),IF(S2&gt;=$AX$2,VLOOKUP(S2,$AX$2:$AY$12,2,1),""),IF(S2&gt;=$AZ$2,VLOOKUP(S2,$AZ$2:$BA$12,2,1),"")))</f>
        <v>30</v>
      </c>
      <c r="U2" s="93">
        <v>98</v>
      </c>
      <c r="V2" s="104">
        <f t="shared" ref="V2:V65" si="2">IF(OR(N2="",U2="",T2=""),"",U2/N2*T2)</f>
        <v>2940</v>
      </c>
      <c r="W2" s="93">
        <v>6</v>
      </c>
      <c r="X2" s="93" t="s">
        <v>39</v>
      </c>
      <c r="Y2" s="93" t="s">
        <v>84</v>
      </c>
      <c r="Z2" s="93" t="s">
        <v>50</v>
      </c>
      <c r="AA2" s="93" t="s">
        <v>69</v>
      </c>
      <c r="AB2" s="93" t="s">
        <v>158</v>
      </c>
      <c r="AE2" s="105" t="s">
        <v>35</v>
      </c>
      <c r="AG2" s="106" t="s">
        <v>211</v>
      </c>
      <c r="AH2" s="106" t="s">
        <v>269</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266</v>
      </c>
      <c r="E3" s="93" t="s">
        <v>267</v>
      </c>
      <c r="F3" s="93" t="s">
        <v>268</v>
      </c>
      <c r="G3" s="93" t="s">
        <v>42</v>
      </c>
      <c r="H3" s="93" t="s">
        <v>164</v>
      </c>
      <c r="I3" s="93" t="s">
        <v>159</v>
      </c>
      <c r="J3" s="93" t="s">
        <v>38</v>
      </c>
      <c r="K3" s="93" t="s">
        <v>161</v>
      </c>
      <c r="L3" s="93">
        <v>2</v>
      </c>
      <c r="N3" s="93">
        <v>1</v>
      </c>
      <c r="O3" s="93">
        <v>1</v>
      </c>
      <c r="P3" s="93">
        <v>1.1000000000000001</v>
      </c>
      <c r="Q3" s="102">
        <f t="shared" si="0"/>
        <v>1.05</v>
      </c>
      <c r="R3" s="93">
        <v>14.7</v>
      </c>
      <c r="S3" s="93">
        <v>116</v>
      </c>
      <c r="T3" s="103">
        <f t="shared" si="1"/>
        <v>30</v>
      </c>
      <c r="U3" s="93">
        <v>98</v>
      </c>
      <c r="V3" s="104">
        <f t="shared" si="2"/>
        <v>2940</v>
      </c>
      <c r="W3" s="93">
        <v>6</v>
      </c>
      <c r="X3" s="93" t="s">
        <v>39</v>
      </c>
      <c r="Y3" s="93" t="s">
        <v>84</v>
      </c>
      <c r="Z3" s="93" t="s">
        <v>50</v>
      </c>
      <c r="AA3" s="93" t="s">
        <v>69</v>
      </c>
      <c r="AB3" s="93" t="s">
        <v>158</v>
      </c>
      <c r="AE3" s="110" t="s">
        <v>41</v>
      </c>
      <c r="AG3" s="106" t="s">
        <v>270</v>
      </c>
      <c r="AH3" s="106" t="s">
        <v>271</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266</v>
      </c>
      <c r="E4" s="93" t="s">
        <v>267</v>
      </c>
      <c r="F4" s="93" t="s">
        <v>268</v>
      </c>
      <c r="G4" s="93" t="s">
        <v>42</v>
      </c>
      <c r="H4" s="93" t="s">
        <v>164</v>
      </c>
      <c r="I4" s="93" t="s">
        <v>159</v>
      </c>
      <c r="J4" s="93" t="s">
        <v>38</v>
      </c>
      <c r="K4" s="93" t="s">
        <v>161</v>
      </c>
      <c r="L4" s="93">
        <v>3</v>
      </c>
      <c r="N4" s="93">
        <v>1</v>
      </c>
      <c r="O4" s="93">
        <v>0.95</v>
      </c>
      <c r="P4" s="93">
        <v>1.05</v>
      </c>
      <c r="Q4" s="102">
        <f t="shared" si="0"/>
        <v>1</v>
      </c>
      <c r="R4" s="93">
        <v>15.2</v>
      </c>
      <c r="S4" s="93">
        <v>122</v>
      </c>
      <c r="T4" s="103">
        <f t="shared" si="1"/>
        <v>27</v>
      </c>
      <c r="U4" s="93">
        <v>98</v>
      </c>
      <c r="V4" s="104">
        <f t="shared" si="2"/>
        <v>2646</v>
      </c>
      <c r="W4" s="93">
        <v>6</v>
      </c>
      <c r="X4" s="93" t="s">
        <v>39</v>
      </c>
      <c r="Y4" s="93" t="s">
        <v>84</v>
      </c>
      <c r="Z4" s="93" t="s">
        <v>50</v>
      </c>
      <c r="AA4" s="93" t="s">
        <v>69</v>
      </c>
      <c r="AB4" s="93" t="s">
        <v>158</v>
      </c>
      <c r="AE4" s="110" t="s">
        <v>34</v>
      </c>
      <c r="AG4" s="106" t="s">
        <v>272</v>
      </c>
      <c r="AH4" s="106" t="s">
        <v>273</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266</v>
      </c>
      <c r="E5" s="93" t="s">
        <v>270</v>
      </c>
      <c r="F5" s="93" t="s">
        <v>271</v>
      </c>
      <c r="G5" s="93" t="s">
        <v>36</v>
      </c>
      <c r="H5" s="93" t="s">
        <v>164</v>
      </c>
      <c r="I5" s="93" t="s">
        <v>159</v>
      </c>
      <c r="J5" s="93" t="s">
        <v>38</v>
      </c>
      <c r="K5" s="93" t="s">
        <v>161</v>
      </c>
      <c r="L5" s="93">
        <v>1</v>
      </c>
      <c r="N5" s="93">
        <v>1</v>
      </c>
      <c r="O5" s="93">
        <v>1.05</v>
      </c>
      <c r="P5" s="93">
        <v>1.05</v>
      </c>
      <c r="Q5" s="102">
        <f t="shared" si="0"/>
        <v>1.05</v>
      </c>
      <c r="R5" s="93">
        <v>13.5</v>
      </c>
      <c r="S5" s="93">
        <v>120</v>
      </c>
      <c r="T5" s="103">
        <f t="shared" si="1"/>
        <v>30</v>
      </c>
      <c r="U5" s="93">
        <v>138</v>
      </c>
      <c r="V5" s="104">
        <f t="shared" si="2"/>
        <v>4140</v>
      </c>
      <c r="W5" s="93">
        <v>3</v>
      </c>
      <c r="X5" s="93" t="s">
        <v>46</v>
      </c>
      <c r="Y5" s="93" t="s">
        <v>84</v>
      </c>
      <c r="Z5" s="93" t="s">
        <v>50</v>
      </c>
      <c r="AA5" s="93" t="s">
        <v>90</v>
      </c>
      <c r="AB5" s="93" t="s">
        <v>158</v>
      </c>
      <c r="AE5" s="110" t="s">
        <v>51</v>
      </c>
      <c r="AG5" s="106" t="s">
        <v>274</v>
      </c>
      <c r="AH5" s="106" t="s">
        <v>268</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266</v>
      </c>
      <c r="E6" s="93" t="s">
        <v>270</v>
      </c>
      <c r="F6" s="93" t="s">
        <v>271</v>
      </c>
      <c r="G6" s="93" t="s">
        <v>36</v>
      </c>
      <c r="H6" s="93" t="s">
        <v>164</v>
      </c>
      <c r="I6" s="93" t="s">
        <v>159</v>
      </c>
      <c r="J6" s="93" t="s">
        <v>38</v>
      </c>
      <c r="K6" s="93" t="s">
        <v>161</v>
      </c>
      <c r="L6" s="93">
        <v>2</v>
      </c>
      <c r="N6" s="93">
        <v>1</v>
      </c>
      <c r="O6" s="93">
        <v>0.95</v>
      </c>
      <c r="P6" s="93">
        <v>1</v>
      </c>
      <c r="Q6" s="102">
        <f t="shared" si="0"/>
        <v>0.97499999999999998</v>
      </c>
      <c r="R6" s="93">
        <v>13.9</v>
      </c>
      <c r="S6" s="93">
        <v>124</v>
      </c>
      <c r="T6" s="103">
        <f t="shared" si="1"/>
        <v>27</v>
      </c>
      <c r="U6" s="93">
        <v>138</v>
      </c>
      <c r="V6" s="104">
        <f t="shared" si="2"/>
        <v>3726</v>
      </c>
      <c r="W6" s="93">
        <v>3</v>
      </c>
      <c r="X6" s="93" t="s">
        <v>46</v>
      </c>
      <c r="Y6" s="93" t="s">
        <v>84</v>
      </c>
      <c r="Z6" s="93" t="s">
        <v>50</v>
      </c>
      <c r="AA6" s="93" t="s">
        <v>90</v>
      </c>
      <c r="AB6" s="93" t="s">
        <v>158</v>
      </c>
      <c r="AE6" s="110" t="s">
        <v>56</v>
      </c>
      <c r="AG6" s="106" t="s">
        <v>275</v>
      </c>
      <c r="AH6" s="106" t="s">
        <v>276</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266</v>
      </c>
      <c r="E7" s="93" t="s">
        <v>270</v>
      </c>
      <c r="F7" s="93" t="s">
        <v>271</v>
      </c>
      <c r="G7" s="93" t="s">
        <v>36</v>
      </c>
      <c r="H7" s="93" t="s">
        <v>164</v>
      </c>
      <c r="I7" s="93" t="s">
        <v>159</v>
      </c>
      <c r="J7" s="93" t="s">
        <v>38</v>
      </c>
      <c r="K7" s="93" t="s">
        <v>161</v>
      </c>
      <c r="L7" s="93">
        <v>3</v>
      </c>
      <c r="N7" s="93">
        <v>1</v>
      </c>
      <c r="O7" s="93">
        <v>0.85</v>
      </c>
      <c r="P7" s="93">
        <v>0.9</v>
      </c>
      <c r="Q7" s="102">
        <f t="shared" si="0"/>
        <v>0.875</v>
      </c>
      <c r="R7" s="93">
        <v>14.4</v>
      </c>
      <c r="S7" s="93">
        <v>124</v>
      </c>
      <c r="T7" s="103">
        <f t="shared" si="1"/>
        <v>27</v>
      </c>
      <c r="U7" s="93">
        <v>138</v>
      </c>
      <c r="V7" s="104">
        <f t="shared" si="2"/>
        <v>3726</v>
      </c>
      <c r="W7" s="93">
        <v>3</v>
      </c>
      <c r="X7" s="93" t="s">
        <v>46</v>
      </c>
      <c r="Y7" s="93" t="s">
        <v>84</v>
      </c>
      <c r="Z7" s="93" t="s">
        <v>50</v>
      </c>
      <c r="AA7" s="93" t="s">
        <v>90</v>
      </c>
      <c r="AB7" s="93" t="s">
        <v>158</v>
      </c>
      <c r="AE7" s="110" t="s">
        <v>61</v>
      </c>
      <c r="AG7" s="106" t="s">
        <v>277</v>
      </c>
      <c r="AH7" s="106" t="s">
        <v>269</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266</v>
      </c>
      <c r="E8" s="93" t="s">
        <v>139</v>
      </c>
      <c r="F8" s="93" t="s">
        <v>278</v>
      </c>
      <c r="G8" s="93" t="s">
        <v>42</v>
      </c>
      <c r="H8" s="93" t="s">
        <v>164</v>
      </c>
      <c r="I8" s="93" t="s">
        <v>159</v>
      </c>
      <c r="J8" s="93" t="s">
        <v>38</v>
      </c>
      <c r="K8" s="93" t="s">
        <v>161</v>
      </c>
      <c r="L8" s="93">
        <v>1</v>
      </c>
      <c r="N8" s="93">
        <v>1</v>
      </c>
      <c r="O8" s="93">
        <v>1.2</v>
      </c>
      <c r="P8" s="93">
        <v>1</v>
      </c>
      <c r="Q8" s="102">
        <f t="shared" si="0"/>
        <v>1.1000000000000001</v>
      </c>
      <c r="R8" s="93">
        <v>15</v>
      </c>
      <c r="S8" s="93">
        <v>106</v>
      </c>
      <c r="T8" s="103">
        <f t="shared" si="1"/>
        <v>33</v>
      </c>
      <c r="U8" s="93">
        <v>80</v>
      </c>
      <c r="V8" s="104">
        <f t="shared" si="2"/>
        <v>2640</v>
      </c>
      <c r="W8" s="93">
        <v>12</v>
      </c>
      <c r="X8" s="93" t="s">
        <v>46</v>
      </c>
      <c r="Y8" s="93" t="s">
        <v>84</v>
      </c>
      <c r="Z8" s="93" t="s">
        <v>50</v>
      </c>
      <c r="AA8" s="93" t="s">
        <v>90</v>
      </c>
      <c r="AB8" s="93" t="s">
        <v>158</v>
      </c>
      <c r="AE8" s="110" t="s">
        <v>59</v>
      </c>
      <c r="AG8" s="106" t="s">
        <v>279</v>
      </c>
      <c r="AH8" s="106" t="s">
        <v>280</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266</v>
      </c>
      <c r="E9" s="93" t="s">
        <v>139</v>
      </c>
      <c r="F9" s="93" t="s">
        <v>278</v>
      </c>
      <c r="G9" s="93" t="s">
        <v>42</v>
      </c>
      <c r="H9" s="93" t="s">
        <v>164</v>
      </c>
      <c r="I9" s="93" t="s">
        <v>159</v>
      </c>
      <c r="J9" s="93" t="s">
        <v>38</v>
      </c>
      <c r="K9" s="93" t="s">
        <v>161</v>
      </c>
      <c r="L9" s="93">
        <v>2</v>
      </c>
      <c r="N9" s="93">
        <v>1</v>
      </c>
      <c r="O9" s="93">
        <v>1.1499999999999999</v>
      </c>
      <c r="P9" s="93">
        <v>1.05</v>
      </c>
      <c r="Q9" s="102">
        <f t="shared" si="0"/>
        <v>1.1000000000000001</v>
      </c>
      <c r="R9" s="93">
        <v>15.3</v>
      </c>
      <c r="S9" s="93">
        <v>110</v>
      </c>
      <c r="T9" s="103">
        <f t="shared" si="1"/>
        <v>33</v>
      </c>
      <c r="U9" s="93">
        <v>80</v>
      </c>
      <c r="V9" s="104">
        <f t="shared" si="2"/>
        <v>2640</v>
      </c>
      <c r="W9" s="93">
        <v>12</v>
      </c>
      <c r="X9" s="93" t="s">
        <v>46</v>
      </c>
      <c r="Y9" s="93" t="s">
        <v>84</v>
      </c>
      <c r="Z9" s="93" t="s">
        <v>50</v>
      </c>
      <c r="AA9" s="93" t="s">
        <v>90</v>
      </c>
      <c r="AB9" s="93" t="s">
        <v>158</v>
      </c>
      <c r="AE9" s="110" t="s">
        <v>204</v>
      </c>
      <c r="AG9" s="106" t="s">
        <v>281</v>
      </c>
      <c r="AH9" s="106" t="s">
        <v>268</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266</v>
      </c>
      <c r="E10" s="93" t="s">
        <v>139</v>
      </c>
      <c r="F10" s="93" t="s">
        <v>278</v>
      </c>
      <c r="G10" s="93" t="s">
        <v>42</v>
      </c>
      <c r="H10" s="93" t="s">
        <v>164</v>
      </c>
      <c r="I10" s="93" t="s">
        <v>159</v>
      </c>
      <c r="J10" s="93" t="s">
        <v>38</v>
      </c>
      <c r="K10" s="93" t="s">
        <v>161</v>
      </c>
      <c r="L10" s="93">
        <v>3</v>
      </c>
      <c r="N10" s="93">
        <v>1</v>
      </c>
      <c r="O10" s="93">
        <v>0.95</v>
      </c>
      <c r="P10" s="93">
        <v>1.1000000000000001</v>
      </c>
      <c r="Q10" s="102">
        <f t="shared" si="0"/>
        <v>1.0249999999999999</v>
      </c>
      <c r="R10" s="93">
        <v>15.7</v>
      </c>
      <c r="S10" s="93">
        <v>116</v>
      </c>
      <c r="T10" s="103">
        <f t="shared" si="1"/>
        <v>30</v>
      </c>
      <c r="U10" s="93">
        <v>80</v>
      </c>
      <c r="V10" s="104">
        <f t="shared" si="2"/>
        <v>2400</v>
      </c>
      <c r="W10" s="93">
        <v>12</v>
      </c>
      <c r="X10" s="93" t="s">
        <v>46</v>
      </c>
      <c r="Y10" s="93" t="s">
        <v>84</v>
      </c>
      <c r="Z10" s="93" t="s">
        <v>50</v>
      </c>
      <c r="AA10" s="93" t="s">
        <v>90</v>
      </c>
      <c r="AB10" s="93" t="s">
        <v>158</v>
      </c>
      <c r="AE10" s="110" t="s">
        <v>208</v>
      </c>
      <c r="AG10" s="106" t="s">
        <v>267</v>
      </c>
      <c r="AH10" s="111" t="s">
        <v>268</v>
      </c>
      <c r="AP10" s="111" t="s">
        <v>100</v>
      </c>
      <c r="AR10" s="111" t="s">
        <v>210</v>
      </c>
      <c r="AV10" s="111" t="s">
        <v>106</v>
      </c>
      <c r="AX10" s="112">
        <v>138</v>
      </c>
      <c r="AY10" s="113">
        <v>25</v>
      </c>
      <c r="AZ10" s="113">
        <v>138</v>
      </c>
      <c r="BA10" s="114">
        <v>22</v>
      </c>
    </row>
    <row r="11" spans="1:53" x14ac:dyDescent="0.15">
      <c r="A11" s="93" t="s">
        <v>51</v>
      </c>
      <c r="B11" s="93" t="s">
        <v>157</v>
      </c>
      <c r="C11" s="93">
        <v>2019</v>
      </c>
      <c r="D11" s="101" t="s">
        <v>266</v>
      </c>
      <c r="E11" s="93" t="s">
        <v>139</v>
      </c>
      <c r="F11" s="93" t="s">
        <v>278</v>
      </c>
      <c r="G11" s="93" t="s">
        <v>42</v>
      </c>
      <c r="H11" s="93" t="s">
        <v>187</v>
      </c>
      <c r="I11" s="93" t="s">
        <v>159</v>
      </c>
      <c r="J11" s="93" t="s">
        <v>80</v>
      </c>
      <c r="K11" s="93" t="s">
        <v>63</v>
      </c>
      <c r="L11" s="93">
        <v>1</v>
      </c>
      <c r="N11" s="93">
        <v>4</v>
      </c>
      <c r="O11" s="93">
        <v>0.8</v>
      </c>
      <c r="P11" s="93">
        <v>0.75</v>
      </c>
      <c r="Q11" s="102">
        <f t="shared" si="0"/>
        <v>0.77500000000000002</v>
      </c>
      <c r="R11" s="93">
        <v>15.8</v>
      </c>
      <c r="S11" s="93">
        <v>89</v>
      </c>
      <c r="T11" s="103">
        <f t="shared" si="1"/>
        <v>36</v>
      </c>
      <c r="U11" s="93">
        <v>398</v>
      </c>
      <c r="V11" s="104">
        <f t="shared" si="2"/>
        <v>3582</v>
      </c>
      <c r="W11" s="93">
        <v>12</v>
      </c>
      <c r="X11" s="93" t="s">
        <v>46</v>
      </c>
      <c r="Y11" s="93" t="s">
        <v>84</v>
      </c>
      <c r="Z11" s="93" t="s">
        <v>50</v>
      </c>
      <c r="AA11" s="93" t="s">
        <v>90</v>
      </c>
      <c r="AB11" s="93" t="s">
        <v>158</v>
      </c>
      <c r="AE11" s="110" t="s">
        <v>68</v>
      </c>
      <c r="AG11" s="106" t="s">
        <v>139</v>
      </c>
      <c r="AH11" s="111" t="s">
        <v>278</v>
      </c>
      <c r="AP11" s="111" t="s">
        <v>104</v>
      </c>
      <c r="AR11" s="111" t="s">
        <v>213</v>
      </c>
      <c r="AV11" s="111" t="s">
        <v>69</v>
      </c>
      <c r="AX11" s="112">
        <v>151</v>
      </c>
      <c r="AY11" s="113">
        <v>22</v>
      </c>
      <c r="AZ11" s="113">
        <v>152</v>
      </c>
      <c r="BA11" s="114">
        <v>18</v>
      </c>
    </row>
    <row r="12" spans="1:53" x14ac:dyDescent="0.15">
      <c r="A12" s="93" t="s">
        <v>51</v>
      </c>
      <c r="B12" s="93" t="s">
        <v>157</v>
      </c>
      <c r="C12" s="93">
        <v>2019</v>
      </c>
      <c r="D12" s="101" t="s">
        <v>266</v>
      </c>
      <c r="E12" s="93" t="s">
        <v>139</v>
      </c>
      <c r="F12" s="93" t="s">
        <v>278</v>
      </c>
      <c r="G12" s="93" t="s">
        <v>42</v>
      </c>
      <c r="H12" s="93" t="s">
        <v>187</v>
      </c>
      <c r="I12" s="93" t="s">
        <v>159</v>
      </c>
      <c r="J12" s="93" t="s">
        <v>80</v>
      </c>
      <c r="K12" s="93" t="s">
        <v>63</v>
      </c>
      <c r="L12" s="93">
        <v>2</v>
      </c>
      <c r="N12" s="93">
        <v>4</v>
      </c>
      <c r="O12" s="93">
        <v>0.85</v>
      </c>
      <c r="P12" s="93">
        <v>0.85</v>
      </c>
      <c r="Q12" s="102">
        <f t="shared" si="0"/>
        <v>0.85</v>
      </c>
      <c r="R12" s="93">
        <v>15.2</v>
      </c>
      <c r="S12" s="93">
        <v>88</v>
      </c>
      <c r="T12" s="103">
        <f t="shared" si="1"/>
        <v>36</v>
      </c>
      <c r="U12" s="93">
        <v>398</v>
      </c>
      <c r="V12" s="104">
        <f t="shared" si="2"/>
        <v>3582</v>
      </c>
      <c r="W12" s="93">
        <v>12</v>
      </c>
      <c r="X12" s="93" t="s">
        <v>46</v>
      </c>
      <c r="Y12" s="93" t="s">
        <v>84</v>
      </c>
      <c r="Z12" s="93" t="s">
        <v>50</v>
      </c>
      <c r="AA12" s="93" t="s">
        <v>90</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266</v>
      </c>
      <c r="E13" s="93" t="s">
        <v>139</v>
      </c>
      <c r="F13" s="93" t="s">
        <v>278</v>
      </c>
      <c r="G13" s="93" t="s">
        <v>42</v>
      </c>
      <c r="H13" s="93" t="s">
        <v>187</v>
      </c>
      <c r="I13" s="93" t="s">
        <v>159</v>
      </c>
      <c r="J13" s="93" t="s">
        <v>80</v>
      </c>
      <c r="K13" s="93" t="s">
        <v>63</v>
      </c>
      <c r="L13" s="93">
        <v>3</v>
      </c>
      <c r="N13" s="93">
        <v>4</v>
      </c>
      <c r="O13" s="93">
        <v>0.75</v>
      </c>
      <c r="P13" s="93">
        <v>0.9</v>
      </c>
      <c r="Q13" s="102">
        <f t="shared" si="0"/>
        <v>0.82499999999999996</v>
      </c>
      <c r="R13" s="93">
        <v>14.9</v>
      </c>
      <c r="S13" s="93">
        <v>88</v>
      </c>
      <c r="T13" s="103">
        <f t="shared" si="1"/>
        <v>36</v>
      </c>
      <c r="U13" s="93">
        <v>398</v>
      </c>
      <c r="V13" s="104">
        <f t="shared" si="2"/>
        <v>3582</v>
      </c>
      <c r="W13" s="93">
        <v>12</v>
      </c>
      <c r="X13" s="93" t="s">
        <v>46</v>
      </c>
      <c r="Y13" s="93" t="s">
        <v>84</v>
      </c>
      <c r="Z13" s="93" t="s">
        <v>50</v>
      </c>
      <c r="AA13" s="93" t="s">
        <v>90</v>
      </c>
      <c r="AB13" s="93" t="s">
        <v>158</v>
      </c>
      <c r="AE13" s="110" t="s">
        <v>216</v>
      </c>
      <c r="AG13" s="111"/>
      <c r="AH13" s="111"/>
      <c r="AP13" s="111" t="s">
        <v>71</v>
      </c>
      <c r="AR13" s="111" t="s">
        <v>208</v>
      </c>
      <c r="AV13" s="111" t="s">
        <v>75</v>
      </c>
    </row>
    <row r="14" spans="1:53" x14ac:dyDescent="0.15">
      <c r="A14" s="93" t="s">
        <v>51</v>
      </c>
      <c r="B14" s="93" t="s">
        <v>157</v>
      </c>
      <c r="C14" s="93">
        <v>2019</v>
      </c>
      <c r="D14" s="101" t="s">
        <v>266</v>
      </c>
      <c r="E14" s="93" t="s">
        <v>275</v>
      </c>
      <c r="F14" s="93" t="s">
        <v>276</v>
      </c>
      <c r="G14" s="93" t="s">
        <v>36</v>
      </c>
      <c r="H14" s="93" t="s">
        <v>164</v>
      </c>
      <c r="I14" s="93" t="s">
        <v>159</v>
      </c>
      <c r="J14" s="93" t="s">
        <v>38</v>
      </c>
      <c r="K14" s="93" t="s">
        <v>161</v>
      </c>
      <c r="L14" s="93">
        <v>1</v>
      </c>
      <c r="N14" s="93">
        <v>1</v>
      </c>
      <c r="O14" s="93">
        <v>0.5</v>
      </c>
      <c r="P14" s="93">
        <v>0.55000000000000004</v>
      </c>
      <c r="Q14" s="102">
        <f t="shared" si="0"/>
        <v>0.52500000000000002</v>
      </c>
      <c r="R14" s="93">
        <v>15</v>
      </c>
      <c r="S14" s="93">
        <v>138</v>
      </c>
      <c r="T14" s="103">
        <f t="shared" si="1"/>
        <v>22</v>
      </c>
      <c r="U14" s="93">
        <v>98</v>
      </c>
      <c r="V14" s="104">
        <f t="shared" si="2"/>
        <v>2156</v>
      </c>
      <c r="W14" s="93">
        <v>5</v>
      </c>
      <c r="X14" s="93" t="s">
        <v>46</v>
      </c>
      <c r="Y14" s="93" t="s">
        <v>84</v>
      </c>
      <c r="Z14" s="93" t="s">
        <v>50</v>
      </c>
      <c r="AA14" s="93" t="s">
        <v>69</v>
      </c>
      <c r="AB14" s="93" t="s">
        <v>158</v>
      </c>
      <c r="AE14" s="110" t="s">
        <v>96</v>
      </c>
      <c r="AG14" s="111"/>
      <c r="AH14" s="111"/>
      <c r="AP14" s="111" t="s">
        <v>74</v>
      </c>
      <c r="AR14" s="111" t="s">
        <v>217</v>
      </c>
      <c r="AV14" s="111" t="s">
        <v>78</v>
      </c>
    </row>
    <row r="15" spans="1:53" x14ac:dyDescent="0.15">
      <c r="A15" s="93" t="s">
        <v>51</v>
      </c>
      <c r="B15" s="93" t="s">
        <v>157</v>
      </c>
      <c r="C15" s="93">
        <v>2019</v>
      </c>
      <c r="D15" s="101" t="s">
        <v>266</v>
      </c>
      <c r="E15" s="93" t="s">
        <v>275</v>
      </c>
      <c r="F15" s="93" t="s">
        <v>276</v>
      </c>
      <c r="G15" s="93" t="s">
        <v>36</v>
      </c>
      <c r="H15" s="93" t="s">
        <v>164</v>
      </c>
      <c r="I15" s="93" t="s">
        <v>159</v>
      </c>
      <c r="J15" s="93" t="s">
        <v>38</v>
      </c>
      <c r="K15" s="93" t="s">
        <v>161</v>
      </c>
      <c r="L15" s="93">
        <v>2</v>
      </c>
      <c r="N15" s="93">
        <v>1</v>
      </c>
      <c r="O15" s="93">
        <v>0.65</v>
      </c>
      <c r="P15" s="93">
        <v>0.6</v>
      </c>
      <c r="Q15" s="102">
        <f t="shared" si="0"/>
        <v>0.625</v>
      </c>
      <c r="R15" s="93">
        <v>16</v>
      </c>
      <c r="S15" s="93">
        <v>144</v>
      </c>
      <c r="T15" s="103">
        <f t="shared" si="1"/>
        <v>22</v>
      </c>
      <c r="U15" s="93">
        <v>98</v>
      </c>
      <c r="V15" s="104">
        <f t="shared" si="2"/>
        <v>2156</v>
      </c>
      <c r="W15" s="93">
        <v>5</v>
      </c>
      <c r="X15" s="93" t="s">
        <v>46</v>
      </c>
      <c r="Y15" s="93" t="s">
        <v>84</v>
      </c>
      <c r="Z15" s="93" t="s">
        <v>50</v>
      </c>
      <c r="AA15" s="93" t="s">
        <v>69</v>
      </c>
      <c r="AB15" s="93" t="s">
        <v>158</v>
      </c>
      <c r="AE15" s="110" t="s">
        <v>218</v>
      </c>
      <c r="AG15" s="111"/>
      <c r="AH15" s="111"/>
      <c r="AP15" s="111" t="s">
        <v>77</v>
      </c>
      <c r="AR15" s="111" t="s">
        <v>80</v>
      </c>
      <c r="AV15" s="111" t="s">
        <v>107</v>
      </c>
    </row>
    <row r="16" spans="1:53" x14ac:dyDescent="0.15">
      <c r="A16" s="93" t="s">
        <v>51</v>
      </c>
      <c r="B16" s="93" t="s">
        <v>157</v>
      </c>
      <c r="C16" s="93">
        <v>2019</v>
      </c>
      <c r="D16" s="101" t="s">
        <v>266</v>
      </c>
      <c r="E16" s="93" t="s">
        <v>275</v>
      </c>
      <c r="F16" s="93" t="s">
        <v>276</v>
      </c>
      <c r="G16" s="93" t="s">
        <v>36</v>
      </c>
      <c r="H16" s="93" t="s">
        <v>164</v>
      </c>
      <c r="I16" s="93" t="s">
        <v>159</v>
      </c>
      <c r="J16" s="93" t="s">
        <v>38</v>
      </c>
      <c r="K16" s="93" t="s">
        <v>161</v>
      </c>
      <c r="L16" s="93">
        <v>3</v>
      </c>
      <c r="N16" s="93">
        <v>1</v>
      </c>
      <c r="O16" s="93">
        <v>0.6</v>
      </c>
      <c r="P16" s="93">
        <v>0.55000000000000004</v>
      </c>
      <c r="Q16" s="102">
        <f t="shared" si="0"/>
        <v>0.57499999999999996</v>
      </c>
      <c r="R16" s="93">
        <v>15.3</v>
      </c>
      <c r="S16" s="93">
        <v>142</v>
      </c>
      <c r="T16" s="103">
        <f t="shared" si="1"/>
        <v>22</v>
      </c>
      <c r="U16" s="93">
        <v>98</v>
      </c>
      <c r="V16" s="104">
        <f t="shared" si="2"/>
        <v>2156</v>
      </c>
      <c r="W16" s="93">
        <v>5</v>
      </c>
      <c r="X16" s="93" t="s">
        <v>46</v>
      </c>
      <c r="Y16" s="93" t="s">
        <v>84</v>
      </c>
      <c r="Z16" s="93" t="s">
        <v>50</v>
      </c>
      <c r="AA16" s="93" t="s">
        <v>69</v>
      </c>
      <c r="AB16" s="93" t="s">
        <v>158</v>
      </c>
      <c r="AE16" s="110" t="s">
        <v>219</v>
      </c>
      <c r="AG16" s="116"/>
      <c r="AH16" s="116"/>
      <c r="AP16" s="111" t="s">
        <v>80</v>
      </c>
      <c r="AR16" s="111" t="s">
        <v>63</v>
      </c>
      <c r="AV16" s="111" t="s">
        <v>84</v>
      </c>
    </row>
    <row r="17" spans="1:48" x14ac:dyDescent="0.15">
      <c r="A17" s="93" t="s">
        <v>51</v>
      </c>
      <c r="B17" s="93" t="s">
        <v>157</v>
      </c>
      <c r="C17" s="93">
        <v>2019</v>
      </c>
      <c r="D17" s="101" t="s">
        <v>266</v>
      </c>
      <c r="E17" s="93" t="s">
        <v>211</v>
      </c>
      <c r="F17" s="93" t="s">
        <v>269</v>
      </c>
      <c r="G17" s="93" t="s">
        <v>42</v>
      </c>
      <c r="H17" s="93" t="s">
        <v>164</v>
      </c>
      <c r="I17" s="93" t="s">
        <v>159</v>
      </c>
      <c r="J17" s="93" t="s">
        <v>38</v>
      </c>
      <c r="K17" s="93" t="s">
        <v>161</v>
      </c>
      <c r="L17" s="93">
        <v>1</v>
      </c>
      <c r="N17" s="93">
        <v>1</v>
      </c>
      <c r="O17" s="93">
        <v>1.1499999999999999</v>
      </c>
      <c r="P17" s="93">
        <v>0.9</v>
      </c>
      <c r="Q17" s="102">
        <f t="shared" si="0"/>
        <v>1.0249999999999999</v>
      </c>
      <c r="R17" s="93">
        <v>13.6</v>
      </c>
      <c r="S17" s="93">
        <v>116</v>
      </c>
      <c r="T17" s="103">
        <f t="shared" si="1"/>
        <v>30</v>
      </c>
      <c r="U17" s="93">
        <v>97</v>
      </c>
      <c r="V17" s="104">
        <f t="shared" si="2"/>
        <v>2910</v>
      </c>
      <c r="W17" s="93">
        <v>6</v>
      </c>
      <c r="X17" s="93" t="s">
        <v>46</v>
      </c>
      <c r="Y17" s="93" t="s">
        <v>84</v>
      </c>
      <c r="Z17" s="93" t="s">
        <v>90</v>
      </c>
      <c r="AA17" s="93" t="s">
        <v>69</v>
      </c>
      <c r="AB17" s="93" t="s">
        <v>158</v>
      </c>
      <c r="AE17" s="110" t="s">
        <v>220</v>
      </c>
      <c r="AP17" s="115" t="s">
        <v>221</v>
      </c>
      <c r="AR17" s="111" t="s">
        <v>96</v>
      </c>
      <c r="AV17" s="111" t="s">
        <v>86</v>
      </c>
    </row>
    <row r="18" spans="1:48" x14ac:dyDescent="0.15">
      <c r="A18" s="93" t="s">
        <v>51</v>
      </c>
      <c r="B18" s="93" t="s">
        <v>157</v>
      </c>
      <c r="C18" s="93">
        <v>2019</v>
      </c>
      <c r="D18" s="101" t="s">
        <v>266</v>
      </c>
      <c r="E18" s="93" t="s">
        <v>211</v>
      </c>
      <c r="F18" s="93" t="s">
        <v>269</v>
      </c>
      <c r="G18" s="93" t="s">
        <v>42</v>
      </c>
      <c r="H18" s="93" t="s">
        <v>164</v>
      </c>
      <c r="I18" s="93" t="s">
        <v>159</v>
      </c>
      <c r="J18" s="93" t="s">
        <v>38</v>
      </c>
      <c r="K18" s="93" t="s">
        <v>161</v>
      </c>
      <c r="L18" s="93">
        <v>2</v>
      </c>
      <c r="N18" s="93">
        <v>1</v>
      </c>
      <c r="O18" s="93">
        <v>1</v>
      </c>
      <c r="P18" s="93">
        <v>1.1000000000000001</v>
      </c>
      <c r="Q18" s="102">
        <f t="shared" si="0"/>
        <v>1.05</v>
      </c>
      <c r="R18" s="93">
        <v>13.4</v>
      </c>
      <c r="S18" s="93">
        <v>116</v>
      </c>
      <c r="T18" s="103">
        <f t="shared" si="1"/>
        <v>30</v>
      </c>
      <c r="U18" s="93">
        <v>97</v>
      </c>
      <c r="V18" s="104">
        <f t="shared" si="2"/>
        <v>2910</v>
      </c>
      <c r="W18" s="93">
        <v>6</v>
      </c>
      <c r="X18" s="93" t="s">
        <v>46</v>
      </c>
      <c r="Y18" s="93" t="s">
        <v>84</v>
      </c>
      <c r="Z18" s="93" t="s">
        <v>90</v>
      </c>
      <c r="AA18" s="93" t="s">
        <v>69</v>
      </c>
      <c r="AB18" s="93" t="s">
        <v>158</v>
      </c>
      <c r="AE18" s="110" t="s">
        <v>213</v>
      </c>
      <c r="AP18" s="115" t="s">
        <v>222</v>
      </c>
      <c r="AR18" s="111" t="s">
        <v>101</v>
      </c>
      <c r="AV18" s="111" t="s">
        <v>88</v>
      </c>
    </row>
    <row r="19" spans="1:48" x14ac:dyDescent="0.15">
      <c r="A19" s="93" t="s">
        <v>51</v>
      </c>
      <c r="B19" s="93" t="s">
        <v>157</v>
      </c>
      <c r="C19" s="93">
        <v>2019</v>
      </c>
      <c r="D19" s="101" t="s">
        <v>266</v>
      </c>
      <c r="E19" s="93" t="s">
        <v>211</v>
      </c>
      <c r="F19" s="93" t="s">
        <v>269</v>
      </c>
      <c r="G19" s="93" t="s">
        <v>42</v>
      </c>
      <c r="H19" s="93" t="s">
        <v>164</v>
      </c>
      <c r="I19" s="93" t="s">
        <v>159</v>
      </c>
      <c r="J19" s="93" t="s">
        <v>38</v>
      </c>
      <c r="K19" s="93" t="s">
        <v>161</v>
      </c>
      <c r="L19" s="93">
        <v>3</v>
      </c>
      <c r="N19" s="93">
        <v>1</v>
      </c>
      <c r="O19" s="93">
        <v>0.95</v>
      </c>
      <c r="P19" s="93">
        <v>1.1499999999999999</v>
      </c>
      <c r="Q19" s="102">
        <f t="shared" si="0"/>
        <v>1.0499999999999998</v>
      </c>
      <c r="R19" s="93">
        <v>12.9</v>
      </c>
      <c r="S19" s="93">
        <v>114</v>
      </c>
      <c r="T19" s="103">
        <f t="shared" si="1"/>
        <v>30</v>
      </c>
      <c r="U19" s="93">
        <v>97</v>
      </c>
      <c r="V19" s="104">
        <f t="shared" si="2"/>
        <v>2910</v>
      </c>
      <c r="W19" s="93">
        <v>6</v>
      </c>
      <c r="X19" s="93" t="s">
        <v>46</v>
      </c>
      <c r="Y19" s="93" t="s">
        <v>84</v>
      </c>
      <c r="Z19" s="93" t="s">
        <v>90</v>
      </c>
      <c r="AA19" s="93" t="s">
        <v>69</v>
      </c>
      <c r="AB19" s="93" t="s">
        <v>158</v>
      </c>
      <c r="AE19" s="121" t="s">
        <v>207</v>
      </c>
      <c r="AP19" s="115" t="s">
        <v>223</v>
      </c>
      <c r="AR19" s="111" t="s">
        <v>224</v>
      </c>
      <c r="AV19" s="111" t="s">
        <v>90</v>
      </c>
    </row>
    <row r="20" spans="1:48" x14ac:dyDescent="0.15">
      <c r="A20" s="93" t="s">
        <v>51</v>
      </c>
      <c r="B20" s="93" t="s">
        <v>157</v>
      </c>
      <c r="C20" s="93">
        <v>2019</v>
      </c>
      <c r="D20" s="101" t="s">
        <v>266</v>
      </c>
      <c r="E20" s="93" t="s">
        <v>211</v>
      </c>
      <c r="F20" s="93" t="s">
        <v>269</v>
      </c>
      <c r="G20" s="93" t="s">
        <v>42</v>
      </c>
      <c r="H20" s="93" t="s">
        <v>185</v>
      </c>
      <c r="I20" s="93" t="s">
        <v>159</v>
      </c>
      <c r="J20" s="93" t="s">
        <v>104</v>
      </c>
      <c r="K20" s="93" t="s">
        <v>210</v>
      </c>
      <c r="L20" s="93">
        <v>1</v>
      </c>
      <c r="N20" s="93">
        <v>4</v>
      </c>
      <c r="O20" s="93">
        <v>1.75</v>
      </c>
      <c r="P20" s="93">
        <v>1.9</v>
      </c>
      <c r="Q20" s="102">
        <f t="shared" si="0"/>
        <v>1.825</v>
      </c>
      <c r="R20" s="93">
        <v>13.2</v>
      </c>
      <c r="S20" s="93">
        <v>126</v>
      </c>
      <c r="T20" s="103">
        <f t="shared" si="1"/>
        <v>27</v>
      </c>
      <c r="U20" s="93">
        <v>298</v>
      </c>
      <c r="V20" s="104">
        <f t="shared" si="2"/>
        <v>2011.5</v>
      </c>
      <c r="W20" s="93">
        <v>6</v>
      </c>
      <c r="X20" s="93" t="s">
        <v>46</v>
      </c>
      <c r="Y20" s="93" t="s">
        <v>84</v>
      </c>
      <c r="Z20" s="93" t="s">
        <v>90</v>
      </c>
      <c r="AA20" s="93" t="s">
        <v>69</v>
      </c>
      <c r="AB20" s="93" t="s">
        <v>158</v>
      </c>
      <c r="AE20" s="121"/>
      <c r="AP20" s="115" t="s">
        <v>225</v>
      </c>
      <c r="AR20" s="111" t="s">
        <v>105</v>
      </c>
      <c r="AV20" s="115" t="s">
        <v>226</v>
      </c>
    </row>
    <row r="21" spans="1:48" x14ac:dyDescent="0.15">
      <c r="A21" s="93" t="s">
        <v>51</v>
      </c>
      <c r="B21" s="93" t="s">
        <v>157</v>
      </c>
      <c r="C21" s="93">
        <v>2019</v>
      </c>
      <c r="D21" s="101" t="s">
        <v>266</v>
      </c>
      <c r="E21" s="93" t="s">
        <v>211</v>
      </c>
      <c r="F21" s="93" t="s">
        <v>269</v>
      </c>
      <c r="G21" s="93" t="s">
        <v>42</v>
      </c>
      <c r="H21" s="93" t="s">
        <v>185</v>
      </c>
      <c r="I21" s="93" t="s">
        <v>159</v>
      </c>
      <c r="J21" s="93" t="s">
        <v>104</v>
      </c>
      <c r="K21" s="93" t="s">
        <v>210</v>
      </c>
      <c r="L21" s="93">
        <v>2</v>
      </c>
      <c r="N21" s="93">
        <v>4</v>
      </c>
      <c r="O21" s="93">
        <v>2</v>
      </c>
      <c r="P21" s="93">
        <v>1.85</v>
      </c>
      <c r="Q21" s="102">
        <f t="shared" si="0"/>
        <v>1.925</v>
      </c>
      <c r="R21" s="93">
        <v>12.7</v>
      </c>
      <c r="S21" s="93">
        <v>112</v>
      </c>
      <c r="T21" s="103">
        <f t="shared" si="1"/>
        <v>33</v>
      </c>
      <c r="U21" s="93">
        <v>298</v>
      </c>
      <c r="V21" s="104">
        <f t="shared" si="2"/>
        <v>2458.5</v>
      </c>
      <c r="W21" s="93">
        <v>6</v>
      </c>
      <c r="X21" s="93" t="s">
        <v>46</v>
      </c>
      <c r="Y21" s="93" t="s">
        <v>84</v>
      </c>
      <c r="Z21" s="93" t="s">
        <v>90</v>
      </c>
      <c r="AA21" s="93" t="s">
        <v>69</v>
      </c>
      <c r="AB21" s="93" t="s">
        <v>158</v>
      </c>
      <c r="AE21" s="116"/>
      <c r="AP21" s="115" t="s">
        <v>227</v>
      </c>
      <c r="AR21" s="111" t="s">
        <v>68</v>
      </c>
      <c r="AV21" s="115" t="s">
        <v>228</v>
      </c>
    </row>
    <row r="22" spans="1:48" x14ac:dyDescent="0.15">
      <c r="A22" s="93" t="s">
        <v>51</v>
      </c>
      <c r="B22" s="93" t="s">
        <v>157</v>
      </c>
      <c r="C22" s="93">
        <v>2019</v>
      </c>
      <c r="D22" s="101" t="s">
        <v>266</v>
      </c>
      <c r="E22" s="93" t="s">
        <v>211</v>
      </c>
      <c r="F22" s="93" t="s">
        <v>269</v>
      </c>
      <c r="G22" s="93" t="s">
        <v>42</v>
      </c>
      <c r="H22" s="93" t="s">
        <v>185</v>
      </c>
      <c r="I22" s="93" t="s">
        <v>159</v>
      </c>
      <c r="J22" s="93" t="s">
        <v>104</v>
      </c>
      <c r="K22" s="93" t="s">
        <v>210</v>
      </c>
      <c r="L22" s="93">
        <v>3</v>
      </c>
      <c r="N22" s="93">
        <v>4</v>
      </c>
      <c r="O22" s="93">
        <v>1.8</v>
      </c>
      <c r="P22" s="93">
        <v>1.95</v>
      </c>
      <c r="Q22" s="102">
        <f t="shared" si="0"/>
        <v>1.875</v>
      </c>
      <c r="R22" s="93">
        <v>13.6</v>
      </c>
      <c r="S22" s="93">
        <v>134</v>
      </c>
      <c r="T22" s="103">
        <f t="shared" si="1"/>
        <v>25</v>
      </c>
      <c r="U22" s="93">
        <v>298</v>
      </c>
      <c r="V22" s="104">
        <f t="shared" si="2"/>
        <v>1862.5</v>
      </c>
      <c r="W22" s="93">
        <v>6</v>
      </c>
      <c r="X22" s="93" t="s">
        <v>46</v>
      </c>
      <c r="Y22" s="93" t="s">
        <v>84</v>
      </c>
      <c r="Z22" s="93" t="s">
        <v>90</v>
      </c>
      <c r="AA22" s="93" t="s">
        <v>69</v>
      </c>
      <c r="AB22" s="93" t="s">
        <v>158</v>
      </c>
      <c r="AP22" s="115" t="s">
        <v>229</v>
      </c>
      <c r="AR22" s="111" t="s">
        <v>83</v>
      </c>
      <c r="AV22" s="115"/>
    </row>
    <row r="23" spans="1:48" x14ac:dyDescent="0.15">
      <c r="A23" s="93" t="s">
        <v>51</v>
      </c>
      <c r="B23" s="93" t="s">
        <v>157</v>
      </c>
      <c r="C23" s="93">
        <v>2019</v>
      </c>
      <c r="D23" s="101" t="s">
        <v>266</v>
      </c>
      <c r="E23" s="93" t="s">
        <v>277</v>
      </c>
      <c r="F23" s="93" t="s">
        <v>269</v>
      </c>
      <c r="G23" s="93" t="s">
        <v>42</v>
      </c>
      <c r="H23" s="93" t="s">
        <v>164</v>
      </c>
      <c r="I23" s="93" t="s">
        <v>159</v>
      </c>
      <c r="J23" s="93" t="s">
        <v>38</v>
      </c>
      <c r="K23" s="93" t="s">
        <v>161</v>
      </c>
      <c r="L23" s="93">
        <v>1</v>
      </c>
      <c r="N23" s="93">
        <v>4</v>
      </c>
      <c r="O23" s="93">
        <v>0.5</v>
      </c>
      <c r="P23" s="93">
        <v>0.75</v>
      </c>
      <c r="Q23" s="102">
        <f t="shared" si="0"/>
        <v>0.625</v>
      </c>
      <c r="R23" s="93">
        <v>15.4</v>
      </c>
      <c r="S23" s="93">
        <v>96</v>
      </c>
      <c r="T23" s="103">
        <f t="shared" si="1"/>
        <v>36</v>
      </c>
      <c r="U23" s="93">
        <v>398</v>
      </c>
      <c r="V23" s="104">
        <f t="shared" si="2"/>
        <v>3582</v>
      </c>
      <c r="W23" s="93">
        <v>3</v>
      </c>
      <c r="X23" s="93" t="s">
        <v>39</v>
      </c>
      <c r="Y23" s="93" t="s">
        <v>84</v>
      </c>
      <c r="Z23" s="93" t="s">
        <v>90</v>
      </c>
      <c r="AA23" s="93" t="s">
        <v>69</v>
      </c>
      <c r="AB23" s="93" t="s">
        <v>158</v>
      </c>
      <c r="AP23" s="115" t="s">
        <v>230</v>
      </c>
      <c r="AR23" s="111" t="s">
        <v>61</v>
      </c>
    </row>
    <row r="24" spans="1:48" x14ac:dyDescent="0.15">
      <c r="A24" s="93" t="s">
        <v>51</v>
      </c>
      <c r="B24" s="93" t="s">
        <v>157</v>
      </c>
      <c r="C24" s="93">
        <v>2019</v>
      </c>
      <c r="D24" s="101" t="s">
        <v>266</v>
      </c>
      <c r="E24" s="93" t="s">
        <v>277</v>
      </c>
      <c r="F24" s="93" t="s">
        <v>269</v>
      </c>
      <c r="G24" s="93" t="s">
        <v>42</v>
      </c>
      <c r="H24" s="93" t="s">
        <v>164</v>
      </c>
      <c r="I24" s="93" t="s">
        <v>159</v>
      </c>
      <c r="J24" s="93" t="s">
        <v>38</v>
      </c>
      <c r="K24" s="93" t="s">
        <v>161</v>
      </c>
      <c r="L24" s="93">
        <v>2</v>
      </c>
      <c r="N24" s="93">
        <v>4</v>
      </c>
      <c r="O24" s="93">
        <v>0.75</v>
      </c>
      <c r="P24" s="93">
        <v>0.65</v>
      </c>
      <c r="Q24" s="102">
        <f t="shared" si="0"/>
        <v>0.7</v>
      </c>
      <c r="R24" s="93">
        <v>16</v>
      </c>
      <c r="S24" s="93">
        <v>108</v>
      </c>
      <c r="T24" s="103">
        <f t="shared" si="1"/>
        <v>33</v>
      </c>
      <c r="U24" s="93">
        <v>398</v>
      </c>
      <c r="V24" s="104">
        <f t="shared" si="2"/>
        <v>3283.5</v>
      </c>
      <c r="W24" s="93">
        <v>3</v>
      </c>
      <c r="X24" s="93" t="s">
        <v>39</v>
      </c>
      <c r="Y24" s="93" t="s">
        <v>84</v>
      </c>
      <c r="Z24" s="93" t="s">
        <v>90</v>
      </c>
      <c r="AA24" s="93" t="s">
        <v>69</v>
      </c>
      <c r="AB24" s="93" t="s">
        <v>158</v>
      </c>
      <c r="AP24" s="115" t="s">
        <v>231</v>
      </c>
      <c r="AR24" s="111" t="s">
        <v>91</v>
      </c>
    </row>
    <row r="25" spans="1:48" x14ac:dyDescent="0.15">
      <c r="A25" s="93" t="s">
        <v>51</v>
      </c>
      <c r="B25" s="93" t="s">
        <v>157</v>
      </c>
      <c r="C25" s="93">
        <v>2019</v>
      </c>
      <c r="D25" s="101" t="s">
        <v>266</v>
      </c>
      <c r="E25" s="93" t="s">
        <v>277</v>
      </c>
      <c r="F25" s="93" t="s">
        <v>269</v>
      </c>
      <c r="G25" s="93" t="s">
        <v>42</v>
      </c>
      <c r="H25" s="93" t="s">
        <v>164</v>
      </c>
      <c r="I25" s="93" t="s">
        <v>159</v>
      </c>
      <c r="J25" s="93" t="s">
        <v>38</v>
      </c>
      <c r="K25" s="93" t="s">
        <v>161</v>
      </c>
      <c r="L25" s="93">
        <v>3</v>
      </c>
      <c r="N25" s="93">
        <v>4</v>
      </c>
      <c r="O25" s="93">
        <v>0.65</v>
      </c>
      <c r="P25" s="93">
        <v>0.7</v>
      </c>
      <c r="Q25" s="102">
        <f t="shared" si="0"/>
        <v>0.67500000000000004</v>
      </c>
      <c r="R25" s="93">
        <v>15.8</v>
      </c>
      <c r="S25" s="93">
        <v>102</v>
      </c>
      <c r="T25" s="103">
        <f t="shared" si="1"/>
        <v>33</v>
      </c>
      <c r="U25" s="93">
        <v>398</v>
      </c>
      <c r="V25" s="104">
        <f t="shared" si="2"/>
        <v>3283.5</v>
      </c>
      <c r="W25" s="93">
        <v>3</v>
      </c>
      <c r="X25" s="93" t="s">
        <v>39</v>
      </c>
      <c r="Y25" s="93" t="s">
        <v>84</v>
      </c>
      <c r="Z25" s="93" t="s">
        <v>90</v>
      </c>
      <c r="AA25" s="93" t="s">
        <v>69</v>
      </c>
      <c r="AB25" s="93" t="s">
        <v>158</v>
      </c>
      <c r="AP25" s="115" t="s">
        <v>232</v>
      </c>
      <c r="AR25" s="115" t="s">
        <v>51</v>
      </c>
    </row>
    <row r="26" spans="1:48" x14ac:dyDescent="0.15">
      <c r="A26" s="93" t="s">
        <v>51</v>
      </c>
      <c r="B26" s="93" t="s">
        <v>157</v>
      </c>
      <c r="C26" s="93">
        <v>2019</v>
      </c>
      <c r="D26" s="101" t="s">
        <v>266</v>
      </c>
      <c r="E26" s="93" t="s">
        <v>277</v>
      </c>
      <c r="F26" s="93" t="s">
        <v>269</v>
      </c>
      <c r="G26" s="93" t="s">
        <v>42</v>
      </c>
      <c r="H26" s="93" t="s">
        <v>164</v>
      </c>
      <c r="I26" s="93" t="s">
        <v>198</v>
      </c>
      <c r="J26" s="93" t="s">
        <v>38</v>
      </c>
      <c r="K26" s="93" t="s">
        <v>161</v>
      </c>
      <c r="L26" s="93">
        <v>1</v>
      </c>
      <c r="N26" s="93">
        <v>4</v>
      </c>
      <c r="O26" s="93">
        <v>0.95</v>
      </c>
      <c r="P26" s="93">
        <v>1.25</v>
      </c>
      <c r="Q26" s="102">
        <f t="shared" si="0"/>
        <v>1.1000000000000001</v>
      </c>
      <c r="R26" s="93">
        <v>15.1</v>
      </c>
      <c r="S26" s="93">
        <v>94</v>
      </c>
      <c r="T26" s="103">
        <f t="shared" si="1"/>
        <v>36</v>
      </c>
      <c r="U26" s="93">
        <v>398</v>
      </c>
      <c r="V26" s="104">
        <f t="shared" si="2"/>
        <v>3582</v>
      </c>
      <c r="W26" s="93">
        <v>3</v>
      </c>
      <c r="X26" s="93" t="s">
        <v>39</v>
      </c>
      <c r="Y26" s="93" t="s">
        <v>84</v>
      </c>
      <c r="Z26" s="93" t="s">
        <v>90</v>
      </c>
      <c r="AA26" s="93" t="s">
        <v>69</v>
      </c>
      <c r="AB26" s="93" t="s">
        <v>158</v>
      </c>
      <c r="AP26" s="115" t="s">
        <v>233</v>
      </c>
      <c r="AR26" s="93" t="s">
        <v>234</v>
      </c>
    </row>
    <row r="27" spans="1:48" x14ac:dyDescent="0.15">
      <c r="A27" s="93" t="s">
        <v>51</v>
      </c>
      <c r="B27" s="93" t="s">
        <v>157</v>
      </c>
      <c r="C27" s="93">
        <v>2019</v>
      </c>
      <c r="D27" s="101" t="s">
        <v>266</v>
      </c>
      <c r="E27" s="93" t="s">
        <v>277</v>
      </c>
      <c r="F27" s="93" t="s">
        <v>269</v>
      </c>
      <c r="G27" s="93" t="s">
        <v>42</v>
      </c>
      <c r="H27" s="93" t="s">
        <v>164</v>
      </c>
      <c r="I27" s="93" t="s">
        <v>198</v>
      </c>
      <c r="J27" s="93" t="s">
        <v>38</v>
      </c>
      <c r="K27" s="93" t="s">
        <v>161</v>
      </c>
      <c r="L27" s="93">
        <v>2</v>
      </c>
      <c r="N27" s="93">
        <v>4</v>
      </c>
      <c r="O27" s="93">
        <v>0.9</v>
      </c>
      <c r="P27" s="93">
        <v>1.05</v>
      </c>
      <c r="Q27" s="102">
        <f t="shared" si="0"/>
        <v>0.97500000000000009</v>
      </c>
      <c r="R27" s="93">
        <v>15.7</v>
      </c>
      <c r="S27" s="93">
        <v>104</v>
      </c>
      <c r="T27" s="103">
        <f t="shared" si="1"/>
        <v>33</v>
      </c>
      <c r="U27" s="93">
        <v>398</v>
      </c>
      <c r="V27" s="104">
        <f t="shared" si="2"/>
        <v>3283.5</v>
      </c>
      <c r="W27" s="93">
        <v>3</v>
      </c>
      <c r="X27" s="93" t="s">
        <v>39</v>
      </c>
      <c r="Y27" s="93" t="s">
        <v>84</v>
      </c>
      <c r="Z27" s="93" t="s">
        <v>90</v>
      </c>
      <c r="AA27" s="93" t="s">
        <v>69</v>
      </c>
      <c r="AB27" s="93" t="s">
        <v>158</v>
      </c>
      <c r="AP27" s="115" t="s">
        <v>235</v>
      </c>
    </row>
    <row r="28" spans="1:48" x14ac:dyDescent="0.15">
      <c r="A28" s="93" t="s">
        <v>51</v>
      </c>
      <c r="B28" s="93" t="s">
        <v>157</v>
      </c>
      <c r="C28" s="93">
        <v>2019</v>
      </c>
      <c r="D28" s="101" t="s">
        <v>266</v>
      </c>
      <c r="E28" s="93" t="s">
        <v>277</v>
      </c>
      <c r="F28" s="93" t="s">
        <v>269</v>
      </c>
      <c r="G28" s="93" t="s">
        <v>42</v>
      </c>
      <c r="H28" s="93" t="s">
        <v>164</v>
      </c>
      <c r="I28" s="93" t="s">
        <v>198</v>
      </c>
      <c r="J28" s="93" t="s">
        <v>38</v>
      </c>
      <c r="K28" s="93" t="s">
        <v>161</v>
      </c>
      <c r="L28" s="93">
        <v>3</v>
      </c>
      <c r="N28" s="93">
        <v>4</v>
      </c>
      <c r="O28" s="93">
        <v>1</v>
      </c>
      <c r="P28" s="93">
        <v>0.95</v>
      </c>
      <c r="Q28" s="102">
        <f t="shared" si="0"/>
        <v>0.97499999999999998</v>
      </c>
      <c r="R28" s="93">
        <v>15.5</v>
      </c>
      <c r="S28" s="93">
        <v>100</v>
      </c>
      <c r="T28" s="103">
        <f t="shared" si="1"/>
        <v>33</v>
      </c>
      <c r="U28" s="93">
        <v>398</v>
      </c>
      <c r="V28" s="104">
        <f t="shared" si="2"/>
        <v>3283.5</v>
      </c>
      <c r="W28" s="93">
        <v>3</v>
      </c>
      <c r="X28" s="93" t="s">
        <v>39</v>
      </c>
      <c r="Y28" s="93" t="s">
        <v>84</v>
      </c>
      <c r="Z28" s="93" t="s">
        <v>90</v>
      </c>
      <c r="AA28" s="93" t="s">
        <v>69</v>
      </c>
      <c r="AB28" s="93" t="s">
        <v>158</v>
      </c>
    </row>
    <row r="29" spans="1:48" x14ac:dyDescent="0.15">
      <c r="A29" s="93" t="s">
        <v>51</v>
      </c>
      <c r="B29" s="93" t="s">
        <v>157</v>
      </c>
      <c r="C29" s="93">
        <v>2019</v>
      </c>
      <c r="D29" s="101" t="s">
        <v>266</v>
      </c>
      <c r="E29" s="93" t="s">
        <v>274</v>
      </c>
      <c r="F29" s="93" t="s">
        <v>268</v>
      </c>
      <c r="G29" s="93" t="s">
        <v>36</v>
      </c>
      <c r="H29" s="93" t="s">
        <v>164</v>
      </c>
      <c r="I29" s="93" t="s">
        <v>159</v>
      </c>
      <c r="J29" s="93" t="s">
        <v>38</v>
      </c>
      <c r="K29" s="93" t="s">
        <v>161</v>
      </c>
      <c r="L29" s="93">
        <v>1</v>
      </c>
      <c r="N29" s="93">
        <v>1</v>
      </c>
      <c r="O29" s="93">
        <v>0.5</v>
      </c>
      <c r="P29" s="93">
        <v>0.65</v>
      </c>
      <c r="Q29" s="102">
        <f t="shared" si="0"/>
        <v>0.57499999999999996</v>
      </c>
      <c r="R29" s="93">
        <v>16</v>
      </c>
      <c r="S29" s="93">
        <v>110</v>
      </c>
      <c r="T29" s="103">
        <f t="shared" si="1"/>
        <v>33</v>
      </c>
      <c r="U29" s="93">
        <v>100</v>
      </c>
      <c r="V29" s="104">
        <f t="shared" si="2"/>
        <v>3300</v>
      </c>
      <c r="W29" s="93">
        <v>2</v>
      </c>
      <c r="X29" s="93" t="s">
        <v>46</v>
      </c>
      <c r="Y29" s="93" t="s">
        <v>84</v>
      </c>
      <c r="Z29" s="93" t="s">
        <v>90</v>
      </c>
      <c r="AA29" s="93" t="s">
        <v>69</v>
      </c>
      <c r="AB29" s="93" t="s">
        <v>158</v>
      </c>
    </row>
    <row r="30" spans="1:48" x14ac:dyDescent="0.15">
      <c r="A30" s="93" t="s">
        <v>51</v>
      </c>
      <c r="B30" s="93" t="s">
        <v>157</v>
      </c>
      <c r="C30" s="93">
        <v>2019</v>
      </c>
      <c r="D30" s="101" t="s">
        <v>266</v>
      </c>
      <c r="E30" s="93" t="s">
        <v>274</v>
      </c>
      <c r="F30" s="93" t="s">
        <v>268</v>
      </c>
      <c r="G30" s="93" t="s">
        <v>36</v>
      </c>
      <c r="H30" s="93" t="s">
        <v>164</v>
      </c>
      <c r="I30" s="93" t="s">
        <v>159</v>
      </c>
      <c r="J30" s="93" t="s">
        <v>38</v>
      </c>
      <c r="K30" s="93" t="s">
        <v>161</v>
      </c>
      <c r="L30" s="93">
        <v>2</v>
      </c>
      <c r="N30" s="93">
        <v>1</v>
      </c>
      <c r="O30" s="93">
        <v>0.6</v>
      </c>
      <c r="P30" s="93">
        <v>0.55000000000000004</v>
      </c>
      <c r="Q30" s="102">
        <f t="shared" si="0"/>
        <v>0.57499999999999996</v>
      </c>
      <c r="R30" s="93">
        <v>15.4</v>
      </c>
      <c r="S30" s="93">
        <v>108</v>
      </c>
      <c r="T30" s="103">
        <f t="shared" si="1"/>
        <v>33</v>
      </c>
      <c r="U30" s="93">
        <v>100</v>
      </c>
      <c r="V30" s="104">
        <f t="shared" si="2"/>
        <v>3300</v>
      </c>
      <c r="W30" s="93">
        <v>2</v>
      </c>
      <c r="X30" s="93" t="s">
        <v>46</v>
      </c>
      <c r="Y30" s="93" t="s">
        <v>84</v>
      </c>
      <c r="Z30" s="93" t="s">
        <v>90</v>
      </c>
      <c r="AA30" s="93" t="s">
        <v>69</v>
      </c>
      <c r="AB30" s="93" t="s">
        <v>158</v>
      </c>
    </row>
    <row r="31" spans="1:48" x14ac:dyDescent="0.15">
      <c r="A31" s="93" t="s">
        <v>51</v>
      </c>
      <c r="B31" s="93" t="s">
        <v>157</v>
      </c>
      <c r="C31" s="93">
        <v>2019</v>
      </c>
      <c r="D31" s="101" t="s">
        <v>266</v>
      </c>
      <c r="E31" s="93" t="s">
        <v>274</v>
      </c>
      <c r="F31" s="93" t="s">
        <v>268</v>
      </c>
      <c r="G31" s="93" t="s">
        <v>36</v>
      </c>
      <c r="H31" s="93" t="s">
        <v>164</v>
      </c>
      <c r="I31" s="93" t="s">
        <v>159</v>
      </c>
      <c r="J31" s="93" t="s">
        <v>38</v>
      </c>
      <c r="K31" s="93" t="s">
        <v>161</v>
      </c>
      <c r="L31" s="93">
        <v>3</v>
      </c>
      <c r="N31" s="93">
        <v>1</v>
      </c>
      <c r="O31" s="93">
        <v>0.65</v>
      </c>
      <c r="P31" s="93">
        <v>0.6</v>
      </c>
      <c r="Q31" s="102">
        <f t="shared" si="0"/>
        <v>0.625</v>
      </c>
      <c r="R31" s="93">
        <v>16.2</v>
      </c>
      <c r="S31" s="93">
        <v>114</v>
      </c>
      <c r="T31" s="103">
        <f t="shared" si="1"/>
        <v>30</v>
      </c>
      <c r="U31" s="93">
        <v>100</v>
      </c>
      <c r="V31" s="104">
        <f t="shared" si="2"/>
        <v>3000</v>
      </c>
      <c r="W31" s="93">
        <v>2</v>
      </c>
      <c r="X31" s="93" t="s">
        <v>46</v>
      </c>
      <c r="Y31" s="93" t="s">
        <v>84</v>
      </c>
      <c r="Z31" s="93" t="s">
        <v>90</v>
      </c>
      <c r="AA31" s="93" t="s">
        <v>69</v>
      </c>
      <c r="AB31" s="93" t="s">
        <v>158</v>
      </c>
    </row>
    <row r="32" spans="1:48" x14ac:dyDescent="0.15">
      <c r="A32" s="93" t="s">
        <v>51</v>
      </c>
      <c r="B32" s="93" t="s">
        <v>157</v>
      </c>
      <c r="C32" s="93">
        <v>2019</v>
      </c>
      <c r="D32" s="101" t="s">
        <v>266</v>
      </c>
      <c r="E32" s="93" t="s">
        <v>279</v>
      </c>
      <c r="F32" s="93" t="s">
        <v>280</v>
      </c>
      <c r="G32" s="93" t="s">
        <v>36</v>
      </c>
      <c r="H32" s="93" t="s">
        <v>164</v>
      </c>
      <c r="I32" s="93" t="s">
        <v>198</v>
      </c>
      <c r="J32" s="93" t="s">
        <v>38</v>
      </c>
      <c r="K32" s="93" t="s">
        <v>161</v>
      </c>
      <c r="L32" s="93">
        <v>1</v>
      </c>
      <c r="N32" s="93">
        <v>1</v>
      </c>
      <c r="O32" s="93">
        <v>0.25</v>
      </c>
      <c r="P32" s="93">
        <v>0.5</v>
      </c>
      <c r="Q32" s="102">
        <f t="shared" si="0"/>
        <v>0.375</v>
      </c>
      <c r="R32" s="93">
        <v>15.6</v>
      </c>
      <c r="S32" s="93">
        <v>150</v>
      </c>
      <c r="T32" s="103">
        <f t="shared" si="1"/>
        <v>22</v>
      </c>
      <c r="U32" s="93">
        <v>98</v>
      </c>
      <c r="V32" s="104">
        <f t="shared" si="2"/>
        <v>2156</v>
      </c>
      <c r="W32" s="93">
        <v>5</v>
      </c>
      <c r="X32" s="93" t="s">
        <v>46</v>
      </c>
      <c r="Y32" s="93" t="s">
        <v>84</v>
      </c>
      <c r="Z32" s="93" t="s">
        <v>69</v>
      </c>
      <c r="AA32" s="93" t="s">
        <v>90</v>
      </c>
      <c r="AB32" s="93" t="s">
        <v>158</v>
      </c>
    </row>
    <row r="33" spans="1:28" x14ac:dyDescent="0.15">
      <c r="A33" s="93" t="s">
        <v>51</v>
      </c>
      <c r="B33" s="93" t="s">
        <v>157</v>
      </c>
      <c r="C33" s="93">
        <v>2019</v>
      </c>
      <c r="D33" s="101" t="s">
        <v>266</v>
      </c>
      <c r="E33" s="93" t="s">
        <v>279</v>
      </c>
      <c r="F33" s="93" t="s">
        <v>280</v>
      </c>
      <c r="G33" s="93" t="s">
        <v>36</v>
      </c>
      <c r="H33" s="93" t="s">
        <v>164</v>
      </c>
      <c r="I33" s="93" t="s">
        <v>198</v>
      </c>
      <c r="J33" s="93" t="s">
        <v>38</v>
      </c>
      <c r="K33" s="93" t="s">
        <v>161</v>
      </c>
      <c r="L33" s="93">
        <v>2</v>
      </c>
      <c r="N33" s="93">
        <v>1</v>
      </c>
      <c r="O33" s="93">
        <v>0.6</v>
      </c>
      <c r="P33" s="93">
        <v>0.6</v>
      </c>
      <c r="Q33" s="102">
        <f t="shared" si="0"/>
        <v>0.6</v>
      </c>
      <c r="R33" s="93">
        <v>15.1</v>
      </c>
      <c r="S33" s="93">
        <v>138</v>
      </c>
      <c r="T33" s="103">
        <f t="shared" si="1"/>
        <v>22</v>
      </c>
      <c r="U33" s="93">
        <v>98</v>
      </c>
      <c r="V33" s="104">
        <f t="shared" si="2"/>
        <v>2156</v>
      </c>
      <c r="W33" s="93">
        <v>5</v>
      </c>
      <c r="X33" s="93" t="s">
        <v>46</v>
      </c>
      <c r="Y33" s="93" t="s">
        <v>84</v>
      </c>
      <c r="Z33" s="93" t="s">
        <v>69</v>
      </c>
      <c r="AA33" s="93" t="s">
        <v>90</v>
      </c>
      <c r="AB33" s="93" t="s">
        <v>158</v>
      </c>
    </row>
    <row r="34" spans="1:28" x14ac:dyDescent="0.15">
      <c r="A34" s="93" t="s">
        <v>51</v>
      </c>
      <c r="B34" s="93" t="s">
        <v>157</v>
      </c>
      <c r="C34" s="93">
        <v>2019</v>
      </c>
      <c r="D34" s="101" t="s">
        <v>266</v>
      </c>
      <c r="E34" s="93" t="s">
        <v>279</v>
      </c>
      <c r="F34" s="93" t="s">
        <v>280</v>
      </c>
      <c r="G34" s="93" t="s">
        <v>36</v>
      </c>
      <c r="H34" s="93" t="s">
        <v>164</v>
      </c>
      <c r="I34" s="93" t="s">
        <v>198</v>
      </c>
      <c r="J34" s="93" t="s">
        <v>38</v>
      </c>
      <c r="K34" s="93" t="s">
        <v>161</v>
      </c>
      <c r="L34" s="93">
        <v>3</v>
      </c>
      <c r="N34" s="93">
        <v>1</v>
      </c>
      <c r="O34" s="93">
        <v>0.55000000000000004</v>
      </c>
      <c r="P34" s="93">
        <v>0.6</v>
      </c>
      <c r="Q34" s="102">
        <f t="shared" si="0"/>
        <v>0.57499999999999996</v>
      </c>
      <c r="R34" s="93">
        <v>16.2</v>
      </c>
      <c r="S34" s="93">
        <v>140</v>
      </c>
      <c r="T34" s="103">
        <f t="shared" si="1"/>
        <v>22</v>
      </c>
      <c r="U34" s="93">
        <v>98</v>
      </c>
      <c r="V34" s="104">
        <f t="shared" si="2"/>
        <v>2156</v>
      </c>
      <c r="W34" s="93">
        <v>5</v>
      </c>
      <c r="X34" s="93" t="s">
        <v>46</v>
      </c>
      <c r="Y34" s="93" t="s">
        <v>84</v>
      </c>
      <c r="Z34" s="93" t="s">
        <v>69</v>
      </c>
      <c r="AA34" s="93" t="s">
        <v>90</v>
      </c>
      <c r="AB34" s="93" t="s">
        <v>158</v>
      </c>
    </row>
    <row r="35" spans="1:28" x14ac:dyDescent="0.15">
      <c r="A35" s="93" t="s">
        <v>51</v>
      </c>
      <c r="B35" s="93" t="s">
        <v>157</v>
      </c>
      <c r="C35" s="93">
        <v>2019</v>
      </c>
      <c r="D35" s="101" t="s">
        <v>266</v>
      </c>
      <c r="E35" s="93" t="s">
        <v>279</v>
      </c>
      <c r="F35" s="93" t="s">
        <v>280</v>
      </c>
      <c r="G35" s="93" t="s">
        <v>36</v>
      </c>
      <c r="H35" s="93" t="s">
        <v>160</v>
      </c>
      <c r="I35" s="93" t="s">
        <v>159</v>
      </c>
      <c r="J35" s="93" t="s">
        <v>38</v>
      </c>
      <c r="K35" s="93" t="s">
        <v>161</v>
      </c>
      <c r="L35" s="93">
        <v>1</v>
      </c>
      <c r="N35" s="93">
        <v>2</v>
      </c>
      <c r="O35" s="93">
        <v>0.75</v>
      </c>
      <c r="P35" s="93">
        <v>0.7</v>
      </c>
      <c r="Q35" s="102">
        <f t="shared" si="0"/>
        <v>0.72499999999999998</v>
      </c>
      <c r="R35" s="93">
        <v>17.399999999999999</v>
      </c>
      <c r="S35" s="93">
        <v>172</v>
      </c>
      <c r="T35" s="103">
        <f t="shared" si="1"/>
        <v>18</v>
      </c>
      <c r="U35" s="93">
        <v>498</v>
      </c>
      <c r="V35" s="104">
        <f t="shared" si="2"/>
        <v>4482</v>
      </c>
      <c r="W35" s="93">
        <v>5</v>
      </c>
      <c r="X35" s="93" t="s">
        <v>46</v>
      </c>
      <c r="Y35" s="93" t="s">
        <v>84</v>
      </c>
      <c r="Z35" s="93" t="s">
        <v>69</v>
      </c>
      <c r="AA35" s="93" t="s">
        <v>90</v>
      </c>
      <c r="AB35" s="93" t="s">
        <v>158</v>
      </c>
    </row>
    <row r="36" spans="1:28" x14ac:dyDescent="0.15">
      <c r="A36" s="93" t="s">
        <v>51</v>
      </c>
      <c r="B36" s="93" t="s">
        <v>157</v>
      </c>
      <c r="C36" s="93">
        <v>2019</v>
      </c>
      <c r="D36" s="101" t="s">
        <v>266</v>
      </c>
      <c r="E36" s="93" t="s">
        <v>279</v>
      </c>
      <c r="F36" s="93" t="s">
        <v>280</v>
      </c>
      <c r="G36" s="93" t="s">
        <v>36</v>
      </c>
      <c r="H36" s="93" t="s">
        <v>160</v>
      </c>
      <c r="I36" s="93" t="s">
        <v>159</v>
      </c>
      <c r="J36" s="93" t="s">
        <v>38</v>
      </c>
      <c r="K36" s="93" t="s">
        <v>161</v>
      </c>
      <c r="L36" s="93">
        <v>2</v>
      </c>
      <c r="N36" s="93">
        <v>2</v>
      </c>
      <c r="O36" s="93">
        <v>0.65</v>
      </c>
      <c r="P36" s="93">
        <v>0.75</v>
      </c>
      <c r="Q36" s="102">
        <f t="shared" si="0"/>
        <v>0.7</v>
      </c>
      <c r="R36" s="93">
        <v>16.5</v>
      </c>
      <c r="S36" s="93">
        <v>160</v>
      </c>
      <c r="T36" s="103">
        <f t="shared" si="1"/>
        <v>18</v>
      </c>
      <c r="U36" s="93">
        <v>498</v>
      </c>
      <c r="V36" s="104">
        <f t="shared" si="2"/>
        <v>4482</v>
      </c>
      <c r="W36" s="93">
        <v>5</v>
      </c>
      <c r="X36" s="93" t="s">
        <v>46</v>
      </c>
      <c r="Y36" s="93" t="s">
        <v>84</v>
      </c>
      <c r="Z36" s="93" t="s">
        <v>69</v>
      </c>
      <c r="AA36" s="93" t="s">
        <v>90</v>
      </c>
      <c r="AB36" s="93" t="s">
        <v>158</v>
      </c>
    </row>
    <row r="37" spans="1:28" x14ac:dyDescent="0.15">
      <c r="A37" s="93" t="s">
        <v>51</v>
      </c>
      <c r="B37" s="93" t="s">
        <v>157</v>
      </c>
      <c r="C37" s="93">
        <v>2019</v>
      </c>
      <c r="D37" s="101" t="s">
        <v>266</v>
      </c>
      <c r="E37" s="93" t="s">
        <v>279</v>
      </c>
      <c r="F37" s="93" t="s">
        <v>280</v>
      </c>
      <c r="G37" s="93" t="s">
        <v>36</v>
      </c>
      <c r="H37" s="93" t="s">
        <v>160</v>
      </c>
      <c r="I37" s="93" t="s">
        <v>159</v>
      </c>
      <c r="J37" s="93" t="s">
        <v>38</v>
      </c>
      <c r="K37" s="93" t="s">
        <v>161</v>
      </c>
      <c r="L37" s="93">
        <v>3</v>
      </c>
      <c r="N37" s="93">
        <v>2</v>
      </c>
      <c r="O37" s="93">
        <v>0.6</v>
      </c>
      <c r="P37" s="93">
        <v>0.6</v>
      </c>
      <c r="Q37" s="102">
        <f t="shared" si="0"/>
        <v>0.6</v>
      </c>
      <c r="R37" s="93">
        <v>16</v>
      </c>
      <c r="S37" s="93">
        <v>158</v>
      </c>
      <c r="T37" s="103">
        <f t="shared" si="1"/>
        <v>18</v>
      </c>
      <c r="U37" s="93">
        <v>498</v>
      </c>
      <c r="V37" s="104">
        <f t="shared" si="2"/>
        <v>4482</v>
      </c>
      <c r="W37" s="93">
        <v>5</v>
      </c>
      <c r="X37" s="93" t="s">
        <v>46</v>
      </c>
      <c r="Y37" s="93" t="s">
        <v>84</v>
      </c>
      <c r="Z37" s="93" t="s">
        <v>69</v>
      </c>
      <c r="AA37" s="93" t="s">
        <v>90</v>
      </c>
      <c r="AB37" s="93" t="s">
        <v>158</v>
      </c>
    </row>
    <row r="38" spans="1:28" x14ac:dyDescent="0.15">
      <c r="A38" s="93" t="s">
        <v>51</v>
      </c>
      <c r="B38" s="93" t="s">
        <v>157</v>
      </c>
      <c r="C38" s="93">
        <v>2019</v>
      </c>
      <c r="D38" s="101" t="s">
        <v>266</v>
      </c>
      <c r="E38" s="93" t="s">
        <v>279</v>
      </c>
      <c r="F38" s="93" t="s">
        <v>280</v>
      </c>
      <c r="G38" s="93" t="s">
        <v>36</v>
      </c>
      <c r="H38" s="93" t="s">
        <v>187</v>
      </c>
      <c r="I38" s="93" t="s">
        <v>159</v>
      </c>
      <c r="J38" s="93" t="s">
        <v>80</v>
      </c>
      <c r="K38" s="93" t="s">
        <v>45</v>
      </c>
      <c r="L38" s="93">
        <v>1</v>
      </c>
      <c r="N38" s="93">
        <v>1</v>
      </c>
      <c r="O38" s="93">
        <v>0.75</v>
      </c>
      <c r="P38" s="93">
        <v>0.95</v>
      </c>
      <c r="Q38" s="102">
        <f t="shared" si="0"/>
        <v>0.85</v>
      </c>
      <c r="R38" s="93">
        <v>16.5</v>
      </c>
      <c r="S38" s="93">
        <v>99</v>
      </c>
      <c r="T38" s="103">
        <f t="shared" si="1"/>
        <v>33</v>
      </c>
      <c r="U38" s="93">
        <v>98</v>
      </c>
      <c r="V38" s="104">
        <f t="shared" si="2"/>
        <v>3234</v>
      </c>
      <c r="W38" s="93">
        <v>5</v>
      </c>
      <c r="X38" s="93" t="s">
        <v>46</v>
      </c>
      <c r="Y38" s="93" t="s">
        <v>84</v>
      </c>
      <c r="Z38" s="93" t="s">
        <v>69</v>
      </c>
      <c r="AA38" s="93" t="s">
        <v>90</v>
      </c>
      <c r="AB38" s="93" t="s">
        <v>158</v>
      </c>
    </row>
    <row r="39" spans="1:28" x14ac:dyDescent="0.15">
      <c r="A39" s="93" t="s">
        <v>51</v>
      </c>
      <c r="B39" s="93" t="s">
        <v>157</v>
      </c>
      <c r="C39" s="93">
        <v>2019</v>
      </c>
      <c r="D39" s="101" t="s">
        <v>266</v>
      </c>
      <c r="E39" s="93" t="s">
        <v>279</v>
      </c>
      <c r="F39" s="93" t="s">
        <v>280</v>
      </c>
      <c r="G39" s="93" t="s">
        <v>36</v>
      </c>
      <c r="H39" s="93" t="s">
        <v>187</v>
      </c>
      <c r="I39" s="93" t="s">
        <v>159</v>
      </c>
      <c r="J39" s="93" t="s">
        <v>80</v>
      </c>
      <c r="K39" s="93" t="s">
        <v>45</v>
      </c>
      <c r="L39" s="93">
        <v>2</v>
      </c>
      <c r="N39" s="93">
        <v>1</v>
      </c>
      <c r="O39" s="93">
        <v>0.85</v>
      </c>
      <c r="P39" s="93">
        <v>0.75</v>
      </c>
      <c r="Q39" s="102">
        <f t="shared" si="0"/>
        <v>0.8</v>
      </c>
      <c r="R39" s="93">
        <v>15.9</v>
      </c>
      <c r="S39" s="93">
        <v>110</v>
      </c>
      <c r="T39" s="103">
        <f t="shared" si="1"/>
        <v>33</v>
      </c>
      <c r="U39" s="93">
        <v>98</v>
      </c>
      <c r="V39" s="104">
        <f t="shared" si="2"/>
        <v>3234</v>
      </c>
      <c r="W39" s="93">
        <v>5</v>
      </c>
      <c r="X39" s="93" t="s">
        <v>46</v>
      </c>
      <c r="Y39" s="93" t="s">
        <v>84</v>
      </c>
      <c r="Z39" s="93" t="s">
        <v>69</v>
      </c>
      <c r="AA39" s="93" t="s">
        <v>90</v>
      </c>
      <c r="AB39" s="93" t="s">
        <v>158</v>
      </c>
    </row>
    <row r="40" spans="1:28" x14ac:dyDescent="0.15">
      <c r="A40" s="93" t="s">
        <v>51</v>
      </c>
      <c r="B40" s="93" t="s">
        <v>157</v>
      </c>
      <c r="C40" s="93">
        <v>2019</v>
      </c>
      <c r="D40" s="101" t="s">
        <v>266</v>
      </c>
      <c r="E40" s="93" t="s">
        <v>279</v>
      </c>
      <c r="F40" s="93" t="s">
        <v>280</v>
      </c>
      <c r="G40" s="93" t="s">
        <v>36</v>
      </c>
      <c r="H40" s="93" t="s">
        <v>187</v>
      </c>
      <c r="I40" s="93" t="s">
        <v>159</v>
      </c>
      <c r="J40" s="93" t="s">
        <v>80</v>
      </c>
      <c r="K40" s="93" t="s">
        <v>45</v>
      </c>
      <c r="L40" s="93">
        <v>3</v>
      </c>
      <c r="N40" s="93">
        <v>1</v>
      </c>
      <c r="O40" s="93">
        <v>0.8</v>
      </c>
      <c r="P40" s="93">
        <v>0.7</v>
      </c>
      <c r="Q40" s="102">
        <f t="shared" si="0"/>
        <v>0.75</v>
      </c>
      <c r="R40" s="93">
        <v>16.8</v>
      </c>
      <c r="S40" s="93">
        <v>104</v>
      </c>
      <c r="T40" s="103">
        <f t="shared" si="1"/>
        <v>33</v>
      </c>
      <c r="U40" s="93">
        <v>98</v>
      </c>
      <c r="V40" s="104">
        <f t="shared" si="2"/>
        <v>3234</v>
      </c>
      <c r="W40" s="93">
        <v>5</v>
      </c>
      <c r="X40" s="93" t="s">
        <v>46</v>
      </c>
      <c r="Y40" s="93" t="s">
        <v>84</v>
      </c>
      <c r="Z40" s="93" t="s">
        <v>69</v>
      </c>
      <c r="AA40" s="93" t="s">
        <v>90</v>
      </c>
      <c r="AB40" s="93" t="s">
        <v>158</v>
      </c>
    </row>
    <row r="41" spans="1:28" x14ac:dyDescent="0.15">
      <c r="A41" s="93" t="s">
        <v>51</v>
      </c>
      <c r="B41" s="93" t="s">
        <v>157</v>
      </c>
      <c r="C41" s="93">
        <v>2019</v>
      </c>
      <c r="D41" s="101" t="s">
        <v>266</v>
      </c>
      <c r="E41" s="93" t="s">
        <v>281</v>
      </c>
      <c r="F41" s="93" t="s">
        <v>268</v>
      </c>
      <c r="G41" s="93" t="s">
        <v>42</v>
      </c>
      <c r="H41" s="93" t="s">
        <v>164</v>
      </c>
      <c r="I41" s="93" t="s">
        <v>159</v>
      </c>
      <c r="J41" s="93" t="s">
        <v>38</v>
      </c>
      <c r="K41" s="93" t="s">
        <v>161</v>
      </c>
      <c r="L41" s="93">
        <v>1</v>
      </c>
      <c r="N41" s="93">
        <v>1</v>
      </c>
      <c r="O41" s="93">
        <v>0.95</v>
      </c>
      <c r="P41" s="93">
        <v>1.05</v>
      </c>
      <c r="Q41" s="102">
        <f t="shared" si="0"/>
        <v>1</v>
      </c>
      <c r="R41" s="93">
        <v>13.9</v>
      </c>
      <c r="S41" s="93">
        <v>112</v>
      </c>
      <c r="T41" s="103">
        <f t="shared" si="1"/>
        <v>33</v>
      </c>
      <c r="U41" s="93">
        <v>98</v>
      </c>
      <c r="V41" s="104">
        <f t="shared" si="2"/>
        <v>3234</v>
      </c>
      <c r="W41" s="93">
        <v>3</v>
      </c>
      <c r="X41" s="93" t="s">
        <v>39</v>
      </c>
      <c r="Y41" s="93" t="s">
        <v>84</v>
      </c>
      <c r="Z41" s="93" t="s">
        <v>90</v>
      </c>
      <c r="AA41" s="93" t="s">
        <v>69</v>
      </c>
      <c r="AB41" s="93" t="s">
        <v>158</v>
      </c>
    </row>
    <row r="42" spans="1:28" x14ac:dyDescent="0.15">
      <c r="A42" s="93" t="s">
        <v>51</v>
      </c>
      <c r="B42" s="93" t="s">
        <v>157</v>
      </c>
      <c r="C42" s="93">
        <v>2019</v>
      </c>
      <c r="D42" s="101" t="s">
        <v>266</v>
      </c>
      <c r="E42" s="93" t="s">
        <v>281</v>
      </c>
      <c r="F42" s="93" t="s">
        <v>268</v>
      </c>
      <c r="G42" s="93" t="s">
        <v>42</v>
      </c>
      <c r="H42" s="93" t="s">
        <v>164</v>
      </c>
      <c r="I42" s="93" t="s">
        <v>159</v>
      </c>
      <c r="J42" s="93" t="s">
        <v>38</v>
      </c>
      <c r="K42" s="93" t="s">
        <v>161</v>
      </c>
      <c r="L42" s="93">
        <v>2</v>
      </c>
      <c r="N42" s="93">
        <v>1</v>
      </c>
      <c r="O42" s="93">
        <v>0.85</v>
      </c>
      <c r="P42" s="93">
        <v>0.9</v>
      </c>
      <c r="Q42" s="102">
        <f t="shared" si="0"/>
        <v>0.875</v>
      </c>
      <c r="R42" s="93">
        <v>15.4</v>
      </c>
      <c r="S42" s="93">
        <v>118</v>
      </c>
      <c r="T42" s="103">
        <f t="shared" si="1"/>
        <v>30</v>
      </c>
      <c r="U42" s="93">
        <v>98</v>
      </c>
      <c r="V42" s="104">
        <f t="shared" si="2"/>
        <v>2940</v>
      </c>
      <c r="W42" s="93">
        <v>3</v>
      </c>
      <c r="X42" s="93" t="s">
        <v>39</v>
      </c>
      <c r="Y42" s="93" t="s">
        <v>84</v>
      </c>
      <c r="Z42" s="93" t="s">
        <v>90</v>
      </c>
      <c r="AA42" s="93" t="s">
        <v>69</v>
      </c>
      <c r="AB42" s="93" t="s">
        <v>158</v>
      </c>
    </row>
    <row r="43" spans="1:28" x14ac:dyDescent="0.15">
      <c r="A43" s="93" t="s">
        <v>51</v>
      </c>
      <c r="B43" s="93" t="s">
        <v>157</v>
      </c>
      <c r="C43" s="93">
        <v>2019</v>
      </c>
      <c r="D43" s="101" t="s">
        <v>266</v>
      </c>
      <c r="E43" s="93" t="s">
        <v>281</v>
      </c>
      <c r="F43" s="93" t="s">
        <v>268</v>
      </c>
      <c r="G43" s="93" t="s">
        <v>42</v>
      </c>
      <c r="H43" s="93" t="s">
        <v>164</v>
      </c>
      <c r="I43" s="93" t="s">
        <v>159</v>
      </c>
      <c r="J43" s="93" t="s">
        <v>38</v>
      </c>
      <c r="K43" s="93" t="s">
        <v>161</v>
      </c>
      <c r="L43" s="93">
        <v>3</v>
      </c>
      <c r="N43" s="93">
        <v>1</v>
      </c>
      <c r="O43" s="93">
        <v>1</v>
      </c>
      <c r="P43" s="93">
        <v>1</v>
      </c>
      <c r="Q43" s="102">
        <f t="shared" si="0"/>
        <v>1</v>
      </c>
      <c r="R43" s="93">
        <v>15.2</v>
      </c>
      <c r="S43" s="93">
        <v>114</v>
      </c>
      <c r="T43" s="103">
        <f t="shared" si="1"/>
        <v>30</v>
      </c>
      <c r="U43" s="93">
        <v>98</v>
      </c>
      <c r="V43" s="104">
        <f t="shared" si="2"/>
        <v>2940</v>
      </c>
      <c r="W43" s="93">
        <v>3</v>
      </c>
      <c r="X43" s="93" t="s">
        <v>39</v>
      </c>
      <c r="Y43" s="93" t="s">
        <v>84</v>
      </c>
      <c r="Z43" s="93" t="s">
        <v>90</v>
      </c>
      <c r="AA43" s="93" t="s">
        <v>69</v>
      </c>
      <c r="AB43" s="93" t="s">
        <v>158</v>
      </c>
    </row>
    <row r="44" spans="1:28" x14ac:dyDescent="0.15">
      <c r="D44" s="101"/>
      <c r="Q44" s="102" t="str">
        <f t="shared" si="0"/>
        <v/>
      </c>
      <c r="T44" s="103" t="str">
        <f t="shared" si="1"/>
        <v/>
      </c>
      <c r="V44" s="104" t="str">
        <f t="shared" si="2"/>
        <v/>
      </c>
    </row>
    <row r="45" spans="1:28" x14ac:dyDescent="0.15">
      <c r="D45" s="101"/>
      <c r="Q45" s="102" t="str">
        <f t="shared" si="0"/>
        <v/>
      </c>
      <c r="T45" s="103" t="str">
        <f t="shared" si="1"/>
        <v/>
      </c>
      <c r="V45" s="104" t="str">
        <f t="shared" si="2"/>
        <v/>
      </c>
    </row>
    <row r="46" spans="1:28" x14ac:dyDescent="0.15">
      <c r="D46" s="101"/>
      <c r="Q46" s="102" t="str">
        <f t="shared" si="0"/>
        <v/>
      </c>
      <c r="T46" s="103" t="str">
        <f t="shared" si="1"/>
        <v/>
      </c>
      <c r="V46" s="104" t="str">
        <f t="shared" si="2"/>
        <v/>
      </c>
    </row>
    <row r="47" spans="1:28" x14ac:dyDescent="0.15">
      <c r="D47" s="101"/>
      <c r="Q47" s="102" t="str">
        <f t="shared" si="0"/>
        <v/>
      </c>
      <c r="T47" s="103" t="str">
        <f t="shared" si="1"/>
        <v/>
      </c>
      <c r="V47" s="104" t="str">
        <f t="shared" si="2"/>
        <v/>
      </c>
    </row>
    <row r="48" spans="1:28" x14ac:dyDescent="0.15">
      <c r="D48" s="101"/>
      <c r="Q48" s="102" t="str">
        <f t="shared" si="0"/>
        <v/>
      </c>
      <c r="T48" s="103" t="str">
        <f t="shared" si="1"/>
        <v/>
      </c>
      <c r="V48" s="104" t="str">
        <f t="shared" si="2"/>
        <v/>
      </c>
    </row>
    <row r="49" spans="4:22" x14ac:dyDescent="0.15">
      <c r="D49" s="101"/>
      <c r="Q49" s="102" t="str">
        <f t="shared" si="0"/>
        <v/>
      </c>
      <c r="T49" s="103" t="str">
        <f t="shared" si="1"/>
        <v/>
      </c>
      <c r="V49" s="104" t="str">
        <f t="shared" si="2"/>
        <v/>
      </c>
    </row>
    <row r="50" spans="4:22" x14ac:dyDescent="0.15">
      <c r="D50" s="101"/>
      <c r="Q50" s="102" t="str">
        <f t="shared" si="0"/>
        <v/>
      </c>
      <c r="T50" s="103" t="str">
        <f t="shared" si="1"/>
        <v/>
      </c>
      <c r="V50" s="104" t="str">
        <f t="shared" si="2"/>
        <v/>
      </c>
    </row>
    <row r="51" spans="4:22" x14ac:dyDescent="0.15">
      <c r="D51" s="101"/>
      <c r="Q51" s="102" t="str">
        <f t="shared" si="0"/>
        <v/>
      </c>
      <c r="T51" s="103" t="str">
        <f t="shared" si="1"/>
        <v/>
      </c>
      <c r="V51" s="104" t="str">
        <f t="shared" si="2"/>
        <v/>
      </c>
    </row>
    <row r="52" spans="4:22" x14ac:dyDescent="0.15">
      <c r="D52" s="101"/>
      <c r="Q52" s="102" t="str">
        <f t="shared" si="0"/>
        <v/>
      </c>
      <c r="T52" s="103" t="str">
        <f t="shared" si="1"/>
        <v/>
      </c>
      <c r="V52" s="104" t="str">
        <f t="shared" si="2"/>
        <v/>
      </c>
    </row>
    <row r="53" spans="4:22" x14ac:dyDescent="0.15">
      <c r="D53" s="101"/>
      <c r="Q53" s="102" t="str">
        <f t="shared" si="0"/>
        <v/>
      </c>
      <c r="T53" s="103" t="str">
        <f t="shared" si="1"/>
        <v/>
      </c>
      <c r="V53" s="104" t="str">
        <f t="shared" si="2"/>
        <v/>
      </c>
    </row>
    <row r="54" spans="4:22" x14ac:dyDescent="0.15">
      <c r="D54" s="101"/>
      <c r="Q54" s="102" t="str">
        <f t="shared" si="0"/>
        <v/>
      </c>
      <c r="T54" s="103" t="str">
        <f t="shared" si="1"/>
        <v/>
      </c>
      <c r="V54" s="104" t="str">
        <f t="shared" si="2"/>
        <v/>
      </c>
    </row>
    <row r="55" spans="4:22" x14ac:dyDescent="0.15">
      <c r="D55" s="101"/>
      <c r="Q55" s="102" t="str">
        <f t="shared" si="0"/>
        <v/>
      </c>
      <c r="T55" s="103" t="str">
        <f t="shared" si="1"/>
        <v/>
      </c>
      <c r="V55" s="104" t="str">
        <f t="shared" si="2"/>
        <v/>
      </c>
    </row>
    <row r="56" spans="4:22" x14ac:dyDescent="0.15">
      <c r="D56" s="101"/>
      <c r="Q56" s="102" t="str">
        <f t="shared" si="0"/>
        <v/>
      </c>
      <c r="T56" s="103" t="str">
        <f t="shared" si="1"/>
        <v/>
      </c>
      <c r="V56" s="104" t="str">
        <f t="shared" si="2"/>
        <v/>
      </c>
    </row>
    <row r="57" spans="4:22" x14ac:dyDescent="0.15">
      <c r="D57" s="101"/>
      <c r="Q57" s="102" t="str">
        <f t="shared" si="0"/>
        <v/>
      </c>
      <c r="T57" s="103" t="str">
        <f t="shared" si="1"/>
        <v/>
      </c>
      <c r="V57" s="104" t="str">
        <f t="shared" si="2"/>
        <v/>
      </c>
    </row>
    <row r="58" spans="4:22" x14ac:dyDescent="0.15">
      <c r="D58" s="101"/>
      <c r="Q58" s="102" t="str">
        <f t="shared" si="0"/>
        <v/>
      </c>
      <c r="T58" s="103" t="str">
        <f t="shared" si="1"/>
        <v/>
      </c>
      <c r="V58" s="104" t="str">
        <f t="shared" si="2"/>
        <v/>
      </c>
    </row>
    <row r="59" spans="4:22" x14ac:dyDescent="0.15">
      <c r="D59" s="101"/>
      <c r="Q59" s="102" t="str">
        <f t="shared" si="0"/>
        <v/>
      </c>
      <c r="T59" s="103" t="str">
        <f t="shared" si="1"/>
        <v/>
      </c>
      <c r="V59" s="104" t="str">
        <f t="shared" si="2"/>
        <v/>
      </c>
    </row>
    <row r="60" spans="4:22" x14ac:dyDescent="0.15">
      <c r="D60" s="101"/>
      <c r="Q60" s="102" t="str">
        <f t="shared" si="0"/>
        <v/>
      </c>
      <c r="T60" s="103" t="str">
        <f t="shared" si="1"/>
        <v/>
      </c>
      <c r="V60" s="104" t="str">
        <f t="shared" si="2"/>
        <v/>
      </c>
    </row>
    <row r="61" spans="4:22" x14ac:dyDescent="0.15">
      <c r="D61" s="101"/>
      <c r="Q61" s="102" t="str">
        <f t="shared" si="0"/>
        <v/>
      </c>
      <c r="T61" s="103" t="str">
        <f t="shared" si="1"/>
        <v/>
      </c>
      <c r="V61" s="104" t="str">
        <f t="shared" si="2"/>
        <v/>
      </c>
    </row>
    <row r="62" spans="4:22" x14ac:dyDescent="0.15">
      <c r="D62" s="101"/>
      <c r="Q62" s="102" t="str">
        <f t="shared" si="0"/>
        <v/>
      </c>
      <c r="T62" s="103" t="str">
        <f t="shared" si="1"/>
        <v/>
      </c>
      <c r="V62" s="104" t="str">
        <f t="shared" si="2"/>
        <v/>
      </c>
    </row>
    <row r="63" spans="4:22" x14ac:dyDescent="0.15">
      <c r="D63" s="101"/>
      <c r="Q63" s="102" t="str">
        <f t="shared" si="0"/>
        <v/>
      </c>
      <c r="T63" s="103" t="str">
        <f t="shared" si="1"/>
        <v/>
      </c>
      <c r="V63" s="104" t="str">
        <f t="shared" si="2"/>
        <v/>
      </c>
    </row>
    <row r="64" spans="4:22"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07988E38-ABA9-4A29-A43D-631C4A429DEB}">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F18810C2-15C0-4EC3-A6E1-C97D4250BC57}">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D6736DCB-19B6-437C-A20D-98806F2CB341}">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F1AAECC7-0D40-4F8D-B0E1-EE9947B6A367}">
      <formula1>$AL$4:$AL$12</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F74C2693-3285-487D-900C-45F564329187}">
      <formula1>$AP$2:$AP$27</formula1>
    </dataValidation>
    <dataValidation type="list" allowBlank="1" showInputMessage="1" showErrorMessage="1" sqref="Y2:AA500" xr:uid="{28D9DB51-8D34-416D-84A8-E94A7CB6AC0D}">
      <formula1>$AV$2:$AV$21</formula1>
    </dataValidation>
    <dataValidation type="list" allowBlank="1" showInputMessage="1" showErrorMessage="1" sqref="H2:H500" xr:uid="{68A67ABE-AB92-4E9F-AD89-AF7FF1206B41}">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709A93C9-F4B2-4EBF-901A-C82EFD4333F1}">
      <formula1>$AH$2:$AH$11</formula1>
    </dataValidation>
    <dataValidation type="list" allowBlank="1" showInputMessage="1" showErrorMessage="1" sqref="K2:K89" xr:uid="{448FDAED-B936-46C0-A31C-77D448FF1E20}">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2758D7AE-4689-46E4-879B-FC4672EC93D3}">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19085355-0A24-4975-A69A-6C2549EA76CA}"/>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9992FCC5-A730-40B2-A782-074F7E18E1D1}">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030411F6-4AB8-45AD-9A13-51E0D9E06DF0}">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35BE0056-9752-4C4E-8C7C-D62EA9CCC6DA}">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4D93C619-0DE9-43D2-9DC1-2D497DE7A58D}">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89D14-D165-4456-B5EB-D2BF7C09D3C5}">
  <sheetPr>
    <pageSetUpPr fitToPage="1"/>
  </sheetPr>
  <dimension ref="A1:BA99"/>
  <sheetViews>
    <sheetView zoomScale="85" zoomScaleNormal="85" workbookViewId="0">
      <selection activeCell="H17" sqref="H17:H19"/>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282</v>
      </c>
      <c r="B1" s="55" t="s">
        <v>1</v>
      </c>
      <c r="C1" s="55" t="s">
        <v>2</v>
      </c>
      <c r="D1" s="56" t="s">
        <v>3</v>
      </c>
      <c r="E1" s="56" t="s">
        <v>283</v>
      </c>
      <c r="F1" s="56" t="s">
        <v>5</v>
      </c>
      <c r="G1" s="56" t="s">
        <v>6</v>
      </c>
      <c r="H1" s="56" t="s">
        <v>284</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237</v>
      </c>
      <c r="C2" s="127">
        <v>2019</v>
      </c>
      <c r="D2" s="128" t="s">
        <v>285</v>
      </c>
      <c r="E2" s="127" t="s">
        <v>286</v>
      </c>
      <c r="F2" s="127" t="s">
        <v>287</v>
      </c>
      <c r="G2" s="127" t="s">
        <v>42</v>
      </c>
      <c r="H2" s="53" t="s">
        <v>127</v>
      </c>
      <c r="I2" s="53" t="s">
        <v>159</v>
      </c>
      <c r="J2" s="127" t="s">
        <v>67</v>
      </c>
      <c r="K2" s="53" t="s">
        <v>87</v>
      </c>
      <c r="L2" s="53">
        <v>1</v>
      </c>
      <c r="M2" s="53"/>
      <c r="N2" s="53">
        <v>1</v>
      </c>
      <c r="O2" s="53">
        <v>0.9</v>
      </c>
      <c r="P2" s="53">
        <v>0.85</v>
      </c>
      <c r="Q2" s="74">
        <f t="shared" ref="Q2:Q65" si="0">IF(OR(O2="",P2=""),"",AVERAGE(O2,P2))</f>
        <v>0.875</v>
      </c>
      <c r="R2" s="53">
        <v>13</v>
      </c>
      <c r="S2" s="53">
        <v>78.5</v>
      </c>
      <c r="T2" s="16">
        <f t="shared" ref="T2:T65" si="1">IF(H2="","",IF(OR(H2="GREEN",H2="GK"),IF(S2&gt;=$AX$2,VLOOKUP(S2,$AX$2:$AY$12,2,1),""),IF(S2&gt;=$AZ$2,VLOOKUP(S2,$AZ$2:$BA$12,2,1),"")))</f>
        <v>39</v>
      </c>
      <c r="U2" s="53">
        <v>83</v>
      </c>
      <c r="V2" s="129">
        <f t="shared" ref="V2:V65" si="2">IF(OR(N2="",U2="",T2=""),"",U2/N2*T2)</f>
        <v>3237</v>
      </c>
      <c r="W2" s="53">
        <v>2</v>
      </c>
      <c r="X2" s="127" t="s">
        <v>39</v>
      </c>
      <c r="Y2" s="53" t="s">
        <v>84</v>
      </c>
      <c r="Z2" s="53" t="s">
        <v>90</v>
      </c>
      <c r="AA2" s="53" t="s">
        <v>50</v>
      </c>
      <c r="AB2" s="127" t="s">
        <v>241</v>
      </c>
      <c r="AC2" s="34"/>
      <c r="AE2" s="64" t="s">
        <v>35</v>
      </c>
      <c r="AG2" s="49" t="s">
        <v>286</v>
      </c>
      <c r="AH2" s="49" t="s">
        <v>288</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237</v>
      </c>
      <c r="C3" s="127">
        <v>2019</v>
      </c>
      <c r="D3" s="128" t="s">
        <v>285</v>
      </c>
      <c r="E3" s="127" t="s">
        <v>286</v>
      </c>
      <c r="F3" s="127" t="s">
        <v>287</v>
      </c>
      <c r="G3" s="127" t="s">
        <v>42</v>
      </c>
      <c r="H3" s="53" t="s">
        <v>127</v>
      </c>
      <c r="I3" s="53" t="s">
        <v>159</v>
      </c>
      <c r="J3" s="127" t="s">
        <v>67</v>
      </c>
      <c r="K3" s="53" t="s">
        <v>87</v>
      </c>
      <c r="L3" s="53">
        <v>2</v>
      </c>
      <c r="N3" s="53">
        <v>1</v>
      </c>
      <c r="O3" s="53">
        <v>0.4</v>
      </c>
      <c r="P3" s="53">
        <v>0.4</v>
      </c>
      <c r="Q3" s="74">
        <f t="shared" si="0"/>
        <v>0.4</v>
      </c>
      <c r="R3" s="53">
        <v>14.4</v>
      </c>
      <c r="S3" s="53">
        <v>85.5</v>
      </c>
      <c r="T3" s="16">
        <f t="shared" si="1"/>
        <v>39</v>
      </c>
      <c r="U3" s="53">
        <v>83</v>
      </c>
      <c r="V3" s="129">
        <f t="shared" si="2"/>
        <v>3237</v>
      </c>
      <c r="W3" s="53">
        <v>2</v>
      </c>
      <c r="X3" s="127" t="s">
        <v>39</v>
      </c>
      <c r="Y3" s="53" t="s">
        <v>84</v>
      </c>
      <c r="Z3" s="53" t="s">
        <v>90</v>
      </c>
      <c r="AA3" s="53" t="s">
        <v>50</v>
      </c>
      <c r="AB3" s="127" t="s">
        <v>241</v>
      </c>
      <c r="AC3" s="34"/>
      <c r="AE3" s="22" t="s">
        <v>41</v>
      </c>
      <c r="AG3" s="49" t="s">
        <v>289</v>
      </c>
      <c r="AH3" s="49" t="s">
        <v>290</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237</v>
      </c>
      <c r="C4" s="127">
        <v>2019</v>
      </c>
      <c r="D4" s="128" t="s">
        <v>285</v>
      </c>
      <c r="E4" s="127" t="s">
        <v>286</v>
      </c>
      <c r="F4" s="127" t="s">
        <v>287</v>
      </c>
      <c r="G4" s="127" t="s">
        <v>42</v>
      </c>
      <c r="H4" s="53" t="s">
        <v>127</v>
      </c>
      <c r="I4" s="53" t="s">
        <v>159</v>
      </c>
      <c r="J4" s="127" t="s">
        <v>67</v>
      </c>
      <c r="K4" s="53" t="s">
        <v>213</v>
      </c>
      <c r="L4" s="53">
        <v>3</v>
      </c>
      <c r="N4" s="53">
        <v>1</v>
      </c>
      <c r="O4" s="53">
        <v>0.5</v>
      </c>
      <c r="P4" s="53">
        <v>0.5</v>
      </c>
      <c r="Q4" s="74">
        <f t="shared" si="0"/>
        <v>0.5</v>
      </c>
      <c r="R4" s="53">
        <v>12.3</v>
      </c>
      <c r="S4" s="53">
        <v>74.5</v>
      </c>
      <c r="T4" s="16">
        <f t="shared" si="1"/>
        <v>42</v>
      </c>
      <c r="U4" s="53">
        <v>83</v>
      </c>
      <c r="V4" s="129">
        <f t="shared" si="2"/>
        <v>3486</v>
      </c>
      <c r="W4" s="53">
        <v>2</v>
      </c>
      <c r="X4" s="127" t="s">
        <v>39</v>
      </c>
      <c r="Y4" s="53" t="s">
        <v>84</v>
      </c>
      <c r="Z4" s="53" t="s">
        <v>90</v>
      </c>
      <c r="AA4" s="53" t="s">
        <v>50</v>
      </c>
      <c r="AB4" s="127" t="s">
        <v>241</v>
      </c>
      <c r="AC4" s="34"/>
      <c r="AE4" s="22" t="s">
        <v>34</v>
      </c>
      <c r="AG4" s="49" t="s">
        <v>291</v>
      </c>
      <c r="AH4" s="49" t="s">
        <v>292</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237</v>
      </c>
      <c r="C5" s="127">
        <v>2019</v>
      </c>
      <c r="D5" s="128" t="s">
        <v>285</v>
      </c>
      <c r="E5" s="127" t="s">
        <v>289</v>
      </c>
      <c r="F5" s="127" t="s">
        <v>293</v>
      </c>
      <c r="G5" s="127" t="s">
        <v>42</v>
      </c>
      <c r="H5" s="53" t="s">
        <v>164</v>
      </c>
      <c r="I5" s="53" t="s">
        <v>159</v>
      </c>
      <c r="J5" s="127" t="s">
        <v>38</v>
      </c>
      <c r="K5" s="53" t="s">
        <v>161</v>
      </c>
      <c r="L5" s="53">
        <v>1</v>
      </c>
      <c r="N5" s="53">
        <v>1</v>
      </c>
      <c r="O5" s="53">
        <v>0.5</v>
      </c>
      <c r="P5" s="53">
        <v>0.6</v>
      </c>
      <c r="Q5" s="74">
        <f t="shared" si="0"/>
        <v>0.55000000000000004</v>
      </c>
      <c r="R5" s="53">
        <v>16.5</v>
      </c>
      <c r="S5" s="53">
        <v>137.5</v>
      </c>
      <c r="T5" s="16">
        <f t="shared" si="1"/>
        <v>25</v>
      </c>
      <c r="U5" s="53">
        <v>128</v>
      </c>
      <c r="V5" s="129">
        <f t="shared" si="2"/>
        <v>3200</v>
      </c>
      <c r="W5" s="53">
        <v>3</v>
      </c>
      <c r="X5" s="127" t="s">
        <v>46</v>
      </c>
      <c r="Y5" s="53" t="s">
        <v>84</v>
      </c>
      <c r="Z5" s="53" t="s">
        <v>90</v>
      </c>
      <c r="AA5" s="53" t="s">
        <v>69</v>
      </c>
      <c r="AB5" s="127" t="s">
        <v>241</v>
      </c>
      <c r="AC5" s="34"/>
      <c r="AE5" s="22" t="s">
        <v>59</v>
      </c>
      <c r="AG5" s="49" t="s">
        <v>294</v>
      </c>
      <c r="AH5" s="49" t="s">
        <v>295</v>
      </c>
      <c r="AJ5" s="28"/>
      <c r="AL5" s="34" t="s">
        <v>134</v>
      </c>
      <c r="AN5" s="73"/>
      <c r="AP5" s="23" t="s">
        <v>62</v>
      </c>
      <c r="AR5" s="23" t="s">
        <v>81</v>
      </c>
      <c r="AV5" s="23" t="s">
        <v>97</v>
      </c>
      <c r="AX5" s="24">
        <v>119</v>
      </c>
      <c r="AY5" s="25">
        <v>30</v>
      </c>
      <c r="AZ5" s="25">
        <v>121</v>
      </c>
      <c r="BA5" s="26">
        <v>27</v>
      </c>
    </row>
    <row r="6" spans="1:53" x14ac:dyDescent="0.15">
      <c r="A6" s="127" t="s">
        <v>61</v>
      </c>
      <c r="B6" s="127" t="s">
        <v>237</v>
      </c>
      <c r="C6" s="127">
        <v>2019</v>
      </c>
      <c r="D6" s="128" t="s">
        <v>285</v>
      </c>
      <c r="E6" s="127" t="s">
        <v>289</v>
      </c>
      <c r="F6" s="127" t="s">
        <v>293</v>
      </c>
      <c r="G6" s="127" t="s">
        <v>42</v>
      </c>
      <c r="H6" s="53" t="s">
        <v>164</v>
      </c>
      <c r="I6" s="53" t="s">
        <v>159</v>
      </c>
      <c r="J6" s="127" t="s">
        <v>38</v>
      </c>
      <c r="K6" s="53" t="s">
        <v>161</v>
      </c>
      <c r="L6" s="53">
        <v>2</v>
      </c>
      <c r="N6" s="53">
        <v>1</v>
      </c>
      <c r="O6" s="53">
        <v>0.5</v>
      </c>
      <c r="P6" s="53">
        <v>0.6</v>
      </c>
      <c r="Q6" s="74">
        <f t="shared" si="0"/>
        <v>0.55000000000000004</v>
      </c>
      <c r="R6" s="34">
        <v>16.2</v>
      </c>
      <c r="S6" s="53">
        <v>113.5</v>
      </c>
      <c r="T6" s="16">
        <f t="shared" si="1"/>
        <v>39</v>
      </c>
      <c r="U6" s="53">
        <v>128</v>
      </c>
      <c r="V6" s="129">
        <f t="shared" si="2"/>
        <v>4992</v>
      </c>
      <c r="W6" s="53">
        <v>3</v>
      </c>
      <c r="X6" s="127" t="s">
        <v>46</v>
      </c>
      <c r="Y6" s="53" t="s">
        <v>84</v>
      </c>
      <c r="Z6" s="53" t="s">
        <v>90</v>
      </c>
      <c r="AA6" s="53" t="s">
        <v>69</v>
      </c>
      <c r="AB6" s="127" t="s">
        <v>241</v>
      </c>
      <c r="AC6" s="34"/>
      <c r="AE6" s="22" t="s">
        <v>98</v>
      </c>
      <c r="AG6" s="49" t="s">
        <v>133</v>
      </c>
      <c r="AH6" s="49" t="s">
        <v>296</v>
      </c>
      <c r="AL6" s="73"/>
      <c r="AN6" s="73"/>
      <c r="AP6" s="23" t="s">
        <v>95</v>
      </c>
      <c r="AR6" s="23" t="s">
        <v>89</v>
      </c>
      <c r="AV6" s="23" t="s">
        <v>102</v>
      </c>
      <c r="AX6" s="24">
        <v>128</v>
      </c>
      <c r="AY6" s="25">
        <v>27</v>
      </c>
      <c r="AZ6" s="25">
        <v>129</v>
      </c>
      <c r="BA6" s="26">
        <v>25</v>
      </c>
    </row>
    <row r="7" spans="1:53" x14ac:dyDescent="0.15">
      <c r="A7" s="127" t="s">
        <v>61</v>
      </c>
      <c r="B7" s="127" t="s">
        <v>237</v>
      </c>
      <c r="C7" s="127">
        <v>2019</v>
      </c>
      <c r="D7" s="128" t="s">
        <v>285</v>
      </c>
      <c r="E7" s="127" t="s">
        <v>289</v>
      </c>
      <c r="F7" s="127" t="s">
        <v>293</v>
      </c>
      <c r="G7" s="127" t="s">
        <v>42</v>
      </c>
      <c r="H7" s="53" t="s">
        <v>164</v>
      </c>
      <c r="I7" s="53" t="s">
        <v>159</v>
      </c>
      <c r="J7" s="127" t="s">
        <v>38</v>
      </c>
      <c r="K7" s="53" t="s">
        <v>161</v>
      </c>
      <c r="L7" s="53">
        <v>3</v>
      </c>
      <c r="N7" s="53">
        <v>1</v>
      </c>
      <c r="O7" s="53">
        <v>0.4</v>
      </c>
      <c r="P7" s="53">
        <v>0.4</v>
      </c>
      <c r="Q7" s="74">
        <f t="shared" si="0"/>
        <v>0.4</v>
      </c>
      <c r="R7" s="53">
        <v>15.6</v>
      </c>
      <c r="S7" s="53">
        <v>138</v>
      </c>
      <c r="T7" s="16">
        <f t="shared" si="1"/>
        <v>22</v>
      </c>
      <c r="U7" s="53">
        <v>128</v>
      </c>
      <c r="V7" s="129">
        <f t="shared" si="2"/>
        <v>2816</v>
      </c>
      <c r="W7" s="53">
        <v>3</v>
      </c>
      <c r="X7" s="127" t="s">
        <v>46</v>
      </c>
      <c r="Y7" s="53" t="s">
        <v>84</v>
      </c>
      <c r="Z7" s="53" t="s">
        <v>90</v>
      </c>
      <c r="AA7" s="53" t="s">
        <v>69</v>
      </c>
      <c r="AB7" s="127" t="s">
        <v>241</v>
      </c>
      <c r="AC7" s="34"/>
      <c r="AE7" s="22" t="s">
        <v>103</v>
      </c>
      <c r="AG7" s="49" t="s">
        <v>297</v>
      </c>
      <c r="AH7" s="49" t="s">
        <v>298</v>
      </c>
      <c r="AL7" s="27"/>
      <c r="AP7" s="23" t="s">
        <v>100</v>
      </c>
      <c r="AR7" s="23" t="s">
        <v>123</v>
      </c>
      <c r="AV7" s="23" t="s">
        <v>106</v>
      </c>
      <c r="AX7" s="24">
        <v>138</v>
      </c>
      <c r="AY7" s="25">
        <v>25</v>
      </c>
      <c r="AZ7" s="25">
        <v>138</v>
      </c>
      <c r="BA7" s="26">
        <v>22</v>
      </c>
    </row>
    <row r="8" spans="1:53" x14ac:dyDescent="0.15">
      <c r="A8" s="127" t="s">
        <v>61</v>
      </c>
      <c r="B8" s="127" t="s">
        <v>237</v>
      </c>
      <c r="C8" s="127">
        <v>2019</v>
      </c>
      <c r="D8" s="128" t="s">
        <v>285</v>
      </c>
      <c r="E8" s="127" t="s">
        <v>291</v>
      </c>
      <c r="F8" s="127" t="s">
        <v>292</v>
      </c>
      <c r="G8" s="127" t="s">
        <v>42</v>
      </c>
      <c r="H8" s="53" t="s">
        <v>127</v>
      </c>
      <c r="I8" s="53" t="s">
        <v>159</v>
      </c>
      <c r="J8" s="127" t="s">
        <v>80</v>
      </c>
      <c r="K8" s="53" t="s">
        <v>94</v>
      </c>
      <c r="L8" s="53">
        <v>1</v>
      </c>
      <c r="N8" s="53">
        <v>3</v>
      </c>
      <c r="O8" s="53">
        <v>0.6</v>
      </c>
      <c r="P8" s="53">
        <v>0.5</v>
      </c>
      <c r="Q8" s="74">
        <f t="shared" si="0"/>
        <v>0.55000000000000004</v>
      </c>
      <c r="R8" s="53">
        <v>15.7</v>
      </c>
      <c r="S8" s="53">
        <v>100</v>
      </c>
      <c r="T8" s="16">
        <f t="shared" si="1"/>
        <v>39</v>
      </c>
      <c r="U8" s="53">
        <v>198</v>
      </c>
      <c r="V8" s="129">
        <f t="shared" si="2"/>
        <v>2574</v>
      </c>
      <c r="W8" s="53">
        <v>4</v>
      </c>
      <c r="X8" s="127" t="s">
        <v>46</v>
      </c>
      <c r="Y8" s="53" t="s">
        <v>84</v>
      </c>
      <c r="Z8" s="53" t="s">
        <v>90</v>
      </c>
      <c r="AA8" s="53" t="s">
        <v>50</v>
      </c>
      <c r="AB8" s="127" t="s">
        <v>241</v>
      </c>
      <c r="AC8" s="34"/>
      <c r="AE8" s="22" t="s">
        <v>65</v>
      </c>
      <c r="AG8" s="49" t="s">
        <v>299</v>
      </c>
      <c r="AH8" s="49" t="s">
        <v>298</v>
      </c>
      <c r="AL8" s="134"/>
      <c r="AP8" s="23" t="s">
        <v>104</v>
      </c>
      <c r="AR8" s="23" t="s">
        <v>87</v>
      </c>
      <c r="AV8" s="135" t="s">
        <v>300</v>
      </c>
      <c r="AX8" s="24">
        <v>151</v>
      </c>
      <c r="AY8" s="25">
        <v>22</v>
      </c>
      <c r="AZ8" s="25">
        <v>152</v>
      </c>
      <c r="BA8" s="26">
        <v>18</v>
      </c>
    </row>
    <row r="9" spans="1:53" x14ac:dyDescent="0.15">
      <c r="A9" s="127" t="s">
        <v>61</v>
      </c>
      <c r="B9" s="127" t="s">
        <v>237</v>
      </c>
      <c r="C9" s="127">
        <v>2019</v>
      </c>
      <c r="D9" s="128" t="s">
        <v>285</v>
      </c>
      <c r="E9" s="127" t="s">
        <v>291</v>
      </c>
      <c r="F9" s="127" t="s">
        <v>292</v>
      </c>
      <c r="G9" s="127" t="s">
        <v>42</v>
      </c>
      <c r="H9" s="53" t="s">
        <v>127</v>
      </c>
      <c r="I9" s="53" t="s">
        <v>159</v>
      </c>
      <c r="J9" s="127" t="s">
        <v>80</v>
      </c>
      <c r="K9" s="53" t="s">
        <v>94</v>
      </c>
      <c r="L9" s="53">
        <v>2</v>
      </c>
      <c r="N9" s="53">
        <v>3</v>
      </c>
      <c r="O9" s="53">
        <v>0.7</v>
      </c>
      <c r="P9" s="53">
        <v>0.7</v>
      </c>
      <c r="Q9" s="74">
        <f t="shared" si="0"/>
        <v>0.7</v>
      </c>
      <c r="R9" s="34">
        <v>12.2</v>
      </c>
      <c r="S9" s="53">
        <v>103.5</v>
      </c>
      <c r="T9" s="16">
        <f t="shared" si="1"/>
        <v>39</v>
      </c>
      <c r="U9" s="53">
        <v>198</v>
      </c>
      <c r="V9" s="129">
        <f t="shared" si="2"/>
        <v>2574</v>
      </c>
      <c r="W9" s="53">
        <v>4</v>
      </c>
      <c r="X9" s="127" t="s">
        <v>46</v>
      </c>
      <c r="Y9" s="53" t="s">
        <v>84</v>
      </c>
      <c r="Z9" s="53" t="s">
        <v>90</v>
      </c>
      <c r="AA9" s="53" t="s">
        <v>50</v>
      </c>
      <c r="AB9" s="127" t="s">
        <v>241</v>
      </c>
      <c r="AC9" s="34"/>
      <c r="AE9" s="22" t="s">
        <v>70</v>
      </c>
      <c r="AG9" s="23"/>
      <c r="AH9" s="22"/>
      <c r="AL9" s="134"/>
      <c r="AP9" s="23" t="s">
        <v>67</v>
      </c>
      <c r="AR9" s="23" t="s">
        <v>124</v>
      </c>
      <c r="AV9" s="135" t="s">
        <v>301</v>
      </c>
      <c r="AX9" s="24">
        <v>180</v>
      </c>
      <c r="AY9" s="25">
        <v>18</v>
      </c>
      <c r="AZ9" s="25">
        <v>181</v>
      </c>
      <c r="BA9" s="26">
        <v>16</v>
      </c>
    </row>
    <row r="10" spans="1:53" x14ac:dyDescent="0.15">
      <c r="A10" s="127" t="s">
        <v>61</v>
      </c>
      <c r="B10" s="127" t="s">
        <v>237</v>
      </c>
      <c r="C10" s="127">
        <v>2019</v>
      </c>
      <c r="D10" s="128" t="s">
        <v>285</v>
      </c>
      <c r="E10" s="127" t="s">
        <v>291</v>
      </c>
      <c r="F10" s="127" t="s">
        <v>292</v>
      </c>
      <c r="G10" s="127" t="s">
        <v>42</v>
      </c>
      <c r="H10" s="53" t="s">
        <v>127</v>
      </c>
      <c r="I10" s="53" t="s">
        <v>159</v>
      </c>
      <c r="J10" s="127" t="s">
        <v>80</v>
      </c>
      <c r="K10" s="53" t="s">
        <v>94</v>
      </c>
      <c r="L10" s="53">
        <v>3</v>
      </c>
      <c r="N10" s="53">
        <v>3</v>
      </c>
      <c r="O10" s="53">
        <v>0.5</v>
      </c>
      <c r="P10" s="53">
        <v>0.5</v>
      </c>
      <c r="Q10" s="74">
        <f t="shared" si="0"/>
        <v>0.5</v>
      </c>
      <c r="R10" s="53">
        <v>15.1</v>
      </c>
      <c r="S10" s="53">
        <v>108</v>
      </c>
      <c r="T10" s="16">
        <f t="shared" si="1"/>
        <v>39</v>
      </c>
      <c r="U10" s="53">
        <v>198</v>
      </c>
      <c r="V10" s="129">
        <f t="shared" si="2"/>
        <v>2574</v>
      </c>
      <c r="W10" s="53">
        <v>4</v>
      </c>
      <c r="X10" s="127" t="s">
        <v>46</v>
      </c>
      <c r="Y10" s="53" t="s">
        <v>84</v>
      </c>
      <c r="Z10" s="53" t="s">
        <v>90</v>
      </c>
      <c r="AA10" s="53" t="s">
        <v>50</v>
      </c>
      <c r="AB10" s="127" t="s">
        <v>241</v>
      </c>
      <c r="AC10" s="34"/>
      <c r="AE10" s="22" t="s">
        <v>73</v>
      </c>
      <c r="AG10" s="23"/>
      <c r="AH10" s="22"/>
      <c r="AL10" s="136"/>
      <c r="AP10" s="23" t="s">
        <v>71</v>
      </c>
      <c r="AR10" s="23" t="s">
        <v>103</v>
      </c>
      <c r="AV10" s="135" t="s">
        <v>302</v>
      </c>
      <c r="AX10" s="24"/>
      <c r="AY10" s="25"/>
      <c r="AZ10" s="25"/>
      <c r="BA10" s="26"/>
    </row>
    <row r="11" spans="1:53" x14ac:dyDescent="0.15">
      <c r="A11" s="127" t="s">
        <v>61</v>
      </c>
      <c r="B11" s="127" t="s">
        <v>237</v>
      </c>
      <c r="C11" s="127">
        <v>2019</v>
      </c>
      <c r="D11" s="128" t="s">
        <v>285</v>
      </c>
      <c r="E11" s="127" t="s">
        <v>291</v>
      </c>
      <c r="F11" s="127" t="s">
        <v>292</v>
      </c>
      <c r="G11" s="127" t="s">
        <v>42</v>
      </c>
      <c r="H11" s="53" t="s">
        <v>164</v>
      </c>
      <c r="I11" s="53" t="s">
        <v>159</v>
      </c>
      <c r="J11" s="127" t="s">
        <v>38</v>
      </c>
      <c r="K11" s="53" t="s">
        <v>161</v>
      </c>
      <c r="L11" s="53">
        <v>1</v>
      </c>
      <c r="N11" s="53">
        <v>1</v>
      </c>
      <c r="O11" s="53">
        <v>1.1000000000000001</v>
      </c>
      <c r="P11" s="53">
        <v>9</v>
      </c>
      <c r="Q11" s="74">
        <f t="shared" si="0"/>
        <v>5.05</v>
      </c>
      <c r="R11" s="53">
        <v>15.7</v>
      </c>
      <c r="S11" s="53">
        <v>117</v>
      </c>
      <c r="T11" s="16">
        <f t="shared" si="1"/>
        <v>39</v>
      </c>
      <c r="U11" s="53">
        <v>98</v>
      </c>
      <c r="V11" s="129">
        <f t="shared" si="2"/>
        <v>3822</v>
      </c>
      <c r="W11" s="53">
        <v>4</v>
      </c>
      <c r="X11" s="127" t="s">
        <v>46</v>
      </c>
      <c r="Y11" s="53" t="s">
        <v>84</v>
      </c>
      <c r="Z11" s="53" t="s">
        <v>90</v>
      </c>
      <c r="AA11" s="53" t="s">
        <v>50</v>
      </c>
      <c r="AB11" s="127" t="s">
        <v>241</v>
      </c>
      <c r="AC11" s="34"/>
      <c r="AE11" s="22" t="s">
        <v>76</v>
      </c>
      <c r="AG11" s="23"/>
      <c r="AH11" s="22"/>
      <c r="AL11" s="34"/>
      <c r="AP11" s="23" t="s">
        <v>74</v>
      </c>
      <c r="AR11" s="23" t="s">
        <v>125</v>
      </c>
      <c r="AV11" s="135" t="s">
        <v>303</v>
      </c>
      <c r="AX11" s="24"/>
      <c r="AY11" s="25"/>
      <c r="AZ11" s="25"/>
      <c r="BA11" s="26"/>
    </row>
    <row r="12" spans="1:53" x14ac:dyDescent="0.15">
      <c r="A12" s="127" t="s">
        <v>61</v>
      </c>
      <c r="B12" s="127" t="s">
        <v>237</v>
      </c>
      <c r="C12" s="127">
        <v>2019</v>
      </c>
      <c r="D12" s="128" t="s">
        <v>285</v>
      </c>
      <c r="E12" s="127" t="s">
        <v>291</v>
      </c>
      <c r="F12" s="127" t="s">
        <v>292</v>
      </c>
      <c r="G12" s="127" t="s">
        <v>42</v>
      </c>
      <c r="H12" s="53" t="s">
        <v>164</v>
      </c>
      <c r="I12" s="53" t="s">
        <v>159</v>
      </c>
      <c r="J12" s="127" t="s">
        <v>38</v>
      </c>
      <c r="K12" s="53" t="s">
        <v>161</v>
      </c>
      <c r="L12" s="53">
        <v>2</v>
      </c>
      <c r="N12" s="53">
        <v>1</v>
      </c>
      <c r="O12" s="53">
        <v>0.3</v>
      </c>
      <c r="P12" s="53">
        <v>0.5</v>
      </c>
      <c r="Q12" s="74">
        <f t="shared" si="0"/>
        <v>0.4</v>
      </c>
      <c r="R12" s="34">
        <v>15.7</v>
      </c>
      <c r="S12" s="53">
        <v>115</v>
      </c>
      <c r="T12" s="16">
        <f t="shared" si="1"/>
        <v>39</v>
      </c>
      <c r="U12" s="53">
        <v>98</v>
      </c>
      <c r="V12" s="129">
        <f t="shared" si="2"/>
        <v>3822</v>
      </c>
      <c r="W12" s="53">
        <v>4</v>
      </c>
      <c r="X12" s="127" t="s">
        <v>46</v>
      </c>
      <c r="Y12" s="53" t="s">
        <v>84</v>
      </c>
      <c r="Z12" s="53" t="s">
        <v>90</v>
      </c>
      <c r="AA12" s="53" t="s">
        <v>50</v>
      </c>
      <c r="AB12" s="127" t="s">
        <v>241</v>
      </c>
      <c r="AC12" s="34"/>
      <c r="AE12" s="22" t="s">
        <v>79</v>
      </c>
      <c r="AG12" s="23"/>
      <c r="AH12" s="23"/>
      <c r="AL12" s="34"/>
      <c r="AP12" s="23" t="s">
        <v>77</v>
      </c>
      <c r="AR12" s="23" t="s">
        <v>94</v>
      </c>
      <c r="AV12" s="135" t="s">
        <v>304</v>
      </c>
      <c r="AX12" s="31"/>
      <c r="AY12" s="32"/>
      <c r="AZ12" s="32"/>
      <c r="BA12" s="33"/>
    </row>
    <row r="13" spans="1:53" x14ac:dyDescent="0.15">
      <c r="A13" s="127" t="s">
        <v>61</v>
      </c>
      <c r="B13" s="127" t="s">
        <v>237</v>
      </c>
      <c r="C13" s="127">
        <v>2019</v>
      </c>
      <c r="D13" s="128" t="s">
        <v>285</v>
      </c>
      <c r="E13" s="127" t="s">
        <v>291</v>
      </c>
      <c r="F13" s="127" t="s">
        <v>292</v>
      </c>
      <c r="G13" s="127" t="s">
        <v>42</v>
      </c>
      <c r="H13" s="53" t="s">
        <v>164</v>
      </c>
      <c r="I13" s="53" t="s">
        <v>159</v>
      </c>
      <c r="J13" s="127" t="s">
        <v>38</v>
      </c>
      <c r="K13" s="53" t="s">
        <v>161</v>
      </c>
      <c r="L13" s="53">
        <v>3</v>
      </c>
      <c r="N13" s="53">
        <v>1</v>
      </c>
      <c r="O13" s="53">
        <v>0.6</v>
      </c>
      <c r="P13" s="53">
        <v>0.5</v>
      </c>
      <c r="Q13" s="74">
        <f t="shared" si="0"/>
        <v>0.55000000000000004</v>
      </c>
      <c r="R13" s="53">
        <v>15.2</v>
      </c>
      <c r="S13" s="53">
        <v>115</v>
      </c>
      <c r="T13" s="16">
        <f t="shared" si="1"/>
        <v>39</v>
      </c>
      <c r="U13" s="53">
        <v>98</v>
      </c>
      <c r="V13" s="129">
        <f t="shared" si="2"/>
        <v>3822</v>
      </c>
      <c r="W13" s="53">
        <v>4</v>
      </c>
      <c r="X13" s="127" t="s">
        <v>46</v>
      </c>
      <c r="Y13" s="53" t="s">
        <v>84</v>
      </c>
      <c r="Z13" s="53" t="s">
        <v>90</v>
      </c>
      <c r="AA13" s="53" t="s">
        <v>50</v>
      </c>
      <c r="AB13" s="127" t="s">
        <v>241</v>
      </c>
      <c r="AC13" s="34"/>
      <c r="AE13" s="22" t="s">
        <v>82</v>
      </c>
      <c r="AG13" s="23"/>
      <c r="AH13" s="23"/>
      <c r="AP13" s="23" t="s">
        <v>80</v>
      </c>
      <c r="AR13" s="23" t="s">
        <v>63</v>
      </c>
      <c r="AV13" s="135" t="s">
        <v>305</v>
      </c>
    </row>
    <row r="14" spans="1:53" x14ac:dyDescent="0.15">
      <c r="A14" s="127" t="s">
        <v>61</v>
      </c>
      <c r="B14" s="127" t="s">
        <v>237</v>
      </c>
      <c r="C14" s="127">
        <v>2019</v>
      </c>
      <c r="D14" s="128" t="s">
        <v>285</v>
      </c>
      <c r="E14" s="127" t="s">
        <v>291</v>
      </c>
      <c r="F14" s="127" t="s">
        <v>292</v>
      </c>
      <c r="G14" s="127" t="s">
        <v>42</v>
      </c>
      <c r="H14" s="53" t="s">
        <v>128</v>
      </c>
      <c r="I14" s="53" t="s">
        <v>159</v>
      </c>
      <c r="J14" s="127" t="s">
        <v>80</v>
      </c>
      <c r="K14" s="53" t="s">
        <v>105</v>
      </c>
      <c r="L14" s="53">
        <v>1</v>
      </c>
      <c r="N14" s="53">
        <v>1</v>
      </c>
      <c r="O14" s="53">
        <v>0.4</v>
      </c>
      <c r="P14" s="53">
        <v>0.4</v>
      </c>
      <c r="Q14" s="74">
        <f t="shared" si="0"/>
        <v>0.4</v>
      </c>
      <c r="R14" s="53">
        <v>15.4</v>
      </c>
      <c r="S14" s="53">
        <v>146.5</v>
      </c>
      <c r="T14" s="16">
        <f t="shared" si="1"/>
        <v>22</v>
      </c>
      <c r="U14" s="53">
        <v>158</v>
      </c>
      <c r="V14" s="129">
        <f t="shared" si="2"/>
        <v>3476</v>
      </c>
      <c r="W14" s="53">
        <v>5</v>
      </c>
      <c r="X14" s="127" t="s">
        <v>46</v>
      </c>
      <c r="Y14" s="53" t="s">
        <v>84</v>
      </c>
      <c r="Z14" s="53" t="s">
        <v>90</v>
      </c>
      <c r="AA14" s="53" t="s">
        <v>50</v>
      </c>
      <c r="AB14" s="127" t="s">
        <v>241</v>
      </c>
      <c r="AC14" s="34"/>
      <c r="AE14" s="22"/>
      <c r="AP14" s="27" t="s">
        <v>113</v>
      </c>
      <c r="AR14" s="23" t="s">
        <v>105</v>
      </c>
      <c r="AV14" s="135" t="s">
        <v>306</v>
      </c>
    </row>
    <row r="15" spans="1:53" x14ac:dyDescent="0.15">
      <c r="A15" s="127" t="s">
        <v>61</v>
      </c>
      <c r="B15" s="127" t="s">
        <v>237</v>
      </c>
      <c r="C15" s="127">
        <v>2019</v>
      </c>
      <c r="D15" s="128" t="s">
        <v>285</v>
      </c>
      <c r="E15" s="127" t="s">
        <v>291</v>
      </c>
      <c r="F15" s="127" t="s">
        <v>292</v>
      </c>
      <c r="G15" s="127" t="s">
        <v>42</v>
      </c>
      <c r="H15" s="53" t="s">
        <v>128</v>
      </c>
      <c r="I15" s="53" t="s">
        <v>159</v>
      </c>
      <c r="J15" s="127" t="s">
        <v>80</v>
      </c>
      <c r="K15" s="53" t="s">
        <v>105</v>
      </c>
      <c r="L15" s="53">
        <v>2</v>
      </c>
      <c r="N15" s="53">
        <v>1</v>
      </c>
      <c r="O15" s="53">
        <v>0.5</v>
      </c>
      <c r="P15" s="53">
        <v>0.5</v>
      </c>
      <c r="Q15" s="74">
        <f t="shared" si="0"/>
        <v>0.5</v>
      </c>
      <c r="R15" s="53">
        <v>13.9</v>
      </c>
      <c r="S15" s="53">
        <v>148.5</v>
      </c>
      <c r="T15" s="16">
        <f t="shared" si="1"/>
        <v>22</v>
      </c>
      <c r="U15" s="53">
        <v>158</v>
      </c>
      <c r="V15" s="129">
        <f t="shared" si="2"/>
        <v>3476</v>
      </c>
      <c r="W15" s="53">
        <v>6</v>
      </c>
      <c r="X15" s="127" t="s">
        <v>46</v>
      </c>
      <c r="Y15" s="53" t="s">
        <v>84</v>
      </c>
      <c r="Z15" s="53" t="s">
        <v>90</v>
      </c>
      <c r="AA15" s="53" t="s">
        <v>50</v>
      </c>
      <c r="AB15" s="127" t="s">
        <v>241</v>
      </c>
      <c r="AC15" s="34"/>
      <c r="AE15" s="22"/>
      <c r="AP15" s="27" t="s">
        <v>114</v>
      </c>
      <c r="AR15" s="23" t="s">
        <v>68</v>
      </c>
      <c r="AV15" s="135" t="s">
        <v>307</v>
      </c>
    </row>
    <row r="16" spans="1:53" x14ac:dyDescent="0.15">
      <c r="A16" s="127" t="s">
        <v>61</v>
      </c>
      <c r="B16" s="127" t="s">
        <v>237</v>
      </c>
      <c r="C16" s="127">
        <v>2019</v>
      </c>
      <c r="D16" s="128" t="s">
        <v>285</v>
      </c>
      <c r="E16" s="127" t="s">
        <v>291</v>
      </c>
      <c r="F16" s="127" t="s">
        <v>292</v>
      </c>
      <c r="G16" s="127" t="s">
        <v>42</v>
      </c>
      <c r="H16" s="53" t="s">
        <v>128</v>
      </c>
      <c r="I16" s="53" t="s">
        <v>159</v>
      </c>
      <c r="J16" s="127" t="s">
        <v>80</v>
      </c>
      <c r="K16" s="53" t="s">
        <v>105</v>
      </c>
      <c r="L16" s="53">
        <v>3</v>
      </c>
      <c r="N16" s="53">
        <v>1</v>
      </c>
      <c r="O16" s="53">
        <v>0.3</v>
      </c>
      <c r="P16" s="53">
        <v>0.4</v>
      </c>
      <c r="Q16" s="74">
        <f t="shared" si="0"/>
        <v>0.35</v>
      </c>
      <c r="R16" s="53">
        <v>12.5</v>
      </c>
      <c r="S16" s="53">
        <v>154</v>
      </c>
      <c r="T16" s="16">
        <f t="shared" si="1"/>
        <v>18</v>
      </c>
      <c r="U16" s="53">
        <v>158</v>
      </c>
      <c r="V16" s="129">
        <f t="shared" si="2"/>
        <v>2844</v>
      </c>
      <c r="W16" s="53">
        <v>7</v>
      </c>
      <c r="X16" s="127" t="s">
        <v>46</v>
      </c>
      <c r="Y16" s="53" t="s">
        <v>84</v>
      </c>
      <c r="Z16" s="53" t="s">
        <v>90</v>
      </c>
      <c r="AA16" s="53" t="s">
        <v>50</v>
      </c>
      <c r="AB16" s="127" t="s">
        <v>241</v>
      </c>
      <c r="AC16" s="34"/>
      <c r="AE16" s="35"/>
      <c r="AP16" s="27" t="s">
        <v>115</v>
      </c>
      <c r="AR16" s="23" t="s">
        <v>83</v>
      </c>
      <c r="AV16" s="23"/>
    </row>
    <row r="17" spans="1:48" x14ac:dyDescent="0.15">
      <c r="A17" s="127" t="s">
        <v>61</v>
      </c>
      <c r="B17" s="127" t="s">
        <v>237</v>
      </c>
      <c r="C17" s="127">
        <v>2019</v>
      </c>
      <c r="D17" s="128" t="s">
        <v>285</v>
      </c>
      <c r="E17" s="127" t="s">
        <v>308</v>
      </c>
      <c r="F17" s="127" t="s">
        <v>309</v>
      </c>
      <c r="G17" s="127" t="s">
        <v>42</v>
      </c>
      <c r="H17" s="53" t="s">
        <v>127</v>
      </c>
      <c r="I17" s="53" t="s">
        <v>159</v>
      </c>
      <c r="J17" s="127" t="s">
        <v>58</v>
      </c>
      <c r="K17" s="53" t="s">
        <v>59</v>
      </c>
      <c r="L17" s="53">
        <v>1</v>
      </c>
      <c r="N17" s="53">
        <v>1</v>
      </c>
      <c r="O17" s="53">
        <v>1</v>
      </c>
      <c r="P17" s="53">
        <v>1</v>
      </c>
      <c r="Q17" s="74">
        <f t="shared" si="0"/>
        <v>1</v>
      </c>
      <c r="R17" s="53">
        <v>12.2</v>
      </c>
      <c r="S17" s="53">
        <v>135</v>
      </c>
      <c r="T17" s="16">
        <f t="shared" si="1"/>
        <v>25</v>
      </c>
      <c r="U17" s="53">
        <v>138</v>
      </c>
      <c r="V17" s="129">
        <f t="shared" si="2"/>
        <v>3450</v>
      </c>
      <c r="W17" s="53">
        <v>6</v>
      </c>
      <c r="X17" s="127" t="s">
        <v>46</v>
      </c>
      <c r="Y17" s="53" t="s">
        <v>84</v>
      </c>
      <c r="Z17" s="53" t="s">
        <v>90</v>
      </c>
      <c r="AA17" s="53" t="s">
        <v>50</v>
      </c>
      <c r="AB17" s="127" t="s">
        <v>241</v>
      </c>
      <c r="AC17" s="34"/>
      <c r="AE17" s="22"/>
      <c r="AP17" s="27" t="s">
        <v>113</v>
      </c>
      <c r="AR17" s="23" t="s">
        <v>105</v>
      </c>
      <c r="AV17" s="135" t="s">
        <v>306</v>
      </c>
    </row>
    <row r="18" spans="1:48" x14ac:dyDescent="0.15">
      <c r="A18" s="127" t="s">
        <v>61</v>
      </c>
      <c r="B18" s="127" t="s">
        <v>237</v>
      </c>
      <c r="C18" s="127">
        <v>2019</v>
      </c>
      <c r="D18" s="128" t="s">
        <v>285</v>
      </c>
      <c r="E18" s="127" t="s">
        <v>308</v>
      </c>
      <c r="F18" s="127" t="s">
        <v>309</v>
      </c>
      <c r="G18" s="127" t="s">
        <v>42</v>
      </c>
      <c r="H18" s="53" t="s">
        <v>127</v>
      </c>
      <c r="I18" s="53" t="s">
        <v>159</v>
      </c>
      <c r="J18" s="127" t="s">
        <v>58</v>
      </c>
      <c r="K18" s="53" t="s">
        <v>59</v>
      </c>
      <c r="L18" s="53">
        <v>2</v>
      </c>
      <c r="N18" s="53">
        <v>1</v>
      </c>
      <c r="O18" s="53">
        <v>1.57</v>
      </c>
      <c r="P18" s="53">
        <v>0.9</v>
      </c>
      <c r="Q18" s="74">
        <f t="shared" si="0"/>
        <v>1.2350000000000001</v>
      </c>
      <c r="R18" s="53">
        <v>10.1</v>
      </c>
      <c r="S18" s="53">
        <v>142.5</v>
      </c>
      <c r="T18" s="16">
        <f t="shared" si="1"/>
        <v>22</v>
      </c>
      <c r="U18" s="53">
        <v>138</v>
      </c>
      <c r="V18" s="129">
        <f t="shared" si="2"/>
        <v>3036</v>
      </c>
      <c r="W18" s="53">
        <v>6</v>
      </c>
      <c r="X18" s="127" t="s">
        <v>46</v>
      </c>
      <c r="Y18" s="53" t="s">
        <v>84</v>
      </c>
      <c r="Z18" s="53" t="s">
        <v>90</v>
      </c>
      <c r="AA18" s="53" t="s">
        <v>50</v>
      </c>
      <c r="AB18" s="127" t="s">
        <v>241</v>
      </c>
      <c r="AC18" s="34"/>
      <c r="AE18" s="22"/>
      <c r="AP18" s="27" t="s">
        <v>114</v>
      </c>
      <c r="AR18" s="23" t="s">
        <v>68</v>
      </c>
      <c r="AV18" s="135" t="s">
        <v>307</v>
      </c>
    </row>
    <row r="19" spans="1:48" x14ac:dyDescent="0.15">
      <c r="A19" s="127" t="s">
        <v>61</v>
      </c>
      <c r="B19" s="127" t="s">
        <v>237</v>
      </c>
      <c r="C19" s="127">
        <v>2019</v>
      </c>
      <c r="D19" s="128" t="s">
        <v>285</v>
      </c>
      <c r="E19" s="127" t="s">
        <v>308</v>
      </c>
      <c r="F19" s="127" t="s">
        <v>309</v>
      </c>
      <c r="G19" s="127" t="s">
        <v>42</v>
      </c>
      <c r="H19" s="53" t="s">
        <v>127</v>
      </c>
      <c r="I19" s="53" t="s">
        <v>159</v>
      </c>
      <c r="J19" s="127" t="s">
        <v>58</v>
      </c>
      <c r="K19" s="53" t="s">
        <v>59</v>
      </c>
      <c r="L19" s="53">
        <v>3</v>
      </c>
      <c r="N19" s="53">
        <v>1</v>
      </c>
      <c r="O19" s="53">
        <v>1.25</v>
      </c>
      <c r="P19" s="53">
        <v>1</v>
      </c>
      <c r="Q19" s="74">
        <f t="shared" si="0"/>
        <v>1.125</v>
      </c>
      <c r="R19" s="53">
        <v>10.1</v>
      </c>
      <c r="S19" s="53">
        <v>132.5</v>
      </c>
      <c r="T19" s="16">
        <f t="shared" si="1"/>
        <v>25</v>
      </c>
      <c r="U19" s="53">
        <v>138</v>
      </c>
      <c r="V19" s="129">
        <f t="shared" si="2"/>
        <v>3450</v>
      </c>
      <c r="W19" s="53">
        <v>6</v>
      </c>
      <c r="X19" s="127" t="s">
        <v>46</v>
      </c>
      <c r="Y19" s="53" t="s">
        <v>84</v>
      </c>
      <c r="Z19" s="53" t="s">
        <v>90</v>
      </c>
      <c r="AA19" s="53" t="s">
        <v>50</v>
      </c>
      <c r="AB19" s="127" t="s">
        <v>241</v>
      </c>
      <c r="AC19" s="34"/>
      <c r="AE19" s="35"/>
      <c r="AP19" s="27" t="s">
        <v>115</v>
      </c>
      <c r="AR19" s="23" t="s">
        <v>83</v>
      </c>
      <c r="AV19" s="23"/>
    </row>
    <row r="20" spans="1:48" x14ac:dyDescent="0.15">
      <c r="A20" s="127" t="s">
        <v>61</v>
      </c>
      <c r="B20" s="127" t="s">
        <v>237</v>
      </c>
      <c r="C20" s="127">
        <v>2019</v>
      </c>
      <c r="D20" s="128" t="s">
        <v>285</v>
      </c>
      <c r="E20" s="127" t="s">
        <v>308</v>
      </c>
      <c r="F20" s="127" t="s">
        <v>309</v>
      </c>
      <c r="G20" s="127" t="s">
        <v>42</v>
      </c>
      <c r="H20" s="53" t="s">
        <v>128</v>
      </c>
      <c r="I20" s="53" t="s">
        <v>159</v>
      </c>
      <c r="J20" s="127" t="s">
        <v>80</v>
      </c>
      <c r="K20" s="53" t="s">
        <v>105</v>
      </c>
      <c r="L20" s="53">
        <v>1</v>
      </c>
      <c r="N20" s="53">
        <v>4</v>
      </c>
      <c r="O20" s="53">
        <v>0.5</v>
      </c>
      <c r="P20" s="53">
        <v>0.65</v>
      </c>
      <c r="Q20" s="74">
        <f t="shared" si="0"/>
        <v>0.57499999999999996</v>
      </c>
      <c r="R20" s="53">
        <v>18.3</v>
      </c>
      <c r="S20" s="53">
        <v>61</v>
      </c>
      <c r="T20" s="16">
        <f t="shared" si="1"/>
        <v>50</v>
      </c>
      <c r="U20" s="53">
        <v>398</v>
      </c>
      <c r="V20" s="129">
        <f t="shared" si="2"/>
        <v>4975</v>
      </c>
      <c r="W20" s="53">
        <v>6</v>
      </c>
      <c r="X20" s="127" t="s">
        <v>46</v>
      </c>
      <c r="Y20" s="53" t="s">
        <v>84</v>
      </c>
      <c r="Z20" s="53" t="s">
        <v>90</v>
      </c>
      <c r="AA20" s="53" t="s">
        <v>50</v>
      </c>
      <c r="AB20" s="127" t="s">
        <v>241</v>
      </c>
      <c r="AC20" s="34"/>
      <c r="AE20" s="22"/>
      <c r="AP20" s="27" t="s">
        <v>113</v>
      </c>
      <c r="AR20" s="23" t="s">
        <v>105</v>
      </c>
      <c r="AV20" s="135" t="s">
        <v>306</v>
      </c>
    </row>
    <row r="21" spans="1:48" x14ac:dyDescent="0.15">
      <c r="A21" s="127" t="s">
        <v>61</v>
      </c>
      <c r="B21" s="127" t="s">
        <v>237</v>
      </c>
      <c r="C21" s="127">
        <v>2019</v>
      </c>
      <c r="D21" s="128" t="s">
        <v>285</v>
      </c>
      <c r="E21" s="127" t="s">
        <v>308</v>
      </c>
      <c r="F21" s="127" t="s">
        <v>309</v>
      </c>
      <c r="G21" s="127" t="s">
        <v>42</v>
      </c>
      <c r="H21" s="53" t="s">
        <v>128</v>
      </c>
      <c r="I21" s="53" t="s">
        <v>159</v>
      </c>
      <c r="J21" s="127" t="s">
        <v>80</v>
      </c>
      <c r="K21" s="53" t="s">
        <v>105</v>
      </c>
      <c r="L21" s="53">
        <v>2</v>
      </c>
      <c r="N21" s="53">
        <v>4</v>
      </c>
      <c r="O21" s="53">
        <v>0.8</v>
      </c>
      <c r="P21" s="53">
        <v>0.9</v>
      </c>
      <c r="Q21" s="74">
        <f t="shared" si="0"/>
        <v>0.85000000000000009</v>
      </c>
      <c r="R21" s="53">
        <v>16.7</v>
      </c>
      <c r="S21" s="53">
        <v>59</v>
      </c>
      <c r="T21" s="16">
        <f t="shared" si="1"/>
        <v>50</v>
      </c>
      <c r="U21" s="53">
        <v>398</v>
      </c>
      <c r="V21" s="129">
        <f t="shared" si="2"/>
        <v>4975</v>
      </c>
      <c r="W21" s="53">
        <v>6</v>
      </c>
      <c r="X21" s="127" t="s">
        <v>46</v>
      </c>
      <c r="Y21" s="53" t="s">
        <v>84</v>
      </c>
      <c r="Z21" s="53" t="s">
        <v>90</v>
      </c>
      <c r="AA21" s="53" t="s">
        <v>50</v>
      </c>
      <c r="AB21" s="127" t="s">
        <v>241</v>
      </c>
      <c r="AC21" s="34"/>
      <c r="AE21" s="22"/>
      <c r="AP21" s="27" t="s">
        <v>114</v>
      </c>
      <c r="AR21" s="23" t="s">
        <v>68</v>
      </c>
      <c r="AV21" s="135" t="s">
        <v>307</v>
      </c>
    </row>
    <row r="22" spans="1:48" x14ac:dyDescent="0.15">
      <c r="A22" s="127" t="s">
        <v>61</v>
      </c>
      <c r="B22" s="127" t="s">
        <v>237</v>
      </c>
      <c r="C22" s="127">
        <v>2019</v>
      </c>
      <c r="D22" s="128" t="s">
        <v>285</v>
      </c>
      <c r="E22" s="127" t="s">
        <v>308</v>
      </c>
      <c r="F22" s="127" t="s">
        <v>309</v>
      </c>
      <c r="G22" s="127" t="s">
        <v>42</v>
      </c>
      <c r="H22" s="53" t="s">
        <v>128</v>
      </c>
      <c r="I22" s="53" t="s">
        <v>159</v>
      </c>
      <c r="J22" s="127" t="s">
        <v>80</v>
      </c>
      <c r="K22" s="53" t="s">
        <v>105</v>
      </c>
      <c r="L22" s="53">
        <v>3</v>
      </c>
      <c r="N22" s="53">
        <v>4</v>
      </c>
      <c r="O22" s="53">
        <v>1.1000000000000001</v>
      </c>
      <c r="P22" s="53">
        <v>0.9</v>
      </c>
      <c r="Q22" s="74">
        <f t="shared" si="0"/>
        <v>1</v>
      </c>
      <c r="R22" s="53">
        <v>15.1</v>
      </c>
      <c r="S22" s="53">
        <v>57</v>
      </c>
      <c r="T22" s="16">
        <f t="shared" si="1"/>
        <v>50</v>
      </c>
      <c r="U22" s="53">
        <v>398</v>
      </c>
      <c r="V22" s="129">
        <f t="shared" si="2"/>
        <v>4975</v>
      </c>
      <c r="W22" s="53">
        <v>6</v>
      </c>
      <c r="X22" s="127" t="s">
        <v>46</v>
      </c>
      <c r="Y22" s="53" t="s">
        <v>84</v>
      </c>
      <c r="Z22" s="53" t="s">
        <v>90</v>
      </c>
      <c r="AA22" s="53" t="s">
        <v>50</v>
      </c>
      <c r="AB22" s="127" t="s">
        <v>241</v>
      </c>
      <c r="AC22" s="34"/>
      <c r="AE22" s="35"/>
      <c r="AP22" s="27" t="s">
        <v>115</v>
      </c>
      <c r="AR22" s="23" t="s">
        <v>83</v>
      </c>
      <c r="AV22" s="23"/>
    </row>
    <row r="23" spans="1:48" x14ac:dyDescent="0.15">
      <c r="A23" s="127" t="s">
        <v>61</v>
      </c>
      <c r="B23" s="127" t="s">
        <v>237</v>
      </c>
      <c r="C23" s="127">
        <v>2019</v>
      </c>
      <c r="D23" s="128" t="s">
        <v>285</v>
      </c>
      <c r="E23" s="127" t="s">
        <v>308</v>
      </c>
      <c r="F23" s="127" t="s">
        <v>309</v>
      </c>
      <c r="G23" s="127" t="s">
        <v>42</v>
      </c>
      <c r="H23" s="53" t="s">
        <v>164</v>
      </c>
      <c r="I23" s="53" t="s">
        <v>159</v>
      </c>
      <c r="J23" s="127" t="s">
        <v>80</v>
      </c>
      <c r="K23" s="53" t="s">
        <v>161</v>
      </c>
      <c r="L23" s="53">
        <v>1</v>
      </c>
      <c r="N23" s="53">
        <v>5</v>
      </c>
      <c r="O23" s="34">
        <v>0.4</v>
      </c>
      <c r="P23" s="53">
        <v>0.4</v>
      </c>
      <c r="Q23" s="74">
        <f t="shared" si="0"/>
        <v>0.4</v>
      </c>
      <c r="R23" s="53">
        <v>15.2</v>
      </c>
      <c r="S23" s="53">
        <v>94.5</v>
      </c>
      <c r="T23" s="16">
        <f t="shared" si="1"/>
        <v>39</v>
      </c>
      <c r="U23" s="53">
        <v>398</v>
      </c>
      <c r="V23" s="129">
        <f t="shared" si="2"/>
        <v>3104.3999999999996</v>
      </c>
      <c r="W23" s="53">
        <v>6</v>
      </c>
      <c r="X23" s="127" t="s">
        <v>46</v>
      </c>
      <c r="Y23" s="53" t="s">
        <v>84</v>
      </c>
      <c r="Z23" s="53" t="s">
        <v>90</v>
      </c>
      <c r="AA23" s="53" t="s">
        <v>50</v>
      </c>
      <c r="AB23" s="127" t="s">
        <v>241</v>
      </c>
      <c r="AC23" s="34"/>
      <c r="AD23" s="34"/>
      <c r="AE23" s="35"/>
      <c r="AP23" s="27" t="s">
        <v>117</v>
      </c>
      <c r="AR23" s="23" t="s">
        <v>153</v>
      </c>
    </row>
    <row r="24" spans="1:48" x14ac:dyDescent="0.15">
      <c r="A24" s="127" t="s">
        <v>61</v>
      </c>
      <c r="B24" s="127" t="s">
        <v>237</v>
      </c>
      <c r="C24" s="127">
        <v>2019</v>
      </c>
      <c r="D24" s="128" t="s">
        <v>285</v>
      </c>
      <c r="E24" s="127" t="s">
        <v>308</v>
      </c>
      <c r="F24" s="127" t="s">
        <v>309</v>
      </c>
      <c r="G24" s="127" t="s">
        <v>42</v>
      </c>
      <c r="H24" s="53" t="s">
        <v>164</v>
      </c>
      <c r="I24" s="53" t="s">
        <v>159</v>
      </c>
      <c r="J24" s="127" t="s">
        <v>80</v>
      </c>
      <c r="K24" s="53" t="s">
        <v>161</v>
      </c>
      <c r="L24" s="53">
        <v>2</v>
      </c>
      <c r="N24" s="53">
        <v>5</v>
      </c>
      <c r="O24" s="34">
        <v>0.8</v>
      </c>
      <c r="P24" s="53">
        <v>0.8</v>
      </c>
      <c r="Q24" s="74">
        <f t="shared" si="0"/>
        <v>0.8</v>
      </c>
      <c r="R24" s="53">
        <v>15</v>
      </c>
      <c r="S24" s="53">
        <v>85</v>
      </c>
      <c r="T24" s="16">
        <f t="shared" si="1"/>
        <v>39</v>
      </c>
      <c r="U24" s="53">
        <v>398</v>
      </c>
      <c r="V24" s="129">
        <f t="shared" si="2"/>
        <v>3104.3999999999996</v>
      </c>
      <c r="W24" s="53">
        <v>6</v>
      </c>
      <c r="X24" s="127" t="s">
        <v>46</v>
      </c>
      <c r="Y24" s="53" t="s">
        <v>84</v>
      </c>
      <c r="Z24" s="53" t="s">
        <v>90</v>
      </c>
      <c r="AA24" s="53" t="s">
        <v>50</v>
      </c>
      <c r="AB24" s="127" t="s">
        <v>241</v>
      </c>
      <c r="AC24" s="34"/>
      <c r="AD24" s="34"/>
      <c r="AE24" s="28"/>
      <c r="AP24" s="27" t="s">
        <v>118</v>
      </c>
      <c r="AR24" s="23"/>
    </row>
    <row r="25" spans="1:48" x14ac:dyDescent="0.15">
      <c r="A25" s="127" t="s">
        <v>61</v>
      </c>
      <c r="B25" s="127" t="s">
        <v>237</v>
      </c>
      <c r="C25" s="127">
        <v>2019</v>
      </c>
      <c r="D25" s="128" t="s">
        <v>285</v>
      </c>
      <c r="E25" s="127" t="s">
        <v>308</v>
      </c>
      <c r="F25" s="127" t="s">
        <v>309</v>
      </c>
      <c r="G25" s="127" t="s">
        <v>42</v>
      </c>
      <c r="H25" s="53" t="s">
        <v>164</v>
      </c>
      <c r="I25" s="53" t="s">
        <v>159</v>
      </c>
      <c r="J25" s="127" t="s">
        <v>80</v>
      </c>
      <c r="K25" s="53" t="s">
        <v>161</v>
      </c>
      <c r="L25" s="53">
        <v>3</v>
      </c>
      <c r="N25" s="53">
        <v>5</v>
      </c>
      <c r="O25" s="34">
        <v>1.1000000000000001</v>
      </c>
      <c r="P25" s="53">
        <v>0.9</v>
      </c>
      <c r="Q25" s="74">
        <f t="shared" si="0"/>
        <v>1</v>
      </c>
      <c r="R25" s="53">
        <v>14.3</v>
      </c>
      <c r="S25" s="53">
        <v>83.5</v>
      </c>
      <c r="T25" s="16">
        <f t="shared" si="1"/>
        <v>39</v>
      </c>
      <c r="U25" s="53">
        <v>398</v>
      </c>
      <c r="V25" s="129">
        <f t="shared" si="2"/>
        <v>3104.3999999999996</v>
      </c>
      <c r="W25" s="53">
        <v>6</v>
      </c>
      <c r="X25" s="127" t="s">
        <v>46</v>
      </c>
      <c r="Y25" s="53" t="s">
        <v>84</v>
      </c>
      <c r="Z25" s="53" t="s">
        <v>90</v>
      </c>
      <c r="AA25" s="53" t="s">
        <v>50</v>
      </c>
      <c r="AB25" s="127" t="s">
        <v>241</v>
      </c>
      <c r="AC25" s="34"/>
      <c r="AD25" s="34"/>
      <c r="AP25" s="27"/>
      <c r="AR25" s="23"/>
    </row>
    <row r="26" spans="1:48" x14ac:dyDescent="0.15">
      <c r="A26" s="127" t="s">
        <v>61</v>
      </c>
      <c r="B26" s="127" t="s">
        <v>237</v>
      </c>
      <c r="C26" s="127">
        <v>2019</v>
      </c>
      <c r="D26" s="128" t="s">
        <v>285</v>
      </c>
      <c r="E26" s="127" t="s">
        <v>310</v>
      </c>
      <c r="F26" s="127" t="s">
        <v>311</v>
      </c>
      <c r="G26" s="127" t="s">
        <v>42</v>
      </c>
      <c r="H26" s="53" t="s">
        <v>164</v>
      </c>
      <c r="I26" s="53" t="s">
        <v>198</v>
      </c>
      <c r="J26" s="127" t="s">
        <v>38</v>
      </c>
      <c r="K26" s="53" t="s">
        <v>161</v>
      </c>
      <c r="L26" s="53">
        <v>1</v>
      </c>
      <c r="N26" s="53">
        <v>1</v>
      </c>
      <c r="O26" s="53">
        <v>1</v>
      </c>
      <c r="P26" s="53">
        <v>1.2</v>
      </c>
      <c r="Q26" s="74">
        <f t="shared" si="0"/>
        <v>1.1000000000000001</v>
      </c>
      <c r="R26" s="53">
        <v>14</v>
      </c>
      <c r="S26" s="53">
        <v>119</v>
      </c>
      <c r="T26" s="16">
        <f t="shared" si="1"/>
        <v>39</v>
      </c>
      <c r="U26" s="53">
        <v>100</v>
      </c>
      <c r="V26" s="129">
        <f t="shared" si="2"/>
        <v>3900</v>
      </c>
      <c r="W26" s="53">
        <v>4</v>
      </c>
      <c r="X26" s="127" t="s">
        <v>39</v>
      </c>
      <c r="Y26" s="53" t="s">
        <v>84</v>
      </c>
      <c r="Z26" s="53" t="s">
        <v>90</v>
      </c>
      <c r="AA26" s="53" t="s">
        <v>69</v>
      </c>
      <c r="AB26" s="127" t="s">
        <v>241</v>
      </c>
      <c r="AC26" s="34"/>
      <c r="AE26" s="22"/>
      <c r="AP26" s="27" t="s">
        <v>113</v>
      </c>
      <c r="AR26" s="23" t="s">
        <v>105</v>
      </c>
      <c r="AV26" s="135" t="s">
        <v>306</v>
      </c>
    </row>
    <row r="27" spans="1:48" x14ac:dyDescent="0.15">
      <c r="A27" s="127" t="s">
        <v>61</v>
      </c>
      <c r="B27" s="127" t="s">
        <v>237</v>
      </c>
      <c r="C27" s="127">
        <v>2019</v>
      </c>
      <c r="D27" s="128" t="s">
        <v>285</v>
      </c>
      <c r="E27" s="127" t="s">
        <v>310</v>
      </c>
      <c r="F27" s="127" t="s">
        <v>311</v>
      </c>
      <c r="G27" s="127" t="s">
        <v>42</v>
      </c>
      <c r="H27" s="53" t="s">
        <v>164</v>
      </c>
      <c r="I27" s="53" t="s">
        <v>198</v>
      </c>
      <c r="J27" s="127" t="s">
        <v>38</v>
      </c>
      <c r="K27" s="53" t="s">
        <v>161</v>
      </c>
      <c r="L27" s="53">
        <v>2</v>
      </c>
      <c r="N27" s="53">
        <v>1</v>
      </c>
      <c r="O27" s="53">
        <v>1.3</v>
      </c>
      <c r="P27" s="53">
        <v>1</v>
      </c>
      <c r="Q27" s="74">
        <f t="shared" si="0"/>
        <v>1.1499999999999999</v>
      </c>
      <c r="R27" s="53">
        <v>13.9</v>
      </c>
      <c r="S27" s="53">
        <v>123.5</v>
      </c>
      <c r="T27" s="16">
        <f t="shared" si="1"/>
        <v>27</v>
      </c>
      <c r="U27" s="53">
        <v>100</v>
      </c>
      <c r="V27" s="129">
        <f t="shared" si="2"/>
        <v>2700</v>
      </c>
      <c r="W27" s="53">
        <v>4</v>
      </c>
      <c r="X27" s="127" t="s">
        <v>39</v>
      </c>
      <c r="Y27" s="53" t="s">
        <v>84</v>
      </c>
      <c r="Z27" s="53" t="s">
        <v>90</v>
      </c>
      <c r="AA27" s="53" t="s">
        <v>69</v>
      </c>
      <c r="AB27" s="127" t="s">
        <v>241</v>
      </c>
      <c r="AC27" s="34"/>
      <c r="AE27" s="22"/>
      <c r="AP27" s="27" t="s">
        <v>114</v>
      </c>
      <c r="AR27" s="23" t="s">
        <v>68</v>
      </c>
      <c r="AV27" s="135" t="s">
        <v>307</v>
      </c>
    </row>
    <row r="28" spans="1:48" x14ac:dyDescent="0.15">
      <c r="A28" s="127" t="s">
        <v>61</v>
      </c>
      <c r="B28" s="127" t="s">
        <v>237</v>
      </c>
      <c r="C28" s="127">
        <v>2019</v>
      </c>
      <c r="D28" s="128" t="s">
        <v>285</v>
      </c>
      <c r="E28" s="127" t="s">
        <v>310</v>
      </c>
      <c r="F28" s="127" t="s">
        <v>311</v>
      </c>
      <c r="G28" s="127" t="s">
        <v>42</v>
      </c>
      <c r="H28" s="53" t="s">
        <v>164</v>
      </c>
      <c r="I28" s="53" t="s">
        <v>198</v>
      </c>
      <c r="J28" s="127" t="s">
        <v>38</v>
      </c>
      <c r="K28" s="53" t="s">
        <v>161</v>
      </c>
      <c r="L28" s="53">
        <v>3</v>
      </c>
      <c r="N28" s="53">
        <v>1</v>
      </c>
      <c r="O28" s="53">
        <v>1.25</v>
      </c>
      <c r="P28" s="53">
        <v>1.25</v>
      </c>
      <c r="Q28" s="74">
        <f t="shared" si="0"/>
        <v>1.25</v>
      </c>
      <c r="R28" s="53">
        <v>11.2</v>
      </c>
      <c r="S28" s="53">
        <v>117</v>
      </c>
      <c r="T28" s="16">
        <f t="shared" si="1"/>
        <v>39</v>
      </c>
      <c r="U28" s="53">
        <v>100</v>
      </c>
      <c r="V28" s="129">
        <f t="shared" si="2"/>
        <v>3900</v>
      </c>
      <c r="W28" s="53">
        <v>4</v>
      </c>
      <c r="X28" s="127" t="s">
        <v>39</v>
      </c>
      <c r="Y28" s="53" t="s">
        <v>84</v>
      </c>
      <c r="Z28" s="53" t="s">
        <v>90</v>
      </c>
      <c r="AA28" s="53" t="s">
        <v>69</v>
      </c>
      <c r="AB28" s="127" t="s">
        <v>241</v>
      </c>
      <c r="AC28" s="34"/>
      <c r="AE28" s="35"/>
      <c r="AP28" s="27" t="s">
        <v>115</v>
      </c>
      <c r="AR28" s="23" t="s">
        <v>83</v>
      </c>
      <c r="AV28" s="23"/>
    </row>
    <row r="29" spans="1:48" x14ac:dyDescent="0.15">
      <c r="A29" s="127" t="s">
        <v>61</v>
      </c>
      <c r="B29" s="127" t="s">
        <v>237</v>
      </c>
      <c r="C29" s="127">
        <v>2019</v>
      </c>
      <c r="D29" s="128" t="s">
        <v>285</v>
      </c>
      <c r="E29" s="127" t="s">
        <v>310</v>
      </c>
      <c r="F29" s="127" t="s">
        <v>311</v>
      </c>
      <c r="G29" s="127" t="s">
        <v>42</v>
      </c>
      <c r="H29" s="53" t="s">
        <v>127</v>
      </c>
      <c r="I29" s="53" t="s">
        <v>159</v>
      </c>
      <c r="J29" s="127" t="s">
        <v>58</v>
      </c>
      <c r="K29" s="53" t="s">
        <v>59</v>
      </c>
      <c r="L29" s="53">
        <v>1</v>
      </c>
      <c r="N29" s="53">
        <v>3</v>
      </c>
      <c r="O29" s="34">
        <v>0.3</v>
      </c>
      <c r="P29" s="34">
        <v>0.5</v>
      </c>
      <c r="Q29" s="74">
        <f t="shared" si="0"/>
        <v>0.4</v>
      </c>
      <c r="R29" s="53">
        <v>10.7</v>
      </c>
      <c r="S29" s="53">
        <v>140.5</v>
      </c>
      <c r="T29" s="16">
        <f t="shared" si="1"/>
        <v>22</v>
      </c>
      <c r="U29" s="53">
        <v>398</v>
      </c>
      <c r="V29" s="129">
        <f t="shared" si="2"/>
        <v>2918.6666666666665</v>
      </c>
      <c r="W29" s="53">
        <v>4</v>
      </c>
      <c r="X29" s="127" t="s">
        <v>39</v>
      </c>
      <c r="Y29" s="53" t="s">
        <v>84</v>
      </c>
      <c r="Z29" s="53" t="s">
        <v>90</v>
      </c>
      <c r="AA29" s="53" t="s">
        <v>69</v>
      </c>
      <c r="AB29" s="127" t="s">
        <v>241</v>
      </c>
      <c r="AC29" s="34"/>
    </row>
    <row r="30" spans="1:48" x14ac:dyDescent="0.15">
      <c r="A30" s="127" t="s">
        <v>61</v>
      </c>
      <c r="B30" s="127" t="s">
        <v>237</v>
      </c>
      <c r="C30" s="127">
        <v>2019</v>
      </c>
      <c r="D30" s="128" t="s">
        <v>285</v>
      </c>
      <c r="E30" s="127" t="s">
        <v>310</v>
      </c>
      <c r="F30" s="127" t="s">
        <v>311</v>
      </c>
      <c r="G30" s="127" t="s">
        <v>42</v>
      </c>
      <c r="H30" s="53" t="s">
        <v>127</v>
      </c>
      <c r="I30" s="53" t="s">
        <v>159</v>
      </c>
      <c r="J30" s="127" t="s">
        <v>58</v>
      </c>
      <c r="K30" s="53" t="s">
        <v>59</v>
      </c>
      <c r="L30" s="53">
        <v>2</v>
      </c>
      <c r="N30" s="53">
        <v>3</v>
      </c>
      <c r="O30" s="34">
        <v>0.5</v>
      </c>
      <c r="P30" s="34">
        <v>0.4</v>
      </c>
      <c r="Q30" s="74">
        <f t="shared" si="0"/>
        <v>0.45</v>
      </c>
      <c r="R30" s="53">
        <v>15.3</v>
      </c>
      <c r="S30" s="53">
        <v>135</v>
      </c>
      <c r="T30" s="16">
        <f t="shared" si="1"/>
        <v>25</v>
      </c>
      <c r="U30" s="53">
        <v>398</v>
      </c>
      <c r="V30" s="129">
        <f t="shared" si="2"/>
        <v>3316.6666666666665</v>
      </c>
      <c r="W30" s="53">
        <v>4</v>
      </c>
      <c r="X30" s="127" t="s">
        <v>39</v>
      </c>
      <c r="Y30" s="53" t="s">
        <v>84</v>
      </c>
      <c r="Z30" s="53" t="s">
        <v>90</v>
      </c>
      <c r="AA30" s="53" t="s">
        <v>69</v>
      </c>
      <c r="AB30" s="127" t="s">
        <v>241</v>
      </c>
      <c r="AC30" s="34"/>
    </row>
    <row r="31" spans="1:48" x14ac:dyDescent="0.15">
      <c r="A31" s="127" t="s">
        <v>61</v>
      </c>
      <c r="B31" s="127" t="s">
        <v>237</v>
      </c>
      <c r="C31" s="127">
        <v>2019</v>
      </c>
      <c r="D31" s="128" t="s">
        <v>285</v>
      </c>
      <c r="E31" s="127" t="s">
        <v>310</v>
      </c>
      <c r="F31" s="127" t="s">
        <v>311</v>
      </c>
      <c r="G31" s="127" t="s">
        <v>42</v>
      </c>
      <c r="H31" s="53" t="s">
        <v>127</v>
      </c>
      <c r="I31" s="53" t="s">
        <v>159</v>
      </c>
      <c r="J31" s="127" t="s">
        <v>58</v>
      </c>
      <c r="K31" s="53" t="s">
        <v>59</v>
      </c>
      <c r="L31" s="53">
        <v>3</v>
      </c>
      <c r="N31" s="53">
        <v>3</v>
      </c>
      <c r="O31" s="34">
        <v>0.5</v>
      </c>
      <c r="P31" s="34">
        <v>0.35</v>
      </c>
      <c r="Q31" s="74">
        <f t="shared" si="0"/>
        <v>0.42499999999999999</v>
      </c>
      <c r="R31" s="53">
        <v>14.5</v>
      </c>
      <c r="S31" s="53">
        <v>137.5</v>
      </c>
      <c r="T31" s="16">
        <f t="shared" si="1"/>
        <v>25</v>
      </c>
      <c r="U31" s="53">
        <v>398</v>
      </c>
      <c r="V31" s="129">
        <f t="shared" si="2"/>
        <v>3316.6666666666665</v>
      </c>
      <c r="W31" s="53">
        <v>4</v>
      </c>
      <c r="X31" s="127" t="s">
        <v>39</v>
      </c>
      <c r="Y31" s="53" t="s">
        <v>84</v>
      </c>
      <c r="Z31" s="53" t="s">
        <v>90</v>
      </c>
      <c r="AA31" s="53" t="s">
        <v>69</v>
      </c>
      <c r="AB31" s="127" t="s">
        <v>241</v>
      </c>
      <c r="AC31" s="34"/>
    </row>
    <row r="32" spans="1:48" x14ac:dyDescent="0.15">
      <c r="A32" s="127" t="s">
        <v>61</v>
      </c>
      <c r="B32" s="127" t="s">
        <v>237</v>
      </c>
      <c r="C32" s="127">
        <v>2019</v>
      </c>
      <c r="D32" s="128" t="s">
        <v>285</v>
      </c>
      <c r="E32" s="127" t="s">
        <v>312</v>
      </c>
      <c r="F32" s="127" t="s">
        <v>313</v>
      </c>
      <c r="G32" s="127" t="s">
        <v>42</v>
      </c>
      <c r="H32" s="53" t="s">
        <v>164</v>
      </c>
      <c r="I32" s="53" t="s">
        <v>159</v>
      </c>
      <c r="J32" s="127" t="s">
        <v>38</v>
      </c>
      <c r="K32" s="53" t="s">
        <v>161</v>
      </c>
      <c r="L32" s="53">
        <v>1</v>
      </c>
      <c r="N32" s="53">
        <v>5</v>
      </c>
      <c r="O32" s="34">
        <v>1</v>
      </c>
      <c r="P32" s="34">
        <v>1</v>
      </c>
      <c r="Q32" s="74">
        <f t="shared" si="0"/>
        <v>1</v>
      </c>
      <c r="R32" s="53">
        <v>14</v>
      </c>
      <c r="S32" s="53">
        <v>90.5</v>
      </c>
      <c r="T32" s="16">
        <f t="shared" si="1"/>
        <v>39</v>
      </c>
      <c r="U32" s="53">
        <v>398</v>
      </c>
      <c r="V32" s="129">
        <f t="shared" si="2"/>
        <v>3104.3999999999996</v>
      </c>
      <c r="W32" s="53">
        <v>9</v>
      </c>
      <c r="X32" s="127" t="s">
        <v>46</v>
      </c>
      <c r="Y32" s="53" t="s">
        <v>84</v>
      </c>
      <c r="Z32" s="53" t="s">
        <v>90</v>
      </c>
      <c r="AA32" s="53" t="s">
        <v>69</v>
      </c>
      <c r="AB32" s="127" t="s">
        <v>241</v>
      </c>
    </row>
    <row r="33" spans="1:29" x14ac:dyDescent="0.15">
      <c r="A33" s="127" t="s">
        <v>61</v>
      </c>
      <c r="B33" s="127" t="s">
        <v>237</v>
      </c>
      <c r="C33" s="127">
        <v>2020</v>
      </c>
      <c r="D33" s="128" t="s">
        <v>285</v>
      </c>
      <c r="E33" s="127" t="s">
        <v>312</v>
      </c>
      <c r="F33" s="127" t="s">
        <v>313</v>
      </c>
      <c r="G33" s="127" t="s">
        <v>42</v>
      </c>
      <c r="H33" s="53" t="s">
        <v>164</v>
      </c>
      <c r="I33" s="53" t="s">
        <v>159</v>
      </c>
      <c r="J33" s="127" t="s">
        <v>38</v>
      </c>
      <c r="K33" s="53" t="s">
        <v>161</v>
      </c>
      <c r="L33" s="53">
        <v>2</v>
      </c>
      <c r="N33" s="53">
        <v>5</v>
      </c>
      <c r="O33" s="34">
        <v>1.5</v>
      </c>
      <c r="P33" s="34">
        <v>1.6</v>
      </c>
      <c r="Q33" s="74">
        <f t="shared" si="0"/>
        <v>1.55</v>
      </c>
      <c r="R33" s="53">
        <v>12.9</v>
      </c>
      <c r="S33" s="53">
        <v>85</v>
      </c>
      <c r="T33" s="16">
        <f t="shared" si="1"/>
        <v>39</v>
      </c>
      <c r="U33" s="53">
        <v>398</v>
      </c>
      <c r="V33" s="129">
        <f t="shared" si="2"/>
        <v>3104.3999999999996</v>
      </c>
      <c r="W33" s="53">
        <v>9</v>
      </c>
      <c r="X33" s="127" t="s">
        <v>46</v>
      </c>
      <c r="Y33" s="53" t="s">
        <v>84</v>
      </c>
      <c r="Z33" s="53" t="s">
        <v>90</v>
      </c>
      <c r="AA33" s="53" t="s">
        <v>69</v>
      </c>
      <c r="AB33" s="127" t="s">
        <v>241</v>
      </c>
    </row>
    <row r="34" spans="1:29" x14ac:dyDescent="0.15">
      <c r="A34" s="127" t="s">
        <v>61</v>
      </c>
      <c r="B34" s="127" t="s">
        <v>237</v>
      </c>
      <c r="C34" s="127">
        <v>2021</v>
      </c>
      <c r="D34" s="128" t="s">
        <v>285</v>
      </c>
      <c r="E34" s="127" t="s">
        <v>312</v>
      </c>
      <c r="F34" s="127" t="s">
        <v>313</v>
      </c>
      <c r="G34" s="127" t="s">
        <v>42</v>
      </c>
      <c r="H34" s="53" t="s">
        <v>164</v>
      </c>
      <c r="I34" s="53" t="s">
        <v>159</v>
      </c>
      <c r="J34" s="127" t="s">
        <v>38</v>
      </c>
      <c r="K34" s="53" t="s">
        <v>161</v>
      </c>
      <c r="L34" s="53">
        <v>3</v>
      </c>
      <c r="N34" s="53">
        <v>5</v>
      </c>
      <c r="O34" s="34">
        <v>1.5</v>
      </c>
      <c r="P34" s="34">
        <v>1.5</v>
      </c>
      <c r="Q34" s="74">
        <f t="shared" si="0"/>
        <v>1.5</v>
      </c>
      <c r="R34" s="53">
        <v>13.6</v>
      </c>
      <c r="S34" s="53">
        <v>85.5</v>
      </c>
      <c r="T34" s="16">
        <f t="shared" si="1"/>
        <v>39</v>
      </c>
      <c r="U34" s="53">
        <v>398</v>
      </c>
      <c r="V34" s="129">
        <f t="shared" si="2"/>
        <v>3104.3999999999996</v>
      </c>
      <c r="W34" s="53">
        <v>9</v>
      </c>
      <c r="X34" s="127" t="s">
        <v>46</v>
      </c>
      <c r="Y34" s="53" t="s">
        <v>84</v>
      </c>
      <c r="Z34" s="53" t="s">
        <v>90</v>
      </c>
      <c r="AA34" s="53" t="s">
        <v>69</v>
      </c>
      <c r="AB34" s="127" t="s">
        <v>241</v>
      </c>
    </row>
    <row r="35" spans="1:29" x14ac:dyDescent="0.15">
      <c r="A35" s="127" t="s">
        <v>61</v>
      </c>
      <c r="B35" s="127" t="s">
        <v>237</v>
      </c>
      <c r="C35" s="127">
        <v>2019</v>
      </c>
      <c r="D35" s="128" t="s">
        <v>285</v>
      </c>
      <c r="E35" s="127" t="s">
        <v>294</v>
      </c>
      <c r="F35" s="127" t="s">
        <v>314</v>
      </c>
      <c r="G35" s="127" t="s">
        <v>42</v>
      </c>
      <c r="H35" s="53" t="s">
        <v>160</v>
      </c>
      <c r="I35" s="53" t="s">
        <v>159</v>
      </c>
      <c r="J35" s="127" t="s">
        <v>80</v>
      </c>
      <c r="K35" s="53" t="s">
        <v>94</v>
      </c>
      <c r="L35" s="53">
        <v>1</v>
      </c>
      <c r="N35" s="53">
        <v>3</v>
      </c>
      <c r="O35" s="53">
        <v>0.4</v>
      </c>
      <c r="P35" s="53">
        <v>0.4</v>
      </c>
      <c r="Q35" s="74">
        <f t="shared" si="0"/>
        <v>0.4</v>
      </c>
      <c r="R35" s="53">
        <v>13.6</v>
      </c>
      <c r="S35" s="53">
        <v>94.5</v>
      </c>
      <c r="T35" s="16">
        <f t="shared" si="1"/>
        <v>39</v>
      </c>
      <c r="U35" s="53">
        <v>537</v>
      </c>
      <c r="V35" s="129">
        <f t="shared" si="2"/>
        <v>6981</v>
      </c>
      <c r="W35" s="53">
        <v>4</v>
      </c>
      <c r="X35" s="127" t="s">
        <v>39</v>
      </c>
      <c r="Y35" s="53" t="s">
        <v>84</v>
      </c>
      <c r="Z35" s="53" t="s">
        <v>90</v>
      </c>
      <c r="AA35" s="53" t="s">
        <v>69</v>
      </c>
      <c r="AB35" s="127" t="s">
        <v>241</v>
      </c>
      <c r="AC35" s="34"/>
    </row>
    <row r="36" spans="1:29" x14ac:dyDescent="0.15">
      <c r="A36" s="127" t="s">
        <v>61</v>
      </c>
      <c r="B36" s="127" t="s">
        <v>237</v>
      </c>
      <c r="C36" s="127">
        <v>2019</v>
      </c>
      <c r="D36" s="128" t="s">
        <v>285</v>
      </c>
      <c r="E36" s="127" t="s">
        <v>294</v>
      </c>
      <c r="F36" s="127" t="s">
        <v>314</v>
      </c>
      <c r="G36" s="127" t="s">
        <v>42</v>
      </c>
      <c r="H36" s="53" t="s">
        <v>160</v>
      </c>
      <c r="I36" s="53" t="s">
        <v>159</v>
      </c>
      <c r="J36" s="127" t="s">
        <v>80</v>
      </c>
      <c r="K36" s="53" t="s">
        <v>94</v>
      </c>
      <c r="L36" s="53">
        <v>2</v>
      </c>
      <c r="N36" s="53">
        <v>3</v>
      </c>
      <c r="O36" s="53">
        <v>0.8</v>
      </c>
      <c r="P36" s="53">
        <v>0.75</v>
      </c>
      <c r="Q36" s="74">
        <f t="shared" si="0"/>
        <v>0.77500000000000002</v>
      </c>
      <c r="R36" s="53">
        <v>13.9</v>
      </c>
      <c r="S36" s="53">
        <v>86.5</v>
      </c>
      <c r="T36" s="16">
        <f t="shared" si="1"/>
        <v>39</v>
      </c>
      <c r="U36" s="53">
        <v>537</v>
      </c>
      <c r="V36" s="129">
        <f t="shared" si="2"/>
        <v>6981</v>
      </c>
      <c r="W36" s="53">
        <v>4</v>
      </c>
      <c r="X36" s="127" t="s">
        <v>39</v>
      </c>
      <c r="Y36" s="53" t="s">
        <v>84</v>
      </c>
      <c r="Z36" s="53" t="s">
        <v>90</v>
      </c>
      <c r="AA36" s="53" t="s">
        <v>69</v>
      </c>
      <c r="AB36" s="127" t="s">
        <v>241</v>
      </c>
      <c r="AC36" s="34"/>
    </row>
    <row r="37" spans="1:29" x14ac:dyDescent="0.15">
      <c r="A37" s="127" t="s">
        <v>61</v>
      </c>
      <c r="B37" s="127" t="s">
        <v>237</v>
      </c>
      <c r="C37" s="127">
        <v>2019</v>
      </c>
      <c r="D37" s="128" t="s">
        <v>285</v>
      </c>
      <c r="E37" s="127" t="s">
        <v>294</v>
      </c>
      <c r="F37" s="127" t="s">
        <v>314</v>
      </c>
      <c r="G37" s="127" t="s">
        <v>42</v>
      </c>
      <c r="H37" s="53" t="s">
        <v>160</v>
      </c>
      <c r="I37" s="53" t="s">
        <v>159</v>
      </c>
      <c r="J37" s="127" t="s">
        <v>80</v>
      </c>
      <c r="K37" s="53" t="s">
        <v>94</v>
      </c>
      <c r="L37" s="53">
        <v>3</v>
      </c>
      <c r="N37" s="53">
        <v>3</v>
      </c>
      <c r="O37" s="53">
        <v>0.9</v>
      </c>
      <c r="P37" s="53">
        <v>0.8</v>
      </c>
      <c r="Q37" s="74">
        <f t="shared" si="0"/>
        <v>0.85000000000000009</v>
      </c>
      <c r="R37" s="53">
        <v>9.9</v>
      </c>
      <c r="S37" s="53">
        <v>9</v>
      </c>
      <c r="T37" s="16">
        <f t="shared" si="1"/>
        <v>50</v>
      </c>
      <c r="U37" s="53">
        <v>537</v>
      </c>
      <c r="V37" s="129">
        <f t="shared" si="2"/>
        <v>8950</v>
      </c>
      <c r="W37" s="53">
        <v>4</v>
      </c>
      <c r="X37" s="127" t="s">
        <v>39</v>
      </c>
      <c r="Y37" s="53" t="s">
        <v>84</v>
      </c>
      <c r="Z37" s="53" t="s">
        <v>90</v>
      </c>
      <c r="AA37" s="53" t="s">
        <v>69</v>
      </c>
      <c r="AB37" s="127" t="s">
        <v>241</v>
      </c>
      <c r="AC37" s="34"/>
    </row>
    <row r="38" spans="1:29" x14ac:dyDescent="0.15">
      <c r="A38" s="127" t="s">
        <v>61</v>
      </c>
      <c r="B38" s="127" t="s">
        <v>237</v>
      </c>
      <c r="C38" s="127">
        <v>2019</v>
      </c>
      <c r="D38" s="128" t="s">
        <v>285</v>
      </c>
      <c r="E38" s="127" t="s">
        <v>294</v>
      </c>
      <c r="F38" s="127" t="s">
        <v>314</v>
      </c>
      <c r="G38" s="127" t="s">
        <v>42</v>
      </c>
      <c r="H38" s="53" t="s">
        <v>164</v>
      </c>
      <c r="I38" s="53" t="s">
        <v>159</v>
      </c>
      <c r="J38" s="127" t="s">
        <v>38</v>
      </c>
      <c r="K38" s="53" t="s">
        <v>161</v>
      </c>
      <c r="L38" s="53">
        <v>1</v>
      </c>
      <c r="N38" s="53">
        <v>4</v>
      </c>
      <c r="O38" s="53">
        <v>0.9</v>
      </c>
      <c r="P38" s="53">
        <v>0.7</v>
      </c>
      <c r="Q38" s="74">
        <f t="shared" si="0"/>
        <v>0.8</v>
      </c>
      <c r="R38" s="53">
        <v>13.7</v>
      </c>
      <c r="S38" s="53">
        <v>121</v>
      </c>
      <c r="T38" s="16">
        <f t="shared" si="1"/>
        <v>27</v>
      </c>
      <c r="U38" s="53">
        <v>321</v>
      </c>
      <c r="V38" s="129">
        <f t="shared" si="2"/>
        <v>2166.75</v>
      </c>
      <c r="W38" s="53">
        <v>4</v>
      </c>
      <c r="X38" s="127" t="s">
        <v>46</v>
      </c>
      <c r="Y38" s="53" t="s">
        <v>84</v>
      </c>
      <c r="Z38" s="53" t="s">
        <v>90</v>
      </c>
      <c r="AA38" s="53" t="s">
        <v>69</v>
      </c>
      <c r="AB38" s="127" t="s">
        <v>241</v>
      </c>
      <c r="AC38" s="34"/>
    </row>
    <row r="39" spans="1:29" x14ac:dyDescent="0.15">
      <c r="A39" s="127" t="s">
        <v>61</v>
      </c>
      <c r="B39" s="127" t="s">
        <v>237</v>
      </c>
      <c r="C39" s="127">
        <v>2019</v>
      </c>
      <c r="D39" s="128" t="s">
        <v>285</v>
      </c>
      <c r="E39" s="127" t="s">
        <v>294</v>
      </c>
      <c r="F39" s="127" t="s">
        <v>314</v>
      </c>
      <c r="G39" s="127" t="s">
        <v>42</v>
      </c>
      <c r="H39" s="53" t="s">
        <v>164</v>
      </c>
      <c r="I39" s="53" t="s">
        <v>159</v>
      </c>
      <c r="J39" s="127" t="s">
        <v>38</v>
      </c>
      <c r="K39" s="53" t="s">
        <v>161</v>
      </c>
      <c r="L39" s="53">
        <v>2</v>
      </c>
      <c r="N39" s="53">
        <v>4</v>
      </c>
      <c r="O39" s="53">
        <v>1.25</v>
      </c>
      <c r="P39" s="53">
        <v>1</v>
      </c>
      <c r="Q39" s="74">
        <f t="shared" si="0"/>
        <v>1.125</v>
      </c>
      <c r="R39" s="53">
        <v>10.1</v>
      </c>
      <c r="S39" s="53">
        <v>104.5</v>
      </c>
      <c r="T39" s="16">
        <f t="shared" si="1"/>
        <v>39</v>
      </c>
      <c r="U39" s="53">
        <v>321</v>
      </c>
      <c r="V39" s="129">
        <f t="shared" si="2"/>
        <v>3129.75</v>
      </c>
      <c r="W39" s="53">
        <v>4</v>
      </c>
      <c r="X39" s="127" t="s">
        <v>46</v>
      </c>
      <c r="Y39" s="53" t="s">
        <v>84</v>
      </c>
      <c r="Z39" s="53" t="s">
        <v>90</v>
      </c>
      <c r="AA39" s="53" t="s">
        <v>69</v>
      </c>
      <c r="AB39" s="127" t="s">
        <v>241</v>
      </c>
      <c r="AC39" s="34"/>
    </row>
    <row r="40" spans="1:29" x14ac:dyDescent="0.15">
      <c r="A40" s="127" t="s">
        <v>61</v>
      </c>
      <c r="B40" s="127" t="s">
        <v>237</v>
      </c>
      <c r="C40" s="127">
        <v>2019</v>
      </c>
      <c r="D40" s="128" t="s">
        <v>285</v>
      </c>
      <c r="E40" s="127" t="s">
        <v>294</v>
      </c>
      <c r="F40" s="127" t="s">
        <v>314</v>
      </c>
      <c r="G40" s="127" t="s">
        <v>42</v>
      </c>
      <c r="H40" s="53" t="s">
        <v>164</v>
      </c>
      <c r="I40" s="53" t="s">
        <v>159</v>
      </c>
      <c r="J40" s="127" t="s">
        <v>38</v>
      </c>
      <c r="K40" s="53" t="s">
        <v>161</v>
      </c>
      <c r="L40" s="53">
        <v>3</v>
      </c>
      <c r="N40" s="53">
        <v>4</v>
      </c>
      <c r="O40" s="53">
        <v>1</v>
      </c>
      <c r="P40" s="53">
        <v>1</v>
      </c>
      <c r="Q40" s="74">
        <f t="shared" si="0"/>
        <v>1</v>
      </c>
      <c r="R40" s="53">
        <v>11.4</v>
      </c>
      <c r="S40" s="53">
        <v>114</v>
      </c>
      <c r="T40" s="16">
        <f t="shared" si="1"/>
        <v>39</v>
      </c>
      <c r="U40" s="53">
        <v>321</v>
      </c>
      <c r="V40" s="129">
        <f t="shared" si="2"/>
        <v>3129.75</v>
      </c>
      <c r="W40" s="53">
        <v>4</v>
      </c>
      <c r="X40" s="127" t="s">
        <v>46</v>
      </c>
      <c r="Y40" s="53" t="s">
        <v>84</v>
      </c>
      <c r="Z40" s="53" t="s">
        <v>90</v>
      </c>
      <c r="AA40" s="53" t="s">
        <v>69</v>
      </c>
      <c r="AB40" s="127" t="s">
        <v>241</v>
      </c>
      <c r="AC40" s="34"/>
    </row>
    <row r="41" spans="1:29" x14ac:dyDescent="0.15">
      <c r="A41" s="127" t="s">
        <v>61</v>
      </c>
      <c r="B41" s="127" t="s">
        <v>237</v>
      </c>
      <c r="C41" s="127">
        <v>2019</v>
      </c>
      <c r="D41" s="128" t="s">
        <v>285</v>
      </c>
      <c r="E41" s="127" t="s">
        <v>133</v>
      </c>
      <c r="F41" s="127" t="s">
        <v>296</v>
      </c>
      <c r="G41" s="127" t="s">
        <v>42</v>
      </c>
      <c r="H41" s="53" t="s">
        <v>127</v>
      </c>
      <c r="I41" s="53" t="s">
        <v>159</v>
      </c>
      <c r="J41" s="127" t="s">
        <v>58</v>
      </c>
      <c r="K41" s="53" t="s">
        <v>59</v>
      </c>
      <c r="L41" s="53">
        <v>1</v>
      </c>
      <c r="N41" s="53">
        <v>1</v>
      </c>
      <c r="O41" s="53">
        <v>1.25</v>
      </c>
      <c r="P41" s="53">
        <v>0.9</v>
      </c>
      <c r="Q41" s="74">
        <f t="shared" si="0"/>
        <v>1.075</v>
      </c>
      <c r="R41" s="53">
        <v>14.8</v>
      </c>
      <c r="S41" s="53">
        <v>108</v>
      </c>
      <c r="T41" s="16">
        <f t="shared" si="1"/>
        <v>39</v>
      </c>
      <c r="U41" s="53">
        <v>148</v>
      </c>
      <c r="V41" s="129">
        <f t="shared" si="2"/>
        <v>5772</v>
      </c>
      <c r="W41" s="53">
        <v>18</v>
      </c>
      <c r="X41" s="127" t="s">
        <v>46</v>
      </c>
      <c r="Y41" s="53" t="s">
        <v>84</v>
      </c>
      <c r="Z41" s="53" t="s">
        <v>90</v>
      </c>
      <c r="AA41" s="53" t="s">
        <v>50</v>
      </c>
      <c r="AB41" s="127" t="s">
        <v>241</v>
      </c>
      <c r="AC41" s="34"/>
    </row>
    <row r="42" spans="1:29" x14ac:dyDescent="0.15">
      <c r="A42" s="127" t="s">
        <v>61</v>
      </c>
      <c r="B42" s="127" t="s">
        <v>237</v>
      </c>
      <c r="C42" s="127">
        <v>2019</v>
      </c>
      <c r="D42" s="128" t="s">
        <v>285</v>
      </c>
      <c r="E42" s="127" t="s">
        <v>133</v>
      </c>
      <c r="F42" s="127" t="s">
        <v>296</v>
      </c>
      <c r="G42" s="127" t="s">
        <v>42</v>
      </c>
      <c r="H42" s="53" t="s">
        <v>127</v>
      </c>
      <c r="I42" s="53" t="s">
        <v>159</v>
      </c>
      <c r="J42" s="127" t="s">
        <v>58</v>
      </c>
      <c r="K42" s="53" t="s">
        <v>59</v>
      </c>
      <c r="L42" s="53">
        <v>2</v>
      </c>
      <c r="N42" s="53">
        <v>1</v>
      </c>
      <c r="O42" s="53">
        <v>1.25</v>
      </c>
      <c r="P42" s="53">
        <v>0.95</v>
      </c>
      <c r="Q42" s="74">
        <f t="shared" si="0"/>
        <v>1.1000000000000001</v>
      </c>
      <c r="R42" s="53">
        <v>12.4</v>
      </c>
      <c r="S42" s="53">
        <v>111.5</v>
      </c>
      <c r="T42" s="16">
        <f t="shared" si="1"/>
        <v>39</v>
      </c>
      <c r="U42" s="53">
        <v>148</v>
      </c>
      <c r="V42" s="129">
        <f t="shared" si="2"/>
        <v>5772</v>
      </c>
      <c r="W42" s="53">
        <v>18</v>
      </c>
      <c r="X42" s="127" t="s">
        <v>46</v>
      </c>
      <c r="Y42" s="53" t="s">
        <v>84</v>
      </c>
      <c r="Z42" s="53" t="s">
        <v>90</v>
      </c>
      <c r="AA42" s="53" t="s">
        <v>50</v>
      </c>
      <c r="AB42" s="127" t="s">
        <v>241</v>
      </c>
      <c r="AC42" s="34"/>
    </row>
    <row r="43" spans="1:29" x14ac:dyDescent="0.15">
      <c r="A43" s="127" t="s">
        <v>61</v>
      </c>
      <c r="B43" s="127" t="s">
        <v>237</v>
      </c>
      <c r="C43" s="127">
        <v>2019</v>
      </c>
      <c r="D43" s="128" t="s">
        <v>285</v>
      </c>
      <c r="E43" s="127" t="s">
        <v>133</v>
      </c>
      <c r="F43" s="127" t="s">
        <v>296</v>
      </c>
      <c r="G43" s="127" t="s">
        <v>42</v>
      </c>
      <c r="H43" s="53" t="s">
        <v>127</v>
      </c>
      <c r="I43" s="53" t="s">
        <v>159</v>
      </c>
      <c r="J43" s="127" t="s">
        <v>58</v>
      </c>
      <c r="K43" s="53" t="s">
        <v>59</v>
      </c>
      <c r="L43" s="53">
        <v>3</v>
      </c>
      <c r="N43" s="53">
        <v>1</v>
      </c>
      <c r="O43" s="53">
        <v>1.2</v>
      </c>
      <c r="P43" s="53">
        <v>1</v>
      </c>
      <c r="Q43" s="74">
        <f t="shared" si="0"/>
        <v>1.1000000000000001</v>
      </c>
      <c r="R43" s="53">
        <v>11.6</v>
      </c>
      <c r="S43" s="53">
        <v>106</v>
      </c>
      <c r="T43" s="16">
        <f t="shared" si="1"/>
        <v>39</v>
      </c>
      <c r="U43" s="53">
        <v>148</v>
      </c>
      <c r="V43" s="129">
        <f t="shared" si="2"/>
        <v>5772</v>
      </c>
      <c r="W43" s="53">
        <v>18</v>
      </c>
      <c r="X43" s="127" t="s">
        <v>46</v>
      </c>
      <c r="Y43" s="53" t="s">
        <v>84</v>
      </c>
      <c r="Z43" s="53" t="s">
        <v>90</v>
      </c>
      <c r="AA43" s="53" t="s">
        <v>50</v>
      </c>
      <c r="AB43" s="127" t="s">
        <v>241</v>
      </c>
      <c r="AC43" s="34"/>
    </row>
    <row r="44" spans="1:29" x14ac:dyDescent="0.15">
      <c r="A44" s="127" t="s">
        <v>61</v>
      </c>
      <c r="B44" s="127" t="s">
        <v>237</v>
      </c>
      <c r="C44" s="127">
        <v>2019</v>
      </c>
      <c r="D44" s="128" t="s">
        <v>285</v>
      </c>
      <c r="E44" s="127" t="s">
        <v>133</v>
      </c>
      <c r="F44" s="127" t="s">
        <v>296</v>
      </c>
      <c r="G44" s="127" t="s">
        <v>42</v>
      </c>
      <c r="H44" s="53" t="s">
        <v>164</v>
      </c>
      <c r="I44" s="53" t="s">
        <v>159</v>
      </c>
      <c r="J44" s="127" t="s">
        <v>38</v>
      </c>
      <c r="K44" s="53" t="s">
        <v>161</v>
      </c>
      <c r="L44" s="53">
        <v>1</v>
      </c>
      <c r="N44" s="53">
        <v>4</v>
      </c>
      <c r="O44" s="53">
        <v>1</v>
      </c>
      <c r="P44" s="53">
        <v>1.2</v>
      </c>
      <c r="Q44" s="74">
        <f t="shared" si="0"/>
        <v>1.1000000000000001</v>
      </c>
      <c r="R44" s="53">
        <v>14.7</v>
      </c>
      <c r="S44" s="53">
        <v>102.5</v>
      </c>
      <c r="T44" s="16">
        <f t="shared" si="1"/>
        <v>39</v>
      </c>
      <c r="U44" s="53">
        <v>398</v>
      </c>
      <c r="V44" s="129">
        <f t="shared" si="2"/>
        <v>3880.5</v>
      </c>
      <c r="W44" s="53">
        <v>18</v>
      </c>
      <c r="X44" s="127" t="s">
        <v>46</v>
      </c>
      <c r="Y44" s="53" t="s">
        <v>84</v>
      </c>
      <c r="Z44" s="53" t="s">
        <v>90</v>
      </c>
      <c r="AA44" s="53" t="s">
        <v>50</v>
      </c>
      <c r="AB44" s="127" t="s">
        <v>241</v>
      </c>
      <c r="AC44" s="34"/>
    </row>
    <row r="45" spans="1:29" x14ac:dyDescent="0.15">
      <c r="A45" s="127" t="s">
        <v>61</v>
      </c>
      <c r="B45" s="127" t="s">
        <v>237</v>
      </c>
      <c r="C45" s="127">
        <v>2019</v>
      </c>
      <c r="D45" s="128" t="s">
        <v>285</v>
      </c>
      <c r="E45" s="127" t="s">
        <v>133</v>
      </c>
      <c r="F45" s="127" t="s">
        <v>296</v>
      </c>
      <c r="G45" s="127" t="s">
        <v>42</v>
      </c>
      <c r="H45" s="53" t="s">
        <v>164</v>
      </c>
      <c r="I45" s="53" t="s">
        <v>159</v>
      </c>
      <c r="J45" s="127" t="s">
        <v>38</v>
      </c>
      <c r="K45" s="53" t="s">
        <v>161</v>
      </c>
      <c r="L45" s="53">
        <v>2</v>
      </c>
      <c r="N45" s="53">
        <v>4</v>
      </c>
      <c r="O45" s="53">
        <v>1.1000000000000001</v>
      </c>
      <c r="P45" s="53">
        <v>1.25</v>
      </c>
      <c r="Q45" s="74">
        <f t="shared" si="0"/>
        <v>1.175</v>
      </c>
      <c r="R45" s="53">
        <v>12.9</v>
      </c>
      <c r="S45" s="53">
        <v>100.5</v>
      </c>
      <c r="T45" s="16">
        <f t="shared" si="1"/>
        <v>39</v>
      </c>
      <c r="U45" s="53">
        <v>398</v>
      </c>
      <c r="V45" s="129">
        <f t="shared" si="2"/>
        <v>3880.5</v>
      </c>
      <c r="W45" s="53">
        <v>18</v>
      </c>
      <c r="X45" s="127" t="s">
        <v>46</v>
      </c>
      <c r="Y45" s="53" t="s">
        <v>84</v>
      </c>
      <c r="Z45" s="53" t="s">
        <v>90</v>
      </c>
      <c r="AA45" s="53" t="s">
        <v>50</v>
      </c>
      <c r="AB45" s="127" t="s">
        <v>241</v>
      </c>
      <c r="AC45" s="34"/>
    </row>
    <row r="46" spans="1:29" x14ac:dyDescent="0.15">
      <c r="A46" s="127" t="s">
        <v>61</v>
      </c>
      <c r="B46" s="127" t="s">
        <v>237</v>
      </c>
      <c r="C46" s="127">
        <v>2019</v>
      </c>
      <c r="D46" s="128" t="s">
        <v>285</v>
      </c>
      <c r="E46" s="127" t="s">
        <v>133</v>
      </c>
      <c r="F46" s="127" t="s">
        <v>296</v>
      </c>
      <c r="G46" s="127" t="s">
        <v>42</v>
      </c>
      <c r="H46" s="53" t="s">
        <v>164</v>
      </c>
      <c r="I46" s="53" t="s">
        <v>159</v>
      </c>
      <c r="J46" s="127" t="s">
        <v>38</v>
      </c>
      <c r="K46" s="53" t="s">
        <v>161</v>
      </c>
      <c r="L46" s="53">
        <v>3</v>
      </c>
      <c r="N46" s="53">
        <v>4</v>
      </c>
      <c r="O46" s="53">
        <v>1.5</v>
      </c>
      <c r="P46" s="53">
        <v>1</v>
      </c>
      <c r="Q46" s="74">
        <f t="shared" si="0"/>
        <v>1.25</v>
      </c>
      <c r="R46" s="53">
        <v>12.7</v>
      </c>
      <c r="S46" s="53">
        <v>100.5</v>
      </c>
      <c r="T46" s="16">
        <f t="shared" si="1"/>
        <v>39</v>
      </c>
      <c r="U46" s="53">
        <v>398</v>
      </c>
      <c r="V46" s="129">
        <f t="shared" si="2"/>
        <v>3880.5</v>
      </c>
      <c r="W46" s="53">
        <v>18</v>
      </c>
      <c r="X46" s="127" t="s">
        <v>46</v>
      </c>
      <c r="Y46" s="53" t="s">
        <v>84</v>
      </c>
      <c r="Z46" s="53" t="s">
        <v>90</v>
      </c>
      <c r="AA46" s="53" t="s">
        <v>50</v>
      </c>
      <c r="AB46" s="127" t="s">
        <v>241</v>
      </c>
      <c r="AC46" s="34"/>
    </row>
    <row r="47" spans="1:29" x14ac:dyDescent="0.15">
      <c r="A47" s="127" t="s">
        <v>61</v>
      </c>
      <c r="B47" s="127" t="s">
        <v>237</v>
      </c>
      <c r="C47" s="127">
        <v>2019</v>
      </c>
      <c r="D47" s="128" t="s">
        <v>315</v>
      </c>
      <c r="E47" s="127" t="s">
        <v>297</v>
      </c>
      <c r="F47" s="127" t="s">
        <v>298</v>
      </c>
      <c r="G47" s="127" t="s">
        <v>42</v>
      </c>
      <c r="H47" s="53" t="s">
        <v>164</v>
      </c>
      <c r="I47" s="53" t="s">
        <v>159</v>
      </c>
      <c r="J47" s="127" t="s">
        <v>38</v>
      </c>
      <c r="K47" s="53" t="s">
        <v>161</v>
      </c>
      <c r="L47" s="53">
        <v>1</v>
      </c>
      <c r="N47" s="53">
        <v>4</v>
      </c>
      <c r="O47" s="53">
        <v>1.2</v>
      </c>
      <c r="P47" s="53">
        <v>0.9</v>
      </c>
      <c r="Q47" s="74">
        <f t="shared" si="0"/>
        <v>1.05</v>
      </c>
      <c r="R47" s="53">
        <v>15.1</v>
      </c>
      <c r="S47" s="53">
        <v>105.5</v>
      </c>
      <c r="T47" s="16">
        <f t="shared" si="1"/>
        <v>39</v>
      </c>
      <c r="U47" s="53">
        <v>398</v>
      </c>
      <c r="V47" s="129">
        <f t="shared" si="2"/>
        <v>3880.5</v>
      </c>
      <c r="W47" s="53">
        <v>5</v>
      </c>
      <c r="X47" s="127" t="s">
        <v>39</v>
      </c>
      <c r="Y47" s="53" t="s">
        <v>84</v>
      </c>
      <c r="Z47" s="53" t="s">
        <v>90</v>
      </c>
      <c r="AA47" s="53" t="s">
        <v>69</v>
      </c>
      <c r="AB47" s="127" t="s">
        <v>241</v>
      </c>
      <c r="AC47" s="34"/>
    </row>
    <row r="48" spans="1:29" x14ac:dyDescent="0.15">
      <c r="A48" s="127" t="s">
        <v>61</v>
      </c>
      <c r="B48" s="127" t="s">
        <v>237</v>
      </c>
      <c r="C48" s="127">
        <v>2019</v>
      </c>
      <c r="D48" s="128" t="s">
        <v>315</v>
      </c>
      <c r="E48" s="127" t="s">
        <v>297</v>
      </c>
      <c r="F48" s="127" t="s">
        <v>298</v>
      </c>
      <c r="G48" s="127" t="s">
        <v>42</v>
      </c>
      <c r="H48" s="53" t="s">
        <v>164</v>
      </c>
      <c r="I48" s="53" t="s">
        <v>159</v>
      </c>
      <c r="J48" s="127" t="s">
        <v>38</v>
      </c>
      <c r="K48" s="53" t="s">
        <v>161</v>
      </c>
      <c r="L48" s="53">
        <v>2</v>
      </c>
      <c r="N48" s="53">
        <v>4</v>
      </c>
      <c r="O48" s="53">
        <v>0.6</v>
      </c>
      <c r="P48" s="53">
        <v>0.5</v>
      </c>
      <c r="Q48" s="74">
        <f t="shared" si="0"/>
        <v>0.55000000000000004</v>
      </c>
      <c r="R48" s="53">
        <v>11.2</v>
      </c>
      <c r="S48" s="53">
        <v>95.5</v>
      </c>
      <c r="T48" s="16">
        <f t="shared" si="1"/>
        <v>39</v>
      </c>
      <c r="U48" s="53">
        <v>398</v>
      </c>
      <c r="V48" s="129">
        <f t="shared" si="2"/>
        <v>3880.5</v>
      </c>
      <c r="W48" s="53">
        <v>5</v>
      </c>
      <c r="X48" s="127" t="s">
        <v>39</v>
      </c>
      <c r="Y48" s="53" t="s">
        <v>84</v>
      </c>
      <c r="Z48" s="53" t="s">
        <v>90</v>
      </c>
      <c r="AA48" s="53" t="s">
        <v>69</v>
      </c>
      <c r="AB48" s="127" t="s">
        <v>241</v>
      </c>
      <c r="AC48" s="34"/>
    </row>
    <row r="49" spans="1:29" x14ac:dyDescent="0.15">
      <c r="A49" s="127" t="s">
        <v>61</v>
      </c>
      <c r="B49" s="127" t="s">
        <v>237</v>
      </c>
      <c r="C49" s="127">
        <v>2019</v>
      </c>
      <c r="D49" s="128" t="s">
        <v>315</v>
      </c>
      <c r="E49" s="127" t="s">
        <v>297</v>
      </c>
      <c r="F49" s="127" t="s">
        <v>298</v>
      </c>
      <c r="G49" s="127" t="s">
        <v>42</v>
      </c>
      <c r="H49" s="53" t="s">
        <v>164</v>
      </c>
      <c r="I49" s="53" t="s">
        <v>159</v>
      </c>
      <c r="J49" s="127" t="s">
        <v>38</v>
      </c>
      <c r="K49" s="53" t="s">
        <v>161</v>
      </c>
      <c r="L49" s="53">
        <v>3</v>
      </c>
      <c r="N49" s="53">
        <v>4</v>
      </c>
      <c r="O49" s="53">
        <v>1.25</v>
      </c>
      <c r="P49" s="53">
        <v>1.5</v>
      </c>
      <c r="Q49" s="74">
        <f t="shared" si="0"/>
        <v>1.375</v>
      </c>
      <c r="R49" s="53">
        <v>12.4</v>
      </c>
      <c r="S49" s="53">
        <v>104.5</v>
      </c>
      <c r="T49" s="16">
        <f t="shared" si="1"/>
        <v>39</v>
      </c>
      <c r="U49" s="53">
        <v>398</v>
      </c>
      <c r="V49" s="129">
        <f t="shared" si="2"/>
        <v>3880.5</v>
      </c>
      <c r="W49" s="53">
        <v>5</v>
      </c>
      <c r="X49" s="127" t="s">
        <v>39</v>
      </c>
      <c r="Y49" s="53" t="s">
        <v>84</v>
      </c>
      <c r="Z49" s="53" t="s">
        <v>90</v>
      </c>
      <c r="AA49" s="53" t="s">
        <v>69</v>
      </c>
      <c r="AB49" s="127" t="s">
        <v>241</v>
      </c>
      <c r="AC49" s="34"/>
    </row>
    <row r="50" spans="1:29" x14ac:dyDescent="0.15">
      <c r="A50" s="127" t="s">
        <v>61</v>
      </c>
      <c r="B50" s="127" t="s">
        <v>237</v>
      </c>
      <c r="C50" s="127">
        <v>2019</v>
      </c>
      <c r="D50" s="128" t="s">
        <v>315</v>
      </c>
      <c r="E50" s="127" t="s">
        <v>297</v>
      </c>
      <c r="F50" s="127" t="s">
        <v>298</v>
      </c>
      <c r="G50" s="127" t="s">
        <v>42</v>
      </c>
      <c r="H50" s="53" t="s">
        <v>164</v>
      </c>
      <c r="I50" s="53" t="s">
        <v>159</v>
      </c>
      <c r="J50" s="127" t="s">
        <v>80</v>
      </c>
      <c r="K50" s="53" t="s">
        <v>63</v>
      </c>
      <c r="L50" s="53">
        <v>1</v>
      </c>
      <c r="N50" s="53">
        <v>5</v>
      </c>
      <c r="O50" s="53">
        <v>0.9</v>
      </c>
      <c r="P50" s="53">
        <v>0.9</v>
      </c>
      <c r="Q50" s="74">
        <f t="shared" si="0"/>
        <v>0.9</v>
      </c>
      <c r="R50" s="53">
        <v>13.2</v>
      </c>
      <c r="S50" s="53">
        <v>74</v>
      </c>
      <c r="T50" s="16">
        <f t="shared" si="1"/>
        <v>42</v>
      </c>
      <c r="U50" s="53">
        <v>398</v>
      </c>
      <c r="V50" s="129">
        <f t="shared" si="2"/>
        <v>3343.2</v>
      </c>
      <c r="W50" s="53">
        <v>5</v>
      </c>
      <c r="X50" s="127" t="s">
        <v>39</v>
      </c>
      <c r="Y50" s="53" t="s">
        <v>84</v>
      </c>
      <c r="Z50" s="53" t="s">
        <v>90</v>
      </c>
      <c r="AA50" s="53" t="s">
        <v>69</v>
      </c>
      <c r="AB50" s="127" t="s">
        <v>241</v>
      </c>
    </row>
    <row r="51" spans="1:29" x14ac:dyDescent="0.15">
      <c r="A51" s="127" t="s">
        <v>61</v>
      </c>
      <c r="B51" s="127" t="s">
        <v>237</v>
      </c>
      <c r="C51" s="127">
        <v>2019</v>
      </c>
      <c r="D51" s="128" t="s">
        <v>315</v>
      </c>
      <c r="E51" s="127" t="s">
        <v>297</v>
      </c>
      <c r="F51" s="127" t="s">
        <v>298</v>
      </c>
      <c r="G51" s="127" t="s">
        <v>42</v>
      </c>
      <c r="H51" s="53" t="s">
        <v>164</v>
      </c>
      <c r="I51" s="53" t="s">
        <v>159</v>
      </c>
      <c r="J51" s="127" t="s">
        <v>80</v>
      </c>
      <c r="K51" s="53" t="s">
        <v>63</v>
      </c>
      <c r="L51" s="53">
        <v>2</v>
      </c>
      <c r="N51" s="53">
        <v>5</v>
      </c>
      <c r="O51" s="53">
        <v>1.25</v>
      </c>
      <c r="P51" s="53">
        <v>1.2</v>
      </c>
      <c r="Q51" s="74">
        <f t="shared" si="0"/>
        <v>1.2250000000000001</v>
      </c>
      <c r="R51" s="53">
        <v>10.1</v>
      </c>
      <c r="S51" s="53">
        <v>78</v>
      </c>
      <c r="T51" s="16">
        <f t="shared" si="1"/>
        <v>39</v>
      </c>
      <c r="U51" s="53">
        <v>398</v>
      </c>
      <c r="V51" s="129">
        <f t="shared" si="2"/>
        <v>3104.3999999999996</v>
      </c>
      <c r="W51" s="53">
        <v>5</v>
      </c>
      <c r="X51" s="127" t="s">
        <v>39</v>
      </c>
      <c r="Y51" s="53" t="s">
        <v>84</v>
      </c>
      <c r="Z51" s="53" t="s">
        <v>90</v>
      </c>
      <c r="AA51" s="53" t="s">
        <v>69</v>
      </c>
      <c r="AB51" s="127" t="s">
        <v>241</v>
      </c>
    </row>
    <row r="52" spans="1:29" x14ac:dyDescent="0.15">
      <c r="A52" s="127" t="s">
        <v>61</v>
      </c>
      <c r="B52" s="127" t="s">
        <v>237</v>
      </c>
      <c r="C52" s="127">
        <v>2019</v>
      </c>
      <c r="D52" s="128" t="s">
        <v>315</v>
      </c>
      <c r="E52" s="127" t="s">
        <v>297</v>
      </c>
      <c r="F52" s="127" t="s">
        <v>298</v>
      </c>
      <c r="G52" s="127" t="s">
        <v>42</v>
      </c>
      <c r="H52" s="53" t="s">
        <v>164</v>
      </c>
      <c r="I52" s="53" t="s">
        <v>159</v>
      </c>
      <c r="J52" s="127" t="s">
        <v>80</v>
      </c>
      <c r="K52" s="53" t="s">
        <v>63</v>
      </c>
      <c r="L52" s="53">
        <v>3</v>
      </c>
      <c r="N52" s="53">
        <v>5</v>
      </c>
      <c r="O52" s="53">
        <v>1.2</v>
      </c>
      <c r="P52" s="53">
        <v>1</v>
      </c>
      <c r="Q52" s="74">
        <f t="shared" si="0"/>
        <v>1.1000000000000001</v>
      </c>
      <c r="R52" s="53">
        <v>12.4</v>
      </c>
      <c r="S52" s="53">
        <v>78</v>
      </c>
      <c r="T52" s="16">
        <f t="shared" si="1"/>
        <v>39</v>
      </c>
      <c r="U52" s="53">
        <v>398</v>
      </c>
      <c r="V52" s="129">
        <f t="shared" si="2"/>
        <v>3104.3999999999996</v>
      </c>
      <c r="W52" s="53">
        <v>5</v>
      </c>
      <c r="X52" s="127" t="s">
        <v>39</v>
      </c>
      <c r="Y52" s="53" t="s">
        <v>84</v>
      </c>
      <c r="Z52" s="53" t="s">
        <v>90</v>
      </c>
      <c r="AA52" s="53" t="s">
        <v>69</v>
      </c>
      <c r="AB52" s="127" t="s">
        <v>241</v>
      </c>
    </row>
    <row r="53" spans="1:29" x14ac:dyDescent="0.15">
      <c r="A53" s="127" t="s">
        <v>61</v>
      </c>
      <c r="B53" s="127" t="s">
        <v>237</v>
      </c>
      <c r="C53" s="127">
        <v>2019</v>
      </c>
      <c r="D53" s="128" t="s">
        <v>315</v>
      </c>
      <c r="E53" s="127" t="s">
        <v>297</v>
      </c>
      <c r="F53" s="127" t="s">
        <v>298</v>
      </c>
      <c r="G53" s="127" t="s">
        <v>42</v>
      </c>
      <c r="H53" s="53" t="s">
        <v>164</v>
      </c>
      <c r="I53" s="53" t="s">
        <v>198</v>
      </c>
      <c r="J53" s="127" t="s">
        <v>38</v>
      </c>
      <c r="K53" s="53" t="s">
        <v>161</v>
      </c>
      <c r="L53" s="53">
        <v>1</v>
      </c>
      <c r="N53" s="53">
        <v>5</v>
      </c>
      <c r="O53" s="53">
        <v>1.02</v>
      </c>
      <c r="P53" s="53">
        <v>1.25</v>
      </c>
      <c r="Q53" s="74">
        <f t="shared" si="0"/>
        <v>1.135</v>
      </c>
      <c r="R53" s="53">
        <v>15.2</v>
      </c>
      <c r="S53" s="53">
        <v>78.5</v>
      </c>
      <c r="T53" s="16">
        <f t="shared" si="1"/>
        <v>39</v>
      </c>
      <c r="U53" s="53">
        <v>398</v>
      </c>
      <c r="V53" s="129">
        <f t="shared" si="2"/>
        <v>3104.3999999999996</v>
      </c>
      <c r="W53" s="53">
        <v>5</v>
      </c>
      <c r="X53" s="127" t="s">
        <v>39</v>
      </c>
      <c r="Y53" s="53" t="s">
        <v>84</v>
      </c>
      <c r="Z53" s="53" t="s">
        <v>90</v>
      </c>
      <c r="AA53" s="53" t="s">
        <v>69</v>
      </c>
      <c r="AB53" s="127" t="s">
        <v>241</v>
      </c>
      <c r="AC53" s="34"/>
    </row>
    <row r="54" spans="1:29" x14ac:dyDescent="0.15">
      <c r="A54" s="127" t="s">
        <v>61</v>
      </c>
      <c r="B54" s="127" t="s">
        <v>237</v>
      </c>
      <c r="C54" s="127">
        <v>2019</v>
      </c>
      <c r="D54" s="128" t="s">
        <v>315</v>
      </c>
      <c r="E54" s="127" t="s">
        <v>297</v>
      </c>
      <c r="F54" s="127" t="s">
        <v>298</v>
      </c>
      <c r="G54" s="127" t="s">
        <v>42</v>
      </c>
      <c r="H54" s="53" t="s">
        <v>164</v>
      </c>
      <c r="I54" s="53" t="s">
        <v>198</v>
      </c>
      <c r="J54" s="127" t="s">
        <v>38</v>
      </c>
      <c r="K54" s="53" t="s">
        <v>161</v>
      </c>
      <c r="L54" s="53">
        <v>2</v>
      </c>
      <c r="N54" s="53">
        <v>5</v>
      </c>
      <c r="O54" s="53">
        <v>1.25</v>
      </c>
      <c r="P54" s="53">
        <v>1.25</v>
      </c>
      <c r="Q54" s="74">
        <f t="shared" si="0"/>
        <v>1.25</v>
      </c>
      <c r="R54" s="53">
        <v>14.4</v>
      </c>
      <c r="S54" s="53">
        <v>79.5</v>
      </c>
      <c r="T54" s="16">
        <f t="shared" si="1"/>
        <v>39</v>
      </c>
      <c r="U54" s="53">
        <v>398</v>
      </c>
      <c r="V54" s="129">
        <f t="shared" si="2"/>
        <v>3104.3999999999996</v>
      </c>
      <c r="W54" s="53">
        <v>5</v>
      </c>
      <c r="X54" s="127" t="s">
        <v>39</v>
      </c>
      <c r="Y54" s="53" t="s">
        <v>84</v>
      </c>
      <c r="Z54" s="53" t="s">
        <v>90</v>
      </c>
      <c r="AA54" s="53" t="s">
        <v>69</v>
      </c>
      <c r="AB54" s="127" t="s">
        <v>241</v>
      </c>
      <c r="AC54" s="34"/>
    </row>
    <row r="55" spans="1:29" x14ac:dyDescent="0.15">
      <c r="A55" s="127" t="s">
        <v>61</v>
      </c>
      <c r="B55" s="127" t="s">
        <v>237</v>
      </c>
      <c r="C55" s="127">
        <v>2019</v>
      </c>
      <c r="D55" s="128" t="s">
        <v>315</v>
      </c>
      <c r="E55" s="127" t="s">
        <v>297</v>
      </c>
      <c r="F55" s="127" t="s">
        <v>298</v>
      </c>
      <c r="G55" s="127" t="s">
        <v>42</v>
      </c>
      <c r="H55" s="53" t="s">
        <v>164</v>
      </c>
      <c r="I55" s="53" t="s">
        <v>198</v>
      </c>
      <c r="J55" s="127" t="s">
        <v>38</v>
      </c>
      <c r="K55" s="53" t="s">
        <v>161</v>
      </c>
      <c r="L55" s="53">
        <v>3</v>
      </c>
      <c r="N55" s="53">
        <v>5</v>
      </c>
      <c r="O55" s="53">
        <v>1.5</v>
      </c>
      <c r="P55" s="53">
        <v>1.2</v>
      </c>
      <c r="Q55" s="74">
        <f t="shared" si="0"/>
        <v>1.35</v>
      </c>
      <c r="R55" s="53">
        <v>14</v>
      </c>
      <c r="S55" s="53">
        <v>77.5</v>
      </c>
      <c r="T55" s="16">
        <f t="shared" si="1"/>
        <v>39</v>
      </c>
      <c r="U55" s="53">
        <v>398</v>
      </c>
      <c r="V55" s="129">
        <f t="shared" si="2"/>
        <v>3104.3999999999996</v>
      </c>
      <c r="W55" s="53">
        <v>5</v>
      </c>
      <c r="X55" s="127" t="s">
        <v>39</v>
      </c>
      <c r="Y55" s="53" t="s">
        <v>84</v>
      </c>
      <c r="Z55" s="53" t="s">
        <v>90</v>
      </c>
      <c r="AA55" s="53" t="s">
        <v>69</v>
      </c>
      <c r="AB55" s="127" t="s">
        <v>241</v>
      </c>
      <c r="AC55" s="34"/>
    </row>
    <row r="56" spans="1:29" x14ac:dyDescent="0.15">
      <c r="A56" s="127" t="s">
        <v>61</v>
      </c>
      <c r="B56" s="127" t="s">
        <v>237</v>
      </c>
      <c r="C56" s="127">
        <v>2019</v>
      </c>
      <c r="D56" s="128" t="s">
        <v>315</v>
      </c>
      <c r="E56" s="127" t="s">
        <v>299</v>
      </c>
      <c r="F56" s="127" t="s">
        <v>298</v>
      </c>
      <c r="G56" s="127" t="s">
        <v>42</v>
      </c>
      <c r="H56" s="53" t="s">
        <v>164</v>
      </c>
      <c r="I56" s="53" t="s">
        <v>159</v>
      </c>
      <c r="J56" s="127" t="s">
        <v>38</v>
      </c>
      <c r="K56" s="53" t="s">
        <v>161</v>
      </c>
      <c r="L56" s="53">
        <v>1</v>
      </c>
      <c r="N56" s="53">
        <v>4</v>
      </c>
      <c r="O56" s="53">
        <v>0.8</v>
      </c>
      <c r="P56" s="53">
        <v>0.9</v>
      </c>
      <c r="Q56" s="74">
        <f t="shared" si="0"/>
        <v>0.85000000000000009</v>
      </c>
      <c r="R56" s="53">
        <v>15.5</v>
      </c>
      <c r="S56" s="53">
        <v>112.5</v>
      </c>
      <c r="T56" s="16">
        <f t="shared" si="1"/>
        <v>39</v>
      </c>
      <c r="U56" s="53">
        <v>321</v>
      </c>
      <c r="V56" s="129">
        <f t="shared" si="2"/>
        <v>3129.75</v>
      </c>
      <c r="W56" s="53">
        <v>13</v>
      </c>
      <c r="X56" s="127" t="s">
        <v>46</v>
      </c>
      <c r="Y56" s="53" t="s">
        <v>84</v>
      </c>
      <c r="Z56" s="53" t="s">
        <v>90</v>
      </c>
      <c r="AA56" s="53" t="s">
        <v>69</v>
      </c>
      <c r="AB56" s="127" t="s">
        <v>241</v>
      </c>
      <c r="AC56" s="34"/>
    </row>
    <row r="57" spans="1:29" x14ac:dyDescent="0.15">
      <c r="A57" s="127" t="s">
        <v>61</v>
      </c>
      <c r="B57" s="127" t="s">
        <v>237</v>
      </c>
      <c r="C57" s="127">
        <v>2019</v>
      </c>
      <c r="D57" s="128" t="s">
        <v>315</v>
      </c>
      <c r="E57" s="127" t="s">
        <v>299</v>
      </c>
      <c r="F57" s="127" t="s">
        <v>298</v>
      </c>
      <c r="G57" s="127" t="s">
        <v>42</v>
      </c>
      <c r="H57" s="53" t="s">
        <v>164</v>
      </c>
      <c r="I57" s="53" t="s">
        <v>159</v>
      </c>
      <c r="J57" s="127" t="s">
        <v>38</v>
      </c>
      <c r="K57" s="53" t="s">
        <v>161</v>
      </c>
      <c r="L57" s="53">
        <v>2</v>
      </c>
      <c r="N57" s="53">
        <v>4</v>
      </c>
      <c r="O57" s="53">
        <v>0.5</v>
      </c>
      <c r="P57" s="53">
        <v>0.9</v>
      </c>
      <c r="Q57" s="74">
        <f t="shared" si="0"/>
        <v>0.7</v>
      </c>
      <c r="R57" s="53">
        <v>13.9</v>
      </c>
      <c r="S57" s="53">
        <v>105.5</v>
      </c>
      <c r="T57" s="16">
        <f t="shared" si="1"/>
        <v>39</v>
      </c>
      <c r="U57" s="53">
        <v>321</v>
      </c>
      <c r="V57" s="129">
        <f t="shared" si="2"/>
        <v>3129.75</v>
      </c>
      <c r="W57" s="53">
        <v>13</v>
      </c>
      <c r="X57" s="127" t="s">
        <v>46</v>
      </c>
      <c r="Y57" s="53" t="s">
        <v>84</v>
      </c>
      <c r="Z57" s="53" t="s">
        <v>90</v>
      </c>
      <c r="AA57" s="53" t="s">
        <v>69</v>
      </c>
      <c r="AB57" s="127" t="s">
        <v>241</v>
      </c>
      <c r="AC57" s="34"/>
    </row>
    <row r="58" spans="1:29" x14ac:dyDescent="0.15">
      <c r="A58" s="127" t="s">
        <v>61</v>
      </c>
      <c r="B58" s="127" t="s">
        <v>237</v>
      </c>
      <c r="C58" s="127">
        <v>2019</v>
      </c>
      <c r="D58" s="128" t="s">
        <v>315</v>
      </c>
      <c r="E58" s="127" t="s">
        <v>299</v>
      </c>
      <c r="F58" s="127" t="s">
        <v>298</v>
      </c>
      <c r="G58" s="127" t="s">
        <v>42</v>
      </c>
      <c r="H58" s="53" t="s">
        <v>164</v>
      </c>
      <c r="I58" s="53" t="s">
        <v>159</v>
      </c>
      <c r="J58" s="127" t="s">
        <v>38</v>
      </c>
      <c r="K58" s="53" t="s">
        <v>161</v>
      </c>
      <c r="L58" s="53">
        <v>3</v>
      </c>
      <c r="N58" s="53">
        <v>4</v>
      </c>
      <c r="O58" s="53">
        <v>0.9</v>
      </c>
      <c r="P58" s="53">
        <v>0.7</v>
      </c>
      <c r="Q58" s="74">
        <f t="shared" si="0"/>
        <v>0.8</v>
      </c>
      <c r="R58" s="53">
        <v>10.5</v>
      </c>
      <c r="S58" s="53">
        <v>107.5</v>
      </c>
      <c r="T58" s="16">
        <f t="shared" si="1"/>
        <v>39</v>
      </c>
      <c r="U58" s="53">
        <v>321</v>
      </c>
      <c r="V58" s="129">
        <f t="shared" si="2"/>
        <v>3129.75</v>
      </c>
      <c r="W58" s="53">
        <v>13</v>
      </c>
      <c r="X58" s="127" t="s">
        <v>46</v>
      </c>
      <c r="Y58" s="53" t="s">
        <v>84</v>
      </c>
      <c r="Z58" s="53" t="s">
        <v>90</v>
      </c>
      <c r="AA58" s="53" t="s">
        <v>69</v>
      </c>
      <c r="AB58" s="127" t="s">
        <v>241</v>
      </c>
      <c r="AC58" s="34"/>
    </row>
    <row r="59" spans="1:29" x14ac:dyDescent="0.15">
      <c r="A59" s="127" t="s">
        <v>61</v>
      </c>
      <c r="B59" s="127" t="s">
        <v>237</v>
      </c>
      <c r="C59" s="127">
        <v>2019</v>
      </c>
      <c r="D59" s="128" t="s">
        <v>315</v>
      </c>
      <c r="E59" s="127" t="s">
        <v>299</v>
      </c>
      <c r="F59" s="127" t="s">
        <v>298</v>
      </c>
      <c r="G59" s="127" t="s">
        <v>42</v>
      </c>
      <c r="H59" s="53" t="s">
        <v>128</v>
      </c>
      <c r="I59" s="53" t="s">
        <v>159</v>
      </c>
      <c r="J59" s="127" t="s">
        <v>44</v>
      </c>
      <c r="K59" s="53" t="s">
        <v>45</v>
      </c>
      <c r="L59" s="53">
        <v>1</v>
      </c>
      <c r="N59" s="53">
        <v>5</v>
      </c>
      <c r="O59" s="53">
        <v>1.5</v>
      </c>
      <c r="P59" s="53">
        <v>1.2</v>
      </c>
      <c r="Q59" s="74">
        <f t="shared" si="0"/>
        <v>1.35</v>
      </c>
      <c r="R59" s="53">
        <v>15.2</v>
      </c>
      <c r="S59" s="53">
        <v>92</v>
      </c>
      <c r="T59" s="16">
        <f t="shared" si="1"/>
        <v>39</v>
      </c>
      <c r="U59" s="53">
        <v>429</v>
      </c>
      <c r="V59" s="129">
        <f t="shared" si="2"/>
        <v>3346.2</v>
      </c>
      <c r="W59" s="53">
        <v>13</v>
      </c>
      <c r="X59" s="127" t="s">
        <v>46</v>
      </c>
      <c r="Y59" s="53" t="s">
        <v>84</v>
      </c>
      <c r="Z59" s="53" t="s">
        <v>90</v>
      </c>
      <c r="AA59" s="53" t="s">
        <v>69</v>
      </c>
      <c r="AB59" s="127" t="s">
        <v>241</v>
      </c>
    </row>
    <row r="60" spans="1:29" x14ac:dyDescent="0.15">
      <c r="A60" s="127" t="s">
        <v>61</v>
      </c>
      <c r="B60" s="127" t="s">
        <v>237</v>
      </c>
      <c r="C60" s="127">
        <v>2019</v>
      </c>
      <c r="D60" s="128" t="s">
        <v>315</v>
      </c>
      <c r="E60" s="127" t="s">
        <v>299</v>
      </c>
      <c r="F60" s="127" t="s">
        <v>298</v>
      </c>
      <c r="G60" s="127" t="s">
        <v>42</v>
      </c>
      <c r="H60" s="53" t="s">
        <v>128</v>
      </c>
      <c r="I60" s="53" t="s">
        <v>159</v>
      </c>
      <c r="J60" s="127" t="s">
        <v>44</v>
      </c>
      <c r="K60" s="53" t="s">
        <v>45</v>
      </c>
      <c r="L60" s="53">
        <v>2</v>
      </c>
      <c r="N60" s="53">
        <v>5</v>
      </c>
      <c r="O60" s="53">
        <v>1.5</v>
      </c>
      <c r="P60" s="53">
        <v>1.25</v>
      </c>
      <c r="Q60" s="74">
        <f t="shared" si="0"/>
        <v>1.375</v>
      </c>
      <c r="R60" s="53">
        <v>12.2</v>
      </c>
      <c r="S60" s="53">
        <v>96.5</v>
      </c>
      <c r="T60" s="16">
        <f t="shared" si="1"/>
        <v>39</v>
      </c>
      <c r="U60" s="53">
        <v>429</v>
      </c>
      <c r="V60" s="129">
        <f t="shared" si="2"/>
        <v>3346.2</v>
      </c>
      <c r="W60" s="53">
        <v>13</v>
      </c>
      <c r="X60" s="127" t="s">
        <v>46</v>
      </c>
      <c r="Y60" s="53" t="s">
        <v>84</v>
      </c>
      <c r="Z60" s="53" t="s">
        <v>90</v>
      </c>
      <c r="AA60" s="53" t="s">
        <v>69</v>
      </c>
      <c r="AB60" s="127" t="s">
        <v>241</v>
      </c>
    </row>
    <row r="61" spans="1:29" x14ac:dyDescent="0.15">
      <c r="A61" s="127" t="s">
        <v>61</v>
      </c>
      <c r="B61" s="127" t="s">
        <v>237</v>
      </c>
      <c r="C61" s="127">
        <v>2019</v>
      </c>
      <c r="D61" s="128" t="s">
        <v>315</v>
      </c>
      <c r="E61" s="127" t="s">
        <v>299</v>
      </c>
      <c r="F61" s="127" t="s">
        <v>298</v>
      </c>
      <c r="G61" s="127" t="s">
        <v>42</v>
      </c>
      <c r="H61" s="53" t="s">
        <v>128</v>
      </c>
      <c r="I61" s="53" t="s">
        <v>159</v>
      </c>
      <c r="J61" s="127" t="s">
        <v>44</v>
      </c>
      <c r="K61" s="53" t="s">
        <v>45</v>
      </c>
      <c r="L61" s="53">
        <v>3</v>
      </c>
      <c r="N61" s="53">
        <v>5</v>
      </c>
      <c r="O61" s="53">
        <v>1.25</v>
      </c>
      <c r="P61" s="53">
        <v>1.5</v>
      </c>
      <c r="Q61" s="74">
        <f t="shared" si="0"/>
        <v>1.375</v>
      </c>
      <c r="R61" s="53">
        <v>11.2</v>
      </c>
      <c r="S61" s="53">
        <v>94.5</v>
      </c>
      <c r="T61" s="16">
        <f t="shared" si="1"/>
        <v>39</v>
      </c>
      <c r="U61" s="53">
        <v>429</v>
      </c>
      <c r="V61" s="129">
        <f t="shared" si="2"/>
        <v>3346.2</v>
      </c>
      <c r="W61" s="53">
        <v>13</v>
      </c>
      <c r="X61" s="127" t="s">
        <v>46</v>
      </c>
      <c r="Y61" s="53" t="s">
        <v>84</v>
      </c>
      <c r="Z61" s="53" t="s">
        <v>90</v>
      </c>
      <c r="AA61" s="53" t="s">
        <v>69</v>
      </c>
      <c r="AB61" s="127" t="s">
        <v>241</v>
      </c>
    </row>
    <row r="62" spans="1:29" x14ac:dyDescent="0.15">
      <c r="A62" s="127" t="s">
        <v>61</v>
      </c>
      <c r="B62" s="127" t="s">
        <v>237</v>
      </c>
      <c r="C62" s="127">
        <v>2019</v>
      </c>
      <c r="D62" s="128" t="s">
        <v>315</v>
      </c>
      <c r="E62" s="127" t="s">
        <v>299</v>
      </c>
      <c r="F62" s="127" t="s">
        <v>298</v>
      </c>
      <c r="G62" s="127" t="s">
        <v>42</v>
      </c>
      <c r="H62" s="53" t="s">
        <v>160</v>
      </c>
      <c r="I62" s="53" t="s">
        <v>159</v>
      </c>
      <c r="J62" s="127" t="s">
        <v>38</v>
      </c>
      <c r="K62" s="53" t="s">
        <v>87</v>
      </c>
      <c r="L62" s="53">
        <v>1</v>
      </c>
      <c r="N62" s="53">
        <v>3</v>
      </c>
      <c r="O62" s="53">
        <v>0.8</v>
      </c>
      <c r="P62" s="53">
        <v>0.9</v>
      </c>
      <c r="Q62" s="74">
        <f t="shared" si="0"/>
        <v>0.85000000000000009</v>
      </c>
      <c r="R62" s="53">
        <v>15.1</v>
      </c>
      <c r="S62" s="53">
        <v>83.5</v>
      </c>
      <c r="T62" s="16">
        <f t="shared" si="1"/>
        <v>39</v>
      </c>
      <c r="U62" s="53">
        <v>537</v>
      </c>
      <c r="V62" s="129">
        <f t="shared" si="2"/>
        <v>6981</v>
      </c>
      <c r="W62" s="53">
        <v>13</v>
      </c>
      <c r="X62" s="127" t="s">
        <v>46</v>
      </c>
      <c r="Y62" s="53" t="s">
        <v>84</v>
      </c>
      <c r="Z62" s="53" t="s">
        <v>90</v>
      </c>
      <c r="AA62" s="53" t="s">
        <v>69</v>
      </c>
      <c r="AB62" s="127" t="s">
        <v>241</v>
      </c>
    </row>
    <row r="63" spans="1:29" x14ac:dyDescent="0.15">
      <c r="A63" s="127" t="s">
        <v>61</v>
      </c>
      <c r="B63" s="127" t="s">
        <v>237</v>
      </c>
      <c r="C63" s="127">
        <v>2019</v>
      </c>
      <c r="D63" s="128" t="s">
        <v>315</v>
      </c>
      <c r="E63" s="127" t="s">
        <v>299</v>
      </c>
      <c r="F63" s="127" t="s">
        <v>298</v>
      </c>
      <c r="G63" s="127" t="s">
        <v>42</v>
      </c>
      <c r="H63" s="53" t="s">
        <v>160</v>
      </c>
      <c r="I63" s="53" t="s">
        <v>159</v>
      </c>
      <c r="J63" s="127" t="s">
        <v>38</v>
      </c>
      <c r="K63" s="53" t="s">
        <v>87</v>
      </c>
      <c r="L63" s="53">
        <v>2</v>
      </c>
      <c r="N63" s="53">
        <v>3</v>
      </c>
      <c r="O63" s="53">
        <v>0.9</v>
      </c>
      <c r="P63" s="53">
        <v>0.9</v>
      </c>
      <c r="Q63" s="74">
        <f t="shared" si="0"/>
        <v>0.9</v>
      </c>
      <c r="R63" s="53">
        <v>10.6</v>
      </c>
      <c r="S63" s="53">
        <v>91.5</v>
      </c>
      <c r="T63" s="16">
        <f t="shared" si="1"/>
        <v>39</v>
      </c>
      <c r="U63" s="53">
        <v>537</v>
      </c>
      <c r="V63" s="129">
        <f t="shared" si="2"/>
        <v>6981</v>
      </c>
      <c r="W63" s="53">
        <v>13</v>
      </c>
      <c r="X63" s="127" t="s">
        <v>46</v>
      </c>
      <c r="Y63" s="53" t="s">
        <v>84</v>
      </c>
      <c r="Z63" s="53" t="s">
        <v>90</v>
      </c>
      <c r="AA63" s="53" t="s">
        <v>69</v>
      </c>
      <c r="AB63" s="127" t="s">
        <v>241</v>
      </c>
    </row>
    <row r="64" spans="1:29" x14ac:dyDescent="0.15">
      <c r="A64" s="127" t="s">
        <v>61</v>
      </c>
      <c r="B64" s="127" t="s">
        <v>237</v>
      </c>
      <c r="C64" s="127">
        <v>2019</v>
      </c>
      <c r="D64" s="128" t="s">
        <v>315</v>
      </c>
      <c r="E64" s="127" t="s">
        <v>299</v>
      </c>
      <c r="F64" s="127" t="s">
        <v>298</v>
      </c>
      <c r="G64" s="127" t="s">
        <v>42</v>
      </c>
      <c r="H64" s="53" t="s">
        <v>160</v>
      </c>
      <c r="I64" s="53" t="s">
        <v>159</v>
      </c>
      <c r="J64" s="127" t="s">
        <v>38</v>
      </c>
      <c r="K64" s="53" t="s">
        <v>87</v>
      </c>
      <c r="L64" s="53">
        <v>3</v>
      </c>
      <c r="N64" s="53">
        <v>3</v>
      </c>
      <c r="O64" s="53">
        <v>0.8</v>
      </c>
      <c r="P64" s="53">
        <v>0.9</v>
      </c>
      <c r="Q64" s="74">
        <f t="shared" si="0"/>
        <v>0.85000000000000009</v>
      </c>
      <c r="R64" s="53">
        <v>13.8</v>
      </c>
      <c r="S64" s="53">
        <v>90.5</v>
      </c>
      <c r="T64" s="16">
        <f t="shared" si="1"/>
        <v>39</v>
      </c>
      <c r="U64" s="53">
        <v>537</v>
      </c>
      <c r="V64" s="129">
        <f t="shared" si="2"/>
        <v>6981</v>
      </c>
      <c r="W64" s="53">
        <v>13</v>
      </c>
      <c r="X64" s="127" t="s">
        <v>46</v>
      </c>
      <c r="Y64" s="53" t="s">
        <v>84</v>
      </c>
      <c r="Z64" s="53" t="s">
        <v>90</v>
      </c>
      <c r="AA64" s="53" t="s">
        <v>69</v>
      </c>
      <c r="AB64" s="127" t="s">
        <v>241</v>
      </c>
    </row>
    <row r="65" spans="1:28" x14ac:dyDescent="0.15">
      <c r="A65" s="127" t="s">
        <v>61</v>
      </c>
      <c r="B65" s="127" t="s">
        <v>237</v>
      </c>
      <c r="C65" s="127">
        <v>2019</v>
      </c>
      <c r="D65" s="128" t="s">
        <v>315</v>
      </c>
      <c r="E65" s="127" t="s">
        <v>299</v>
      </c>
      <c r="F65" s="127" t="s">
        <v>298</v>
      </c>
      <c r="G65" s="127" t="s">
        <v>42</v>
      </c>
      <c r="H65" s="53" t="s">
        <v>128</v>
      </c>
      <c r="I65" s="53" t="s">
        <v>159</v>
      </c>
      <c r="J65" s="127" t="s">
        <v>80</v>
      </c>
      <c r="K65" s="53" t="s">
        <v>105</v>
      </c>
      <c r="L65" s="53">
        <v>1</v>
      </c>
      <c r="N65" s="53">
        <v>1</v>
      </c>
      <c r="O65" s="53">
        <v>0.5</v>
      </c>
      <c r="P65" s="53">
        <v>0.6</v>
      </c>
      <c r="Q65" s="74">
        <f t="shared" si="0"/>
        <v>0.55000000000000004</v>
      </c>
      <c r="R65" s="53">
        <v>15.7</v>
      </c>
      <c r="S65" s="53">
        <v>161.5</v>
      </c>
      <c r="T65" s="16">
        <f t="shared" si="1"/>
        <v>18</v>
      </c>
      <c r="U65" s="53">
        <v>834</v>
      </c>
      <c r="V65" s="129">
        <f t="shared" si="2"/>
        <v>15012</v>
      </c>
      <c r="W65" s="53">
        <v>13</v>
      </c>
      <c r="X65" s="127" t="s">
        <v>46</v>
      </c>
      <c r="Y65" s="53" t="s">
        <v>84</v>
      </c>
      <c r="Z65" s="53" t="s">
        <v>90</v>
      </c>
      <c r="AA65" s="53" t="s">
        <v>69</v>
      </c>
      <c r="AB65" s="127" t="s">
        <v>241</v>
      </c>
    </row>
    <row r="66" spans="1:28" x14ac:dyDescent="0.15">
      <c r="A66" s="127" t="s">
        <v>61</v>
      </c>
      <c r="B66" s="127" t="s">
        <v>237</v>
      </c>
      <c r="C66" s="127">
        <v>2019</v>
      </c>
      <c r="D66" s="128" t="s">
        <v>315</v>
      </c>
      <c r="E66" s="127" t="s">
        <v>299</v>
      </c>
      <c r="F66" s="127" t="s">
        <v>298</v>
      </c>
      <c r="G66" s="127" t="s">
        <v>42</v>
      </c>
      <c r="H66" s="53" t="s">
        <v>128</v>
      </c>
      <c r="I66" s="53" t="s">
        <v>159</v>
      </c>
      <c r="J66" s="127" t="s">
        <v>80</v>
      </c>
      <c r="K66" s="53" t="s">
        <v>105</v>
      </c>
      <c r="L66" s="53">
        <v>2</v>
      </c>
      <c r="N66" s="53">
        <v>1</v>
      </c>
      <c r="O66" s="53">
        <v>0.8</v>
      </c>
      <c r="P66" s="53">
        <v>0.8</v>
      </c>
      <c r="Q66" s="74">
        <f t="shared" ref="Q66:Q67" si="3">IF(OR(O66="",P66=""),"",AVERAGE(O66,P66))</f>
        <v>0.8</v>
      </c>
      <c r="R66" s="53">
        <v>15</v>
      </c>
      <c r="S66" s="53">
        <v>176.5</v>
      </c>
      <c r="T66" s="16">
        <f t="shared" ref="T66:T67" si="4">IF(H66="","",IF(OR(H66="GREEN",H66="GK"),IF(S66&gt;=$AX$2,VLOOKUP(S66,$AX$2:$AY$12,2,1),""),IF(S66&gt;=$AZ$2,VLOOKUP(S66,$AZ$2:$BA$12,2,1),"")))</f>
        <v>18</v>
      </c>
      <c r="U66" s="53">
        <v>834</v>
      </c>
      <c r="V66" s="129">
        <f t="shared" ref="V66:V71" si="5">IF(OR(N66="",U66="",T66=""),"",U66/N66*T66)</f>
        <v>15012</v>
      </c>
      <c r="W66" s="53">
        <v>13</v>
      </c>
      <c r="X66" s="127" t="s">
        <v>46</v>
      </c>
      <c r="Y66" s="53" t="s">
        <v>84</v>
      </c>
      <c r="Z66" s="53" t="s">
        <v>90</v>
      </c>
      <c r="AA66" s="53" t="s">
        <v>69</v>
      </c>
      <c r="AB66" s="127" t="s">
        <v>241</v>
      </c>
    </row>
    <row r="67" spans="1:28" x14ac:dyDescent="0.15">
      <c r="A67" s="127" t="s">
        <v>61</v>
      </c>
      <c r="B67" s="127" t="s">
        <v>237</v>
      </c>
      <c r="C67" s="127">
        <v>2019</v>
      </c>
      <c r="D67" s="128" t="s">
        <v>315</v>
      </c>
      <c r="E67" s="127" t="s">
        <v>299</v>
      </c>
      <c r="F67" s="127" t="s">
        <v>298</v>
      </c>
      <c r="G67" s="127" t="s">
        <v>42</v>
      </c>
      <c r="H67" s="53" t="s">
        <v>128</v>
      </c>
      <c r="I67" s="53" t="s">
        <v>159</v>
      </c>
      <c r="J67" s="127" t="s">
        <v>80</v>
      </c>
      <c r="K67" s="53" t="s">
        <v>105</v>
      </c>
      <c r="L67" s="53">
        <v>3</v>
      </c>
      <c r="N67" s="53">
        <v>1</v>
      </c>
      <c r="O67" s="53">
        <v>0.6</v>
      </c>
      <c r="P67" s="53">
        <v>0.5</v>
      </c>
      <c r="Q67" s="74">
        <f t="shared" si="3"/>
        <v>0.55000000000000004</v>
      </c>
      <c r="R67" s="53">
        <v>14.6</v>
      </c>
      <c r="S67" s="53">
        <v>167</v>
      </c>
      <c r="T67" s="16">
        <f t="shared" si="4"/>
        <v>18</v>
      </c>
      <c r="U67" s="53">
        <v>834</v>
      </c>
      <c r="V67" s="129">
        <f t="shared" si="5"/>
        <v>15012</v>
      </c>
      <c r="W67" s="53">
        <v>13</v>
      </c>
      <c r="X67" s="127" t="s">
        <v>46</v>
      </c>
      <c r="Y67" s="53" t="s">
        <v>84</v>
      </c>
      <c r="Z67" s="53" t="s">
        <v>90</v>
      </c>
      <c r="AA67" s="53" t="s">
        <v>69</v>
      </c>
      <c r="AB67" s="127" t="s">
        <v>241</v>
      </c>
    </row>
    <row r="68" spans="1:28" x14ac:dyDescent="0.15">
      <c r="A68" s="127"/>
      <c r="B68" s="127"/>
      <c r="C68" s="127"/>
      <c r="D68" s="128"/>
      <c r="G68" s="127"/>
      <c r="J68" s="127"/>
      <c r="Q68" s="74"/>
      <c r="V68" s="129"/>
      <c r="X68" s="127"/>
      <c r="AB68" s="127"/>
    </row>
    <row r="69" spans="1:28" x14ac:dyDescent="0.15">
      <c r="A69" s="127"/>
      <c r="B69" s="127"/>
      <c r="C69" s="127"/>
      <c r="D69" s="128"/>
      <c r="G69" s="127"/>
      <c r="J69" s="127"/>
      <c r="Q69" s="74"/>
      <c r="V69" s="129"/>
      <c r="X69" s="127"/>
      <c r="AB69" s="127"/>
    </row>
    <row r="70" spans="1:28" x14ac:dyDescent="0.15">
      <c r="A70" s="127"/>
      <c r="B70" s="127"/>
      <c r="C70" s="127"/>
      <c r="D70" s="128"/>
      <c r="G70" s="127"/>
      <c r="J70" s="127"/>
      <c r="Q70" s="74"/>
      <c r="V70" s="129"/>
      <c r="X70" s="127"/>
      <c r="AB70" s="127"/>
    </row>
    <row r="71" spans="1:28" x14ac:dyDescent="0.15">
      <c r="A71" s="127"/>
      <c r="B71" s="127"/>
      <c r="C71" s="127"/>
      <c r="D71" s="128"/>
      <c r="G71" s="127"/>
      <c r="J71" s="127"/>
      <c r="Q71" s="74"/>
      <c r="V71" s="129"/>
      <c r="X71" s="127"/>
      <c r="AB71" s="127"/>
    </row>
    <row r="72" spans="1:28" x14ac:dyDescent="0.15">
      <c r="A72" s="127"/>
      <c r="B72" s="127"/>
      <c r="C72" s="127"/>
      <c r="D72" s="128"/>
      <c r="G72" s="127"/>
      <c r="J72" s="127"/>
      <c r="Q72" s="74"/>
      <c r="V72" s="129"/>
      <c r="X72" s="127"/>
      <c r="AB72" s="127"/>
    </row>
    <row r="73" spans="1:28" x14ac:dyDescent="0.15">
      <c r="A73" s="127"/>
      <c r="B73" s="127"/>
      <c r="C73" s="127"/>
      <c r="D73" s="128"/>
      <c r="G73" s="127"/>
      <c r="J73" s="127"/>
      <c r="Q73" s="74"/>
      <c r="V73" s="129"/>
      <c r="X73" s="127"/>
      <c r="AB73" s="127"/>
    </row>
    <row r="74" spans="1:28" x14ac:dyDescent="0.15">
      <c r="A74" s="127"/>
      <c r="B74" s="127"/>
      <c r="C74" s="127"/>
      <c r="D74" s="128"/>
      <c r="G74" s="127"/>
      <c r="J74" s="127"/>
      <c r="Q74" s="74"/>
      <c r="V74" s="129"/>
      <c r="X74" s="127"/>
      <c r="AB74" s="127"/>
    </row>
    <row r="75" spans="1:28" x14ac:dyDescent="0.15">
      <c r="A75" s="127"/>
      <c r="B75" s="127"/>
      <c r="C75" s="127"/>
      <c r="D75" s="128"/>
      <c r="G75" s="127"/>
      <c r="J75" s="127"/>
      <c r="Q75" s="74"/>
      <c r="V75" s="129"/>
      <c r="X75" s="127"/>
      <c r="AB75" s="127"/>
    </row>
    <row r="76" spans="1:28" x14ac:dyDescent="0.15">
      <c r="A76" s="127"/>
      <c r="B76" s="127"/>
      <c r="C76" s="127"/>
      <c r="D76" s="128"/>
      <c r="G76" s="127"/>
      <c r="J76" s="127"/>
      <c r="Q76" s="74"/>
      <c r="V76" s="129"/>
      <c r="X76" s="127"/>
      <c r="AB76" s="127"/>
    </row>
    <row r="77" spans="1:28" x14ac:dyDescent="0.15">
      <c r="A77" s="127"/>
      <c r="B77" s="127"/>
      <c r="C77" s="127"/>
      <c r="D77" s="128"/>
      <c r="G77" s="127"/>
      <c r="J77" s="127"/>
      <c r="Q77" s="74"/>
      <c r="V77" s="129"/>
      <c r="X77" s="127"/>
      <c r="AB77" s="127"/>
    </row>
    <row r="78" spans="1:28" x14ac:dyDescent="0.15">
      <c r="A78" s="127"/>
      <c r="B78" s="127"/>
      <c r="C78" s="127"/>
      <c r="D78" s="128"/>
      <c r="G78" s="127"/>
      <c r="J78" s="127"/>
      <c r="Q78" s="74"/>
      <c r="V78" s="129"/>
      <c r="X78" s="127"/>
      <c r="AB78" s="127"/>
    </row>
    <row r="79" spans="1:28" x14ac:dyDescent="0.15">
      <c r="A79" s="127"/>
      <c r="B79" s="127"/>
      <c r="C79" s="127"/>
      <c r="D79" s="128"/>
      <c r="G79" s="127"/>
      <c r="J79" s="127"/>
      <c r="Q79" s="74"/>
      <c r="V79" s="129"/>
      <c r="X79" s="127"/>
      <c r="AB79" s="127"/>
    </row>
    <row r="80" spans="1:28" x14ac:dyDescent="0.15">
      <c r="D80" s="128"/>
    </row>
    <row r="81" spans="1:28" x14ac:dyDescent="0.15">
      <c r="A81" s="127"/>
      <c r="B81" s="127"/>
      <c r="C81" s="127"/>
      <c r="D81" s="128"/>
      <c r="G81" s="127"/>
      <c r="J81" s="127"/>
      <c r="Q81" s="74"/>
      <c r="V81" s="129"/>
      <c r="X81" s="127"/>
      <c r="AB81" s="127"/>
    </row>
    <row r="82" spans="1:28" x14ac:dyDescent="0.15">
      <c r="A82" s="127"/>
      <c r="B82" s="127"/>
      <c r="C82" s="127"/>
      <c r="G82" s="127"/>
      <c r="J82" s="127"/>
      <c r="Q82" s="74"/>
      <c r="V82" s="129"/>
      <c r="X82" s="127"/>
      <c r="AB82" s="127"/>
    </row>
    <row r="83" spans="1:28" x14ac:dyDescent="0.15">
      <c r="A83" s="127"/>
      <c r="B83" s="127"/>
      <c r="C83" s="127"/>
      <c r="D83" s="128"/>
      <c r="G83" s="127"/>
      <c r="J83" s="127"/>
      <c r="Q83" s="74"/>
      <c r="V83" s="129"/>
      <c r="X83" s="127"/>
      <c r="AB83" s="127"/>
    </row>
    <row r="84" spans="1:28" x14ac:dyDescent="0.15">
      <c r="A84" s="127"/>
      <c r="B84" s="127"/>
      <c r="C84" s="127"/>
      <c r="D84" s="128"/>
      <c r="G84" s="127"/>
      <c r="J84" s="127"/>
      <c r="Q84" s="74"/>
      <c r="V84" s="129"/>
      <c r="X84" s="127"/>
      <c r="AB84" s="127"/>
    </row>
    <row r="85" spans="1:28" x14ac:dyDescent="0.15">
      <c r="A85" s="127"/>
      <c r="B85" s="127"/>
      <c r="C85" s="127"/>
      <c r="D85" s="128"/>
      <c r="G85" s="127"/>
      <c r="J85" s="127"/>
      <c r="Q85" s="74"/>
      <c r="V85" s="129"/>
      <c r="X85" s="127"/>
      <c r="AB85" s="127"/>
    </row>
    <row r="86" spans="1:28" x14ac:dyDescent="0.15">
      <c r="A86" s="127"/>
      <c r="B86" s="127"/>
      <c r="C86" s="127"/>
      <c r="D86" s="128"/>
      <c r="G86" s="127"/>
      <c r="J86" s="127"/>
      <c r="Q86" s="74"/>
      <c r="V86" s="129"/>
      <c r="X86" s="127"/>
      <c r="AB86" s="127"/>
    </row>
    <row r="87" spans="1:28" x14ac:dyDescent="0.15">
      <c r="A87" s="127"/>
      <c r="B87" s="127"/>
      <c r="C87" s="127"/>
      <c r="D87" s="128"/>
      <c r="G87" s="127"/>
      <c r="J87" s="127"/>
      <c r="Q87" s="74"/>
      <c r="V87" s="129"/>
      <c r="X87" s="127"/>
      <c r="AB87" s="127"/>
    </row>
    <row r="88" spans="1:28" x14ac:dyDescent="0.15">
      <c r="A88" s="127"/>
      <c r="B88" s="127"/>
      <c r="C88" s="127"/>
      <c r="D88" s="128"/>
      <c r="G88" s="127"/>
      <c r="J88" s="127"/>
      <c r="Q88" s="74"/>
      <c r="V88" s="129"/>
      <c r="X88" s="127"/>
      <c r="AB88" s="127"/>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5" spans="1:28" x14ac:dyDescent="0.15">
      <c r="A95" s="127"/>
      <c r="B95" s="127"/>
      <c r="C95" s="127"/>
      <c r="D95" s="128"/>
      <c r="G95" s="127"/>
      <c r="J95" s="127"/>
      <c r="Q95" s="74"/>
      <c r="V95" s="129"/>
      <c r="X95" s="127"/>
      <c r="AB95" s="127"/>
    </row>
    <row r="96" spans="1:28" x14ac:dyDescent="0.15">
      <c r="A96" s="127"/>
      <c r="B96" s="127"/>
      <c r="C96" s="127"/>
      <c r="D96" s="128"/>
      <c r="G96" s="127"/>
      <c r="J96" s="127"/>
      <c r="Q96" s="74"/>
      <c r="V96" s="129"/>
      <c r="X96" s="127"/>
      <c r="AB96" s="127"/>
    </row>
    <row r="97" spans="1:28" x14ac:dyDescent="0.15">
      <c r="A97" s="127"/>
      <c r="B97" s="127"/>
      <c r="C97" s="127"/>
      <c r="D97" s="128"/>
      <c r="G97" s="127"/>
      <c r="J97" s="127"/>
      <c r="Q97" s="74"/>
      <c r="V97" s="129"/>
      <c r="X97" s="127"/>
      <c r="AB97" s="127"/>
    </row>
    <row r="98" spans="1:28" x14ac:dyDescent="0.15">
      <c r="D98" s="128"/>
    </row>
    <row r="99" spans="1:28" x14ac:dyDescent="0.15">
      <c r="D99" s="128"/>
    </row>
  </sheetData>
  <autoFilter ref="A1:BA1" xr:uid="{00000000-0009-0000-0000-000004000000}"/>
  <phoneticPr fontId="3"/>
  <dataValidations count="20">
    <dataValidation type="list" allowBlank="1" showInputMessage="1" showErrorMessage="1" sqref="K2:K485" xr:uid="{BB5A9B33-D8DC-4363-AB56-10974C5B3A82}">
      <formula1>$AR$2:$AR$22</formula1>
    </dataValidation>
    <dataValidation type="list" allowBlank="1" showInputMessage="1" showErrorMessage="1" sqref="J81:J485 J2:J79" xr:uid="{B669EE95-40EC-4DA1-B44E-7FF31E653DE5}">
      <formula1>$AP$2:$AP$22</formula1>
    </dataValidation>
    <dataValidation type="list" allowBlank="1" showInputMessage="1" showErrorMessage="1" sqref="WVS981790:WVS981879 WCA981790:WCA981879 VSE981790:VSE981879 VII981790:VII981879 UYM981790:UYM981879 UOQ981790:UOQ981879 UEU981790:UEU981879 TUY981790:TUY981879 TLC981790:TLC981879 TBG981790:TBG981879 SRK981790:SRK981879 SHO981790:SHO981879 RXS981790:RXS981879 RNW981790:RNW981879 REA981790:REA981879 QUE981790:QUE981879 QKI981790:QKI981879 QAM981790:QAM981879 PQQ981790:PQQ981879 PGU981790:PGU981879 OWY981790:OWY981879 ONC981790:ONC981879 ODG981790:ODG981879 NTK981790:NTK981879 NJO981790:NJO981879 MZS981790:MZS981879 MPW981790:MPW981879 MGA981790:MGA981879 LWE981790:LWE981879 LMI981790:LMI981879 LCM981790:LCM981879 KSQ981790:KSQ981879 KIU981790:KIU981879 JYY981790:JYY981879 JPC981790:JPC981879 JFG981790:JFG981879 IVK981790:IVK981879 ILO981790:ILO981879 IBS981790:IBS981879 HRW981790:HRW981879 HIA981790:HIA981879 GYE981790:GYE981879 GOI981790:GOI981879 GEM981790:GEM981879 FUQ981790:FUQ981879 FKU981790:FKU981879 FAY981790:FAY981879 ERC981790:ERC981879 EHG981790:EHG981879 DXK981790:DXK981879 DNO981790:DNO981879 DDS981790:DDS981879 CTW981790:CTW981879 CKA981790:CKA981879 CAE981790:CAE981879 BQI981790:BQI981879 BGM981790:BGM981879 AWQ981790:AWQ981879 AMU981790:AMU981879 ACY981790:ACY981879 TC981790:TC981879 JG981790:JG981879 K981799:K981888 WVS916254:WVS916343 WLW916254:WLW916343 WCA916254:WCA916343 VSE916254:VSE916343 VII916254:VII916343 UYM916254:UYM916343 UOQ916254:UOQ916343 UEU916254:UEU916343 TUY916254:TUY916343 TLC916254:TLC916343 TBG916254:TBG916343 SRK916254:SRK916343 SHO916254:SHO916343 RXS916254:RXS916343 RNW916254:RNW916343 REA916254:REA916343 QUE916254:QUE916343 QKI916254:QKI916343 QAM916254:QAM916343 PQQ916254:PQQ916343 PGU916254:PGU916343 OWY916254:OWY916343 ONC916254:ONC916343 ODG916254:ODG916343 NTK916254:NTK916343 NJO916254:NJO916343 MZS916254:MZS916343 MPW916254:MPW916343 MGA916254:MGA916343 LWE916254:LWE916343 LMI916254:LMI916343 LCM916254:LCM916343 KSQ916254:KSQ916343 KIU916254:KIU916343 JYY916254:JYY916343 JPC916254:JPC916343 JFG916254:JFG916343 IVK916254:IVK916343 ILO916254:ILO916343 IBS916254:IBS916343 HRW916254:HRW916343 HIA916254:HIA916343 GYE916254:GYE916343 GOI916254:GOI916343 GEM916254:GEM916343 FUQ916254:FUQ916343 FKU916254:FKU916343 FAY916254:FAY916343 ERC916254:ERC916343 EHG916254:EHG916343 DXK916254:DXK916343 DNO916254:DNO916343 DDS916254:DDS916343 CTW916254:CTW916343 CKA916254:CKA916343 CAE916254:CAE916343 BQI916254:BQI916343 BGM916254:BGM916343 AWQ916254:AWQ916343 AMU916254:AMU916343 ACY916254:ACY916343 TC916254:TC916343 JG916254:JG916343 K916263:K916352 WVS850718:WVS850807 WLW850718:WLW850807 WCA850718:WCA850807 VSE850718:VSE850807 VII850718:VII850807 UYM850718:UYM850807 UOQ850718:UOQ850807 UEU850718:UEU850807 TUY850718:TUY850807 TLC850718:TLC850807 TBG850718:TBG850807 SRK850718:SRK850807 SHO850718:SHO850807 RXS850718:RXS850807 RNW850718:RNW850807 REA850718:REA850807 QUE850718:QUE850807 QKI850718:QKI850807 QAM850718:QAM850807 PQQ850718:PQQ850807 PGU850718:PGU850807 OWY850718:OWY850807 ONC850718:ONC850807 ODG850718:ODG850807 NTK850718:NTK850807 NJO850718:NJO850807 MZS850718:MZS850807 MPW850718:MPW850807 MGA850718:MGA850807 LWE850718:LWE850807 LMI850718:LMI850807 LCM850718:LCM850807 KSQ850718:KSQ850807 KIU850718:KIU850807 JYY850718:JYY850807 JPC850718:JPC850807 JFG850718:JFG850807 IVK850718:IVK850807 ILO850718:ILO850807 IBS850718:IBS850807 HRW850718:HRW850807 HIA850718:HIA850807 GYE850718:GYE850807 GOI850718:GOI850807 GEM850718:GEM850807 FUQ850718:FUQ850807 FKU850718:FKU850807 FAY850718:FAY850807 ERC850718:ERC850807 EHG850718:EHG850807 DXK850718:DXK850807 DNO850718:DNO850807 DDS850718:DDS850807 CTW850718:CTW850807 CKA850718:CKA850807 CAE850718:CAE850807 BQI850718:BQI850807 BGM850718:BGM850807 AWQ850718:AWQ850807 AMU850718:AMU850807 ACY850718:ACY850807 TC850718:TC850807 JG850718:JG850807 K850727:K850816 WVS785182:WVS785271 WLW785182:WLW785271 WCA785182:WCA785271 VSE785182:VSE785271 VII785182:VII785271 UYM785182:UYM785271 UOQ785182:UOQ785271 UEU785182:UEU785271 TUY785182:TUY785271 TLC785182:TLC785271 TBG785182:TBG785271 SRK785182:SRK785271 SHO785182:SHO785271 RXS785182:RXS785271 RNW785182:RNW785271 REA785182:REA785271 QUE785182:QUE785271 QKI785182:QKI785271 QAM785182:QAM785271 PQQ785182:PQQ785271 PGU785182:PGU785271 OWY785182:OWY785271 ONC785182:ONC785271 ODG785182:ODG785271 NTK785182:NTK785271 NJO785182:NJO785271 MZS785182:MZS785271 MPW785182:MPW785271 MGA785182:MGA785271 LWE785182:LWE785271 LMI785182:LMI785271 LCM785182:LCM785271 KSQ785182:KSQ785271 KIU785182:KIU785271 JYY785182:JYY785271 JPC785182:JPC785271 JFG785182:JFG785271 IVK785182:IVK785271 ILO785182:ILO785271 IBS785182:IBS785271 HRW785182:HRW785271 HIA785182:HIA785271 GYE785182:GYE785271 GOI785182:GOI785271 GEM785182:GEM785271 FUQ785182:FUQ785271 FKU785182:FKU785271 FAY785182:FAY785271 ERC785182:ERC785271 EHG785182:EHG785271 DXK785182:DXK785271 DNO785182:DNO785271 DDS785182:DDS785271 CTW785182:CTW785271 CKA785182:CKA785271 CAE785182:CAE785271 BQI785182:BQI785271 BGM785182:BGM785271 AWQ785182:AWQ785271 AMU785182:AMU785271 ACY785182:ACY785271 TC785182:TC785271 JG785182:JG785271 K785191:K785280 WVS719646:WVS719735 WLW719646:WLW719735 WCA719646:WCA719735 VSE719646:VSE719735 VII719646:VII719735 UYM719646:UYM719735 UOQ719646:UOQ719735 UEU719646:UEU719735 TUY719646:TUY719735 TLC719646:TLC719735 TBG719646:TBG719735 SRK719646:SRK719735 SHO719646:SHO719735 RXS719646:RXS719735 RNW719646:RNW719735 REA719646:REA719735 QUE719646:QUE719735 QKI719646:QKI719735 QAM719646:QAM719735 PQQ719646:PQQ719735 PGU719646:PGU719735 OWY719646:OWY719735 ONC719646:ONC719735 ODG719646:ODG719735 NTK719646:NTK719735 NJO719646:NJO719735 MZS719646:MZS719735 MPW719646:MPW719735 MGA719646:MGA719735 LWE719646:LWE719735 LMI719646:LMI719735 LCM719646:LCM719735 KSQ719646:KSQ719735 KIU719646:KIU719735 JYY719646:JYY719735 JPC719646:JPC719735 JFG719646:JFG719735 IVK719646:IVK719735 ILO719646:ILO719735 IBS719646:IBS719735 HRW719646:HRW719735 HIA719646:HIA719735 GYE719646:GYE719735 GOI719646:GOI719735 GEM719646:GEM719735 FUQ719646:FUQ719735 FKU719646:FKU719735 FAY719646:FAY719735 ERC719646:ERC719735 EHG719646:EHG719735 DXK719646:DXK719735 DNO719646:DNO719735 DDS719646:DDS719735 CTW719646:CTW719735 CKA719646:CKA719735 CAE719646:CAE719735 BQI719646:BQI719735 BGM719646:BGM719735 AWQ719646:AWQ719735 AMU719646:AMU719735 ACY719646:ACY719735 TC719646:TC719735 JG719646:JG719735 K719655:K719744 WVS654110:WVS654199 WLW654110:WLW654199 WCA654110:WCA654199 VSE654110:VSE654199 VII654110:VII654199 UYM654110:UYM654199 UOQ654110:UOQ654199 UEU654110:UEU654199 TUY654110:TUY654199 TLC654110:TLC654199 TBG654110:TBG654199 SRK654110:SRK654199 SHO654110:SHO654199 RXS654110:RXS654199 RNW654110:RNW654199 REA654110:REA654199 QUE654110:QUE654199 QKI654110:QKI654199 QAM654110:QAM654199 PQQ654110:PQQ654199 PGU654110:PGU654199 OWY654110:OWY654199 ONC654110:ONC654199 ODG654110:ODG654199 NTK654110:NTK654199 NJO654110:NJO654199 MZS654110:MZS654199 MPW654110:MPW654199 MGA654110:MGA654199 LWE654110:LWE654199 LMI654110:LMI654199 LCM654110:LCM654199 KSQ654110:KSQ654199 KIU654110:KIU654199 JYY654110:JYY654199 JPC654110:JPC654199 JFG654110:JFG654199 IVK654110:IVK654199 ILO654110:ILO654199 IBS654110:IBS654199 HRW654110:HRW654199 HIA654110:HIA654199 GYE654110:GYE654199 GOI654110:GOI654199 GEM654110:GEM654199 FUQ654110:FUQ654199 FKU654110:FKU654199 FAY654110:FAY654199 ERC654110:ERC654199 EHG654110:EHG654199 DXK654110:DXK654199 DNO654110:DNO654199 DDS654110:DDS654199 CTW654110:CTW654199 CKA654110:CKA654199 CAE654110:CAE654199 BQI654110:BQI654199 BGM654110:BGM654199 AWQ654110:AWQ654199 AMU654110:AMU654199 ACY654110:ACY654199 TC654110:TC654199 JG654110:JG654199 K654119:K654208 WVS588574:WVS588663 WLW588574:WLW588663 WCA588574:WCA588663 VSE588574:VSE588663 VII588574:VII588663 UYM588574:UYM588663 UOQ588574:UOQ588663 UEU588574:UEU588663 TUY588574:TUY588663 TLC588574:TLC588663 TBG588574:TBG588663 SRK588574:SRK588663 SHO588574:SHO588663 RXS588574:RXS588663 RNW588574:RNW588663 REA588574:REA588663 QUE588574:QUE588663 QKI588574:QKI588663 QAM588574:QAM588663 PQQ588574:PQQ588663 PGU588574:PGU588663 OWY588574:OWY588663 ONC588574:ONC588663 ODG588574:ODG588663 NTK588574:NTK588663 NJO588574:NJO588663 MZS588574:MZS588663 MPW588574:MPW588663 MGA588574:MGA588663 LWE588574:LWE588663 LMI588574:LMI588663 LCM588574:LCM588663 KSQ588574:KSQ588663 KIU588574:KIU588663 JYY588574:JYY588663 JPC588574:JPC588663 JFG588574:JFG588663 IVK588574:IVK588663 ILO588574:ILO588663 IBS588574:IBS588663 HRW588574:HRW588663 HIA588574:HIA588663 GYE588574:GYE588663 GOI588574:GOI588663 GEM588574:GEM588663 FUQ588574:FUQ588663 FKU588574:FKU588663 FAY588574:FAY588663 ERC588574:ERC588663 EHG588574:EHG588663 DXK588574:DXK588663 DNO588574:DNO588663 DDS588574:DDS588663 CTW588574:CTW588663 CKA588574:CKA588663 CAE588574:CAE588663 BQI588574:BQI588663 BGM588574:BGM588663 AWQ588574:AWQ588663 AMU588574:AMU588663 ACY588574:ACY588663 TC588574:TC588663 JG588574:JG588663 K588583:K588672 WVS523038:WVS523127 WLW523038:WLW523127 WCA523038:WCA523127 VSE523038:VSE523127 VII523038:VII523127 UYM523038:UYM523127 UOQ523038:UOQ523127 UEU523038:UEU523127 TUY523038:TUY523127 TLC523038:TLC523127 TBG523038:TBG523127 SRK523038:SRK523127 SHO523038:SHO523127 RXS523038:RXS523127 RNW523038:RNW523127 REA523038:REA523127 QUE523038:QUE523127 QKI523038:QKI523127 QAM523038:QAM523127 PQQ523038:PQQ523127 PGU523038:PGU523127 OWY523038:OWY523127 ONC523038:ONC523127 ODG523038:ODG523127 NTK523038:NTK523127 NJO523038:NJO523127 MZS523038:MZS523127 MPW523038:MPW523127 MGA523038:MGA523127 LWE523038:LWE523127 LMI523038:LMI523127 LCM523038:LCM523127 KSQ523038:KSQ523127 KIU523038:KIU523127 JYY523038:JYY523127 JPC523038:JPC523127 JFG523038:JFG523127 IVK523038:IVK523127 ILO523038:ILO523127 IBS523038:IBS523127 HRW523038:HRW523127 HIA523038:HIA523127 GYE523038:GYE523127 GOI523038:GOI523127 GEM523038:GEM523127 FUQ523038:FUQ523127 FKU523038:FKU523127 FAY523038:FAY523127 ERC523038:ERC523127 EHG523038:EHG523127 DXK523038:DXK523127 DNO523038:DNO523127 DDS523038:DDS523127 CTW523038:CTW523127 CKA523038:CKA523127 CAE523038:CAE523127 BQI523038:BQI523127 BGM523038:BGM523127 AWQ523038:AWQ523127 AMU523038:AMU523127 ACY523038:ACY523127 TC523038:TC523127 JG523038:JG523127 K523047:K523136 WVS457502:WVS457591 WLW457502:WLW457591 WCA457502:WCA457591 VSE457502:VSE457591 VII457502:VII457591 UYM457502:UYM457591 UOQ457502:UOQ457591 UEU457502:UEU457591 TUY457502:TUY457591 TLC457502:TLC457591 TBG457502:TBG457591 SRK457502:SRK457591 SHO457502:SHO457591 RXS457502:RXS457591 RNW457502:RNW457591 REA457502:REA457591 QUE457502:QUE457591 QKI457502:QKI457591 QAM457502:QAM457591 PQQ457502:PQQ457591 PGU457502:PGU457591 OWY457502:OWY457591 ONC457502:ONC457591 ODG457502:ODG457591 NTK457502:NTK457591 NJO457502:NJO457591 MZS457502:MZS457591 MPW457502:MPW457591 MGA457502:MGA457591 LWE457502:LWE457591 LMI457502:LMI457591 LCM457502:LCM457591 KSQ457502:KSQ457591 KIU457502:KIU457591 JYY457502:JYY457591 JPC457502:JPC457591 JFG457502:JFG457591 IVK457502:IVK457591 ILO457502:ILO457591 IBS457502:IBS457591 HRW457502:HRW457591 HIA457502:HIA457591 GYE457502:GYE457591 GOI457502:GOI457591 GEM457502:GEM457591 FUQ457502:FUQ457591 FKU457502:FKU457591 FAY457502:FAY457591 ERC457502:ERC457591 EHG457502:EHG457591 DXK457502:DXK457591 DNO457502:DNO457591 DDS457502:DDS457591 CTW457502:CTW457591 CKA457502:CKA457591 CAE457502:CAE457591 BQI457502:BQI457591 BGM457502:BGM457591 AWQ457502:AWQ457591 AMU457502:AMU457591 ACY457502:ACY457591 TC457502:TC457591 JG457502:JG457591 K457511:K457600 WVS391966:WVS392055 WLW391966:WLW392055 WCA391966:WCA392055 VSE391966:VSE392055 VII391966:VII392055 UYM391966:UYM392055 UOQ391966:UOQ392055 UEU391966:UEU392055 TUY391966:TUY392055 TLC391966:TLC392055 TBG391966:TBG392055 SRK391966:SRK392055 SHO391966:SHO392055 RXS391966:RXS392055 RNW391966:RNW392055 REA391966:REA392055 QUE391966:QUE392055 QKI391966:QKI392055 QAM391966:QAM392055 PQQ391966:PQQ392055 PGU391966:PGU392055 OWY391966:OWY392055 ONC391966:ONC392055 ODG391966:ODG392055 NTK391966:NTK392055 NJO391966:NJO392055 MZS391966:MZS392055 MPW391966:MPW392055 MGA391966:MGA392055 LWE391966:LWE392055 LMI391966:LMI392055 LCM391966:LCM392055 KSQ391966:KSQ392055 KIU391966:KIU392055 JYY391966:JYY392055 JPC391966:JPC392055 JFG391966:JFG392055 IVK391966:IVK392055 ILO391966:ILO392055 IBS391966:IBS392055 HRW391966:HRW392055 HIA391966:HIA392055 GYE391966:GYE392055 GOI391966:GOI392055 GEM391966:GEM392055 FUQ391966:FUQ392055 FKU391966:FKU392055 FAY391966:FAY392055 ERC391966:ERC392055 EHG391966:EHG392055 DXK391966:DXK392055 DNO391966:DNO392055 DDS391966:DDS392055 CTW391966:CTW392055 CKA391966:CKA392055 CAE391966:CAE392055 BQI391966:BQI392055 BGM391966:BGM392055 AWQ391966:AWQ392055 AMU391966:AMU392055 ACY391966:ACY392055 TC391966:TC392055 JG391966:JG392055 K391975:K392064 WVS326430:WVS326519 WLW326430:WLW326519 WCA326430:WCA326519 VSE326430:VSE326519 VII326430:VII326519 UYM326430:UYM326519 UOQ326430:UOQ326519 UEU326430:UEU326519 TUY326430:TUY326519 TLC326430:TLC326519 TBG326430:TBG326519 SRK326430:SRK326519 SHO326430:SHO326519 RXS326430:RXS326519 RNW326430:RNW326519 REA326430:REA326519 QUE326430:QUE326519 QKI326430:QKI326519 QAM326430:QAM326519 PQQ326430:PQQ326519 PGU326430:PGU326519 OWY326430:OWY326519 ONC326430:ONC326519 ODG326430:ODG326519 NTK326430:NTK326519 NJO326430:NJO326519 MZS326430:MZS326519 MPW326430:MPW326519 MGA326430:MGA326519 LWE326430:LWE326519 LMI326430:LMI326519 LCM326430:LCM326519 KSQ326430:KSQ326519 KIU326430:KIU326519 JYY326430:JYY326519 JPC326430:JPC326519 JFG326430:JFG326519 IVK326430:IVK326519 ILO326430:ILO326519 IBS326430:IBS326519 HRW326430:HRW326519 HIA326430:HIA326519 GYE326430:GYE326519 GOI326430:GOI326519 GEM326430:GEM326519 FUQ326430:FUQ326519 FKU326430:FKU326519 FAY326430:FAY326519 ERC326430:ERC326519 EHG326430:EHG326519 DXK326430:DXK326519 DNO326430:DNO326519 DDS326430:DDS326519 CTW326430:CTW326519 CKA326430:CKA326519 CAE326430:CAE326519 BQI326430:BQI326519 BGM326430:BGM326519 AWQ326430:AWQ326519 AMU326430:AMU326519 ACY326430:ACY326519 TC326430:TC326519 JG326430:JG326519 K326439:K326528 WVS260894:WVS260983 WLW260894:WLW260983 WCA260894:WCA260983 VSE260894:VSE260983 VII260894:VII260983 UYM260894:UYM260983 UOQ260894:UOQ260983 UEU260894:UEU260983 TUY260894:TUY260983 TLC260894:TLC260983 TBG260894:TBG260983 SRK260894:SRK260983 SHO260894:SHO260983 RXS260894:RXS260983 RNW260894:RNW260983 REA260894:REA260983 QUE260894:QUE260983 QKI260894:QKI260983 QAM260894:QAM260983 PQQ260894:PQQ260983 PGU260894:PGU260983 OWY260894:OWY260983 ONC260894:ONC260983 ODG260894:ODG260983 NTK260894:NTK260983 NJO260894:NJO260983 MZS260894:MZS260983 MPW260894:MPW260983 MGA260894:MGA260983 LWE260894:LWE260983 LMI260894:LMI260983 LCM260894:LCM260983 KSQ260894:KSQ260983 KIU260894:KIU260983 JYY260894:JYY260983 JPC260894:JPC260983 JFG260894:JFG260983 IVK260894:IVK260983 ILO260894:ILO260983 IBS260894:IBS260983 HRW260894:HRW260983 HIA260894:HIA260983 GYE260894:GYE260983 GOI260894:GOI260983 GEM260894:GEM260983 FUQ260894:FUQ260983 FKU260894:FKU260983 FAY260894:FAY260983 ERC260894:ERC260983 EHG260894:EHG260983 DXK260894:DXK260983 DNO260894:DNO260983 DDS260894:DDS260983 CTW260894:CTW260983 CKA260894:CKA260983 CAE260894:CAE260983 BQI260894:BQI260983 BGM260894:BGM260983 AWQ260894:AWQ260983 AMU260894:AMU260983 ACY260894:ACY260983 TC260894:TC260983 JG260894:JG260983 K260903:K260992 WVS195358:WVS195447 WLW195358:WLW195447 WCA195358:WCA195447 VSE195358:VSE195447 VII195358:VII195447 UYM195358:UYM195447 UOQ195358:UOQ195447 UEU195358:UEU195447 TUY195358:TUY195447 TLC195358:TLC195447 TBG195358:TBG195447 SRK195358:SRK195447 SHO195358:SHO195447 RXS195358:RXS195447 RNW195358:RNW195447 REA195358:REA195447 QUE195358:QUE195447 QKI195358:QKI195447 QAM195358:QAM195447 PQQ195358:PQQ195447 PGU195358:PGU195447 OWY195358:OWY195447 ONC195358:ONC195447 ODG195358:ODG195447 NTK195358:NTK195447 NJO195358:NJO195447 MZS195358:MZS195447 MPW195358:MPW195447 MGA195358:MGA195447 LWE195358:LWE195447 LMI195358:LMI195447 LCM195358:LCM195447 KSQ195358:KSQ195447 KIU195358:KIU195447 JYY195358:JYY195447 JPC195358:JPC195447 JFG195358:JFG195447 IVK195358:IVK195447 ILO195358:ILO195447 IBS195358:IBS195447 HRW195358:HRW195447 HIA195358:HIA195447 GYE195358:GYE195447 GOI195358:GOI195447 GEM195358:GEM195447 FUQ195358:FUQ195447 FKU195358:FKU195447 FAY195358:FAY195447 ERC195358:ERC195447 EHG195358:EHG195447 DXK195358:DXK195447 DNO195358:DNO195447 DDS195358:DDS195447 CTW195358:CTW195447 CKA195358:CKA195447 CAE195358:CAE195447 BQI195358:BQI195447 BGM195358:BGM195447 AWQ195358:AWQ195447 AMU195358:AMU195447 ACY195358:ACY195447 TC195358:TC195447 JG195358:JG195447 K195367:K195456 WVS129822:WVS129911 WLW129822:WLW129911 WCA129822:WCA129911 VSE129822:VSE129911 VII129822:VII129911 UYM129822:UYM129911 UOQ129822:UOQ129911 UEU129822:UEU129911 TUY129822:TUY129911 TLC129822:TLC129911 TBG129822:TBG129911 SRK129822:SRK129911 SHO129822:SHO129911 RXS129822:RXS129911 RNW129822:RNW129911 REA129822:REA129911 QUE129822:QUE129911 QKI129822:QKI129911 QAM129822:QAM129911 PQQ129822:PQQ129911 PGU129822:PGU129911 OWY129822:OWY129911 ONC129822:ONC129911 ODG129822:ODG129911 NTK129822:NTK129911 NJO129822:NJO129911 MZS129822:MZS129911 MPW129822:MPW129911 MGA129822:MGA129911 LWE129822:LWE129911 LMI129822:LMI129911 LCM129822:LCM129911 KSQ129822:KSQ129911 KIU129822:KIU129911 JYY129822:JYY129911 JPC129822:JPC129911 JFG129822:JFG129911 IVK129822:IVK129911 ILO129822:ILO129911 IBS129822:IBS129911 HRW129822:HRW129911 HIA129822:HIA129911 GYE129822:GYE129911 GOI129822:GOI129911 GEM129822:GEM129911 FUQ129822:FUQ129911 FKU129822:FKU129911 FAY129822:FAY129911 ERC129822:ERC129911 EHG129822:EHG129911 DXK129822:DXK129911 DNO129822:DNO129911 DDS129822:DDS129911 CTW129822:CTW129911 CKA129822:CKA129911 CAE129822:CAE129911 BQI129822:BQI129911 BGM129822:BGM129911 AWQ129822:AWQ129911 AMU129822:AMU129911 ACY129822:ACY129911 TC129822:TC129911 JG129822:JG129911 K129831:K129920 WVS64286:WVS64375 WLW64286:WLW64375 WCA64286:WCA64375 VSE64286:VSE64375 VII64286:VII64375 UYM64286:UYM64375 UOQ64286:UOQ64375 UEU64286:UEU64375 TUY64286:TUY64375 TLC64286:TLC64375 TBG64286:TBG64375 SRK64286:SRK64375 SHO64286:SHO64375 RXS64286:RXS64375 RNW64286:RNW64375 REA64286:REA64375 QUE64286:QUE64375 QKI64286:QKI64375 QAM64286:QAM64375 PQQ64286:PQQ64375 PGU64286:PGU64375 OWY64286:OWY64375 ONC64286:ONC64375 ODG64286:ODG64375 NTK64286:NTK64375 NJO64286:NJO64375 MZS64286:MZS64375 MPW64286:MPW64375 MGA64286:MGA64375 LWE64286:LWE64375 LMI64286:LMI64375 LCM64286:LCM64375 KSQ64286:KSQ64375 KIU64286:KIU64375 JYY64286:JYY64375 JPC64286:JPC64375 JFG64286:JFG64375 IVK64286:IVK64375 ILO64286:ILO64375 IBS64286:IBS64375 HRW64286:HRW64375 HIA64286:HIA64375 GYE64286:GYE64375 GOI64286:GOI64375 GEM64286:GEM64375 FUQ64286:FUQ64375 FKU64286:FKU64375 FAY64286:FAY64375 ERC64286:ERC64375 EHG64286:EHG64375 DXK64286:DXK64375 DNO64286:DNO64375 DDS64286:DDS64375 CTW64286:CTW64375 CKA64286:CKA64375 CAE64286:CAE64375 BQI64286:BQI64375 BGM64286:BGM64375 AWQ64286:AWQ64375 AMU64286:AMU64375 ACY64286:ACY64375 TC64286:TC64375 JG64286:JG64375 K64295:K64384 WLW981790:WLW981879 JG2:JG58 TC2:TC58 ACY2:ACY58 AMU2:AMU58 AWQ2:AWQ58 BGM2:BGM58 BQI2:BQI58 CAE2:CAE58 CKA2:CKA58 CTW2:CTW58 DDS2:DDS58 DNO2:DNO58 DXK2:DXK58 EHG2:EHG58 ERC2:ERC58 FAY2:FAY58 FKU2:FKU58 FUQ2:FUQ58 GEM2:GEM58 GOI2:GOI58 GYE2:GYE58 HIA2:HIA58 HRW2:HRW58 IBS2:IBS58 ILO2:ILO58 IVK2:IVK58 JFG2:JFG58 JPC2:JPC58 JYY2:JYY58 KIU2:KIU58 KSQ2:KSQ58 LCM2:LCM58 LMI2:LMI58 LWE2:LWE58 MGA2:MGA58 MPW2:MPW58 MZS2:MZS58 NJO2:NJO58 NTK2:NTK58 ODG2:ODG58 ONC2:ONC58 OWY2:OWY58 PGU2:PGU58 PQQ2:PQQ58 QAM2:QAM58 QKI2:QKI58 QUE2:QUE58 REA2:REA58 RNW2:RNW58 RXS2:RXS58 SHO2:SHO58 SRK2:SRK58 TBG2:TBG58 TLC2:TLC58 TUY2:TUY58 UEU2:UEU58 UOQ2:UOQ58 UYM2:UYM58 VII2:VII58 VSE2:VSE58 WCA2:WCA58 WLW2:WLW58 WVS2:WVS58" xr:uid="{75070732-2E7B-4D66-A7B3-CC5843D0A9CC}">
      <formula1>$AR$2:$AR$16</formula1>
    </dataValidation>
    <dataValidation type="list" allowBlank="1" showInputMessage="1" showErrorMessage="1" sqref="I64391:I64396 JE64370:JE64375 TA64370:TA64375 ACW64370:ACW64375 AMS64370:AMS64375 AWO64370:AWO64375 BGK64370:BGK64375 BQG64370:BQG64375 CAC64370:CAC64375 CJY64370:CJY64375 CTU64370:CTU64375 DDQ64370:DDQ64375 DNM64370:DNM64375 DXI64370:DXI64375 EHE64370:EHE64375 ERA64370:ERA64375 FAW64370:FAW64375 FKS64370:FKS64375 FUO64370:FUO64375 GEK64370:GEK64375 GOG64370:GOG64375 GYC64370:GYC64375 HHY64370:HHY64375 HRU64370:HRU64375 IBQ64370:IBQ64375 ILM64370:ILM64375 IVI64370:IVI64375 JFE64370:JFE64375 JPA64370:JPA64375 JYW64370:JYW64375 KIS64370:KIS64375 KSO64370:KSO64375 LCK64370:LCK64375 LMG64370:LMG64375 LWC64370:LWC64375 MFY64370:MFY64375 MPU64370:MPU64375 MZQ64370:MZQ64375 NJM64370:NJM64375 NTI64370:NTI64375 ODE64370:ODE64375 ONA64370:ONA64375 OWW64370:OWW64375 PGS64370:PGS64375 PQO64370:PQO64375 QAK64370:QAK64375 QKG64370:QKG64375 QUC64370:QUC64375 RDY64370:RDY64375 RNU64370:RNU64375 RXQ64370:RXQ64375 SHM64370:SHM64375 SRI64370:SRI64375 TBE64370:TBE64375 TLA64370:TLA64375 TUW64370:TUW64375 UES64370:UES64375 UOO64370:UOO64375 UYK64370:UYK64375 VIG64370:VIG64375 VSC64370:VSC64375 WBY64370:WBY64375 WLU64370:WLU64375 WVQ64370:WVQ64375 I129927:I129932 JE129906:JE129911 TA129906:TA129911 ACW129906:ACW129911 AMS129906:AMS129911 AWO129906:AWO129911 BGK129906:BGK129911 BQG129906:BQG129911 CAC129906:CAC129911 CJY129906:CJY129911 CTU129906:CTU129911 DDQ129906:DDQ129911 DNM129906:DNM129911 DXI129906:DXI129911 EHE129906:EHE129911 ERA129906:ERA129911 FAW129906:FAW129911 FKS129906:FKS129911 FUO129906:FUO129911 GEK129906:GEK129911 GOG129906:GOG129911 GYC129906:GYC129911 HHY129906:HHY129911 HRU129906:HRU129911 IBQ129906:IBQ129911 ILM129906:ILM129911 IVI129906:IVI129911 JFE129906:JFE129911 JPA129906:JPA129911 JYW129906:JYW129911 KIS129906:KIS129911 KSO129906:KSO129911 LCK129906:LCK129911 LMG129906:LMG129911 LWC129906:LWC129911 MFY129906:MFY129911 MPU129906:MPU129911 MZQ129906:MZQ129911 NJM129906:NJM129911 NTI129906:NTI129911 ODE129906:ODE129911 ONA129906:ONA129911 OWW129906:OWW129911 PGS129906:PGS129911 PQO129906:PQO129911 QAK129906:QAK129911 QKG129906:QKG129911 QUC129906:QUC129911 RDY129906:RDY129911 RNU129906:RNU129911 RXQ129906:RXQ129911 SHM129906:SHM129911 SRI129906:SRI129911 TBE129906:TBE129911 TLA129906:TLA129911 TUW129906:TUW129911 UES129906:UES129911 UOO129906:UOO129911 UYK129906:UYK129911 VIG129906:VIG129911 VSC129906:VSC129911 WBY129906:WBY129911 WLU129906:WLU129911 WVQ129906:WVQ129911 I195463:I195468 JE195442:JE195447 TA195442:TA195447 ACW195442:ACW195447 AMS195442:AMS195447 AWO195442:AWO195447 BGK195442:BGK195447 BQG195442:BQG195447 CAC195442:CAC195447 CJY195442:CJY195447 CTU195442:CTU195447 DDQ195442:DDQ195447 DNM195442:DNM195447 DXI195442:DXI195447 EHE195442:EHE195447 ERA195442:ERA195447 FAW195442:FAW195447 FKS195442:FKS195447 FUO195442:FUO195447 GEK195442:GEK195447 GOG195442:GOG195447 GYC195442:GYC195447 HHY195442:HHY195447 HRU195442:HRU195447 IBQ195442:IBQ195447 ILM195442:ILM195447 IVI195442:IVI195447 JFE195442:JFE195447 JPA195442:JPA195447 JYW195442:JYW195447 KIS195442:KIS195447 KSO195442:KSO195447 LCK195442:LCK195447 LMG195442:LMG195447 LWC195442:LWC195447 MFY195442:MFY195447 MPU195442:MPU195447 MZQ195442:MZQ195447 NJM195442:NJM195447 NTI195442:NTI195447 ODE195442:ODE195447 ONA195442:ONA195447 OWW195442:OWW195447 PGS195442:PGS195447 PQO195442:PQO195447 QAK195442:QAK195447 QKG195442:QKG195447 QUC195442:QUC195447 RDY195442:RDY195447 RNU195442:RNU195447 RXQ195442:RXQ195447 SHM195442:SHM195447 SRI195442:SRI195447 TBE195442:TBE195447 TLA195442:TLA195447 TUW195442:TUW195447 UES195442:UES195447 UOO195442:UOO195447 UYK195442:UYK195447 VIG195442:VIG195447 VSC195442:VSC195447 WBY195442:WBY195447 WLU195442:WLU195447 WVQ195442:WVQ195447 I260999:I261004 JE260978:JE260983 TA260978:TA260983 ACW260978:ACW260983 AMS260978:AMS260983 AWO260978:AWO260983 BGK260978:BGK260983 BQG260978:BQG260983 CAC260978:CAC260983 CJY260978:CJY260983 CTU260978:CTU260983 DDQ260978:DDQ260983 DNM260978:DNM260983 DXI260978:DXI260983 EHE260978:EHE260983 ERA260978:ERA260983 FAW260978:FAW260983 FKS260978:FKS260983 FUO260978:FUO260983 GEK260978:GEK260983 GOG260978:GOG260983 GYC260978:GYC260983 HHY260978:HHY260983 HRU260978:HRU260983 IBQ260978:IBQ260983 ILM260978:ILM260983 IVI260978:IVI260983 JFE260978:JFE260983 JPA260978:JPA260983 JYW260978:JYW260983 KIS260978:KIS260983 KSO260978:KSO260983 LCK260978:LCK260983 LMG260978:LMG260983 LWC260978:LWC260983 MFY260978:MFY260983 MPU260978:MPU260983 MZQ260978:MZQ260983 NJM260978:NJM260983 NTI260978:NTI260983 ODE260978:ODE260983 ONA260978:ONA260983 OWW260978:OWW260983 PGS260978:PGS260983 PQO260978:PQO260983 QAK260978:QAK260983 QKG260978:QKG260983 QUC260978:QUC260983 RDY260978:RDY260983 RNU260978:RNU260983 RXQ260978:RXQ260983 SHM260978:SHM260983 SRI260978:SRI260983 TBE260978:TBE260983 TLA260978:TLA260983 TUW260978:TUW260983 UES260978:UES260983 UOO260978:UOO260983 UYK260978:UYK260983 VIG260978:VIG260983 VSC260978:VSC260983 WBY260978:WBY260983 WLU260978:WLU260983 WVQ260978:WVQ260983 I326535:I326540 JE326514:JE326519 TA326514:TA326519 ACW326514:ACW326519 AMS326514:AMS326519 AWO326514:AWO326519 BGK326514:BGK326519 BQG326514:BQG326519 CAC326514:CAC326519 CJY326514:CJY326519 CTU326514:CTU326519 DDQ326514:DDQ326519 DNM326514:DNM326519 DXI326514:DXI326519 EHE326514:EHE326519 ERA326514:ERA326519 FAW326514:FAW326519 FKS326514:FKS326519 FUO326514:FUO326519 GEK326514:GEK326519 GOG326514:GOG326519 GYC326514:GYC326519 HHY326514:HHY326519 HRU326514:HRU326519 IBQ326514:IBQ326519 ILM326514:ILM326519 IVI326514:IVI326519 JFE326514:JFE326519 JPA326514:JPA326519 JYW326514:JYW326519 KIS326514:KIS326519 KSO326514:KSO326519 LCK326514:LCK326519 LMG326514:LMG326519 LWC326514:LWC326519 MFY326514:MFY326519 MPU326514:MPU326519 MZQ326514:MZQ326519 NJM326514:NJM326519 NTI326514:NTI326519 ODE326514:ODE326519 ONA326514:ONA326519 OWW326514:OWW326519 PGS326514:PGS326519 PQO326514:PQO326519 QAK326514:QAK326519 QKG326514:QKG326519 QUC326514:QUC326519 RDY326514:RDY326519 RNU326514:RNU326519 RXQ326514:RXQ326519 SHM326514:SHM326519 SRI326514:SRI326519 TBE326514:TBE326519 TLA326514:TLA326519 TUW326514:TUW326519 UES326514:UES326519 UOO326514:UOO326519 UYK326514:UYK326519 VIG326514:VIG326519 VSC326514:VSC326519 WBY326514:WBY326519 WLU326514:WLU326519 WVQ326514:WVQ326519 I392071:I392076 JE392050:JE392055 TA392050:TA392055 ACW392050:ACW392055 AMS392050:AMS392055 AWO392050:AWO392055 BGK392050:BGK392055 BQG392050:BQG392055 CAC392050:CAC392055 CJY392050:CJY392055 CTU392050:CTU392055 DDQ392050:DDQ392055 DNM392050:DNM392055 DXI392050:DXI392055 EHE392050:EHE392055 ERA392050:ERA392055 FAW392050:FAW392055 FKS392050:FKS392055 FUO392050:FUO392055 GEK392050:GEK392055 GOG392050:GOG392055 GYC392050:GYC392055 HHY392050:HHY392055 HRU392050:HRU392055 IBQ392050:IBQ392055 ILM392050:ILM392055 IVI392050:IVI392055 JFE392050:JFE392055 JPA392050:JPA392055 JYW392050:JYW392055 KIS392050:KIS392055 KSO392050:KSO392055 LCK392050:LCK392055 LMG392050:LMG392055 LWC392050:LWC392055 MFY392050:MFY392055 MPU392050:MPU392055 MZQ392050:MZQ392055 NJM392050:NJM392055 NTI392050:NTI392055 ODE392050:ODE392055 ONA392050:ONA392055 OWW392050:OWW392055 PGS392050:PGS392055 PQO392050:PQO392055 QAK392050:QAK392055 QKG392050:QKG392055 QUC392050:QUC392055 RDY392050:RDY392055 RNU392050:RNU392055 RXQ392050:RXQ392055 SHM392050:SHM392055 SRI392050:SRI392055 TBE392050:TBE392055 TLA392050:TLA392055 TUW392050:TUW392055 UES392050:UES392055 UOO392050:UOO392055 UYK392050:UYK392055 VIG392050:VIG392055 VSC392050:VSC392055 WBY392050:WBY392055 WLU392050:WLU392055 WVQ392050:WVQ392055 I457607:I457612 JE457586:JE457591 TA457586:TA457591 ACW457586:ACW457591 AMS457586:AMS457591 AWO457586:AWO457591 BGK457586:BGK457591 BQG457586:BQG457591 CAC457586:CAC457591 CJY457586:CJY457591 CTU457586:CTU457591 DDQ457586:DDQ457591 DNM457586:DNM457591 DXI457586:DXI457591 EHE457586:EHE457591 ERA457586:ERA457591 FAW457586:FAW457591 FKS457586:FKS457591 FUO457586:FUO457591 GEK457586:GEK457591 GOG457586:GOG457591 GYC457586:GYC457591 HHY457586:HHY457591 HRU457586:HRU457591 IBQ457586:IBQ457591 ILM457586:ILM457591 IVI457586:IVI457591 JFE457586:JFE457591 JPA457586:JPA457591 JYW457586:JYW457591 KIS457586:KIS457591 KSO457586:KSO457591 LCK457586:LCK457591 LMG457586:LMG457591 LWC457586:LWC457591 MFY457586:MFY457591 MPU457586:MPU457591 MZQ457586:MZQ457591 NJM457586:NJM457591 NTI457586:NTI457591 ODE457586:ODE457591 ONA457586:ONA457591 OWW457586:OWW457591 PGS457586:PGS457591 PQO457586:PQO457591 QAK457586:QAK457591 QKG457586:QKG457591 QUC457586:QUC457591 RDY457586:RDY457591 RNU457586:RNU457591 RXQ457586:RXQ457591 SHM457586:SHM457591 SRI457586:SRI457591 TBE457586:TBE457591 TLA457586:TLA457591 TUW457586:TUW457591 UES457586:UES457591 UOO457586:UOO457591 UYK457586:UYK457591 VIG457586:VIG457591 VSC457586:VSC457591 WBY457586:WBY457591 WLU457586:WLU457591 WVQ457586:WVQ457591 I523143:I523148 JE523122:JE523127 TA523122:TA523127 ACW523122:ACW523127 AMS523122:AMS523127 AWO523122:AWO523127 BGK523122:BGK523127 BQG523122:BQG523127 CAC523122:CAC523127 CJY523122:CJY523127 CTU523122:CTU523127 DDQ523122:DDQ523127 DNM523122:DNM523127 DXI523122:DXI523127 EHE523122:EHE523127 ERA523122:ERA523127 FAW523122:FAW523127 FKS523122:FKS523127 FUO523122:FUO523127 GEK523122:GEK523127 GOG523122:GOG523127 GYC523122:GYC523127 HHY523122:HHY523127 HRU523122:HRU523127 IBQ523122:IBQ523127 ILM523122:ILM523127 IVI523122:IVI523127 JFE523122:JFE523127 JPA523122:JPA523127 JYW523122:JYW523127 KIS523122:KIS523127 KSO523122:KSO523127 LCK523122:LCK523127 LMG523122:LMG523127 LWC523122:LWC523127 MFY523122:MFY523127 MPU523122:MPU523127 MZQ523122:MZQ523127 NJM523122:NJM523127 NTI523122:NTI523127 ODE523122:ODE523127 ONA523122:ONA523127 OWW523122:OWW523127 PGS523122:PGS523127 PQO523122:PQO523127 QAK523122:QAK523127 QKG523122:QKG523127 QUC523122:QUC523127 RDY523122:RDY523127 RNU523122:RNU523127 RXQ523122:RXQ523127 SHM523122:SHM523127 SRI523122:SRI523127 TBE523122:TBE523127 TLA523122:TLA523127 TUW523122:TUW523127 UES523122:UES523127 UOO523122:UOO523127 UYK523122:UYK523127 VIG523122:VIG523127 VSC523122:VSC523127 WBY523122:WBY523127 WLU523122:WLU523127 WVQ523122:WVQ523127 I588679:I588684 JE588658:JE588663 TA588658:TA588663 ACW588658:ACW588663 AMS588658:AMS588663 AWO588658:AWO588663 BGK588658:BGK588663 BQG588658:BQG588663 CAC588658:CAC588663 CJY588658:CJY588663 CTU588658:CTU588663 DDQ588658:DDQ588663 DNM588658:DNM588663 DXI588658:DXI588663 EHE588658:EHE588663 ERA588658:ERA588663 FAW588658:FAW588663 FKS588658:FKS588663 FUO588658:FUO588663 GEK588658:GEK588663 GOG588658:GOG588663 GYC588658:GYC588663 HHY588658:HHY588663 HRU588658:HRU588663 IBQ588658:IBQ588663 ILM588658:ILM588663 IVI588658:IVI588663 JFE588658:JFE588663 JPA588658:JPA588663 JYW588658:JYW588663 KIS588658:KIS588663 KSO588658:KSO588663 LCK588658:LCK588663 LMG588658:LMG588663 LWC588658:LWC588663 MFY588658:MFY588663 MPU588658:MPU588663 MZQ588658:MZQ588663 NJM588658:NJM588663 NTI588658:NTI588663 ODE588658:ODE588663 ONA588658:ONA588663 OWW588658:OWW588663 PGS588658:PGS588663 PQO588658:PQO588663 QAK588658:QAK588663 QKG588658:QKG588663 QUC588658:QUC588663 RDY588658:RDY588663 RNU588658:RNU588663 RXQ588658:RXQ588663 SHM588658:SHM588663 SRI588658:SRI588663 TBE588658:TBE588663 TLA588658:TLA588663 TUW588658:TUW588663 UES588658:UES588663 UOO588658:UOO588663 UYK588658:UYK588663 VIG588658:VIG588663 VSC588658:VSC588663 WBY588658:WBY588663 WLU588658:WLU588663 WVQ588658:WVQ588663 I654215:I654220 JE654194:JE654199 TA654194:TA654199 ACW654194:ACW654199 AMS654194:AMS654199 AWO654194:AWO654199 BGK654194:BGK654199 BQG654194:BQG654199 CAC654194:CAC654199 CJY654194:CJY654199 CTU654194:CTU654199 DDQ654194:DDQ654199 DNM654194:DNM654199 DXI654194:DXI654199 EHE654194:EHE654199 ERA654194:ERA654199 FAW654194:FAW654199 FKS654194:FKS654199 FUO654194:FUO654199 GEK654194:GEK654199 GOG654194:GOG654199 GYC654194:GYC654199 HHY654194:HHY654199 HRU654194:HRU654199 IBQ654194:IBQ654199 ILM654194:ILM654199 IVI654194:IVI654199 JFE654194:JFE654199 JPA654194:JPA654199 JYW654194:JYW654199 KIS654194:KIS654199 KSO654194:KSO654199 LCK654194:LCK654199 LMG654194:LMG654199 LWC654194:LWC654199 MFY654194:MFY654199 MPU654194:MPU654199 MZQ654194:MZQ654199 NJM654194:NJM654199 NTI654194:NTI654199 ODE654194:ODE654199 ONA654194:ONA654199 OWW654194:OWW654199 PGS654194:PGS654199 PQO654194:PQO654199 QAK654194:QAK654199 QKG654194:QKG654199 QUC654194:QUC654199 RDY654194:RDY654199 RNU654194:RNU654199 RXQ654194:RXQ654199 SHM654194:SHM654199 SRI654194:SRI654199 TBE654194:TBE654199 TLA654194:TLA654199 TUW654194:TUW654199 UES654194:UES654199 UOO654194:UOO654199 UYK654194:UYK654199 VIG654194:VIG654199 VSC654194:VSC654199 WBY654194:WBY654199 WLU654194:WLU654199 WVQ654194:WVQ654199 I719751:I719756 JE719730:JE719735 TA719730:TA719735 ACW719730:ACW719735 AMS719730:AMS719735 AWO719730:AWO719735 BGK719730:BGK719735 BQG719730:BQG719735 CAC719730:CAC719735 CJY719730:CJY719735 CTU719730:CTU719735 DDQ719730:DDQ719735 DNM719730:DNM719735 DXI719730:DXI719735 EHE719730:EHE719735 ERA719730:ERA719735 FAW719730:FAW719735 FKS719730:FKS719735 FUO719730:FUO719735 GEK719730:GEK719735 GOG719730:GOG719735 GYC719730:GYC719735 HHY719730:HHY719735 HRU719730:HRU719735 IBQ719730:IBQ719735 ILM719730:ILM719735 IVI719730:IVI719735 JFE719730:JFE719735 JPA719730:JPA719735 JYW719730:JYW719735 KIS719730:KIS719735 KSO719730:KSO719735 LCK719730:LCK719735 LMG719730:LMG719735 LWC719730:LWC719735 MFY719730:MFY719735 MPU719730:MPU719735 MZQ719730:MZQ719735 NJM719730:NJM719735 NTI719730:NTI719735 ODE719730:ODE719735 ONA719730:ONA719735 OWW719730:OWW719735 PGS719730:PGS719735 PQO719730:PQO719735 QAK719730:QAK719735 QKG719730:QKG719735 QUC719730:QUC719735 RDY719730:RDY719735 RNU719730:RNU719735 RXQ719730:RXQ719735 SHM719730:SHM719735 SRI719730:SRI719735 TBE719730:TBE719735 TLA719730:TLA719735 TUW719730:TUW719735 UES719730:UES719735 UOO719730:UOO719735 UYK719730:UYK719735 VIG719730:VIG719735 VSC719730:VSC719735 WBY719730:WBY719735 WLU719730:WLU719735 WVQ719730:WVQ719735 I785287:I785292 JE785266:JE785271 TA785266:TA785271 ACW785266:ACW785271 AMS785266:AMS785271 AWO785266:AWO785271 BGK785266:BGK785271 BQG785266:BQG785271 CAC785266:CAC785271 CJY785266:CJY785271 CTU785266:CTU785271 DDQ785266:DDQ785271 DNM785266:DNM785271 DXI785266:DXI785271 EHE785266:EHE785271 ERA785266:ERA785271 FAW785266:FAW785271 FKS785266:FKS785271 FUO785266:FUO785271 GEK785266:GEK785271 GOG785266:GOG785271 GYC785266:GYC785271 HHY785266:HHY785271 HRU785266:HRU785271 IBQ785266:IBQ785271 ILM785266:ILM785271 IVI785266:IVI785271 JFE785266:JFE785271 JPA785266:JPA785271 JYW785266:JYW785271 KIS785266:KIS785271 KSO785266:KSO785271 LCK785266:LCK785271 LMG785266:LMG785271 LWC785266:LWC785271 MFY785266:MFY785271 MPU785266:MPU785271 MZQ785266:MZQ785271 NJM785266:NJM785271 NTI785266:NTI785271 ODE785266:ODE785271 ONA785266:ONA785271 OWW785266:OWW785271 PGS785266:PGS785271 PQO785266:PQO785271 QAK785266:QAK785271 QKG785266:QKG785271 QUC785266:QUC785271 RDY785266:RDY785271 RNU785266:RNU785271 RXQ785266:RXQ785271 SHM785266:SHM785271 SRI785266:SRI785271 TBE785266:TBE785271 TLA785266:TLA785271 TUW785266:TUW785271 UES785266:UES785271 UOO785266:UOO785271 UYK785266:UYK785271 VIG785266:VIG785271 VSC785266:VSC785271 WBY785266:WBY785271 WLU785266:WLU785271 WVQ785266:WVQ785271 I850823:I850828 JE850802:JE850807 TA850802:TA850807 ACW850802:ACW850807 AMS850802:AMS850807 AWO850802:AWO850807 BGK850802:BGK850807 BQG850802:BQG850807 CAC850802:CAC850807 CJY850802:CJY850807 CTU850802:CTU850807 DDQ850802:DDQ850807 DNM850802:DNM850807 DXI850802:DXI850807 EHE850802:EHE850807 ERA850802:ERA850807 FAW850802:FAW850807 FKS850802:FKS850807 FUO850802:FUO850807 GEK850802:GEK850807 GOG850802:GOG850807 GYC850802:GYC850807 HHY850802:HHY850807 HRU850802:HRU850807 IBQ850802:IBQ850807 ILM850802:ILM850807 IVI850802:IVI850807 JFE850802:JFE850807 JPA850802:JPA850807 JYW850802:JYW850807 KIS850802:KIS850807 KSO850802:KSO850807 LCK850802:LCK850807 LMG850802:LMG850807 LWC850802:LWC850807 MFY850802:MFY850807 MPU850802:MPU850807 MZQ850802:MZQ850807 NJM850802:NJM850807 NTI850802:NTI850807 ODE850802:ODE850807 ONA850802:ONA850807 OWW850802:OWW850807 PGS850802:PGS850807 PQO850802:PQO850807 QAK850802:QAK850807 QKG850802:QKG850807 QUC850802:QUC850807 RDY850802:RDY850807 RNU850802:RNU850807 RXQ850802:RXQ850807 SHM850802:SHM850807 SRI850802:SRI850807 TBE850802:TBE850807 TLA850802:TLA850807 TUW850802:TUW850807 UES850802:UES850807 UOO850802:UOO850807 UYK850802:UYK850807 VIG850802:VIG850807 VSC850802:VSC850807 WBY850802:WBY850807 WLU850802:WLU850807 WVQ850802:WVQ850807 I916359:I916364 JE916338:JE916343 TA916338:TA916343 ACW916338:ACW916343 AMS916338:AMS916343 AWO916338:AWO916343 BGK916338:BGK916343 BQG916338:BQG916343 CAC916338:CAC916343 CJY916338:CJY916343 CTU916338:CTU916343 DDQ916338:DDQ916343 DNM916338:DNM916343 DXI916338:DXI916343 EHE916338:EHE916343 ERA916338:ERA916343 FAW916338:FAW916343 FKS916338:FKS916343 FUO916338:FUO916343 GEK916338:GEK916343 GOG916338:GOG916343 GYC916338:GYC916343 HHY916338:HHY916343 HRU916338:HRU916343 IBQ916338:IBQ916343 ILM916338:ILM916343 IVI916338:IVI916343 JFE916338:JFE916343 JPA916338:JPA916343 JYW916338:JYW916343 KIS916338:KIS916343 KSO916338:KSO916343 LCK916338:LCK916343 LMG916338:LMG916343 LWC916338:LWC916343 MFY916338:MFY916343 MPU916338:MPU916343 MZQ916338:MZQ916343 NJM916338:NJM916343 NTI916338:NTI916343 ODE916338:ODE916343 ONA916338:ONA916343 OWW916338:OWW916343 PGS916338:PGS916343 PQO916338:PQO916343 QAK916338:QAK916343 QKG916338:QKG916343 QUC916338:QUC916343 RDY916338:RDY916343 RNU916338:RNU916343 RXQ916338:RXQ916343 SHM916338:SHM916343 SRI916338:SRI916343 TBE916338:TBE916343 TLA916338:TLA916343 TUW916338:TUW916343 UES916338:UES916343 UOO916338:UOO916343 UYK916338:UYK916343 VIG916338:VIG916343 VSC916338:VSC916343 WBY916338:WBY916343 WLU916338:WLU916343 WVQ916338:WVQ916343 I981895:I981900 JE981874:JE981879 TA981874:TA981879 ACW981874:ACW981879 AMS981874:AMS981879 AWO981874:AWO981879 BGK981874:BGK981879 BQG981874:BQG981879 CAC981874:CAC981879 CJY981874:CJY981879 CTU981874:CTU981879 DDQ981874:DDQ981879 DNM981874:DNM981879 DXI981874:DXI981879 EHE981874:EHE981879 ERA981874:ERA981879 FAW981874:FAW981879 FKS981874:FKS981879 FUO981874:FUO981879 GEK981874:GEK981879 GOG981874:GOG981879 GYC981874:GYC981879 HHY981874:HHY981879 HRU981874:HRU981879 IBQ981874:IBQ981879 ILM981874:ILM981879 IVI981874:IVI981879 JFE981874:JFE981879 JPA981874:JPA981879 JYW981874:JYW981879 KIS981874:KIS981879 KSO981874:KSO981879 LCK981874:LCK981879 LMG981874:LMG981879 LWC981874:LWC981879 MFY981874:MFY981879 MPU981874:MPU981879 MZQ981874:MZQ981879 NJM981874:NJM981879 NTI981874:NTI981879 ODE981874:ODE981879 ONA981874:ONA981879 OWW981874:OWW981879 PGS981874:PGS981879 PQO981874:PQO981879 QAK981874:QAK981879 QKG981874:QKG981879 QUC981874:QUC981879 RDY981874:RDY981879 RNU981874:RNU981879 RXQ981874:RXQ981879 SHM981874:SHM981879 SRI981874:SRI981879 TBE981874:TBE981879 TLA981874:TLA981879 TUW981874:TUW981879 UES981874:UES981879 UOO981874:UOO981879 UYK981874:UYK981879 VIG981874:VIG981879 VSC981874:VSC981879 WBY981874:WBY981879 WLU981874:WLU981879 WVQ981874:WVQ981879" xr:uid="{7A024465-29C1-4ADA-8B5C-1331A72FB615}">
      <formula1>$AN$5:$AN$6</formula1>
    </dataValidation>
    <dataValidation type="list" allowBlank="1" showInputMessage="1" showErrorMessage="1" sqref="WVR981790:WVR981879 J64295:J64384 JF64286:JF64375 TB64286:TB64375 ACX64286:ACX64375 AMT64286:AMT64375 AWP64286:AWP64375 BGL64286:BGL64375 BQH64286:BQH64375 CAD64286:CAD64375 CJZ64286:CJZ64375 CTV64286:CTV64375 DDR64286:DDR64375 DNN64286:DNN64375 DXJ64286:DXJ64375 EHF64286:EHF64375 ERB64286:ERB64375 FAX64286:FAX64375 FKT64286:FKT64375 FUP64286:FUP64375 GEL64286:GEL64375 GOH64286:GOH64375 GYD64286:GYD64375 HHZ64286:HHZ64375 HRV64286:HRV64375 IBR64286:IBR64375 ILN64286:ILN64375 IVJ64286:IVJ64375 JFF64286:JFF64375 JPB64286:JPB64375 JYX64286:JYX64375 KIT64286:KIT64375 KSP64286:KSP64375 LCL64286:LCL64375 LMH64286:LMH64375 LWD64286:LWD64375 MFZ64286:MFZ64375 MPV64286:MPV64375 MZR64286:MZR64375 NJN64286:NJN64375 NTJ64286:NTJ64375 ODF64286:ODF64375 ONB64286:ONB64375 OWX64286:OWX64375 PGT64286:PGT64375 PQP64286:PQP64375 QAL64286:QAL64375 QKH64286:QKH64375 QUD64286:QUD64375 RDZ64286:RDZ64375 RNV64286:RNV64375 RXR64286:RXR64375 SHN64286:SHN64375 SRJ64286:SRJ64375 TBF64286:TBF64375 TLB64286:TLB64375 TUX64286:TUX64375 UET64286:UET64375 UOP64286:UOP64375 UYL64286:UYL64375 VIH64286:VIH64375 VSD64286:VSD64375 WBZ64286:WBZ64375 WLV64286:WLV64375 WVR64286:WVR64375 J129831:J129920 JF129822:JF129911 TB129822:TB129911 ACX129822:ACX129911 AMT129822:AMT129911 AWP129822:AWP129911 BGL129822:BGL129911 BQH129822:BQH129911 CAD129822:CAD129911 CJZ129822:CJZ129911 CTV129822:CTV129911 DDR129822:DDR129911 DNN129822:DNN129911 DXJ129822:DXJ129911 EHF129822:EHF129911 ERB129822:ERB129911 FAX129822:FAX129911 FKT129822:FKT129911 FUP129822:FUP129911 GEL129822:GEL129911 GOH129822:GOH129911 GYD129822:GYD129911 HHZ129822:HHZ129911 HRV129822:HRV129911 IBR129822:IBR129911 ILN129822:ILN129911 IVJ129822:IVJ129911 JFF129822:JFF129911 JPB129822:JPB129911 JYX129822:JYX129911 KIT129822:KIT129911 KSP129822:KSP129911 LCL129822:LCL129911 LMH129822:LMH129911 LWD129822:LWD129911 MFZ129822:MFZ129911 MPV129822:MPV129911 MZR129822:MZR129911 NJN129822:NJN129911 NTJ129822:NTJ129911 ODF129822:ODF129911 ONB129822:ONB129911 OWX129822:OWX129911 PGT129822:PGT129911 PQP129822:PQP129911 QAL129822:QAL129911 QKH129822:QKH129911 QUD129822:QUD129911 RDZ129822:RDZ129911 RNV129822:RNV129911 RXR129822:RXR129911 SHN129822:SHN129911 SRJ129822:SRJ129911 TBF129822:TBF129911 TLB129822:TLB129911 TUX129822:TUX129911 UET129822:UET129911 UOP129822:UOP129911 UYL129822:UYL129911 VIH129822:VIH129911 VSD129822:VSD129911 WBZ129822:WBZ129911 WLV129822:WLV129911 WVR129822:WVR129911 J195367:J195456 JF195358:JF195447 TB195358:TB195447 ACX195358:ACX195447 AMT195358:AMT195447 AWP195358:AWP195447 BGL195358:BGL195447 BQH195358:BQH195447 CAD195358:CAD195447 CJZ195358:CJZ195447 CTV195358:CTV195447 DDR195358:DDR195447 DNN195358:DNN195447 DXJ195358:DXJ195447 EHF195358:EHF195447 ERB195358:ERB195447 FAX195358:FAX195447 FKT195358:FKT195447 FUP195358:FUP195447 GEL195358:GEL195447 GOH195358:GOH195447 GYD195358:GYD195447 HHZ195358:HHZ195447 HRV195358:HRV195447 IBR195358:IBR195447 ILN195358:ILN195447 IVJ195358:IVJ195447 JFF195358:JFF195447 JPB195358:JPB195447 JYX195358:JYX195447 KIT195358:KIT195447 KSP195358:KSP195447 LCL195358:LCL195447 LMH195358:LMH195447 LWD195358:LWD195447 MFZ195358:MFZ195447 MPV195358:MPV195447 MZR195358:MZR195447 NJN195358:NJN195447 NTJ195358:NTJ195447 ODF195358:ODF195447 ONB195358:ONB195447 OWX195358:OWX195447 PGT195358:PGT195447 PQP195358:PQP195447 QAL195358:QAL195447 QKH195358:QKH195447 QUD195358:QUD195447 RDZ195358:RDZ195447 RNV195358:RNV195447 RXR195358:RXR195447 SHN195358:SHN195447 SRJ195358:SRJ195447 TBF195358:TBF195447 TLB195358:TLB195447 TUX195358:TUX195447 UET195358:UET195447 UOP195358:UOP195447 UYL195358:UYL195447 VIH195358:VIH195447 VSD195358:VSD195447 WBZ195358:WBZ195447 WLV195358:WLV195447 WVR195358:WVR195447 J260903:J260992 JF260894:JF260983 TB260894:TB260983 ACX260894:ACX260983 AMT260894:AMT260983 AWP260894:AWP260983 BGL260894:BGL260983 BQH260894:BQH260983 CAD260894:CAD260983 CJZ260894:CJZ260983 CTV260894:CTV260983 DDR260894:DDR260983 DNN260894:DNN260983 DXJ260894:DXJ260983 EHF260894:EHF260983 ERB260894:ERB260983 FAX260894:FAX260983 FKT260894:FKT260983 FUP260894:FUP260983 GEL260894:GEL260983 GOH260894:GOH260983 GYD260894:GYD260983 HHZ260894:HHZ260983 HRV260894:HRV260983 IBR260894:IBR260983 ILN260894:ILN260983 IVJ260894:IVJ260983 JFF260894:JFF260983 JPB260894:JPB260983 JYX260894:JYX260983 KIT260894:KIT260983 KSP260894:KSP260983 LCL260894:LCL260983 LMH260894:LMH260983 LWD260894:LWD260983 MFZ260894:MFZ260983 MPV260894:MPV260983 MZR260894:MZR260983 NJN260894:NJN260983 NTJ260894:NTJ260983 ODF260894:ODF260983 ONB260894:ONB260983 OWX260894:OWX260983 PGT260894:PGT260983 PQP260894:PQP260983 QAL260894:QAL260983 QKH260894:QKH260983 QUD260894:QUD260983 RDZ260894:RDZ260983 RNV260894:RNV260983 RXR260894:RXR260983 SHN260894:SHN260983 SRJ260894:SRJ260983 TBF260894:TBF260983 TLB260894:TLB260983 TUX260894:TUX260983 UET260894:UET260983 UOP260894:UOP260983 UYL260894:UYL260983 VIH260894:VIH260983 VSD260894:VSD260983 WBZ260894:WBZ260983 WLV260894:WLV260983 WVR260894:WVR260983 J326439:J326528 JF326430:JF326519 TB326430:TB326519 ACX326430:ACX326519 AMT326430:AMT326519 AWP326430:AWP326519 BGL326430:BGL326519 BQH326430:BQH326519 CAD326430:CAD326519 CJZ326430:CJZ326519 CTV326430:CTV326519 DDR326430:DDR326519 DNN326430:DNN326519 DXJ326430:DXJ326519 EHF326430:EHF326519 ERB326430:ERB326519 FAX326430:FAX326519 FKT326430:FKT326519 FUP326430:FUP326519 GEL326430:GEL326519 GOH326430:GOH326519 GYD326430:GYD326519 HHZ326430:HHZ326519 HRV326430:HRV326519 IBR326430:IBR326519 ILN326430:ILN326519 IVJ326430:IVJ326519 JFF326430:JFF326519 JPB326430:JPB326519 JYX326430:JYX326519 KIT326430:KIT326519 KSP326430:KSP326519 LCL326430:LCL326519 LMH326430:LMH326519 LWD326430:LWD326519 MFZ326430:MFZ326519 MPV326430:MPV326519 MZR326430:MZR326519 NJN326430:NJN326519 NTJ326430:NTJ326519 ODF326430:ODF326519 ONB326430:ONB326519 OWX326430:OWX326519 PGT326430:PGT326519 PQP326430:PQP326519 QAL326430:QAL326519 QKH326430:QKH326519 QUD326430:QUD326519 RDZ326430:RDZ326519 RNV326430:RNV326519 RXR326430:RXR326519 SHN326430:SHN326519 SRJ326430:SRJ326519 TBF326430:TBF326519 TLB326430:TLB326519 TUX326430:TUX326519 UET326430:UET326519 UOP326430:UOP326519 UYL326430:UYL326519 VIH326430:VIH326519 VSD326430:VSD326519 WBZ326430:WBZ326519 WLV326430:WLV326519 WVR326430:WVR326519 J391975:J392064 JF391966:JF392055 TB391966:TB392055 ACX391966:ACX392055 AMT391966:AMT392055 AWP391966:AWP392055 BGL391966:BGL392055 BQH391966:BQH392055 CAD391966:CAD392055 CJZ391966:CJZ392055 CTV391966:CTV392055 DDR391966:DDR392055 DNN391966:DNN392055 DXJ391966:DXJ392055 EHF391966:EHF392055 ERB391966:ERB392055 FAX391966:FAX392055 FKT391966:FKT392055 FUP391966:FUP392055 GEL391966:GEL392055 GOH391966:GOH392055 GYD391966:GYD392055 HHZ391966:HHZ392055 HRV391966:HRV392055 IBR391966:IBR392055 ILN391966:ILN392055 IVJ391966:IVJ392055 JFF391966:JFF392055 JPB391966:JPB392055 JYX391966:JYX392055 KIT391966:KIT392055 KSP391966:KSP392055 LCL391966:LCL392055 LMH391966:LMH392055 LWD391966:LWD392055 MFZ391966:MFZ392055 MPV391966:MPV392055 MZR391966:MZR392055 NJN391966:NJN392055 NTJ391966:NTJ392055 ODF391966:ODF392055 ONB391966:ONB392055 OWX391966:OWX392055 PGT391966:PGT392055 PQP391966:PQP392055 QAL391966:QAL392055 QKH391966:QKH392055 QUD391966:QUD392055 RDZ391966:RDZ392055 RNV391966:RNV392055 RXR391966:RXR392055 SHN391966:SHN392055 SRJ391966:SRJ392055 TBF391966:TBF392055 TLB391966:TLB392055 TUX391966:TUX392055 UET391966:UET392055 UOP391966:UOP392055 UYL391966:UYL392055 VIH391966:VIH392055 VSD391966:VSD392055 WBZ391966:WBZ392055 WLV391966:WLV392055 WVR391966:WVR392055 J457511:J457600 JF457502:JF457591 TB457502:TB457591 ACX457502:ACX457591 AMT457502:AMT457591 AWP457502:AWP457591 BGL457502:BGL457591 BQH457502:BQH457591 CAD457502:CAD457591 CJZ457502:CJZ457591 CTV457502:CTV457591 DDR457502:DDR457591 DNN457502:DNN457591 DXJ457502:DXJ457591 EHF457502:EHF457591 ERB457502:ERB457591 FAX457502:FAX457591 FKT457502:FKT457591 FUP457502:FUP457591 GEL457502:GEL457591 GOH457502:GOH457591 GYD457502:GYD457591 HHZ457502:HHZ457591 HRV457502:HRV457591 IBR457502:IBR457591 ILN457502:ILN457591 IVJ457502:IVJ457591 JFF457502:JFF457591 JPB457502:JPB457591 JYX457502:JYX457591 KIT457502:KIT457591 KSP457502:KSP457591 LCL457502:LCL457591 LMH457502:LMH457591 LWD457502:LWD457591 MFZ457502:MFZ457591 MPV457502:MPV457591 MZR457502:MZR457591 NJN457502:NJN457591 NTJ457502:NTJ457591 ODF457502:ODF457591 ONB457502:ONB457591 OWX457502:OWX457591 PGT457502:PGT457591 PQP457502:PQP457591 QAL457502:QAL457591 QKH457502:QKH457591 QUD457502:QUD457591 RDZ457502:RDZ457591 RNV457502:RNV457591 RXR457502:RXR457591 SHN457502:SHN457591 SRJ457502:SRJ457591 TBF457502:TBF457591 TLB457502:TLB457591 TUX457502:TUX457591 UET457502:UET457591 UOP457502:UOP457591 UYL457502:UYL457591 VIH457502:VIH457591 VSD457502:VSD457591 WBZ457502:WBZ457591 WLV457502:WLV457591 WVR457502:WVR457591 J523047:J523136 JF523038:JF523127 TB523038:TB523127 ACX523038:ACX523127 AMT523038:AMT523127 AWP523038:AWP523127 BGL523038:BGL523127 BQH523038:BQH523127 CAD523038:CAD523127 CJZ523038:CJZ523127 CTV523038:CTV523127 DDR523038:DDR523127 DNN523038:DNN523127 DXJ523038:DXJ523127 EHF523038:EHF523127 ERB523038:ERB523127 FAX523038:FAX523127 FKT523038:FKT523127 FUP523038:FUP523127 GEL523038:GEL523127 GOH523038:GOH523127 GYD523038:GYD523127 HHZ523038:HHZ523127 HRV523038:HRV523127 IBR523038:IBR523127 ILN523038:ILN523127 IVJ523038:IVJ523127 JFF523038:JFF523127 JPB523038:JPB523127 JYX523038:JYX523127 KIT523038:KIT523127 KSP523038:KSP523127 LCL523038:LCL523127 LMH523038:LMH523127 LWD523038:LWD523127 MFZ523038:MFZ523127 MPV523038:MPV523127 MZR523038:MZR523127 NJN523038:NJN523127 NTJ523038:NTJ523127 ODF523038:ODF523127 ONB523038:ONB523127 OWX523038:OWX523127 PGT523038:PGT523127 PQP523038:PQP523127 QAL523038:QAL523127 QKH523038:QKH523127 QUD523038:QUD523127 RDZ523038:RDZ523127 RNV523038:RNV523127 RXR523038:RXR523127 SHN523038:SHN523127 SRJ523038:SRJ523127 TBF523038:TBF523127 TLB523038:TLB523127 TUX523038:TUX523127 UET523038:UET523127 UOP523038:UOP523127 UYL523038:UYL523127 VIH523038:VIH523127 VSD523038:VSD523127 WBZ523038:WBZ523127 WLV523038:WLV523127 WVR523038:WVR523127 J588583:J588672 JF588574:JF588663 TB588574:TB588663 ACX588574:ACX588663 AMT588574:AMT588663 AWP588574:AWP588663 BGL588574:BGL588663 BQH588574:BQH588663 CAD588574:CAD588663 CJZ588574:CJZ588663 CTV588574:CTV588663 DDR588574:DDR588663 DNN588574:DNN588663 DXJ588574:DXJ588663 EHF588574:EHF588663 ERB588574:ERB588663 FAX588574:FAX588663 FKT588574:FKT588663 FUP588574:FUP588663 GEL588574:GEL588663 GOH588574:GOH588663 GYD588574:GYD588663 HHZ588574:HHZ588663 HRV588574:HRV588663 IBR588574:IBR588663 ILN588574:ILN588663 IVJ588574:IVJ588663 JFF588574:JFF588663 JPB588574:JPB588663 JYX588574:JYX588663 KIT588574:KIT588663 KSP588574:KSP588663 LCL588574:LCL588663 LMH588574:LMH588663 LWD588574:LWD588663 MFZ588574:MFZ588663 MPV588574:MPV588663 MZR588574:MZR588663 NJN588574:NJN588663 NTJ588574:NTJ588663 ODF588574:ODF588663 ONB588574:ONB588663 OWX588574:OWX588663 PGT588574:PGT588663 PQP588574:PQP588663 QAL588574:QAL588663 QKH588574:QKH588663 QUD588574:QUD588663 RDZ588574:RDZ588663 RNV588574:RNV588663 RXR588574:RXR588663 SHN588574:SHN588663 SRJ588574:SRJ588663 TBF588574:TBF588663 TLB588574:TLB588663 TUX588574:TUX588663 UET588574:UET588663 UOP588574:UOP588663 UYL588574:UYL588663 VIH588574:VIH588663 VSD588574:VSD588663 WBZ588574:WBZ588663 WLV588574:WLV588663 WVR588574:WVR588663 J654119:J654208 JF654110:JF654199 TB654110:TB654199 ACX654110:ACX654199 AMT654110:AMT654199 AWP654110:AWP654199 BGL654110:BGL654199 BQH654110:BQH654199 CAD654110:CAD654199 CJZ654110:CJZ654199 CTV654110:CTV654199 DDR654110:DDR654199 DNN654110:DNN654199 DXJ654110:DXJ654199 EHF654110:EHF654199 ERB654110:ERB654199 FAX654110:FAX654199 FKT654110:FKT654199 FUP654110:FUP654199 GEL654110:GEL654199 GOH654110:GOH654199 GYD654110:GYD654199 HHZ654110:HHZ654199 HRV654110:HRV654199 IBR654110:IBR654199 ILN654110:ILN654199 IVJ654110:IVJ654199 JFF654110:JFF654199 JPB654110:JPB654199 JYX654110:JYX654199 KIT654110:KIT654199 KSP654110:KSP654199 LCL654110:LCL654199 LMH654110:LMH654199 LWD654110:LWD654199 MFZ654110:MFZ654199 MPV654110:MPV654199 MZR654110:MZR654199 NJN654110:NJN654199 NTJ654110:NTJ654199 ODF654110:ODF654199 ONB654110:ONB654199 OWX654110:OWX654199 PGT654110:PGT654199 PQP654110:PQP654199 QAL654110:QAL654199 QKH654110:QKH654199 QUD654110:QUD654199 RDZ654110:RDZ654199 RNV654110:RNV654199 RXR654110:RXR654199 SHN654110:SHN654199 SRJ654110:SRJ654199 TBF654110:TBF654199 TLB654110:TLB654199 TUX654110:TUX654199 UET654110:UET654199 UOP654110:UOP654199 UYL654110:UYL654199 VIH654110:VIH654199 VSD654110:VSD654199 WBZ654110:WBZ654199 WLV654110:WLV654199 WVR654110:WVR654199 J719655:J719744 JF719646:JF719735 TB719646:TB719735 ACX719646:ACX719735 AMT719646:AMT719735 AWP719646:AWP719735 BGL719646:BGL719735 BQH719646:BQH719735 CAD719646:CAD719735 CJZ719646:CJZ719735 CTV719646:CTV719735 DDR719646:DDR719735 DNN719646:DNN719735 DXJ719646:DXJ719735 EHF719646:EHF719735 ERB719646:ERB719735 FAX719646:FAX719735 FKT719646:FKT719735 FUP719646:FUP719735 GEL719646:GEL719735 GOH719646:GOH719735 GYD719646:GYD719735 HHZ719646:HHZ719735 HRV719646:HRV719735 IBR719646:IBR719735 ILN719646:ILN719735 IVJ719646:IVJ719735 JFF719646:JFF719735 JPB719646:JPB719735 JYX719646:JYX719735 KIT719646:KIT719735 KSP719646:KSP719735 LCL719646:LCL719735 LMH719646:LMH719735 LWD719646:LWD719735 MFZ719646:MFZ719735 MPV719646:MPV719735 MZR719646:MZR719735 NJN719646:NJN719735 NTJ719646:NTJ719735 ODF719646:ODF719735 ONB719646:ONB719735 OWX719646:OWX719735 PGT719646:PGT719735 PQP719646:PQP719735 QAL719646:QAL719735 QKH719646:QKH719735 QUD719646:QUD719735 RDZ719646:RDZ719735 RNV719646:RNV719735 RXR719646:RXR719735 SHN719646:SHN719735 SRJ719646:SRJ719735 TBF719646:TBF719735 TLB719646:TLB719735 TUX719646:TUX719735 UET719646:UET719735 UOP719646:UOP719735 UYL719646:UYL719735 VIH719646:VIH719735 VSD719646:VSD719735 WBZ719646:WBZ719735 WLV719646:WLV719735 WVR719646:WVR719735 J785191:J785280 JF785182:JF785271 TB785182:TB785271 ACX785182:ACX785271 AMT785182:AMT785271 AWP785182:AWP785271 BGL785182:BGL785271 BQH785182:BQH785271 CAD785182:CAD785271 CJZ785182:CJZ785271 CTV785182:CTV785271 DDR785182:DDR785271 DNN785182:DNN785271 DXJ785182:DXJ785271 EHF785182:EHF785271 ERB785182:ERB785271 FAX785182:FAX785271 FKT785182:FKT785271 FUP785182:FUP785271 GEL785182:GEL785271 GOH785182:GOH785271 GYD785182:GYD785271 HHZ785182:HHZ785271 HRV785182:HRV785271 IBR785182:IBR785271 ILN785182:ILN785271 IVJ785182:IVJ785271 JFF785182:JFF785271 JPB785182:JPB785271 JYX785182:JYX785271 KIT785182:KIT785271 KSP785182:KSP785271 LCL785182:LCL785271 LMH785182:LMH785271 LWD785182:LWD785271 MFZ785182:MFZ785271 MPV785182:MPV785271 MZR785182:MZR785271 NJN785182:NJN785271 NTJ785182:NTJ785271 ODF785182:ODF785271 ONB785182:ONB785271 OWX785182:OWX785271 PGT785182:PGT785271 PQP785182:PQP785271 QAL785182:QAL785271 QKH785182:QKH785271 QUD785182:QUD785271 RDZ785182:RDZ785271 RNV785182:RNV785271 RXR785182:RXR785271 SHN785182:SHN785271 SRJ785182:SRJ785271 TBF785182:TBF785271 TLB785182:TLB785271 TUX785182:TUX785271 UET785182:UET785271 UOP785182:UOP785271 UYL785182:UYL785271 VIH785182:VIH785271 VSD785182:VSD785271 WBZ785182:WBZ785271 WLV785182:WLV785271 WVR785182:WVR785271 J850727:J850816 JF850718:JF850807 TB850718:TB850807 ACX850718:ACX850807 AMT850718:AMT850807 AWP850718:AWP850807 BGL850718:BGL850807 BQH850718:BQH850807 CAD850718:CAD850807 CJZ850718:CJZ850807 CTV850718:CTV850807 DDR850718:DDR850807 DNN850718:DNN850807 DXJ850718:DXJ850807 EHF850718:EHF850807 ERB850718:ERB850807 FAX850718:FAX850807 FKT850718:FKT850807 FUP850718:FUP850807 GEL850718:GEL850807 GOH850718:GOH850807 GYD850718:GYD850807 HHZ850718:HHZ850807 HRV850718:HRV850807 IBR850718:IBR850807 ILN850718:ILN850807 IVJ850718:IVJ850807 JFF850718:JFF850807 JPB850718:JPB850807 JYX850718:JYX850807 KIT850718:KIT850807 KSP850718:KSP850807 LCL850718:LCL850807 LMH850718:LMH850807 LWD850718:LWD850807 MFZ850718:MFZ850807 MPV850718:MPV850807 MZR850718:MZR850807 NJN850718:NJN850807 NTJ850718:NTJ850807 ODF850718:ODF850807 ONB850718:ONB850807 OWX850718:OWX850807 PGT850718:PGT850807 PQP850718:PQP850807 QAL850718:QAL850807 QKH850718:QKH850807 QUD850718:QUD850807 RDZ850718:RDZ850807 RNV850718:RNV850807 RXR850718:RXR850807 SHN850718:SHN850807 SRJ850718:SRJ850807 TBF850718:TBF850807 TLB850718:TLB850807 TUX850718:TUX850807 UET850718:UET850807 UOP850718:UOP850807 UYL850718:UYL850807 VIH850718:VIH850807 VSD850718:VSD850807 WBZ850718:WBZ850807 WLV850718:WLV850807 WVR850718:WVR850807 J916263:J916352 JF916254:JF916343 TB916254:TB916343 ACX916254:ACX916343 AMT916254:AMT916343 AWP916254:AWP916343 BGL916254:BGL916343 BQH916254:BQH916343 CAD916254:CAD916343 CJZ916254:CJZ916343 CTV916254:CTV916343 DDR916254:DDR916343 DNN916254:DNN916343 DXJ916254:DXJ916343 EHF916254:EHF916343 ERB916254:ERB916343 FAX916254:FAX916343 FKT916254:FKT916343 FUP916254:FUP916343 GEL916254:GEL916343 GOH916254:GOH916343 GYD916254:GYD916343 HHZ916254:HHZ916343 HRV916254:HRV916343 IBR916254:IBR916343 ILN916254:ILN916343 IVJ916254:IVJ916343 JFF916254:JFF916343 JPB916254:JPB916343 JYX916254:JYX916343 KIT916254:KIT916343 KSP916254:KSP916343 LCL916254:LCL916343 LMH916254:LMH916343 LWD916254:LWD916343 MFZ916254:MFZ916343 MPV916254:MPV916343 MZR916254:MZR916343 NJN916254:NJN916343 NTJ916254:NTJ916343 ODF916254:ODF916343 ONB916254:ONB916343 OWX916254:OWX916343 PGT916254:PGT916343 PQP916254:PQP916343 QAL916254:QAL916343 QKH916254:QKH916343 QUD916254:QUD916343 RDZ916254:RDZ916343 RNV916254:RNV916343 RXR916254:RXR916343 SHN916254:SHN916343 SRJ916254:SRJ916343 TBF916254:TBF916343 TLB916254:TLB916343 TUX916254:TUX916343 UET916254:UET916343 UOP916254:UOP916343 UYL916254:UYL916343 VIH916254:VIH916343 VSD916254:VSD916343 WBZ916254:WBZ916343 WLV916254:WLV916343 WVR916254:WVR916343 J981799:J981888 JF981790:JF981879 TB981790:TB981879 ACX981790:ACX981879 AMT981790:AMT981879 AWP981790:AWP981879 BGL981790:BGL981879 BQH981790:BQH981879 CAD981790:CAD981879 CJZ981790:CJZ981879 CTV981790:CTV981879 DDR981790:DDR981879 DNN981790:DNN981879 DXJ981790:DXJ981879 EHF981790:EHF981879 ERB981790:ERB981879 FAX981790:FAX981879 FKT981790:FKT981879 FUP981790:FUP981879 GEL981790:GEL981879 GOH981790:GOH981879 GYD981790:GYD981879 HHZ981790:HHZ981879 HRV981790:HRV981879 IBR981790:IBR981879 ILN981790:ILN981879 IVJ981790:IVJ981879 JFF981790:JFF981879 JPB981790:JPB981879 JYX981790:JYX981879 KIT981790:KIT981879 KSP981790:KSP981879 LCL981790:LCL981879 LMH981790:LMH981879 LWD981790:LWD981879 MFZ981790:MFZ981879 MPV981790:MPV981879 MZR981790:MZR981879 NJN981790:NJN981879 NTJ981790:NTJ981879 ODF981790:ODF981879 ONB981790:ONB981879 OWX981790:OWX981879 PGT981790:PGT981879 PQP981790:PQP981879 QAL981790:QAL981879 QKH981790:QKH981879 QUD981790:QUD981879 RDZ981790:RDZ981879 RNV981790:RNV981879 RXR981790:RXR981879 SHN981790:SHN981879 SRJ981790:SRJ981879 TBF981790:TBF981879 TLB981790:TLB981879 TUX981790:TUX981879 UET981790:UET981879 UOP981790:UOP981879 UYL981790:UYL981879 VIH981790:VIH981879 VSD981790:VSD981879 WBZ981790:WBZ981879 WLV981790:WLV981879 JF2:JF58 TB2:TB58 ACX2:ACX58 AMT2:AMT58 AWP2:AWP58 BGL2:BGL58 BQH2:BQH58 CAD2:CAD58 CJZ2:CJZ58 CTV2:CTV58 DDR2:DDR58 DNN2:DNN58 DXJ2:DXJ58 EHF2:EHF58 ERB2:ERB58 FAX2:FAX58 FKT2:FKT58 FUP2:FUP58 GEL2:GEL58 GOH2:GOH58 GYD2:GYD58 HHZ2:HHZ58 HRV2:HRV58 IBR2:IBR58 ILN2:ILN58 IVJ2:IVJ58 JFF2:JFF58 JPB2:JPB58 JYX2:JYX58 KIT2:KIT58 KSP2:KSP58 LCL2:LCL58 LMH2:LMH58 LWD2:LWD58 MFZ2:MFZ58 MPV2:MPV58 MZR2:MZR58 NJN2:NJN58 NTJ2:NTJ58 ODF2:ODF58 ONB2:ONB58 OWX2:OWX58 PGT2:PGT58 PQP2:PQP58 QAL2:QAL58 QKH2:QKH58 QUD2:QUD58 RDZ2:RDZ58 RNV2:RNV58 RXR2:RXR58 SHN2:SHN58 SRJ2:SRJ58 TBF2:TBF58 TLB2:TLB58 TUX2:TUX58 UET2:UET58 UOP2:UOP58 UYL2:UYL58 VIH2:VIH58 VSD2:VSD58 WBZ2:WBZ58 WLV2:WLV58 WVR2:WVR58" xr:uid="{0B2444F0-5665-4444-856B-FF84395059C0}">
      <formula1>$AP$2:$AP$12</formula1>
    </dataValidation>
    <dataValidation type="list" allowBlank="1" showInputMessage="1" showErrorMessage="1" sqref="WVN981790:WVN981879 F64297:F64386 JB64286:JB64375 SX64286:SX64375 ACT64286:ACT64375 AMP64286:AMP64375 AWL64286:AWL64375 BGH64286:BGH64375 BQD64286:BQD64375 BZZ64286:BZZ64375 CJV64286:CJV64375 CTR64286:CTR64375 DDN64286:DDN64375 DNJ64286:DNJ64375 DXF64286:DXF64375 EHB64286:EHB64375 EQX64286:EQX64375 FAT64286:FAT64375 FKP64286:FKP64375 FUL64286:FUL64375 GEH64286:GEH64375 GOD64286:GOD64375 GXZ64286:GXZ64375 HHV64286:HHV64375 HRR64286:HRR64375 IBN64286:IBN64375 ILJ64286:ILJ64375 IVF64286:IVF64375 JFB64286:JFB64375 JOX64286:JOX64375 JYT64286:JYT64375 KIP64286:KIP64375 KSL64286:KSL64375 LCH64286:LCH64375 LMD64286:LMD64375 LVZ64286:LVZ64375 MFV64286:MFV64375 MPR64286:MPR64375 MZN64286:MZN64375 NJJ64286:NJJ64375 NTF64286:NTF64375 ODB64286:ODB64375 OMX64286:OMX64375 OWT64286:OWT64375 PGP64286:PGP64375 PQL64286:PQL64375 QAH64286:QAH64375 QKD64286:QKD64375 QTZ64286:QTZ64375 RDV64286:RDV64375 RNR64286:RNR64375 RXN64286:RXN64375 SHJ64286:SHJ64375 SRF64286:SRF64375 TBB64286:TBB64375 TKX64286:TKX64375 TUT64286:TUT64375 UEP64286:UEP64375 UOL64286:UOL64375 UYH64286:UYH64375 VID64286:VID64375 VRZ64286:VRZ64375 WBV64286:WBV64375 WLR64286:WLR64375 WVN64286:WVN64375 F129833:F129922 JB129822:JB129911 SX129822:SX129911 ACT129822:ACT129911 AMP129822:AMP129911 AWL129822:AWL129911 BGH129822:BGH129911 BQD129822:BQD129911 BZZ129822:BZZ129911 CJV129822:CJV129911 CTR129822:CTR129911 DDN129822:DDN129911 DNJ129822:DNJ129911 DXF129822:DXF129911 EHB129822:EHB129911 EQX129822:EQX129911 FAT129822:FAT129911 FKP129822:FKP129911 FUL129822:FUL129911 GEH129822:GEH129911 GOD129822:GOD129911 GXZ129822:GXZ129911 HHV129822:HHV129911 HRR129822:HRR129911 IBN129822:IBN129911 ILJ129822:ILJ129911 IVF129822:IVF129911 JFB129822:JFB129911 JOX129822:JOX129911 JYT129822:JYT129911 KIP129822:KIP129911 KSL129822:KSL129911 LCH129822:LCH129911 LMD129822:LMD129911 LVZ129822:LVZ129911 MFV129822:MFV129911 MPR129822:MPR129911 MZN129822:MZN129911 NJJ129822:NJJ129911 NTF129822:NTF129911 ODB129822:ODB129911 OMX129822:OMX129911 OWT129822:OWT129911 PGP129822:PGP129911 PQL129822:PQL129911 QAH129822:QAH129911 QKD129822:QKD129911 QTZ129822:QTZ129911 RDV129822:RDV129911 RNR129822:RNR129911 RXN129822:RXN129911 SHJ129822:SHJ129911 SRF129822:SRF129911 TBB129822:TBB129911 TKX129822:TKX129911 TUT129822:TUT129911 UEP129822:UEP129911 UOL129822:UOL129911 UYH129822:UYH129911 VID129822:VID129911 VRZ129822:VRZ129911 WBV129822:WBV129911 WLR129822:WLR129911 WVN129822:WVN129911 F195369:F195458 JB195358:JB195447 SX195358:SX195447 ACT195358:ACT195447 AMP195358:AMP195447 AWL195358:AWL195447 BGH195358:BGH195447 BQD195358:BQD195447 BZZ195358:BZZ195447 CJV195358:CJV195447 CTR195358:CTR195447 DDN195358:DDN195447 DNJ195358:DNJ195447 DXF195358:DXF195447 EHB195358:EHB195447 EQX195358:EQX195447 FAT195358:FAT195447 FKP195358:FKP195447 FUL195358:FUL195447 GEH195358:GEH195447 GOD195358:GOD195447 GXZ195358:GXZ195447 HHV195358:HHV195447 HRR195358:HRR195447 IBN195358:IBN195447 ILJ195358:ILJ195447 IVF195358:IVF195447 JFB195358:JFB195447 JOX195358:JOX195447 JYT195358:JYT195447 KIP195358:KIP195447 KSL195358:KSL195447 LCH195358:LCH195447 LMD195358:LMD195447 LVZ195358:LVZ195447 MFV195358:MFV195447 MPR195358:MPR195447 MZN195358:MZN195447 NJJ195358:NJJ195447 NTF195358:NTF195447 ODB195358:ODB195447 OMX195358:OMX195447 OWT195358:OWT195447 PGP195358:PGP195447 PQL195358:PQL195447 QAH195358:QAH195447 QKD195358:QKD195447 QTZ195358:QTZ195447 RDV195358:RDV195447 RNR195358:RNR195447 RXN195358:RXN195447 SHJ195358:SHJ195447 SRF195358:SRF195447 TBB195358:TBB195447 TKX195358:TKX195447 TUT195358:TUT195447 UEP195358:UEP195447 UOL195358:UOL195447 UYH195358:UYH195447 VID195358:VID195447 VRZ195358:VRZ195447 WBV195358:WBV195447 WLR195358:WLR195447 WVN195358:WVN195447 F260905:F260994 JB260894:JB260983 SX260894:SX260983 ACT260894:ACT260983 AMP260894:AMP260983 AWL260894:AWL260983 BGH260894:BGH260983 BQD260894:BQD260983 BZZ260894:BZZ260983 CJV260894:CJV260983 CTR260894:CTR260983 DDN260894:DDN260983 DNJ260894:DNJ260983 DXF260894:DXF260983 EHB260894:EHB260983 EQX260894:EQX260983 FAT260894:FAT260983 FKP260894:FKP260983 FUL260894:FUL260983 GEH260894:GEH260983 GOD260894:GOD260983 GXZ260894:GXZ260983 HHV260894:HHV260983 HRR260894:HRR260983 IBN260894:IBN260983 ILJ260894:ILJ260983 IVF260894:IVF260983 JFB260894:JFB260983 JOX260894:JOX260983 JYT260894:JYT260983 KIP260894:KIP260983 KSL260894:KSL260983 LCH260894:LCH260983 LMD260894:LMD260983 LVZ260894:LVZ260983 MFV260894:MFV260983 MPR260894:MPR260983 MZN260894:MZN260983 NJJ260894:NJJ260983 NTF260894:NTF260983 ODB260894:ODB260983 OMX260894:OMX260983 OWT260894:OWT260983 PGP260894:PGP260983 PQL260894:PQL260983 QAH260894:QAH260983 QKD260894:QKD260983 QTZ260894:QTZ260983 RDV260894:RDV260983 RNR260894:RNR260983 RXN260894:RXN260983 SHJ260894:SHJ260983 SRF260894:SRF260983 TBB260894:TBB260983 TKX260894:TKX260983 TUT260894:TUT260983 UEP260894:UEP260983 UOL260894:UOL260983 UYH260894:UYH260983 VID260894:VID260983 VRZ260894:VRZ260983 WBV260894:WBV260983 WLR260894:WLR260983 WVN260894:WVN260983 F326441:F326530 JB326430:JB326519 SX326430:SX326519 ACT326430:ACT326519 AMP326430:AMP326519 AWL326430:AWL326519 BGH326430:BGH326519 BQD326430:BQD326519 BZZ326430:BZZ326519 CJV326430:CJV326519 CTR326430:CTR326519 DDN326430:DDN326519 DNJ326430:DNJ326519 DXF326430:DXF326519 EHB326430:EHB326519 EQX326430:EQX326519 FAT326430:FAT326519 FKP326430:FKP326519 FUL326430:FUL326519 GEH326430:GEH326519 GOD326430:GOD326519 GXZ326430:GXZ326519 HHV326430:HHV326519 HRR326430:HRR326519 IBN326430:IBN326519 ILJ326430:ILJ326519 IVF326430:IVF326519 JFB326430:JFB326519 JOX326430:JOX326519 JYT326430:JYT326519 KIP326430:KIP326519 KSL326430:KSL326519 LCH326430:LCH326519 LMD326430:LMD326519 LVZ326430:LVZ326519 MFV326430:MFV326519 MPR326430:MPR326519 MZN326430:MZN326519 NJJ326430:NJJ326519 NTF326430:NTF326519 ODB326430:ODB326519 OMX326430:OMX326519 OWT326430:OWT326519 PGP326430:PGP326519 PQL326430:PQL326519 QAH326430:QAH326519 QKD326430:QKD326519 QTZ326430:QTZ326519 RDV326430:RDV326519 RNR326430:RNR326519 RXN326430:RXN326519 SHJ326430:SHJ326519 SRF326430:SRF326519 TBB326430:TBB326519 TKX326430:TKX326519 TUT326430:TUT326519 UEP326430:UEP326519 UOL326430:UOL326519 UYH326430:UYH326519 VID326430:VID326519 VRZ326430:VRZ326519 WBV326430:WBV326519 WLR326430:WLR326519 WVN326430:WVN326519 F391977:F392066 JB391966:JB392055 SX391966:SX392055 ACT391966:ACT392055 AMP391966:AMP392055 AWL391966:AWL392055 BGH391966:BGH392055 BQD391966:BQD392055 BZZ391966:BZZ392055 CJV391966:CJV392055 CTR391966:CTR392055 DDN391966:DDN392055 DNJ391966:DNJ392055 DXF391966:DXF392055 EHB391966:EHB392055 EQX391966:EQX392055 FAT391966:FAT392055 FKP391966:FKP392055 FUL391966:FUL392055 GEH391966:GEH392055 GOD391966:GOD392055 GXZ391966:GXZ392055 HHV391966:HHV392055 HRR391966:HRR392055 IBN391966:IBN392055 ILJ391966:ILJ392055 IVF391966:IVF392055 JFB391966:JFB392055 JOX391966:JOX392055 JYT391966:JYT392055 KIP391966:KIP392055 KSL391966:KSL392055 LCH391966:LCH392055 LMD391966:LMD392055 LVZ391966:LVZ392055 MFV391966:MFV392055 MPR391966:MPR392055 MZN391966:MZN392055 NJJ391966:NJJ392055 NTF391966:NTF392055 ODB391966:ODB392055 OMX391966:OMX392055 OWT391966:OWT392055 PGP391966:PGP392055 PQL391966:PQL392055 QAH391966:QAH392055 QKD391966:QKD392055 QTZ391966:QTZ392055 RDV391966:RDV392055 RNR391966:RNR392055 RXN391966:RXN392055 SHJ391966:SHJ392055 SRF391966:SRF392055 TBB391966:TBB392055 TKX391966:TKX392055 TUT391966:TUT392055 UEP391966:UEP392055 UOL391966:UOL392055 UYH391966:UYH392055 VID391966:VID392055 VRZ391966:VRZ392055 WBV391966:WBV392055 WLR391966:WLR392055 WVN391966:WVN392055 F457513:F457602 JB457502:JB457591 SX457502:SX457591 ACT457502:ACT457591 AMP457502:AMP457591 AWL457502:AWL457591 BGH457502:BGH457591 BQD457502:BQD457591 BZZ457502:BZZ457591 CJV457502:CJV457591 CTR457502:CTR457591 DDN457502:DDN457591 DNJ457502:DNJ457591 DXF457502:DXF457591 EHB457502:EHB457591 EQX457502:EQX457591 FAT457502:FAT457591 FKP457502:FKP457591 FUL457502:FUL457591 GEH457502:GEH457591 GOD457502:GOD457591 GXZ457502:GXZ457591 HHV457502:HHV457591 HRR457502:HRR457591 IBN457502:IBN457591 ILJ457502:ILJ457591 IVF457502:IVF457591 JFB457502:JFB457591 JOX457502:JOX457591 JYT457502:JYT457591 KIP457502:KIP457591 KSL457502:KSL457591 LCH457502:LCH457591 LMD457502:LMD457591 LVZ457502:LVZ457591 MFV457502:MFV457591 MPR457502:MPR457591 MZN457502:MZN457591 NJJ457502:NJJ457591 NTF457502:NTF457591 ODB457502:ODB457591 OMX457502:OMX457591 OWT457502:OWT457591 PGP457502:PGP457591 PQL457502:PQL457591 QAH457502:QAH457591 QKD457502:QKD457591 QTZ457502:QTZ457591 RDV457502:RDV457591 RNR457502:RNR457591 RXN457502:RXN457591 SHJ457502:SHJ457591 SRF457502:SRF457591 TBB457502:TBB457591 TKX457502:TKX457591 TUT457502:TUT457591 UEP457502:UEP457591 UOL457502:UOL457591 UYH457502:UYH457591 VID457502:VID457591 VRZ457502:VRZ457591 WBV457502:WBV457591 WLR457502:WLR457591 WVN457502:WVN457591 F523049:F523138 JB523038:JB523127 SX523038:SX523127 ACT523038:ACT523127 AMP523038:AMP523127 AWL523038:AWL523127 BGH523038:BGH523127 BQD523038:BQD523127 BZZ523038:BZZ523127 CJV523038:CJV523127 CTR523038:CTR523127 DDN523038:DDN523127 DNJ523038:DNJ523127 DXF523038:DXF523127 EHB523038:EHB523127 EQX523038:EQX523127 FAT523038:FAT523127 FKP523038:FKP523127 FUL523038:FUL523127 GEH523038:GEH523127 GOD523038:GOD523127 GXZ523038:GXZ523127 HHV523038:HHV523127 HRR523038:HRR523127 IBN523038:IBN523127 ILJ523038:ILJ523127 IVF523038:IVF523127 JFB523038:JFB523127 JOX523038:JOX523127 JYT523038:JYT523127 KIP523038:KIP523127 KSL523038:KSL523127 LCH523038:LCH523127 LMD523038:LMD523127 LVZ523038:LVZ523127 MFV523038:MFV523127 MPR523038:MPR523127 MZN523038:MZN523127 NJJ523038:NJJ523127 NTF523038:NTF523127 ODB523038:ODB523127 OMX523038:OMX523127 OWT523038:OWT523127 PGP523038:PGP523127 PQL523038:PQL523127 QAH523038:QAH523127 QKD523038:QKD523127 QTZ523038:QTZ523127 RDV523038:RDV523127 RNR523038:RNR523127 RXN523038:RXN523127 SHJ523038:SHJ523127 SRF523038:SRF523127 TBB523038:TBB523127 TKX523038:TKX523127 TUT523038:TUT523127 UEP523038:UEP523127 UOL523038:UOL523127 UYH523038:UYH523127 VID523038:VID523127 VRZ523038:VRZ523127 WBV523038:WBV523127 WLR523038:WLR523127 WVN523038:WVN523127 F588585:F588674 JB588574:JB588663 SX588574:SX588663 ACT588574:ACT588663 AMP588574:AMP588663 AWL588574:AWL588663 BGH588574:BGH588663 BQD588574:BQD588663 BZZ588574:BZZ588663 CJV588574:CJV588663 CTR588574:CTR588663 DDN588574:DDN588663 DNJ588574:DNJ588663 DXF588574:DXF588663 EHB588574:EHB588663 EQX588574:EQX588663 FAT588574:FAT588663 FKP588574:FKP588663 FUL588574:FUL588663 GEH588574:GEH588663 GOD588574:GOD588663 GXZ588574:GXZ588663 HHV588574:HHV588663 HRR588574:HRR588663 IBN588574:IBN588663 ILJ588574:ILJ588663 IVF588574:IVF588663 JFB588574:JFB588663 JOX588574:JOX588663 JYT588574:JYT588663 KIP588574:KIP588663 KSL588574:KSL588663 LCH588574:LCH588663 LMD588574:LMD588663 LVZ588574:LVZ588663 MFV588574:MFV588663 MPR588574:MPR588663 MZN588574:MZN588663 NJJ588574:NJJ588663 NTF588574:NTF588663 ODB588574:ODB588663 OMX588574:OMX588663 OWT588574:OWT588663 PGP588574:PGP588663 PQL588574:PQL588663 QAH588574:QAH588663 QKD588574:QKD588663 QTZ588574:QTZ588663 RDV588574:RDV588663 RNR588574:RNR588663 RXN588574:RXN588663 SHJ588574:SHJ588663 SRF588574:SRF588663 TBB588574:TBB588663 TKX588574:TKX588663 TUT588574:TUT588663 UEP588574:UEP588663 UOL588574:UOL588663 UYH588574:UYH588663 VID588574:VID588663 VRZ588574:VRZ588663 WBV588574:WBV588663 WLR588574:WLR588663 WVN588574:WVN588663 F654121:F654210 JB654110:JB654199 SX654110:SX654199 ACT654110:ACT654199 AMP654110:AMP654199 AWL654110:AWL654199 BGH654110:BGH654199 BQD654110:BQD654199 BZZ654110:BZZ654199 CJV654110:CJV654199 CTR654110:CTR654199 DDN654110:DDN654199 DNJ654110:DNJ654199 DXF654110:DXF654199 EHB654110:EHB654199 EQX654110:EQX654199 FAT654110:FAT654199 FKP654110:FKP654199 FUL654110:FUL654199 GEH654110:GEH654199 GOD654110:GOD654199 GXZ654110:GXZ654199 HHV654110:HHV654199 HRR654110:HRR654199 IBN654110:IBN654199 ILJ654110:ILJ654199 IVF654110:IVF654199 JFB654110:JFB654199 JOX654110:JOX654199 JYT654110:JYT654199 KIP654110:KIP654199 KSL654110:KSL654199 LCH654110:LCH654199 LMD654110:LMD654199 LVZ654110:LVZ654199 MFV654110:MFV654199 MPR654110:MPR654199 MZN654110:MZN654199 NJJ654110:NJJ654199 NTF654110:NTF654199 ODB654110:ODB654199 OMX654110:OMX654199 OWT654110:OWT654199 PGP654110:PGP654199 PQL654110:PQL654199 QAH654110:QAH654199 QKD654110:QKD654199 QTZ654110:QTZ654199 RDV654110:RDV654199 RNR654110:RNR654199 RXN654110:RXN654199 SHJ654110:SHJ654199 SRF654110:SRF654199 TBB654110:TBB654199 TKX654110:TKX654199 TUT654110:TUT654199 UEP654110:UEP654199 UOL654110:UOL654199 UYH654110:UYH654199 VID654110:VID654199 VRZ654110:VRZ654199 WBV654110:WBV654199 WLR654110:WLR654199 WVN654110:WVN654199 F719657:F719746 JB719646:JB719735 SX719646:SX719735 ACT719646:ACT719735 AMP719646:AMP719735 AWL719646:AWL719735 BGH719646:BGH719735 BQD719646:BQD719735 BZZ719646:BZZ719735 CJV719646:CJV719735 CTR719646:CTR719735 DDN719646:DDN719735 DNJ719646:DNJ719735 DXF719646:DXF719735 EHB719646:EHB719735 EQX719646:EQX719735 FAT719646:FAT719735 FKP719646:FKP719735 FUL719646:FUL719735 GEH719646:GEH719735 GOD719646:GOD719735 GXZ719646:GXZ719735 HHV719646:HHV719735 HRR719646:HRR719735 IBN719646:IBN719735 ILJ719646:ILJ719735 IVF719646:IVF719735 JFB719646:JFB719735 JOX719646:JOX719735 JYT719646:JYT719735 KIP719646:KIP719735 KSL719646:KSL719735 LCH719646:LCH719735 LMD719646:LMD719735 LVZ719646:LVZ719735 MFV719646:MFV719735 MPR719646:MPR719735 MZN719646:MZN719735 NJJ719646:NJJ719735 NTF719646:NTF719735 ODB719646:ODB719735 OMX719646:OMX719735 OWT719646:OWT719735 PGP719646:PGP719735 PQL719646:PQL719735 QAH719646:QAH719735 QKD719646:QKD719735 QTZ719646:QTZ719735 RDV719646:RDV719735 RNR719646:RNR719735 RXN719646:RXN719735 SHJ719646:SHJ719735 SRF719646:SRF719735 TBB719646:TBB719735 TKX719646:TKX719735 TUT719646:TUT719735 UEP719646:UEP719735 UOL719646:UOL719735 UYH719646:UYH719735 VID719646:VID719735 VRZ719646:VRZ719735 WBV719646:WBV719735 WLR719646:WLR719735 WVN719646:WVN719735 F785193:F785282 JB785182:JB785271 SX785182:SX785271 ACT785182:ACT785271 AMP785182:AMP785271 AWL785182:AWL785271 BGH785182:BGH785271 BQD785182:BQD785271 BZZ785182:BZZ785271 CJV785182:CJV785271 CTR785182:CTR785271 DDN785182:DDN785271 DNJ785182:DNJ785271 DXF785182:DXF785271 EHB785182:EHB785271 EQX785182:EQX785271 FAT785182:FAT785271 FKP785182:FKP785271 FUL785182:FUL785271 GEH785182:GEH785271 GOD785182:GOD785271 GXZ785182:GXZ785271 HHV785182:HHV785271 HRR785182:HRR785271 IBN785182:IBN785271 ILJ785182:ILJ785271 IVF785182:IVF785271 JFB785182:JFB785271 JOX785182:JOX785271 JYT785182:JYT785271 KIP785182:KIP785271 KSL785182:KSL785271 LCH785182:LCH785271 LMD785182:LMD785271 LVZ785182:LVZ785271 MFV785182:MFV785271 MPR785182:MPR785271 MZN785182:MZN785271 NJJ785182:NJJ785271 NTF785182:NTF785271 ODB785182:ODB785271 OMX785182:OMX785271 OWT785182:OWT785271 PGP785182:PGP785271 PQL785182:PQL785271 QAH785182:QAH785271 QKD785182:QKD785271 QTZ785182:QTZ785271 RDV785182:RDV785271 RNR785182:RNR785271 RXN785182:RXN785271 SHJ785182:SHJ785271 SRF785182:SRF785271 TBB785182:TBB785271 TKX785182:TKX785271 TUT785182:TUT785271 UEP785182:UEP785271 UOL785182:UOL785271 UYH785182:UYH785271 VID785182:VID785271 VRZ785182:VRZ785271 WBV785182:WBV785271 WLR785182:WLR785271 WVN785182:WVN785271 F850729:F850818 JB850718:JB850807 SX850718:SX850807 ACT850718:ACT850807 AMP850718:AMP850807 AWL850718:AWL850807 BGH850718:BGH850807 BQD850718:BQD850807 BZZ850718:BZZ850807 CJV850718:CJV850807 CTR850718:CTR850807 DDN850718:DDN850807 DNJ850718:DNJ850807 DXF850718:DXF850807 EHB850718:EHB850807 EQX850718:EQX850807 FAT850718:FAT850807 FKP850718:FKP850807 FUL850718:FUL850807 GEH850718:GEH850807 GOD850718:GOD850807 GXZ850718:GXZ850807 HHV850718:HHV850807 HRR850718:HRR850807 IBN850718:IBN850807 ILJ850718:ILJ850807 IVF850718:IVF850807 JFB850718:JFB850807 JOX850718:JOX850807 JYT850718:JYT850807 KIP850718:KIP850807 KSL850718:KSL850807 LCH850718:LCH850807 LMD850718:LMD850807 LVZ850718:LVZ850807 MFV850718:MFV850807 MPR850718:MPR850807 MZN850718:MZN850807 NJJ850718:NJJ850807 NTF850718:NTF850807 ODB850718:ODB850807 OMX850718:OMX850807 OWT850718:OWT850807 PGP850718:PGP850807 PQL850718:PQL850807 QAH850718:QAH850807 QKD850718:QKD850807 QTZ850718:QTZ850807 RDV850718:RDV850807 RNR850718:RNR850807 RXN850718:RXN850807 SHJ850718:SHJ850807 SRF850718:SRF850807 TBB850718:TBB850807 TKX850718:TKX850807 TUT850718:TUT850807 UEP850718:UEP850807 UOL850718:UOL850807 UYH850718:UYH850807 VID850718:VID850807 VRZ850718:VRZ850807 WBV850718:WBV850807 WLR850718:WLR850807 WVN850718:WVN850807 F916265:F916354 JB916254:JB916343 SX916254:SX916343 ACT916254:ACT916343 AMP916254:AMP916343 AWL916254:AWL916343 BGH916254:BGH916343 BQD916254:BQD916343 BZZ916254:BZZ916343 CJV916254:CJV916343 CTR916254:CTR916343 DDN916254:DDN916343 DNJ916254:DNJ916343 DXF916254:DXF916343 EHB916254:EHB916343 EQX916254:EQX916343 FAT916254:FAT916343 FKP916254:FKP916343 FUL916254:FUL916343 GEH916254:GEH916343 GOD916254:GOD916343 GXZ916254:GXZ916343 HHV916254:HHV916343 HRR916254:HRR916343 IBN916254:IBN916343 ILJ916254:ILJ916343 IVF916254:IVF916343 JFB916254:JFB916343 JOX916254:JOX916343 JYT916254:JYT916343 KIP916254:KIP916343 KSL916254:KSL916343 LCH916254:LCH916343 LMD916254:LMD916343 LVZ916254:LVZ916343 MFV916254:MFV916343 MPR916254:MPR916343 MZN916254:MZN916343 NJJ916254:NJJ916343 NTF916254:NTF916343 ODB916254:ODB916343 OMX916254:OMX916343 OWT916254:OWT916343 PGP916254:PGP916343 PQL916254:PQL916343 QAH916254:QAH916343 QKD916254:QKD916343 QTZ916254:QTZ916343 RDV916254:RDV916343 RNR916254:RNR916343 RXN916254:RXN916343 SHJ916254:SHJ916343 SRF916254:SRF916343 TBB916254:TBB916343 TKX916254:TKX916343 TUT916254:TUT916343 UEP916254:UEP916343 UOL916254:UOL916343 UYH916254:UYH916343 VID916254:VID916343 VRZ916254:VRZ916343 WBV916254:WBV916343 WLR916254:WLR916343 WVN916254:WVN916343 F981801:F981890 JB981790:JB981879 SX981790:SX981879 ACT981790:ACT981879 AMP981790:AMP981879 AWL981790:AWL981879 BGH981790:BGH981879 BQD981790:BQD981879 BZZ981790:BZZ981879 CJV981790:CJV981879 CTR981790:CTR981879 DDN981790:DDN981879 DNJ981790:DNJ981879 DXF981790:DXF981879 EHB981790:EHB981879 EQX981790:EQX981879 FAT981790:FAT981879 FKP981790:FKP981879 FUL981790:FUL981879 GEH981790:GEH981879 GOD981790:GOD981879 GXZ981790:GXZ981879 HHV981790:HHV981879 HRR981790:HRR981879 IBN981790:IBN981879 ILJ981790:ILJ981879 IVF981790:IVF981879 JFB981790:JFB981879 JOX981790:JOX981879 JYT981790:JYT981879 KIP981790:KIP981879 KSL981790:KSL981879 LCH981790:LCH981879 LMD981790:LMD981879 LVZ981790:LVZ981879 MFV981790:MFV981879 MPR981790:MPR981879 MZN981790:MZN981879 NJJ981790:NJJ981879 NTF981790:NTF981879 ODB981790:ODB981879 OMX981790:OMX981879 OWT981790:OWT981879 PGP981790:PGP981879 PQL981790:PQL981879 QAH981790:QAH981879 QKD981790:QKD981879 QTZ981790:QTZ981879 RDV981790:RDV981879 RNR981790:RNR981879 RXN981790:RXN981879 SHJ981790:SHJ981879 SRF981790:SRF981879 TBB981790:TBB981879 TKX981790:TKX981879 TUT981790:TUT981879 UEP981790:UEP981879 UOL981790:UOL981879 UYH981790:UYH981879 VID981790:VID981879 VRZ981790:VRZ981879 WBV981790:WBV981879 WLR981790:WLR981879 WVN2:WVN58 WLR2:WLR58 WBV2:WBV58 VRZ2:VRZ58 VID2:VID58 UYH2:UYH58 UOL2:UOL58 UEP2:UEP58 TUT2:TUT58 TKX2:TKX58 TBB2:TBB58 SRF2:SRF58 SHJ2:SHJ58 RXN2:RXN58 RNR2:RNR58 RDV2:RDV58 QTZ2:QTZ58 QKD2:QKD58 QAH2:QAH58 PQL2:PQL58 PGP2:PGP58 OWT2:OWT58 OMX2:OMX58 ODB2:ODB58 NTF2:NTF58 NJJ2:NJJ58 MZN2:MZN58 MPR2:MPR58 MFV2:MFV58 LVZ2:LVZ58 LMD2:LMD58 LCH2:LCH58 KSL2:KSL58 KIP2:KIP58 JYT2:JYT58 JOX2:JOX58 JFB2:JFB58 IVF2:IVF58 ILJ2:ILJ58 IBN2:IBN58 HRR2:HRR58 HHV2:HHV58 GXZ2:GXZ58 GOD2:GOD58 GEH2:GEH58 FUL2:FUL58 FKP2:FKP58 FAT2:FAT58 EQX2:EQX58 EHB2:EHB58 DXF2:DXF58 DNJ2:DNJ58 DDN2:DDN58 CTR2:CTR58 CJV2:CJV58 BZZ2:BZZ58 BQD2:BQD58 BGH2:BGH58 AWL2:AWL58 AMP2:AMP58 ACT2:ACT58 SX2:SX58 JB2:JB58" xr:uid="{E1C4C466-81AB-4DC8-8B9E-B8FD0F01A2D8}">
      <formula1>$AH$2:$AH$10</formula1>
    </dataValidation>
    <dataValidation type="list" allowBlank="1" showInputMessage="1" showErrorMessage="1" sqref="WVM981790:WVM981879 E64297:E64386 JA64286:JA64375 SW64286:SW64375 ACS64286:ACS64375 AMO64286:AMO64375 AWK64286:AWK64375 BGG64286:BGG64375 BQC64286:BQC64375 BZY64286:BZY64375 CJU64286:CJU64375 CTQ64286:CTQ64375 DDM64286:DDM64375 DNI64286:DNI64375 DXE64286:DXE64375 EHA64286:EHA64375 EQW64286:EQW64375 FAS64286:FAS64375 FKO64286:FKO64375 FUK64286:FUK64375 GEG64286:GEG64375 GOC64286:GOC64375 GXY64286:GXY64375 HHU64286:HHU64375 HRQ64286:HRQ64375 IBM64286:IBM64375 ILI64286:ILI64375 IVE64286:IVE64375 JFA64286:JFA64375 JOW64286:JOW64375 JYS64286:JYS64375 KIO64286:KIO64375 KSK64286:KSK64375 LCG64286:LCG64375 LMC64286:LMC64375 LVY64286:LVY64375 MFU64286:MFU64375 MPQ64286:MPQ64375 MZM64286:MZM64375 NJI64286:NJI64375 NTE64286:NTE64375 ODA64286:ODA64375 OMW64286:OMW64375 OWS64286:OWS64375 PGO64286:PGO64375 PQK64286:PQK64375 QAG64286:QAG64375 QKC64286:QKC64375 QTY64286:QTY64375 RDU64286:RDU64375 RNQ64286:RNQ64375 RXM64286:RXM64375 SHI64286:SHI64375 SRE64286:SRE64375 TBA64286:TBA64375 TKW64286:TKW64375 TUS64286:TUS64375 UEO64286:UEO64375 UOK64286:UOK64375 UYG64286:UYG64375 VIC64286:VIC64375 VRY64286:VRY64375 WBU64286:WBU64375 WLQ64286:WLQ64375 WVM64286:WVM64375 E129833:E129922 JA129822:JA129911 SW129822:SW129911 ACS129822:ACS129911 AMO129822:AMO129911 AWK129822:AWK129911 BGG129822:BGG129911 BQC129822:BQC129911 BZY129822:BZY129911 CJU129822:CJU129911 CTQ129822:CTQ129911 DDM129822:DDM129911 DNI129822:DNI129911 DXE129822:DXE129911 EHA129822:EHA129911 EQW129822:EQW129911 FAS129822:FAS129911 FKO129822:FKO129911 FUK129822:FUK129911 GEG129822:GEG129911 GOC129822:GOC129911 GXY129822:GXY129911 HHU129822:HHU129911 HRQ129822:HRQ129911 IBM129822:IBM129911 ILI129822:ILI129911 IVE129822:IVE129911 JFA129822:JFA129911 JOW129822:JOW129911 JYS129822:JYS129911 KIO129822:KIO129911 KSK129822:KSK129911 LCG129822:LCG129911 LMC129822:LMC129911 LVY129822:LVY129911 MFU129822:MFU129911 MPQ129822:MPQ129911 MZM129822:MZM129911 NJI129822:NJI129911 NTE129822:NTE129911 ODA129822:ODA129911 OMW129822:OMW129911 OWS129822:OWS129911 PGO129822:PGO129911 PQK129822:PQK129911 QAG129822:QAG129911 QKC129822:QKC129911 QTY129822:QTY129911 RDU129822:RDU129911 RNQ129822:RNQ129911 RXM129822:RXM129911 SHI129822:SHI129911 SRE129822:SRE129911 TBA129822:TBA129911 TKW129822:TKW129911 TUS129822:TUS129911 UEO129822:UEO129911 UOK129822:UOK129911 UYG129822:UYG129911 VIC129822:VIC129911 VRY129822:VRY129911 WBU129822:WBU129911 WLQ129822:WLQ129911 WVM129822:WVM129911 E195369:E195458 JA195358:JA195447 SW195358:SW195447 ACS195358:ACS195447 AMO195358:AMO195447 AWK195358:AWK195447 BGG195358:BGG195447 BQC195358:BQC195447 BZY195358:BZY195447 CJU195358:CJU195447 CTQ195358:CTQ195447 DDM195358:DDM195447 DNI195358:DNI195447 DXE195358:DXE195447 EHA195358:EHA195447 EQW195358:EQW195447 FAS195358:FAS195447 FKO195358:FKO195447 FUK195358:FUK195447 GEG195358:GEG195447 GOC195358:GOC195447 GXY195358:GXY195447 HHU195358:HHU195447 HRQ195358:HRQ195447 IBM195358:IBM195447 ILI195358:ILI195447 IVE195358:IVE195447 JFA195358:JFA195447 JOW195358:JOW195447 JYS195358:JYS195447 KIO195358:KIO195447 KSK195358:KSK195447 LCG195358:LCG195447 LMC195358:LMC195447 LVY195358:LVY195447 MFU195358:MFU195447 MPQ195358:MPQ195447 MZM195358:MZM195447 NJI195358:NJI195447 NTE195358:NTE195447 ODA195358:ODA195447 OMW195358:OMW195447 OWS195358:OWS195447 PGO195358:PGO195447 PQK195358:PQK195447 QAG195358:QAG195447 QKC195358:QKC195447 QTY195358:QTY195447 RDU195358:RDU195447 RNQ195358:RNQ195447 RXM195358:RXM195447 SHI195358:SHI195447 SRE195358:SRE195447 TBA195358:TBA195447 TKW195358:TKW195447 TUS195358:TUS195447 UEO195358:UEO195447 UOK195358:UOK195447 UYG195358:UYG195447 VIC195358:VIC195447 VRY195358:VRY195447 WBU195358:WBU195447 WLQ195358:WLQ195447 WVM195358:WVM195447 E260905:E260994 JA260894:JA260983 SW260894:SW260983 ACS260894:ACS260983 AMO260894:AMO260983 AWK260894:AWK260983 BGG260894:BGG260983 BQC260894:BQC260983 BZY260894:BZY260983 CJU260894:CJU260983 CTQ260894:CTQ260983 DDM260894:DDM260983 DNI260894:DNI260983 DXE260894:DXE260983 EHA260894:EHA260983 EQW260894:EQW260983 FAS260894:FAS260983 FKO260894:FKO260983 FUK260894:FUK260983 GEG260894:GEG260983 GOC260894:GOC260983 GXY260894:GXY260983 HHU260894:HHU260983 HRQ260894:HRQ260983 IBM260894:IBM260983 ILI260894:ILI260983 IVE260894:IVE260983 JFA260894:JFA260983 JOW260894:JOW260983 JYS260894:JYS260983 KIO260894:KIO260983 KSK260894:KSK260983 LCG260894:LCG260983 LMC260894:LMC260983 LVY260894:LVY260983 MFU260894:MFU260983 MPQ260894:MPQ260983 MZM260894:MZM260983 NJI260894:NJI260983 NTE260894:NTE260983 ODA260894:ODA260983 OMW260894:OMW260983 OWS260894:OWS260983 PGO260894:PGO260983 PQK260894:PQK260983 QAG260894:QAG260983 QKC260894:QKC260983 QTY260894:QTY260983 RDU260894:RDU260983 RNQ260894:RNQ260983 RXM260894:RXM260983 SHI260894:SHI260983 SRE260894:SRE260983 TBA260894:TBA260983 TKW260894:TKW260983 TUS260894:TUS260983 UEO260894:UEO260983 UOK260894:UOK260983 UYG260894:UYG260983 VIC260894:VIC260983 VRY260894:VRY260983 WBU260894:WBU260983 WLQ260894:WLQ260983 WVM260894:WVM260983 E326441:E326530 JA326430:JA326519 SW326430:SW326519 ACS326430:ACS326519 AMO326430:AMO326519 AWK326430:AWK326519 BGG326430:BGG326519 BQC326430:BQC326519 BZY326430:BZY326519 CJU326430:CJU326519 CTQ326430:CTQ326519 DDM326430:DDM326519 DNI326430:DNI326519 DXE326430:DXE326519 EHA326430:EHA326519 EQW326430:EQW326519 FAS326430:FAS326519 FKO326430:FKO326519 FUK326430:FUK326519 GEG326430:GEG326519 GOC326430:GOC326519 GXY326430:GXY326519 HHU326430:HHU326519 HRQ326430:HRQ326519 IBM326430:IBM326519 ILI326430:ILI326519 IVE326430:IVE326519 JFA326430:JFA326519 JOW326430:JOW326519 JYS326430:JYS326519 KIO326430:KIO326519 KSK326430:KSK326519 LCG326430:LCG326519 LMC326430:LMC326519 LVY326430:LVY326519 MFU326430:MFU326519 MPQ326430:MPQ326519 MZM326430:MZM326519 NJI326430:NJI326519 NTE326430:NTE326519 ODA326430:ODA326519 OMW326430:OMW326519 OWS326430:OWS326519 PGO326430:PGO326519 PQK326430:PQK326519 QAG326430:QAG326519 QKC326430:QKC326519 QTY326430:QTY326519 RDU326430:RDU326519 RNQ326430:RNQ326519 RXM326430:RXM326519 SHI326430:SHI326519 SRE326430:SRE326519 TBA326430:TBA326519 TKW326430:TKW326519 TUS326430:TUS326519 UEO326430:UEO326519 UOK326430:UOK326519 UYG326430:UYG326519 VIC326430:VIC326519 VRY326430:VRY326519 WBU326430:WBU326519 WLQ326430:WLQ326519 WVM326430:WVM326519 E391977:E392066 JA391966:JA392055 SW391966:SW392055 ACS391966:ACS392055 AMO391966:AMO392055 AWK391966:AWK392055 BGG391966:BGG392055 BQC391966:BQC392055 BZY391966:BZY392055 CJU391966:CJU392055 CTQ391966:CTQ392055 DDM391966:DDM392055 DNI391966:DNI392055 DXE391966:DXE392055 EHA391966:EHA392055 EQW391966:EQW392055 FAS391966:FAS392055 FKO391966:FKO392055 FUK391966:FUK392055 GEG391966:GEG392055 GOC391966:GOC392055 GXY391966:GXY392055 HHU391966:HHU392055 HRQ391966:HRQ392055 IBM391966:IBM392055 ILI391966:ILI392055 IVE391966:IVE392055 JFA391966:JFA392055 JOW391966:JOW392055 JYS391966:JYS392055 KIO391966:KIO392055 KSK391966:KSK392055 LCG391966:LCG392055 LMC391966:LMC392055 LVY391966:LVY392055 MFU391966:MFU392055 MPQ391966:MPQ392055 MZM391966:MZM392055 NJI391966:NJI392055 NTE391966:NTE392055 ODA391966:ODA392055 OMW391966:OMW392055 OWS391966:OWS392055 PGO391966:PGO392055 PQK391966:PQK392055 QAG391966:QAG392055 QKC391966:QKC392055 QTY391966:QTY392055 RDU391966:RDU392055 RNQ391966:RNQ392055 RXM391966:RXM392055 SHI391966:SHI392055 SRE391966:SRE392055 TBA391966:TBA392055 TKW391966:TKW392055 TUS391966:TUS392055 UEO391966:UEO392055 UOK391966:UOK392055 UYG391966:UYG392055 VIC391966:VIC392055 VRY391966:VRY392055 WBU391966:WBU392055 WLQ391966:WLQ392055 WVM391966:WVM392055 E457513:E457602 JA457502:JA457591 SW457502:SW457591 ACS457502:ACS457591 AMO457502:AMO457591 AWK457502:AWK457591 BGG457502:BGG457591 BQC457502:BQC457591 BZY457502:BZY457591 CJU457502:CJU457591 CTQ457502:CTQ457591 DDM457502:DDM457591 DNI457502:DNI457591 DXE457502:DXE457591 EHA457502:EHA457591 EQW457502:EQW457591 FAS457502:FAS457591 FKO457502:FKO457591 FUK457502:FUK457591 GEG457502:GEG457591 GOC457502:GOC457591 GXY457502:GXY457591 HHU457502:HHU457591 HRQ457502:HRQ457591 IBM457502:IBM457591 ILI457502:ILI457591 IVE457502:IVE457591 JFA457502:JFA457591 JOW457502:JOW457591 JYS457502:JYS457591 KIO457502:KIO457591 KSK457502:KSK457591 LCG457502:LCG457591 LMC457502:LMC457591 LVY457502:LVY457591 MFU457502:MFU457591 MPQ457502:MPQ457591 MZM457502:MZM457591 NJI457502:NJI457591 NTE457502:NTE457591 ODA457502:ODA457591 OMW457502:OMW457591 OWS457502:OWS457591 PGO457502:PGO457591 PQK457502:PQK457591 QAG457502:QAG457591 QKC457502:QKC457591 QTY457502:QTY457591 RDU457502:RDU457591 RNQ457502:RNQ457591 RXM457502:RXM457591 SHI457502:SHI457591 SRE457502:SRE457591 TBA457502:TBA457591 TKW457502:TKW457591 TUS457502:TUS457591 UEO457502:UEO457591 UOK457502:UOK457591 UYG457502:UYG457591 VIC457502:VIC457591 VRY457502:VRY457591 WBU457502:WBU457591 WLQ457502:WLQ457591 WVM457502:WVM457591 E523049:E523138 JA523038:JA523127 SW523038:SW523127 ACS523038:ACS523127 AMO523038:AMO523127 AWK523038:AWK523127 BGG523038:BGG523127 BQC523038:BQC523127 BZY523038:BZY523127 CJU523038:CJU523127 CTQ523038:CTQ523127 DDM523038:DDM523127 DNI523038:DNI523127 DXE523038:DXE523127 EHA523038:EHA523127 EQW523038:EQW523127 FAS523038:FAS523127 FKO523038:FKO523127 FUK523038:FUK523127 GEG523038:GEG523127 GOC523038:GOC523127 GXY523038:GXY523127 HHU523038:HHU523127 HRQ523038:HRQ523127 IBM523038:IBM523127 ILI523038:ILI523127 IVE523038:IVE523127 JFA523038:JFA523127 JOW523038:JOW523127 JYS523038:JYS523127 KIO523038:KIO523127 KSK523038:KSK523127 LCG523038:LCG523127 LMC523038:LMC523127 LVY523038:LVY523127 MFU523038:MFU523127 MPQ523038:MPQ523127 MZM523038:MZM523127 NJI523038:NJI523127 NTE523038:NTE523127 ODA523038:ODA523127 OMW523038:OMW523127 OWS523038:OWS523127 PGO523038:PGO523127 PQK523038:PQK523127 QAG523038:QAG523127 QKC523038:QKC523127 QTY523038:QTY523127 RDU523038:RDU523127 RNQ523038:RNQ523127 RXM523038:RXM523127 SHI523038:SHI523127 SRE523038:SRE523127 TBA523038:TBA523127 TKW523038:TKW523127 TUS523038:TUS523127 UEO523038:UEO523127 UOK523038:UOK523127 UYG523038:UYG523127 VIC523038:VIC523127 VRY523038:VRY523127 WBU523038:WBU523127 WLQ523038:WLQ523127 WVM523038:WVM523127 E588585:E588674 JA588574:JA588663 SW588574:SW588663 ACS588574:ACS588663 AMO588574:AMO588663 AWK588574:AWK588663 BGG588574:BGG588663 BQC588574:BQC588663 BZY588574:BZY588663 CJU588574:CJU588663 CTQ588574:CTQ588663 DDM588574:DDM588663 DNI588574:DNI588663 DXE588574:DXE588663 EHA588574:EHA588663 EQW588574:EQW588663 FAS588574:FAS588663 FKO588574:FKO588663 FUK588574:FUK588663 GEG588574:GEG588663 GOC588574:GOC588663 GXY588574:GXY588663 HHU588574:HHU588663 HRQ588574:HRQ588663 IBM588574:IBM588663 ILI588574:ILI588663 IVE588574:IVE588663 JFA588574:JFA588663 JOW588574:JOW588663 JYS588574:JYS588663 KIO588574:KIO588663 KSK588574:KSK588663 LCG588574:LCG588663 LMC588574:LMC588663 LVY588574:LVY588663 MFU588574:MFU588663 MPQ588574:MPQ588663 MZM588574:MZM588663 NJI588574:NJI588663 NTE588574:NTE588663 ODA588574:ODA588663 OMW588574:OMW588663 OWS588574:OWS588663 PGO588574:PGO588663 PQK588574:PQK588663 QAG588574:QAG588663 QKC588574:QKC588663 QTY588574:QTY588663 RDU588574:RDU588663 RNQ588574:RNQ588663 RXM588574:RXM588663 SHI588574:SHI588663 SRE588574:SRE588663 TBA588574:TBA588663 TKW588574:TKW588663 TUS588574:TUS588663 UEO588574:UEO588663 UOK588574:UOK588663 UYG588574:UYG588663 VIC588574:VIC588663 VRY588574:VRY588663 WBU588574:WBU588663 WLQ588574:WLQ588663 WVM588574:WVM588663 E654121:E654210 JA654110:JA654199 SW654110:SW654199 ACS654110:ACS654199 AMO654110:AMO654199 AWK654110:AWK654199 BGG654110:BGG654199 BQC654110:BQC654199 BZY654110:BZY654199 CJU654110:CJU654199 CTQ654110:CTQ654199 DDM654110:DDM654199 DNI654110:DNI654199 DXE654110:DXE654199 EHA654110:EHA654199 EQW654110:EQW654199 FAS654110:FAS654199 FKO654110:FKO654199 FUK654110:FUK654199 GEG654110:GEG654199 GOC654110:GOC654199 GXY654110:GXY654199 HHU654110:HHU654199 HRQ654110:HRQ654199 IBM654110:IBM654199 ILI654110:ILI654199 IVE654110:IVE654199 JFA654110:JFA654199 JOW654110:JOW654199 JYS654110:JYS654199 KIO654110:KIO654199 KSK654110:KSK654199 LCG654110:LCG654199 LMC654110:LMC654199 LVY654110:LVY654199 MFU654110:MFU654199 MPQ654110:MPQ654199 MZM654110:MZM654199 NJI654110:NJI654199 NTE654110:NTE654199 ODA654110:ODA654199 OMW654110:OMW654199 OWS654110:OWS654199 PGO654110:PGO654199 PQK654110:PQK654199 QAG654110:QAG654199 QKC654110:QKC654199 QTY654110:QTY654199 RDU654110:RDU654199 RNQ654110:RNQ654199 RXM654110:RXM654199 SHI654110:SHI654199 SRE654110:SRE654199 TBA654110:TBA654199 TKW654110:TKW654199 TUS654110:TUS654199 UEO654110:UEO654199 UOK654110:UOK654199 UYG654110:UYG654199 VIC654110:VIC654199 VRY654110:VRY654199 WBU654110:WBU654199 WLQ654110:WLQ654199 WVM654110:WVM654199 E719657:E719746 JA719646:JA719735 SW719646:SW719735 ACS719646:ACS719735 AMO719646:AMO719735 AWK719646:AWK719735 BGG719646:BGG719735 BQC719646:BQC719735 BZY719646:BZY719735 CJU719646:CJU719735 CTQ719646:CTQ719735 DDM719646:DDM719735 DNI719646:DNI719735 DXE719646:DXE719735 EHA719646:EHA719735 EQW719646:EQW719735 FAS719646:FAS719735 FKO719646:FKO719735 FUK719646:FUK719735 GEG719646:GEG719735 GOC719646:GOC719735 GXY719646:GXY719735 HHU719646:HHU719735 HRQ719646:HRQ719735 IBM719646:IBM719735 ILI719646:ILI719735 IVE719646:IVE719735 JFA719646:JFA719735 JOW719646:JOW719735 JYS719646:JYS719735 KIO719646:KIO719735 KSK719646:KSK719735 LCG719646:LCG719735 LMC719646:LMC719735 LVY719646:LVY719735 MFU719646:MFU719735 MPQ719646:MPQ719735 MZM719646:MZM719735 NJI719646:NJI719735 NTE719646:NTE719735 ODA719646:ODA719735 OMW719646:OMW719735 OWS719646:OWS719735 PGO719646:PGO719735 PQK719646:PQK719735 QAG719646:QAG719735 QKC719646:QKC719735 QTY719646:QTY719735 RDU719646:RDU719735 RNQ719646:RNQ719735 RXM719646:RXM719735 SHI719646:SHI719735 SRE719646:SRE719735 TBA719646:TBA719735 TKW719646:TKW719735 TUS719646:TUS719735 UEO719646:UEO719735 UOK719646:UOK719735 UYG719646:UYG719735 VIC719646:VIC719735 VRY719646:VRY719735 WBU719646:WBU719735 WLQ719646:WLQ719735 WVM719646:WVM719735 E785193:E785282 JA785182:JA785271 SW785182:SW785271 ACS785182:ACS785271 AMO785182:AMO785271 AWK785182:AWK785271 BGG785182:BGG785271 BQC785182:BQC785271 BZY785182:BZY785271 CJU785182:CJU785271 CTQ785182:CTQ785271 DDM785182:DDM785271 DNI785182:DNI785271 DXE785182:DXE785271 EHA785182:EHA785271 EQW785182:EQW785271 FAS785182:FAS785271 FKO785182:FKO785271 FUK785182:FUK785271 GEG785182:GEG785271 GOC785182:GOC785271 GXY785182:GXY785271 HHU785182:HHU785271 HRQ785182:HRQ785271 IBM785182:IBM785271 ILI785182:ILI785271 IVE785182:IVE785271 JFA785182:JFA785271 JOW785182:JOW785271 JYS785182:JYS785271 KIO785182:KIO785271 KSK785182:KSK785271 LCG785182:LCG785271 LMC785182:LMC785271 LVY785182:LVY785271 MFU785182:MFU785271 MPQ785182:MPQ785271 MZM785182:MZM785271 NJI785182:NJI785271 NTE785182:NTE785271 ODA785182:ODA785271 OMW785182:OMW785271 OWS785182:OWS785271 PGO785182:PGO785271 PQK785182:PQK785271 QAG785182:QAG785271 QKC785182:QKC785271 QTY785182:QTY785271 RDU785182:RDU785271 RNQ785182:RNQ785271 RXM785182:RXM785271 SHI785182:SHI785271 SRE785182:SRE785271 TBA785182:TBA785271 TKW785182:TKW785271 TUS785182:TUS785271 UEO785182:UEO785271 UOK785182:UOK785271 UYG785182:UYG785271 VIC785182:VIC785271 VRY785182:VRY785271 WBU785182:WBU785271 WLQ785182:WLQ785271 WVM785182:WVM785271 E850729:E850818 JA850718:JA850807 SW850718:SW850807 ACS850718:ACS850807 AMO850718:AMO850807 AWK850718:AWK850807 BGG850718:BGG850807 BQC850718:BQC850807 BZY850718:BZY850807 CJU850718:CJU850807 CTQ850718:CTQ850807 DDM850718:DDM850807 DNI850718:DNI850807 DXE850718:DXE850807 EHA850718:EHA850807 EQW850718:EQW850807 FAS850718:FAS850807 FKO850718:FKO850807 FUK850718:FUK850807 GEG850718:GEG850807 GOC850718:GOC850807 GXY850718:GXY850807 HHU850718:HHU850807 HRQ850718:HRQ850807 IBM850718:IBM850807 ILI850718:ILI850807 IVE850718:IVE850807 JFA850718:JFA850807 JOW850718:JOW850807 JYS850718:JYS850807 KIO850718:KIO850807 KSK850718:KSK850807 LCG850718:LCG850807 LMC850718:LMC850807 LVY850718:LVY850807 MFU850718:MFU850807 MPQ850718:MPQ850807 MZM850718:MZM850807 NJI850718:NJI850807 NTE850718:NTE850807 ODA850718:ODA850807 OMW850718:OMW850807 OWS850718:OWS850807 PGO850718:PGO850807 PQK850718:PQK850807 QAG850718:QAG850807 QKC850718:QKC850807 QTY850718:QTY850807 RDU850718:RDU850807 RNQ850718:RNQ850807 RXM850718:RXM850807 SHI850718:SHI850807 SRE850718:SRE850807 TBA850718:TBA850807 TKW850718:TKW850807 TUS850718:TUS850807 UEO850718:UEO850807 UOK850718:UOK850807 UYG850718:UYG850807 VIC850718:VIC850807 VRY850718:VRY850807 WBU850718:WBU850807 WLQ850718:WLQ850807 WVM850718:WVM850807 E916265:E916354 JA916254:JA916343 SW916254:SW916343 ACS916254:ACS916343 AMO916254:AMO916343 AWK916254:AWK916343 BGG916254:BGG916343 BQC916254:BQC916343 BZY916254:BZY916343 CJU916254:CJU916343 CTQ916254:CTQ916343 DDM916254:DDM916343 DNI916254:DNI916343 DXE916254:DXE916343 EHA916254:EHA916343 EQW916254:EQW916343 FAS916254:FAS916343 FKO916254:FKO916343 FUK916254:FUK916343 GEG916254:GEG916343 GOC916254:GOC916343 GXY916254:GXY916343 HHU916254:HHU916343 HRQ916254:HRQ916343 IBM916254:IBM916343 ILI916254:ILI916343 IVE916254:IVE916343 JFA916254:JFA916343 JOW916254:JOW916343 JYS916254:JYS916343 KIO916254:KIO916343 KSK916254:KSK916343 LCG916254:LCG916343 LMC916254:LMC916343 LVY916254:LVY916343 MFU916254:MFU916343 MPQ916254:MPQ916343 MZM916254:MZM916343 NJI916254:NJI916343 NTE916254:NTE916343 ODA916254:ODA916343 OMW916254:OMW916343 OWS916254:OWS916343 PGO916254:PGO916343 PQK916254:PQK916343 QAG916254:QAG916343 QKC916254:QKC916343 QTY916254:QTY916343 RDU916254:RDU916343 RNQ916254:RNQ916343 RXM916254:RXM916343 SHI916254:SHI916343 SRE916254:SRE916343 TBA916254:TBA916343 TKW916254:TKW916343 TUS916254:TUS916343 UEO916254:UEO916343 UOK916254:UOK916343 UYG916254:UYG916343 VIC916254:VIC916343 VRY916254:VRY916343 WBU916254:WBU916343 WLQ916254:WLQ916343 WVM916254:WVM916343 E981801:E981890 JA981790:JA981879 SW981790:SW981879 ACS981790:ACS981879 AMO981790:AMO981879 AWK981790:AWK981879 BGG981790:BGG981879 BQC981790:BQC981879 BZY981790:BZY981879 CJU981790:CJU981879 CTQ981790:CTQ981879 DDM981790:DDM981879 DNI981790:DNI981879 DXE981790:DXE981879 EHA981790:EHA981879 EQW981790:EQW981879 FAS981790:FAS981879 FKO981790:FKO981879 FUK981790:FUK981879 GEG981790:GEG981879 GOC981790:GOC981879 GXY981790:GXY981879 HHU981790:HHU981879 HRQ981790:HRQ981879 IBM981790:IBM981879 ILI981790:ILI981879 IVE981790:IVE981879 JFA981790:JFA981879 JOW981790:JOW981879 JYS981790:JYS981879 KIO981790:KIO981879 KSK981790:KSK981879 LCG981790:LCG981879 LMC981790:LMC981879 LVY981790:LVY981879 MFU981790:MFU981879 MPQ981790:MPQ981879 MZM981790:MZM981879 NJI981790:NJI981879 NTE981790:NTE981879 ODA981790:ODA981879 OMW981790:OMW981879 OWS981790:OWS981879 PGO981790:PGO981879 PQK981790:PQK981879 QAG981790:QAG981879 QKC981790:QKC981879 QTY981790:QTY981879 RDU981790:RDU981879 RNQ981790:RNQ981879 RXM981790:RXM981879 SHI981790:SHI981879 SRE981790:SRE981879 TBA981790:TBA981879 TKW981790:TKW981879 TUS981790:TUS981879 UEO981790:UEO981879 UOK981790:UOK981879 UYG981790:UYG981879 VIC981790:VIC981879 VRY981790:VRY981879 WBU981790:WBU981879 WLQ981790:WLQ981879 WVM2:WVM58 WLQ2:WLQ58 WBU2:WBU58 VRY2:VRY58 VIC2:VIC58 UYG2:UYG58 UOK2:UOK58 UEO2:UEO58 TUS2:TUS58 TKW2:TKW58 TBA2:TBA58 SRE2:SRE58 SHI2:SHI58 RXM2:RXM58 RNQ2:RNQ58 RDU2:RDU58 QTY2:QTY58 QKC2:QKC58 QAG2:QAG58 PQK2:PQK58 PGO2:PGO58 OWS2:OWS58 OMW2:OMW58 ODA2:ODA58 NTE2:NTE58 NJI2:NJI58 MZM2:MZM58 MPQ2:MPQ58 MFU2:MFU58 LVY2:LVY58 LMC2:LMC58 LCG2:LCG58 KSK2:KSK58 KIO2:KIO58 JYS2:JYS58 JOW2:JOW58 JFA2:JFA58 IVE2:IVE58 ILI2:ILI58 IBM2:IBM58 HRQ2:HRQ58 HHU2:HHU58 GXY2:GXY58 GOC2:GOC58 GEG2:GEG58 FUK2:FUK58 FKO2:FKO58 FAS2:FAS58 EQW2:EQW58 EHA2:EHA58 DXE2:DXE58 DNI2:DNI58 DDM2:DDM58 CTQ2:CTQ58 CJU2:CJU58 BZY2:BZY58 BQC2:BQC58 BGG2:BGG58 AWK2:AWK58 AMO2:AMO58 ACS2:ACS58 SW2:SW58 JA2:JA58" xr:uid="{14B6B181-8C96-47D7-AEDA-171F07481D86}">
      <formula1>$AG$2:$AG$10</formula1>
    </dataValidation>
    <dataValidation type="list" allowBlank="1" showInputMessage="1" showErrorMessage="1" sqref="WWF981790:WWF981873 WMJ981790:WMJ981873 WCN981790:WCN981873 VSR981790:VSR981873 VIV981790:VIV981873 UYZ981790:UYZ981873 UPD981790:UPD981873 UFH981790:UFH981873 TVL981790:TVL981873 TLP981790:TLP981873 TBT981790:TBT981873 SRX981790:SRX981873 SIB981790:SIB981873 RYF981790:RYF981873 ROJ981790:ROJ981873 REN981790:REN981873 QUR981790:QUR981873 QKV981790:QKV981873 QAZ981790:QAZ981873 PRD981790:PRD981873 PHH981790:PHH981873 OXL981790:OXL981873 ONP981790:ONP981873 ODT981790:ODT981873 NTX981790:NTX981873 NKB981790:NKB981873 NAF981790:NAF981873 MQJ981790:MQJ981873 MGN981790:MGN981873 LWR981790:LWR981873 LMV981790:LMV981873 LCZ981790:LCZ981873 KTD981790:KTD981873 KJH981790:KJH981873 JZL981790:JZL981873 JPP981790:JPP981873 JFT981790:JFT981873 IVX981790:IVX981873 IMB981790:IMB981873 ICF981790:ICF981873 HSJ981790:HSJ981873 HIN981790:HIN981873 GYR981790:GYR981873 GOV981790:GOV981873 GEZ981790:GEZ981873 FVD981790:FVD981873 FLH981790:FLH981873 FBL981790:FBL981873 ERP981790:ERP981873 EHT981790:EHT981873 DXX981790:DXX981873 DOB981790:DOB981873 DEF981790:DEF981873 CUJ981790:CUJ981873 CKN981790:CKN981873 CAR981790:CAR981873 BQV981790:BQV981873 BGZ981790:BGZ981873 AXD981790:AXD981873 ANH981790:ANH981873 ADL981790:ADL981873 TP981790:TP981873 JT981790:JT981873 X981790:X981873 WWF916254:WWF916337 WMJ916254:WMJ916337 WCN916254:WCN916337 VSR916254:VSR916337 VIV916254:VIV916337 UYZ916254:UYZ916337 UPD916254:UPD916337 UFH916254:UFH916337 TVL916254:TVL916337 TLP916254:TLP916337 TBT916254:TBT916337 SRX916254:SRX916337 SIB916254:SIB916337 RYF916254:RYF916337 ROJ916254:ROJ916337 REN916254:REN916337 QUR916254:QUR916337 QKV916254:QKV916337 QAZ916254:QAZ916337 PRD916254:PRD916337 PHH916254:PHH916337 OXL916254:OXL916337 ONP916254:ONP916337 ODT916254:ODT916337 NTX916254:NTX916337 NKB916254:NKB916337 NAF916254:NAF916337 MQJ916254:MQJ916337 MGN916254:MGN916337 LWR916254:LWR916337 LMV916254:LMV916337 LCZ916254:LCZ916337 KTD916254:KTD916337 KJH916254:KJH916337 JZL916254:JZL916337 JPP916254:JPP916337 JFT916254:JFT916337 IVX916254:IVX916337 IMB916254:IMB916337 ICF916254:ICF916337 HSJ916254:HSJ916337 HIN916254:HIN916337 GYR916254:GYR916337 GOV916254:GOV916337 GEZ916254:GEZ916337 FVD916254:FVD916337 FLH916254:FLH916337 FBL916254:FBL916337 ERP916254:ERP916337 EHT916254:EHT916337 DXX916254:DXX916337 DOB916254:DOB916337 DEF916254:DEF916337 CUJ916254:CUJ916337 CKN916254:CKN916337 CAR916254:CAR916337 BQV916254:BQV916337 BGZ916254:BGZ916337 AXD916254:AXD916337 ANH916254:ANH916337 ADL916254:ADL916337 TP916254:TP916337 JT916254:JT916337 X916254:X916337 WWF850718:WWF850801 WMJ850718:WMJ850801 WCN850718:WCN850801 VSR850718:VSR850801 VIV850718:VIV850801 UYZ850718:UYZ850801 UPD850718:UPD850801 UFH850718:UFH850801 TVL850718:TVL850801 TLP850718:TLP850801 TBT850718:TBT850801 SRX850718:SRX850801 SIB850718:SIB850801 RYF850718:RYF850801 ROJ850718:ROJ850801 REN850718:REN850801 QUR850718:QUR850801 QKV850718:QKV850801 QAZ850718:QAZ850801 PRD850718:PRD850801 PHH850718:PHH850801 OXL850718:OXL850801 ONP850718:ONP850801 ODT850718:ODT850801 NTX850718:NTX850801 NKB850718:NKB850801 NAF850718:NAF850801 MQJ850718:MQJ850801 MGN850718:MGN850801 LWR850718:LWR850801 LMV850718:LMV850801 LCZ850718:LCZ850801 KTD850718:KTD850801 KJH850718:KJH850801 JZL850718:JZL850801 JPP850718:JPP850801 JFT850718:JFT850801 IVX850718:IVX850801 IMB850718:IMB850801 ICF850718:ICF850801 HSJ850718:HSJ850801 HIN850718:HIN850801 GYR850718:GYR850801 GOV850718:GOV850801 GEZ850718:GEZ850801 FVD850718:FVD850801 FLH850718:FLH850801 FBL850718:FBL850801 ERP850718:ERP850801 EHT850718:EHT850801 DXX850718:DXX850801 DOB850718:DOB850801 DEF850718:DEF850801 CUJ850718:CUJ850801 CKN850718:CKN850801 CAR850718:CAR850801 BQV850718:BQV850801 BGZ850718:BGZ850801 AXD850718:AXD850801 ANH850718:ANH850801 ADL850718:ADL850801 TP850718:TP850801 JT850718:JT850801 X850718:X850801 WWF785182:WWF785265 WMJ785182:WMJ785265 WCN785182:WCN785265 VSR785182:VSR785265 VIV785182:VIV785265 UYZ785182:UYZ785265 UPD785182:UPD785265 UFH785182:UFH785265 TVL785182:TVL785265 TLP785182:TLP785265 TBT785182:TBT785265 SRX785182:SRX785265 SIB785182:SIB785265 RYF785182:RYF785265 ROJ785182:ROJ785265 REN785182:REN785265 QUR785182:QUR785265 QKV785182:QKV785265 QAZ785182:QAZ785265 PRD785182:PRD785265 PHH785182:PHH785265 OXL785182:OXL785265 ONP785182:ONP785265 ODT785182:ODT785265 NTX785182:NTX785265 NKB785182:NKB785265 NAF785182:NAF785265 MQJ785182:MQJ785265 MGN785182:MGN785265 LWR785182:LWR785265 LMV785182:LMV785265 LCZ785182:LCZ785265 KTD785182:KTD785265 KJH785182:KJH785265 JZL785182:JZL785265 JPP785182:JPP785265 JFT785182:JFT785265 IVX785182:IVX785265 IMB785182:IMB785265 ICF785182:ICF785265 HSJ785182:HSJ785265 HIN785182:HIN785265 GYR785182:GYR785265 GOV785182:GOV785265 GEZ785182:GEZ785265 FVD785182:FVD785265 FLH785182:FLH785265 FBL785182:FBL785265 ERP785182:ERP785265 EHT785182:EHT785265 DXX785182:DXX785265 DOB785182:DOB785265 DEF785182:DEF785265 CUJ785182:CUJ785265 CKN785182:CKN785265 CAR785182:CAR785265 BQV785182:BQV785265 BGZ785182:BGZ785265 AXD785182:AXD785265 ANH785182:ANH785265 ADL785182:ADL785265 TP785182:TP785265 JT785182:JT785265 X785182:X785265 WWF719646:WWF719729 WMJ719646:WMJ719729 WCN719646:WCN719729 VSR719646:VSR719729 VIV719646:VIV719729 UYZ719646:UYZ719729 UPD719646:UPD719729 UFH719646:UFH719729 TVL719646:TVL719729 TLP719646:TLP719729 TBT719646:TBT719729 SRX719646:SRX719729 SIB719646:SIB719729 RYF719646:RYF719729 ROJ719646:ROJ719729 REN719646:REN719729 QUR719646:QUR719729 QKV719646:QKV719729 QAZ719646:QAZ719729 PRD719646:PRD719729 PHH719646:PHH719729 OXL719646:OXL719729 ONP719646:ONP719729 ODT719646:ODT719729 NTX719646:NTX719729 NKB719646:NKB719729 NAF719646:NAF719729 MQJ719646:MQJ719729 MGN719646:MGN719729 LWR719646:LWR719729 LMV719646:LMV719729 LCZ719646:LCZ719729 KTD719646:KTD719729 KJH719646:KJH719729 JZL719646:JZL719729 JPP719646:JPP719729 JFT719646:JFT719729 IVX719646:IVX719729 IMB719646:IMB719729 ICF719646:ICF719729 HSJ719646:HSJ719729 HIN719646:HIN719729 GYR719646:GYR719729 GOV719646:GOV719729 GEZ719646:GEZ719729 FVD719646:FVD719729 FLH719646:FLH719729 FBL719646:FBL719729 ERP719646:ERP719729 EHT719646:EHT719729 DXX719646:DXX719729 DOB719646:DOB719729 DEF719646:DEF719729 CUJ719646:CUJ719729 CKN719646:CKN719729 CAR719646:CAR719729 BQV719646:BQV719729 BGZ719646:BGZ719729 AXD719646:AXD719729 ANH719646:ANH719729 ADL719646:ADL719729 TP719646:TP719729 JT719646:JT719729 X719646:X719729 WWF654110:WWF654193 WMJ654110:WMJ654193 WCN654110:WCN654193 VSR654110:VSR654193 VIV654110:VIV654193 UYZ654110:UYZ654193 UPD654110:UPD654193 UFH654110:UFH654193 TVL654110:TVL654193 TLP654110:TLP654193 TBT654110:TBT654193 SRX654110:SRX654193 SIB654110:SIB654193 RYF654110:RYF654193 ROJ654110:ROJ654193 REN654110:REN654193 QUR654110:QUR654193 QKV654110:QKV654193 QAZ654110:QAZ654193 PRD654110:PRD654193 PHH654110:PHH654193 OXL654110:OXL654193 ONP654110:ONP654193 ODT654110:ODT654193 NTX654110:NTX654193 NKB654110:NKB654193 NAF654110:NAF654193 MQJ654110:MQJ654193 MGN654110:MGN654193 LWR654110:LWR654193 LMV654110:LMV654193 LCZ654110:LCZ654193 KTD654110:KTD654193 KJH654110:KJH654193 JZL654110:JZL654193 JPP654110:JPP654193 JFT654110:JFT654193 IVX654110:IVX654193 IMB654110:IMB654193 ICF654110:ICF654193 HSJ654110:HSJ654193 HIN654110:HIN654193 GYR654110:GYR654193 GOV654110:GOV654193 GEZ654110:GEZ654193 FVD654110:FVD654193 FLH654110:FLH654193 FBL654110:FBL654193 ERP654110:ERP654193 EHT654110:EHT654193 DXX654110:DXX654193 DOB654110:DOB654193 DEF654110:DEF654193 CUJ654110:CUJ654193 CKN654110:CKN654193 CAR654110:CAR654193 BQV654110:BQV654193 BGZ654110:BGZ654193 AXD654110:AXD654193 ANH654110:ANH654193 ADL654110:ADL654193 TP654110:TP654193 JT654110:JT654193 X654110:X654193 WWF588574:WWF588657 WMJ588574:WMJ588657 WCN588574:WCN588657 VSR588574:VSR588657 VIV588574:VIV588657 UYZ588574:UYZ588657 UPD588574:UPD588657 UFH588574:UFH588657 TVL588574:TVL588657 TLP588574:TLP588657 TBT588574:TBT588657 SRX588574:SRX588657 SIB588574:SIB588657 RYF588574:RYF588657 ROJ588574:ROJ588657 REN588574:REN588657 QUR588574:QUR588657 QKV588574:QKV588657 QAZ588574:QAZ588657 PRD588574:PRD588657 PHH588574:PHH588657 OXL588574:OXL588657 ONP588574:ONP588657 ODT588574:ODT588657 NTX588574:NTX588657 NKB588574:NKB588657 NAF588574:NAF588657 MQJ588574:MQJ588657 MGN588574:MGN588657 LWR588574:LWR588657 LMV588574:LMV588657 LCZ588574:LCZ588657 KTD588574:KTD588657 KJH588574:KJH588657 JZL588574:JZL588657 JPP588574:JPP588657 JFT588574:JFT588657 IVX588574:IVX588657 IMB588574:IMB588657 ICF588574:ICF588657 HSJ588574:HSJ588657 HIN588574:HIN588657 GYR588574:GYR588657 GOV588574:GOV588657 GEZ588574:GEZ588657 FVD588574:FVD588657 FLH588574:FLH588657 FBL588574:FBL588657 ERP588574:ERP588657 EHT588574:EHT588657 DXX588574:DXX588657 DOB588574:DOB588657 DEF588574:DEF588657 CUJ588574:CUJ588657 CKN588574:CKN588657 CAR588574:CAR588657 BQV588574:BQV588657 BGZ588574:BGZ588657 AXD588574:AXD588657 ANH588574:ANH588657 ADL588574:ADL588657 TP588574:TP588657 JT588574:JT588657 X588574:X588657 WWF523038:WWF523121 WMJ523038:WMJ523121 WCN523038:WCN523121 VSR523038:VSR523121 VIV523038:VIV523121 UYZ523038:UYZ523121 UPD523038:UPD523121 UFH523038:UFH523121 TVL523038:TVL523121 TLP523038:TLP523121 TBT523038:TBT523121 SRX523038:SRX523121 SIB523038:SIB523121 RYF523038:RYF523121 ROJ523038:ROJ523121 REN523038:REN523121 QUR523038:QUR523121 QKV523038:QKV523121 QAZ523038:QAZ523121 PRD523038:PRD523121 PHH523038:PHH523121 OXL523038:OXL523121 ONP523038:ONP523121 ODT523038:ODT523121 NTX523038:NTX523121 NKB523038:NKB523121 NAF523038:NAF523121 MQJ523038:MQJ523121 MGN523038:MGN523121 LWR523038:LWR523121 LMV523038:LMV523121 LCZ523038:LCZ523121 KTD523038:KTD523121 KJH523038:KJH523121 JZL523038:JZL523121 JPP523038:JPP523121 JFT523038:JFT523121 IVX523038:IVX523121 IMB523038:IMB523121 ICF523038:ICF523121 HSJ523038:HSJ523121 HIN523038:HIN523121 GYR523038:GYR523121 GOV523038:GOV523121 GEZ523038:GEZ523121 FVD523038:FVD523121 FLH523038:FLH523121 FBL523038:FBL523121 ERP523038:ERP523121 EHT523038:EHT523121 DXX523038:DXX523121 DOB523038:DOB523121 DEF523038:DEF523121 CUJ523038:CUJ523121 CKN523038:CKN523121 CAR523038:CAR523121 BQV523038:BQV523121 BGZ523038:BGZ523121 AXD523038:AXD523121 ANH523038:ANH523121 ADL523038:ADL523121 TP523038:TP523121 JT523038:JT523121 X523038:X523121 WWF457502:WWF457585 WMJ457502:WMJ457585 WCN457502:WCN457585 VSR457502:VSR457585 VIV457502:VIV457585 UYZ457502:UYZ457585 UPD457502:UPD457585 UFH457502:UFH457585 TVL457502:TVL457585 TLP457502:TLP457585 TBT457502:TBT457585 SRX457502:SRX457585 SIB457502:SIB457585 RYF457502:RYF457585 ROJ457502:ROJ457585 REN457502:REN457585 QUR457502:QUR457585 QKV457502:QKV457585 QAZ457502:QAZ457585 PRD457502:PRD457585 PHH457502:PHH457585 OXL457502:OXL457585 ONP457502:ONP457585 ODT457502:ODT457585 NTX457502:NTX457585 NKB457502:NKB457585 NAF457502:NAF457585 MQJ457502:MQJ457585 MGN457502:MGN457585 LWR457502:LWR457585 LMV457502:LMV457585 LCZ457502:LCZ457585 KTD457502:KTD457585 KJH457502:KJH457585 JZL457502:JZL457585 JPP457502:JPP457585 JFT457502:JFT457585 IVX457502:IVX457585 IMB457502:IMB457585 ICF457502:ICF457585 HSJ457502:HSJ457585 HIN457502:HIN457585 GYR457502:GYR457585 GOV457502:GOV457585 GEZ457502:GEZ457585 FVD457502:FVD457585 FLH457502:FLH457585 FBL457502:FBL457585 ERP457502:ERP457585 EHT457502:EHT457585 DXX457502:DXX457585 DOB457502:DOB457585 DEF457502:DEF457585 CUJ457502:CUJ457585 CKN457502:CKN457585 CAR457502:CAR457585 BQV457502:BQV457585 BGZ457502:BGZ457585 AXD457502:AXD457585 ANH457502:ANH457585 ADL457502:ADL457585 TP457502:TP457585 JT457502:JT457585 X457502:X457585 WWF391966:WWF392049 WMJ391966:WMJ392049 WCN391966:WCN392049 VSR391966:VSR392049 VIV391966:VIV392049 UYZ391966:UYZ392049 UPD391966:UPD392049 UFH391966:UFH392049 TVL391966:TVL392049 TLP391966:TLP392049 TBT391966:TBT392049 SRX391966:SRX392049 SIB391966:SIB392049 RYF391966:RYF392049 ROJ391966:ROJ392049 REN391966:REN392049 QUR391966:QUR392049 QKV391966:QKV392049 QAZ391966:QAZ392049 PRD391966:PRD392049 PHH391966:PHH392049 OXL391966:OXL392049 ONP391966:ONP392049 ODT391966:ODT392049 NTX391966:NTX392049 NKB391966:NKB392049 NAF391966:NAF392049 MQJ391966:MQJ392049 MGN391966:MGN392049 LWR391966:LWR392049 LMV391966:LMV392049 LCZ391966:LCZ392049 KTD391966:KTD392049 KJH391966:KJH392049 JZL391966:JZL392049 JPP391966:JPP392049 JFT391966:JFT392049 IVX391966:IVX392049 IMB391966:IMB392049 ICF391966:ICF392049 HSJ391966:HSJ392049 HIN391966:HIN392049 GYR391966:GYR392049 GOV391966:GOV392049 GEZ391966:GEZ392049 FVD391966:FVD392049 FLH391966:FLH392049 FBL391966:FBL392049 ERP391966:ERP392049 EHT391966:EHT392049 DXX391966:DXX392049 DOB391966:DOB392049 DEF391966:DEF392049 CUJ391966:CUJ392049 CKN391966:CKN392049 CAR391966:CAR392049 BQV391966:BQV392049 BGZ391966:BGZ392049 AXD391966:AXD392049 ANH391966:ANH392049 ADL391966:ADL392049 TP391966:TP392049 JT391966:JT392049 X391966:X392049 WWF326430:WWF326513 WMJ326430:WMJ326513 WCN326430:WCN326513 VSR326430:VSR326513 VIV326430:VIV326513 UYZ326430:UYZ326513 UPD326430:UPD326513 UFH326430:UFH326513 TVL326430:TVL326513 TLP326430:TLP326513 TBT326430:TBT326513 SRX326430:SRX326513 SIB326430:SIB326513 RYF326430:RYF326513 ROJ326430:ROJ326513 REN326430:REN326513 QUR326430:QUR326513 QKV326430:QKV326513 QAZ326430:QAZ326513 PRD326430:PRD326513 PHH326430:PHH326513 OXL326430:OXL326513 ONP326430:ONP326513 ODT326430:ODT326513 NTX326430:NTX326513 NKB326430:NKB326513 NAF326430:NAF326513 MQJ326430:MQJ326513 MGN326430:MGN326513 LWR326430:LWR326513 LMV326430:LMV326513 LCZ326430:LCZ326513 KTD326430:KTD326513 KJH326430:KJH326513 JZL326430:JZL326513 JPP326430:JPP326513 JFT326430:JFT326513 IVX326430:IVX326513 IMB326430:IMB326513 ICF326430:ICF326513 HSJ326430:HSJ326513 HIN326430:HIN326513 GYR326430:GYR326513 GOV326430:GOV326513 GEZ326430:GEZ326513 FVD326430:FVD326513 FLH326430:FLH326513 FBL326430:FBL326513 ERP326430:ERP326513 EHT326430:EHT326513 DXX326430:DXX326513 DOB326430:DOB326513 DEF326430:DEF326513 CUJ326430:CUJ326513 CKN326430:CKN326513 CAR326430:CAR326513 BQV326430:BQV326513 BGZ326430:BGZ326513 AXD326430:AXD326513 ANH326430:ANH326513 ADL326430:ADL326513 TP326430:TP326513 JT326430:JT326513 X326430:X326513 WWF260894:WWF260977 WMJ260894:WMJ260977 WCN260894:WCN260977 VSR260894:VSR260977 VIV260894:VIV260977 UYZ260894:UYZ260977 UPD260894:UPD260977 UFH260894:UFH260977 TVL260894:TVL260977 TLP260894:TLP260977 TBT260894:TBT260977 SRX260894:SRX260977 SIB260894:SIB260977 RYF260894:RYF260977 ROJ260894:ROJ260977 REN260894:REN260977 QUR260894:QUR260977 QKV260894:QKV260977 QAZ260894:QAZ260977 PRD260894:PRD260977 PHH260894:PHH260977 OXL260894:OXL260977 ONP260894:ONP260977 ODT260894:ODT260977 NTX260894:NTX260977 NKB260894:NKB260977 NAF260894:NAF260977 MQJ260894:MQJ260977 MGN260894:MGN260977 LWR260894:LWR260977 LMV260894:LMV260977 LCZ260894:LCZ260977 KTD260894:KTD260977 KJH260894:KJH260977 JZL260894:JZL260977 JPP260894:JPP260977 JFT260894:JFT260977 IVX260894:IVX260977 IMB260894:IMB260977 ICF260894:ICF260977 HSJ260894:HSJ260977 HIN260894:HIN260977 GYR260894:GYR260977 GOV260894:GOV260977 GEZ260894:GEZ260977 FVD260894:FVD260977 FLH260894:FLH260977 FBL260894:FBL260977 ERP260894:ERP260977 EHT260894:EHT260977 DXX260894:DXX260977 DOB260894:DOB260977 DEF260894:DEF260977 CUJ260894:CUJ260977 CKN260894:CKN260977 CAR260894:CAR260977 BQV260894:BQV260977 BGZ260894:BGZ260977 AXD260894:AXD260977 ANH260894:ANH260977 ADL260894:ADL260977 TP260894:TP260977 JT260894:JT260977 X260894:X260977 WWF195358:WWF195441 WMJ195358:WMJ195441 WCN195358:WCN195441 VSR195358:VSR195441 VIV195358:VIV195441 UYZ195358:UYZ195441 UPD195358:UPD195441 UFH195358:UFH195441 TVL195358:TVL195441 TLP195358:TLP195441 TBT195358:TBT195441 SRX195358:SRX195441 SIB195358:SIB195441 RYF195358:RYF195441 ROJ195358:ROJ195441 REN195358:REN195441 QUR195358:QUR195441 QKV195358:QKV195441 QAZ195358:QAZ195441 PRD195358:PRD195441 PHH195358:PHH195441 OXL195358:OXL195441 ONP195358:ONP195441 ODT195358:ODT195441 NTX195358:NTX195441 NKB195358:NKB195441 NAF195358:NAF195441 MQJ195358:MQJ195441 MGN195358:MGN195441 LWR195358:LWR195441 LMV195358:LMV195441 LCZ195358:LCZ195441 KTD195358:KTD195441 KJH195358:KJH195441 JZL195358:JZL195441 JPP195358:JPP195441 JFT195358:JFT195441 IVX195358:IVX195441 IMB195358:IMB195441 ICF195358:ICF195441 HSJ195358:HSJ195441 HIN195358:HIN195441 GYR195358:GYR195441 GOV195358:GOV195441 GEZ195358:GEZ195441 FVD195358:FVD195441 FLH195358:FLH195441 FBL195358:FBL195441 ERP195358:ERP195441 EHT195358:EHT195441 DXX195358:DXX195441 DOB195358:DOB195441 DEF195358:DEF195441 CUJ195358:CUJ195441 CKN195358:CKN195441 CAR195358:CAR195441 BQV195358:BQV195441 BGZ195358:BGZ195441 AXD195358:AXD195441 ANH195358:ANH195441 ADL195358:ADL195441 TP195358:TP195441 JT195358:JT195441 X195358:X195441 WWF129822:WWF129905 WMJ129822:WMJ129905 WCN129822:WCN129905 VSR129822:VSR129905 VIV129822:VIV129905 UYZ129822:UYZ129905 UPD129822:UPD129905 UFH129822:UFH129905 TVL129822:TVL129905 TLP129822:TLP129905 TBT129822:TBT129905 SRX129822:SRX129905 SIB129822:SIB129905 RYF129822:RYF129905 ROJ129822:ROJ129905 REN129822:REN129905 QUR129822:QUR129905 QKV129822:QKV129905 QAZ129822:QAZ129905 PRD129822:PRD129905 PHH129822:PHH129905 OXL129822:OXL129905 ONP129822:ONP129905 ODT129822:ODT129905 NTX129822:NTX129905 NKB129822:NKB129905 NAF129822:NAF129905 MQJ129822:MQJ129905 MGN129822:MGN129905 LWR129822:LWR129905 LMV129822:LMV129905 LCZ129822:LCZ129905 KTD129822:KTD129905 KJH129822:KJH129905 JZL129822:JZL129905 JPP129822:JPP129905 JFT129822:JFT129905 IVX129822:IVX129905 IMB129822:IMB129905 ICF129822:ICF129905 HSJ129822:HSJ129905 HIN129822:HIN129905 GYR129822:GYR129905 GOV129822:GOV129905 GEZ129822:GEZ129905 FVD129822:FVD129905 FLH129822:FLH129905 FBL129822:FBL129905 ERP129822:ERP129905 EHT129822:EHT129905 DXX129822:DXX129905 DOB129822:DOB129905 DEF129822:DEF129905 CUJ129822:CUJ129905 CKN129822:CKN129905 CAR129822:CAR129905 BQV129822:BQV129905 BGZ129822:BGZ129905 AXD129822:AXD129905 ANH129822:ANH129905 ADL129822:ADL129905 TP129822:TP129905 JT129822:JT129905 X129822:X129905 WWF64286:WWF64369 WMJ64286:WMJ64369 WCN64286:WCN64369 VSR64286:VSR64369 VIV64286:VIV64369 UYZ64286:UYZ64369 UPD64286:UPD64369 UFH64286:UFH64369 TVL64286:TVL64369 TLP64286:TLP64369 TBT64286:TBT64369 SRX64286:SRX64369 SIB64286:SIB64369 RYF64286:RYF64369 ROJ64286:ROJ64369 REN64286:REN64369 QUR64286:QUR64369 QKV64286:QKV64369 QAZ64286:QAZ64369 PRD64286:PRD64369 PHH64286:PHH64369 OXL64286:OXL64369 ONP64286:ONP64369 ODT64286:ODT64369 NTX64286:NTX64369 NKB64286:NKB64369 NAF64286:NAF64369 MQJ64286:MQJ64369 MGN64286:MGN64369 LWR64286:LWR64369 LMV64286:LMV64369 LCZ64286:LCZ64369 KTD64286:KTD64369 KJH64286:KJH64369 JZL64286:JZL64369 JPP64286:JPP64369 JFT64286:JFT64369 IVX64286:IVX64369 IMB64286:IMB64369 ICF64286:ICF64369 HSJ64286:HSJ64369 HIN64286:HIN64369 GYR64286:GYR64369 GOV64286:GOV64369 GEZ64286:GEZ64369 FVD64286:FVD64369 FLH64286:FLH64369 FBL64286:FBL64369 ERP64286:ERP64369 EHT64286:EHT64369 DXX64286:DXX64369 DOB64286:DOB64369 DEF64286:DEF64369 CUJ64286:CUJ64369 CKN64286:CKN64369 CAR64286:CAR64369 BQV64286:BQV64369 BGZ64286:BGZ64369 AXD64286:AXD64369 ANH64286:ANH64369 ADL64286:ADL64369 TP64286:TP64369 JT64286:JT64369 X64286:X64369 X81:X485 JT2:JT58 TP2:TP58 ADL2:ADL58 ANH2:ANH58 AXD2:AXD58 BGZ2:BGZ58 BQV2:BQV58 CAR2:CAR58 CKN2:CKN58 CUJ2:CUJ58 DEF2:DEF58 DOB2:DOB58 DXX2:DXX58 EHT2:EHT58 ERP2:ERP58 FBL2:FBL58 FLH2:FLH58 FVD2:FVD58 GEZ2:GEZ58 GOV2:GOV58 GYR2:GYR58 HIN2:HIN58 HSJ2:HSJ58 ICF2:ICF58 IMB2:IMB58 IVX2:IVX58 JFT2:JFT58 JPP2:JPP58 JZL2:JZL58 KJH2:KJH58 KTD2:KTD58 LCZ2:LCZ58 LMV2:LMV58 LWR2:LWR58 MGN2:MGN58 MQJ2:MQJ58 NAF2:NAF58 NKB2:NKB58 NTX2:NTX58 ODT2:ODT58 ONP2:ONP58 OXL2:OXL58 PHH2:PHH58 PRD2:PRD58 QAZ2:QAZ58 QKV2:QKV58 QUR2:QUR58 REN2:REN58 ROJ2:ROJ58 RYF2:RYF58 SIB2:SIB58 SRX2:SRX58 TBT2:TBT58 TLP2:TLP58 TVL2:TVL58 UFH2:UFH58 UPD2:UPD58 UYZ2:UYZ58 VIV2:VIV58 VSR2:VSR58 WCN2:WCN58 WMJ2:WMJ58 WWF2:WWF58 X2:X79" xr:uid="{E86171CC-6EA3-4C37-B96C-6FA3CAFE5C77}">
      <formula1>$AT$2:$AT$3</formula1>
    </dataValidation>
    <dataValidation operator="equal" allowBlank="1" showInputMessage="1" showErrorMessage="1" sqref="WVJ981790:WVJ981879 WLN981790:WLN981879 WBR981790:WBR981879 VRV981790:VRV981879 VHZ981790:VHZ981879 UYD981790:UYD981879 UOH981790:UOH981879 UEL981790:UEL981879 TUP981790:TUP981879 TKT981790:TKT981879 TAX981790:TAX981879 SRB981790:SRB981879 SHF981790:SHF981879 RXJ981790:RXJ981879 RNN981790:RNN981879 RDR981790:RDR981879 QTV981790:QTV981879 QJZ981790:QJZ981879 QAD981790:QAD981879 PQH981790:PQH981879 PGL981790:PGL981879 OWP981790:OWP981879 OMT981790:OMT981879 OCX981790:OCX981879 NTB981790:NTB981879 NJF981790:NJF981879 MZJ981790:MZJ981879 MPN981790:MPN981879 MFR981790:MFR981879 LVV981790:LVV981879 LLZ981790:LLZ981879 LCD981790:LCD981879 KSH981790:KSH981879 KIL981790:KIL981879 JYP981790:JYP981879 JOT981790:JOT981879 JEX981790:JEX981879 IVB981790:IVB981879 ILF981790:ILF981879 IBJ981790:IBJ981879 HRN981790:HRN981879 HHR981790:HHR981879 GXV981790:GXV981879 GNZ981790:GNZ981879 GED981790:GED981879 FUH981790:FUH981879 FKL981790:FKL981879 FAP981790:FAP981879 EQT981790:EQT981879 EGX981790:EGX981879 DXB981790:DXB981879 DNF981790:DNF981879 DDJ981790:DDJ981879 CTN981790:CTN981879 CJR981790:CJR981879 BZV981790:BZV981879 BPZ981790:BPZ981879 BGD981790:BGD981879 AWH981790:AWH981879 AML981790:AML981879 ACP981790:ACP981879 ST981790:ST981879 IX981790:IX981879 B981796:B981885 WVJ916254:WVJ916343 WLN916254:WLN916343 WBR916254:WBR916343 VRV916254:VRV916343 VHZ916254:VHZ916343 UYD916254:UYD916343 UOH916254:UOH916343 UEL916254:UEL916343 TUP916254:TUP916343 TKT916254:TKT916343 TAX916254:TAX916343 SRB916254:SRB916343 SHF916254:SHF916343 RXJ916254:RXJ916343 RNN916254:RNN916343 RDR916254:RDR916343 QTV916254:QTV916343 QJZ916254:QJZ916343 QAD916254:QAD916343 PQH916254:PQH916343 PGL916254:PGL916343 OWP916254:OWP916343 OMT916254:OMT916343 OCX916254:OCX916343 NTB916254:NTB916343 NJF916254:NJF916343 MZJ916254:MZJ916343 MPN916254:MPN916343 MFR916254:MFR916343 LVV916254:LVV916343 LLZ916254:LLZ916343 LCD916254:LCD916343 KSH916254:KSH916343 KIL916254:KIL916343 JYP916254:JYP916343 JOT916254:JOT916343 JEX916254:JEX916343 IVB916254:IVB916343 ILF916254:ILF916343 IBJ916254:IBJ916343 HRN916254:HRN916343 HHR916254:HHR916343 GXV916254:GXV916343 GNZ916254:GNZ916343 GED916254:GED916343 FUH916254:FUH916343 FKL916254:FKL916343 FAP916254:FAP916343 EQT916254:EQT916343 EGX916254:EGX916343 DXB916254:DXB916343 DNF916254:DNF916343 DDJ916254:DDJ916343 CTN916254:CTN916343 CJR916254:CJR916343 BZV916254:BZV916343 BPZ916254:BPZ916343 BGD916254:BGD916343 AWH916254:AWH916343 AML916254:AML916343 ACP916254:ACP916343 ST916254:ST916343 IX916254:IX916343 B916260:B916349 WVJ850718:WVJ850807 WLN850718:WLN850807 WBR850718:WBR850807 VRV850718:VRV850807 VHZ850718:VHZ850807 UYD850718:UYD850807 UOH850718:UOH850807 UEL850718:UEL850807 TUP850718:TUP850807 TKT850718:TKT850807 TAX850718:TAX850807 SRB850718:SRB850807 SHF850718:SHF850807 RXJ850718:RXJ850807 RNN850718:RNN850807 RDR850718:RDR850807 QTV850718:QTV850807 QJZ850718:QJZ850807 QAD850718:QAD850807 PQH850718:PQH850807 PGL850718:PGL850807 OWP850718:OWP850807 OMT850718:OMT850807 OCX850718:OCX850807 NTB850718:NTB850807 NJF850718:NJF850807 MZJ850718:MZJ850807 MPN850718:MPN850807 MFR850718:MFR850807 LVV850718:LVV850807 LLZ850718:LLZ850807 LCD850718:LCD850807 KSH850718:KSH850807 KIL850718:KIL850807 JYP850718:JYP850807 JOT850718:JOT850807 JEX850718:JEX850807 IVB850718:IVB850807 ILF850718:ILF850807 IBJ850718:IBJ850807 HRN850718:HRN850807 HHR850718:HHR850807 GXV850718:GXV850807 GNZ850718:GNZ850807 GED850718:GED850807 FUH850718:FUH850807 FKL850718:FKL850807 FAP850718:FAP850807 EQT850718:EQT850807 EGX850718:EGX850807 DXB850718:DXB850807 DNF850718:DNF850807 DDJ850718:DDJ850807 CTN850718:CTN850807 CJR850718:CJR850807 BZV850718:BZV850807 BPZ850718:BPZ850807 BGD850718:BGD850807 AWH850718:AWH850807 AML850718:AML850807 ACP850718:ACP850807 ST850718:ST850807 IX850718:IX850807 B850724:B850813 WVJ785182:WVJ785271 WLN785182:WLN785271 WBR785182:WBR785271 VRV785182:VRV785271 VHZ785182:VHZ785271 UYD785182:UYD785271 UOH785182:UOH785271 UEL785182:UEL785271 TUP785182:TUP785271 TKT785182:TKT785271 TAX785182:TAX785271 SRB785182:SRB785271 SHF785182:SHF785271 RXJ785182:RXJ785271 RNN785182:RNN785271 RDR785182:RDR785271 QTV785182:QTV785271 QJZ785182:QJZ785271 QAD785182:QAD785271 PQH785182:PQH785271 PGL785182:PGL785271 OWP785182:OWP785271 OMT785182:OMT785271 OCX785182:OCX785271 NTB785182:NTB785271 NJF785182:NJF785271 MZJ785182:MZJ785271 MPN785182:MPN785271 MFR785182:MFR785271 LVV785182:LVV785271 LLZ785182:LLZ785271 LCD785182:LCD785271 KSH785182:KSH785271 KIL785182:KIL785271 JYP785182:JYP785271 JOT785182:JOT785271 JEX785182:JEX785271 IVB785182:IVB785271 ILF785182:ILF785271 IBJ785182:IBJ785271 HRN785182:HRN785271 HHR785182:HHR785271 GXV785182:GXV785271 GNZ785182:GNZ785271 GED785182:GED785271 FUH785182:FUH785271 FKL785182:FKL785271 FAP785182:FAP785271 EQT785182:EQT785271 EGX785182:EGX785271 DXB785182:DXB785271 DNF785182:DNF785271 DDJ785182:DDJ785271 CTN785182:CTN785271 CJR785182:CJR785271 BZV785182:BZV785271 BPZ785182:BPZ785271 BGD785182:BGD785271 AWH785182:AWH785271 AML785182:AML785271 ACP785182:ACP785271 ST785182:ST785271 IX785182:IX785271 B785188:B785277 WVJ719646:WVJ719735 WLN719646:WLN719735 WBR719646:WBR719735 VRV719646:VRV719735 VHZ719646:VHZ719735 UYD719646:UYD719735 UOH719646:UOH719735 UEL719646:UEL719735 TUP719646:TUP719735 TKT719646:TKT719735 TAX719646:TAX719735 SRB719646:SRB719735 SHF719646:SHF719735 RXJ719646:RXJ719735 RNN719646:RNN719735 RDR719646:RDR719735 QTV719646:QTV719735 QJZ719646:QJZ719735 QAD719646:QAD719735 PQH719646:PQH719735 PGL719646:PGL719735 OWP719646:OWP719735 OMT719646:OMT719735 OCX719646:OCX719735 NTB719646:NTB719735 NJF719646:NJF719735 MZJ719646:MZJ719735 MPN719646:MPN719735 MFR719646:MFR719735 LVV719646:LVV719735 LLZ719646:LLZ719735 LCD719646:LCD719735 KSH719646:KSH719735 KIL719646:KIL719735 JYP719646:JYP719735 JOT719646:JOT719735 JEX719646:JEX719735 IVB719646:IVB719735 ILF719646:ILF719735 IBJ719646:IBJ719735 HRN719646:HRN719735 HHR719646:HHR719735 GXV719646:GXV719735 GNZ719646:GNZ719735 GED719646:GED719735 FUH719646:FUH719735 FKL719646:FKL719735 FAP719646:FAP719735 EQT719646:EQT719735 EGX719646:EGX719735 DXB719646:DXB719735 DNF719646:DNF719735 DDJ719646:DDJ719735 CTN719646:CTN719735 CJR719646:CJR719735 BZV719646:BZV719735 BPZ719646:BPZ719735 BGD719646:BGD719735 AWH719646:AWH719735 AML719646:AML719735 ACP719646:ACP719735 ST719646:ST719735 IX719646:IX719735 B719652:B719741 WVJ654110:WVJ654199 WLN654110:WLN654199 WBR654110:WBR654199 VRV654110:VRV654199 VHZ654110:VHZ654199 UYD654110:UYD654199 UOH654110:UOH654199 UEL654110:UEL654199 TUP654110:TUP654199 TKT654110:TKT654199 TAX654110:TAX654199 SRB654110:SRB654199 SHF654110:SHF654199 RXJ654110:RXJ654199 RNN654110:RNN654199 RDR654110:RDR654199 QTV654110:QTV654199 QJZ654110:QJZ654199 QAD654110:QAD654199 PQH654110:PQH654199 PGL654110:PGL654199 OWP654110:OWP654199 OMT654110:OMT654199 OCX654110:OCX654199 NTB654110:NTB654199 NJF654110:NJF654199 MZJ654110:MZJ654199 MPN654110:MPN654199 MFR654110:MFR654199 LVV654110:LVV654199 LLZ654110:LLZ654199 LCD654110:LCD654199 KSH654110:KSH654199 KIL654110:KIL654199 JYP654110:JYP654199 JOT654110:JOT654199 JEX654110:JEX654199 IVB654110:IVB654199 ILF654110:ILF654199 IBJ654110:IBJ654199 HRN654110:HRN654199 HHR654110:HHR654199 GXV654110:GXV654199 GNZ654110:GNZ654199 GED654110:GED654199 FUH654110:FUH654199 FKL654110:FKL654199 FAP654110:FAP654199 EQT654110:EQT654199 EGX654110:EGX654199 DXB654110:DXB654199 DNF654110:DNF654199 DDJ654110:DDJ654199 CTN654110:CTN654199 CJR654110:CJR654199 BZV654110:BZV654199 BPZ654110:BPZ654199 BGD654110:BGD654199 AWH654110:AWH654199 AML654110:AML654199 ACP654110:ACP654199 ST654110:ST654199 IX654110:IX654199 B654116:B654205 WVJ588574:WVJ588663 WLN588574:WLN588663 WBR588574:WBR588663 VRV588574:VRV588663 VHZ588574:VHZ588663 UYD588574:UYD588663 UOH588574:UOH588663 UEL588574:UEL588663 TUP588574:TUP588663 TKT588574:TKT588663 TAX588574:TAX588663 SRB588574:SRB588663 SHF588574:SHF588663 RXJ588574:RXJ588663 RNN588574:RNN588663 RDR588574:RDR588663 QTV588574:QTV588663 QJZ588574:QJZ588663 QAD588574:QAD588663 PQH588574:PQH588663 PGL588574:PGL588663 OWP588574:OWP588663 OMT588574:OMT588663 OCX588574:OCX588663 NTB588574:NTB588663 NJF588574:NJF588663 MZJ588574:MZJ588663 MPN588574:MPN588663 MFR588574:MFR588663 LVV588574:LVV588663 LLZ588574:LLZ588663 LCD588574:LCD588663 KSH588574:KSH588663 KIL588574:KIL588663 JYP588574:JYP588663 JOT588574:JOT588663 JEX588574:JEX588663 IVB588574:IVB588663 ILF588574:ILF588663 IBJ588574:IBJ588663 HRN588574:HRN588663 HHR588574:HHR588663 GXV588574:GXV588663 GNZ588574:GNZ588663 GED588574:GED588663 FUH588574:FUH588663 FKL588574:FKL588663 FAP588574:FAP588663 EQT588574:EQT588663 EGX588574:EGX588663 DXB588574:DXB588663 DNF588574:DNF588663 DDJ588574:DDJ588663 CTN588574:CTN588663 CJR588574:CJR588663 BZV588574:BZV588663 BPZ588574:BPZ588663 BGD588574:BGD588663 AWH588574:AWH588663 AML588574:AML588663 ACP588574:ACP588663 ST588574:ST588663 IX588574:IX588663 B588580:B588669 WVJ523038:WVJ523127 WLN523038:WLN523127 WBR523038:WBR523127 VRV523038:VRV523127 VHZ523038:VHZ523127 UYD523038:UYD523127 UOH523038:UOH523127 UEL523038:UEL523127 TUP523038:TUP523127 TKT523038:TKT523127 TAX523038:TAX523127 SRB523038:SRB523127 SHF523038:SHF523127 RXJ523038:RXJ523127 RNN523038:RNN523127 RDR523038:RDR523127 QTV523038:QTV523127 QJZ523038:QJZ523127 QAD523038:QAD523127 PQH523038:PQH523127 PGL523038:PGL523127 OWP523038:OWP523127 OMT523038:OMT523127 OCX523038:OCX523127 NTB523038:NTB523127 NJF523038:NJF523127 MZJ523038:MZJ523127 MPN523038:MPN523127 MFR523038:MFR523127 LVV523038:LVV523127 LLZ523038:LLZ523127 LCD523038:LCD523127 KSH523038:KSH523127 KIL523038:KIL523127 JYP523038:JYP523127 JOT523038:JOT523127 JEX523038:JEX523127 IVB523038:IVB523127 ILF523038:ILF523127 IBJ523038:IBJ523127 HRN523038:HRN523127 HHR523038:HHR523127 GXV523038:GXV523127 GNZ523038:GNZ523127 GED523038:GED523127 FUH523038:FUH523127 FKL523038:FKL523127 FAP523038:FAP523127 EQT523038:EQT523127 EGX523038:EGX523127 DXB523038:DXB523127 DNF523038:DNF523127 DDJ523038:DDJ523127 CTN523038:CTN523127 CJR523038:CJR523127 BZV523038:BZV523127 BPZ523038:BPZ523127 BGD523038:BGD523127 AWH523038:AWH523127 AML523038:AML523127 ACP523038:ACP523127 ST523038:ST523127 IX523038:IX523127 B523044:B523133 WVJ457502:WVJ457591 WLN457502:WLN457591 WBR457502:WBR457591 VRV457502:VRV457591 VHZ457502:VHZ457591 UYD457502:UYD457591 UOH457502:UOH457591 UEL457502:UEL457591 TUP457502:TUP457591 TKT457502:TKT457591 TAX457502:TAX457591 SRB457502:SRB457591 SHF457502:SHF457591 RXJ457502:RXJ457591 RNN457502:RNN457591 RDR457502:RDR457591 QTV457502:QTV457591 QJZ457502:QJZ457591 QAD457502:QAD457591 PQH457502:PQH457591 PGL457502:PGL457591 OWP457502:OWP457591 OMT457502:OMT457591 OCX457502:OCX457591 NTB457502:NTB457591 NJF457502:NJF457591 MZJ457502:MZJ457591 MPN457502:MPN457591 MFR457502:MFR457591 LVV457502:LVV457591 LLZ457502:LLZ457591 LCD457502:LCD457591 KSH457502:KSH457591 KIL457502:KIL457591 JYP457502:JYP457591 JOT457502:JOT457591 JEX457502:JEX457591 IVB457502:IVB457591 ILF457502:ILF457591 IBJ457502:IBJ457591 HRN457502:HRN457591 HHR457502:HHR457591 GXV457502:GXV457591 GNZ457502:GNZ457591 GED457502:GED457591 FUH457502:FUH457591 FKL457502:FKL457591 FAP457502:FAP457591 EQT457502:EQT457591 EGX457502:EGX457591 DXB457502:DXB457591 DNF457502:DNF457591 DDJ457502:DDJ457591 CTN457502:CTN457591 CJR457502:CJR457591 BZV457502:BZV457591 BPZ457502:BPZ457591 BGD457502:BGD457591 AWH457502:AWH457591 AML457502:AML457591 ACP457502:ACP457591 ST457502:ST457591 IX457502:IX457591 B457508:B457597 WVJ391966:WVJ392055 WLN391966:WLN392055 WBR391966:WBR392055 VRV391966:VRV392055 VHZ391966:VHZ392055 UYD391966:UYD392055 UOH391966:UOH392055 UEL391966:UEL392055 TUP391966:TUP392055 TKT391966:TKT392055 TAX391966:TAX392055 SRB391966:SRB392055 SHF391966:SHF392055 RXJ391966:RXJ392055 RNN391966:RNN392055 RDR391966:RDR392055 QTV391966:QTV392055 QJZ391966:QJZ392055 QAD391966:QAD392055 PQH391966:PQH392055 PGL391966:PGL392055 OWP391966:OWP392055 OMT391966:OMT392055 OCX391966:OCX392055 NTB391966:NTB392055 NJF391966:NJF392055 MZJ391966:MZJ392055 MPN391966:MPN392055 MFR391966:MFR392055 LVV391966:LVV392055 LLZ391966:LLZ392055 LCD391966:LCD392055 KSH391966:KSH392055 KIL391966:KIL392055 JYP391966:JYP392055 JOT391966:JOT392055 JEX391966:JEX392055 IVB391966:IVB392055 ILF391966:ILF392055 IBJ391966:IBJ392055 HRN391966:HRN392055 HHR391966:HHR392055 GXV391966:GXV392055 GNZ391966:GNZ392055 GED391966:GED392055 FUH391966:FUH392055 FKL391966:FKL392055 FAP391966:FAP392055 EQT391966:EQT392055 EGX391966:EGX392055 DXB391966:DXB392055 DNF391966:DNF392055 DDJ391966:DDJ392055 CTN391966:CTN392055 CJR391966:CJR392055 BZV391966:BZV392055 BPZ391966:BPZ392055 BGD391966:BGD392055 AWH391966:AWH392055 AML391966:AML392055 ACP391966:ACP392055 ST391966:ST392055 IX391966:IX392055 B391972:B392061 WVJ326430:WVJ326519 WLN326430:WLN326519 WBR326430:WBR326519 VRV326430:VRV326519 VHZ326430:VHZ326519 UYD326430:UYD326519 UOH326430:UOH326519 UEL326430:UEL326519 TUP326430:TUP326519 TKT326430:TKT326519 TAX326430:TAX326519 SRB326430:SRB326519 SHF326430:SHF326519 RXJ326430:RXJ326519 RNN326430:RNN326519 RDR326430:RDR326519 QTV326430:QTV326519 QJZ326430:QJZ326519 QAD326430:QAD326519 PQH326430:PQH326519 PGL326430:PGL326519 OWP326430:OWP326519 OMT326430:OMT326519 OCX326430:OCX326519 NTB326430:NTB326519 NJF326430:NJF326519 MZJ326430:MZJ326519 MPN326430:MPN326519 MFR326430:MFR326519 LVV326430:LVV326519 LLZ326430:LLZ326519 LCD326430:LCD326519 KSH326430:KSH326519 KIL326430:KIL326519 JYP326430:JYP326519 JOT326430:JOT326519 JEX326430:JEX326519 IVB326430:IVB326519 ILF326430:ILF326519 IBJ326430:IBJ326519 HRN326430:HRN326519 HHR326430:HHR326519 GXV326430:GXV326519 GNZ326430:GNZ326519 GED326430:GED326519 FUH326430:FUH326519 FKL326430:FKL326519 FAP326430:FAP326519 EQT326430:EQT326519 EGX326430:EGX326519 DXB326430:DXB326519 DNF326430:DNF326519 DDJ326430:DDJ326519 CTN326430:CTN326519 CJR326430:CJR326519 BZV326430:BZV326519 BPZ326430:BPZ326519 BGD326430:BGD326519 AWH326430:AWH326519 AML326430:AML326519 ACP326430:ACP326519 ST326430:ST326519 IX326430:IX326519 B326436:B326525 WVJ260894:WVJ260983 WLN260894:WLN260983 WBR260894:WBR260983 VRV260894:VRV260983 VHZ260894:VHZ260983 UYD260894:UYD260983 UOH260894:UOH260983 UEL260894:UEL260983 TUP260894:TUP260983 TKT260894:TKT260983 TAX260894:TAX260983 SRB260894:SRB260983 SHF260894:SHF260983 RXJ260894:RXJ260983 RNN260894:RNN260983 RDR260894:RDR260983 QTV260894:QTV260983 QJZ260894:QJZ260983 QAD260894:QAD260983 PQH260894:PQH260983 PGL260894:PGL260983 OWP260894:OWP260983 OMT260894:OMT260983 OCX260894:OCX260983 NTB260894:NTB260983 NJF260894:NJF260983 MZJ260894:MZJ260983 MPN260894:MPN260983 MFR260894:MFR260983 LVV260894:LVV260983 LLZ260894:LLZ260983 LCD260894:LCD260983 KSH260894:KSH260983 KIL260894:KIL260983 JYP260894:JYP260983 JOT260894:JOT260983 JEX260894:JEX260983 IVB260894:IVB260983 ILF260894:ILF260983 IBJ260894:IBJ260983 HRN260894:HRN260983 HHR260894:HHR260983 GXV260894:GXV260983 GNZ260894:GNZ260983 GED260894:GED260983 FUH260894:FUH260983 FKL260894:FKL260983 FAP260894:FAP260983 EQT260894:EQT260983 EGX260894:EGX260983 DXB260894:DXB260983 DNF260894:DNF260983 DDJ260894:DDJ260983 CTN260894:CTN260983 CJR260894:CJR260983 BZV260894:BZV260983 BPZ260894:BPZ260983 BGD260894:BGD260983 AWH260894:AWH260983 AML260894:AML260983 ACP260894:ACP260983 ST260894:ST260983 IX260894:IX260983 B260900:B260989 WVJ195358:WVJ195447 WLN195358:WLN195447 WBR195358:WBR195447 VRV195358:VRV195447 VHZ195358:VHZ195447 UYD195358:UYD195447 UOH195358:UOH195447 UEL195358:UEL195447 TUP195358:TUP195447 TKT195358:TKT195447 TAX195358:TAX195447 SRB195358:SRB195447 SHF195358:SHF195447 RXJ195358:RXJ195447 RNN195358:RNN195447 RDR195358:RDR195447 QTV195358:QTV195447 QJZ195358:QJZ195447 QAD195358:QAD195447 PQH195358:PQH195447 PGL195358:PGL195447 OWP195358:OWP195447 OMT195358:OMT195447 OCX195358:OCX195447 NTB195358:NTB195447 NJF195358:NJF195447 MZJ195358:MZJ195447 MPN195358:MPN195447 MFR195358:MFR195447 LVV195358:LVV195447 LLZ195358:LLZ195447 LCD195358:LCD195447 KSH195358:KSH195447 KIL195358:KIL195447 JYP195358:JYP195447 JOT195358:JOT195447 JEX195358:JEX195447 IVB195358:IVB195447 ILF195358:ILF195447 IBJ195358:IBJ195447 HRN195358:HRN195447 HHR195358:HHR195447 GXV195358:GXV195447 GNZ195358:GNZ195447 GED195358:GED195447 FUH195358:FUH195447 FKL195358:FKL195447 FAP195358:FAP195447 EQT195358:EQT195447 EGX195358:EGX195447 DXB195358:DXB195447 DNF195358:DNF195447 DDJ195358:DDJ195447 CTN195358:CTN195447 CJR195358:CJR195447 BZV195358:BZV195447 BPZ195358:BPZ195447 BGD195358:BGD195447 AWH195358:AWH195447 AML195358:AML195447 ACP195358:ACP195447 ST195358:ST195447 IX195358:IX195447 B195364:B195453 WVJ129822:WVJ129911 WLN129822:WLN129911 WBR129822:WBR129911 VRV129822:VRV129911 VHZ129822:VHZ129911 UYD129822:UYD129911 UOH129822:UOH129911 UEL129822:UEL129911 TUP129822:TUP129911 TKT129822:TKT129911 TAX129822:TAX129911 SRB129822:SRB129911 SHF129822:SHF129911 RXJ129822:RXJ129911 RNN129822:RNN129911 RDR129822:RDR129911 QTV129822:QTV129911 QJZ129822:QJZ129911 QAD129822:QAD129911 PQH129822:PQH129911 PGL129822:PGL129911 OWP129822:OWP129911 OMT129822:OMT129911 OCX129822:OCX129911 NTB129822:NTB129911 NJF129822:NJF129911 MZJ129822:MZJ129911 MPN129822:MPN129911 MFR129822:MFR129911 LVV129822:LVV129911 LLZ129822:LLZ129911 LCD129822:LCD129911 KSH129822:KSH129911 KIL129822:KIL129911 JYP129822:JYP129911 JOT129822:JOT129911 JEX129822:JEX129911 IVB129822:IVB129911 ILF129822:ILF129911 IBJ129822:IBJ129911 HRN129822:HRN129911 HHR129822:HHR129911 GXV129822:GXV129911 GNZ129822:GNZ129911 GED129822:GED129911 FUH129822:FUH129911 FKL129822:FKL129911 FAP129822:FAP129911 EQT129822:EQT129911 EGX129822:EGX129911 DXB129822:DXB129911 DNF129822:DNF129911 DDJ129822:DDJ129911 CTN129822:CTN129911 CJR129822:CJR129911 BZV129822:BZV129911 BPZ129822:BPZ129911 BGD129822:BGD129911 AWH129822:AWH129911 AML129822:AML129911 ACP129822:ACP129911 ST129822:ST129911 IX129822:IX129911 B129828:B129917 WVJ64286:WVJ64375 WLN64286:WLN64375 WBR64286:WBR64375 VRV64286:VRV64375 VHZ64286:VHZ64375 UYD64286:UYD64375 UOH64286:UOH64375 UEL64286:UEL64375 TUP64286:TUP64375 TKT64286:TKT64375 TAX64286:TAX64375 SRB64286:SRB64375 SHF64286:SHF64375 RXJ64286:RXJ64375 RNN64286:RNN64375 RDR64286:RDR64375 QTV64286:QTV64375 QJZ64286:QJZ64375 QAD64286:QAD64375 PQH64286:PQH64375 PGL64286:PGL64375 OWP64286:OWP64375 OMT64286:OMT64375 OCX64286:OCX64375 NTB64286:NTB64375 NJF64286:NJF64375 MZJ64286:MZJ64375 MPN64286:MPN64375 MFR64286:MFR64375 LVV64286:LVV64375 LLZ64286:LLZ64375 LCD64286:LCD64375 KSH64286:KSH64375 KIL64286:KIL64375 JYP64286:JYP64375 JOT64286:JOT64375 JEX64286:JEX64375 IVB64286:IVB64375 ILF64286:ILF64375 IBJ64286:IBJ64375 HRN64286:HRN64375 HHR64286:HHR64375 GXV64286:GXV64375 GNZ64286:GNZ64375 GED64286:GED64375 FUH64286:FUH64375 FKL64286:FKL64375 FAP64286:FAP64375 EQT64286:EQT64375 EGX64286:EGX64375 DXB64286:DXB64375 DNF64286:DNF64375 DDJ64286:DDJ64375 CTN64286:CTN64375 CJR64286:CJR64375 BZV64286:BZV64375 BPZ64286:BPZ64375 BGD64286:BGD64375 AWH64286:AWH64375 AML64286:AML64375 ACP64286:ACP64375 ST64286:ST64375 IX64286:IX64375 B64292:B64381 B81:B97 IX2:IX58 ST2:ST58 ACP2:ACP58 AML2:AML58 AWH2:AWH58 BGD2:BGD58 BPZ2:BPZ58 BZV2:BZV58 CJR2:CJR58 CTN2:CTN58 DDJ2:DDJ58 DNF2:DNF58 DXB2:DXB58 EGX2:EGX58 EQT2:EQT58 FAP2:FAP58 FKL2:FKL58 FUH2:FUH58 GED2:GED58 GNZ2:GNZ58 GXV2:GXV58 HHR2:HHR58 HRN2:HRN58 IBJ2:IBJ58 ILF2:ILF58 IVB2:IVB58 JEX2:JEX58 JOT2:JOT58 JYP2:JYP58 KIL2:KIL58 KSH2:KSH58 LCD2:LCD58 LLZ2:LLZ58 LVV2:LVV58 MFR2:MFR58 MPN2:MPN58 MZJ2:MZJ58 NJF2:NJF58 NTB2:NTB58 OCX2:OCX58 OMT2:OMT58 OWP2:OWP58 PGL2:PGL58 PQH2:PQH58 QAD2:QAD58 QJZ2:QJZ58 QTV2:QTV58 RDR2:RDR58 RNN2:RNN58 RXJ2:RXJ58 SHF2:SHF58 SRB2:SRB58 TAX2:TAX58 TKT2:TKT58 TUP2:TUP58 UEL2:UEL58 UOH2:UOH58 UYD2:UYD58 VHZ2:VHZ58 VRV2:VRV58 WBR2:WBR58 WLN2:WLN58 WVJ2:WVJ58 B2:B79" xr:uid="{1B1273FE-1FD2-4963-B8F9-78C4F832B066}"/>
    <dataValidation type="list" allowBlank="1" showInputMessage="1" showErrorMessage="1" sqref="WVI981790:WVI981879 WLM981790:WLM981879 WBQ981790:WBQ981879 VRU981790:VRU981879 VHY981790:VHY981879 UYC981790:UYC981879 UOG981790:UOG981879 UEK981790:UEK981879 TUO981790:TUO981879 TKS981790:TKS981879 TAW981790:TAW981879 SRA981790:SRA981879 SHE981790:SHE981879 RXI981790:RXI981879 RNM981790:RNM981879 RDQ981790:RDQ981879 QTU981790:QTU981879 QJY981790:QJY981879 QAC981790:QAC981879 PQG981790:PQG981879 PGK981790:PGK981879 OWO981790:OWO981879 OMS981790:OMS981879 OCW981790:OCW981879 NTA981790:NTA981879 NJE981790:NJE981879 MZI981790:MZI981879 MPM981790:MPM981879 MFQ981790:MFQ981879 LVU981790:LVU981879 LLY981790:LLY981879 LCC981790:LCC981879 KSG981790:KSG981879 KIK981790:KIK981879 JYO981790:JYO981879 JOS981790:JOS981879 JEW981790:JEW981879 IVA981790:IVA981879 ILE981790:ILE981879 IBI981790:IBI981879 HRM981790:HRM981879 HHQ981790:HHQ981879 GXU981790:GXU981879 GNY981790:GNY981879 GEC981790:GEC981879 FUG981790:FUG981879 FKK981790:FKK981879 FAO981790:FAO981879 EQS981790:EQS981879 EGW981790:EGW981879 DXA981790:DXA981879 DNE981790:DNE981879 DDI981790:DDI981879 CTM981790:CTM981879 CJQ981790:CJQ981879 BZU981790:BZU981879 BPY981790:BPY981879 BGC981790:BGC981879 AWG981790:AWG981879 AMK981790:AMK981879 ACO981790:ACO981879 SS981790:SS981879 IW981790:IW981879 A981796:A981885 WVI916254:WVI916343 WLM916254:WLM916343 WBQ916254:WBQ916343 VRU916254:VRU916343 VHY916254:VHY916343 UYC916254:UYC916343 UOG916254:UOG916343 UEK916254:UEK916343 TUO916254:TUO916343 TKS916254:TKS916343 TAW916254:TAW916343 SRA916254:SRA916343 SHE916254:SHE916343 RXI916254:RXI916343 RNM916254:RNM916343 RDQ916254:RDQ916343 QTU916254:QTU916343 QJY916254:QJY916343 QAC916254:QAC916343 PQG916254:PQG916343 PGK916254:PGK916343 OWO916254:OWO916343 OMS916254:OMS916343 OCW916254:OCW916343 NTA916254:NTA916343 NJE916254:NJE916343 MZI916254:MZI916343 MPM916254:MPM916343 MFQ916254:MFQ916343 LVU916254:LVU916343 LLY916254:LLY916343 LCC916254:LCC916343 KSG916254:KSG916343 KIK916254:KIK916343 JYO916254:JYO916343 JOS916254:JOS916343 JEW916254:JEW916343 IVA916254:IVA916343 ILE916254:ILE916343 IBI916254:IBI916343 HRM916254:HRM916343 HHQ916254:HHQ916343 GXU916254:GXU916343 GNY916254:GNY916343 GEC916254:GEC916343 FUG916254:FUG916343 FKK916254:FKK916343 FAO916254:FAO916343 EQS916254:EQS916343 EGW916254:EGW916343 DXA916254:DXA916343 DNE916254:DNE916343 DDI916254:DDI916343 CTM916254:CTM916343 CJQ916254:CJQ916343 BZU916254:BZU916343 BPY916254:BPY916343 BGC916254:BGC916343 AWG916254:AWG916343 AMK916254:AMK916343 ACO916254:ACO916343 SS916254:SS916343 IW916254:IW916343 A916260:A916349 WVI850718:WVI850807 WLM850718:WLM850807 WBQ850718:WBQ850807 VRU850718:VRU850807 VHY850718:VHY850807 UYC850718:UYC850807 UOG850718:UOG850807 UEK850718:UEK850807 TUO850718:TUO850807 TKS850718:TKS850807 TAW850718:TAW850807 SRA850718:SRA850807 SHE850718:SHE850807 RXI850718:RXI850807 RNM850718:RNM850807 RDQ850718:RDQ850807 QTU850718:QTU850807 QJY850718:QJY850807 QAC850718:QAC850807 PQG850718:PQG850807 PGK850718:PGK850807 OWO850718:OWO850807 OMS850718:OMS850807 OCW850718:OCW850807 NTA850718:NTA850807 NJE850718:NJE850807 MZI850718:MZI850807 MPM850718:MPM850807 MFQ850718:MFQ850807 LVU850718:LVU850807 LLY850718:LLY850807 LCC850718:LCC850807 KSG850718:KSG850807 KIK850718:KIK850807 JYO850718:JYO850807 JOS850718:JOS850807 JEW850718:JEW850807 IVA850718:IVA850807 ILE850718:ILE850807 IBI850718:IBI850807 HRM850718:HRM850807 HHQ850718:HHQ850807 GXU850718:GXU850807 GNY850718:GNY850807 GEC850718:GEC850807 FUG850718:FUG850807 FKK850718:FKK850807 FAO850718:FAO850807 EQS850718:EQS850807 EGW850718:EGW850807 DXA850718:DXA850807 DNE850718:DNE850807 DDI850718:DDI850807 CTM850718:CTM850807 CJQ850718:CJQ850807 BZU850718:BZU850807 BPY850718:BPY850807 BGC850718:BGC850807 AWG850718:AWG850807 AMK850718:AMK850807 ACO850718:ACO850807 SS850718:SS850807 IW850718:IW850807 A850724:A850813 WVI785182:WVI785271 WLM785182:WLM785271 WBQ785182:WBQ785271 VRU785182:VRU785271 VHY785182:VHY785271 UYC785182:UYC785271 UOG785182:UOG785271 UEK785182:UEK785271 TUO785182:TUO785271 TKS785182:TKS785271 TAW785182:TAW785271 SRA785182:SRA785271 SHE785182:SHE785271 RXI785182:RXI785271 RNM785182:RNM785271 RDQ785182:RDQ785271 QTU785182:QTU785271 QJY785182:QJY785271 QAC785182:QAC785271 PQG785182:PQG785271 PGK785182:PGK785271 OWO785182:OWO785271 OMS785182:OMS785271 OCW785182:OCW785271 NTA785182:NTA785271 NJE785182:NJE785271 MZI785182:MZI785271 MPM785182:MPM785271 MFQ785182:MFQ785271 LVU785182:LVU785271 LLY785182:LLY785271 LCC785182:LCC785271 KSG785182:KSG785271 KIK785182:KIK785271 JYO785182:JYO785271 JOS785182:JOS785271 JEW785182:JEW785271 IVA785182:IVA785271 ILE785182:ILE785271 IBI785182:IBI785271 HRM785182:HRM785271 HHQ785182:HHQ785271 GXU785182:GXU785271 GNY785182:GNY785271 GEC785182:GEC785271 FUG785182:FUG785271 FKK785182:FKK785271 FAO785182:FAO785271 EQS785182:EQS785271 EGW785182:EGW785271 DXA785182:DXA785271 DNE785182:DNE785271 DDI785182:DDI785271 CTM785182:CTM785271 CJQ785182:CJQ785271 BZU785182:BZU785271 BPY785182:BPY785271 BGC785182:BGC785271 AWG785182:AWG785271 AMK785182:AMK785271 ACO785182:ACO785271 SS785182:SS785271 IW785182:IW785271 A785188:A785277 WVI719646:WVI719735 WLM719646:WLM719735 WBQ719646:WBQ719735 VRU719646:VRU719735 VHY719646:VHY719735 UYC719646:UYC719735 UOG719646:UOG719735 UEK719646:UEK719735 TUO719646:TUO719735 TKS719646:TKS719735 TAW719646:TAW719735 SRA719646:SRA719735 SHE719646:SHE719735 RXI719646:RXI719735 RNM719646:RNM719735 RDQ719646:RDQ719735 QTU719646:QTU719735 QJY719646:QJY719735 QAC719646:QAC719735 PQG719646:PQG719735 PGK719646:PGK719735 OWO719646:OWO719735 OMS719646:OMS719735 OCW719646:OCW719735 NTA719646:NTA719735 NJE719646:NJE719735 MZI719646:MZI719735 MPM719646:MPM719735 MFQ719646:MFQ719735 LVU719646:LVU719735 LLY719646:LLY719735 LCC719646:LCC719735 KSG719646:KSG719735 KIK719646:KIK719735 JYO719646:JYO719735 JOS719646:JOS719735 JEW719646:JEW719735 IVA719646:IVA719735 ILE719646:ILE719735 IBI719646:IBI719735 HRM719646:HRM719735 HHQ719646:HHQ719735 GXU719646:GXU719735 GNY719646:GNY719735 GEC719646:GEC719735 FUG719646:FUG719735 FKK719646:FKK719735 FAO719646:FAO719735 EQS719646:EQS719735 EGW719646:EGW719735 DXA719646:DXA719735 DNE719646:DNE719735 DDI719646:DDI719735 CTM719646:CTM719735 CJQ719646:CJQ719735 BZU719646:BZU719735 BPY719646:BPY719735 BGC719646:BGC719735 AWG719646:AWG719735 AMK719646:AMK719735 ACO719646:ACO719735 SS719646:SS719735 IW719646:IW719735 A719652:A719741 WVI654110:WVI654199 WLM654110:WLM654199 WBQ654110:WBQ654199 VRU654110:VRU654199 VHY654110:VHY654199 UYC654110:UYC654199 UOG654110:UOG654199 UEK654110:UEK654199 TUO654110:TUO654199 TKS654110:TKS654199 TAW654110:TAW654199 SRA654110:SRA654199 SHE654110:SHE654199 RXI654110:RXI654199 RNM654110:RNM654199 RDQ654110:RDQ654199 QTU654110:QTU654199 QJY654110:QJY654199 QAC654110:QAC654199 PQG654110:PQG654199 PGK654110:PGK654199 OWO654110:OWO654199 OMS654110:OMS654199 OCW654110:OCW654199 NTA654110:NTA654199 NJE654110:NJE654199 MZI654110:MZI654199 MPM654110:MPM654199 MFQ654110:MFQ654199 LVU654110:LVU654199 LLY654110:LLY654199 LCC654110:LCC654199 KSG654110:KSG654199 KIK654110:KIK654199 JYO654110:JYO654199 JOS654110:JOS654199 JEW654110:JEW654199 IVA654110:IVA654199 ILE654110:ILE654199 IBI654110:IBI654199 HRM654110:HRM654199 HHQ654110:HHQ654199 GXU654110:GXU654199 GNY654110:GNY654199 GEC654110:GEC654199 FUG654110:FUG654199 FKK654110:FKK654199 FAO654110:FAO654199 EQS654110:EQS654199 EGW654110:EGW654199 DXA654110:DXA654199 DNE654110:DNE654199 DDI654110:DDI654199 CTM654110:CTM654199 CJQ654110:CJQ654199 BZU654110:BZU654199 BPY654110:BPY654199 BGC654110:BGC654199 AWG654110:AWG654199 AMK654110:AMK654199 ACO654110:ACO654199 SS654110:SS654199 IW654110:IW654199 A654116:A654205 WVI588574:WVI588663 WLM588574:WLM588663 WBQ588574:WBQ588663 VRU588574:VRU588663 VHY588574:VHY588663 UYC588574:UYC588663 UOG588574:UOG588663 UEK588574:UEK588663 TUO588574:TUO588663 TKS588574:TKS588663 TAW588574:TAW588663 SRA588574:SRA588663 SHE588574:SHE588663 RXI588574:RXI588663 RNM588574:RNM588663 RDQ588574:RDQ588663 QTU588574:QTU588663 QJY588574:QJY588663 QAC588574:QAC588663 PQG588574:PQG588663 PGK588574:PGK588663 OWO588574:OWO588663 OMS588574:OMS588663 OCW588574:OCW588663 NTA588574:NTA588663 NJE588574:NJE588663 MZI588574:MZI588663 MPM588574:MPM588663 MFQ588574:MFQ588663 LVU588574:LVU588663 LLY588574:LLY588663 LCC588574:LCC588663 KSG588574:KSG588663 KIK588574:KIK588663 JYO588574:JYO588663 JOS588574:JOS588663 JEW588574:JEW588663 IVA588574:IVA588663 ILE588574:ILE588663 IBI588574:IBI588663 HRM588574:HRM588663 HHQ588574:HHQ588663 GXU588574:GXU588663 GNY588574:GNY588663 GEC588574:GEC588663 FUG588574:FUG588663 FKK588574:FKK588663 FAO588574:FAO588663 EQS588574:EQS588663 EGW588574:EGW588663 DXA588574:DXA588663 DNE588574:DNE588663 DDI588574:DDI588663 CTM588574:CTM588663 CJQ588574:CJQ588663 BZU588574:BZU588663 BPY588574:BPY588663 BGC588574:BGC588663 AWG588574:AWG588663 AMK588574:AMK588663 ACO588574:ACO588663 SS588574:SS588663 IW588574:IW588663 A588580:A588669 WVI523038:WVI523127 WLM523038:WLM523127 WBQ523038:WBQ523127 VRU523038:VRU523127 VHY523038:VHY523127 UYC523038:UYC523127 UOG523038:UOG523127 UEK523038:UEK523127 TUO523038:TUO523127 TKS523038:TKS523127 TAW523038:TAW523127 SRA523038:SRA523127 SHE523038:SHE523127 RXI523038:RXI523127 RNM523038:RNM523127 RDQ523038:RDQ523127 QTU523038:QTU523127 QJY523038:QJY523127 QAC523038:QAC523127 PQG523038:PQG523127 PGK523038:PGK523127 OWO523038:OWO523127 OMS523038:OMS523127 OCW523038:OCW523127 NTA523038:NTA523127 NJE523038:NJE523127 MZI523038:MZI523127 MPM523038:MPM523127 MFQ523038:MFQ523127 LVU523038:LVU523127 LLY523038:LLY523127 LCC523038:LCC523127 KSG523038:KSG523127 KIK523038:KIK523127 JYO523038:JYO523127 JOS523038:JOS523127 JEW523038:JEW523127 IVA523038:IVA523127 ILE523038:ILE523127 IBI523038:IBI523127 HRM523038:HRM523127 HHQ523038:HHQ523127 GXU523038:GXU523127 GNY523038:GNY523127 GEC523038:GEC523127 FUG523038:FUG523127 FKK523038:FKK523127 FAO523038:FAO523127 EQS523038:EQS523127 EGW523038:EGW523127 DXA523038:DXA523127 DNE523038:DNE523127 DDI523038:DDI523127 CTM523038:CTM523127 CJQ523038:CJQ523127 BZU523038:BZU523127 BPY523038:BPY523127 BGC523038:BGC523127 AWG523038:AWG523127 AMK523038:AMK523127 ACO523038:ACO523127 SS523038:SS523127 IW523038:IW523127 A523044:A523133 WVI457502:WVI457591 WLM457502:WLM457591 WBQ457502:WBQ457591 VRU457502:VRU457591 VHY457502:VHY457591 UYC457502:UYC457591 UOG457502:UOG457591 UEK457502:UEK457591 TUO457502:TUO457591 TKS457502:TKS457591 TAW457502:TAW457591 SRA457502:SRA457591 SHE457502:SHE457591 RXI457502:RXI457591 RNM457502:RNM457591 RDQ457502:RDQ457591 QTU457502:QTU457591 QJY457502:QJY457591 QAC457502:QAC457591 PQG457502:PQG457591 PGK457502:PGK457591 OWO457502:OWO457591 OMS457502:OMS457591 OCW457502:OCW457591 NTA457502:NTA457591 NJE457502:NJE457591 MZI457502:MZI457591 MPM457502:MPM457591 MFQ457502:MFQ457591 LVU457502:LVU457591 LLY457502:LLY457591 LCC457502:LCC457591 KSG457502:KSG457591 KIK457502:KIK457591 JYO457502:JYO457591 JOS457502:JOS457591 JEW457502:JEW457591 IVA457502:IVA457591 ILE457502:ILE457591 IBI457502:IBI457591 HRM457502:HRM457591 HHQ457502:HHQ457591 GXU457502:GXU457591 GNY457502:GNY457591 GEC457502:GEC457591 FUG457502:FUG457591 FKK457502:FKK457591 FAO457502:FAO457591 EQS457502:EQS457591 EGW457502:EGW457591 DXA457502:DXA457591 DNE457502:DNE457591 DDI457502:DDI457591 CTM457502:CTM457591 CJQ457502:CJQ457591 BZU457502:BZU457591 BPY457502:BPY457591 BGC457502:BGC457591 AWG457502:AWG457591 AMK457502:AMK457591 ACO457502:ACO457591 SS457502:SS457591 IW457502:IW457591 A457508:A457597 WVI391966:WVI392055 WLM391966:WLM392055 WBQ391966:WBQ392055 VRU391966:VRU392055 VHY391966:VHY392055 UYC391966:UYC392055 UOG391966:UOG392055 UEK391966:UEK392055 TUO391966:TUO392055 TKS391966:TKS392055 TAW391966:TAW392055 SRA391966:SRA392055 SHE391966:SHE392055 RXI391966:RXI392055 RNM391966:RNM392055 RDQ391966:RDQ392055 QTU391966:QTU392055 QJY391966:QJY392055 QAC391966:QAC392055 PQG391966:PQG392055 PGK391966:PGK392055 OWO391966:OWO392055 OMS391966:OMS392055 OCW391966:OCW392055 NTA391966:NTA392055 NJE391966:NJE392055 MZI391966:MZI392055 MPM391966:MPM392055 MFQ391966:MFQ392055 LVU391966:LVU392055 LLY391966:LLY392055 LCC391966:LCC392055 KSG391966:KSG392055 KIK391966:KIK392055 JYO391966:JYO392055 JOS391966:JOS392055 JEW391966:JEW392055 IVA391966:IVA392055 ILE391966:ILE392055 IBI391966:IBI392055 HRM391966:HRM392055 HHQ391966:HHQ392055 GXU391966:GXU392055 GNY391966:GNY392055 GEC391966:GEC392055 FUG391966:FUG392055 FKK391966:FKK392055 FAO391966:FAO392055 EQS391966:EQS392055 EGW391966:EGW392055 DXA391966:DXA392055 DNE391966:DNE392055 DDI391966:DDI392055 CTM391966:CTM392055 CJQ391966:CJQ392055 BZU391966:BZU392055 BPY391966:BPY392055 BGC391966:BGC392055 AWG391966:AWG392055 AMK391966:AMK392055 ACO391966:ACO392055 SS391966:SS392055 IW391966:IW392055 A391972:A392061 WVI326430:WVI326519 WLM326430:WLM326519 WBQ326430:WBQ326519 VRU326430:VRU326519 VHY326430:VHY326519 UYC326430:UYC326519 UOG326430:UOG326519 UEK326430:UEK326519 TUO326430:TUO326519 TKS326430:TKS326519 TAW326430:TAW326519 SRA326430:SRA326519 SHE326430:SHE326519 RXI326430:RXI326519 RNM326430:RNM326519 RDQ326430:RDQ326519 QTU326430:QTU326519 QJY326430:QJY326519 QAC326430:QAC326519 PQG326430:PQG326519 PGK326430:PGK326519 OWO326430:OWO326519 OMS326430:OMS326519 OCW326430:OCW326519 NTA326430:NTA326519 NJE326430:NJE326519 MZI326430:MZI326519 MPM326430:MPM326519 MFQ326430:MFQ326519 LVU326430:LVU326519 LLY326430:LLY326519 LCC326430:LCC326519 KSG326430:KSG326519 KIK326430:KIK326519 JYO326430:JYO326519 JOS326430:JOS326519 JEW326430:JEW326519 IVA326430:IVA326519 ILE326430:ILE326519 IBI326430:IBI326519 HRM326430:HRM326519 HHQ326430:HHQ326519 GXU326430:GXU326519 GNY326430:GNY326519 GEC326430:GEC326519 FUG326430:FUG326519 FKK326430:FKK326519 FAO326430:FAO326519 EQS326430:EQS326519 EGW326430:EGW326519 DXA326430:DXA326519 DNE326430:DNE326519 DDI326430:DDI326519 CTM326430:CTM326519 CJQ326430:CJQ326519 BZU326430:BZU326519 BPY326430:BPY326519 BGC326430:BGC326519 AWG326430:AWG326519 AMK326430:AMK326519 ACO326430:ACO326519 SS326430:SS326519 IW326430:IW326519 A326436:A326525 WVI260894:WVI260983 WLM260894:WLM260983 WBQ260894:WBQ260983 VRU260894:VRU260983 VHY260894:VHY260983 UYC260894:UYC260983 UOG260894:UOG260983 UEK260894:UEK260983 TUO260894:TUO260983 TKS260894:TKS260983 TAW260894:TAW260983 SRA260894:SRA260983 SHE260894:SHE260983 RXI260894:RXI260983 RNM260894:RNM260983 RDQ260894:RDQ260983 QTU260894:QTU260983 QJY260894:QJY260983 QAC260894:QAC260983 PQG260894:PQG260983 PGK260894:PGK260983 OWO260894:OWO260983 OMS260894:OMS260983 OCW260894:OCW260983 NTA260894:NTA260983 NJE260894:NJE260983 MZI260894:MZI260983 MPM260894:MPM260983 MFQ260894:MFQ260983 LVU260894:LVU260983 LLY260894:LLY260983 LCC260894:LCC260983 KSG260894:KSG260983 KIK260894:KIK260983 JYO260894:JYO260983 JOS260894:JOS260983 JEW260894:JEW260983 IVA260894:IVA260983 ILE260894:ILE260983 IBI260894:IBI260983 HRM260894:HRM260983 HHQ260894:HHQ260983 GXU260894:GXU260983 GNY260894:GNY260983 GEC260894:GEC260983 FUG260894:FUG260983 FKK260894:FKK260983 FAO260894:FAO260983 EQS260894:EQS260983 EGW260894:EGW260983 DXA260894:DXA260983 DNE260894:DNE260983 DDI260894:DDI260983 CTM260894:CTM260983 CJQ260894:CJQ260983 BZU260894:BZU260983 BPY260894:BPY260983 BGC260894:BGC260983 AWG260894:AWG260983 AMK260894:AMK260983 ACO260894:ACO260983 SS260894:SS260983 IW260894:IW260983 A260900:A260989 WVI195358:WVI195447 WLM195358:WLM195447 WBQ195358:WBQ195447 VRU195358:VRU195447 VHY195358:VHY195447 UYC195358:UYC195447 UOG195358:UOG195447 UEK195358:UEK195447 TUO195358:TUO195447 TKS195358:TKS195447 TAW195358:TAW195447 SRA195358:SRA195447 SHE195358:SHE195447 RXI195358:RXI195447 RNM195358:RNM195447 RDQ195358:RDQ195447 QTU195358:QTU195447 QJY195358:QJY195447 QAC195358:QAC195447 PQG195358:PQG195447 PGK195358:PGK195447 OWO195358:OWO195447 OMS195358:OMS195447 OCW195358:OCW195447 NTA195358:NTA195447 NJE195358:NJE195447 MZI195358:MZI195447 MPM195358:MPM195447 MFQ195358:MFQ195447 LVU195358:LVU195447 LLY195358:LLY195447 LCC195358:LCC195447 KSG195358:KSG195447 KIK195358:KIK195447 JYO195358:JYO195447 JOS195358:JOS195447 JEW195358:JEW195447 IVA195358:IVA195447 ILE195358:ILE195447 IBI195358:IBI195447 HRM195358:HRM195447 HHQ195358:HHQ195447 GXU195358:GXU195447 GNY195358:GNY195447 GEC195358:GEC195447 FUG195358:FUG195447 FKK195358:FKK195447 FAO195358:FAO195447 EQS195358:EQS195447 EGW195358:EGW195447 DXA195358:DXA195447 DNE195358:DNE195447 DDI195358:DDI195447 CTM195358:CTM195447 CJQ195358:CJQ195447 BZU195358:BZU195447 BPY195358:BPY195447 BGC195358:BGC195447 AWG195358:AWG195447 AMK195358:AMK195447 ACO195358:ACO195447 SS195358:SS195447 IW195358:IW195447 A195364:A195453 WVI129822:WVI129911 WLM129822:WLM129911 WBQ129822:WBQ129911 VRU129822:VRU129911 VHY129822:VHY129911 UYC129822:UYC129911 UOG129822:UOG129911 UEK129822:UEK129911 TUO129822:TUO129911 TKS129822:TKS129911 TAW129822:TAW129911 SRA129822:SRA129911 SHE129822:SHE129911 RXI129822:RXI129911 RNM129822:RNM129911 RDQ129822:RDQ129911 QTU129822:QTU129911 QJY129822:QJY129911 QAC129822:QAC129911 PQG129822:PQG129911 PGK129822:PGK129911 OWO129822:OWO129911 OMS129822:OMS129911 OCW129822:OCW129911 NTA129822:NTA129911 NJE129822:NJE129911 MZI129822:MZI129911 MPM129822:MPM129911 MFQ129822:MFQ129911 LVU129822:LVU129911 LLY129822:LLY129911 LCC129822:LCC129911 KSG129822:KSG129911 KIK129822:KIK129911 JYO129822:JYO129911 JOS129822:JOS129911 JEW129822:JEW129911 IVA129822:IVA129911 ILE129822:ILE129911 IBI129822:IBI129911 HRM129822:HRM129911 HHQ129822:HHQ129911 GXU129822:GXU129911 GNY129822:GNY129911 GEC129822:GEC129911 FUG129822:FUG129911 FKK129822:FKK129911 FAO129822:FAO129911 EQS129822:EQS129911 EGW129822:EGW129911 DXA129822:DXA129911 DNE129822:DNE129911 DDI129822:DDI129911 CTM129822:CTM129911 CJQ129822:CJQ129911 BZU129822:BZU129911 BPY129822:BPY129911 BGC129822:BGC129911 AWG129822:AWG129911 AMK129822:AMK129911 ACO129822:ACO129911 SS129822:SS129911 IW129822:IW129911 A129828:A129917 WVI64286:WVI64375 WLM64286:WLM64375 WBQ64286:WBQ64375 VRU64286:VRU64375 VHY64286:VHY64375 UYC64286:UYC64375 UOG64286:UOG64375 UEK64286:UEK64375 TUO64286:TUO64375 TKS64286:TKS64375 TAW64286:TAW64375 SRA64286:SRA64375 SHE64286:SHE64375 RXI64286:RXI64375 RNM64286:RNM64375 RDQ64286:RDQ64375 QTU64286:QTU64375 QJY64286:QJY64375 QAC64286:QAC64375 PQG64286:PQG64375 PGK64286:PGK64375 OWO64286:OWO64375 OMS64286:OMS64375 OCW64286:OCW64375 NTA64286:NTA64375 NJE64286:NJE64375 MZI64286:MZI64375 MPM64286:MPM64375 MFQ64286:MFQ64375 LVU64286:LVU64375 LLY64286:LLY64375 LCC64286:LCC64375 KSG64286:KSG64375 KIK64286:KIK64375 JYO64286:JYO64375 JOS64286:JOS64375 JEW64286:JEW64375 IVA64286:IVA64375 ILE64286:ILE64375 IBI64286:IBI64375 HRM64286:HRM64375 HHQ64286:HHQ64375 GXU64286:GXU64375 GNY64286:GNY64375 GEC64286:GEC64375 FUG64286:FUG64375 FKK64286:FKK64375 FAO64286:FAO64375 EQS64286:EQS64375 EGW64286:EGW64375 DXA64286:DXA64375 DNE64286:DNE64375 DDI64286:DDI64375 CTM64286:CTM64375 CJQ64286:CJQ64375 BZU64286:BZU64375 BPY64286:BPY64375 BGC64286:BGC64375 AWG64286:AWG64375 AMK64286:AMK64375 ACO64286:ACO64375 SS64286:SS64375 IW64286:IW64375 A64292:A64381 IW2:IW58 SS2:SS58 ACO2:ACO58 AMK2:AMK58 AWG2:AWG58 BGC2:BGC58 BPY2:BPY58 BZU2:BZU58 CJQ2:CJQ58 CTM2:CTM58 DDI2:DDI58 DNE2:DNE58 DXA2:DXA58 EGW2:EGW58 EQS2:EQS58 FAO2:FAO58 FKK2:FKK58 FUG2:FUG58 GEC2:GEC58 GNY2:GNY58 GXU2:GXU58 HHQ2:HHQ58 HRM2:HRM58 IBI2:IBI58 ILE2:ILE58 IVA2:IVA58 JEW2:JEW58 JOS2:JOS58 JYO2:JYO58 KIK2:KIK58 KSG2:KSG58 LCC2:LCC58 LLY2:LLY58 LVU2:LVU58 MFQ2:MFQ58 MPM2:MPM58 MZI2:MZI58 NJE2:NJE58 NTA2:NTA58 OCW2:OCW58 OMS2:OMS58 OWO2:OWO58 PGK2:PGK58 PQG2:PQG58 QAC2:QAC58 QJY2:QJY58 QTU2:QTU58 RDQ2:RDQ58 RNM2:RNM58 RXI2:RXI58 SHE2:SHE58 SRA2:SRA58 TAW2:TAW58 TKS2:TKS58 TUO2:TUO58 UEK2:UEK58 UOG2:UOG58 UYC2:UYC58 VHY2:VHY58 VRU2:VRU58 WBQ2:WBQ58 WLM2:WLM58 WVI2:WVI58" xr:uid="{AA4650A9-BBB4-4BD7-B319-39281052937D}">
      <formula1>$AE$2:$AE$16</formula1>
    </dataValidation>
    <dataValidation type="list" allowBlank="1" showInputMessage="1" showErrorMessage="1" sqref="WVO981790:WVO981879 WLS981790:WLS981879 WBW981790:WBW981879 VSA981790:VSA981879 VIE981790:VIE981879 UYI981790:UYI981879 UOM981790:UOM981879 UEQ981790:UEQ981879 TUU981790:TUU981879 TKY981790:TKY981879 TBC981790:TBC981879 SRG981790:SRG981879 SHK981790:SHK981879 RXO981790:RXO981879 RNS981790:RNS981879 RDW981790:RDW981879 QUA981790:QUA981879 QKE981790:QKE981879 QAI981790:QAI981879 PQM981790:PQM981879 PGQ981790:PGQ981879 OWU981790:OWU981879 OMY981790:OMY981879 ODC981790:ODC981879 NTG981790:NTG981879 NJK981790:NJK981879 MZO981790:MZO981879 MPS981790:MPS981879 MFW981790:MFW981879 LWA981790:LWA981879 LME981790:LME981879 LCI981790:LCI981879 KSM981790:KSM981879 KIQ981790:KIQ981879 JYU981790:JYU981879 JOY981790:JOY981879 JFC981790:JFC981879 IVG981790:IVG981879 ILK981790:ILK981879 IBO981790:IBO981879 HRS981790:HRS981879 HHW981790:HHW981879 GYA981790:GYA981879 GOE981790:GOE981879 GEI981790:GEI981879 FUM981790:FUM981879 FKQ981790:FKQ981879 FAU981790:FAU981879 EQY981790:EQY981879 EHC981790:EHC981879 DXG981790:DXG981879 DNK981790:DNK981879 DDO981790:DDO981879 CTS981790:CTS981879 CJW981790:CJW981879 CAA981790:CAA981879 BQE981790:BQE981879 BGI981790:BGI981879 AWM981790:AWM981879 AMQ981790:AMQ981879 ACU981790:ACU981879 SY981790:SY981879 JC981790:JC981879 G981799:G981888 WVO916254:WVO916343 WLS916254:WLS916343 WBW916254:WBW916343 VSA916254:VSA916343 VIE916254:VIE916343 UYI916254:UYI916343 UOM916254:UOM916343 UEQ916254:UEQ916343 TUU916254:TUU916343 TKY916254:TKY916343 TBC916254:TBC916343 SRG916254:SRG916343 SHK916254:SHK916343 RXO916254:RXO916343 RNS916254:RNS916343 RDW916254:RDW916343 QUA916254:QUA916343 QKE916254:QKE916343 QAI916254:QAI916343 PQM916254:PQM916343 PGQ916254:PGQ916343 OWU916254:OWU916343 OMY916254:OMY916343 ODC916254:ODC916343 NTG916254:NTG916343 NJK916254:NJK916343 MZO916254:MZO916343 MPS916254:MPS916343 MFW916254:MFW916343 LWA916254:LWA916343 LME916254:LME916343 LCI916254:LCI916343 KSM916254:KSM916343 KIQ916254:KIQ916343 JYU916254:JYU916343 JOY916254:JOY916343 JFC916254:JFC916343 IVG916254:IVG916343 ILK916254:ILK916343 IBO916254:IBO916343 HRS916254:HRS916343 HHW916254:HHW916343 GYA916254:GYA916343 GOE916254:GOE916343 GEI916254:GEI916343 FUM916254:FUM916343 FKQ916254:FKQ916343 FAU916254:FAU916343 EQY916254:EQY916343 EHC916254:EHC916343 DXG916254:DXG916343 DNK916254:DNK916343 DDO916254:DDO916343 CTS916254:CTS916343 CJW916254:CJW916343 CAA916254:CAA916343 BQE916254:BQE916343 BGI916254:BGI916343 AWM916254:AWM916343 AMQ916254:AMQ916343 ACU916254:ACU916343 SY916254:SY916343 JC916254:JC916343 G916263:G916352 WVO850718:WVO850807 WLS850718:WLS850807 WBW850718:WBW850807 VSA850718:VSA850807 VIE850718:VIE850807 UYI850718:UYI850807 UOM850718:UOM850807 UEQ850718:UEQ850807 TUU850718:TUU850807 TKY850718:TKY850807 TBC850718:TBC850807 SRG850718:SRG850807 SHK850718:SHK850807 RXO850718:RXO850807 RNS850718:RNS850807 RDW850718:RDW850807 QUA850718:QUA850807 QKE850718:QKE850807 QAI850718:QAI850807 PQM850718:PQM850807 PGQ850718:PGQ850807 OWU850718:OWU850807 OMY850718:OMY850807 ODC850718:ODC850807 NTG850718:NTG850807 NJK850718:NJK850807 MZO850718:MZO850807 MPS850718:MPS850807 MFW850718:MFW850807 LWA850718:LWA850807 LME850718:LME850807 LCI850718:LCI850807 KSM850718:KSM850807 KIQ850718:KIQ850807 JYU850718:JYU850807 JOY850718:JOY850807 JFC850718:JFC850807 IVG850718:IVG850807 ILK850718:ILK850807 IBO850718:IBO850807 HRS850718:HRS850807 HHW850718:HHW850807 GYA850718:GYA850807 GOE850718:GOE850807 GEI850718:GEI850807 FUM850718:FUM850807 FKQ850718:FKQ850807 FAU850718:FAU850807 EQY850718:EQY850807 EHC850718:EHC850807 DXG850718:DXG850807 DNK850718:DNK850807 DDO850718:DDO850807 CTS850718:CTS850807 CJW850718:CJW850807 CAA850718:CAA850807 BQE850718:BQE850807 BGI850718:BGI850807 AWM850718:AWM850807 AMQ850718:AMQ850807 ACU850718:ACU850807 SY850718:SY850807 JC850718:JC850807 G850727:G850816 WVO785182:WVO785271 WLS785182:WLS785271 WBW785182:WBW785271 VSA785182:VSA785271 VIE785182:VIE785271 UYI785182:UYI785271 UOM785182:UOM785271 UEQ785182:UEQ785271 TUU785182:TUU785271 TKY785182:TKY785271 TBC785182:TBC785271 SRG785182:SRG785271 SHK785182:SHK785271 RXO785182:RXO785271 RNS785182:RNS785271 RDW785182:RDW785271 QUA785182:QUA785271 QKE785182:QKE785271 QAI785182:QAI785271 PQM785182:PQM785271 PGQ785182:PGQ785271 OWU785182:OWU785271 OMY785182:OMY785271 ODC785182:ODC785271 NTG785182:NTG785271 NJK785182:NJK785271 MZO785182:MZO785271 MPS785182:MPS785271 MFW785182:MFW785271 LWA785182:LWA785271 LME785182:LME785271 LCI785182:LCI785271 KSM785182:KSM785271 KIQ785182:KIQ785271 JYU785182:JYU785271 JOY785182:JOY785271 JFC785182:JFC785271 IVG785182:IVG785271 ILK785182:ILK785271 IBO785182:IBO785271 HRS785182:HRS785271 HHW785182:HHW785271 GYA785182:GYA785271 GOE785182:GOE785271 GEI785182:GEI785271 FUM785182:FUM785271 FKQ785182:FKQ785271 FAU785182:FAU785271 EQY785182:EQY785271 EHC785182:EHC785271 DXG785182:DXG785271 DNK785182:DNK785271 DDO785182:DDO785271 CTS785182:CTS785271 CJW785182:CJW785271 CAA785182:CAA785271 BQE785182:BQE785271 BGI785182:BGI785271 AWM785182:AWM785271 AMQ785182:AMQ785271 ACU785182:ACU785271 SY785182:SY785271 JC785182:JC785271 G785191:G785280 WVO719646:WVO719735 WLS719646:WLS719735 WBW719646:WBW719735 VSA719646:VSA719735 VIE719646:VIE719735 UYI719646:UYI719735 UOM719646:UOM719735 UEQ719646:UEQ719735 TUU719646:TUU719735 TKY719646:TKY719735 TBC719646:TBC719735 SRG719646:SRG719735 SHK719646:SHK719735 RXO719646:RXO719735 RNS719646:RNS719735 RDW719646:RDW719735 QUA719646:QUA719735 QKE719646:QKE719735 QAI719646:QAI719735 PQM719646:PQM719735 PGQ719646:PGQ719735 OWU719646:OWU719735 OMY719646:OMY719735 ODC719646:ODC719735 NTG719646:NTG719735 NJK719646:NJK719735 MZO719646:MZO719735 MPS719646:MPS719735 MFW719646:MFW719735 LWA719646:LWA719735 LME719646:LME719735 LCI719646:LCI719735 KSM719646:KSM719735 KIQ719646:KIQ719735 JYU719646:JYU719735 JOY719646:JOY719735 JFC719646:JFC719735 IVG719646:IVG719735 ILK719646:ILK719735 IBO719646:IBO719735 HRS719646:HRS719735 HHW719646:HHW719735 GYA719646:GYA719735 GOE719646:GOE719735 GEI719646:GEI719735 FUM719646:FUM719735 FKQ719646:FKQ719735 FAU719646:FAU719735 EQY719646:EQY719735 EHC719646:EHC719735 DXG719646:DXG719735 DNK719646:DNK719735 DDO719646:DDO719735 CTS719646:CTS719735 CJW719646:CJW719735 CAA719646:CAA719735 BQE719646:BQE719735 BGI719646:BGI719735 AWM719646:AWM719735 AMQ719646:AMQ719735 ACU719646:ACU719735 SY719646:SY719735 JC719646:JC719735 G719655:G719744 WVO654110:WVO654199 WLS654110:WLS654199 WBW654110:WBW654199 VSA654110:VSA654199 VIE654110:VIE654199 UYI654110:UYI654199 UOM654110:UOM654199 UEQ654110:UEQ654199 TUU654110:TUU654199 TKY654110:TKY654199 TBC654110:TBC654199 SRG654110:SRG654199 SHK654110:SHK654199 RXO654110:RXO654199 RNS654110:RNS654199 RDW654110:RDW654199 QUA654110:QUA654199 QKE654110:QKE654199 QAI654110:QAI654199 PQM654110:PQM654199 PGQ654110:PGQ654199 OWU654110:OWU654199 OMY654110:OMY654199 ODC654110:ODC654199 NTG654110:NTG654199 NJK654110:NJK654199 MZO654110:MZO654199 MPS654110:MPS654199 MFW654110:MFW654199 LWA654110:LWA654199 LME654110:LME654199 LCI654110:LCI654199 KSM654110:KSM654199 KIQ654110:KIQ654199 JYU654110:JYU654199 JOY654110:JOY654199 JFC654110:JFC654199 IVG654110:IVG654199 ILK654110:ILK654199 IBO654110:IBO654199 HRS654110:HRS654199 HHW654110:HHW654199 GYA654110:GYA654199 GOE654110:GOE654199 GEI654110:GEI654199 FUM654110:FUM654199 FKQ654110:FKQ654199 FAU654110:FAU654199 EQY654110:EQY654199 EHC654110:EHC654199 DXG654110:DXG654199 DNK654110:DNK654199 DDO654110:DDO654199 CTS654110:CTS654199 CJW654110:CJW654199 CAA654110:CAA654199 BQE654110:BQE654199 BGI654110:BGI654199 AWM654110:AWM654199 AMQ654110:AMQ654199 ACU654110:ACU654199 SY654110:SY654199 JC654110:JC654199 G654119:G654208 WVO588574:WVO588663 WLS588574:WLS588663 WBW588574:WBW588663 VSA588574:VSA588663 VIE588574:VIE588663 UYI588574:UYI588663 UOM588574:UOM588663 UEQ588574:UEQ588663 TUU588574:TUU588663 TKY588574:TKY588663 TBC588574:TBC588663 SRG588574:SRG588663 SHK588574:SHK588663 RXO588574:RXO588663 RNS588574:RNS588663 RDW588574:RDW588663 QUA588574:QUA588663 QKE588574:QKE588663 QAI588574:QAI588663 PQM588574:PQM588663 PGQ588574:PGQ588663 OWU588574:OWU588663 OMY588574:OMY588663 ODC588574:ODC588663 NTG588574:NTG588663 NJK588574:NJK588663 MZO588574:MZO588663 MPS588574:MPS588663 MFW588574:MFW588663 LWA588574:LWA588663 LME588574:LME588663 LCI588574:LCI588663 KSM588574:KSM588663 KIQ588574:KIQ588663 JYU588574:JYU588663 JOY588574:JOY588663 JFC588574:JFC588663 IVG588574:IVG588663 ILK588574:ILK588663 IBO588574:IBO588663 HRS588574:HRS588663 HHW588574:HHW588663 GYA588574:GYA588663 GOE588574:GOE588663 GEI588574:GEI588663 FUM588574:FUM588663 FKQ588574:FKQ588663 FAU588574:FAU588663 EQY588574:EQY588663 EHC588574:EHC588663 DXG588574:DXG588663 DNK588574:DNK588663 DDO588574:DDO588663 CTS588574:CTS588663 CJW588574:CJW588663 CAA588574:CAA588663 BQE588574:BQE588663 BGI588574:BGI588663 AWM588574:AWM588663 AMQ588574:AMQ588663 ACU588574:ACU588663 SY588574:SY588663 JC588574:JC588663 G588583:G588672 WVO523038:WVO523127 WLS523038:WLS523127 WBW523038:WBW523127 VSA523038:VSA523127 VIE523038:VIE523127 UYI523038:UYI523127 UOM523038:UOM523127 UEQ523038:UEQ523127 TUU523038:TUU523127 TKY523038:TKY523127 TBC523038:TBC523127 SRG523038:SRG523127 SHK523038:SHK523127 RXO523038:RXO523127 RNS523038:RNS523127 RDW523038:RDW523127 QUA523038:QUA523127 QKE523038:QKE523127 QAI523038:QAI523127 PQM523038:PQM523127 PGQ523038:PGQ523127 OWU523038:OWU523127 OMY523038:OMY523127 ODC523038:ODC523127 NTG523038:NTG523127 NJK523038:NJK523127 MZO523038:MZO523127 MPS523038:MPS523127 MFW523038:MFW523127 LWA523038:LWA523127 LME523038:LME523127 LCI523038:LCI523127 KSM523038:KSM523127 KIQ523038:KIQ523127 JYU523038:JYU523127 JOY523038:JOY523127 JFC523038:JFC523127 IVG523038:IVG523127 ILK523038:ILK523127 IBO523038:IBO523127 HRS523038:HRS523127 HHW523038:HHW523127 GYA523038:GYA523127 GOE523038:GOE523127 GEI523038:GEI523127 FUM523038:FUM523127 FKQ523038:FKQ523127 FAU523038:FAU523127 EQY523038:EQY523127 EHC523038:EHC523127 DXG523038:DXG523127 DNK523038:DNK523127 DDO523038:DDO523127 CTS523038:CTS523127 CJW523038:CJW523127 CAA523038:CAA523127 BQE523038:BQE523127 BGI523038:BGI523127 AWM523038:AWM523127 AMQ523038:AMQ523127 ACU523038:ACU523127 SY523038:SY523127 JC523038:JC523127 G523047:G523136 WVO457502:WVO457591 WLS457502:WLS457591 WBW457502:WBW457591 VSA457502:VSA457591 VIE457502:VIE457591 UYI457502:UYI457591 UOM457502:UOM457591 UEQ457502:UEQ457591 TUU457502:TUU457591 TKY457502:TKY457591 TBC457502:TBC457591 SRG457502:SRG457591 SHK457502:SHK457591 RXO457502:RXO457591 RNS457502:RNS457591 RDW457502:RDW457591 QUA457502:QUA457591 QKE457502:QKE457591 QAI457502:QAI457591 PQM457502:PQM457591 PGQ457502:PGQ457591 OWU457502:OWU457591 OMY457502:OMY457591 ODC457502:ODC457591 NTG457502:NTG457591 NJK457502:NJK457591 MZO457502:MZO457591 MPS457502:MPS457591 MFW457502:MFW457591 LWA457502:LWA457591 LME457502:LME457591 LCI457502:LCI457591 KSM457502:KSM457591 KIQ457502:KIQ457591 JYU457502:JYU457591 JOY457502:JOY457591 JFC457502:JFC457591 IVG457502:IVG457591 ILK457502:ILK457591 IBO457502:IBO457591 HRS457502:HRS457591 HHW457502:HHW457591 GYA457502:GYA457591 GOE457502:GOE457591 GEI457502:GEI457591 FUM457502:FUM457591 FKQ457502:FKQ457591 FAU457502:FAU457591 EQY457502:EQY457591 EHC457502:EHC457591 DXG457502:DXG457591 DNK457502:DNK457591 DDO457502:DDO457591 CTS457502:CTS457591 CJW457502:CJW457591 CAA457502:CAA457591 BQE457502:BQE457591 BGI457502:BGI457591 AWM457502:AWM457591 AMQ457502:AMQ457591 ACU457502:ACU457591 SY457502:SY457591 JC457502:JC457591 G457511:G457600 WVO391966:WVO392055 WLS391966:WLS392055 WBW391966:WBW392055 VSA391966:VSA392055 VIE391966:VIE392055 UYI391966:UYI392055 UOM391966:UOM392055 UEQ391966:UEQ392055 TUU391966:TUU392055 TKY391966:TKY392055 TBC391966:TBC392055 SRG391966:SRG392055 SHK391966:SHK392055 RXO391966:RXO392055 RNS391966:RNS392055 RDW391966:RDW392055 QUA391966:QUA392055 QKE391966:QKE392055 QAI391966:QAI392055 PQM391966:PQM392055 PGQ391966:PGQ392055 OWU391966:OWU392055 OMY391966:OMY392055 ODC391966:ODC392055 NTG391966:NTG392055 NJK391966:NJK392055 MZO391966:MZO392055 MPS391966:MPS392055 MFW391966:MFW392055 LWA391966:LWA392055 LME391966:LME392055 LCI391966:LCI392055 KSM391966:KSM392055 KIQ391966:KIQ392055 JYU391966:JYU392055 JOY391966:JOY392055 JFC391966:JFC392055 IVG391966:IVG392055 ILK391966:ILK392055 IBO391966:IBO392055 HRS391966:HRS392055 HHW391966:HHW392055 GYA391966:GYA392055 GOE391966:GOE392055 GEI391966:GEI392055 FUM391966:FUM392055 FKQ391966:FKQ392055 FAU391966:FAU392055 EQY391966:EQY392055 EHC391966:EHC392055 DXG391966:DXG392055 DNK391966:DNK392055 DDO391966:DDO392055 CTS391966:CTS392055 CJW391966:CJW392055 CAA391966:CAA392055 BQE391966:BQE392055 BGI391966:BGI392055 AWM391966:AWM392055 AMQ391966:AMQ392055 ACU391966:ACU392055 SY391966:SY392055 JC391966:JC392055 G391975:G392064 WVO326430:WVO326519 WLS326430:WLS326519 WBW326430:WBW326519 VSA326430:VSA326519 VIE326430:VIE326519 UYI326430:UYI326519 UOM326430:UOM326519 UEQ326430:UEQ326519 TUU326430:TUU326519 TKY326430:TKY326519 TBC326430:TBC326519 SRG326430:SRG326519 SHK326430:SHK326519 RXO326430:RXO326519 RNS326430:RNS326519 RDW326430:RDW326519 QUA326430:QUA326519 QKE326430:QKE326519 QAI326430:QAI326519 PQM326430:PQM326519 PGQ326430:PGQ326519 OWU326430:OWU326519 OMY326430:OMY326519 ODC326430:ODC326519 NTG326430:NTG326519 NJK326430:NJK326519 MZO326430:MZO326519 MPS326430:MPS326519 MFW326430:MFW326519 LWA326430:LWA326519 LME326430:LME326519 LCI326430:LCI326519 KSM326430:KSM326519 KIQ326430:KIQ326519 JYU326430:JYU326519 JOY326430:JOY326519 JFC326430:JFC326519 IVG326430:IVG326519 ILK326430:ILK326519 IBO326430:IBO326519 HRS326430:HRS326519 HHW326430:HHW326519 GYA326430:GYA326519 GOE326430:GOE326519 GEI326430:GEI326519 FUM326430:FUM326519 FKQ326430:FKQ326519 FAU326430:FAU326519 EQY326430:EQY326519 EHC326430:EHC326519 DXG326430:DXG326519 DNK326430:DNK326519 DDO326430:DDO326519 CTS326430:CTS326519 CJW326430:CJW326519 CAA326430:CAA326519 BQE326430:BQE326519 BGI326430:BGI326519 AWM326430:AWM326519 AMQ326430:AMQ326519 ACU326430:ACU326519 SY326430:SY326519 JC326430:JC326519 G326439:G326528 WVO260894:WVO260983 WLS260894:WLS260983 WBW260894:WBW260983 VSA260894:VSA260983 VIE260894:VIE260983 UYI260894:UYI260983 UOM260894:UOM260983 UEQ260894:UEQ260983 TUU260894:TUU260983 TKY260894:TKY260983 TBC260894:TBC260983 SRG260894:SRG260983 SHK260894:SHK260983 RXO260894:RXO260983 RNS260894:RNS260983 RDW260894:RDW260983 QUA260894:QUA260983 QKE260894:QKE260983 QAI260894:QAI260983 PQM260894:PQM260983 PGQ260894:PGQ260983 OWU260894:OWU260983 OMY260894:OMY260983 ODC260894:ODC260983 NTG260894:NTG260983 NJK260894:NJK260983 MZO260894:MZO260983 MPS260894:MPS260983 MFW260894:MFW260983 LWA260894:LWA260983 LME260894:LME260983 LCI260894:LCI260983 KSM260894:KSM260983 KIQ260894:KIQ260983 JYU260894:JYU260983 JOY260894:JOY260983 JFC260894:JFC260983 IVG260894:IVG260983 ILK260894:ILK260983 IBO260894:IBO260983 HRS260894:HRS260983 HHW260894:HHW260983 GYA260894:GYA260983 GOE260894:GOE260983 GEI260894:GEI260983 FUM260894:FUM260983 FKQ260894:FKQ260983 FAU260894:FAU260983 EQY260894:EQY260983 EHC260894:EHC260983 DXG260894:DXG260983 DNK260894:DNK260983 DDO260894:DDO260983 CTS260894:CTS260983 CJW260894:CJW260983 CAA260894:CAA260983 BQE260894:BQE260983 BGI260894:BGI260983 AWM260894:AWM260983 AMQ260894:AMQ260983 ACU260894:ACU260983 SY260894:SY260983 JC260894:JC260983 G260903:G260992 WVO195358:WVO195447 WLS195358:WLS195447 WBW195358:WBW195447 VSA195358:VSA195447 VIE195358:VIE195447 UYI195358:UYI195447 UOM195358:UOM195447 UEQ195358:UEQ195447 TUU195358:TUU195447 TKY195358:TKY195447 TBC195358:TBC195447 SRG195358:SRG195447 SHK195358:SHK195447 RXO195358:RXO195447 RNS195358:RNS195447 RDW195358:RDW195447 QUA195358:QUA195447 QKE195358:QKE195447 QAI195358:QAI195447 PQM195358:PQM195447 PGQ195358:PGQ195447 OWU195358:OWU195447 OMY195358:OMY195447 ODC195358:ODC195447 NTG195358:NTG195447 NJK195358:NJK195447 MZO195358:MZO195447 MPS195358:MPS195447 MFW195358:MFW195447 LWA195358:LWA195447 LME195358:LME195447 LCI195358:LCI195447 KSM195358:KSM195447 KIQ195358:KIQ195447 JYU195358:JYU195447 JOY195358:JOY195447 JFC195358:JFC195447 IVG195358:IVG195447 ILK195358:ILK195447 IBO195358:IBO195447 HRS195358:HRS195447 HHW195358:HHW195447 GYA195358:GYA195447 GOE195358:GOE195447 GEI195358:GEI195447 FUM195358:FUM195447 FKQ195358:FKQ195447 FAU195358:FAU195447 EQY195358:EQY195447 EHC195358:EHC195447 DXG195358:DXG195447 DNK195358:DNK195447 DDO195358:DDO195447 CTS195358:CTS195447 CJW195358:CJW195447 CAA195358:CAA195447 BQE195358:BQE195447 BGI195358:BGI195447 AWM195358:AWM195447 AMQ195358:AMQ195447 ACU195358:ACU195447 SY195358:SY195447 JC195358:JC195447 G195367:G195456 WVO129822:WVO129911 WLS129822:WLS129911 WBW129822:WBW129911 VSA129822:VSA129911 VIE129822:VIE129911 UYI129822:UYI129911 UOM129822:UOM129911 UEQ129822:UEQ129911 TUU129822:TUU129911 TKY129822:TKY129911 TBC129822:TBC129911 SRG129822:SRG129911 SHK129822:SHK129911 RXO129822:RXO129911 RNS129822:RNS129911 RDW129822:RDW129911 QUA129822:QUA129911 QKE129822:QKE129911 QAI129822:QAI129911 PQM129822:PQM129911 PGQ129822:PGQ129911 OWU129822:OWU129911 OMY129822:OMY129911 ODC129822:ODC129911 NTG129822:NTG129911 NJK129822:NJK129911 MZO129822:MZO129911 MPS129822:MPS129911 MFW129822:MFW129911 LWA129822:LWA129911 LME129822:LME129911 LCI129822:LCI129911 KSM129822:KSM129911 KIQ129822:KIQ129911 JYU129822:JYU129911 JOY129822:JOY129911 JFC129822:JFC129911 IVG129822:IVG129911 ILK129822:ILK129911 IBO129822:IBO129911 HRS129822:HRS129911 HHW129822:HHW129911 GYA129822:GYA129911 GOE129822:GOE129911 GEI129822:GEI129911 FUM129822:FUM129911 FKQ129822:FKQ129911 FAU129822:FAU129911 EQY129822:EQY129911 EHC129822:EHC129911 DXG129822:DXG129911 DNK129822:DNK129911 DDO129822:DDO129911 CTS129822:CTS129911 CJW129822:CJW129911 CAA129822:CAA129911 BQE129822:BQE129911 BGI129822:BGI129911 AWM129822:AWM129911 AMQ129822:AMQ129911 ACU129822:ACU129911 SY129822:SY129911 JC129822:JC129911 G129831:G129920 WVO64286:WVO64375 WLS64286:WLS64375 WBW64286:WBW64375 VSA64286:VSA64375 VIE64286:VIE64375 UYI64286:UYI64375 UOM64286:UOM64375 UEQ64286:UEQ64375 TUU64286:TUU64375 TKY64286:TKY64375 TBC64286:TBC64375 SRG64286:SRG64375 SHK64286:SHK64375 RXO64286:RXO64375 RNS64286:RNS64375 RDW64286:RDW64375 QUA64286:QUA64375 QKE64286:QKE64375 QAI64286:QAI64375 PQM64286:PQM64375 PGQ64286:PGQ64375 OWU64286:OWU64375 OMY64286:OMY64375 ODC64286:ODC64375 NTG64286:NTG64375 NJK64286:NJK64375 MZO64286:MZO64375 MPS64286:MPS64375 MFW64286:MFW64375 LWA64286:LWA64375 LME64286:LME64375 LCI64286:LCI64375 KSM64286:KSM64375 KIQ64286:KIQ64375 JYU64286:JYU64375 JOY64286:JOY64375 JFC64286:JFC64375 IVG64286:IVG64375 ILK64286:ILK64375 IBO64286:IBO64375 HRS64286:HRS64375 HHW64286:HHW64375 GYA64286:GYA64375 GOE64286:GOE64375 GEI64286:GEI64375 FUM64286:FUM64375 FKQ64286:FKQ64375 FAU64286:FAU64375 EQY64286:EQY64375 EHC64286:EHC64375 DXG64286:DXG64375 DNK64286:DNK64375 DDO64286:DDO64375 CTS64286:CTS64375 CJW64286:CJW64375 CAA64286:CAA64375 BQE64286:BQE64375 BGI64286:BGI64375 AWM64286:AWM64375 AMQ64286:AMQ64375 ACU64286:ACU64375 SY64286:SY64375 JC64286:JC64375 G64295:G64384 G81:G485 JC2:JC58 SY2:SY58 ACU2:ACU58 AMQ2:AMQ58 AWM2:AWM58 BGI2:BGI58 BQE2:BQE58 CAA2:CAA58 CJW2:CJW58 CTS2:CTS58 DDO2:DDO58 DNK2:DNK58 DXG2:DXG58 EHC2:EHC58 EQY2:EQY58 FAU2:FAU58 FKQ2:FKQ58 FUM2:FUM58 GEI2:GEI58 GOE2:GOE58 GYA2:GYA58 HHW2:HHW58 HRS2:HRS58 IBO2:IBO58 ILK2:ILK58 IVG2:IVG58 JFC2:JFC58 JOY2:JOY58 JYU2:JYU58 KIQ2:KIQ58 KSM2:KSM58 LCI2:LCI58 LME2:LME58 LWA2:LWA58 MFW2:MFW58 MPS2:MPS58 MZO2:MZO58 NJK2:NJK58 NTG2:NTG58 ODC2:ODC58 OMY2:OMY58 OWU2:OWU58 PGQ2:PGQ58 PQM2:PQM58 QAI2:QAI58 QKE2:QKE58 QUA2:QUA58 RDW2:RDW58 RNS2:RNS58 RXO2:RXO58 SHK2:SHK58 SRG2:SRG58 TBC2:TBC58 TKY2:TKY58 TUU2:TUU58 UEQ2:UEQ58 UOM2:UOM58 UYI2:UYI58 VIE2:VIE58 VSA2:VSA58 WBW2:WBW58 WLS2:WLS58 WVO2:WVO58 G2:G79" xr:uid="{2DCE86CE-910F-444C-BA57-D17822A964A6}">
      <formula1>$AJ$2:$AJ$4</formula1>
    </dataValidation>
    <dataValidation type="list" allowBlank="1" showInputMessage="1" showErrorMessage="1" sqref="WVP981790:WVP981879 H64307:H64396 JD64286:JD64375 SZ64286:SZ64375 ACV64286:ACV64375 AMR64286:AMR64375 AWN64286:AWN64375 BGJ64286:BGJ64375 BQF64286:BQF64375 CAB64286:CAB64375 CJX64286:CJX64375 CTT64286:CTT64375 DDP64286:DDP64375 DNL64286:DNL64375 DXH64286:DXH64375 EHD64286:EHD64375 EQZ64286:EQZ64375 FAV64286:FAV64375 FKR64286:FKR64375 FUN64286:FUN64375 GEJ64286:GEJ64375 GOF64286:GOF64375 GYB64286:GYB64375 HHX64286:HHX64375 HRT64286:HRT64375 IBP64286:IBP64375 ILL64286:ILL64375 IVH64286:IVH64375 JFD64286:JFD64375 JOZ64286:JOZ64375 JYV64286:JYV64375 KIR64286:KIR64375 KSN64286:KSN64375 LCJ64286:LCJ64375 LMF64286:LMF64375 LWB64286:LWB64375 MFX64286:MFX64375 MPT64286:MPT64375 MZP64286:MZP64375 NJL64286:NJL64375 NTH64286:NTH64375 ODD64286:ODD64375 OMZ64286:OMZ64375 OWV64286:OWV64375 PGR64286:PGR64375 PQN64286:PQN64375 QAJ64286:QAJ64375 QKF64286:QKF64375 QUB64286:QUB64375 RDX64286:RDX64375 RNT64286:RNT64375 RXP64286:RXP64375 SHL64286:SHL64375 SRH64286:SRH64375 TBD64286:TBD64375 TKZ64286:TKZ64375 TUV64286:TUV64375 UER64286:UER64375 UON64286:UON64375 UYJ64286:UYJ64375 VIF64286:VIF64375 VSB64286:VSB64375 WBX64286:WBX64375 WLT64286:WLT64375 WVP64286:WVP64375 H129843:H129932 JD129822:JD129911 SZ129822:SZ129911 ACV129822:ACV129911 AMR129822:AMR129911 AWN129822:AWN129911 BGJ129822:BGJ129911 BQF129822:BQF129911 CAB129822:CAB129911 CJX129822:CJX129911 CTT129822:CTT129911 DDP129822:DDP129911 DNL129822:DNL129911 DXH129822:DXH129911 EHD129822:EHD129911 EQZ129822:EQZ129911 FAV129822:FAV129911 FKR129822:FKR129911 FUN129822:FUN129911 GEJ129822:GEJ129911 GOF129822:GOF129911 GYB129822:GYB129911 HHX129822:HHX129911 HRT129822:HRT129911 IBP129822:IBP129911 ILL129822:ILL129911 IVH129822:IVH129911 JFD129822:JFD129911 JOZ129822:JOZ129911 JYV129822:JYV129911 KIR129822:KIR129911 KSN129822:KSN129911 LCJ129822:LCJ129911 LMF129822:LMF129911 LWB129822:LWB129911 MFX129822:MFX129911 MPT129822:MPT129911 MZP129822:MZP129911 NJL129822:NJL129911 NTH129822:NTH129911 ODD129822:ODD129911 OMZ129822:OMZ129911 OWV129822:OWV129911 PGR129822:PGR129911 PQN129822:PQN129911 QAJ129822:QAJ129911 QKF129822:QKF129911 QUB129822:QUB129911 RDX129822:RDX129911 RNT129822:RNT129911 RXP129822:RXP129911 SHL129822:SHL129911 SRH129822:SRH129911 TBD129822:TBD129911 TKZ129822:TKZ129911 TUV129822:TUV129911 UER129822:UER129911 UON129822:UON129911 UYJ129822:UYJ129911 VIF129822:VIF129911 VSB129822:VSB129911 WBX129822:WBX129911 WLT129822:WLT129911 WVP129822:WVP129911 H195379:H195468 JD195358:JD195447 SZ195358:SZ195447 ACV195358:ACV195447 AMR195358:AMR195447 AWN195358:AWN195447 BGJ195358:BGJ195447 BQF195358:BQF195447 CAB195358:CAB195447 CJX195358:CJX195447 CTT195358:CTT195447 DDP195358:DDP195447 DNL195358:DNL195447 DXH195358:DXH195447 EHD195358:EHD195447 EQZ195358:EQZ195447 FAV195358:FAV195447 FKR195358:FKR195447 FUN195358:FUN195447 GEJ195358:GEJ195447 GOF195358:GOF195447 GYB195358:GYB195447 HHX195358:HHX195447 HRT195358:HRT195447 IBP195358:IBP195447 ILL195358:ILL195447 IVH195358:IVH195447 JFD195358:JFD195447 JOZ195358:JOZ195447 JYV195358:JYV195447 KIR195358:KIR195447 KSN195358:KSN195447 LCJ195358:LCJ195447 LMF195358:LMF195447 LWB195358:LWB195447 MFX195358:MFX195447 MPT195358:MPT195447 MZP195358:MZP195447 NJL195358:NJL195447 NTH195358:NTH195447 ODD195358:ODD195447 OMZ195358:OMZ195447 OWV195358:OWV195447 PGR195358:PGR195447 PQN195358:PQN195447 QAJ195358:QAJ195447 QKF195358:QKF195447 QUB195358:QUB195447 RDX195358:RDX195447 RNT195358:RNT195447 RXP195358:RXP195447 SHL195358:SHL195447 SRH195358:SRH195447 TBD195358:TBD195447 TKZ195358:TKZ195447 TUV195358:TUV195447 UER195358:UER195447 UON195358:UON195447 UYJ195358:UYJ195447 VIF195358:VIF195447 VSB195358:VSB195447 WBX195358:WBX195447 WLT195358:WLT195447 WVP195358:WVP195447 H260915:H261004 JD260894:JD260983 SZ260894:SZ260983 ACV260894:ACV260983 AMR260894:AMR260983 AWN260894:AWN260983 BGJ260894:BGJ260983 BQF260894:BQF260983 CAB260894:CAB260983 CJX260894:CJX260983 CTT260894:CTT260983 DDP260894:DDP260983 DNL260894:DNL260983 DXH260894:DXH260983 EHD260894:EHD260983 EQZ260894:EQZ260983 FAV260894:FAV260983 FKR260894:FKR260983 FUN260894:FUN260983 GEJ260894:GEJ260983 GOF260894:GOF260983 GYB260894:GYB260983 HHX260894:HHX260983 HRT260894:HRT260983 IBP260894:IBP260983 ILL260894:ILL260983 IVH260894:IVH260983 JFD260894:JFD260983 JOZ260894:JOZ260983 JYV260894:JYV260983 KIR260894:KIR260983 KSN260894:KSN260983 LCJ260894:LCJ260983 LMF260894:LMF260983 LWB260894:LWB260983 MFX260894:MFX260983 MPT260894:MPT260983 MZP260894:MZP260983 NJL260894:NJL260983 NTH260894:NTH260983 ODD260894:ODD260983 OMZ260894:OMZ260983 OWV260894:OWV260983 PGR260894:PGR260983 PQN260894:PQN260983 QAJ260894:QAJ260983 QKF260894:QKF260983 QUB260894:QUB260983 RDX260894:RDX260983 RNT260894:RNT260983 RXP260894:RXP260983 SHL260894:SHL260983 SRH260894:SRH260983 TBD260894:TBD260983 TKZ260894:TKZ260983 TUV260894:TUV260983 UER260894:UER260983 UON260894:UON260983 UYJ260894:UYJ260983 VIF260894:VIF260983 VSB260894:VSB260983 WBX260894:WBX260983 WLT260894:WLT260983 WVP260894:WVP260983 H326451:H326540 JD326430:JD326519 SZ326430:SZ326519 ACV326430:ACV326519 AMR326430:AMR326519 AWN326430:AWN326519 BGJ326430:BGJ326519 BQF326430:BQF326519 CAB326430:CAB326519 CJX326430:CJX326519 CTT326430:CTT326519 DDP326430:DDP326519 DNL326430:DNL326519 DXH326430:DXH326519 EHD326430:EHD326519 EQZ326430:EQZ326519 FAV326430:FAV326519 FKR326430:FKR326519 FUN326430:FUN326519 GEJ326430:GEJ326519 GOF326430:GOF326519 GYB326430:GYB326519 HHX326430:HHX326519 HRT326430:HRT326519 IBP326430:IBP326519 ILL326430:ILL326519 IVH326430:IVH326519 JFD326430:JFD326519 JOZ326430:JOZ326519 JYV326430:JYV326519 KIR326430:KIR326519 KSN326430:KSN326519 LCJ326430:LCJ326519 LMF326430:LMF326519 LWB326430:LWB326519 MFX326430:MFX326519 MPT326430:MPT326519 MZP326430:MZP326519 NJL326430:NJL326519 NTH326430:NTH326519 ODD326430:ODD326519 OMZ326430:OMZ326519 OWV326430:OWV326519 PGR326430:PGR326519 PQN326430:PQN326519 QAJ326430:QAJ326519 QKF326430:QKF326519 QUB326430:QUB326519 RDX326430:RDX326519 RNT326430:RNT326519 RXP326430:RXP326519 SHL326430:SHL326519 SRH326430:SRH326519 TBD326430:TBD326519 TKZ326430:TKZ326519 TUV326430:TUV326519 UER326430:UER326519 UON326430:UON326519 UYJ326430:UYJ326519 VIF326430:VIF326519 VSB326430:VSB326519 WBX326430:WBX326519 WLT326430:WLT326519 WVP326430:WVP326519 H391987:H392076 JD391966:JD392055 SZ391966:SZ392055 ACV391966:ACV392055 AMR391966:AMR392055 AWN391966:AWN392055 BGJ391966:BGJ392055 BQF391966:BQF392055 CAB391966:CAB392055 CJX391966:CJX392055 CTT391966:CTT392055 DDP391966:DDP392055 DNL391966:DNL392055 DXH391966:DXH392055 EHD391966:EHD392055 EQZ391966:EQZ392055 FAV391966:FAV392055 FKR391966:FKR392055 FUN391966:FUN392055 GEJ391966:GEJ392055 GOF391966:GOF392055 GYB391966:GYB392055 HHX391966:HHX392055 HRT391966:HRT392055 IBP391966:IBP392055 ILL391966:ILL392055 IVH391966:IVH392055 JFD391966:JFD392055 JOZ391966:JOZ392055 JYV391966:JYV392055 KIR391966:KIR392055 KSN391966:KSN392055 LCJ391966:LCJ392055 LMF391966:LMF392055 LWB391966:LWB392055 MFX391966:MFX392055 MPT391966:MPT392055 MZP391966:MZP392055 NJL391966:NJL392055 NTH391966:NTH392055 ODD391966:ODD392055 OMZ391966:OMZ392055 OWV391966:OWV392055 PGR391966:PGR392055 PQN391966:PQN392055 QAJ391966:QAJ392055 QKF391966:QKF392055 QUB391966:QUB392055 RDX391966:RDX392055 RNT391966:RNT392055 RXP391966:RXP392055 SHL391966:SHL392055 SRH391966:SRH392055 TBD391966:TBD392055 TKZ391966:TKZ392055 TUV391966:TUV392055 UER391966:UER392055 UON391966:UON392055 UYJ391966:UYJ392055 VIF391966:VIF392055 VSB391966:VSB392055 WBX391966:WBX392055 WLT391966:WLT392055 WVP391966:WVP392055 H457523:H457612 JD457502:JD457591 SZ457502:SZ457591 ACV457502:ACV457591 AMR457502:AMR457591 AWN457502:AWN457591 BGJ457502:BGJ457591 BQF457502:BQF457591 CAB457502:CAB457591 CJX457502:CJX457591 CTT457502:CTT457591 DDP457502:DDP457591 DNL457502:DNL457591 DXH457502:DXH457591 EHD457502:EHD457591 EQZ457502:EQZ457591 FAV457502:FAV457591 FKR457502:FKR457591 FUN457502:FUN457591 GEJ457502:GEJ457591 GOF457502:GOF457591 GYB457502:GYB457591 HHX457502:HHX457591 HRT457502:HRT457591 IBP457502:IBP457591 ILL457502:ILL457591 IVH457502:IVH457591 JFD457502:JFD457591 JOZ457502:JOZ457591 JYV457502:JYV457591 KIR457502:KIR457591 KSN457502:KSN457591 LCJ457502:LCJ457591 LMF457502:LMF457591 LWB457502:LWB457591 MFX457502:MFX457591 MPT457502:MPT457591 MZP457502:MZP457591 NJL457502:NJL457591 NTH457502:NTH457591 ODD457502:ODD457591 OMZ457502:OMZ457591 OWV457502:OWV457591 PGR457502:PGR457591 PQN457502:PQN457591 QAJ457502:QAJ457591 QKF457502:QKF457591 QUB457502:QUB457591 RDX457502:RDX457591 RNT457502:RNT457591 RXP457502:RXP457591 SHL457502:SHL457591 SRH457502:SRH457591 TBD457502:TBD457591 TKZ457502:TKZ457591 TUV457502:TUV457591 UER457502:UER457591 UON457502:UON457591 UYJ457502:UYJ457591 VIF457502:VIF457591 VSB457502:VSB457591 WBX457502:WBX457591 WLT457502:WLT457591 WVP457502:WVP457591 H523059:H523148 JD523038:JD523127 SZ523038:SZ523127 ACV523038:ACV523127 AMR523038:AMR523127 AWN523038:AWN523127 BGJ523038:BGJ523127 BQF523038:BQF523127 CAB523038:CAB523127 CJX523038:CJX523127 CTT523038:CTT523127 DDP523038:DDP523127 DNL523038:DNL523127 DXH523038:DXH523127 EHD523038:EHD523127 EQZ523038:EQZ523127 FAV523038:FAV523127 FKR523038:FKR523127 FUN523038:FUN523127 GEJ523038:GEJ523127 GOF523038:GOF523127 GYB523038:GYB523127 HHX523038:HHX523127 HRT523038:HRT523127 IBP523038:IBP523127 ILL523038:ILL523127 IVH523038:IVH523127 JFD523038:JFD523127 JOZ523038:JOZ523127 JYV523038:JYV523127 KIR523038:KIR523127 KSN523038:KSN523127 LCJ523038:LCJ523127 LMF523038:LMF523127 LWB523038:LWB523127 MFX523038:MFX523127 MPT523038:MPT523127 MZP523038:MZP523127 NJL523038:NJL523127 NTH523038:NTH523127 ODD523038:ODD523127 OMZ523038:OMZ523127 OWV523038:OWV523127 PGR523038:PGR523127 PQN523038:PQN523127 QAJ523038:QAJ523127 QKF523038:QKF523127 QUB523038:QUB523127 RDX523038:RDX523127 RNT523038:RNT523127 RXP523038:RXP523127 SHL523038:SHL523127 SRH523038:SRH523127 TBD523038:TBD523127 TKZ523038:TKZ523127 TUV523038:TUV523127 UER523038:UER523127 UON523038:UON523127 UYJ523038:UYJ523127 VIF523038:VIF523127 VSB523038:VSB523127 WBX523038:WBX523127 WLT523038:WLT523127 WVP523038:WVP523127 H588595:H588684 JD588574:JD588663 SZ588574:SZ588663 ACV588574:ACV588663 AMR588574:AMR588663 AWN588574:AWN588663 BGJ588574:BGJ588663 BQF588574:BQF588663 CAB588574:CAB588663 CJX588574:CJX588663 CTT588574:CTT588663 DDP588574:DDP588663 DNL588574:DNL588663 DXH588574:DXH588663 EHD588574:EHD588663 EQZ588574:EQZ588663 FAV588574:FAV588663 FKR588574:FKR588663 FUN588574:FUN588663 GEJ588574:GEJ588663 GOF588574:GOF588663 GYB588574:GYB588663 HHX588574:HHX588663 HRT588574:HRT588663 IBP588574:IBP588663 ILL588574:ILL588663 IVH588574:IVH588663 JFD588574:JFD588663 JOZ588574:JOZ588663 JYV588574:JYV588663 KIR588574:KIR588663 KSN588574:KSN588663 LCJ588574:LCJ588663 LMF588574:LMF588663 LWB588574:LWB588663 MFX588574:MFX588663 MPT588574:MPT588663 MZP588574:MZP588663 NJL588574:NJL588663 NTH588574:NTH588663 ODD588574:ODD588663 OMZ588574:OMZ588663 OWV588574:OWV588663 PGR588574:PGR588663 PQN588574:PQN588663 QAJ588574:QAJ588663 QKF588574:QKF588663 QUB588574:QUB588663 RDX588574:RDX588663 RNT588574:RNT588663 RXP588574:RXP588663 SHL588574:SHL588663 SRH588574:SRH588663 TBD588574:TBD588663 TKZ588574:TKZ588663 TUV588574:TUV588663 UER588574:UER588663 UON588574:UON588663 UYJ588574:UYJ588663 VIF588574:VIF588663 VSB588574:VSB588663 WBX588574:WBX588663 WLT588574:WLT588663 WVP588574:WVP588663 H654131:H654220 JD654110:JD654199 SZ654110:SZ654199 ACV654110:ACV654199 AMR654110:AMR654199 AWN654110:AWN654199 BGJ654110:BGJ654199 BQF654110:BQF654199 CAB654110:CAB654199 CJX654110:CJX654199 CTT654110:CTT654199 DDP654110:DDP654199 DNL654110:DNL654199 DXH654110:DXH654199 EHD654110:EHD654199 EQZ654110:EQZ654199 FAV654110:FAV654199 FKR654110:FKR654199 FUN654110:FUN654199 GEJ654110:GEJ654199 GOF654110:GOF654199 GYB654110:GYB654199 HHX654110:HHX654199 HRT654110:HRT654199 IBP654110:IBP654199 ILL654110:ILL654199 IVH654110:IVH654199 JFD654110:JFD654199 JOZ654110:JOZ654199 JYV654110:JYV654199 KIR654110:KIR654199 KSN654110:KSN654199 LCJ654110:LCJ654199 LMF654110:LMF654199 LWB654110:LWB654199 MFX654110:MFX654199 MPT654110:MPT654199 MZP654110:MZP654199 NJL654110:NJL654199 NTH654110:NTH654199 ODD654110:ODD654199 OMZ654110:OMZ654199 OWV654110:OWV654199 PGR654110:PGR654199 PQN654110:PQN654199 QAJ654110:QAJ654199 QKF654110:QKF654199 QUB654110:QUB654199 RDX654110:RDX654199 RNT654110:RNT654199 RXP654110:RXP654199 SHL654110:SHL654199 SRH654110:SRH654199 TBD654110:TBD654199 TKZ654110:TKZ654199 TUV654110:TUV654199 UER654110:UER654199 UON654110:UON654199 UYJ654110:UYJ654199 VIF654110:VIF654199 VSB654110:VSB654199 WBX654110:WBX654199 WLT654110:WLT654199 WVP654110:WVP654199 H719667:H719756 JD719646:JD719735 SZ719646:SZ719735 ACV719646:ACV719735 AMR719646:AMR719735 AWN719646:AWN719735 BGJ719646:BGJ719735 BQF719646:BQF719735 CAB719646:CAB719735 CJX719646:CJX719735 CTT719646:CTT719735 DDP719646:DDP719735 DNL719646:DNL719735 DXH719646:DXH719735 EHD719646:EHD719735 EQZ719646:EQZ719735 FAV719646:FAV719735 FKR719646:FKR719735 FUN719646:FUN719735 GEJ719646:GEJ719735 GOF719646:GOF719735 GYB719646:GYB719735 HHX719646:HHX719735 HRT719646:HRT719735 IBP719646:IBP719735 ILL719646:ILL719735 IVH719646:IVH719735 JFD719646:JFD719735 JOZ719646:JOZ719735 JYV719646:JYV719735 KIR719646:KIR719735 KSN719646:KSN719735 LCJ719646:LCJ719735 LMF719646:LMF719735 LWB719646:LWB719735 MFX719646:MFX719735 MPT719646:MPT719735 MZP719646:MZP719735 NJL719646:NJL719735 NTH719646:NTH719735 ODD719646:ODD719735 OMZ719646:OMZ719735 OWV719646:OWV719735 PGR719646:PGR719735 PQN719646:PQN719735 QAJ719646:QAJ719735 QKF719646:QKF719735 QUB719646:QUB719735 RDX719646:RDX719735 RNT719646:RNT719735 RXP719646:RXP719735 SHL719646:SHL719735 SRH719646:SRH719735 TBD719646:TBD719735 TKZ719646:TKZ719735 TUV719646:TUV719735 UER719646:UER719735 UON719646:UON719735 UYJ719646:UYJ719735 VIF719646:VIF719735 VSB719646:VSB719735 WBX719646:WBX719735 WLT719646:WLT719735 WVP719646:WVP719735 H785203:H785292 JD785182:JD785271 SZ785182:SZ785271 ACV785182:ACV785271 AMR785182:AMR785271 AWN785182:AWN785271 BGJ785182:BGJ785271 BQF785182:BQF785271 CAB785182:CAB785271 CJX785182:CJX785271 CTT785182:CTT785271 DDP785182:DDP785271 DNL785182:DNL785271 DXH785182:DXH785271 EHD785182:EHD785271 EQZ785182:EQZ785271 FAV785182:FAV785271 FKR785182:FKR785271 FUN785182:FUN785271 GEJ785182:GEJ785271 GOF785182:GOF785271 GYB785182:GYB785271 HHX785182:HHX785271 HRT785182:HRT785271 IBP785182:IBP785271 ILL785182:ILL785271 IVH785182:IVH785271 JFD785182:JFD785271 JOZ785182:JOZ785271 JYV785182:JYV785271 KIR785182:KIR785271 KSN785182:KSN785271 LCJ785182:LCJ785271 LMF785182:LMF785271 LWB785182:LWB785271 MFX785182:MFX785271 MPT785182:MPT785271 MZP785182:MZP785271 NJL785182:NJL785271 NTH785182:NTH785271 ODD785182:ODD785271 OMZ785182:OMZ785271 OWV785182:OWV785271 PGR785182:PGR785271 PQN785182:PQN785271 QAJ785182:QAJ785271 QKF785182:QKF785271 QUB785182:QUB785271 RDX785182:RDX785271 RNT785182:RNT785271 RXP785182:RXP785271 SHL785182:SHL785271 SRH785182:SRH785271 TBD785182:TBD785271 TKZ785182:TKZ785271 TUV785182:TUV785271 UER785182:UER785271 UON785182:UON785271 UYJ785182:UYJ785271 VIF785182:VIF785271 VSB785182:VSB785271 WBX785182:WBX785271 WLT785182:WLT785271 WVP785182:WVP785271 H850739:H850828 JD850718:JD850807 SZ850718:SZ850807 ACV850718:ACV850807 AMR850718:AMR850807 AWN850718:AWN850807 BGJ850718:BGJ850807 BQF850718:BQF850807 CAB850718:CAB850807 CJX850718:CJX850807 CTT850718:CTT850807 DDP850718:DDP850807 DNL850718:DNL850807 DXH850718:DXH850807 EHD850718:EHD850807 EQZ850718:EQZ850807 FAV850718:FAV850807 FKR850718:FKR850807 FUN850718:FUN850807 GEJ850718:GEJ850807 GOF850718:GOF850807 GYB850718:GYB850807 HHX850718:HHX850807 HRT850718:HRT850807 IBP850718:IBP850807 ILL850718:ILL850807 IVH850718:IVH850807 JFD850718:JFD850807 JOZ850718:JOZ850807 JYV850718:JYV850807 KIR850718:KIR850807 KSN850718:KSN850807 LCJ850718:LCJ850807 LMF850718:LMF850807 LWB850718:LWB850807 MFX850718:MFX850807 MPT850718:MPT850807 MZP850718:MZP850807 NJL850718:NJL850807 NTH850718:NTH850807 ODD850718:ODD850807 OMZ850718:OMZ850807 OWV850718:OWV850807 PGR850718:PGR850807 PQN850718:PQN850807 QAJ850718:QAJ850807 QKF850718:QKF850807 QUB850718:QUB850807 RDX850718:RDX850807 RNT850718:RNT850807 RXP850718:RXP850807 SHL850718:SHL850807 SRH850718:SRH850807 TBD850718:TBD850807 TKZ850718:TKZ850807 TUV850718:TUV850807 UER850718:UER850807 UON850718:UON850807 UYJ850718:UYJ850807 VIF850718:VIF850807 VSB850718:VSB850807 WBX850718:WBX850807 WLT850718:WLT850807 WVP850718:WVP850807 H916275:H916364 JD916254:JD916343 SZ916254:SZ916343 ACV916254:ACV916343 AMR916254:AMR916343 AWN916254:AWN916343 BGJ916254:BGJ916343 BQF916254:BQF916343 CAB916254:CAB916343 CJX916254:CJX916343 CTT916254:CTT916343 DDP916254:DDP916343 DNL916254:DNL916343 DXH916254:DXH916343 EHD916254:EHD916343 EQZ916254:EQZ916343 FAV916254:FAV916343 FKR916254:FKR916343 FUN916254:FUN916343 GEJ916254:GEJ916343 GOF916254:GOF916343 GYB916254:GYB916343 HHX916254:HHX916343 HRT916254:HRT916343 IBP916254:IBP916343 ILL916254:ILL916343 IVH916254:IVH916343 JFD916254:JFD916343 JOZ916254:JOZ916343 JYV916254:JYV916343 KIR916254:KIR916343 KSN916254:KSN916343 LCJ916254:LCJ916343 LMF916254:LMF916343 LWB916254:LWB916343 MFX916254:MFX916343 MPT916254:MPT916343 MZP916254:MZP916343 NJL916254:NJL916343 NTH916254:NTH916343 ODD916254:ODD916343 OMZ916254:OMZ916343 OWV916254:OWV916343 PGR916254:PGR916343 PQN916254:PQN916343 QAJ916254:QAJ916343 QKF916254:QKF916343 QUB916254:QUB916343 RDX916254:RDX916343 RNT916254:RNT916343 RXP916254:RXP916343 SHL916254:SHL916343 SRH916254:SRH916343 TBD916254:TBD916343 TKZ916254:TKZ916343 TUV916254:TUV916343 UER916254:UER916343 UON916254:UON916343 UYJ916254:UYJ916343 VIF916254:VIF916343 VSB916254:VSB916343 WBX916254:WBX916343 WLT916254:WLT916343 WVP916254:WVP916343 H981811:H981900 JD981790:JD981879 SZ981790:SZ981879 ACV981790:ACV981879 AMR981790:AMR981879 AWN981790:AWN981879 BGJ981790:BGJ981879 BQF981790:BQF981879 CAB981790:CAB981879 CJX981790:CJX981879 CTT981790:CTT981879 DDP981790:DDP981879 DNL981790:DNL981879 DXH981790:DXH981879 EHD981790:EHD981879 EQZ981790:EQZ981879 FAV981790:FAV981879 FKR981790:FKR981879 FUN981790:FUN981879 GEJ981790:GEJ981879 GOF981790:GOF981879 GYB981790:GYB981879 HHX981790:HHX981879 HRT981790:HRT981879 IBP981790:IBP981879 ILL981790:ILL981879 IVH981790:IVH981879 JFD981790:JFD981879 JOZ981790:JOZ981879 JYV981790:JYV981879 KIR981790:KIR981879 KSN981790:KSN981879 LCJ981790:LCJ981879 LMF981790:LMF981879 LWB981790:LWB981879 MFX981790:MFX981879 MPT981790:MPT981879 MZP981790:MZP981879 NJL981790:NJL981879 NTH981790:NTH981879 ODD981790:ODD981879 OMZ981790:OMZ981879 OWV981790:OWV981879 PGR981790:PGR981879 PQN981790:PQN981879 QAJ981790:QAJ981879 QKF981790:QKF981879 QUB981790:QUB981879 RDX981790:RDX981879 RNT981790:RNT981879 RXP981790:RXP981879 SHL981790:SHL981879 SRH981790:SRH981879 TBD981790:TBD981879 TKZ981790:TKZ981879 TUV981790:TUV981879 UER981790:UER981879 UON981790:UON981879 UYJ981790:UYJ981879 VIF981790:VIF981879 VSB981790:VSB981879 WBX981790:WBX981879 WLT981790:WLT981879 WVP2:WVP58 WLT2:WLT58 WBX2:WBX58 VSB2:VSB58 VIF2:VIF58 UYJ2:UYJ58 UON2:UON58 UER2:UER58 TUV2:TUV58 TKZ2:TKZ58 TBD2:TBD58 SRH2:SRH58 SHL2:SHL58 RXP2:RXP58 RNT2:RNT58 RDX2:RDX58 QUB2:QUB58 QKF2:QKF58 QAJ2:QAJ58 PQN2:PQN58 PGR2:PGR58 OWV2:OWV58 OMZ2:OMZ58 ODD2:ODD58 NTH2:NTH58 NJL2:NJL58 MZP2:MZP58 MPT2:MPT58 MFX2:MFX58 LWB2:LWB58 LMF2:LMF58 LCJ2:LCJ58 KSN2:KSN58 KIR2:KIR58 JYV2:JYV58 JOZ2:JOZ58 JFD2:JFD58 IVH2:IVH58 ILL2:ILL58 IBP2:IBP58 HRT2:HRT58 HHX2:HHX58 GYB2:GYB58 GOF2:GOF58 GEJ2:GEJ58 FUN2:FUN58 FKR2:FKR58 FAV2:FAV58 EQZ2:EQZ58 EHD2:EHD58 DXH2:DXH58 DNL2:DNL58 DDP2:DDP58 CTT2:CTT58 CJX2:CJX58 CAB2:CAB58 BQF2:BQF58 BGJ2:BGJ58 AWN2:AWN58 AMR2:AMR58 ACV2:ACV58 SZ2:SZ58 JD2:JD58" xr:uid="{AE545027-8829-4E8C-983C-607408DF85A6}">
      <formula1>$AL$5:$AL$10</formula1>
    </dataValidation>
    <dataValidation type="list" allowBlank="1" showInputMessage="1" showErrorMessage="1" sqref="WVQ981790:WVQ981873 WLU981790:WLU981873 I81:I485 I64307:I64390 JE64286:JE64369 TA64286:TA64369 ACW64286:ACW64369 AMS64286:AMS64369 AWO64286:AWO64369 BGK64286:BGK64369 BQG64286:BQG64369 CAC64286:CAC64369 CJY64286:CJY64369 CTU64286:CTU64369 DDQ64286:DDQ64369 DNM64286:DNM64369 DXI64286:DXI64369 EHE64286:EHE64369 ERA64286:ERA64369 FAW64286:FAW64369 FKS64286:FKS64369 FUO64286:FUO64369 GEK64286:GEK64369 GOG64286:GOG64369 GYC64286:GYC64369 HHY64286:HHY64369 HRU64286:HRU64369 IBQ64286:IBQ64369 ILM64286:ILM64369 IVI64286:IVI64369 JFE64286:JFE64369 JPA64286:JPA64369 JYW64286:JYW64369 KIS64286:KIS64369 KSO64286:KSO64369 LCK64286:LCK64369 LMG64286:LMG64369 LWC64286:LWC64369 MFY64286:MFY64369 MPU64286:MPU64369 MZQ64286:MZQ64369 NJM64286:NJM64369 NTI64286:NTI64369 ODE64286:ODE64369 ONA64286:ONA64369 OWW64286:OWW64369 PGS64286:PGS64369 PQO64286:PQO64369 QAK64286:QAK64369 QKG64286:QKG64369 QUC64286:QUC64369 RDY64286:RDY64369 RNU64286:RNU64369 RXQ64286:RXQ64369 SHM64286:SHM64369 SRI64286:SRI64369 TBE64286:TBE64369 TLA64286:TLA64369 TUW64286:TUW64369 UES64286:UES64369 UOO64286:UOO64369 UYK64286:UYK64369 VIG64286:VIG64369 VSC64286:VSC64369 WBY64286:WBY64369 WLU64286:WLU64369 WVQ64286:WVQ64369 I129843:I129926 JE129822:JE129905 TA129822:TA129905 ACW129822:ACW129905 AMS129822:AMS129905 AWO129822:AWO129905 BGK129822:BGK129905 BQG129822:BQG129905 CAC129822:CAC129905 CJY129822:CJY129905 CTU129822:CTU129905 DDQ129822:DDQ129905 DNM129822:DNM129905 DXI129822:DXI129905 EHE129822:EHE129905 ERA129822:ERA129905 FAW129822:FAW129905 FKS129822:FKS129905 FUO129822:FUO129905 GEK129822:GEK129905 GOG129822:GOG129905 GYC129822:GYC129905 HHY129822:HHY129905 HRU129822:HRU129905 IBQ129822:IBQ129905 ILM129822:ILM129905 IVI129822:IVI129905 JFE129822:JFE129905 JPA129822:JPA129905 JYW129822:JYW129905 KIS129822:KIS129905 KSO129822:KSO129905 LCK129822:LCK129905 LMG129822:LMG129905 LWC129822:LWC129905 MFY129822:MFY129905 MPU129822:MPU129905 MZQ129822:MZQ129905 NJM129822:NJM129905 NTI129822:NTI129905 ODE129822:ODE129905 ONA129822:ONA129905 OWW129822:OWW129905 PGS129822:PGS129905 PQO129822:PQO129905 QAK129822:QAK129905 QKG129822:QKG129905 QUC129822:QUC129905 RDY129822:RDY129905 RNU129822:RNU129905 RXQ129822:RXQ129905 SHM129822:SHM129905 SRI129822:SRI129905 TBE129822:TBE129905 TLA129822:TLA129905 TUW129822:TUW129905 UES129822:UES129905 UOO129822:UOO129905 UYK129822:UYK129905 VIG129822:VIG129905 VSC129822:VSC129905 WBY129822:WBY129905 WLU129822:WLU129905 WVQ129822:WVQ129905 I195379:I195462 JE195358:JE195441 TA195358:TA195441 ACW195358:ACW195441 AMS195358:AMS195441 AWO195358:AWO195441 BGK195358:BGK195441 BQG195358:BQG195441 CAC195358:CAC195441 CJY195358:CJY195441 CTU195358:CTU195441 DDQ195358:DDQ195441 DNM195358:DNM195441 DXI195358:DXI195441 EHE195358:EHE195441 ERA195358:ERA195441 FAW195358:FAW195441 FKS195358:FKS195441 FUO195358:FUO195441 GEK195358:GEK195441 GOG195358:GOG195441 GYC195358:GYC195441 HHY195358:HHY195441 HRU195358:HRU195441 IBQ195358:IBQ195441 ILM195358:ILM195441 IVI195358:IVI195441 JFE195358:JFE195441 JPA195358:JPA195441 JYW195358:JYW195441 KIS195358:KIS195441 KSO195358:KSO195441 LCK195358:LCK195441 LMG195358:LMG195441 LWC195358:LWC195441 MFY195358:MFY195441 MPU195358:MPU195441 MZQ195358:MZQ195441 NJM195358:NJM195441 NTI195358:NTI195441 ODE195358:ODE195441 ONA195358:ONA195441 OWW195358:OWW195441 PGS195358:PGS195441 PQO195358:PQO195441 QAK195358:QAK195441 QKG195358:QKG195441 QUC195358:QUC195441 RDY195358:RDY195441 RNU195358:RNU195441 RXQ195358:RXQ195441 SHM195358:SHM195441 SRI195358:SRI195441 TBE195358:TBE195441 TLA195358:TLA195441 TUW195358:TUW195441 UES195358:UES195441 UOO195358:UOO195441 UYK195358:UYK195441 VIG195358:VIG195441 VSC195358:VSC195441 WBY195358:WBY195441 WLU195358:WLU195441 WVQ195358:WVQ195441 I260915:I260998 JE260894:JE260977 TA260894:TA260977 ACW260894:ACW260977 AMS260894:AMS260977 AWO260894:AWO260977 BGK260894:BGK260977 BQG260894:BQG260977 CAC260894:CAC260977 CJY260894:CJY260977 CTU260894:CTU260977 DDQ260894:DDQ260977 DNM260894:DNM260977 DXI260894:DXI260977 EHE260894:EHE260977 ERA260894:ERA260977 FAW260894:FAW260977 FKS260894:FKS260977 FUO260894:FUO260977 GEK260894:GEK260977 GOG260894:GOG260977 GYC260894:GYC260977 HHY260894:HHY260977 HRU260894:HRU260977 IBQ260894:IBQ260977 ILM260894:ILM260977 IVI260894:IVI260977 JFE260894:JFE260977 JPA260894:JPA260977 JYW260894:JYW260977 KIS260894:KIS260977 KSO260894:KSO260977 LCK260894:LCK260977 LMG260894:LMG260977 LWC260894:LWC260977 MFY260894:MFY260977 MPU260894:MPU260977 MZQ260894:MZQ260977 NJM260894:NJM260977 NTI260894:NTI260977 ODE260894:ODE260977 ONA260894:ONA260977 OWW260894:OWW260977 PGS260894:PGS260977 PQO260894:PQO260977 QAK260894:QAK260977 QKG260894:QKG260977 QUC260894:QUC260977 RDY260894:RDY260977 RNU260894:RNU260977 RXQ260894:RXQ260977 SHM260894:SHM260977 SRI260894:SRI260977 TBE260894:TBE260977 TLA260894:TLA260977 TUW260894:TUW260977 UES260894:UES260977 UOO260894:UOO260977 UYK260894:UYK260977 VIG260894:VIG260977 VSC260894:VSC260977 WBY260894:WBY260977 WLU260894:WLU260977 WVQ260894:WVQ260977 I326451:I326534 JE326430:JE326513 TA326430:TA326513 ACW326430:ACW326513 AMS326430:AMS326513 AWO326430:AWO326513 BGK326430:BGK326513 BQG326430:BQG326513 CAC326430:CAC326513 CJY326430:CJY326513 CTU326430:CTU326513 DDQ326430:DDQ326513 DNM326430:DNM326513 DXI326430:DXI326513 EHE326430:EHE326513 ERA326430:ERA326513 FAW326430:FAW326513 FKS326430:FKS326513 FUO326430:FUO326513 GEK326430:GEK326513 GOG326430:GOG326513 GYC326430:GYC326513 HHY326430:HHY326513 HRU326430:HRU326513 IBQ326430:IBQ326513 ILM326430:ILM326513 IVI326430:IVI326513 JFE326430:JFE326513 JPA326430:JPA326513 JYW326430:JYW326513 KIS326430:KIS326513 KSO326430:KSO326513 LCK326430:LCK326513 LMG326430:LMG326513 LWC326430:LWC326513 MFY326430:MFY326513 MPU326430:MPU326513 MZQ326430:MZQ326513 NJM326430:NJM326513 NTI326430:NTI326513 ODE326430:ODE326513 ONA326430:ONA326513 OWW326430:OWW326513 PGS326430:PGS326513 PQO326430:PQO326513 QAK326430:QAK326513 QKG326430:QKG326513 QUC326430:QUC326513 RDY326430:RDY326513 RNU326430:RNU326513 RXQ326430:RXQ326513 SHM326430:SHM326513 SRI326430:SRI326513 TBE326430:TBE326513 TLA326430:TLA326513 TUW326430:TUW326513 UES326430:UES326513 UOO326430:UOO326513 UYK326430:UYK326513 VIG326430:VIG326513 VSC326430:VSC326513 WBY326430:WBY326513 WLU326430:WLU326513 WVQ326430:WVQ326513 I391987:I392070 JE391966:JE392049 TA391966:TA392049 ACW391966:ACW392049 AMS391966:AMS392049 AWO391966:AWO392049 BGK391966:BGK392049 BQG391966:BQG392049 CAC391966:CAC392049 CJY391966:CJY392049 CTU391966:CTU392049 DDQ391966:DDQ392049 DNM391966:DNM392049 DXI391966:DXI392049 EHE391966:EHE392049 ERA391966:ERA392049 FAW391966:FAW392049 FKS391966:FKS392049 FUO391966:FUO392049 GEK391966:GEK392049 GOG391966:GOG392049 GYC391966:GYC392049 HHY391966:HHY392049 HRU391966:HRU392049 IBQ391966:IBQ392049 ILM391966:ILM392049 IVI391966:IVI392049 JFE391966:JFE392049 JPA391966:JPA392049 JYW391966:JYW392049 KIS391966:KIS392049 KSO391966:KSO392049 LCK391966:LCK392049 LMG391966:LMG392049 LWC391966:LWC392049 MFY391966:MFY392049 MPU391966:MPU392049 MZQ391966:MZQ392049 NJM391966:NJM392049 NTI391966:NTI392049 ODE391966:ODE392049 ONA391966:ONA392049 OWW391966:OWW392049 PGS391966:PGS392049 PQO391966:PQO392049 QAK391966:QAK392049 QKG391966:QKG392049 QUC391966:QUC392049 RDY391966:RDY392049 RNU391966:RNU392049 RXQ391966:RXQ392049 SHM391966:SHM392049 SRI391966:SRI392049 TBE391966:TBE392049 TLA391966:TLA392049 TUW391966:TUW392049 UES391966:UES392049 UOO391966:UOO392049 UYK391966:UYK392049 VIG391966:VIG392049 VSC391966:VSC392049 WBY391966:WBY392049 WLU391966:WLU392049 WVQ391966:WVQ392049 I457523:I457606 JE457502:JE457585 TA457502:TA457585 ACW457502:ACW457585 AMS457502:AMS457585 AWO457502:AWO457585 BGK457502:BGK457585 BQG457502:BQG457585 CAC457502:CAC457585 CJY457502:CJY457585 CTU457502:CTU457585 DDQ457502:DDQ457585 DNM457502:DNM457585 DXI457502:DXI457585 EHE457502:EHE457585 ERA457502:ERA457585 FAW457502:FAW457585 FKS457502:FKS457585 FUO457502:FUO457585 GEK457502:GEK457585 GOG457502:GOG457585 GYC457502:GYC457585 HHY457502:HHY457585 HRU457502:HRU457585 IBQ457502:IBQ457585 ILM457502:ILM457585 IVI457502:IVI457585 JFE457502:JFE457585 JPA457502:JPA457585 JYW457502:JYW457585 KIS457502:KIS457585 KSO457502:KSO457585 LCK457502:LCK457585 LMG457502:LMG457585 LWC457502:LWC457585 MFY457502:MFY457585 MPU457502:MPU457585 MZQ457502:MZQ457585 NJM457502:NJM457585 NTI457502:NTI457585 ODE457502:ODE457585 ONA457502:ONA457585 OWW457502:OWW457585 PGS457502:PGS457585 PQO457502:PQO457585 QAK457502:QAK457585 QKG457502:QKG457585 QUC457502:QUC457585 RDY457502:RDY457585 RNU457502:RNU457585 RXQ457502:RXQ457585 SHM457502:SHM457585 SRI457502:SRI457585 TBE457502:TBE457585 TLA457502:TLA457585 TUW457502:TUW457585 UES457502:UES457585 UOO457502:UOO457585 UYK457502:UYK457585 VIG457502:VIG457585 VSC457502:VSC457585 WBY457502:WBY457585 WLU457502:WLU457585 WVQ457502:WVQ457585 I523059:I523142 JE523038:JE523121 TA523038:TA523121 ACW523038:ACW523121 AMS523038:AMS523121 AWO523038:AWO523121 BGK523038:BGK523121 BQG523038:BQG523121 CAC523038:CAC523121 CJY523038:CJY523121 CTU523038:CTU523121 DDQ523038:DDQ523121 DNM523038:DNM523121 DXI523038:DXI523121 EHE523038:EHE523121 ERA523038:ERA523121 FAW523038:FAW523121 FKS523038:FKS523121 FUO523038:FUO523121 GEK523038:GEK523121 GOG523038:GOG523121 GYC523038:GYC523121 HHY523038:HHY523121 HRU523038:HRU523121 IBQ523038:IBQ523121 ILM523038:ILM523121 IVI523038:IVI523121 JFE523038:JFE523121 JPA523038:JPA523121 JYW523038:JYW523121 KIS523038:KIS523121 KSO523038:KSO523121 LCK523038:LCK523121 LMG523038:LMG523121 LWC523038:LWC523121 MFY523038:MFY523121 MPU523038:MPU523121 MZQ523038:MZQ523121 NJM523038:NJM523121 NTI523038:NTI523121 ODE523038:ODE523121 ONA523038:ONA523121 OWW523038:OWW523121 PGS523038:PGS523121 PQO523038:PQO523121 QAK523038:QAK523121 QKG523038:QKG523121 QUC523038:QUC523121 RDY523038:RDY523121 RNU523038:RNU523121 RXQ523038:RXQ523121 SHM523038:SHM523121 SRI523038:SRI523121 TBE523038:TBE523121 TLA523038:TLA523121 TUW523038:TUW523121 UES523038:UES523121 UOO523038:UOO523121 UYK523038:UYK523121 VIG523038:VIG523121 VSC523038:VSC523121 WBY523038:WBY523121 WLU523038:WLU523121 WVQ523038:WVQ523121 I588595:I588678 JE588574:JE588657 TA588574:TA588657 ACW588574:ACW588657 AMS588574:AMS588657 AWO588574:AWO588657 BGK588574:BGK588657 BQG588574:BQG588657 CAC588574:CAC588657 CJY588574:CJY588657 CTU588574:CTU588657 DDQ588574:DDQ588657 DNM588574:DNM588657 DXI588574:DXI588657 EHE588574:EHE588657 ERA588574:ERA588657 FAW588574:FAW588657 FKS588574:FKS588657 FUO588574:FUO588657 GEK588574:GEK588657 GOG588574:GOG588657 GYC588574:GYC588657 HHY588574:HHY588657 HRU588574:HRU588657 IBQ588574:IBQ588657 ILM588574:ILM588657 IVI588574:IVI588657 JFE588574:JFE588657 JPA588574:JPA588657 JYW588574:JYW588657 KIS588574:KIS588657 KSO588574:KSO588657 LCK588574:LCK588657 LMG588574:LMG588657 LWC588574:LWC588657 MFY588574:MFY588657 MPU588574:MPU588657 MZQ588574:MZQ588657 NJM588574:NJM588657 NTI588574:NTI588657 ODE588574:ODE588657 ONA588574:ONA588657 OWW588574:OWW588657 PGS588574:PGS588657 PQO588574:PQO588657 QAK588574:QAK588657 QKG588574:QKG588657 QUC588574:QUC588657 RDY588574:RDY588657 RNU588574:RNU588657 RXQ588574:RXQ588657 SHM588574:SHM588657 SRI588574:SRI588657 TBE588574:TBE588657 TLA588574:TLA588657 TUW588574:TUW588657 UES588574:UES588657 UOO588574:UOO588657 UYK588574:UYK588657 VIG588574:VIG588657 VSC588574:VSC588657 WBY588574:WBY588657 WLU588574:WLU588657 WVQ588574:WVQ588657 I654131:I654214 JE654110:JE654193 TA654110:TA654193 ACW654110:ACW654193 AMS654110:AMS654193 AWO654110:AWO654193 BGK654110:BGK654193 BQG654110:BQG654193 CAC654110:CAC654193 CJY654110:CJY654193 CTU654110:CTU654193 DDQ654110:DDQ654193 DNM654110:DNM654193 DXI654110:DXI654193 EHE654110:EHE654193 ERA654110:ERA654193 FAW654110:FAW654193 FKS654110:FKS654193 FUO654110:FUO654193 GEK654110:GEK654193 GOG654110:GOG654193 GYC654110:GYC654193 HHY654110:HHY654193 HRU654110:HRU654193 IBQ654110:IBQ654193 ILM654110:ILM654193 IVI654110:IVI654193 JFE654110:JFE654193 JPA654110:JPA654193 JYW654110:JYW654193 KIS654110:KIS654193 KSO654110:KSO654193 LCK654110:LCK654193 LMG654110:LMG654193 LWC654110:LWC654193 MFY654110:MFY654193 MPU654110:MPU654193 MZQ654110:MZQ654193 NJM654110:NJM654193 NTI654110:NTI654193 ODE654110:ODE654193 ONA654110:ONA654193 OWW654110:OWW654193 PGS654110:PGS654193 PQO654110:PQO654193 QAK654110:QAK654193 QKG654110:QKG654193 QUC654110:QUC654193 RDY654110:RDY654193 RNU654110:RNU654193 RXQ654110:RXQ654193 SHM654110:SHM654193 SRI654110:SRI654193 TBE654110:TBE654193 TLA654110:TLA654193 TUW654110:TUW654193 UES654110:UES654193 UOO654110:UOO654193 UYK654110:UYK654193 VIG654110:VIG654193 VSC654110:VSC654193 WBY654110:WBY654193 WLU654110:WLU654193 WVQ654110:WVQ654193 I719667:I719750 JE719646:JE719729 TA719646:TA719729 ACW719646:ACW719729 AMS719646:AMS719729 AWO719646:AWO719729 BGK719646:BGK719729 BQG719646:BQG719729 CAC719646:CAC719729 CJY719646:CJY719729 CTU719646:CTU719729 DDQ719646:DDQ719729 DNM719646:DNM719729 DXI719646:DXI719729 EHE719646:EHE719729 ERA719646:ERA719729 FAW719646:FAW719729 FKS719646:FKS719729 FUO719646:FUO719729 GEK719646:GEK719729 GOG719646:GOG719729 GYC719646:GYC719729 HHY719646:HHY719729 HRU719646:HRU719729 IBQ719646:IBQ719729 ILM719646:ILM719729 IVI719646:IVI719729 JFE719646:JFE719729 JPA719646:JPA719729 JYW719646:JYW719729 KIS719646:KIS719729 KSO719646:KSO719729 LCK719646:LCK719729 LMG719646:LMG719729 LWC719646:LWC719729 MFY719646:MFY719729 MPU719646:MPU719729 MZQ719646:MZQ719729 NJM719646:NJM719729 NTI719646:NTI719729 ODE719646:ODE719729 ONA719646:ONA719729 OWW719646:OWW719729 PGS719646:PGS719729 PQO719646:PQO719729 QAK719646:QAK719729 QKG719646:QKG719729 QUC719646:QUC719729 RDY719646:RDY719729 RNU719646:RNU719729 RXQ719646:RXQ719729 SHM719646:SHM719729 SRI719646:SRI719729 TBE719646:TBE719729 TLA719646:TLA719729 TUW719646:TUW719729 UES719646:UES719729 UOO719646:UOO719729 UYK719646:UYK719729 VIG719646:VIG719729 VSC719646:VSC719729 WBY719646:WBY719729 WLU719646:WLU719729 WVQ719646:WVQ719729 I785203:I785286 JE785182:JE785265 TA785182:TA785265 ACW785182:ACW785265 AMS785182:AMS785265 AWO785182:AWO785265 BGK785182:BGK785265 BQG785182:BQG785265 CAC785182:CAC785265 CJY785182:CJY785265 CTU785182:CTU785265 DDQ785182:DDQ785265 DNM785182:DNM785265 DXI785182:DXI785265 EHE785182:EHE785265 ERA785182:ERA785265 FAW785182:FAW785265 FKS785182:FKS785265 FUO785182:FUO785265 GEK785182:GEK785265 GOG785182:GOG785265 GYC785182:GYC785265 HHY785182:HHY785265 HRU785182:HRU785265 IBQ785182:IBQ785265 ILM785182:ILM785265 IVI785182:IVI785265 JFE785182:JFE785265 JPA785182:JPA785265 JYW785182:JYW785265 KIS785182:KIS785265 KSO785182:KSO785265 LCK785182:LCK785265 LMG785182:LMG785265 LWC785182:LWC785265 MFY785182:MFY785265 MPU785182:MPU785265 MZQ785182:MZQ785265 NJM785182:NJM785265 NTI785182:NTI785265 ODE785182:ODE785265 ONA785182:ONA785265 OWW785182:OWW785265 PGS785182:PGS785265 PQO785182:PQO785265 QAK785182:QAK785265 QKG785182:QKG785265 QUC785182:QUC785265 RDY785182:RDY785265 RNU785182:RNU785265 RXQ785182:RXQ785265 SHM785182:SHM785265 SRI785182:SRI785265 TBE785182:TBE785265 TLA785182:TLA785265 TUW785182:TUW785265 UES785182:UES785265 UOO785182:UOO785265 UYK785182:UYK785265 VIG785182:VIG785265 VSC785182:VSC785265 WBY785182:WBY785265 WLU785182:WLU785265 WVQ785182:WVQ785265 I850739:I850822 JE850718:JE850801 TA850718:TA850801 ACW850718:ACW850801 AMS850718:AMS850801 AWO850718:AWO850801 BGK850718:BGK850801 BQG850718:BQG850801 CAC850718:CAC850801 CJY850718:CJY850801 CTU850718:CTU850801 DDQ850718:DDQ850801 DNM850718:DNM850801 DXI850718:DXI850801 EHE850718:EHE850801 ERA850718:ERA850801 FAW850718:FAW850801 FKS850718:FKS850801 FUO850718:FUO850801 GEK850718:GEK850801 GOG850718:GOG850801 GYC850718:GYC850801 HHY850718:HHY850801 HRU850718:HRU850801 IBQ850718:IBQ850801 ILM850718:ILM850801 IVI850718:IVI850801 JFE850718:JFE850801 JPA850718:JPA850801 JYW850718:JYW850801 KIS850718:KIS850801 KSO850718:KSO850801 LCK850718:LCK850801 LMG850718:LMG850801 LWC850718:LWC850801 MFY850718:MFY850801 MPU850718:MPU850801 MZQ850718:MZQ850801 NJM850718:NJM850801 NTI850718:NTI850801 ODE850718:ODE850801 ONA850718:ONA850801 OWW850718:OWW850801 PGS850718:PGS850801 PQO850718:PQO850801 QAK850718:QAK850801 QKG850718:QKG850801 QUC850718:QUC850801 RDY850718:RDY850801 RNU850718:RNU850801 RXQ850718:RXQ850801 SHM850718:SHM850801 SRI850718:SRI850801 TBE850718:TBE850801 TLA850718:TLA850801 TUW850718:TUW850801 UES850718:UES850801 UOO850718:UOO850801 UYK850718:UYK850801 VIG850718:VIG850801 VSC850718:VSC850801 WBY850718:WBY850801 WLU850718:WLU850801 WVQ850718:WVQ850801 I916275:I916358 JE916254:JE916337 TA916254:TA916337 ACW916254:ACW916337 AMS916254:AMS916337 AWO916254:AWO916337 BGK916254:BGK916337 BQG916254:BQG916337 CAC916254:CAC916337 CJY916254:CJY916337 CTU916254:CTU916337 DDQ916254:DDQ916337 DNM916254:DNM916337 DXI916254:DXI916337 EHE916254:EHE916337 ERA916254:ERA916337 FAW916254:FAW916337 FKS916254:FKS916337 FUO916254:FUO916337 GEK916254:GEK916337 GOG916254:GOG916337 GYC916254:GYC916337 HHY916254:HHY916337 HRU916254:HRU916337 IBQ916254:IBQ916337 ILM916254:ILM916337 IVI916254:IVI916337 JFE916254:JFE916337 JPA916254:JPA916337 JYW916254:JYW916337 KIS916254:KIS916337 KSO916254:KSO916337 LCK916254:LCK916337 LMG916254:LMG916337 LWC916254:LWC916337 MFY916254:MFY916337 MPU916254:MPU916337 MZQ916254:MZQ916337 NJM916254:NJM916337 NTI916254:NTI916337 ODE916254:ODE916337 ONA916254:ONA916337 OWW916254:OWW916337 PGS916254:PGS916337 PQO916254:PQO916337 QAK916254:QAK916337 QKG916254:QKG916337 QUC916254:QUC916337 RDY916254:RDY916337 RNU916254:RNU916337 RXQ916254:RXQ916337 SHM916254:SHM916337 SRI916254:SRI916337 TBE916254:TBE916337 TLA916254:TLA916337 TUW916254:TUW916337 UES916254:UES916337 UOO916254:UOO916337 UYK916254:UYK916337 VIG916254:VIG916337 VSC916254:VSC916337 WBY916254:WBY916337 WLU916254:WLU916337 WVQ916254:WVQ916337 I981811:I981894 JE981790:JE981873 TA981790:TA981873 ACW981790:ACW981873 AMS981790:AMS981873 AWO981790:AWO981873 BGK981790:BGK981873 BQG981790:BQG981873 CAC981790:CAC981873 CJY981790:CJY981873 CTU981790:CTU981873 DDQ981790:DDQ981873 DNM981790:DNM981873 DXI981790:DXI981873 EHE981790:EHE981873 ERA981790:ERA981873 FAW981790:FAW981873 FKS981790:FKS981873 FUO981790:FUO981873 GEK981790:GEK981873 GOG981790:GOG981873 GYC981790:GYC981873 HHY981790:HHY981873 HRU981790:HRU981873 IBQ981790:IBQ981873 ILM981790:ILM981873 IVI981790:IVI981873 JFE981790:JFE981873 JPA981790:JPA981873 JYW981790:JYW981873 KIS981790:KIS981873 KSO981790:KSO981873 LCK981790:LCK981873 LMG981790:LMG981873 LWC981790:LWC981873 MFY981790:MFY981873 MPU981790:MPU981873 MZQ981790:MZQ981873 NJM981790:NJM981873 NTI981790:NTI981873 ODE981790:ODE981873 ONA981790:ONA981873 OWW981790:OWW981873 PGS981790:PGS981873 PQO981790:PQO981873 QAK981790:QAK981873 QKG981790:QKG981873 QUC981790:QUC981873 RDY981790:RDY981873 RNU981790:RNU981873 RXQ981790:RXQ981873 SHM981790:SHM981873 SRI981790:SRI981873 TBE981790:TBE981873 TLA981790:TLA981873 TUW981790:TUW981873 UES981790:UES981873 UOO981790:UOO981873 UYK981790:UYK981873 VIG981790:VIG981873 VSC981790:VSC981873 WBY981790:WBY981873 JE2:JE58 TA2:TA58 ACW2:ACW58 AMS2:AMS58 AWO2:AWO58 BGK2:BGK58 BQG2:BQG58 CAC2:CAC58 CJY2:CJY58 CTU2:CTU58 DDQ2:DDQ58 DNM2:DNM58 DXI2:DXI58 EHE2:EHE58 ERA2:ERA58 FAW2:FAW58 FKS2:FKS58 FUO2:FUO58 GEK2:GEK58 GOG2:GOG58 GYC2:GYC58 HHY2:HHY58 HRU2:HRU58 IBQ2:IBQ58 ILM2:ILM58 IVI2:IVI58 JFE2:JFE58 JPA2:JPA58 JYW2:JYW58 KIS2:KIS58 KSO2:KSO58 LCK2:LCK58 LMG2:LMG58 LWC2:LWC58 MFY2:MFY58 MPU2:MPU58 MZQ2:MZQ58 NJM2:NJM58 NTI2:NTI58 ODE2:ODE58 ONA2:ONA58 OWW2:OWW58 PGS2:PGS58 PQO2:PQO58 QAK2:QAK58 QKG2:QKG58 QUC2:QUC58 RDY2:RDY58 RNU2:RNU58 RXQ2:RXQ58 SHM2:SHM58 SRI2:SRI58 TBE2:TBE58 TLA2:TLA58 TUW2:TUW58 UES2:UES58 UOO2:UOO58 UYK2:UYK58 VIG2:VIG58 VSC2:VSC58 WBY2:WBY58 WLU2:WLU58 WVQ2:WVQ58 I2:I79" xr:uid="{F161DFA6-DAC8-498B-A8BD-E431081ED1E2}">
      <formula1>#REF!</formula1>
    </dataValidation>
    <dataValidation type="list" allowBlank="1" showInputMessage="1" showErrorMessage="1" sqref="WWG981790:WWI981873 WCO981790:WCQ981873 WMK981790:WMM981873 Y64286:AA64369 JU64286:JW64369 TQ64286:TS64369 ADM64286:ADO64369 ANI64286:ANK64369 AXE64286:AXG64369 BHA64286:BHC64369 BQW64286:BQY64369 CAS64286:CAU64369 CKO64286:CKQ64369 CUK64286:CUM64369 DEG64286:DEI64369 DOC64286:DOE64369 DXY64286:DYA64369 EHU64286:EHW64369 ERQ64286:ERS64369 FBM64286:FBO64369 FLI64286:FLK64369 FVE64286:FVG64369 GFA64286:GFC64369 GOW64286:GOY64369 GYS64286:GYU64369 HIO64286:HIQ64369 HSK64286:HSM64369 ICG64286:ICI64369 IMC64286:IME64369 IVY64286:IWA64369 JFU64286:JFW64369 JPQ64286:JPS64369 JZM64286:JZO64369 KJI64286:KJK64369 KTE64286:KTG64369 LDA64286:LDC64369 LMW64286:LMY64369 LWS64286:LWU64369 MGO64286:MGQ64369 MQK64286:MQM64369 NAG64286:NAI64369 NKC64286:NKE64369 NTY64286:NUA64369 ODU64286:ODW64369 ONQ64286:ONS64369 OXM64286:OXO64369 PHI64286:PHK64369 PRE64286:PRG64369 QBA64286:QBC64369 QKW64286:QKY64369 QUS64286:QUU64369 REO64286:REQ64369 ROK64286:ROM64369 RYG64286:RYI64369 SIC64286:SIE64369 SRY64286:SSA64369 TBU64286:TBW64369 TLQ64286:TLS64369 TVM64286:TVO64369 UFI64286:UFK64369 UPE64286:UPG64369 UZA64286:UZC64369 VIW64286:VIY64369 VSS64286:VSU64369 WCO64286:WCQ64369 WMK64286:WMM64369 WWG64286:WWI64369 Y129822:AA129905 JU129822:JW129905 TQ129822:TS129905 ADM129822:ADO129905 ANI129822:ANK129905 AXE129822:AXG129905 BHA129822:BHC129905 BQW129822:BQY129905 CAS129822:CAU129905 CKO129822:CKQ129905 CUK129822:CUM129905 DEG129822:DEI129905 DOC129822:DOE129905 DXY129822:DYA129905 EHU129822:EHW129905 ERQ129822:ERS129905 FBM129822:FBO129905 FLI129822:FLK129905 FVE129822:FVG129905 GFA129822:GFC129905 GOW129822:GOY129905 GYS129822:GYU129905 HIO129822:HIQ129905 HSK129822:HSM129905 ICG129822:ICI129905 IMC129822:IME129905 IVY129822:IWA129905 JFU129822:JFW129905 JPQ129822:JPS129905 JZM129822:JZO129905 KJI129822:KJK129905 KTE129822:KTG129905 LDA129822:LDC129905 LMW129822:LMY129905 LWS129822:LWU129905 MGO129822:MGQ129905 MQK129822:MQM129905 NAG129822:NAI129905 NKC129822:NKE129905 NTY129822:NUA129905 ODU129822:ODW129905 ONQ129822:ONS129905 OXM129822:OXO129905 PHI129822:PHK129905 PRE129822:PRG129905 QBA129822:QBC129905 QKW129822:QKY129905 QUS129822:QUU129905 REO129822:REQ129905 ROK129822:ROM129905 RYG129822:RYI129905 SIC129822:SIE129905 SRY129822:SSA129905 TBU129822:TBW129905 TLQ129822:TLS129905 TVM129822:TVO129905 UFI129822:UFK129905 UPE129822:UPG129905 UZA129822:UZC129905 VIW129822:VIY129905 VSS129822:VSU129905 WCO129822:WCQ129905 WMK129822:WMM129905 WWG129822:WWI129905 Y195358:AA195441 JU195358:JW195441 TQ195358:TS195441 ADM195358:ADO195441 ANI195358:ANK195441 AXE195358:AXG195441 BHA195358:BHC195441 BQW195358:BQY195441 CAS195358:CAU195441 CKO195358:CKQ195441 CUK195358:CUM195441 DEG195358:DEI195441 DOC195358:DOE195441 DXY195358:DYA195441 EHU195358:EHW195441 ERQ195358:ERS195441 FBM195358:FBO195441 FLI195358:FLK195441 FVE195358:FVG195441 GFA195358:GFC195441 GOW195358:GOY195441 GYS195358:GYU195441 HIO195358:HIQ195441 HSK195358:HSM195441 ICG195358:ICI195441 IMC195358:IME195441 IVY195358:IWA195441 JFU195358:JFW195441 JPQ195358:JPS195441 JZM195358:JZO195441 KJI195358:KJK195441 KTE195358:KTG195441 LDA195358:LDC195441 LMW195358:LMY195441 LWS195358:LWU195441 MGO195358:MGQ195441 MQK195358:MQM195441 NAG195358:NAI195441 NKC195358:NKE195441 NTY195358:NUA195441 ODU195358:ODW195441 ONQ195358:ONS195441 OXM195358:OXO195441 PHI195358:PHK195441 PRE195358:PRG195441 QBA195358:QBC195441 QKW195358:QKY195441 QUS195358:QUU195441 REO195358:REQ195441 ROK195358:ROM195441 RYG195358:RYI195441 SIC195358:SIE195441 SRY195358:SSA195441 TBU195358:TBW195441 TLQ195358:TLS195441 TVM195358:TVO195441 UFI195358:UFK195441 UPE195358:UPG195441 UZA195358:UZC195441 VIW195358:VIY195441 VSS195358:VSU195441 WCO195358:WCQ195441 WMK195358:WMM195441 WWG195358:WWI195441 Y260894:AA260977 JU260894:JW260977 TQ260894:TS260977 ADM260894:ADO260977 ANI260894:ANK260977 AXE260894:AXG260977 BHA260894:BHC260977 BQW260894:BQY260977 CAS260894:CAU260977 CKO260894:CKQ260977 CUK260894:CUM260977 DEG260894:DEI260977 DOC260894:DOE260977 DXY260894:DYA260977 EHU260894:EHW260977 ERQ260894:ERS260977 FBM260894:FBO260977 FLI260894:FLK260977 FVE260894:FVG260977 GFA260894:GFC260977 GOW260894:GOY260977 GYS260894:GYU260977 HIO260894:HIQ260977 HSK260894:HSM260977 ICG260894:ICI260977 IMC260894:IME260977 IVY260894:IWA260977 JFU260894:JFW260977 JPQ260894:JPS260977 JZM260894:JZO260977 KJI260894:KJK260977 KTE260894:KTG260977 LDA260894:LDC260977 LMW260894:LMY260977 LWS260894:LWU260977 MGO260894:MGQ260977 MQK260894:MQM260977 NAG260894:NAI260977 NKC260894:NKE260977 NTY260894:NUA260977 ODU260894:ODW260977 ONQ260894:ONS260977 OXM260894:OXO260977 PHI260894:PHK260977 PRE260894:PRG260977 QBA260894:QBC260977 QKW260894:QKY260977 QUS260894:QUU260977 REO260894:REQ260977 ROK260894:ROM260977 RYG260894:RYI260977 SIC260894:SIE260977 SRY260894:SSA260977 TBU260894:TBW260977 TLQ260894:TLS260977 TVM260894:TVO260977 UFI260894:UFK260977 UPE260894:UPG260977 UZA260894:UZC260977 VIW260894:VIY260977 VSS260894:VSU260977 WCO260894:WCQ260977 WMK260894:WMM260977 WWG260894:WWI260977 Y326430:AA326513 JU326430:JW326513 TQ326430:TS326513 ADM326430:ADO326513 ANI326430:ANK326513 AXE326430:AXG326513 BHA326430:BHC326513 BQW326430:BQY326513 CAS326430:CAU326513 CKO326430:CKQ326513 CUK326430:CUM326513 DEG326430:DEI326513 DOC326430:DOE326513 DXY326430:DYA326513 EHU326430:EHW326513 ERQ326430:ERS326513 FBM326430:FBO326513 FLI326430:FLK326513 FVE326430:FVG326513 GFA326430:GFC326513 GOW326430:GOY326513 GYS326430:GYU326513 HIO326430:HIQ326513 HSK326430:HSM326513 ICG326430:ICI326513 IMC326430:IME326513 IVY326430:IWA326513 JFU326430:JFW326513 JPQ326430:JPS326513 JZM326430:JZO326513 KJI326430:KJK326513 KTE326430:KTG326513 LDA326430:LDC326513 LMW326430:LMY326513 LWS326430:LWU326513 MGO326430:MGQ326513 MQK326430:MQM326513 NAG326430:NAI326513 NKC326430:NKE326513 NTY326430:NUA326513 ODU326430:ODW326513 ONQ326430:ONS326513 OXM326430:OXO326513 PHI326430:PHK326513 PRE326430:PRG326513 QBA326430:QBC326513 QKW326430:QKY326513 QUS326430:QUU326513 REO326430:REQ326513 ROK326430:ROM326513 RYG326430:RYI326513 SIC326430:SIE326513 SRY326430:SSA326513 TBU326430:TBW326513 TLQ326430:TLS326513 TVM326430:TVO326513 UFI326430:UFK326513 UPE326430:UPG326513 UZA326430:UZC326513 VIW326430:VIY326513 VSS326430:VSU326513 WCO326430:WCQ326513 WMK326430:WMM326513 WWG326430:WWI326513 Y391966:AA392049 JU391966:JW392049 TQ391966:TS392049 ADM391966:ADO392049 ANI391966:ANK392049 AXE391966:AXG392049 BHA391966:BHC392049 BQW391966:BQY392049 CAS391966:CAU392049 CKO391966:CKQ392049 CUK391966:CUM392049 DEG391966:DEI392049 DOC391966:DOE392049 DXY391966:DYA392049 EHU391966:EHW392049 ERQ391966:ERS392049 FBM391966:FBO392049 FLI391966:FLK392049 FVE391966:FVG392049 GFA391966:GFC392049 GOW391966:GOY392049 GYS391966:GYU392049 HIO391966:HIQ392049 HSK391966:HSM392049 ICG391966:ICI392049 IMC391966:IME392049 IVY391966:IWA392049 JFU391966:JFW392049 JPQ391966:JPS392049 JZM391966:JZO392049 KJI391966:KJK392049 KTE391966:KTG392049 LDA391966:LDC392049 LMW391966:LMY392049 LWS391966:LWU392049 MGO391966:MGQ392049 MQK391966:MQM392049 NAG391966:NAI392049 NKC391966:NKE392049 NTY391966:NUA392049 ODU391966:ODW392049 ONQ391966:ONS392049 OXM391966:OXO392049 PHI391966:PHK392049 PRE391966:PRG392049 QBA391966:QBC392049 QKW391966:QKY392049 QUS391966:QUU392049 REO391966:REQ392049 ROK391966:ROM392049 RYG391966:RYI392049 SIC391966:SIE392049 SRY391966:SSA392049 TBU391966:TBW392049 TLQ391966:TLS392049 TVM391966:TVO392049 UFI391966:UFK392049 UPE391966:UPG392049 UZA391966:UZC392049 VIW391966:VIY392049 VSS391966:VSU392049 WCO391966:WCQ392049 WMK391966:WMM392049 WWG391966:WWI392049 Y457502:AA457585 JU457502:JW457585 TQ457502:TS457585 ADM457502:ADO457585 ANI457502:ANK457585 AXE457502:AXG457585 BHA457502:BHC457585 BQW457502:BQY457585 CAS457502:CAU457585 CKO457502:CKQ457585 CUK457502:CUM457585 DEG457502:DEI457585 DOC457502:DOE457585 DXY457502:DYA457585 EHU457502:EHW457585 ERQ457502:ERS457585 FBM457502:FBO457585 FLI457502:FLK457585 FVE457502:FVG457585 GFA457502:GFC457585 GOW457502:GOY457585 GYS457502:GYU457585 HIO457502:HIQ457585 HSK457502:HSM457585 ICG457502:ICI457585 IMC457502:IME457585 IVY457502:IWA457585 JFU457502:JFW457585 JPQ457502:JPS457585 JZM457502:JZO457585 KJI457502:KJK457585 KTE457502:KTG457585 LDA457502:LDC457585 LMW457502:LMY457585 LWS457502:LWU457585 MGO457502:MGQ457585 MQK457502:MQM457585 NAG457502:NAI457585 NKC457502:NKE457585 NTY457502:NUA457585 ODU457502:ODW457585 ONQ457502:ONS457585 OXM457502:OXO457585 PHI457502:PHK457585 PRE457502:PRG457585 QBA457502:QBC457585 QKW457502:QKY457585 QUS457502:QUU457585 REO457502:REQ457585 ROK457502:ROM457585 RYG457502:RYI457585 SIC457502:SIE457585 SRY457502:SSA457585 TBU457502:TBW457585 TLQ457502:TLS457585 TVM457502:TVO457585 UFI457502:UFK457585 UPE457502:UPG457585 UZA457502:UZC457585 VIW457502:VIY457585 VSS457502:VSU457585 WCO457502:WCQ457585 WMK457502:WMM457585 WWG457502:WWI457585 Y523038:AA523121 JU523038:JW523121 TQ523038:TS523121 ADM523038:ADO523121 ANI523038:ANK523121 AXE523038:AXG523121 BHA523038:BHC523121 BQW523038:BQY523121 CAS523038:CAU523121 CKO523038:CKQ523121 CUK523038:CUM523121 DEG523038:DEI523121 DOC523038:DOE523121 DXY523038:DYA523121 EHU523038:EHW523121 ERQ523038:ERS523121 FBM523038:FBO523121 FLI523038:FLK523121 FVE523038:FVG523121 GFA523038:GFC523121 GOW523038:GOY523121 GYS523038:GYU523121 HIO523038:HIQ523121 HSK523038:HSM523121 ICG523038:ICI523121 IMC523038:IME523121 IVY523038:IWA523121 JFU523038:JFW523121 JPQ523038:JPS523121 JZM523038:JZO523121 KJI523038:KJK523121 KTE523038:KTG523121 LDA523038:LDC523121 LMW523038:LMY523121 LWS523038:LWU523121 MGO523038:MGQ523121 MQK523038:MQM523121 NAG523038:NAI523121 NKC523038:NKE523121 NTY523038:NUA523121 ODU523038:ODW523121 ONQ523038:ONS523121 OXM523038:OXO523121 PHI523038:PHK523121 PRE523038:PRG523121 QBA523038:QBC523121 QKW523038:QKY523121 QUS523038:QUU523121 REO523038:REQ523121 ROK523038:ROM523121 RYG523038:RYI523121 SIC523038:SIE523121 SRY523038:SSA523121 TBU523038:TBW523121 TLQ523038:TLS523121 TVM523038:TVO523121 UFI523038:UFK523121 UPE523038:UPG523121 UZA523038:UZC523121 VIW523038:VIY523121 VSS523038:VSU523121 WCO523038:WCQ523121 WMK523038:WMM523121 WWG523038:WWI523121 Y588574:AA588657 JU588574:JW588657 TQ588574:TS588657 ADM588574:ADO588657 ANI588574:ANK588657 AXE588574:AXG588657 BHA588574:BHC588657 BQW588574:BQY588657 CAS588574:CAU588657 CKO588574:CKQ588657 CUK588574:CUM588657 DEG588574:DEI588657 DOC588574:DOE588657 DXY588574:DYA588657 EHU588574:EHW588657 ERQ588574:ERS588657 FBM588574:FBO588657 FLI588574:FLK588657 FVE588574:FVG588657 GFA588574:GFC588657 GOW588574:GOY588657 GYS588574:GYU588657 HIO588574:HIQ588657 HSK588574:HSM588657 ICG588574:ICI588657 IMC588574:IME588657 IVY588574:IWA588657 JFU588574:JFW588657 JPQ588574:JPS588657 JZM588574:JZO588657 KJI588574:KJK588657 KTE588574:KTG588657 LDA588574:LDC588657 LMW588574:LMY588657 LWS588574:LWU588657 MGO588574:MGQ588657 MQK588574:MQM588657 NAG588574:NAI588657 NKC588574:NKE588657 NTY588574:NUA588657 ODU588574:ODW588657 ONQ588574:ONS588657 OXM588574:OXO588657 PHI588574:PHK588657 PRE588574:PRG588657 QBA588574:QBC588657 QKW588574:QKY588657 QUS588574:QUU588657 REO588574:REQ588657 ROK588574:ROM588657 RYG588574:RYI588657 SIC588574:SIE588657 SRY588574:SSA588657 TBU588574:TBW588657 TLQ588574:TLS588657 TVM588574:TVO588657 UFI588574:UFK588657 UPE588574:UPG588657 UZA588574:UZC588657 VIW588574:VIY588657 VSS588574:VSU588657 WCO588574:WCQ588657 WMK588574:WMM588657 WWG588574:WWI588657 Y654110:AA654193 JU654110:JW654193 TQ654110:TS654193 ADM654110:ADO654193 ANI654110:ANK654193 AXE654110:AXG654193 BHA654110:BHC654193 BQW654110:BQY654193 CAS654110:CAU654193 CKO654110:CKQ654193 CUK654110:CUM654193 DEG654110:DEI654193 DOC654110:DOE654193 DXY654110:DYA654193 EHU654110:EHW654193 ERQ654110:ERS654193 FBM654110:FBO654193 FLI654110:FLK654193 FVE654110:FVG654193 GFA654110:GFC654193 GOW654110:GOY654193 GYS654110:GYU654193 HIO654110:HIQ654193 HSK654110:HSM654193 ICG654110:ICI654193 IMC654110:IME654193 IVY654110:IWA654193 JFU654110:JFW654193 JPQ654110:JPS654193 JZM654110:JZO654193 KJI654110:KJK654193 KTE654110:KTG654193 LDA654110:LDC654193 LMW654110:LMY654193 LWS654110:LWU654193 MGO654110:MGQ654193 MQK654110:MQM654193 NAG654110:NAI654193 NKC654110:NKE654193 NTY654110:NUA654193 ODU654110:ODW654193 ONQ654110:ONS654193 OXM654110:OXO654193 PHI654110:PHK654193 PRE654110:PRG654193 QBA654110:QBC654193 QKW654110:QKY654193 QUS654110:QUU654193 REO654110:REQ654193 ROK654110:ROM654193 RYG654110:RYI654193 SIC654110:SIE654193 SRY654110:SSA654193 TBU654110:TBW654193 TLQ654110:TLS654193 TVM654110:TVO654193 UFI654110:UFK654193 UPE654110:UPG654193 UZA654110:UZC654193 VIW654110:VIY654193 VSS654110:VSU654193 WCO654110:WCQ654193 WMK654110:WMM654193 WWG654110:WWI654193 Y719646:AA719729 JU719646:JW719729 TQ719646:TS719729 ADM719646:ADO719729 ANI719646:ANK719729 AXE719646:AXG719729 BHA719646:BHC719729 BQW719646:BQY719729 CAS719646:CAU719729 CKO719646:CKQ719729 CUK719646:CUM719729 DEG719646:DEI719729 DOC719646:DOE719729 DXY719646:DYA719729 EHU719646:EHW719729 ERQ719646:ERS719729 FBM719646:FBO719729 FLI719646:FLK719729 FVE719646:FVG719729 GFA719646:GFC719729 GOW719646:GOY719729 GYS719646:GYU719729 HIO719646:HIQ719729 HSK719646:HSM719729 ICG719646:ICI719729 IMC719646:IME719729 IVY719646:IWA719729 JFU719646:JFW719729 JPQ719646:JPS719729 JZM719646:JZO719729 KJI719646:KJK719729 KTE719646:KTG719729 LDA719646:LDC719729 LMW719646:LMY719729 LWS719646:LWU719729 MGO719646:MGQ719729 MQK719646:MQM719729 NAG719646:NAI719729 NKC719646:NKE719729 NTY719646:NUA719729 ODU719646:ODW719729 ONQ719646:ONS719729 OXM719646:OXO719729 PHI719646:PHK719729 PRE719646:PRG719729 QBA719646:QBC719729 QKW719646:QKY719729 QUS719646:QUU719729 REO719646:REQ719729 ROK719646:ROM719729 RYG719646:RYI719729 SIC719646:SIE719729 SRY719646:SSA719729 TBU719646:TBW719729 TLQ719646:TLS719729 TVM719646:TVO719729 UFI719646:UFK719729 UPE719646:UPG719729 UZA719646:UZC719729 VIW719646:VIY719729 VSS719646:VSU719729 WCO719646:WCQ719729 WMK719646:WMM719729 WWG719646:WWI719729 Y785182:AA785265 JU785182:JW785265 TQ785182:TS785265 ADM785182:ADO785265 ANI785182:ANK785265 AXE785182:AXG785265 BHA785182:BHC785265 BQW785182:BQY785265 CAS785182:CAU785265 CKO785182:CKQ785265 CUK785182:CUM785265 DEG785182:DEI785265 DOC785182:DOE785265 DXY785182:DYA785265 EHU785182:EHW785265 ERQ785182:ERS785265 FBM785182:FBO785265 FLI785182:FLK785265 FVE785182:FVG785265 GFA785182:GFC785265 GOW785182:GOY785265 GYS785182:GYU785265 HIO785182:HIQ785265 HSK785182:HSM785265 ICG785182:ICI785265 IMC785182:IME785265 IVY785182:IWA785265 JFU785182:JFW785265 JPQ785182:JPS785265 JZM785182:JZO785265 KJI785182:KJK785265 KTE785182:KTG785265 LDA785182:LDC785265 LMW785182:LMY785265 LWS785182:LWU785265 MGO785182:MGQ785265 MQK785182:MQM785265 NAG785182:NAI785265 NKC785182:NKE785265 NTY785182:NUA785265 ODU785182:ODW785265 ONQ785182:ONS785265 OXM785182:OXO785265 PHI785182:PHK785265 PRE785182:PRG785265 QBA785182:QBC785265 QKW785182:QKY785265 QUS785182:QUU785265 REO785182:REQ785265 ROK785182:ROM785265 RYG785182:RYI785265 SIC785182:SIE785265 SRY785182:SSA785265 TBU785182:TBW785265 TLQ785182:TLS785265 TVM785182:TVO785265 UFI785182:UFK785265 UPE785182:UPG785265 UZA785182:UZC785265 VIW785182:VIY785265 VSS785182:VSU785265 WCO785182:WCQ785265 WMK785182:WMM785265 WWG785182:WWI785265 Y850718:AA850801 JU850718:JW850801 TQ850718:TS850801 ADM850718:ADO850801 ANI850718:ANK850801 AXE850718:AXG850801 BHA850718:BHC850801 BQW850718:BQY850801 CAS850718:CAU850801 CKO850718:CKQ850801 CUK850718:CUM850801 DEG850718:DEI850801 DOC850718:DOE850801 DXY850718:DYA850801 EHU850718:EHW850801 ERQ850718:ERS850801 FBM850718:FBO850801 FLI850718:FLK850801 FVE850718:FVG850801 GFA850718:GFC850801 GOW850718:GOY850801 GYS850718:GYU850801 HIO850718:HIQ850801 HSK850718:HSM850801 ICG850718:ICI850801 IMC850718:IME850801 IVY850718:IWA850801 JFU850718:JFW850801 JPQ850718:JPS850801 JZM850718:JZO850801 KJI850718:KJK850801 KTE850718:KTG850801 LDA850718:LDC850801 LMW850718:LMY850801 LWS850718:LWU850801 MGO850718:MGQ850801 MQK850718:MQM850801 NAG850718:NAI850801 NKC850718:NKE850801 NTY850718:NUA850801 ODU850718:ODW850801 ONQ850718:ONS850801 OXM850718:OXO850801 PHI850718:PHK850801 PRE850718:PRG850801 QBA850718:QBC850801 QKW850718:QKY850801 QUS850718:QUU850801 REO850718:REQ850801 ROK850718:ROM850801 RYG850718:RYI850801 SIC850718:SIE850801 SRY850718:SSA850801 TBU850718:TBW850801 TLQ850718:TLS850801 TVM850718:TVO850801 UFI850718:UFK850801 UPE850718:UPG850801 UZA850718:UZC850801 VIW850718:VIY850801 VSS850718:VSU850801 WCO850718:WCQ850801 WMK850718:WMM850801 WWG850718:WWI850801 Y916254:AA916337 JU916254:JW916337 TQ916254:TS916337 ADM916254:ADO916337 ANI916254:ANK916337 AXE916254:AXG916337 BHA916254:BHC916337 BQW916254:BQY916337 CAS916254:CAU916337 CKO916254:CKQ916337 CUK916254:CUM916337 DEG916254:DEI916337 DOC916254:DOE916337 DXY916254:DYA916337 EHU916254:EHW916337 ERQ916254:ERS916337 FBM916254:FBO916337 FLI916254:FLK916337 FVE916254:FVG916337 GFA916254:GFC916337 GOW916254:GOY916337 GYS916254:GYU916337 HIO916254:HIQ916337 HSK916254:HSM916337 ICG916254:ICI916337 IMC916254:IME916337 IVY916254:IWA916337 JFU916254:JFW916337 JPQ916254:JPS916337 JZM916254:JZO916337 KJI916254:KJK916337 KTE916254:KTG916337 LDA916254:LDC916337 LMW916254:LMY916337 LWS916254:LWU916337 MGO916254:MGQ916337 MQK916254:MQM916337 NAG916254:NAI916337 NKC916254:NKE916337 NTY916254:NUA916337 ODU916254:ODW916337 ONQ916254:ONS916337 OXM916254:OXO916337 PHI916254:PHK916337 PRE916254:PRG916337 QBA916254:QBC916337 QKW916254:QKY916337 QUS916254:QUU916337 REO916254:REQ916337 ROK916254:ROM916337 RYG916254:RYI916337 SIC916254:SIE916337 SRY916254:SSA916337 TBU916254:TBW916337 TLQ916254:TLS916337 TVM916254:TVO916337 UFI916254:UFK916337 UPE916254:UPG916337 UZA916254:UZC916337 VIW916254:VIY916337 VSS916254:VSU916337 WCO916254:WCQ916337 WMK916254:WMM916337 WWG916254:WWI916337 Y981790:AA981873 JU981790:JW981873 TQ981790:TS981873 ADM981790:ADO981873 ANI981790:ANK981873 AXE981790:AXG981873 BHA981790:BHC981873 BQW981790:BQY981873 CAS981790:CAU981873 CKO981790:CKQ981873 CUK981790:CUM981873 DEG981790:DEI981873 DOC981790:DOE981873 DXY981790:DYA981873 EHU981790:EHW981873 ERQ981790:ERS981873 FBM981790:FBO981873 FLI981790:FLK981873 FVE981790:FVG981873 GFA981790:GFC981873 GOW981790:GOY981873 GYS981790:GYU981873 HIO981790:HIQ981873 HSK981790:HSM981873 ICG981790:ICI981873 IMC981790:IME981873 IVY981790:IWA981873 JFU981790:JFW981873 JPQ981790:JPS981873 JZM981790:JZO981873 KJI981790:KJK981873 KTE981790:KTG981873 LDA981790:LDC981873 LMW981790:LMY981873 LWS981790:LWU981873 MGO981790:MGQ981873 MQK981790:MQM981873 NAG981790:NAI981873 NKC981790:NKE981873 NTY981790:NUA981873 ODU981790:ODW981873 ONQ981790:ONS981873 OXM981790:OXO981873 PHI981790:PHK981873 PRE981790:PRG981873 QBA981790:QBC981873 QKW981790:QKY981873 QUS981790:QUU981873 REO981790:REQ981873 ROK981790:ROM981873 RYG981790:RYI981873 SIC981790:SIE981873 SRY981790:SSA981873 TBU981790:TBW981873 TLQ981790:TLS981873 TVM981790:TVO981873 UFI981790:UFK981873 UPE981790:UPG981873 UZA981790:UZC981873 VIW981790:VIY981873 VSS981790:VSU981873 WWG2:WWI58 WMK2:WMM58 WCO2:WCQ58 VSS2:VSU58 VIW2:VIY58 UZA2:UZC58 UPE2:UPG58 UFI2:UFK58 TVM2:TVO58 TLQ2:TLS58 TBU2:TBW58 SRY2:SSA58 SIC2:SIE58 RYG2:RYI58 ROK2:ROM58 REO2:REQ58 QUS2:QUU58 QKW2:QKY58 QBA2:QBC58 PRE2:PRG58 PHI2:PHK58 OXM2:OXO58 ONQ2:ONS58 ODU2:ODW58 NTY2:NUA58 NKC2:NKE58 NAG2:NAI58 MQK2:MQM58 MGO2:MGQ58 LWS2:LWU58 LMW2:LMY58 LDA2:LDC58 KTE2:KTG58 KJI2:KJK58 JZM2:JZO58 JPQ2:JPS58 JFU2:JFW58 IVY2:IWA58 IMC2:IME58 ICG2:ICI58 HSK2:HSM58 HIO2:HIQ58 GYS2:GYU58 GOW2:GOY58 GFA2:GFC58 FVE2:FVG58 FLI2:FLK58 FBM2:FBO58 ERQ2:ERS58 EHU2:EHW58 DXY2:DYA58 DOC2:DOE58 DEG2:DEI58 CUK2:CUM58 CKO2:CKQ58 CAS2:CAU58 BQW2:BQY58 BHA2:BHC58 AXE2:AXG58 ANI2:ANK58 ADM2:ADO58 TQ2:TS58 JU2:JW58" xr:uid="{DD241307-83E7-4D26-B215-F8769C2EC00C}">
      <formula1>$AV$2:$AV$16</formula1>
    </dataValidation>
    <dataValidation type="list" allowBlank="1" showInputMessage="1" showErrorMessage="1" sqref="F83:F487 F2:F81" xr:uid="{B6F05601-013C-4295-AE2B-18EDC9041438}">
      <formula1>$AH$2:$AH$7</formula1>
    </dataValidation>
    <dataValidation type="list" allowBlank="1" showInputMessage="1" showErrorMessage="1" sqref="E83:E487 E2:E81" xr:uid="{C0AA6904-0373-4D04-8F76-41EDA902FA4E}">
      <formula1>$AG$2:$AG$8</formula1>
    </dataValidation>
    <dataValidation type="list" allowBlank="1" showInputMessage="1" showErrorMessage="1" sqref="A81:A485 A2:A79" xr:uid="{E0E01103-60DA-4F40-9DE9-F27CC90936C5}">
      <formula1>$AE$2:$AE$13</formula1>
    </dataValidation>
    <dataValidation type="list" allowBlank="1" showInputMessage="1" showErrorMessage="1" sqref="H81:H485 H2:H79" xr:uid="{559838DC-0CE1-4895-B82B-36FD713BCE5A}">
      <formula1>$AL$2:$AL$5</formula1>
    </dataValidation>
    <dataValidation type="list" allowBlank="1" showInputMessage="1" showErrorMessage="1" sqref="Y81:AA485 Y2:AA79" xr:uid="{9F21500E-3122-4992-B091-077F33FC2F7F}">
      <formula1>$AV$2:$AV$15</formula1>
    </dataValidation>
    <dataValidation type="decimal" allowBlank="1" showInputMessage="1" showErrorMessage="1" error="硬度を正しく入力して下さい。" sqref="O81:P485 P12 P10 O23:P25 O56:P79 O29:P34" xr:uid="{33611192-F749-41B9-AC0B-5DFD929B56F8}">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C3B08-5CC7-4FDC-AF20-CE87AA503B64}">
  <dimension ref="A1:BA124"/>
  <sheetViews>
    <sheetView zoomScale="85" zoomScaleNormal="85" workbookViewId="0">
      <selection activeCell="AC30" sqref="AC30"/>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316</v>
      </c>
      <c r="O1" s="56" t="s">
        <v>14</v>
      </c>
      <c r="P1" s="56" t="s">
        <v>15</v>
      </c>
      <c r="Q1" s="3" t="s">
        <v>16</v>
      </c>
      <c r="R1" s="56" t="s">
        <v>17</v>
      </c>
      <c r="S1" s="56" t="s">
        <v>18</v>
      </c>
      <c r="T1" s="3" t="s">
        <v>19</v>
      </c>
      <c r="U1" s="58" t="s">
        <v>317</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237</v>
      </c>
      <c r="C2" s="62">
        <v>2019</v>
      </c>
      <c r="D2" s="137" t="s">
        <v>238</v>
      </c>
      <c r="E2" s="53" t="s">
        <v>318</v>
      </c>
      <c r="F2" s="53" t="s">
        <v>319</v>
      </c>
      <c r="G2" s="53" t="s">
        <v>36</v>
      </c>
      <c r="H2" s="53" t="s">
        <v>164</v>
      </c>
      <c r="I2" s="53" t="s">
        <v>159</v>
      </c>
      <c r="J2" s="53" t="s">
        <v>38</v>
      </c>
      <c r="K2" s="53" t="s">
        <v>161</v>
      </c>
      <c r="L2" s="53">
        <v>1</v>
      </c>
      <c r="N2" s="53">
        <v>5</v>
      </c>
      <c r="O2" s="53">
        <v>0.26</v>
      </c>
      <c r="P2" s="53">
        <v>0.23</v>
      </c>
      <c r="Q2" s="74">
        <f>IF(OR(O2="",P2=""),"",AVERAGE(O2,P2))</f>
        <v>0.245</v>
      </c>
      <c r="R2" s="53">
        <v>15</v>
      </c>
      <c r="S2" s="53">
        <v>101</v>
      </c>
      <c r="T2" s="16">
        <f t="shared" ref="T2:T46" si="0">IF(H2="","",IF(OR(H2="GREEN",H2="GK"),IF(S2&gt;=$AX$2,VLOOKUP(S2,$AX$2:$AY$12,2,1),""),IF(S2&gt;=$AZ$2,VLOOKUP(S2,$AZ$2:$BA$12,2,1),"")))</f>
        <v>33</v>
      </c>
      <c r="U2" s="53">
        <v>348</v>
      </c>
      <c r="V2" s="16">
        <f t="shared" ref="V2:V46" si="1">IF(J2="","",IF(OR(J2="GREEN",J2="GK"),IF(U2&gt;=$AX$2,VLOOKUP(U2,$AX$2:$AY$12,2,1),""),IF(U2&gt;=$AZ$2,VLOOKUP(U2,$AZ$2:$BA$12,2,1),"")))</f>
        <v>16</v>
      </c>
      <c r="W2" s="53">
        <v>2</v>
      </c>
      <c r="X2" s="53" t="s">
        <v>46</v>
      </c>
      <c r="Y2" s="53" t="s">
        <v>90</v>
      </c>
      <c r="Z2" s="53" t="s">
        <v>320</v>
      </c>
      <c r="AA2" s="53" t="s">
        <v>84</v>
      </c>
      <c r="AB2" s="53" t="s">
        <v>321</v>
      </c>
      <c r="AE2" s="64" t="s">
        <v>35</v>
      </c>
      <c r="AG2" s="138" t="s">
        <v>322</v>
      </c>
      <c r="AH2" s="139" t="s">
        <v>323</v>
      </c>
      <c r="AJ2" s="67" t="s">
        <v>36</v>
      </c>
      <c r="AL2" s="67" t="s">
        <v>127</v>
      </c>
      <c r="AN2" s="67" t="s">
        <v>324</v>
      </c>
      <c r="AP2" s="67" t="s">
        <v>38</v>
      </c>
      <c r="AR2" s="67" t="s">
        <v>120</v>
      </c>
      <c r="AT2" s="67" t="s">
        <v>39</v>
      </c>
      <c r="AV2" s="23" t="s">
        <v>55</v>
      </c>
      <c r="AX2" s="68">
        <v>1</v>
      </c>
      <c r="AY2" s="69">
        <v>50</v>
      </c>
      <c r="AZ2" s="69">
        <v>1</v>
      </c>
      <c r="BA2" s="70">
        <v>50</v>
      </c>
    </row>
    <row r="3" spans="1:53" x14ac:dyDescent="0.15">
      <c r="A3" s="53" t="s">
        <v>59</v>
      </c>
      <c r="B3" s="53" t="s">
        <v>237</v>
      </c>
      <c r="C3" s="62">
        <v>2019</v>
      </c>
      <c r="D3" s="137" t="s">
        <v>238</v>
      </c>
      <c r="E3" s="53" t="s">
        <v>318</v>
      </c>
      <c r="F3" s="53" t="s">
        <v>319</v>
      </c>
      <c r="G3" s="53" t="s">
        <v>36</v>
      </c>
      <c r="H3" s="53" t="s">
        <v>164</v>
      </c>
      <c r="I3" s="53" t="s">
        <v>159</v>
      </c>
      <c r="J3" s="53" t="s">
        <v>38</v>
      </c>
      <c r="K3" s="53" t="s">
        <v>161</v>
      </c>
      <c r="L3" s="53">
        <v>2</v>
      </c>
      <c r="N3" s="53">
        <v>5</v>
      </c>
      <c r="O3" s="53">
        <v>0.54</v>
      </c>
      <c r="P3" s="53">
        <v>0.46</v>
      </c>
      <c r="Q3" s="74">
        <f t="shared" ref="Q3:Q46" si="2">IF(OR(O3="",P3=""),"",AVERAGE(O3,P3))</f>
        <v>0.5</v>
      </c>
      <c r="R3" s="53">
        <v>14.8</v>
      </c>
      <c r="S3" s="53">
        <v>91</v>
      </c>
      <c r="T3" s="16">
        <f t="shared" si="0"/>
        <v>36</v>
      </c>
      <c r="U3" s="53">
        <v>348</v>
      </c>
      <c r="V3" s="16">
        <f t="shared" si="1"/>
        <v>16</v>
      </c>
      <c r="W3" s="53">
        <v>2</v>
      </c>
      <c r="X3" s="53" t="s">
        <v>46</v>
      </c>
      <c r="Y3" s="53" t="s">
        <v>90</v>
      </c>
      <c r="Z3" s="53" t="s">
        <v>320</v>
      </c>
      <c r="AA3" s="53" t="s">
        <v>84</v>
      </c>
      <c r="AB3" s="53" t="s">
        <v>321</v>
      </c>
      <c r="AE3" s="22" t="s">
        <v>41</v>
      </c>
      <c r="AG3" s="138" t="s">
        <v>325</v>
      </c>
      <c r="AH3" s="139" t="s">
        <v>319</v>
      </c>
      <c r="AJ3" s="23" t="s">
        <v>42</v>
      </c>
      <c r="AL3" s="23" t="s">
        <v>128</v>
      </c>
      <c r="AN3" s="23" t="s">
        <v>43</v>
      </c>
      <c r="AP3" s="23" t="s">
        <v>44</v>
      </c>
      <c r="AR3" s="23" t="s">
        <v>45</v>
      </c>
      <c r="AT3" s="23" t="s">
        <v>46</v>
      </c>
      <c r="AV3" s="23" t="s">
        <v>326</v>
      </c>
      <c r="AX3" s="24">
        <v>72</v>
      </c>
      <c r="AY3" s="25">
        <v>46</v>
      </c>
      <c r="AZ3" s="25">
        <v>71</v>
      </c>
      <c r="BA3" s="26">
        <v>42</v>
      </c>
    </row>
    <row r="4" spans="1:53" x14ac:dyDescent="0.15">
      <c r="A4" s="53" t="s">
        <v>59</v>
      </c>
      <c r="B4" s="53" t="s">
        <v>237</v>
      </c>
      <c r="C4" s="62">
        <v>2019</v>
      </c>
      <c r="D4" s="137" t="s">
        <v>238</v>
      </c>
      <c r="E4" s="53" t="s">
        <v>318</v>
      </c>
      <c r="F4" s="53" t="s">
        <v>319</v>
      </c>
      <c r="G4" s="53" t="s">
        <v>36</v>
      </c>
      <c r="H4" s="53" t="s">
        <v>164</v>
      </c>
      <c r="I4" s="53" t="s">
        <v>327</v>
      </c>
      <c r="J4" s="53" t="s">
        <v>38</v>
      </c>
      <c r="K4" s="53" t="s">
        <v>161</v>
      </c>
      <c r="L4" s="53">
        <v>3</v>
      </c>
      <c r="N4" s="53">
        <v>5</v>
      </c>
      <c r="O4" s="53">
        <v>0.44</v>
      </c>
      <c r="P4" s="53">
        <v>0.44</v>
      </c>
      <c r="Q4" s="74">
        <f t="shared" si="2"/>
        <v>0.44</v>
      </c>
      <c r="R4" s="53">
        <v>14.8</v>
      </c>
      <c r="S4" s="53">
        <v>90</v>
      </c>
      <c r="T4" s="16">
        <f t="shared" si="0"/>
        <v>36</v>
      </c>
      <c r="U4" s="53">
        <v>348</v>
      </c>
      <c r="V4" s="16">
        <f t="shared" si="1"/>
        <v>16</v>
      </c>
      <c r="W4" s="53">
        <v>2</v>
      </c>
      <c r="X4" s="53" t="s">
        <v>46</v>
      </c>
      <c r="Y4" s="53" t="s">
        <v>90</v>
      </c>
      <c r="Z4" s="53" t="s">
        <v>320</v>
      </c>
      <c r="AA4" s="53" t="s">
        <v>84</v>
      </c>
      <c r="AB4" s="53" t="s">
        <v>321</v>
      </c>
      <c r="AE4" s="22" t="s">
        <v>34</v>
      </c>
      <c r="AG4" s="138" t="s">
        <v>328</v>
      </c>
      <c r="AH4" s="139" t="s">
        <v>329</v>
      </c>
      <c r="AJ4" s="27" t="s">
        <v>48</v>
      </c>
      <c r="AL4" s="27" t="s">
        <v>129</v>
      </c>
      <c r="AN4" s="28" t="s">
        <v>49</v>
      </c>
      <c r="AP4" s="23" t="s">
        <v>93</v>
      </c>
      <c r="AR4" s="23" t="s">
        <v>330</v>
      </c>
      <c r="AT4" s="28"/>
      <c r="AV4" s="23" t="s">
        <v>331</v>
      </c>
      <c r="AX4" s="24">
        <v>75</v>
      </c>
      <c r="AY4" s="25">
        <v>42</v>
      </c>
      <c r="AZ4" s="25">
        <v>76</v>
      </c>
      <c r="BA4" s="26">
        <v>39</v>
      </c>
    </row>
    <row r="5" spans="1:53" x14ac:dyDescent="0.15">
      <c r="A5" s="53" t="s">
        <v>59</v>
      </c>
      <c r="B5" s="53" t="s">
        <v>237</v>
      </c>
      <c r="C5" s="62">
        <v>2019</v>
      </c>
      <c r="D5" s="137" t="s">
        <v>238</v>
      </c>
      <c r="E5" s="53" t="s">
        <v>322</v>
      </c>
      <c r="F5" s="53" t="s">
        <v>323</v>
      </c>
      <c r="G5" s="53" t="s">
        <v>36</v>
      </c>
      <c r="H5" s="53" t="s">
        <v>164</v>
      </c>
      <c r="I5" s="53" t="s">
        <v>159</v>
      </c>
      <c r="J5" s="53" t="s">
        <v>38</v>
      </c>
      <c r="K5" s="53" t="s">
        <v>161</v>
      </c>
      <c r="L5" s="53">
        <v>1</v>
      </c>
      <c r="N5" s="53">
        <v>4</v>
      </c>
      <c r="O5" s="53">
        <v>0.27</v>
      </c>
      <c r="P5" s="53">
        <v>0.28999999999999998</v>
      </c>
      <c r="Q5" s="74">
        <f t="shared" si="2"/>
        <v>0.28000000000000003</v>
      </c>
      <c r="R5" s="53">
        <v>14.4</v>
      </c>
      <c r="S5" s="53">
        <v>93</v>
      </c>
      <c r="T5" s="16">
        <f t="shared" si="0"/>
        <v>36</v>
      </c>
      <c r="U5" s="53">
        <v>297</v>
      </c>
      <c r="V5" s="16">
        <f t="shared" si="1"/>
        <v>16</v>
      </c>
      <c r="W5" s="53">
        <v>6</v>
      </c>
      <c r="X5" s="53" t="s">
        <v>46</v>
      </c>
      <c r="Y5" s="53" t="s">
        <v>84</v>
      </c>
      <c r="Z5" s="53" t="s">
        <v>90</v>
      </c>
      <c r="AA5" s="53" t="s">
        <v>40</v>
      </c>
      <c r="AB5" s="53" t="s">
        <v>321</v>
      </c>
      <c r="AE5" s="22" t="s">
        <v>51</v>
      </c>
      <c r="AG5" s="138" t="s">
        <v>332</v>
      </c>
      <c r="AH5" s="139" t="s">
        <v>333</v>
      </c>
      <c r="AJ5" s="28"/>
      <c r="AL5" s="73" t="s">
        <v>66</v>
      </c>
      <c r="AN5" s="73" t="s">
        <v>52</v>
      </c>
      <c r="AP5" s="23" t="s">
        <v>251</v>
      </c>
      <c r="AR5" s="23" t="s">
        <v>54</v>
      </c>
      <c r="AV5" s="23" t="s">
        <v>334</v>
      </c>
      <c r="AX5" s="24">
        <v>84</v>
      </c>
      <c r="AY5" s="25">
        <v>39</v>
      </c>
      <c r="AZ5" s="25">
        <v>84</v>
      </c>
      <c r="BA5" s="26">
        <v>36</v>
      </c>
    </row>
    <row r="6" spans="1:53" x14ac:dyDescent="0.15">
      <c r="A6" s="53" t="s">
        <v>59</v>
      </c>
      <c r="B6" s="53" t="s">
        <v>237</v>
      </c>
      <c r="C6" s="62">
        <v>2019</v>
      </c>
      <c r="D6" s="137" t="s">
        <v>238</v>
      </c>
      <c r="E6" s="53" t="s">
        <v>322</v>
      </c>
      <c r="F6" s="53" t="s">
        <v>323</v>
      </c>
      <c r="G6" s="53" t="s">
        <v>36</v>
      </c>
      <c r="H6" s="53" t="s">
        <v>164</v>
      </c>
      <c r="I6" s="53" t="s">
        <v>159</v>
      </c>
      <c r="J6" s="53" t="s">
        <v>38</v>
      </c>
      <c r="K6" s="53" t="s">
        <v>161</v>
      </c>
      <c r="L6" s="53">
        <v>2</v>
      </c>
      <c r="N6" s="53">
        <v>4</v>
      </c>
      <c r="O6" s="53">
        <v>0.38</v>
      </c>
      <c r="P6" s="53">
        <v>0.4</v>
      </c>
      <c r="Q6" s="74">
        <f t="shared" si="2"/>
        <v>0.39</v>
      </c>
      <c r="R6" s="53">
        <v>15.1</v>
      </c>
      <c r="S6" s="53">
        <v>90</v>
      </c>
      <c r="T6" s="16">
        <f t="shared" si="0"/>
        <v>36</v>
      </c>
      <c r="U6" s="53">
        <v>297</v>
      </c>
      <c r="V6" s="16">
        <f t="shared" si="1"/>
        <v>16</v>
      </c>
      <c r="W6" s="53">
        <v>6</v>
      </c>
      <c r="X6" s="53" t="s">
        <v>46</v>
      </c>
      <c r="Y6" s="53" t="s">
        <v>84</v>
      </c>
      <c r="Z6" s="53" t="s">
        <v>90</v>
      </c>
      <c r="AA6" s="53" t="s">
        <v>40</v>
      </c>
      <c r="AB6" s="53" t="s">
        <v>321</v>
      </c>
      <c r="AE6" s="22" t="s">
        <v>56</v>
      </c>
      <c r="AG6" s="138" t="s">
        <v>335</v>
      </c>
      <c r="AH6" s="139" t="s">
        <v>336</v>
      </c>
      <c r="AL6" s="73" t="s">
        <v>99</v>
      </c>
      <c r="AN6" s="73" t="s">
        <v>57</v>
      </c>
      <c r="AP6" s="23" t="s">
        <v>53</v>
      </c>
      <c r="AR6" s="23" t="s">
        <v>337</v>
      </c>
      <c r="AV6" s="23" t="s">
        <v>60</v>
      </c>
      <c r="AX6" s="24">
        <v>97</v>
      </c>
      <c r="AY6" s="25">
        <v>36</v>
      </c>
      <c r="AZ6" s="25">
        <v>99</v>
      </c>
      <c r="BA6" s="26">
        <v>33</v>
      </c>
    </row>
    <row r="7" spans="1:53" x14ac:dyDescent="0.15">
      <c r="A7" s="53" t="s">
        <v>59</v>
      </c>
      <c r="B7" s="53" t="s">
        <v>237</v>
      </c>
      <c r="C7" s="62">
        <v>2019</v>
      </c>
      <c r="D7" s="137" t="s">
        <v>238</v>
      </c>
      <c r="E7" s="53" t="s">
        <v>322</v>
      </c>
      <c r="F7" s="53" t="s">
        <v>323</v>
      </c>
      <c r="G7" s="53" t="s">
        <v>36</v>
      </c>
      <c r="H7" s="53" t="s">
        <v>164</v>
      </c>
      <c r="I7" s="53" t="s">
        <v>159</v>
      </c>
      <c r="J7" s="53" t="s">
        <v>38</v>
      </c>
      <c r="K7" s="53" t="s">
        <v>161</v>
      </c>
      <c r="L7" s="53">
        <v>3</v>
      </c>
      <c r="N7" s="53">
        <v>4</v>
      </c>
      <c r="O7" s="53">
        <v>0.31</v>
      </c>
      <c r="P7" s="53">
        <v>0.28000000000000003</v>
      </c>
      <c r="Q7" s="74">
        <f t="shared" si="2"/>
        <v>0.29500000000000004</v>
      </c>
      <c r="R7" s="53">
        <v>14.9</v>
      </c>
      <c r="S7" s="53">
        <v>101</v>
      </c>
      <c r="T7" s="16">
        <f t="shared" si="0"/>
        <v>33</v>
      </c>
      <c r="U7" s="53">
        <v>297</v>
      </c>
      <c r="V7" s="16">
        <f t="shared" si="1"/>
        <v>16</v>
      </c>
      <c r="W7" s="53">
        <v>6</v>
      </c>
      <c r="X7" s="53" t="s">
        <v>46</v>
      </c>
      <c r="Y7" s="53" t="s">
        <v>84</v>
      </c>
      <c r="Z7" s="53" t="s">
        <v>90</v>
      </c>
      <c r="AA7" s="53" t="s">
        <v>40</v>
      </c>
      <c r="AB7" s="53" t="s">
        <v>321</v>
      </c>
      <c r="AE7" s="22" t="s">
        <v>61</v>
      </c>
      <c r="AG7" s="138" t="s">
        <v>338</v>
      </c>
      <c r="AH7" s="139" t="s">
        <v>339</v>
      </c>
      <c r="AL7" s="34" t="s">
        <v>109</v>
      </c>
      <c r="AP7" s="23" t="s">
        <v>58</v>
      </c>
      <c r="AR7" s="23" t="s">
        <v>340</v>
      </c>
      <c r="AV7" s="23" t="s">
        <v>64</v>
      </c>
      <c r="AX7" s="24">
        <v>109</v>
      </c>
      <c r="AY7" s="25">
        <v>33</v>
      </c>
      <c r="AZ7" s="25">
        <v>113</v>
      </c>
      <c r="BA7" s="26">
        <v>30</v>
      </c>
    </row>
    <row r="8" spans="1:53" x14ac:dyDescent="0.15">
      <c r="A8" s="53" t="s">
        <v>59</v>
      </c>
      <c r="B8" s="53" t="s">
        <v>237</v>
      </c>
      <c r="C8" s="62">
        <v>2019</v>
      </c>
      <c r="D8" s="137" t="s">
        <v>238</v>
      </c>
      <c r="E8" s="53" t="s">
        <v>332</v>
      </c>
      <c r="F8" s="53" t="s">
        <v>333</v>
      </c>
      <c r="G8" s="53" t="s">
        <v>36</v>
      </c>
      <c r="H8" s="53" t="s">
        <v>164</v>
      </c>
      <c r="I8" s="53" t="s">
        <v>159</v>
      </c>
      <c r="J8" s="53" t="s">
        <v>38</v>
      </c>
      <c r="K8" s="53" t="s">
        <v>161</v>
      </c>
      <c r="L8" s="53">
        <v>1</v>
      </c>
      <c r="N8" s="53">
        <v>4</v>
      </c>
      <c r="O8" s="53">
        <v>0.28000000000000003</v>
      </c>
      <c r="P8" s="53">
        <v>0.37</v>
      </c>
      <c r="Q8" s="74">
        <f t="shared" si="2"/>
        <v>0.32500000000000001</v>
      </c>
      <c r="R8" s="53">
        <v>13.6</v>
      </c>
      <c r="S8" s="53">
        <v>100</v>
      </c>
      <c r="T8" s="16">
        <f t="shared" si="0"/>
        <v>33</v>
      </c>
      <c r="U8" s="53">
        <v>399</v>
      </c>
      <c r="V8" s="16">
        <f t="shared" si="1"/>
        <v>16</v>
      </c>
      <c r="W8" s="53">
        <v>3</v>
      </c>
      <c r="X8" s="53" t="s">
        <v>39</v>
      </c>
      <c r="Y8" s="53" t="s">
        <v>84</v>
      </c>
      <c r="Z8" s="53" t="s">
        <v>90</v>
      </c>
      <c r="AA8" s="53" t="s">
        <v>320</v>
      </c>
      <c r="AB8" s="53" t="s">
        <v>321</v>
      </c>
      <c r="AE8" s="22" t="s">
        <v>59</v>
      </c>
      <c r="AG8" s="140" t="s">
        <v>162</v>
      </c>
      <c r="AH8" s="139" t="s">
        <v>341</v>
      </c>
      <c r="AL8" s="34" t="s">
        <v>134</v>
      </c>
      <c r="AP8" s="23" t="s">
        <v>62</v>
      </c>
      <c r="AR8" s="23" t="s">
        <v>81</v>
      </c>
      <c r="AV8" s="23" t="s">
        <v>97</v>
      </c>
      <c r="AX8" s="24">
        <v>119</v>
      </c>
      <c r="AY8" s="25">
        <v>30</v>
      </c>
      <c r="AZ8" s="25">
        <v>121</v>
      </c>
      <c r="BA8" s="26">
        <v>27</v>
      </c>
    </row>
    <row r="9" spans="1:53" x14ac:dyDescent="0.15">
      <c r="A9" s="53" t="s">
        <v>59</v>
      </c>
      <c r="B9" s="53" t="s">
        <v>237</v>
      </c>
      <c r="C9" s="62">
        <v>2019</v>
      </c>
      <c r="D9" s="137" t="s">
        <v>238</v>
      </c>
      <c r="E9" s="53" t="s">
        <v>332</v>
      </c>
      <c r="F9" s="53" t="s">
        <v>333</v>
      </c>
      <c r="G9" s="53" t="s">
        <v>36</v>
      </c>
      <c r="H9" s="53" t="s">
        <v>164</v>
      </c>
      <c r="I9" s="53" t="s">
        <v>159</v>
      </c>
      <c r="J9" s="53" t="s">
        <v>38</v>
      </c>
      <c r="K9" s="53" t="s">
        <v>161</v>
      </c>
      <c r="L9" s="53">
        <v>2</v>
      </c>
      <c r="N9" s="53">
        <v>4</v>
      </c>
      <c r="O9" s="53">
        <v>0.5</v>
      </c>
      <c r="P9" s="53">
        <v>0.47</v>
      </c>
      <c r="Q9" s="74">
        <f t="shared" si="2"/>
        <v>0.48499999999999999</v>
      </c>
      <c r="R9" s="53">
        <v>15.3</v>
      </c>
      <c r="S9" s="53">
        <v>100</v>
      </c>
      <c r="T9" s="16">
        <f t="shared" si="0"/>
        <v>33</v>
      </c>
      <c r="U9" s="53">
        <v>399</v>
      </c>
      <c r="V9" s="16">
        <f t="shared" si="1"/>
        <v>16</v>
      </c>
      <c r="W9" s="53">
        <v>3</v>
      </c>
      <c r="X9" s="53" t="s">
        <v>39</v>
      </c>
      <c r="Y9" s="53" t="s">
        <v>84</v>
      </c>
      <c r="Z9" s="53" t="s">
        <v>90</v>
      </c>
      <c r="AA9" s="53" t="s">
        <v>320</v>
      </c>
      <c r="AB9" s="53" t="s">
        <v>321</v>
      </c>
      <c r="AE9" s="22" t="s">
        <v>98</v>
      </c>
      <c r="AG9" s="140" t="s">
        <v>342</v>
      </c>
      <c r="AH9" s="139" t="s">
        <v>341</v>
      </c>
      <c r="AL9" s="73"/>
      <c r="AP9" s="23" t="s">
        <v>343</v>
      </c>
      <c r="AR9" s="23" t="s">
        <v>89</v>
      </c>
      <c r="AV9" s="23" t="s">
        <v>102</v>
      </c>
      <c r="AX9" s="24">
        <v>128</v>
      </c>
      <c r="AY9" s="25">
        <v>27</v>
      </c>
      <c r="AZ9" s="25">
        <v>129</v>
      </c>
      <c r="BA9" s="26">
        <v>25</v>
      </c>
    </row>
    <row r="10" spans="1:53" x14ac:dyDescent="0.15">
      <c r="A10" s="53" t="s">
        <v>59</v>
      </c>
      <c r="B10" s="53" t="s">
        <v>237</v>
      </c>
      <c r="C10" s="62">
        <v>2019</v>
      </c>
      <c r="D10" s="137" t="s">
        <v>238</v>
      </c>
      <c r="E10" s="53" t="s">
        <v>332</v>
      </c>
      <c r="F10" s="53" t="s">
        <v>333</v>
      </c>
      <c r="G10" s="53" t="s">
        <v>36</v>
      </c>
      <c r="H10" s="53" t="s">
        <v>164</v>
      </c>
      <c r="I10" s="53" t="s">
        <v>159</v>
      </c>
      <c r="J10" s="53" t="s">
        <v>38</v>
      </c>
      <c r="K10" s="53" t="s">
        <v>161</v>
      </c>
      <c r="L10" s="53">
        <v>3</v>
      </c>
      <c r="N10" s="53">
        <v>4</v>
      </c>
      <c r="O10" s="53">
        <v>0.49</v>
      </c>
      <c r="P10" s="53">
        <v>0.53</v>
      </c>
      <c r="Q10" s="74">
        <f t="shared" si="2"/>
        <v>0.51</v>
      </c>
      <c r="R10" s="53">
        <v>14.5</v>
      </c>
      <c r="S10" s="53">
        <v>103</v>
      </c>
      <c r="T10" s="16">
        <f t="shared" si="0"/>
        <v>33</v>
      </c>
      <c r="U10" s="53">
        <v>399</v>
      </c>
      <c r="V10" s="16">
        <f t="shared" si="1"/>
        <v>16</v>
      </c>
      <c r="W10" s="53">
        <v>3</v>
      </c>
      <c r="X10" s="53" t="s">
        <v>39</v>
      </c>
      <c r="Y10" s="53" t="s">
        <v>84</v>
      </c>
      <c r="Z10" s="53" t="s">
        <v>90</v>
      </c>
      <c r="AA10" s="53" t="s">
        <v>320</v>
      </c>
      <c r="AB10" s="53" t="s">
        <v>321</v>
      </c>
      <c r="AE10" s="22" t="s">
        <v>103</v>
      </c>
      <c r="AG10" s="138" t="s">
        <v>344</v>
      </c>
      <c r="AH10" s="139" t="s">
        <v>333</v>
      </c>
      <c r="AL10" s="83"/>
      <c r="AP10" s="23" t="s">
        <v>100</v>
      </c>
      <c r="AR10" s="23" t="s">
        <v>123</v>
      </c>
      <c r="AV10" s="23" t="s">
        <v>106</v>
      </c>
      <c r="AX10" s="24">
        <v>138</v>
      </c>
      <c r="AY10" s="25">
        <v>25</v>
      </c>
      <c r="AZ10" s="25">
        <v>138</v>
      </c>
      <c r="BA10" s="26">
        <v>22</v>
      </c>
    </row>
    <row r="11" spans="1:53" x14ac:dyDescent="0.15">
      <c r="A11" s="53" t="s">
        <v>59</v>
      </c>
      <c r="B11" s="53" t="s">
        <v>237</v>
      </c>
      <c r="C11" s="62">
        <v>2019</v>
      </c>
      <c r="D11" s="137" t="s">
        <v>238</v>
      </c>
      <c r="E11" s="53" t="s">
        <v>332</v>
      </c>
      <c r="F11" s="53" t="s">
        <v>333</v>
      </c>
      <c r="G11" s="53" t="s">
        <v>36</v>
      </c>
      <c r="H11" s="53" t="s">
        <v>128</v>
      </c>
      <c r="I11" s="53" t="s">
        <v>159</v>
      </c>
      <c r="J11" s="53" t="s">
        <v>80</v>
      </c>
      <c r="K11" s="53" t="s">
        <v>330</v>
      </c>
      <c r="L11" s="53">
        <v>1</v>
      </c>
      <c r="N11" s="53">
        <v>3</v>
      </c>
      <c r="O11" s="53">
        <v>0.56999999999999995</v>
      </c>
      <c r="P11" s="53">
        <v>0.6</v>
      </c>
      <c r="Q11" s="74">
        <f t="shared" si="2"/>
        <v>0.58499999999999996</v>
      </c>
      <c r="R11" s="53">
        <v>13.2</v>
      </c>
      <c r="S11" s="53">
        <v>108</v>
      </c>
      <c r="T11" s="16">
        <f t="shared" si="0"/>
        <v>33</v>
      </c>
      <c r="U11" s="53">
        <v>399</v>
      </c>
      <c r="V11" s="16">
        <f t="shared" si="1"/>
        <v>16</v>
      </c>
      <c r="W11" s="53">
        <v>1</v>
      </c>
      <c r="X11" s="53" t="s">
        <v>39</v>
      </c>
      <c r="Y11" s="53" t="s">
        <v>84</v>
      </c>
      <c r="Z11" s="53" t="s">
        <v>90</v>
      </c>
      <c r="AA11" s="53" t="s">
        <v>320</v>
      </c>
      <c r="AB11" s="53" t="s">
        <v>321</v>
      </c>
      <c r="AE11" s="22" t="s">
        <v>65</v>
      </c>
      <c r="AG11" s="140" t="s">
        <v>345</v>
      </c>
      <c r="AH11" s="139" t="s">
        <v>346</v>
      </c>
      <c r="AL11" s="83"/>
      <c r="AP11" s="23" t="s">
        <v>347</v>
      </c>
      <c r="AR11" s="23" t="s">
        <v>348</v>
      </c>
      <c r="AV11" s="23" t="s">
        <v>349</v>
      </c>
      <c r="AX11" s="24">
        <v>151</v>
      </c>
      <c r="AY11" s="25">
        <v>22</v>
      </c>
      <c r="AZ11" s="25">
        <v>152</v>
      </c>
      <c r="BA11" s="26">
        <v>18</v>
      </c>
    </row>
    <row r="12" spans="1:53" x14ac:dyDescent="0.15">
      <c r="A12" s="53" t="s">
        <v>59</v>
      </c>
      <c r="B12" s="53" t="s">
        <v>237</v>
      </c>
      <c r="C12" s="62">
        <v>2019</v>
      </c>
      <c r="D12" s="137" t="s">
        <v>238</v>
      </c>
      <c r="E12" s="53" t="s">
        <v>332</v>
      </c>
      <c r="F12" s="53" t="s">
        <v>333</v>
      </c>
      <c r="G12" s="53" t="s">
        <v>36</v>
      </c>
      <c r="H12" s="53" t="s">
        <v>128</v>
      </c>
      <c r="I12" s="53" t="s">
        <v>159</v>
      </c>
      <c r="J12" s="53" t="s">
        <v>80</v>
      </c>
      <c r="K12" s="53" t="s">
        <v>330</v>
      </c>
      <c r="L12" s="53">
        <v>2</v>
      </c>
      <c r="N12" s="53">
        <v>3</v>
      </c>
      <c r="O12" s="53">
        <v>0.4</v>
      </c>
      <c r="P12" s="53">
        <v>0.43</v>
      </c>
      <c r="Q12" s="74">
        <f t="shared" si="2"/>
        <v>0.41500000000000004</v>
      </c>
      <c r="R12" s="53">
        <v>13</v>
      </c>
      <c r="S12" s="53">
        <v>96</v>
      </c>
      <c r="T12" s="16">
        <f t="shared" si="0"/>
        <v>36</v>
      </c>
      <c r="U12" s="53">
        <v>399</v>
      </c>
      <c r="V12" s="16">
        <f t="shared" si="1"/>
        <v>16</v>
      </c>
      <c r="W12" s="53">
        <v>1</v>
      </c>
      <c r="X12" s="53" t="s">
        <v>39</v>
      </c>
      <c r="Y12" s="53" t="s">
        <v>84</v>
      </c>
      <c r="Z12" s="53" t="s">
        <v>90</v>
      </c>
      <c r="AA12" s="53" t="s">
        <v>320</v>
      </c>
      <c r="AB12" s="53" t="s">
        <v>321</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237</v>
      </c>
      <c r="C13" s="62">
        <v>2019</v>
      </c>
      <c r="D13" s="137" t="s">
        <v>238</v>
      </c>
      <c r="E13" s="53" t="s">
        <v>332</v>
      </c>
      <c r="F13" s="53" t="s">
        <v>333</v>
      </c>
      <c r="G13" s="53" t="s">
        <v>36</v>
      </c>
      <c r="H13" s="53" t="s">
        <v>128</v>
      </c>
      <c r="I13" s="53" t="s">
        <v>159</v>
      </c>
      <c r="J13" s="53" t="s">
        <v>80</v>
      </c>
      <c r="K13" s="53" t="s">
        <v>330</v>
      </c>
      <c r="L13" s="53">
        <v>3</v>
      </c>
      <c r="N13" s="53">
        <v>3</v>
      </c>
      <c r="O13" s="53">
        <v>0.65</v>
      </c>
      <c r="P13" s="53">
        <v>0.72</v>
      </c>
      <c r="Q13" s="74">
        <f t="shared" si="2"/>
        <v>0.68500000000000005</v>
      </c>
      <c r="R13" s="53">
        <v>10.9</v>
      </c>
      <c r="S13" s="53">
        <v>109</v>
      </c>
      <c r="T13" s="16">
        <f t="shared" si="0"/>
        <v>33</v>
      </c>
      <c r="U13" s="53">
        <v>399</v>
      </c>
      <c r="V13" s="16">
        <f t="shared" si="1"/>
        <v>16</v>
      </c>
      <c r="W13" s="53">
        <v>1</v>
      </c>
      <c r="X13" s="53" t="s">
        <v>39</v>
      </c>
      <c r="Y13" s="53" t="s">
        <v>84</v>
      </c>
      <c r="Z13" s="53" t="s">
        <v>90</v>
      </c>
      <c r="AA13" s="53" t="s">
        <v>320</v>
      </c>
      <c r="AB13" s="53" t="s">
        <v>321</v>
      </c>
      <c r="AE13" s="22" t="s">
        <v>73</v>
      </c>
      <c r="AG13" s="23"/>
      <c r="AH13" s="23"/>
      <c r="AP13" s="23" t="s">
        <v>71</v>
      </c>
      <c r="AR13" s="23" t="s">
        <v>103</v>
      </c>
      <c r="AV13" s="23" t="s">
        <v>75</v>
      </c>
    </row>
    <row r="14" spans="1:53" x14ac:dyDescent="0.15">
      <c r="A14" s="53" t="s">
        <v>59</v>
      </c>
      <c r="B14" s="53" t="s">
        <v>237</v>
      </c>
      <c r="C14" s="62">
        <v>2019</v>
      </c>
      <c r="D14" s="137" t="s">
        <v>238</v>
      </c>
      <c r="E14" s="53" t="s">
        <v>344</v>
      </c>
      <c r="F14" s="53" t="s">
        <v>333</v>
      </c>
      <c r="G14" s="53" t="s">
        <v>36</v>
      </c>
      <c r="H14" s="53" t="s">
        <v>164</v>
      </c>
      <c r="I14" s="53" t="s">
        <v>159</v>
      </c>
      <c r="J14" s="53" t="s">
        <v>38</v>
      </c>
      <c r="K14" s="53" t="s">
        <v>161</v>
      </c>
      <c r="L14" s="53">
        <v>1</v>
      </c>
      <c r="N14" s="53">
        <v>4</v>
      </c>
      <c r="O14" s="53">
        <v>0.41</v>
      </c>
      <c r="P14" s="53">
        <v>0.44</v>
      </c>
      <c r="Q14" s="74">
        <f t="shared" si="2"/>
        <v>0.42499999999999999</v>
      </c>
      <c r="R14" s="53">
        <v>14.9</v>
      </c>
      <c r="S14" s="53">
        <v>95</v>
      </c>
      <c r="T14" s="16">
        <f t="shared" si="0"/>
        <v>36</v>
      </c>
      <c r="U14" s="53">
        <v>429</v>
      </c>
      <c r="V14" s="16">
        <f t="shared" si="1"/>
        <v>16</v>
      </c>
      <c r="W14" s="53">
        <v>2</v>
      </c>
      <c r="X14" s="53" t="s">
        <v>46</v>
      </c>
      <c r="Y14" s="53" t="s">
        <v>84</v>
      </c>
      <c r="Z14" s="53" t="s">
        <v>90</v>
      </c>
      <c r="AA14" s="53" t="s">
        <v>320</v>
      </c>
      <c r="AB14" s="53" t="s">
        <v>321</v>
      </c>
      <c r="AE14" s="22" t="s">
        <v>76</v>
      </c>
      <c r="AG14" s="23"/>
      <c r="AH14" s="23"/>
      <c r="AP14" s="23" t="s">
        <v>350</v>
      </c>
      <c r="AR14" s="23" t="s">
        <v>125</v>
      </c>
      <c r="AV14" s="23" t="s">
        <v>78</v>
      </c>
    </row>
    <row r="15" spans="1:53" x14ac:dyDescent="0.15">
      <c r="A15" s="53" t="s">
        <v>59</v>
      </c>
      <c r="B15" s="53" t="s">
        <v>237</v>
      </c>
      <c r="C15" s="62">
        <v>2019</v>
      </c>
      <c r="D15" s="137" t="s">
        <v>238</v>
      </c>
      <c r="E15" s="53" t="s">
        <v>344</v>
      </c>
      <c r="F15" s="53" t="s">
        <v>333</v>
      </c>
      <c r="G15" s="53" t="s">
        <v>36</v>
      </c>
      <c r="H15" s="53" t="s">
        <v>164</v>
      </c>
      <c r="I15" s="53" t="s">
        <v>159</v>
      </c>
      <c r="J15" s="53" t="s">
        <v>38</v>
      </c>
      <c r="K15" s="53" t="s">
        <v>161</v>
      </c>
      <c r="L15" s="53">
        <v>2</v>
      </c>
      <c r="N15" s="53">
        <v>4</v>
      </c>
      <c r="O15" s="53">
        <v>0.39</v>
      </c>
      <c r="P15" s="53">
        <v>0.36</v>
      </c>
      <c r="Q15" s="74">
        <f t="shared" si="2"/>
        <v>0.375</v>
      </c>
      <c r="R15" s="53">
        <v>15</v>
      </c>
      <c r="S15" s="53">
        <v>105</v>
      </c>
      <c r="T15" s="16">
        <f t="shared" si="0"/>
        <v>33</v>
      </c>
      <c r="U15" s="53">
        <v>429</v>
      </c>
      <c r="V15" s="16">
        <f t="shared" si="1"/>
        <v>16</v>
      </c>
      <c r="W15" s="53">
        <v>2</v>
      </c>
      <c r="X15" s="53" t="s">
        <v>46</v>
      </c>
      <c r="Y15" s="53" t="s">
        <v>84</v>
      </c>
      <c r="Z15" s="53" t="s">
        <v>90</v>
      </c>
      <c r="AA15" s="53" t="s">
        <v>320</v>
      </c>
      <c r="AB15" s="53" t="s">
        <v>321</v>
      </c>
      <c r="AE15" s="22" t="s">
        <v>79</v>
      </c>
      <c r="AG15" s="23"/>
      <c r="AH15" s="23"/>
      <c r="AP15" s="23" t="s">
        <v>351</v>
      </c>
      <c r="AR15" s="23" t="s">
        <v>94</v>
      </c>
      <c r="AV15" s="23" t="s">
        <v>107</v>
      </c>
    </row>
    <row r="16" spans="1:53" x14ac:dyDescent="0.15">
      <c r="A16" s="53" t="s">
        <v>59</v>
      </c>
      <c r="B16" s="53" t="s">
        <v>237</v>
      </c>
      <c r="C16" s="62">
        <v>2019</v>
      </c>
      <c r="D16" s="137" t="s">
        <v>238</v>
      </c>
      <c r="E16" s="53" t="s">
        <v>344</v>
      </c>
      <c r="F16" s="53" t="s">
        <v>333</v>
      </c>
      <c r="G16" s="53" t="s">
        <v>36</v>
      </c>
      <c r="H16" s="53" t="s">
        <v>164</v>
      </c>
      <c r="I16" s="53" t="s">
        <v>159</v>
      </c>
      <c r="J16" s="53" t="s">
        <v>38</v>
      </c>
      <c r="K16" s="53" t="s">
        <v>161</v>
      </c>
      <c r="L16" s="53">
        <v>3</v>
      </c>
      <c r="N16" s="53">
        <v>4</v>
      </c>
      <c r="O16" s="53">
        <v>0.42</v>
      </c>
      <c r="P16" s="53">
        <v>0.45</v>
      </c>
      <c r="Q16" s="74">
        <f t="shared" si="2"/>
        <v>0.435</v>
      </c>
      <c r="R16" s="53">
        <v>14.7</v>
      </c>
      <c r="S16" s="53">
        <v>104</v>
      </c>
      <c r="T16" s="16">
        <f t="shared" si="0"/>
        <v>33</v>
      </c>
      <c r="U16" s="53">
        <v>429</v>
      </c>
      <c r="V16" s="16">
        <f t="shared" si="1"/>
        <v>16</v>
      </c>
      <c r="W16" s="53">
        <v>2</v>
      </c>
      <c r="X16" s="53" t="s">
        <v>46</v>
      </c>
      <c r="Y16" s="53" t="s">
        <v>84</v>
      </c>
      <c r="Z16" s="53" t="s">
        <v>90</v>
      </c>
      <c r="AA16" s="53" t="s">
        <v>320</v>
      </c>
      <c r="AB16" s="53" t="s">
        <v>321</v>
      </c>
      <c r="AE16" s="22" t="s">
        <v>82</v>
      </c>
      <c r="AG16" s="28"/>
      <c r="AH16" s="28"/>
      <c r="AP16" s="23" t="s">
        <v>80</v>
      </c>
      <c r="AR16" s="23" t="s">
        <v>63</v>
      </c>
      <c r="AV16" s="23" t="s">
        <v>84</v>
      </c>
    </row>
    <row r="17" spans="1:48" x14ac:dyDescent="0.15">
      <c r="A17" s="53" t="s">
        <v>59</v>
      </c>
      <c r="B17" s="53" t="s">
        <v>237</v>
      </c>
      <c r="C17" s="62">
        <v>2019</v>
      </c>
      <c r="D17" s="137" t="s">
        <v>238</v>
      </c>
      <c r="E17" s="53" t="s">
        <v>342</v>
      </c>
      <c r="F17" s="53" t="s">
        <v>341</v>
      </c>
      <c r="G17" s="53" t="s">
        <v>36</v>
      </c>
      <c r="H17" s="53" t="s">
        <v>164</v>
      </c>
      <c r="I17" s="53" t="s">
        <v>159</v>
      </c>
      <c r="J17" s="53" t="s">
        <v>38</v>
      </c>
      <c r="K17" s="53" t="s">
        <v>161</v>
      </c>
      <c r="L17" s="53">
        <v>1</v>
      </c>
      <c r="N17" s="53">
        <v>4</v>
      </c>
      <c r="O17" s="53">
        <v>0.56000000000000005</v>
      </c>
      <c r="P17" s="53">
        <v>0.45</v>
      </c>
      <c r="Q17" s="74">
        <f t="shared" si="2"/>
        <v>0.505</v>
      </c>
      <c r="R17" s="53">
        <v>13.7</v>
      </c>
      <c r="S17" s="53">
        <v>96</v>
      </c>
      <c r="T17" s="16">
        <f t="shared" si="0"/>
        <v>36</v>
      </c>
      <c r="U17" s="53">
        <v>398</v>
      </c>
      <c r="V17" s="16">
        <f t="shared" si="1"/>
        <v>16</v>
      </c>
      <c r="W17" s="53">
        <v>1</v>
      </c>
      <c r="X17" s="53" t="s">
        <v>39</v>
      </c>
      <c r="Y17" s="53" t="s">
        <v>90</v>
      </c>
      <c r="Z17" s="53" t="s">
        <v>84</v>
      </c>
      <c r="AA17" s="53" t="s">
        <v>40</v>
      </c>
      <c r="AB17" s="53" t="s">
        <v>321</v>
      </c>
      <c r="AE17" s="22" t="s">
        <v>85</v>
      </c>
      <c r="AP17" s="27" t="s">
        <v>110</v>
      </c>
      <c r="AR17" s="23" t="s">
        <v>96</v>
      </c>
      <c r="AV17" s="23" t="s">
        <v>86</v>
      </c>
    </row>
    <row r="18" spans="1:48" x14ac:dyDescent="0.15">
      <c r="A18" s="53" t="s">
        <v>59</v>
      </c>
      <c r="B18" s="53" t="s">
        <v>237</v>
      </c>
      <c r="C18" s="62">
        <v>2019</v>
      </c>
      <c r="D18" s="137" t="s">
        <v>238</v>
      </c>
      <c r="E18" s="53" t="s">
        <v>342</v>
      </c>
      <c r="F18" s="53" t="s">
        <v>341</v>
      </c>
      <c r="G18" s="53" t="s">
        <v>36</v>
      </c>
      <c r="H18" s="53" t="s">
        <v>164</v>
      </c>
      <c r="I18" s="53" t="s">
        <v>159</v>
      </c>
      <c r="J18" s="53" t="s">
        <v>38</v>
      </c>
      <c r="K18" s="53" t="s">
        <v>161</v>
      </c>
      <c r="L18" s="53">
        <v>2</v>
      </c>
      <c r="N18" s="53">
        <v>4</v>
      </c>
      <c r="O18" s="53">
        <v>0.25</v>
      </c>
      <c r="P18" s="53">
        <v>0.24</v>
      </c>
      <c r="Q18" s="74">
        <f t="shared" si="2"/>
        <v>0.245</v>
      </c>
      <c r="R18" s="53">
        <v>14</v>
      </c>
      <c r="S18" s="53">
        <v>100</v>
      </c>
      <c r="T18" s="16">
        <f t="shared" si="0"/>
        <v>33</v>
      </c>
      <c r="U18" s="53">
        <v>398</v>
      </c>
      <c r="V18" s="16">
        <f t="shared" si="1"/>
        <v>16</v>
      </c>
      <c r="W18" s="53">
        <v>1</v>
      </c>
      <c r="X18" s="53" t="s">
        <v>39</v>
      </c>
      <c r="Y18" s="53" t="s">
        <v>90</v>
      </c>
      <c r="Z18" s="53" t="s">
        <v>84</v>
      </c>
      <c r="AA18" s="53" t="s">
        <v>40</v>
      </c>
      <c r="AB18" s="53" t="s">
        <v>321</v>
      </c>
      <c r="AE18" s="22" t="s">
        <v>87</v>
      </c>
      <c r="AP18" s="27" t="s">
        <v>352</v>
      </c>
      <c r="AR18" s="23" t="s">
        <v>101</v>
      </c>
      <c r="AV18" s="23" t="s">
        <v>88</v>
      </c>
    </row>
    <row r="19" spans="1:48" x14ac:dyDescent="0.15">
      <c r="A19" s="53" t="s">
        <v>59</v>
      </c>
      <c r="B19" s="53" t="s">
        <v>237</v>
      </c>
      <c r="C19" s="62">
        <v>2019</v>
      </c>
      <c r="D19" s="137" t="s">
        <v>238</v>
      </c>
      <c r="E19" s="53" t="s">
        <v>342</v>
      </c>
      <c r="F19" s="53" t="s">
        <v>341</v>
      </c>
      <c r="G19" s="53" t="s">
        <v>36</v>
      </c>
      <c r="H19" s="53" t="s">
        <v>164</v>
      </c>
      <c r="I19" s="53" t="s">
        <v>159</v>
      </c>
      <c r="J19" s="53" t="s">
        <v>38</v>
      </c>
      <c r="K19" s="53" t="s">
        <v>161</v>
      </c>
      <c r="L19" s="53">
        <v>3</v>
      </c>
      <c r="N19" s="53">
        <v>4</v>
      </c>
      <c r="O19" s="53">
        <v>0.43</v>
      </c>
      <c r="P19" s="53">
        <v>0.52</v>
      </c>
      <c r="Q19" s="74">
        <f t="shared" si="2"/>
        <v>0.47499999999999998</v>
      </c>
      <c r="R19" s="53">
        <v>13.6</v>
      </c>
      <c r="S19" s="53">
        <v>105</v>
      </c>
      <c r="T19" s="16">
        <f t="shared" si="0"/>
        <v>33</v>
      </c>
      <c r="U19" s="53">
        <v>398</v>
      </c>
      <c r="V19" s="16">
        <f t="shared" si="1"/>
        <v>16</v>
      </c>
      <c r="W19" s="53">
        <v>1</v>
      </c>
      <c r="X19" s="53" t="s">
        <v>39</v>
      </c>
      <c r="Y19" s="53" t="s">
        <v>90</v>
      </c>
      <c r="Z19" s="53" t="s">
        <v>84</v>
      </c>
      <c r="AA19" s="53" t="s">
        <v>40</v>
      </c>
      <c r="AB19" s="53" t="s">
        <v>321</v>
      </c>
      <c r="AE19" s="35" t="s">
        <v>89</v>
      </c>
      <c r="AP19" s="27" t="s">
        <v>112</v>
      </c>
      <c r="AR19" s="23" t="s">
        <v>126</v>
      </c>
      <c r="AV19" s="23" t="s">
        <v>320</v>
      </c>
    </row>
    <row r="20" spans="1:48" x14ac:dyDescent="0.15">
      <c r="A20" s="53" t="s">
        <v>59</v>
      </c>
      <c r="B20" s="53" t="s">
        <v>237</v>
      </c>
      <c r="C20" s="62">
        <v>2019</v>
      </c>
      <c r="D20" s="137" t="s">
        <v>238</v>
      </c>
      <c r="E20" s="53" t="s">
        <v>162</v>
      </c>
      <c r="F20" s="53" t="s">
        <v>341</v>
      </c>
      <c r="G20" s="53" t="s">
        <v>36</v>
      </c>
      <c r="H20" s="53" t="s">
        <v>164</v>
      </c>
      <c r="I20" s="53" t="s">
        <v>159</v>
      </c>
      <c r="J20" s="53" t="s">
        <v>38</v>
      </c>
      <c r="K20" s="53" t="s">
        <v>161</v>
      </c>
      <c r="L20" s="53">
        <v>1</v>
      </c>
      <c r="N20" s="53">
        <v>4</v>
      </c>
      <c r="O20" s="53">
        <v>0.22</v>
      </c>
      <c r="P20" s="53">
        <v>0.24</v>
      </c>
      <c r="Q20" s="74">
        <f t="shared" si="2"/>
        <v>0.22999999999999998</v>
      </c>
      <c r="R20" s="53">
        <v>13.8</v>
      </c>
      <c r="S20" s="53">
        <v>80</v>
      </c>
      <c r="T20" s="16">
        <f t="shared" si="0"/>
        <v>39</v>
      </c>
      <c r="U20" s="53">
        <v>398</v>
      </c>
      <c r="V20" s="16">
        <f t="shared" si="1"/>
        <v>16</v>
      </c>
      <c r="W20" s="53">
        <v>3</v>
      </c>
      <c r="X20" s="53" t="s">
        <v>46</v>
      </c>
      <c r="Y20" s="53" t="s">
        <v>84</v>
      </c>
      <c r="Z20" s="53" t="s">
        <v>90</v>
      </c>
      <c r="AA20" s="53" t="s">
        <v>69</v>
      </c>
      <c r="AB20" s="53" t="s">
        <v>321</v>
      </c>
      <c r="AE20" s="35"/>
      <c r="AP20" s="27" t="s">
        <v>113</v>
      </c>
      <c r="AR20" s="23" t="s">
        <v>105</v>
      </c>
      <c r="AV20" s="27" t="s">
        <v>135</v>
      </c>
    </row>
    <row r="21" spans="1:48" x14ac:dyDescent="0.15">
      <c r="A21" s="53" t="s">
        <v>59</v>
      </c>
      <c r="B21" s="53" t="s">
        <v>237</v>
      </c>
      <c r="C21" s="62">
        <v>2019</v>
      </c>
      <c r="D21" s="137" t="s">
        <v>238</v>
      </c>
      <c r="E21" s="53" t="s">
        <v>162</v>
      </c>
      <c r="F21" s="53" t="s">
        <v>341</v>
      </c>
      <c r="G21" s="53" t="s">
        <v>36</v>
      </c>
      <c r="H21" s="53" t="s">
        <v>164</v>
      </c>
      <c r="I21" s="53" t="s">
        <v>159</v>
      </c>
      <c r="J21" s="53" t="s">
        <v>38</v>
      </c>
      <c r="K21" s="53" t="s">
        <v>161</v>
      </c>
      <c r="L21" s="53">
        <v>2</v>
      </c>
      <c r="N21" s="53">
        <v>4</v>
      </c>
      <c r="O21" s="53">
        <v>0.24</v>
      </c>
      <c r="P21" s="53">
        <v>0.23</v>
      </c>
      <c r="Q21" s="74">
        <f t="shared" si="2"/>
        <v>0.23499999999999999</v>
      </c>
      <c r="R21" s="53">
        <v>13.1</v>
      </c>
      <c r="S21" s="53">
        <v>79</v>
      </c>
      <c r="T21" s="16">
        <f t="shared" si="0"/>
        <v>39</v>
      </c>
      <c r="U21" s="53">
        <v>398</v>
      </c>
      <c r="V21" s="16">
        <f t="shared" si="1"/>
        <v>16</v>
      </c>
      <c r="W21" s="53">
        <v>3</v>
      </c>
      <c r="X21" s="53" t="s">
        <v>46</v>
      </c>
      <c r="Y21" s="53" t="s">
        <v>84</v>
      </c>
      <c r="Z21" s="53" t="s">
        <v>90</v>
      </c>
      <c r="AA21" s="53" t="s">
        <v>69</v>
      </c>
      <c r="AB21" s="53" t="s">
        <v>321</v>
      </c>
      <c r="AE21" s="28"/>
      <c r="AP21" s="27" t="s">
        <v>353</v>
      </c>
      <c r="AR21" s="23" t="s">
        <v>68</v>
      </c>
      <c r="AV21" s="27" t="s">
        <v>136</v>
      </c>
    </row>
    <row r="22" spans="1:48" x14ac:dyDescent="0.15">
      <c r="A22" s="53" t="s">
        <v>59</v>
      </c>
      <c r="B22" s="53" t="s">
        <v>237</v>
      </c>
      <c r="C22" s="62">
        <v>2019</v>
      </c>
      <c r="D22" s="137" t="s">
        <v>238</v>
      </c>
      <c r="E22" s="53" t="s">
        <v>162</v>
      </c>
      <c r="F22" s="53" t="s">
        <v>341</v>
      </c>
      <c r="G22" s="53" t="s">
        <v>36</v>
      </c>
      <c r="H22" s="53" t="s">
        <v>164</v>
      </c>
      <c r="I22" s="53" t="s">
        <v>159</v>
      </c>
      <c r="J22" s="53" t="s">
        <v>38</v>
      </c>
      <c r="K22" s="53" t="s">
        <v>161</v>
      </c>
      <c r="L22" s="53">
        <v>3</v>
      </c>
      <c r="N22" s="53">
        <v>4</v>
      </c>
      <c r="O22" s="53">
        <v>0.25</v>
      </c>
      <c r="P22" s="53">
        <v>0.24</v>
      </c>
      <c r="Q22" s="74">
        <f t="shared" si="2"/>
        <v>0.245</v>
      </c>
      <c r="R22" s="53">
        <v>14.1</v>
      </c>
      <c r="S22" s="53">
        <v>80</v>
      </c>
      <c r="T22" s="16">
        <f t="shared" si="0"/>
        <v>39</v>
      </c>
      <c r="U22" s="53">
        <v>398</v>
      </c>
      <c r="V22" s="16">
        <f t="shared" si="1"/>
        <v>16</v>
      </c>
      <c r="W22" s="53">
        <v>3</v>
      </c>
      <c r="X22" s="53" t="s">
        <v>46</v>
      </c>
      <c r="Y22" s="53" t="s">
        <v>84</v>
      </c>
      <c r="Z22" s="53" t="s">
        <v>90</v>
      </c>
      <c r="AA22" s="53" t="s">
        <v>69</v>
      </c>
      <c r="AB22" s="53" t="s">
        <v>321</v>
      </c>
      <c r="AP22" s="27" t="s">
        <v>354</v>
      </c>
      <c r="AR22" s="23" t="s">
        <v>83</v>
      </c>
      <c r="AV22" s="27" t="s">
        <v>355</v>
      </c>
    </row>
    <row r="23" spans="1:48" x14ac:dyDescent="0.15">
      <c r="A23" s="53" t="s">
        <v>59</v>
      </c>
      <c r="B23" s="53" t="s">
        <v>237</v>
      </c>
      <c r="C23" s="62">
        <v>2019</v>
      </c>
      <c r="D23" s="137" t="s">
        <v>238</v>
      </c>
      <c r="E23" s="53" t="s">
        <v>162</v>
      </c>
      <c r="F23" s="53" t="s">
        <v>341</v>
      </c>
      <c r="G23" s="53" t="s">
        <v>36</v>
      </c>
      <c r="H23" s="53" t="s">
        <v>164</v>
      </c>
      <c r="I23" s="53" t="s">
        <v>198</v>
      </c>
      <c r="J23" s="53" t="s">
        <v>38</v>
      </c>
      <c r="K23" s="53" t="s">
        <v>161</v>
      </c>
      <c r="L23" s="53">
        <v>1</v>
      </c>
      <c r="N23" s="53">
        <v>5</v>
      </c>
      <c r="O23" s="53">
        <v>0.56000000000000005</v>
      </c>
      <c r="P23" s="53">
        <v>0.61</v>
      </c>
      <c r="Q23" s="74">
        <f t="shared" si="2"/>
        <v>0.58499999999999996</v>
      </c>
      <c r="R23" s="53">
        <v>14.5</v>
      </c>
      <c r="S23" s="53">
        <v>75</v>
      </c>
      <c r="T23" s="16">
        <f t="shared" si="0"/>
        <v>42</v>
      </c>
      <c r="U23" s="53">
        <v>398</v>
      </c>
      <c r="V23" s="16">
        <f t="shared" si="1"/>
        <v>16</v>
      </c>
      <c r="W23" s="53">
        <v>1</v>
      </c>
      <c r="X23" s="53" t="s">
        <v>46</v>
      </c>
      <c r="Y23" s="53" t="s">
        <v>84</v>
      </c>
      <c r="Z23" s="53" t="s">
        <v>90</v>
      </c>
      <c r="AA23" s="53" t="s">
        <v>69</v>
      </c>
      <c r="AB23" s="53" t="s">
        <v>321</v>
      </c>
      <c r="AP23" s="27" t="s">
        <v>137</v>
      </c>
      <c r="AR23" s="23" t="s">
        <v>61</v>
      </c>
      <c r="AV23" s="27" t="s">
        <v>356</v>
      </c>
    </row>
    <row r="24" spans="1:48" x14ac:dyDescent="0.15">
      <c r="A24" s="53" t="s">
        <v>59</v>
      </c>
      <c r="B24" s="53" t="s">
        <v>237</v>
      </c>
      <c r="C24" s="62">
        <v>2019</v>
      </c>
      <c r="D24" s="137" t="s">
        <v>238</v>
      </c>
      <c r="E24" s="53" t="s">
        <v>162</v>
      </c>
      <c r="F24" s="53" t="s">
        <v>341</v>
      </c>
      <c r="G24" s="53" t="s">
        <v>36</v>
      </c>
      <c r="H24" s="53" t="s">
        <v>164</v>
      </c>
      <c r="I24" s="53" t="s">
        <v>198</v>
      </c>
      <c r="J24" s="53" t="s">
        <v>38</v>
      </c>
      <c r="K24" s="53" t="s">
        <v>161</v>
      </c>
      <c r="L24" s="53">
        <v>2</v>
      </c>
      <c r="N24" s="53">
        <v>5</v>
      </c>
      <c r="O24" s="53">
        <v>0.34</v>
      </c>
      <c r="P24" s="53">
        <v>0.42</v>
      </c>
      <c r="Q24" s="74">
        <f t="shared" si="2"/>
        <v>0.38</v>
      </c>
      <c r="R24" s="53">
        <v>15.5</v>
      </c>
      <c r="S24" s="53">
        <v>78</v>
      </c>
      <c r="T24" s="16">
        <f t="shared" si="0"/>
        <v>39</v>
      </c>
      <c r="U24" s="53">
        <v>398</v>
      </c>
      <c r="V24" s="16">
        <f t="shared" si="1"/>
        <v>16</v>
      </c>
      <c r="W24" s="53">
        <v>1</v>
      </c>
      <c r="X24" s="53" t="s">
        <v>46</v>
      </c>
      <c r="Y24" s="53" t="s">
        <v>84</v>
      </c>
      <c r="Z24" s="53" t="s">
        <v>90</v>
      </c>
      <c r="AA24" s="53" t="s">
        <v>69</v>
      </c>
      <c r="AB24" s="53" t="s">
        <v>321</v>
      </c>
      <c r="AP24" s="27" t="s">
        <v>138</v>
      </c>
      <c r="AR24" s="23" t="s">
        <v>91</v>
      </c>
      <c r="AV24" s="27" t="s">
        <v>357</v>
      </c>
    </row>
    <row r="25" spans="1:48" x14ac:dyDescent="0.15">
      <c r="A25" s="53" t="s">
        <v>59</v>
      </c>
      <c r="B25" s="53" t="s">
        <v>237</v>
      </c>
      <c r="C25" s="62">
        <v>2019</v>
      </c>
      <c r="D25" s="137" t="s">
        <v>238</v>
      </c>
      <c r="E25" s="53" t="s">
        <v>162</v>
      </c>
      <c r="F25" s="53" t="s">
        <v>341</v>
      </c>
      <c r="G25" s="53" t="s">
        <v>36</v>
      </c>
      <c r="H25" s="53" t="s">
        <v>164</v>
      </c>
      <c r="I25" s="53" t="s">
        <v>198</v>
      </c>
      <c r="J25" s="53" t="s">
        <v>38</v>
      </c>
      <c r="K25" s="53" t="s">
        <v>161</v>
      </c>
      <c r="L25" s="53">
        <v>3</v>
      </c>
      <c r="N25" s="53">
        <v>5</v>
      </c>
      <c r="O25" s="53">
        <v>0.53</v>
      </c>
      <c r="P25" s="53">
        <v>0.48</v>
      </c>
      <c r="Q25" s="74">
        <f t="shared" si="2"/>
        <v>0.505</v>
      </c>
      <c r="R25" s="53">
        <v>12.6</v>
      </c>
      <c r="S25" s="53">
        <v>76</v>
      </c>
      <c r="T25" s="16">
        <f t="shared" si="0"/>
        <v>39</v>
      </c>
      <c r="U25" s="53">
        <v>398</v>
      </c>
      <c r="V25" s="16">
        <f t="shared" si="1"/>
        <v>16</v>
      </c>
      <c r="W25" s="53">
        <v>1</v>
      </c>
      <c r="X25" s="53" t="s">
        <v>46</v>
      </c>
      <c r="Y25" s="53" t="s">
        <v>84</v>
      </c>
      <c r="Z25" s="53" t="s">
        <v>90</v>
      </c>
      <c r="AA25" s="53" t="s">
        <v>69</v>
      </c>
      <c r="AB25" s="53" t="s">
        <v>321</v>
      </c>
      <c r="AP25" s="27" t="s">
        <v>116</v>
      </c>
      <c r="AR25" s="27" t="s">
        <v>92</v>
      </c>
      <c r="AV25" s="27" t="s">
        <v>358</v>
      </c>
    </row>
    <row r="26" spans="1:48" x14ac:dyDescent="0.15">
      <c r="A26" s="53" t="s">
        <v>59</v>
      </c>
      <c r="B26" s="53" t="s">
        <v>237</v>
      </c>
      <c r="C26" s="62">
        <v>2019</v>
      </c>
      <c r="D26" s="137" t="s">
        <v>238</v>
      </c>
      <c r="E26" s="53" t="s">
        <v>338</v>
      </c>
      <c r="F26" s="53" t="s">
        <v>339</v>
      </c>
      <c r="G26" s="53" t="s">
        <v>36</v>
      </c>
      <c r="H26" s="53" t="s">
        <v>164</v>
      </c>
      <c r="I26" s="53" t="s">
        <v>159</v>
      </c>
      <c r="J26" s="53" t="s">
        <v>38</v>
      </c>
      <c r="K26" s="53" t="s">
        <v>161</v>
      </c>
      <c r="L26" s="53">
        <v>1</v>
      </c>
      <c r="N26" s="53">
        <v>3</v>
      </c>
      <c r="O26" s="53">
        <v>0.33</v>
      </c>
      <c r="P26" s="53">
        <v>0.37</v>
      </c>
      <c r="Q26" s="74">
        <f t="shared" si="2"/>
        <v>0.35</v>
      </c>
      <c r="R26" s="53">
        <v>16.399999999999999</v>
      </c>
      <c r="S26" s="53">
        <v>126</v>
      </c>
      <c r="T26" s="16">
        <f t="shared" si="0"/>
        <v>27</v>
      </c>
      <c r="U26" s="53">
        <v>350</v>
      </c>
      <c r="V26" s="16">
        <f t="shared" si="1"/>
        <v>16</v>
      </c>
      <c r="W26" s="53">
        <v>5</v>
      </c>
      <c r="X26" s="53" t="s">
        <v>39</v>
      </c>
      <c r="Y26" s="53" t="s">
        <v>90</v>
      </c>
      <c r="Z26" s="53" t="s">
        <v>69</v>
      </c>
      <c r="AA26" s="53" t="s">
        <v>84</v>
      </c>
      <c r="AB26" s="53" t="s">
        <v>321</v>
      </c>
      <c r="AP26" s="27" t="s">
        <v>117</v>
      </c>
      <c r="AR26" s="27" t="s">
        <v>359</v>
      </c>
      <c r="AV26" s="27"/>
    </row>
    <row r="27" spans="1:48" x14ac:dyDescent="0.15">
      <c r="A27" s="53" t="s">
        <v>59</v>
      </c>
      <c r="B27" s="53" t="s">
        <v>237</v>
      </c>
      <c r="C27" s="62">
        <v>2019</v>
      </c>
      <c r="D27" s="137" t="s">
        <v>238</v>
      </c>
      <c r="E27" s="53" t="s">
        <v>338</v>
      </c>
      <c r="F27" s="53" t="s">
        <v>339</v>
      </c>
      <c r="G27" s="53" t="s">
        <v>36</v>
      </c>
      <c r="H27" s="53" t="s">
        <v>164</v>
      </c>
      <c r="I27" s="53" t="s">
        <v>159</v>
      </c>
      <c r="J27" s="53" t="s">
        <v>38</v>
      </c>
      <c r="K27" s="53" t="s">
        <v>161</v>
      </c>
      <c r="L27" s="53">
        <v>2</v>
      </c>
      <c r="N27" s="53">
        <v>3</v>
      </c>
      <c r="O27" s="53">
        <v>0.26</v>
      </c>
      <c r="P27" s="53">
        <v>0.28999999999999998</v>
      </c>
      <c r="Q27" s="74">
        <f t="shared" si="2"/>
        <v>0.27500000000000002</v>
      </c>
      <c r="R27" s="53">
        <v>15.7</v>
      </c>
      <c r="S27" s="53">
        <v>136</v>
      </c>
      <c r="T27" s="16">
        <f t="shared" si="0"/>
        <v>25</v>
      </c>
      <c r="U27" s="53">
        <v>350</v>
      </c>
      <c r="V27" s="16">
        <f t="shared" si="1"/>
        <v>16</v>
      </c>
      <c r="W27" s="53">
        <v>5</v>
      </c>
      <c r="X27" s="53" t="s">
        <v>39</v>
      </c>
      <c r="Y27" s="53" t="s">
        <v>90</v>
      </c>
      <c r="Z27" s="53" t="s">
        <v>69</v>
      </c>
      <c r="AA27" s="53" t="s">
        <v>84</v>
      </c>
      <c r="AB27" s="53" t="s">
        <v>321</v>
      </c>
      <c r="AP27" s="27" t="s">
        <v>118</v>
      </c>
      <c r="AR27" s="28" t="s">
        <v>153</v>
      </c>
      <c r="AV27" s="27"/>
    </row>
    <row r="28" spans="1:48" x14ac:dyDescent="0.15">
      <c r="A28" s="53" t="s">
        <v>59</v>
      </c>
      <c r="B28" s="53" t="s">
        <v>237</v>
      </c>
      <c r="C28" s="62">
        <v>2019</v>
      </c>
      <c r="D28" s="137" t="s">
        <v>238</v>
      </c>
      <c r="E28" s="53" t="s">
        <v>338</v>
      </c>
      <c r="F28" s="53" t="s">
        <v>339</v>
      </c>
      <c r="G28" s="53" t="s">
        <v>36</v>
      </c>
      <c r="H28" s="53" t="s">
        <v>164</v>
      </c>
      <c r="I28" s="53" t="s">
        <v>159</v>
      </c>
      <c r="J28" s="53" t="s">
        <v>38</v>
      </c>
      <c r="K28" s="53" t="s">
        <v>161</v>
      </c>
      <c r="L28" s="53">
        <v>3</v>
      </c>
      <c r="N28" s="53">
        <v>3</v>
      </c>
      <c r="O28" s="53">
        <v>0.28000000000000003</v>
      </c>
      <c r="P28" s="53">
        <v>0.34</v>
      </c>
      <c r="Q28" s="74">
        <f t="shared" si="2"/>
        <v>0.31000000000000005</v>
      </c>
      <c r="R28" s="53">
        <v>15.9</v>
      </c>
      <c r="S28" s="53">
        <v>137</v>
      </c>
      <c r="T28" s="16">
        <f t="shared" si="0"/>
        <v>25</v>
      </c>
      <c r="U28" s="53">
        <v>350</v>
      </c>
      <c r="V28" s="16">
        <f t="shared" si="1"/>
        <v>16</v>
      </c>
      <c r="W28" s="53">
        <v>5</v>
      </c>
      <c r="X28" s="53" t="s">
        <v>39</v>
      </c>
      <c r="Y28" s="53" t="s">
        <v>90</v>
      </c>
      <c r="Z28" s="53" t="s">
        <v>69</v>
      </c>
      <c r="AA28" s="53" t="s">
        <v>84</v>
      </c>
      <c r="AB28" s="53" t="s">
        <v>321</v>
      </c>
      <c r="AV28" s="27"/>
    </row>
    <row r="29" spans="1:48" x14ac:dyDescent="0.15">
      <c r="A29" s="53" t="s">
        <v>59</v>
      </c>
      <c r="B29" s="53" t="s">
        <v>237</v>
      </c>
      <c r="C29" s="62">
        <v>2019</v>
      </c>
      <c r="D29" s="137" t="s">
        <v>238</v>
      </c>
      <c r="E29" s="53" t="s">
        <v>338</v>
      </c>
      <c r="F29" s="53" t="s">
        <v>339</v>
      </c>
      <c r="G29" s="53" t="s">
        <v>36</v>
      </c>
      <c r="H29" s="53" t="s">
        <v>128</v>
      </c>
      <c r="I29" s="53" t="s">
        <v>159</v>
      </c>
      <c r="J29" s="53" t="s">
        <v>347</v>
      </c>
      <c r="K29" s="53" t="s">
        <v>330</v>
      </c>
      <c r="L29" s="53">
        <v>1</v>
      </c>
      <c r="N29" s="53">
        <v>4</v>
      </c>
      <c r="O29" s="53">
        <v>0.62</v>
      </c>
      <c r="P29" s="53">
        <v>0.57999999999999996</v>
      </c>
      <c r="Q29" s="74">
        <f t="shared" si="2"/>
        <v>0.6</v>
      </c>
      <c r="R29" s="53">
        <v>10.4</v>
      </c>
      <c r="S29" s="53">
        <v>116</v>
      </c>
      <c r="T29" s="16">
        <f t="shared" si="0"/>
        <v>30</v>
      </c>
      <c r="U29" s="53">
        <v>480</v>
      </c>
      <c r="V29" s="16">
        <f t="shared" si="1"/>
        <v>16</v>
      </c>
      <c r="W29" s="53">
        <v>2</v>
      </c>
      <c r="X29" s="53" t="s">
        <v>39</v>
      </c>
      <c r="Y29" s="53" t="s">
        <v>90</v>
      </c>
      <c r="Z29" s="53" t="s">
        <v>69</v>
      </c>
      <c r="AA29" s="53" t="s">
        <v>84</v>
      </c>
      <c r="AB29" s="53" t="s">
        <v>321</v>
      </c>
      <c r="AP29" s="27" t="s">
        <v>117</v>
      </c>
      <c r="AR29" s="27" t="s">
        <v>359</v>
      </c>
      <c r="AV29" s="27"/>
    </row>
    <row r="30" spans="1:48" x14ac:dyDescent="0.15">
      <c r="A30" s="53" t="s">
        <v>59</v>
      </c>
      <c r="B30" s="53" t="s">
        <v>237</v>
      </c>
      <c r="C30" s="62">
        <v>2019</v>
      </c>
      <c r="D30" s="137" t="s">
        <v>238</v>
      </c>
      <c r="E30" s="53" t="s">
        <v>338</v>
      </c>
      <c r="F30" s="53" t="s">
        <v>339</v>
      </c>
      <c r="G30" s="53" t="s">
        <v>36</v>
      </c>
      <c r="H30" s="53" t="s">
        <v>128</v>
      </c>
      <c r="I30" s="53" t="s">
        <v>159</v>
      </c>
      <c r="J30" s="53" t="s">
        <v>347</v>
      </c>
      <c r="K30" s="53" t="s">
        <v>330</v>
      </c>
      <c r="L30" s="53">
        <v>2</v>
      </c>
      <c r="N30" s="53">
        <v>4</v>
      </c>
      <c r="O30" s="53">
        <v>0.74</v>
      </c>
      <c r="P30" s="53">
        <v>0.85</v>
      </c>
      <c r="Q30" s="74">
        <f t="shared" si="2"/>
        <v>0.79499999999999993</v>
      </c>
      <c r="R30" s="53">
        <v>9.6999999999999993</v>
      </c>
      <c r="S30" s="53">
        <v>115</v>
      </c>
      <c r="T30" s="16">
        <f t="shared" si="0"/>
        <v>30</v>
      </c>
      <c r="U30" s="53">
        <v>480</v>
      </c>
      <c r="V30" s="16">
        <f t="shared" si="1"/>
        <v>16</v>
      </c>
      <c r="W30" s="53">
        <v>2</v>
      </c>
      <c r="X30" s="53" t="s">
        <v>39</v>
      </c>
      <c r="Y30" s="53" t="s">
        <v>90</v>
      </c>
      <c r="Z30" s="53" t="s">
        <v>69</v>
      </c>
      <c r="AA30" s="53" t="s">
        <v>84</v>
      </c>
      <c r="AB30" s="53" t="s">
        <v>321</v>
      </c>
      <c r="AP30" s="27" t="s">
        <v>118</v>
      </c>
      <c r="AR30" s="28" t="s">
        <v>153</v>
      </c>
      <c r="AV30" s="27"/>
    </row>
    <row r="31" spans="1:48" x14ac:dyDescent="0.15">
      <c r="A31" s="53" t="s">
        <v>59</v>
      </c>
      <c r="B31" s="53" t="s">
        <v>237</v>
      </c>
      <c r="C31" s="62">
        <v>2019</v>
      </c>
      <c r="D31" s="137" t="s">
        <v>238</v>
      </c>
      <c r="E31" s="53" t="s">
        <v>338</v>
      </c>
      <c r="F31" s="53" t="s">
        <v>339</v>
      </c>
      <c r="G31" s="53" t="s">
        <v>36</v>
      </c>
      <c r="H31" s="53" t="s">
        <v>128</v>
      </c>
      <c r="I31" s="53" t="s">
        <v>159</v>
      </c>
      <c r="J31" s="53" t="s">
        <v>347</v>
      </c>
      <c r="K31" s="53" t="s">
        <v>330</v>
      </c>
      <c r="L31" s="53">
        <v>3</v>
      </c>
      <c r="N31" s="53">
        <v>4</v>
      </c>
      <c r="O31" s="53">
        <v>0.45</v>
      </c>
      <c r="P31" s="53">
        <v>0.38</v>
      </c>
      <c r="Q31" s="74">
        <f t="shared" si="2"/>
        <v>0.41500000000000004</v>
      </c>
      <c r="R31" s="53">
        <v>12.1</v>
      </c>
      <c r="S31" s="53">
        <v>123</v>
      </c>
      <c r="T31" s="16">
        <f t="shared" si="0"/>
        <v>27</v>
      </c>
      <c r="U31" s="53">
        <v>480</v>
      </c>
      <c r="V31" s="16">
        <f t="shared" si="1"/>
        <v>16</v>
      </c>
      <c r="W31" s="53">
        <v>2</v>
      </c>
      <c r="X31" s="53" t="s">
        <v>39</v>
      </c>
      <c r="Y31" s="53" t="s">
        <v>90</v>
      </c>
      <c r="Z31" s="53" t="s">
        <v>69</v>
      </c>
      <c r="AA31" s="53" t="s">
        <v>84</v>
      </c>
      <c r="AB31" s="53" t="s">
        <v>321</v>
      </c>
      <c r="AV31" s="27"/>
    </row>
    <row r="32" spans="1:48" x14ac:dyDescent="0.15">
      <c r="A32" s="53" t="s">
        <v>59</v>
      </c>
      <c r="B32" s="53" t="s">
        <v>237</v>
      </c>
      <c r="C32" s="62">
        <v>2019</v>
      </c>
      <c r="D32" s="137" t="s">
        <v>238</v>
      </c>
      <c r="E32" s="53" t="s">
        <v>328</v>
      </c>
      <c r="F32" s="53" t="s">
        <v>329</v>
      </c>
      <c r="G32" s="53" t="s">
        <v>36</v>
      </c>
      <c r="H32" s="53" t="s">
        <v>160</v>
      </c>
      <c r="I32" s="53" t="s">
        <v>159</v>
      </c>
      <c r="J32" s="53" t="s">
        <v>38</v>
      </c>
      <c r="K32" s="53" t="s">
        <v>161</v>
      </c>
      <c r="L32" s="53">
        <v>1</v>
      </c>
      <c r="N32" s="53">
        <v>4</v>
      </c>
      <c r="O32" s="53">
        <v>0.28999999999999998</v>
      </c>
      <c r="P32" s="53">
        <v>0.35</v>
      </c>
      <c r="Q32" s="74">
        <f t="shared" si="2"/>
        <v>0.31999999999999995</v>
      </c>
      <c r="R32" s="53">
        <v>15.4</v>
      </c>
      <c r="S32" s="53">
        <v>104</v>
      </c>
      <c r="T32" s="16">
        <f t="shared" si="0"/>
        <v>33</v>
      </c>
      <c r="U32" s="53">
        <v>450</v>
      </c>
      <c r="V32" s="16">
        <f t="shared" si="1"/>
        <v>16</v>
      </c>
      <c r="W32" s="53">
        <v>1</v>
      </c>
      <c r="X32" s="53" t="s">
        <v>39</v>
      </c>
      <c r="Y32" s="53" t="s">
        <v>90</v>
      </c>
      <c r="Z32" s="53" t="s">
        <v>69</v>
      </c>
      <c r="AA32" s="53" t="s">
        <v>84</v>
      </c>
      <c r="AB32" s="53" t="s">
        <v>321</v>
      </c>
      <c r="AV32" s="27"/>
    </row>
    <row r="33" spans="1:48" x14ac:dyDescent="0.15">
      <c r="A33" s="53" t="s">
        <v>59</v>
      </c>
      <c r="B33" s="53" t="s">
        <v>237</v>
      </c>
      <c r="C33" s="62">
        <v>2019</v>
      </c>
      <c r="D33" s="137" t="s">
        <v>238</v>
      </c>
      <c r="E33" s="53" t="s">
        <v>328</v>
      </c>
      <c r="F33" s="53" t="s">
        <v>329</v>
      </c>
      <c r="G33" s="53" t="s">
        <v>36</v>
      </c>
      <c r="H33" s="53" t="s">
        <v>160</v>
      </c>
      <c r="I33" s="53" t="s">
        <v>159</v>
      </c>
      <c r="J33" s="53" t="s">
        <v>38</v>
      </c>
      <c r="K33" s="53" t="s">
        <v>161</v>
      </c>
      <c r="L33" s="53">
        <v>2</v>
      </c>
      <c r="N33" s="53">
        <v>4</v>
      </c>
      <c r="O33" s="53">
        <v>0.28999999999999998</v>
      </c>
      <c r="P33" s="53">
        <v>0.32</v>
      </c>
      <c r="Q33" s="74">
        <f t="shared" si="2"/>
        <v>0.30499999999999999</v>
      </c>
      <c r="R33" s="53">
        <v>15.6</v>
      </c>
      <c r="S33" s="53">
        <v>100</v>
      </c>
      <c r="T33" s="16">
        <f t="shared" si="0"/>
        <v>33</v>
      </c>
      <c r="U33" s="53">
        <v>450</v>
      </c>
      <c r="V33" s="16">
        <f t="shared" si="1"/>
        <v>16</v>
      </c>
      <c r="W33" s="53">
        <v>1</v>
      </c>
      <c r="X33" s="53" t="s">
        <v>39</v>
      </c>
      <c r="Y33" s="53" t="s">
        <v>90</v>
      </c>
      <c r="Z33" s="53" t="s">
        <v>69</v>
      </c>
      <c r="AA33" s="53" t="s">
        <v>84</v>
      </c>
      <c r="AB33" s="53" t="s">
        <v>321</v>
      </c>
      <c r="AV33" s="27"/>
    </row>
    <row r="34" spans="1:48" x14ac:dyDescent="0.15">
      <c r="A34" s="53" t="s">
        <v>59</v>
      </c>
      <c r="B34" s="53" t="s">
        <v>237</v>
      </c>
      <c r="C34" s="62">
        <v>2019</v>
      </c>
      <c r="D34" s="137" t="s">
        <v>238</v>
      </c>
      <c r="E34" s="53" t="s">
        <v>328</v>
      </c>
      <c r="F34" s="53" t="s">
        <v>329</v>
      </c>
      <c r="G34" s="53" t="s">
        <v>36</v>
      </c>
      <c r="H34" s="53" t="s">
        <v>160</v>
      </c>
      <c r="I34" s="53" t="s">
        <v>159</v>
      </c>
      <c r="J34" s="53" t="s">
        <v>38</v>
      </c>
      <c r="K34" s="53" t="s">
        <v>161</v>
      </c>
      <c r="L34" s="53">
        <v>3</v>
      </c>
      <c r="N34" s="53">
        <v>4</v>
      </c>
      <c r="O34" s="53">
        <v>0.34</v>
      </c>
      <c r="P34" s="53">
        <v>0.35</v>
      </c>
      <c r="Q34" s="74">
        <f t="shared" si="2"/>
        <v>0.34499999999999997</v>
      </c>
      <c r="R34" s="53">
        <v>15.1</v>
      </c>
      <c r="S34" s="53">
        <v>94</v>
      </c>
      <c r="T34" s="16">
        <f t="shared" si="0"/>
        <v>36</v>
      </c>
      <c r="U34" s="53">
        <v>450</v>
      </c>
      <c r="V34" s="16">
        <f t="shared" si="1"/>
        <v>16</v>
      </c>
      <c r="W34" s="53">
        <v>1</v>
      </c>
      <c r="X34" s="53" t="s">
        <v>39</v>
      </c>
      <c r="Y34" s="53" t="s">
        <v>90</v>
      </c>
      <c r="Z34" s="53" t="s">
        <v>69</v>
      </c>
      <c r="AA34" s="53" t="s">
        <v>84</v>
      </c>
      <c r="AB34" s="53" t="s">
        <v>321</v>
      </c>
      <c r="AV34" s="27"/>
    </row>
    <row r="35" spans="1:48" x14ac:dyDescent="0.15">
      <c r="A35" s="53" t="s">
        <v>59</v>
      </c>
      <c r="B35" s="53" t="s">
        <v>237</v>
      </c>
      <c r="C35" s="62">
        <v>2019</v>
      </c>
      <c r="D35" s="137" t="s">
        <v>238</v>
      </c>
      <c r="E35" s="53" t="s">
        <v>328</v>
      </c>
      <c r="F35" s="53" t="s">
        <v>329</v>
      </c>
      <c r="G35" s="53" t="s">
        <v>36</v>
      </c>
      <c r="H35" s="53" t="s">
        <v>164</v>
      </c>
      <c r="I35" s="53" t="s">
        <v>159</v>
      </c>
      <c r="J35" s="53" t="s">
        <v>38</v>
      </c>
      <c r="K35" s="53" t="s">
        <v>161</v>
      </c>
      <c r="L35" s="53">
        <v>1</v>
      </c>
      <c r="N35" s="53">
        <v>4</v>
      </c>
      <c r="O35" s="53">
        <v>0.26</v>
      </c>
      <c r="P35" s="53">
        <v>0.25</v>
      </c>
      <c r="Q35" s="74">
        <f t="shared" si="2"/>
        <v>0.255</v>
      </c>
      <c r="R35" s="53">
        <v>14.7</v>
      </c>
      <c r="S35" s="53">
        <v>90</v>
      </c>
      <c r="T35" s="16">
        <f t="shared" si="0"/>
        <v>36</v>
      </c>
      <c r="U35" s="53">
        <v>350</v>
      </c>
      <c r="V35" s="16">
        <f t="shared" si="1"/>
        <v>16</v>
      </c>
      <c r="W35" s="53">
        <v>1</v>
      </c>
      <c r="X35" s="53" t="s">
        <v>39</v>
      </c>
      <c r="Y35" s="53" t="s">
        <v>90</v>
      </c>
      <c r="Z35" s="53" t="s">
        <v>69</v>
      </c>
      <c r="AA35" s="53" t="s">
        <v>84</v>
      </c>
      <c r="AB35" s="53" t="s">
        <v>321</v>
      </c>
      <c r="AV35" s="27"/>
    </row>
    <row r="36" spans="1:48" x14ac:dyDescent="0.15">
      <c r="A36" s="53" t="s">
        <v>59</v>
      </c>
      <c r="B36" s="53" t="s">
        <v>237</v>
      </c>
      <c r="C36" s="62">
        <v>2019</v>
      </c>
      <c r="D36" s="137" t="s">
        <v>238</v>
      </c>
      <c r="E36" s="53" t="s">
        <v>328</v>
      </c>
      <c r="F36" s="53" t="s">
        <v>329</v>
      </c>
      <c r="G36" s="53" t="s">
        <v>36</v>
      </c>
      <c r="H36" s="53" t="s">
        <v>164</v>
      </c>
      <c r="I36" s="53" t="s">
        <v>159</v>
      </c>
      <c r="J36" s="53" t="s">
        <v>38</v>
      </c>
      <c r="K36" s="53" t="s">
        <v>161</v>
      </c>
      <c r="L36" s="53">
        <v>2</v>
      </c>
      <c r="N36" s="53">
        <v>4</v>
      </c>
      <c r="O36" s="53">
        <v>0.34</v>
      </c>
      <c r="P36" s="53">
        <v>0.28999999999999998</v>
      </c>
      <c r="Q36" s="74">
        <f t="shared" si="2"/>
        <v>0.315</v>
      </c>
      <c r="R36" s="53">
        <v>14.5</v>
      </c>
      <c r="S36" s="53">
        <v>94</v>
      </c>
      <c r="T36" s="16">
        <f t="shared" si="0"/>
        <v>36</v>
      </c>
      <c r="U36" s="53">
        <v>350</v>
      </c>
      <c r="V36" s="16">
        <f t="shared" si="1"/>
        <v>16</v>
      </c>
      <c r="W36" s="53">
        <v>1</v>
      </c>
      <c r="X36" s="53" t="s">
        <v>39</v>
      </c>
      <c r="Y36" s="53" t="s">
        <v>90</v>
      </c>
      <c r="Z36" s="53" t="s">
        <v>69</v>
      </c>
      <c r="AA36" s="53" t="s">
        <v>84</v>
      </c>
      <c r="AB36" s="53" t="s">
        <v>321</v>
      </c>
      <c r="AV36" s="27"/>
    </row>
    <row r="37" spans="1:48" x14ac:dyDescent="0.15">
      <c r="A37" s="53" t="s">
        <v>59</v>
      </c>
      <c r="B37" s="53" t="s">
        <v>237</v>
      </c>
      <c r="C37" s="62">
        <v>2019</v>
      </c>
      <c r="D37" s="137" t="s">
        <v>238</v>
      </c>
      <c r="E37" s="53" t="s">
        <v>328</v>
      </c>
      <c r="F37" s="53" t="s">
        <v>329</v>
      </c>
      <c r="G37" s="53" t="s">
        <v>36</v>
      </c>
      <c r="H37" s="53" t="s">
        <v>164</v>
      </c>
      <c r="I37" s="53" t="s">
        <v>159</v>
      </c>
      <c r="J37" s="53" t="s">
        <v>38</v>
      </c>
      <c r="K37" s="53" t="s">
        <v>161</v>
      </c>
      <c r="L37" s="53">
        <v>3</v>
      </c>
      <c r="N37" s="53">
        <v>4</v>
      </c>
      <c r="O37" s="53">
        <v>0.32</v>
      </c>
      <c r="P37" s="53">
        <v>0.3</v>
      </c>
      <c r="Q37" s="74">
        <f t="shared" si="2"/>
        <v>0.31</v>
      </c>
      <c r="R37" s="53">
        <v>14.4</v>
      </c>
      <c r="S37" s="53">
        <v>90</v>
      </c>
      <c r="T37" s="16">
        <f t="shared" si="0"/>
        <v>36</v>
      </c>
      <c r="U37" s="53">
        <v>350</v>
      </c>
      <c r="V37" s="16">
        <f t="shared" si="1"/>
        <v>16</v>
      </c>
      <c r="W37" s="53">
        <v>1</v>
      </c>
      <c r="X37" s="53" t="s">
        <v>39</v>
      </c>
      <c r="Y37" s="53" t="s">
        <v>90</v>
      </c>
      <c r="Z37" s="53" t="s">
        <v>69</v>
      </c>
      <c r="AA37" s="53" t="s">
        <v>84</v>
      </c>
      <c r="AB37" s="53" t="s">
        <v>321</v>
      </c>
      <c r="AV37" s="27"/>
    </row>
    <row r="38" spans="1:48" x14ac:dyDescent="0.15">
      <c r="A38" s="53" t="s">
        <v>59</v>
      </c>
      <c r="B38" s="53" t="s">
        <v>237</v>
      </c>
      <c r="C38" s="62">
        <v>2019</v>
      </c>
      <c r="D38" s="137" t="s">
        <v>238</v>
      </c>
      <c r="E38" s="53" t="s">
        <v>345</v>
      </c>
      <c r="F38" s="53" t="s">
        <v>346</v>
      </c>
      <c r="G38" s="53" t="s">
        <v>36</v>
      </c>
      <c r="H38" s="53" t="s">
        <v>160</v>
      </c>
      <c r="I38" s="53" t="s">
        <v>159</v>
      </c>
      <c r="J38" s="53" t="s">
        <v>38</v>
      </c>
      <c r="K38" s="53" t="s">
        <v>161</v>
      </c>
      <c r="L38" s="53">
        <v>1</v>
      </c>
      <c r="N38" s="53">
        <v>5</v>
      </c>
      <c r="O38" s="53">
        <v>0.38</v>
      </c>
      <c r="P38" s="53">
        <v>0.45</v>
      </c>
      <c r="Q38" s="74">
        <f t="shared" si="2"/>
        <v>0.41500000000000004</v>
      </c>
      <c r="R38" s="53">
        <v>15.2</v>
      </c>
      <c r="S38" s="53">
        <v>99</v>
      </c>
      <c r="T38" s="16">
        <f t="shared" si="0"/>
        <v>33</v>
      </c>
      <c r="U38" s="53">
        <v>398</v>
      </c>
      <c r="V38" s="16">
        <f t="shared" si="1"/>
        <v>16</v>
      </c>
      <c r="W38" s="53">
        <v>1</v>
      </c>
      <c r="X38" s="53" t="s">
        <v>39</v>
      </c>
      <c r="Y38" s="53" t="s">
        <v>84</v>
      </c>
      <c r="Z38" s="53" t="s">
        <v>90</v>
      </c>
      <c r="AA38" s="53" t="s">
        <v>320</v>
      </c>
      <c r="AB38" s="53" t="s">
        <v>321</v>
      </c>
      <c r="AV38" s="27"/>
    </row>
    <row r="39" spans="1:48" x14ac:dyDescent="0.15">
      <c r="A39" s="53" t="s">
        <v>59</v>
      </c>
      <c r="B39" s="53" t="s">
        <v>237</v>
      </c>
      <c r="C39" s="62">
        <v>2019</v>
      </c>
      <c r="D39" s="137" t="s">
        <v>238</v>
      </c>
      <c r="E39" s="53" t="s">
        <v>345</v>
      </c>
      <c r="F39" s="53" t="s">
        <v>346</v>
      </c>
      <c r="G39" s="53" t="s">
        <v>36</v>
      </c>
      <c r="H39" s="53" t="s">
        <v>160</v>
      </c>
      <c r="I39" s="53" t="s">
        <v>159</v>
      </c>
      <c r="J39" s="53" t="s">
        <v>38</v>
      </c>
      <c r="K39" s="53" t="s">
        <v>161</v>
      </c>
      <c r="L39" s="53">
        <v>2</v>
      </c>
      <c r="N39" s="53">
        <v>5</v>
      </c>
      <c r="O39" s="53">
        <v>0.26</v>
      </c>
      <c r="P39" s="53">
        <v>0.32</v>
      </c>
      <c r="Q39" s="74">
        <f t="shared" si="2"/>
        <v>0.29000000000000004</v>
      </c>
      <c r="R39" s="53">
        <v>15.3</v>
      </c>
      <c r="S39" s="53">
        <v>106</v>
      </c>
      <c r="T39" s="16">
        <f t="shared" si="0"/>
        <v>33</v>
      </c>
      <c r="U39" s="53">
        <v>398</v>
      </c>
      <c r="V39" s="16">
        <f t="shared" si="1"/>
        <v>16</v>
      </c>
      <c r="W39" s="53">
        <v>1</v>
      </c>
      <c r="X39" s="53" t="s">
        <v>39</v>
      </c>
      <c r="Y39" s="53" t="s">
        <v>84</v>
      </c>
      <c r="Z39" s="53" t="s">
        <v>90</v>
      </c>
      <c r="AA39" s="53" t="s">
        <v>320</v>
      </c>
      <c r="AB39" s="53" t="s">
        <v>321</v>
      </c>
      <c r="AV39" s="27"/>
    </row>
    <row r="40" spans="1:48" x14ac:dyDescent="0.15">
      <c r="A40" s="53" t="s">
        <v>59</v>
      </c>
      <c r="B40" s="53" t="s">
        <v>237</v>
      </c>
      <c r="C40" s="62">
        <v>2019</v>
      </c>
      <c r="D40" s="137" t="s">
        <v>238</v>
      </c>
      <c r="E40" s="53" t="s">
        <v>345</v>
      </c>
      <c r="F40" s="53" t="s">
        <v>346</v>
      </c>
      <c r="G40" s="53" t="s">
        <v>36</v>
      </c>
      <c r="H40" s="53" t="s">
        <v>160</v>
      </c>
      <c r="I40" s="53" t="s">
        <v>159</v>
      </c>
      <c r="J40" s="53" t="s">
        <v>38</v>
      </c>
      <c r="K40" s="53" t="s">
        <v>161</v>
      </c>
      <c r="L40" s="53">
        <v>3</v>
      </c>
      <c r="N40" s="53">
        <v>5</v>
      </c>
      <c r="O40" s="53">
        <v>0.28000000000000003</v>
      </c>
      <c r="P40" s="53">
        <v>0.25</v>
      </c>
      <c r="Q40" s="74">
        <f t="shared" si="2"/>
        <v>0.26500000000000001</v>
      </c>
      <c r="R40" s="53">
        <v>15.2</v>
      </c>
      <c r="S40" s="53">
        <v>98</v>
      </c>
      <c r="T40" s="16">
        <f t="shared" si="0"/>
        <v>36</v>
      </c>
      <c r="U40" s="53">
        <v>398</v>
      </c>
      <c r="V40" s="16">
        <f t="shared" si="1"/>
        <v>16</v>
      </c>
      <c r="W40" s="53">
        <v>1</v>
      </c>
      <c r="X40" s="53" t="s">
        <v>39</v>
      </c>
      <c r="Y40" s="53" t="s">
        <v>84</v>
      </c>
      <c r="Z40" s="53" t="s">
        <v>90</v>
      </c>
      <c r="AA40" s="53" t="s">
        <v>320</v>
      </c>
      <c r="AB40" s="53" t="s">
        <v>321</v>
      </c>
      <c r="AV40" s="27"/>
    </row>
    <row r="41" spans="1:48" x14ac:dyDescent="0.15">
      <c r="A41" s="53" t="s">
        <v>59</v>
      </c>
      <c r="B41" s="53" t="s">
        <v>237</v>
      </c>
      <c r="C41" s="62">
        <v>2019</v>
      </c>
      <c r="D41" s="137" t="s">
        <v>238</v>
      </c>
      <c r="E41" s="53" t="s">
        <v>345</v>
      </c>
      <c r="F41" s="53" t="s">
        <v>346</v>
      </c>
      <c r="G41" s="53" t="s">
        <v>36</v>
      </c>
      <c r="H41" s="53" t="s">
        <v>164</v>
      </c>
      <c r="I41" s="53" t="s">
        <v>159</v>
      </c>
      <c r="J41" s="53" t="s">
        <v>38</v>
      </c>
      <c r="K41" s="53" t="s">
        <v>161</v>
      </c>
      <c r="L41" s="53">
        <v>1</v>
      </c>
      <c r="N41" s="53">
        <v>4</v>
      </c>
      <c r="O41" s="53">
        <v>0.49</v>
      </c>
      <c r="P41" s="53">
        <v>0.51</v>
      </c>
      <c r="Q41" s="74">
        <f t="shared" si="2"/>
        <v>0.5</v>
      </c>
      <c r="R41" s="53">
        <v>14.2</v>
      </c>
      <c r="S41" s="53">
        <v>146</v>
      </c>
      <c r="T41" s="16">
        <f t="shared" si="0"/>
        <v>22</v>
      </c>
      <c r="U41" s="53">
        <v>298</v>
      </c>
      <c r="V41" s="16">
        <f t="shared" si="1"/>
        <v>16</v>
      </c>
      <c r="W41" s="53">
        <v>1</v>
      </c>
      <c r="X41" s="53" t="s">
        <v>39</v>
      </c>
      <c r="Y41" s="53" t="s">
        <v>84</v>
      </c>
      <c r="Z41" s="53" t="s">
        <v>90</v>
      </c>
      <c r="AA41" s="53" t="s">
        <v>320</v>
      </c>
      <c r="AB41" s="53" t="s">
        <v>321</v>
      </c>
      <c r="AV41" s="27"/>
    </row>
    <row r="42" spans="1:48" x14ac:dyDescent="0.15">
      <c r="A42" s="53" t="s">
        <v>59</v>
      </c>
      <c r="B42" s="53" t="s">
        <v>237</v>
      </c>
      <c r="C42" s="62">
        <v>2019</v>
      </c>
      <c r="D42" s="137" t="s">
        <v>238</v>
      </c>
      <c r="E42" s="53" t="s">
        <v>345</v>
      </c>
      <c r="F42" s="53" t="s">
        <v>346</v>
      </c>
      <c r="G42" s="53" t="s">
        <v>36</v>
      </c>
      <c r="H42" s="53" t="s">
        <v>164</v>
      </c>
      <c r="I42" s="53" t="s">
        <v>159</v>
      </c>
      <c r="J42" s="53" t="s">
        <v>38</v>
      </c>
      <c r="K42" s="53" t="s">
        <v>161</v>
      </c>
      <c r="L42" s="53">
        <v>2</v>
      </c>
      <c r="N42" s="53">
        <v>4</v>
      </c>
      <c r="O42" s="53">
        <v>0.42</v>
      </c>
      <c r="P42" s="53">
        <v>0.43</v>
      </c>
      <c r="Q42" s="74">
        <f t="shared" si="2"/>
        <v>0.42499999999999999</v>
      </c>
      <c r="R42" s="53">
        <v>14.9</v>
      </c>
      <c r="S42" s="53">
        <v>149</v>
      </c>
      <c r="T42" s="16">
        <f t="shared" si="0"/>
        <v>22</v>
      </c>
      <c r="U42" s="53">
        <v>298</v>
      </c>
      <c r="V42" s="16">
        <f t="shared" si="1"/>
        <v>16</v>
      </c>
      <c r="W42" s="53">
        <v>1</v>
      </c>
      <c r="X42" s="53" t="s">
        <v>39</v>
      </c>
      <c r="Y42" s="53" t="s">
        <v>84</v>
      </c>
      <c r="Z42" s="53" t="s">
        <v>90</v>
      </c>
      <c r="AA42" s="53" t="s">
        <v>320</v>
      </c>
      <c r="AB42" s="53" t="s">
        <v>321</v>
      </c>
      <c r="AV42" s="27"/>
    </row>
    <row r="43" spans="1:48" x14ac:dyDescent="0.15">
      <c r="A43" s="53" t="s">
        <v>59</v>
      </c>
      <c r="B43" s="53" t="s">
        <v>237</v>
      </c>
      <c r="C43" s="62">
        <v>2019</v>
      </c>
      <c r="D43" s="137" t="s">
        <v>238</v>
      </c>
      <c r="E43" s="53" t="s">
        <v>345</v>
      </c>
      <c r="F43" s="53" t="s">
        <v>346</v>
      </c>
      <c r="G43" s="53" t="s">
        <v>36</v>
      </c>
      <c r="H43" s="53" t="s">
        <v>164</v>
      </c>
      <c r="I43" s="53" t="s">
        <v>159</v>
      </c>
      <c r="J43" s="53" t="s">
        <v>38</v>
      </c>
      <c r="K43" s="53" t="s">
        <v>161</v>
      </c>
      <c r="L43" s="53">
        <v>3</v>
      </c>
      <c r="N43" s="53">
        <v>4</v>
      </c>
      <c r="O43" s="53">
        <v>0.47</v>
      </c>
      <c r="P43" s="53">
        <v>0.52</v>
      </c>
      <c r="Q43" s="74">
        <f t="shared" si="2"/>
        <v>0.495</v>
      </c>
      <c r="R43" s="53">
        <v>14.3</v>
      </c>
      <c r="S43" s="53">
        <v>144</v>
      </c>
      <c r="T43" s="16">
        <f t="shared" si="0"/>
        <v>22</v>
      </c>
      <c r="U43" s="53">
        <v>298</v>
      </c>
      <c r="V43" s="16">
        <f t="shared" si="1"/>
        <v>16</v>
      </c>
      <c r="W43" s="53">
        <v>1</v>
      </c>
      <c r="X43" s="53" t="s">
        <v>39</v>
      </c>
      <c r="Y43" s="53" t="s">
        <v>84</v>
      </c>
      <c r="Z43" s="53" t="s">
        <v>90</v>
      </c>
      <c r="AA43" s="53" t="s">
        <v>320</v>
      </c>
      <c r="AB43" s="53" t="s">
        <v>321</v>
      </c>
      <c r="AV43" s="27"/>
    </row>
    <row r="44" spans="1:48" x14ac:dyDescent="0.15">
      <c r="A44" s="53" t="s">
        <v>59</v>
      </c>
      <c r="B44" s="53" t="s">
        <v>237</v>
      </c>
      <c r="C44" s="62">
        <v>2019</v>
      </c>
      <c r="D44" s="137" t="s">
        <v>238</v>
      </c>
      <c r="E44" s="53" t="s">
        <v>335</v>
      </c>
      <c r="F44" s="53" t="s">
        <v>336</v>
      </c>
      <c r="G44" s="53" t="s">
        <v>36</v>
      </c>
      <c r="H44" s="53" t="s">
        <v>164</v>
      </c>
      <c r="I44" s="53" t="s">
        <v>159</v>
      </c>
      <c r="J44" s="53" t="s">
        <v>38</v>
      </c>
      <c r="K44" s="53" t="s">
        <v>161</v>
      </c>
      <c r="L44" s="53">
        <v>1</v>
      </c>
      <c r="N44" s="53">
        <v>5</v>
      </c>
      <c r="O44" s="53">
        <v>0.51</v>
      </c>
      <c r="P44" s="53">
        <v>0.6</v>
      </c>
      <c r="Q44" s="74">
        <f t="shared" si="2"/>
        <v>0.55499999999999994</v>
      </c>
      <c r="R44" s="53">
        <v>14.6</v>
      </c>
      <c r="S44" s="53">
        <v>89</v>
      </c>
      <c r="T44" s="16">
        <f t="shared" si="0"/>
        <v>36</v>
      </c>
      <c r="U44" s="53">
        <v>321</v>
      </c>
      <c r="V44" s="16">
        <f t="shared" si="1"/>
        <v>16</v>
      </c>
      <c r="W44" s="53">
        <v>3</v>
      </c>
      <c r="X44" s="53" t="s">
        <v>46</v>
      </c>
      <c r="Y44" s="53" t="s">
        <v>90</v>
      </c>
      <c r="Z44" s="53" t="s">
        <v>84</v>
      </c>
      <c r="AA44" s="53" t="s">
        <v>69</v>
      </c>
      <c r="AB44" s="53" t="s">
        <v>321</v>
      </c>
      <c r="AV44" s="27"/>
    </row>
    <row r="45" spans="1:48" x14ac:dyDescent="0.15">
      <c r="A45" s="53" t="s">
        <v>59</v>
      </c>
      <c r="B45" s="53" t="s">
        <v>237</v>
      </c>
      <c r="C45" s="62">
        <v>2019</v>
      </c>
      <c r="D45" s="137" t="s">
        <v>238</v>
      </c>
      <c r="E45" s="53" t="s">
        <v>335</v>
      </c>
      <c r="F45" s="53" t="s">
        <v>336</v>
      </c>
      <c r="G45" s="53" t="s">
        <v>36</v>
      </c>
      <c r="H45" s="53" t="s">
        <v>164</v>
      </c>
      <c r="I45" s="53" t="s">
        <v>159</v>
      </c>
      <c r="J45" s="53" t="s">
        <v>38</v>
      </c>
      <c r="K45" s="53" t="s">
        <v>161</v>
      </c>
      <c r="L45" s="53">
        <v>2</v>
      </c>
      <c r="N45" s="53">
        <v>5</v>
      </c>
      <c r="O45" s="53">
        <v>0.74</v>
      </c>
      <c r="P45" s="53">
        <v>0.7</v>
      </c>
      <c r="Q45" s="74">
        <f t="shared" si="2"/>
        <v>0.72</v>
      </c>
      <c r="R45" s="53">
        <v>14.2</v>
      </c>
      <c r="S45" s="53">
        <v>89</v>
      </c>
      <c r="T45" s="16">
        <f t="shared" si="0"/>
        <v>36</v>
      </c>
      <c r="U45" s="53">
        <v>321</v>
      </c>
      <c r="V45" s="16">
        <f t="shared" si="1"/>
        <v>16</v>
      </c>
      <c r="W45" s="53">
        <v>3</v>
      </c>
      <c r="X45" s="53" t="s">
        <v>46</v>
      </c>
      <c r="Y45" s="53" t="s">
        <v>90</v>
      </c>
      <c r="Z45" s="53" t="s">
        <v>84</v>
      </c>
      <c r="AA45" s="53" t="s">
        <v>69</v>
      </c>
      <c r="AB45" s="53" t="s">
        <v>321</v>
      </c>
      <c r="AV45" s="27"/>
    </row>
    <row r="46" spans="1:48" x14ac:dyDescent="0.15">
      <c r="A46" s="53" t="s">
        <v>59</v>
      </c>
      <c r="B46" s="53" t="s">
        <v>237</v>
      </c>
      <c r="C46" s="62">
        <v>2019</v>
      </c>
      <c r="D46" s="137" t="s">
        <v>238</v>
      </c>
      <c r="E46" s="53" t="s">
        <v>335</v>
      </c>
      <c r="F46" s="53" t="s">
        <v>336</v>
      </c>
      <c r="G46" s="53" t="s">
        <v>36</v>
      </c>
      <c r="H46" s="53" t="s">
        <v>164</v>
      </c>
      <c r="I46" s="53" t="s">
        <v>159</v>
      </c>
      <c r="J46" s="53" t="s">
        <v>38</v>
      </c>
      <c r="K46" s="53" t="s">
        <v>161</v>
      </c>
      <c r="L46" s="53">
        <v>3</v>
      </c>
      <c r="N46" s="53">
        <v>5</v>
      </c>
      <c r="O46" s="53">
        <v>0.66</v>
      </c>
      <c r="P46" s="53">
        <v>0.61</v>
      </c>
      <c r="Q46" s="74">
        <f t="shared" si="2"/>
        <v>0.63500000000000001</v>
      </c>
      <c r="R46" s="53">
        <v>14</v>
      </c>
      <c r="S46" s="53">
        <v>90</v>
      </c>
      <c r="T46" s="16">
        <f t="shared" si="0"/>
        <v>36</v>
      </c>
      <c r="U46" s="53">
        <v>321</v>
      </c>
      <c r="V46" s="16">
        <f t="shared" si="1"/>
        <v>16</v>
      </c>
      <c r="W46" s="53">
        <v>3</v>
      </c>
      <c r="X46" s="53" t="s">
        <v>46</v>
      </c>
      <c r="Y46" s="53" t="s">
        <v>90</v>
      </c>
      <c r="Z46" s="53" t="s">
        <v>84</v>
      </c>
      <c r="AA46" s="53" t="s">
        <v>69</v>
      </c>
      <c r="AB46" s="53" t="s">
        <v>321</v>
      </c>
      <c r="AV46" s="27"/>
    </row>
    <row r="47" spans="1:48" x14ac:dyDescent="0.15">
      <c r="C47" s="62"/>
      <c r="D47" s="137"/>
      <c r="Q47" s="74"/>
      <c r="AV47" s="27"/>
    </row>
    <row r="48" spans="1:48" x14ac:dyDescent="0.15">
      <c r="C48" s="62"/>
      <c r="D48" s="137"/>
      <c r="Q48" s="74"/>
      <c r="AV48" s="27"/>
    </row>
    <row r="49" spans="3:48" x14ac:dyDescent="0.15">
      <c r="C49" s="62"/>
      <c r="D49" s="137"/>
      <c r="Q49" s="74"/>
      <c r="AV49" s="27"/>
    </row>
    <row r="50" spans="3:48" x14ac:dyDescent="0.15">
      <c r="C50" s="62"/>
      <c r="D50" s="137"/>
      <c r="Q50" s="74"/>
      <c r="AV50" s="27"/>
    </row>
    <row r="51" spans="3:48" x14ac:dyDescent="0.15">
      <c r="C51" s="62"/>
      <c r="D51" s="137"/>
      <c r="Q51" s="74"/>
      <c r="AV51" s="27"/>
    </row>
    <row r="52" spans="3:48" x14ac:dyDescent="0.15">
      <c r="C52" s="62"/>
      <c r="D52" s="137"/>
      <c r="Q52" s="74"/>
    </row>
    <row r="53" spans="3:48" x14ac:dyDescent="0.15">
      <c r="C53" s="62"/>
      <c r="D53" s="137"/>
      <c r="Q53" s="74"/>
    </row>
    <row r="54" spans="3:48" x14ac:dyDescent="0.15">
      <c r="C54" s="62"/>
      <c r="D54" s="137"/>
      <c r="Q54" s="74"/>
    </row>
    <row r="55" spans="3:48" x14ac:dyDescent="0.15">
      <c r="C55" s="62"/>
      <c r="Q55" s="74"/>
    </row>
    <row r="56" spans="3:48" x14ac:dyDescent="0.15">
      <c r="C56" s="62"/>
      <c r="Q56" s="74"/>
    </row>
    <row r="57" spans="3:48" x14ac:dyDescent="0.15">
      <c r="C57" s="62"/>
      <c r="Q57" s="74"/>
    </row>
    <row r="58" spans="3:48" x14ac:dyDescent="0.15">
      <c r="C58" s="62"/>
      <c r="Q58" s="74"/>
    </row>
    <row r="59" spans="3:48" x14ac:dyDescent="0.15">
      <c r="C59" s="62"/>
      <c r="Q59" s="74"/>
    </row>
    <row r="60" spans="3:48" x14ac:dyDescent="0.15">
      <c r="C60" s="62"/>
      <c r="Q60" s="74"/>
    </row>
    <row r="61" spans="3:48" x14ac:dyDescent="0.15">
      <c r="C61" s="62"/>
      <c r="Q61" s="74"/>
    </row>
    <row r="62" spans="3:48" x14ac:dyDescent="0.15">
      <c r="C62" s="62"/>
      <c r="Q62" s="74"/>
    </row>
    <row r="63" spans="3:48" x14ac:dyDescent="0.15">
      <c r="C63" s="62"/>
      <c r="Q63" s="74"/>
    </row>
    <row r="64" spans="3:48" x14ac:dyDescent="0.15">
      <c r="C64" s="62"/>
      <c r="Q64" s="74"/>
    </row>
    <row r="65" spans="3:22" x14ac:dyDescent="0.15">
      <c r="C65" s="62"/>
      <c r="Q65" s="74"/>
    </row>
    <row r="66" spans="3:22" x14ac:dyDescent="0.15">
      <c r="C66" s="62"/>
      <c r="Q66" s="74"/>
    </row>
    <row r="67" spans="3:22" x14ac:dyDescent="0.15">
      <c r="C67" s="62"/>
      <c r="Q67" s="74"/>
    </row>
    <row r="68" spans="3:22" x14ac:dyDescent="0.15">
      <c r="C68" s="62"/>
      <c r="Q68" s="74"/>
    </row>
    <row r="69" spans="3:22" x14ac:dyDescent="0.15">
      <c r="C69" s="62"/>
      <c r="Q69" s="74"/>
    </row>
    <row r="70" spans="3:22" x14ac:dyDescent="0.15">
      <c r="C70" s="62"/>
      <c r="Q70" s="74"/>
    </row>
    <row r="71" spans="3:22" x14ac:dyDescent="0.15">
      <c r="C71" s="62"/>
    </row>
    <row r="72" spans="3:22" x14ac:dyDescent="0.15">
      <c r="C72" s="62"/>
    </row>
    <row r="73" spans="3:22" x14ac:dyDescent="0.15">
      <c r="Q73" s="16" t="str">
        <f t="shared" ref="Q73:Q124" si="3">IF(OR(O73="",P73=""),"",AVERAGE(O73,P73))</f>
        <v/>
      </c>
      <c r="T73" s="16" t="str">
        <f t="shared" ref="T73:T124" si="4">IF(H73="","",IF(OR(H73="GREEN",H73="GK"),IF(S73&gt;=$AX$2,VLOOKUP(S73,$AX$2:$AY$12,2,1),""),IF(S73&gt;=$AZ$2,VLOOKUP(S73,$AZ$2:$BA$12,2,1),"")))</f>
        <v/>
      </c>
      <c r="V73" s="16" t="str">
        <f t="shared" ref="V73:V124" si="5">IF(J73="","",IF(OR(J73="GREEN",J73="GK"),IF(U73&gt;=$AX$2,VLOOKUP(U73,$AX$2:$AY$12,2,1),""),IF(U73&gt;=$AZ$2,VLOOKUP(U73,$AZ$2:$BA$12,2,1),"")))</f>
        <v/>
      </c>
    </row>
    <row r="74" spans="3:22" x14ac:dyDescent="0.15">
      <c r="Q74" s="16" t="str">
        <f t="shared" si="3"/>
        <v/>
      </c>
      <c r="T74" s="16" t="str">
        <f t="shared" si="4"/>
        <v/>
      </c>
      <c r="V74" s="16" t="str">
        <f t="shared" si="5"/>
        <v/>
      </c>
    </row>
    <row r="75" spans="3:22" x14ac:dyDescent="0.15">
      <c r="Q75" s="16" t="str">
        <f t="shared" si="3"/>
        <v/>
      </c>
      <c r="T75" s="16" t="str">
        <f t="shared" si="4"/>
        <v/>
      </c>
      <c r="V75" s="16" t="str">
        <f t="shared" si="5"/>
        <v/>
      </c>
    </row>
    <row r="76" spans="3:22" x14ac:dyDescent="0.15">
      <c r="Q76" s="16" t="str">
        <f t="shared" si="3"/>
        <v/>
      </c>
      <c r="T76" s="16" t="str">
        <f t="shared" si="4"/>
        <v/>
      </c>
      <c r="V76" s="16" t="str">
        <f t="shared" si="5"/>
        <v/>
      </c>
    </row>
    <row r="77" spans="3:22" x14ac:dyDescent="0.15">
      <c r="Q77" s="16" t="str">
        <f t="shared" si="3"/>
        <v/>
      </c>
      <c r="T77" s="16" t="str">
        <f t="shared" si="4"/>
        <v/>
      </c>
      <c r="V77" s="16" t="str">
        <f t="shared" si="5"/>
        <v/>
      </c>
    </row>
    <row r="78" spans="3:22" x14ac:dyDescent="0.15">
      <c r="Q78" s="16" t="str">
        <f t="shared" si="3"/>
        <v/>
      </c>
      <c r="T78" s="16" t="str">
        <f t="shared" si="4"/>
        <v/>
      </c>
      <c r="V78" s="16" t="str">
        <f t="shared" si="5"/>
        <v/>
      </c>
    </row>
    <row r="79" spans="3:22" x14ac:dyDescent="0.15">
      <c r="Q79" s="16" t="str">
        <f t="shared" si="3"/>
        <v/>
      </c>
      <c r="T79" s="16" t="str">
        <f t="shared" si="4"/>
        <v/>
      </c>
      <c r="V79" s="16" t="str">
        <f t="shared" si="5"/>
        <v/>
      </c>
    </row>
    <row r="80" spans="3: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sheetData>
  <autoFilter ref="A1:BA124" xr:uid="{00000000-0009-0000-0000-000000000000}"/>
  <phoneticPr fontId="3"/>
  <dataValidations count="19">
    <dataValidation type="list" allowBlank="1" showInputMessage="1" showErrorMessage="1" sqref="K2:K406" xr:uid="{D860C792-0A5D-4C94-9192-459296ED33DC}">
      <formula1>$AR$2:$AR$27</formula1>
    </dataValidation>
    <dataValidation type="list" allowBlank="1" showInputMessage="1" showErrorMessage="1" sqref="E2:E464" xr:uid="{87DDBACE-5136-47D4-A0AD-AD927ED69110}">
      <formula1>$AG$2:$AG$11</formula1>
    </dataValidation>
    <dataValidation type="list" allowBlank="1" showInputMessage="1" showErrorMessage="1" sqref="H2:H464" xr:uid="{B2D1D436-E871-45FD-9E25-6386CCA82987}">
      <formula1>$AL$2:$AL$8</formula1>
    </dataValidation>
    <dataValidation type="decimal" allowBlank="1" showInputMessage="1" showErrorMessage="1" error="硬度を正しく入力して下さい。" sqref="O2:P464" xr:uid="{5E10BEBD-78D8-4A53-AA01-BA78CC5E5773}">
      <formula1>0</formula1>
      <formula2>7</formula2>
    </dataValidation>
    <dataValidation type="list" allowBlank="1" showInputMessage="1" showErrorMessage="1" sqref="F2:F1418" xr:uid="{79D32527-B00A-40E7-9B1C-EF2C209A7082}">
      <formula1>$AH$2:$AH$11</formula1>
    </dataValidation>
    <dataValidation type="list" allowBlank="1" showInputMessage="1" showErrorMessage="1" sqref="Y2:AA555" xr:uid="{DC6AA17A-8F83-443D-91E8-6A8669C3B6F1}">
      <formula1>$AV$2:$AV$38</formula1>
    </dataValidation>
    <dataValidation type="list" allowBlank="1" showInputMessage="1" showErrorMessage="1" sqref="J2:J51" xr:uid="{23435A9A-64F5-4F14-A222-1E3D2AE8C2F4}">
      <formula1>$AP$2:$AP$38</formula1>
    </dataValidation>
    <dataValidation type="list" allowBlank="1" showInputMessage="1" showErrorMessage="1" sqref="WVS983006:WVS983071 K65502:K65567 JG65502:JG65567 TC65502:TC65567 ACY65502:ACY65567 AMU65502:AMU65567 AWQ65502:AWQ65567 BGM65502:BGM65567 BQI65502:BQI65567 CAE65502:CAE65567 CKA65502:CKA65567 CTW65502:CTW65567 DDS65502:DDS65567 DNO65502:DNO65567 DXK65502:DXK65567 EHG65502:EHG65567 ERC65502:ERC65567 FAY65502:FAY65567 FKU65502:FKU65567 FUQ65502:FUQ65567 GEM65502:GEM65567 GOI65502:GOI65567 GYE65502:GYE65567 HIA65502:HIA65567 HRW65502:HRW65567 IBS65502:IBS65567 ILO65502:ILO65567 IVK65502:IVK65567 JFG65502:JFG65567 JPC65502:JPC65567 JYY65502:JYY65567 KIU65502:KIU65567 KSQ65502:KSQ65567 LCM65502:LCM65567 LMI65502:LMI65567 LWE65502:LWE65567 MGA65502:MGA65567 MPW65502:MPW65567 MZS65502:MZS65567 NJO65502:NJO65567 NTK65502:NTK65567 ODG65502:ODG65567 ONC65502:ONC65567 OWY65502:OWY65567 PGU65502:PGU65567 PQQ65502:PQQ65567 QAM65502:QAM65567 QKI65502:QKI65567 QUE65502:QUE65567 REA65502:REA65567 RNW65502:RNW65567 RXS65502:RXS65567 SHO65502:SHO65567 SRK65502:SRK65567 TBG65502:TBG65567 TLC65502:TLC65567 TUY65502:TUY65567 UEU65502:UEU65567 UOQ65502:UOQ65567 UYM65502:UYM65567 VII65502:VII65567 VSE65502:VSE65567 WCA65502:WCA65567 WLW65502:WLW65567 WVS65502:WVS65567 K131038:K131103 JG131038:JG131103 TC131038:TC131103 ACY131038:ACY131103 AMU131038:AMU131103 AWQ131038:AWQ131103 BGM131038:BGM131103 BQI131038:BQI131103 CAE131038:CAE131103 CKA131038:CKA131103 CTW131038:CTW131103 DDS131038:DDS131103 DNO131038:DNO131103 DXK131038:DXK131103 EHG131038:EHG131103 ERC131038:ERC131103 FAY131038:FAY131103 FKU131038:FKU131103 FUQ131038:FUQ131103 GEM131038:GEM131103 GOI131038:GOI131103 GYE131038:GYE131103 HIA131038:HIA131103 HRW131038:HRW131103 IBS131038:IBS131103 ILO131038:ILO131103 IVK131038:IVK131103 JFG131038:JFG131103 JPC131038:JPC131103 JYY131038:JYY131103 KIU131038:KIU131103 KSQ131038:KSQ131103 LCM131038:LCM131103 LMI131038:LMI131103 LWE131038:LWE131103 MGA131038:MGA131103 MPW131038:MPW131103 MZS131038:MZS131103 NJO131038:NJO131103 NTK131038:NTK131103 ODG131038:ODG131103 ONC131038:ONC131103 OWY131038:OWY131103 PGU131038:PGU131103 PQQ131038:PQQ131103 QAM131038:QAM131103 QKI131038:QKI131103 QUE131038:QUE131103 REA131038:REA131103 RNW131038:RNW131103 RXS131038:RXS131103 SHO131038:SHO131103 SRK131038:SRK131103 TBG131038:TBG131103 TLC131038:TLC131103 TUY131038:TUY131103 UEU131038:UEU131103 UOQ131038:UOQ131103 UYM131038:UYM131103 VII131038:VII131103 VSE131038:VSE131103 WCA131038:WCA131103 WLW131038:WLW131103 WVS131038:WVS131103 K196574:K196639 JG196574:JG196639 TC196574:TC196639 ACY196574:ACY196639 AMU196574:AMU196639 AWQ196574:AWQ196639 BGM196574:BGM196639 BQI196574:BQI196639 CAE196574:CAE196639 CKA196574:CKA196639 CTW196574:CTW196639 DDS196574:DDS196639 DNO196574:DNO196639 DXK196574:DXK196639 EHG196574:EHG196639 ERC196574:ERC196639 FAY196574:FAY196639 FKU196574:FKU196639 FUQ196574:FUQ196639 GEM196574:GEM196639 GOI196574:GOI196639 GYE196574:GYE196639 HIA196574:HIA196639 HRW196574:HRW196639 IBS196574:IBS196639 ILO196574:ILO196639 IVK196574:IVK196639 JFG196574:JFG196639 JPC196574:JPC196639 JYY196574:JYY196639 KIU196574:KIU196639 KSQ196574:KSQ196639 LCM196574:LCM196639 LMI196574:LMI196639 LWE196574:LWE196639 MGA196574:MGA196639 MPW196574:MPW196639 MZS196574:MZS196639 NJO196574:NJO196639 NTK196574:NTK196639 ODG196574:ODG196639 ONC196574:ONC196639 OWY196574:OWY196639 PGU196574:PGU196639 PQQ196574:PQQ196639 QAM196574:QAM196639 QKI196574:QKI196639 QUE196574:QUE196639 REA196574:REA196639 RNW196574:RNW196639 RXS196574:RXS196639 SHO196574:SHO196639 SRK196574:SRK196639 TBG196574:TBG196639 TLC196574:TLC196639 TUY196574:TUY196639 UEU196574:UEU196639 UOQ196574:UOQ196639 UYM196574:UYM196639 VII196574:VII196639 VSE196574:VSE196639 WCA196574:WCA196639 WLW196574:WLW196639 WVS196574:WVS196639 K262110:K262175 JG262110:JG262175 TC262110:TC262175 ACY262110:ACY262175 AMU262110:AMU262175 AWQ262110:AWQ262175 BGM262110:BGM262175 BQI262110:BQI262175 CAE262110:CAE262175 CKA262110:CKA262175 CTW262110:CTW262175 DDS262110:DDS262175 DNO262110:DNO262175 DXK262110:DXK262175 EHG262110:EHG262175 ERC262110:ERC262175 FAY262110:FAY262175 FKU262110:FKU262175 FUQ262110:FUQ262175 GEM262110:GEM262175 GOI262110:GOI262175 GYE262110:GYE262175 HIA262110:HIA262175 HRW262110:HRW262175 IBS262110:IBS262175 ILO262110:ILO262175 IVK262110:IVK262175 JFG262110:JFG262175 JPC262110:JPC262175 JYY262110:JYY262175 KIU262110:KIU262175 KSQ262110:KSQ262175 LCM262110:LCM262175 LMI262110:LMI262175 LWE262110:LWE262175 MGA262110:MGA262175 MPW262110:MPW262175 MZS262110:MZS262175 NJO262110:NJO262175 NTK262110:NTK262175 ODG262110:ODG262175 ONC262110:ONC262175 OWY262110:OWY262175 PGU262110:PGU262175 PQQ262110:PQQ262175 QAM262110:QAM262175 QKI262110:QKI262175 QUE262110:QUE262175 REA262110:REA262175 RNW262110:RNW262175 RXS262110:RXS262175 SHO262110:SHO262175 SRK262110:SRK262175 TBG262110:TBG262175 TLC262110:TLC262175 TUY262110:TUY262175 UEU262110:UEU262175 UOQ262110:UOQ262175 UYM262110:UYM262175 VII262110:VII262175 VSE262110:VSE262175 WCA262110:WCA262175 WLW262110:WLW262175 WVS262110:WVS262175 K327646:K327711 JG327646:JG327711 TC327646:TC327711 ACY327646:ACY327711 AMU327646:AMU327711 AWQ327646:AWQ327711 BGM327646:BGM327711 BQI327646:BQI327711 CAE327646:CAE327711 CKA327646:CKA327711 CTW327646:CTW327711 DDS327646:DDS327711 DNO327646:DNO327711 DXK327646:DXK327711 EHG327646:EHG327711 ERC327646:ERC327711 FAY327646:FAY327711 FKU327646:FKU327711 FUQ327646:FUQ327711 GEM327646:GEM327711 GOI327646:GOI327711 GYE327646:GYE327711 HIA327646:HIA327711 HRW327646:HRW327711 IBS327646:IBS327711 ILO327646:ILO327711 IVK327646:IVK327711 JFG327646:JFG327711 JPC327646:JPC327711 JYY327646:JYY327711 KIU327646:KIU327711 KSQ327646:KSQ327711 LCM327646:LCM327711 LMI327646:LMI327711 LWE327646:LWE327711 MGA327646:MGA327711 MPW327646:MPW327711 MZS327646:MZS327711 NJO327646:NJO327711 NTK327646:NTK327711 ODG327646:ODG327711 ONC327646:ONC327711 OWY327646:OWY327711 PGU327646:PGU327711 PQQ327646:PQQ327711 QAM327646:QAM327711 QKI327646:QKI327711 QUE327646:QUE327711 REA327646:REA327711 RNW327646:RNW327711 RXS327646:RXS327711 SHO327646:SHO327711 SRK327646:SRK327711 TBG327646:TBG327711 TLC327646:TLC327711 TUY327646:TUY327711 UEU327646:UEU327711 UOQ327646:UOQ327711 UYM327646:UYM327711 VII327646:VII327711 VSE327646:VSE327711 WCA327646:WCA327711 WLW327646:WLW327711 WVS327646:WVS327711 K393182:K393247 JG393182:JG393247 TC393182:TC393247 ACY393182:ACY393247 AMU393182:AMU393247 AWQ393182:AWQ393247 BGM393182:BGM393247 BQI393182:BQI393247 CAE393182:CAE393247 CKA393182:CKA393247 CTW393182:CTW393247 DDS393182:DDS393247 DNO393182:DNO393247 DXK393182:DXK393247 EHG393182:EHG393247 ERC393182:ERC393247 FAY393182:FAY393247 FKU393182:FKU393247 FUQ393182:FUQ393247 GEM393182:GEM393247 GOI393182:GOI393247 GYE393182:GYE393247 HIA393182:HIA393247 HRW393182:HRW393247 IBS393182:IBS393247 ILO393182:ILO393247 IVK393182:IVK393247 JFG393182:JFG393247 JPC393182:JPC393247 JYY393182:JYY393247 KIU393182:KIU393247 KSQ393182:KSQ393247 LCM393182:LCM393247 LMI393182:LMI393247 LWE393182:LWE393247 MGA393182:MGA393247 MPW393182:MPW393247 MZS393182:MZS393247 NJO393182:NJO393247 NTK393182:NTK393247 ODG393182:ODG393247 ONC393182:ONC393247 OWY393182:OWY393247 PGU393182:PGU393247 PQQ393182:PQQ393247 QAM393182:QAM393247 QKI393182:QKI393247 QUE393182:QUE393247 REA393182:REA393247 RNW393182:RNW393247 RXS393182:RXS393247 SHO393182:SHO393247 SRK393182:SRK393247 TBG393182:TBG393247 TLC393182:TLC393247 TUY393182:TUY393247 UEU393182:UEU393247 UOQ393182:UOQ393247 UYM393182:UYM393247 VII393182:VII393247 VSE393182:VSE393247 WCA393182:WCA393247 WLW393182:WLW393247 WVS393182:WVS393247 K458718:K458783 JG458718:JG458783 TC458718:TC458783 ACY458718:ACY458783 AMU458718:AMU458783 AWQ458718:AWQ458783 BGM458718:BGM458783 BQI458718:BQI458783 CAE458718:CAE458783 CKA458718:CKA458783 CTW458718:CTW458783 DDS458718:DDS458783 DNO458718:DNO458783 DXK458718:DXK458783 EHG458718:EHG458783 ERC458718:ERC458783 FAY458718:FAY458783 FKU458718:FKU458783 FUQ458718:FUQ458783 GEM458718:GEM458783 GOI458718:GOI458783 GYE458718:GYE458783 HIA458718:HIA458783 HRW458718:HRW458783 IBS458718:IBS458783 ILO458718:ILO458783 IVK458718:IVK458783 JFG458718:JFG458783 JPC458718:JPC458783 JYY458718:JYY458783 KIU458718:KIU458783 KSQ458718:KSQ458783 LCM458718:LCM458783 LMI458718:LMI458783 LWE458718:LWE458783 MGA458718:MGA458783 MPW458718:MPW458783 MZS458718:MZS458783 NJO458718:NJO458783 NTK458718:NTK458783 ODG458718:ODG458783 ONC458718:ONC458783 OWY458718:OWY458783 PGU458718:PGU458783 PQQ458718:PQQ458783 QAM458718:QAM458783 QKI458718:QKI458783 QUE458718:QUE458783 REA458718:REA458783 RNW458718:RNW458783 RXS458718:RXS458783 SHO458718:SHO458783 SRK458718:SRK458783 TBG458718:TBG458783 TLC458718:TLC458783 TUY458718:TUY458783 UEU458718:UEU458783 UOQ458718:UOQ458783 UYM458718:UYM458783 VII458718:VII458783 VSE458718:VSE458783 WCA458718:WCA458783 WLW458718:WLW458783 WVS458718:WVS458783 K524254:K524319 JG524254:JG524319 TC524254:TC524319 ACY524254:ACY524319 AMU524254:AMU524319 AWQ524254:AWQ524319 BGM524254:BGM524319 BQI524254:BQI524319 CAE524254:CAE524319 CKA524254:CKA524319 CTW524254:CTW524319 DDS524254:DDS524319 DNO524254:DNO524319 DXK524254:DXK524319 EHG524254:EHG524319 ERC524254:ERC524319 FAY524254:FAY524319 FKU524254:FKU524319 FUQ524254:FUQ524319 GEM524254:GEM524319 GOI524254:GOI524319 GYE524254:GYE524319 HIA524254:HIA524319 HRW524254:HRW524319 IBS524254:IBS524319 ILO524254:ILO524319 IVK524254:IVK524319 JFG524254:JFG524319 JPC524254:JPC524319 JYY524254:JYY524319 KIU524254:KIU524319 KSQ524254:KSQ524319 LCM524254:LCM524319 LMI524254:LMI524319 LWE524254:LWE524319 MGA524254:MGA524319 MPW524254:MPW524319 MZS524254:MZS524319 NJO524254:NJO524319 NTK524254:NTK524319 ODG524254:ODG524319 ONC524254:ONC524319 OWY524254:OWY524319 PGU524254:PGU524319 PQQ524254:PQQ524319 QAM524254:QAM524319 QKI524254:QKI524319 QUE524254:QUE524319 REA524254:REA524319 RNW524254:RNW524319 RXS524254:RXS524319 SHO524254:SHO524319 SRK524254:SRK524319 TBG524254:TBG524319 TLC524254:TLC524319 TUY524254:TUY524319 UEU524254:UEU524319 UOQ524254:UOQ524319 UYM524254:UYM524319 VII524254:VII524319 VSE524254:VSE524319 WCA524254:WCA524319 WLW524254:WLW524319 WVS524254:WVS524319 K589790:K589855 JG589790:JG589855 TC589790:TC589855 ACY589790:ACY589855 AMU589790:AMU589855 AWQ589790:AWQ589855 BGM589790:BGM589855 BQI589790:BQI589855 CAE589790:CAE589855 CKA589790:CKA589855 CTW589790:CTW589855 DDS589790:DDS589855 DNO589790:DNO589855 DXK589790:DXK589855 EHG589790:EHG589855 ERC589790:ERC589855 FAY589790:FAY589855 FKU589790:FKU589855 FUQ589790:FUQ589855 GEM589790:GEM589855 GOI589790:GOI589855 GYE589790:GYE589855 HIA589790:HIA589855 HRW589790:HRW589855 IBS589790:IBS589855 ILO589790:ILO589855 IVK589790:IVK589855 JFG589790:JFG589855 JPC589790:JPC589855 JYY589790:JYY589855 KIU589790:KIU589855 KSQ589790:KSQ589855 LCM589790:LCM589855 LMI589790:LMI589855 LWE589790:LWE589855 MGA589790:MGA589855 MPW589790:MPW589855 MZS589790:MZS589855 NJO589790:NJO589855 NTK589790:NTK589855 ODG589790:ODG589855 ONC589790:ONC589855 OWY589790:OWY589855 PGU589790:PGU589855 PQQ589790:PQQ589855 QAM589790:QAM589855 QKI589790:QKI589855 QUE589790:QUE589855 REA589790:REA589855 RNW589790:RNW589855 RXS589790:RXS589855 SHO589790:SHO589855 SRK589790:SRK589855 TBG589790:TBG589855 TLC589790:TLC589855 TUY589790:TUY589855 UEU589790:UEU589855 UOQ589790:UOQ589855 UYM589790:UYM589855 VII589790:VII589855 VSE589790:VSE589855 WCA589790:WCA589855 WLW589790:WLW589855 WVS589790:WVS589855 K655326:K655391 JG655326:JG655391 TC655326:TC655391 ACY655326:ACY655391 AMU655326:AMU655391 AWQ655326:AWQ655391 BGM655326:BGM655391 BQI655326:BQI655391 CAE655326:CAE655391 CKA655326:CKA655391 CTW655326:CTW655391 DDS655326:DDS655391 DNO655326:DNO655391 DXK655326:DXK655391 EHG655326:EHG655391 ERC655326:ERC655391 FAY655326:FAY655391 FKU655326:FKU655391 FUQ655326:FUQ655391 GEM655326:GEM655391 GOI655326:GOI655391 GYE655326:GYE655391 HIA655326:HIA655391 HRW655326:HRW655391 IBS655326:IBS655391 ILO655326:ILO655391 IVK655326:IVK655391 JFG655326:JFG655391 JPC655326:JPC655391 JYY655326:JYY655391 KIU655326:KIU655391 KSQ655326:KSQ655391 LCM655326:LCM655391 LMI655326:LMI655391 LWE655326:LWE655391 MGA655326:MGA655391 MPW655326:MPW655391 MZS655326:MZS655391 NJO655326:NJO655391 NTK655326:NTK655391 ODG655326:ODG655391 ONC655326:ONC655391 OWY655326:OWY655391 PGU655326:PGU655391 PQQ655326:PQQ655391 QAM655326:QAM655391 QKI655326:QKI655391 QUE655326:QUE655391 REA655326:REA655391 RNW655326:RNW655391 RXS655326:RXS655391 SHO655326:SHO655391 SRK655326:SRK655391 TBG655326:TBG655391 TLC655326:TLC655391 TUY655326:TUY655391 UEU655326:UEU655391 UOQ655326:UOQ655391 UYM655326:UYM655391 VII655326:VII655391 VSE655326:VSE655391 WCA655326:WCA655391 WLW655326:WLW655391 WVS655326:WVS655391 K720862:K720927 JG720862:JG720927 TC720862:TC720927 ACY720862:ACY720927 AMU720862:AMU720927 AWQ720862:AWQ720927 BGM720862:BGM720927 BQI720862:BQI720927 CAE720862:CAE720927 CKA720862:CKA720927 CTW720862:CTW720927 DDS720862:DDS720927 DNO720862:DNO720927 DXK720862:DXK720927 EHG720862:EHG720927 ERC720862:ERC720927 FAY720862:FAY720927 FKU720862:FKU720927 FUQ720862:FUQ720927 GEM720862:GEM720927 GOI720862:GOI720927 GYE720862:GYE720927 HIA720862:HIA720927 HRW720862:HRW720927 IBS720862:IBS720927 ILO720862:ILO720927 IVK720862:IVK720927 JFG720862:JFG720927 JPC720862:JPC720927 JYY720862:JYY720927 KIU720862:KIU720927 KSQ720862:KSQ720927 LCM720862:LCM720927 LMI720862:LMI720927 LWE720862:LWE720927 MGA720862:MGA720927 MPW720862:MPW720927 MZS720862:MZS720927 NJO720862:NJO720927 NTK720862:NTK720927 ODG720862:ODG720927 ONC720862:ONC720927 OWY720862:OWY720927 PGU720862:PGU720927 PQQ720862:PQQ720927 QAM720862:QAM720927 QKI720862:QKI720927 QUE720862:QUE720927 REA720862:REA720927 RNW720862:RNW720927 RXS720862:RXS720927 SHO720862:SHO720927 SRK720862:SRK720927 TBG720862:TBG720927 TLC720862:TLC720927 TUY720862:TUY720927 UEU720862:UEU720927 UOQ720862:UOQ720927 UYM720862:UYM720927 VII720862:VII720927 VSE720862:VSE720927 WCA720862:WCA720927 WLW720862:WLW720927 WVS720862:WVS720927 K786398:K786463 JG786398:JG786463 TC786398:TC786463 ACY786398:ACY786463 AMU786398:AMU786463 AWQ786398:AWQ786463 BGM786398:BGM786463 BQI786398:BQI786463 CAE786398:CAE786463 CKA786398:CKA786463 CTW786398:CTW786463 DDS786398:DDS786463 DNO786398:DNO786463 DXK786398:DXK786463 EHG786398:EHG786463 ERC786398:ERC786463 FAY786398:FAY786463 FKU786398:FKU786463 FUQ786398:FUQ786463 GEM786398:GEM786463 GOI786398:GOI786463 GYE786398:GYE786463 HIA786398:HIA786463 HRW786398:HRW786463 IBS786398:IBS786463 ILO786398:ILO786463 IVK786398:IVK786463 JFG786398:JFG786463 JPC786398:JPC786463 JYY786398:JYY786463 KIU786398:KIU786463 KSQ786398:KSQ786463 LCM786398:LCM786463 LMI786398:LMI786463 LWE786398:LWE786463 MGA786398:MGA786463 MPW786398:MPW786463 MZS786398:MZS786463 NJO786398:NJO786463 NTK786398:NTK786463 ODG786398:ODG786463 ONC786398:ONC786463 OWY786398:OWY786463 PGU786398:PGU786463 PQQ786398:PQQ786463 QAM786398:QAM786463 QKI786398:QKI786463 QUE786398:QUE786463 REA786398:REA786463 RNW786398:RNW786463 RXS786398:RXS786463 SHO786398:SHO786463 SRK786398:SRK786463 TBG786398:TBG786463 TLC786398:TLC786463 TUY786398:TUY786463 UEU786398:UEU786463 UOQ786398:UOQ786463 UYM786398:UYM786463 VII786398:VII786463 VSE786398:VSE786463 WCA786398:WCA786463 WLW786398:WLW786463 WVS786398:WVS786463 K851934:K851999 JG851934:JG851999 TC851934:TC851999 ACY851934:ACY851999 AMU851934:AMU851999 AWQ851934:AWQ851999 BGM851934:BGM851999 BQI851934:BQI851999 CAE851934:CAE851999 CKA851934:CKA851999 CTW851934:CTW851999 DDS851934:DDS851999 DNO851934:DNO851999 DXK851934:DXK851999 EHG851934:EHG851999 ERC851934:ERC851999 FAY851934:FAY851999 FKU851934:FKU851999 FUQ851934:FUQ851999 GEM851934:GEM851999 GOI851934:GOI851999 GYE851934:GYE851999 HIA851934:HIA851999 HRW851934:HRW851999 IBS851934:IBS851999 ILO851934:ILO851999 IVK851934:IVK851999 JFG851934:JFG851999 JPC851934:JPC851999 JYY851934:JYY851999 KIU851934:KIU851999 KSQ851934:KSQ851999 LCM851934:LCM851999 LMI851934:LMI851999 LWE851934:LWE851999 MGA851934:MGA851999 MPW851934:MPW851999 MZS851934:MZS851999 NJO851934:NJO851999 NTK851934:NTK851999 ODG851934:ODG851999 ONC851934:ONC851999 OWY851934:OWY851999 PGU851934:PGU851999 PQQ851934:PQQ851999 QAM851934:QAM851999 QKI851934:QKI851999 QUE851934:QUE851999 REA851934:REA851999 RNW851934:RNW851999 RXS851934:RXS851999 SHO851934:SHO851999 SRK851934:SRK851999 TBG851934:TBG851999 TLC851934:TLC851999 TUY851934:TUY851999 UEU851934:UEU851999 UOQ851934:UOQ851999 UYM851934:UYM851999 VII851934:VII851999 VSE851934:VSE851999 WCA851934:WCA851999 WLW851934:WLW851999 WVS851934:WVS851999 K917470:K917535 JG917470:JG917535 TC917470:TC917535 ACY917470:ACY917535 AMU917470:AMU917535 AWQ917470:AWQ917535 BGM917470:BGM917535 BQI917470:BQI917535 CAE917470:CAE917535 CKA917470:CKA917535 CTW917470:CTW917535 DDS917470:DDS917535 DNO917470:DNO917535 DXK917470:DXK917535 EHG917470:EHG917535 ERC917470:ERC917535 FAY917470:FAY917535 FKU917470:FKU917535 FUQ917470:FUQ917535 GEM917470:GEM917535 GOI917470:GOI917535 GYE917470:GYE917535 HIA917470:HIA917535 HRW917470:HRW917535 IBS917470:IBS917535 ILO917470:ILO917535 IVK917470:IVK917535 JFG917470:JFG917535 JPC917470:JPC917535 JYY917470:JYY917535 KIU917470:KIU917535 KSQ917470:KSQ917535 LCM917470:LCM917535 LMI917470:LMI917535 LWE917470:LWE917535 MGA917470:MGA917535 MPW917470:MPW917535 MZS917470:MZS917535 NJO917470:NJO917535 NTK917470:NTK917535 ODG917470:ODG917535 ONC917470:ONC917535 OWY917470:OWY917535 PGU917470:PGU917535 PQQ917470:PQQ917535 QAM917470:QAM917535 QKI917470:QKI917535 QUE917470:QUE917535 REA917470:REA917535 RNW917470:RNW917535 RXS917470:RXS917535 SHO917470:SHO917535 SRK917470:SRK917535 TBG917470:TBG917535 TLC917470:TLC917535 TUY917470:TUY917535 UEU917470:UEU917535 UOQ917470:UOQ917535 UYM917470:UYM917535 VII917470:VII917535 VSE917470:VSE917535 WCA917470:WCA917535 WLW917470:WLW917535 WVS917470:WVS917535 K983006:K983071 JG983006:JG983071 TC983006:TC983071 ACY983006:ACY983071 AMU983006:AMU983071 AWQ983006:AWQ983071 BGM983006:BGM983071 BQI983006:BQI983071 CAE983006:CAE983071 CKA983006:CKA983071 CTW983006:CTW983071 DDS983006:DDS983071 DNO983006:DNO983071 DXK983006:DXK983071 EHG983006:EHG983071 ERC983006:ERC983071 FAY983006:FAY983071 FKU983006:FKU983071 FUQ983006:FUQ983071 GEM983006:GEM983071 GOI983006:GOI983071 GYE983006:GYE983071 HIA983006:HIA983071 HRW983006:HRW983071 IBS983006:IBS983071 ILO983006:ILO983071 IVK983006:IVK983071 JFG983006:JFG983071 JPC983006:JPC983071 JYY983006:JYY983071 KIU983006:KIU983071 KSQ983006:KSQ983071 LCM983006:LCM983071 LMI983006:LMI983071 LWE983006:LWE983071 MGA983006:MGA983071 MPW983006:MPW983071 MZS983006:MZS983071 NJO983006:NJO983071 NTK983006:NTK983071 ODG983006:ODG983071 ONC983006:ONC983071 OWY983006:OWY983071 PGU983006:PGU983071 PQQ983006:PQQ983071 QAM983006:QAM983071 QKI983006:QKI983071 QUE983006:QUE983071 REA983006:REA983071 RNW983006:RNW983071 RXS983006:RXS983071 SHO983006:SHO983071 SRK983006:SRK983071 TBG983006:TBG983071 TLC983006:TLC983071 TUY983006:TUY983071 UEU983006:UEU983071 UOQ983006:UOQ983071 UYM983006:UYM983071 VII983006:VII983071 VSE983006:VSE983071 WCA983006:WCA983071 WLW983006:WLW983071 K407:K464 JG2:JG51 TC2:TC51 ACY2:ACY51 AMU2:AMU51 AWQ2:AWQ51 BGM2:BGM51 BQI2:BQI51 CAE2:CAE51 CKA2:CKA51 CTW2:CTW51 DDS2:DDS51 DNO2:DNO51 DXK2:DXK51 EHG2:EHG51 ERC2:ERC51 FAY2:FAY51 FKU2:FKU51 FUQ2:FUQ51 GEM2:GEM51 GOI2:GOI51 GYE2:GYE51 HIA2:HIA51 HRW2:HRW51 IBS2:IBS51 ILO2:ILO51 IVK2:IVK51 JFG2:JFG51 JPC2:JPC51 JYY2:JYY51 KIU2:KIU51 KSQ2:KSQ51 LCM2:LCM51 LMI2:LMI51 LWE2:LWE51 MGA2:MGA51 MPW2:MPW51 MZS2:MZS51 NJO2:NJO51 NTK2:NTK51 ODG2:ODG51 ONC2:ONC51 OWY2:OWY51 PGU2:PGU51 PQQ2:PQQ51 QAM2:QAM51 QKI2:QKI51 QUE2:QUE51 REA2:REA51 RNW2:RNW51 RXS2:RXS51 SHO2:SHO51 SRK2:SRK51 TBG2:TBG51 TLC2:TLC51 TUY2:TUY51 UEU2:UEU51 UOQ2:UOQ51 UYM2:UYM51 VII2:VII51 VSE2:VSE51 WCA2:WCA51 WLW2:WLW51 WVS2:WVS51" xr:uid="{61E6BD59-1C05-4CE7-BA46-3D823859925A}">
      <formula1>$AR$2:$AR$25</formula1>
    </dataValidation>
    <dataValidation type="list" allowBlank="1" showInputMessage="1" showErrorMessage="1" sqref="WVR983006:WVR983071 J65502:J65567 JF65502:JF65567 TB65502:TB65567 ACX65502:ACX65567 AMT65502:AMT65567 AWP65502:AWP65567 BGL65502:BGL65567 BQH65502:BQH65567 CAD65502:CAD65567 CJZ65502:CJZ65567 CTV65502:CTV65567 DDR65502:DDR65567 DNN65502:DNN65567 DXJ65502:DXJ65567 EHF65502:EHF65567 ERB65502:ERB65567 FAX65502:FAX65567 FKT65502:FKT65567 FUP65502:FUP65567 GEL65502:GEL65567 GOH65502:GOH65567 GYD65502:GYD65567 HHZ65502:HHZ65567 HRV65502:HRV65567 IBR65502:IBR65567 ILN65502:ILN65567 IVJ65502:IVJ65567 JFF65502:JFF65567 JPB65502:JPB65567 JYX65502:JYX65567 KIT65502:KIT65567 KSP65502:KSP65567 LCL65502:LCL65567 LMH65502:LMH65567 LWD65502:LWD65567 MFZ65502:MFZ65567 MPV65502:MPV65567 MZR65502:MZR65567 NJN65502:NJN65567 NTJ65502:NTJ65567 ODF65502:ODF65567 ONB65502:ONB65567 OWX65502:OWX65567 PGT65502:PGT65567 PQP65502:PQP65567 QAL65502:QAL65567 QKH65502:QKH65567 QUD65502:QUD65567 RDZ65502:RDZ65567 RNV65502:RNV65567 RXR65502:RXR65567 SHN65502:SHN65567 SRJ65502:SRJ65567 TBF65502:TBF65567 TLB65502:TLB65567 TUX65502:TUX65567 UET65502:UET65567 UOP65502:UOP65567 UYL65502:UYL65567 VIH65502:VIH65567 VSD65502:VSD65567 WBZ65502:WBZ65567 WLV65502:WLV65567 WVR65502:WVR65567 J131038:J131103 JF131038:JF131103 TB131038:TB131103 ACX131038:ACX131103 AMT131038:AMT131103 AWP131038:AWP131103 BGL131038:BGL131103 BQH131038:BQH131103 CAD131038:CAD131103 CJZ131038:CJZ131103 CTV131038:CTV131103 DDR131038:DDR131103 DNN131038:DNN131103 DXJ131038:DXJ131103 EHF131038:EHF131103 ERB131038:ERB131103 FAX131038:FAX131103 FKT131038:FKT131103 FUP131038:FUP131103 GEL131038:GEL131103 GOH131038:GOH131103 GYD131038:GYD131103 HHZ131038:HHZ131103 HRV131038:HRV131103 IBR131038:IBR131103 ILN131038:ILN131103 IVJ131038:IVJ131103 JFF131038:JFF131103 JPB131038:JPB131103 JYX131038:JYX131103 KIT131038:KIT131103 KSP131038:KSP131103 LCL131038:LCL131103 LMH131038:LMH131103 LWD131038:LWD131103 MFZ131038:MFZ131103 MPV131038:MPV131103 MZR131038:MZR131103 NJN131038:NJN131103 NTJ131038:NTJ131103 ODF131038:ODF131103 ONB131038:ONB131103 OWX131038:OWX131103 PGT131038:PGT131103 PQP131038:PQP131103 QAL131038:QAL131103 QKH131038:QKH131103 QUD131038:QUD131103 RDZ131038:RDZ131103 RNV131038:RNV131103 RXR131038:RXR131103 SHN131038:SHN131103 SRJ131038:SRJ131103 TBF131038:TBF131103 TLB131038:TLB131103 TUX131038:TUX131103 UET131038:UET131103 UOP131038:UOP131103 UYL131038:UYL131103 VIH131038:VIH131103 VSD131038:VSD131103 WBZ131038:WBZ131103 WLV131038:WLV131103 WVR131038:WVR131103 J196574:J196639 JF196574:JF196639 TB196574:TB196639 ACX196574:ACX196639 AMT196574:AMT196639 AWP196574:AWP196639 BGL196574:BGL196639 BQH196574:BQH196639 CAD196574:CAD196639 CJZ196574:CJZ196639 CTV196574:CTV196639 DDR196574:DDR196639 DNN196574:DNN196639 DXJ196574:DXJ196639 EHF196574:EHF196639 ERB196574:ERB196639 FAX196574:FAX196639 FKT196574:FKT196639 FUP196574:FUP196639 GEL196574:GEL196639 GOH196574:GOH196639 GYD196574:GYD196639 HHZ196574:HHZ196639 HRV196574:HRV196639 IBR196574:IBR196639 ILN196574:ILN196639 IVJ196574:IVJ196639 JFF196574:JFF196639 JPB196574:JPB196639 JYX196574:JYX196639 KIT196574:KIT196639 KSP196574:KSP196639 LCL196574:LCL196639 LMH196574:LMH196639 LWD196574:LWD196639 MFZ196574:MFZ196639 MPV196574:MPV196639 MZR196574:MZR196639 NJN196574:NJN196639 NTJ196574:NTJ196639 ODF196574:ODF196639 ONB196574:ONB196639 OWX196574:OWX196639 PGT196574:PGT196639 PQP196574:PQP196639 QAL196574:QAL196639 QKH196574:QKH196639 QUD196574:QUD196639 RDZ196574:RDZ196639 RNV196574:RNV196639 RXR196574:RXR196639 SHN196574:SHN196639 SRJ196574:SRJ196639 TBF196574:TBF196639 TLB196574:TLB196639 TUX196574:TUX196639 UET196574:UET196639 UOP196574:UOP196639 UYL196574:UYL196639 VIH196574:VIH196639 VSD196574:VSD196639 WBZ196574:WBZ196639 WLV196574:WLV196639 WVR196574:WVR196639 J262110:J262175 JF262110:JF262175 TB262110:TB262175 ACX262110:ACX262175 AMT262110:AMT262175 AWP262110:AWP262175 BGL262110:BGL262175 BQH262110:BQH262175 CAD262110:CAD262175 CJZ262110:CJZ262175 CTV262110:CTV262175 DDR262110:DDR262175 DNN262110:DNN262175 DXJ262110:DXJ262175 EHF262110:EHF262175 ERB262110:ERB262175 FAX262110:FAX262175 FKT262110:FKT262175 FUP262110:FUP262175 GEL262110:GEL262175 GOH262110:GOH262175 GYD262110:GYD262175 HHZ262110:HHZ262175 HRV262110:HRV262175 IBR262110:IBR262175 ILN262110:ILN262175 IVJ262110:IVJ262175 JFF262110:JFF262175 JPB262110:JPB262175 JYX262110:JYX262175 KIT262110:KIT262175 KSP262110:KSP262175 LCL262110:LCL262175 LMH262110:LMH262175 LWD262110:LWD262175 MFZ262110:MFZ262175 MPV262110:MPV262175 MZR262110:MZR262175 NJN262110:NJN262175 NTJ262110:NTJ262175 ODF262110:ODF262175 ONB262110:ONB262175 OWX262110:OWX262175 PGT262110:PGT262175 PQP262110:PQP262175 QAL262110:QAL262175 QKH262110:QKH262175 QUD262110:QUD262175 RDZ262110:RDZ262175 RNV262110:RNV262175 RXR262110:RXR262175 SHN262110:SHN262175 SRJ262110:SRJ262175 TBF262110:TBF262175 TLB262110:TLB262175 TUX262110:TUX262175 UET262110:UET262175 UOP262110:UOP262175 UYL262110:UYL262175 VIH262110:VIH262175 VSD262110:VSD262175 WBZ262110:WBZ262175 WLV262110:WLV262175 WVR262110:WVR262175 J327646:J327711 JF327646:JF327711 TB327646:TB327711 ACX327646:ACX327711 AMT327646:AMT327711 AWP327646:AWP327711 BGL327646:BGL327711 BQH327646:BQH327711 CAD327646:CAD327711 CJZ327646:CJZ327711 CTV327646:CTV327711 DDR327646:DDR327711 DNN327646:DNN327711 DXJ327646:DXJ327711 EHF327646:EHF327711 ERB327646:ERB327711 FAX327646:FAX327711 FKT327646:FKT327711 FUP327646:FUP327711 GEL327646:GEL327711 GOH327646:GOH327711 GYD327646:GYD327711 HHZ327646:HHZ327711 HRV327646:HRV327711 IBR327646:IBR327711 ILN327646:ILN327711 IVJ327646:IVJ327711 JFF327646:JFF327711 JPB327646:JPB327711 JYX327646:JYX327711 KIT327646:KIT327711 KSP327646:KSP327711 LCL327646:LCL327711 LMH327646:LMH327711 LWD327646:LWD327711 MFZ327646:MFZ327711 MPV327646:MPV327711 MZR327646:MZR327711 NJN327646:NJN327711 NTJ327646:NTJ327711 ODF327646:ODF327711 ONB327646:ONB327711 OWX327646:OWX327711 PGT327646:PGT327711 PQP327646:PQP327711 QAL327646:QAL327711 QKH327646:QKH327711 QUD327646:QUD327711 RDZ327646:RDZ327711 RNV327646:RNV327711 RXR327646:RXR327711 SHN327646:SHN327711 SRJ327646:SRJ327711 TBF327646:TBF327711 TLB327646:TLB327711 TUX327646:TUX327711 UET327646:UET327711 UOP327646:UOP327711 UYL327646:UYL327711 VIH327646:VIH327711 VSD327646:VSD327711 WBZ327646:WBZ327711 WLV327646:WLV327711 WVR327646:WVR327711 J393182:J393247 JF393182:JF393247 TB393182:TB393247 ACX393182:ACX393247 AMT393182:AMT393247 AWP393182:AWP393247 BGL393182:BGL393247 BQH393182:BQH393247 CAD393182:CAD393247 CJZ393182:CJZ393247 CTV393182:CTV393247 DDR393182:DDR393247 DNN393182:DNN393247 DXJ393182:DXJ393247 EHF393182:EHF393247 ERB393182:ERB393247 FAX393182:FAX393247 FKT393182:FKT393247 FUP393182:FUP393247 GEL393182:GEL393247 GOH393182:GOH393247 GYD393182:GYD393247 HHZ393182:HHZ393247 HRV393182:HRV393247 IBR393182:IBR393247 ILN393182:ILN393247 IVJ393182:IVJ393247 JFF393182:JFF393247 JPB393182:JPB393247 JYX393182:JYX393247 KIT393182:KIT393247 KSP393182:KSP393247 LCL393182:LCL393247 LMH393182:LMH393247 LWD393182:LWD393247 MFZ393182:MFZ393247 MPV393182:MPV393247 MZR393182:MZR393247 NJN393182:NJN393247 NTJ393182:NTJ393247 ODF393182:ODF393247 ONB393182:ONB393247 OWX393182:OWX393247 PGT393182:PGT393247 PQP393182:PQP393247 QAL393182:QAL393247 QKH393182:QKH393247 QUD393182:QUD393247 RDZ393182:RDZ393247 RNV393182:RNV393247 RXR393182:RXR393247 SHN393182:SHN393247 SRJ393182:SRJ393247 TBF393182:TBF393247 TLB393182:TLB393247 TUX393182:TUX393247 UET393182:UET393247 UOP393182:UOP393247 UYL393182:UYL393247 VIH393182:VIH393247 VSD393182:VSD393247 WBZ393182:WBZ393247 WLV393182:WLV393247 WVR393182:WVR393247 J458718:J458783 JF458718:JF458783 TB458718:TB458783 ACX458718:ACX458783 AMT458718:AMT458783 AWP458718:AWP458783 BGL458718:BGL458783 BQH458718:BQH458783 CAD458718:CAD458783 CJZ458718:CJZ458783 CTV458718:CTV458783 DDR458718:DDR458783 DNN458718:DNN458783 DXJ458718:DXJ458783 EHF458718:EHF458783 ERB458718:ERB458783 FAX458718:FAX458783 FKT458718:FKT458783 FUP458718:FUP458783 GEL458718:GEL458783 GOH458718:GOH458783 GYD458718:GYD458783 HHZ458718:HHZ458783 HRV458718:HRV458783 IBR458718:IBR458783 ILN458718:ILN458783 IVJ458718:IVJ458783 JFF458718:JFF458783 JPB458718:JPB458783 JYX458718:JYX458783 KIT458718:KIT458783 KSP458718:KSP458783 LCL458718:LCL458783 LMH458718:LMH458783 LWD458718:LWD458783 MFZ458718:MFZ458783 MPV458718:MPV458783 MZR458718:MZR458783 NJN458718:NJN458783 NTJ458718:NTJ458783 ODF458718:ODF458783 ONB458718:ONB458783 OWX458718:OWX458783 PGT458718:PGT458783 PQP458718:PQP458783 QAL458718:QAL458783 QKH458718:QKH458783 QUD458718:QUD458783 RDZ458718:RDZ458783 RNV458718:RNV458783 RXR458718:RXR458783 SHN458718:SHN458783 SRJ458718:SRJ458783 TBF458718:TBF458783 TLB458718:TLB458783 TUX458718:TUX458783 UET458718:UET458783 UOP458718:UOP458783 UYL458718:UYL458783 VIH458718:VIH458783 VSD458718:VSD458783 WBZ458718:WBZ458783 WLV458718:WLV458783 WVR458718:WVR458783 J524254:J524319 JF524254:JF524319 TB524254:TB524319 ACX524254:ACX524319 AMT524254:AMT524319 AWP524254:AWP524319 BGL524254:BGL524319 BQH524254:BQH524319 CAD524254:CAD524319 CJZ524254:CJZ524319 CTV524254:CTV524319 DDR524254:DDR524319 DNN524254:DNN524319 DXJ524254:DXJ524319 EHF524254:EHF524319 ERB524254:ERB524319 FAX524254:FAX524319 FKT524254:FKT524319 FUP524254:FUP524319 GEL524254:GEL524319 GOH524254:GOH524319 GYD524254:GYD524319 HHZ524254:HHZ524319 HRV524254:HRV524319 IBR524254:IBR524319 ILN524254:ILN524319 IVJ524254:IVJ524319 JFF524254:JFF524319 JPB524254:JPB524319 JYX524254:JYX524319 KIT524254:KIT524319 KSP524254:KSP524319 LCL524254:LCL524319 LMH524254:LMH524319 LWD524254:LWD524319 MFZ524254:MFZ524319 MPV524254:MPV524319 MZR524254:MZR524319 NJN524254:NJN524319 NTJ524254:NTJ524319 ODF524254:ODF524319 ONB524254:ONB524319 OWX524254:OWX524319 PGT524254:PGT524319 PQP524254:PQP524319 QAL524254:QAL524319 QKH524254:QKH524319 QUD524254:QUD524319 RDZ524254:RDZ524319 RNV524254:RNV524319 RXR524254:RXR524319 SHN524254:SHN524319 SRJ524254:SRJ524319 TBF524254:TBF524319 TLB524254:TLB524319 TUX524254:TUX524319 UET524254:UET524319 UOP524254:UOP524319 UYL524254:UYL524319 VIH524254:VIH524319 VSD524254:VSD524319 WBZ524254:WBZ524319 WLV524254:WLV524319 WVR524254:WVR524319 J589790:J589855 JF589790:JF589855 TB589790:TB589855 ACX589790:ACX589855 AMT589790:AMT589855 AWP589790:AWP589855 BGL589790:BGL589855 BQH589790:BQH589855 CAD589790:CAD589855 CJZ589790:CJZ589855 CTV589790:CTV589855 DDR589790:DDR589855 DNN589790:DNN589855 DXJ589790:DXJ589855 EHF589790:EHF589855 ERB589790:ERB589855 FAX589790:FAX589855 FKT589790:FKT589855 FUP589790:FUP589855 GEL589790:GEL589855 GOH589790:GOH589855 GYD589790:GYD589855 HHZ589790:HHZ589855 HRV589790:HRV589855 IBR589790:IBR589855 ILN589790:ILN589855 IVJ589790:IVJ589855 JFF589790:JFF589855 JPB589790:JPB589855 JYX589790:JYX589855 KIT589790:KIT589855 KSP589790:KSP589855 LCL589790:LCL589855 LMH589790:LMH589855 LWD589790:LWD589855 MFZ589790:MFZ589855 MPV589790:MPV589855 MZR589790:MZR589855 NJN589790:NJN589855 NTJ589790:NTJ589855 ODF589790:ODF589855 ONB589790:ONB589855 OWX589790:OWX589855 PGT589790:PGT589855 PQP589790:PQP589855 QAL589790:QAL589855 QKH589790:QKH589855 QUD589790:QUD589855 RDZ589790:RDZ589855 RNV589790:RNV589855 RXR589790:RXR589855 SHN589790:SHN589855 SRJ589790:SRJ589855 TBF589790:TBF589855 TLB589790:TLB589855 TUX589790:TUX589855 UET589790:UET589855 UOP589790:UOP589855 UYL589790:UYL589855 VIH589790:VIH589855 VSD589790:VSD589855 WBZ589790:WBZ589855 WLV589790:WLV589855 WVR589790:WVR589855 J655326:J655391 JF655326:JF655391 TB655326:TB655391 ACX655326:ACX655391 AMT655326:AMT655391 AWP655326:AWP655391 BGL655326:BGL655391 BQH655326:BQH655391 CAD655326:CAD655391 CJZ655326:CJZ655391 CTV655326:CTV655391 DDR655326:DDR655391 DNN655326:DNN655391 DXJ655326:DXJ655391 EHF655326:EHF655391 ERB655326:ERB655391 FAX655326:FAX655391 FKT655326:FKT655391 FUP655326:FUP655391 GEL655326:GEL655391 GOH655326:GOH655391 GYD655326:GYD655391 HHZ655326:HHZ655391 HRV655326:HRV655391 IBR655326:IBR655391 ILN655326:ILN655391 IVJ655326:IVJ655391 JFF655326:JFF655391 JPB655326:JPB655391 JYX655326:JYX655391 KIT655326:KIT655391 KSP655326:KSP655391 LCL655326:LCL655391 LMH655326:LMH655391 LWD655326:LWD655391 MFZ655326:MFZ655391 MPV655326:MPV655391 MZR655326:MZR655391 NJN655326:NJN655391 NTJ655326:NTJ655391 ODF655326:ODF655391 ONB655326:ONB655391 OWX655326:OWX655391 PGT655326:PGT655391 PQP655326:PQP655391 QAL655326:QAL655391 QKH655326:QKH655391 QUD655326:QUD655391 RDZ655326:RDZ655391 RNV655326:RNV655391 RXR655326:RXR655391 SHN655326:SHN655391 SRJ655326:SRJ655391 TBF655326:TBF655391 TLB655326:TLB655391 TUX655326:TUX655391 UET655326:UET655391 UOP655326:UOP655391 UYL655326:UYL655391 VIH655326:VIH655391 VSD655326:VSD655391 WBZ655326:WBZ655391 WLV655326:WLV655391 WVR655326:WVR655391 J720862:J720927 JF720862:JF720927 TB720862:TB720927 ACX720862:ACX720927 AMT720862:AMT720927 AWP720862:AWP720927 BGL720862:BGL720927 BQH720862:BQH720927 CAD720862:CAD720927 CJZ720862:CJZ720927 CTV720862:CTV720927 DDR720862:DDR720927 DNN720862:DNN720927 DXJ720862:DXJ720927 EHF720862:EHF720927 ERB720862:ERB720927 FAX720862:FAX720927 FKT720862:FKT720927 FUP720862:FUP720927 GEL720862:GEL720927 GOH720862:GOH720927 GYD720862:GYD720927 HHZ720862:HHZ720927 HRV720862:HRV720927 IBR720862:IBR720927 ILN720862:ILN720927 IVJ720862:IVJ720927 JFF720862:JFF720927 JPB720862:JPB720927 JYX720862:JYX720927 KIT720862:KIT720927 KSP720862:KSP720927 LCL720862:LCL720927 LMH720862:LMH720927 LWD720862:LWD720927 MFZ720862:MFZ720927 MPV720862:MPV720927 MZR720862:MZR720927 NJN720862:NJN720927 NTJ720862:NTJ720927 ODF720862:ODF720927 ONB720862:ONB720927 OWX720862:OWX720927 PGT720862:PGT720927 PQP720862:PQP720927 QAL720862:QAL720927 QKH720862:QKH720927 QUD720862:QUD720927 RDZ720862:RDZ720927 RNV720862:RNV720927 RXR720862:RXR720927 SHN720862:SHN720927 SRJ720862:SRJ720927 TBF720862:TBF720927 TLB720862:TLB720927 TUX720862:TUX720927 UET720862:UET720927 UOP720862:UOP720927 UYL720862:UYL720927 VIH720862:VIH720927 VSD720862:VSD720927 WBZ720862:WBZ720927 WLV720862:WLV720927 WVR720862:WVR720927 J786398:J786463 JF786398:JF786463 TB786398:TB786463 ACX786398:ACX786463 AMT786398:AMT786463 AWP786398:AWP786463 BGL786398:BGL786463 BQH786398:BQH786463 CAD786398:CAD786463 CJZ786398:CJZ786463 CTV786398:CTV786463 DDR786398:DDR786463 DNN786398:DNN786463 DXJ786398:DXJ786463 EHF786398:EHF786463 ERB786398:ERB786463 FAX786398:FAX786463 FKT786398:FKT786463 FUP786398:FUP786463 GEL786398:GEL786463 GOH786398:GOH786463 GYD786398:GYD786463 HHZ786398:HHZ786463 HRV786398:HRV786463 IBR786398:IBR786463 ILN786398:ILN786463 IVJ786398:IVJ786463 JFF786398:JFF786463 JPB786398:JPB786463 JYX786398:JYX786463 KIT786398:KIT786463 KSP786398:KSP786463 LCL786398:LCL786463 LMH786398:LMH786463 LWD786398:LWD786463 MFZ786398:MFZ786463 MPV786398:MPV786463 MZR786398:MZR786463 NJN786398:NJN786463 NTJ786398:NTJ786463 ODF786398:ODF786463 ONB786398:ONB786463 OWX786398:OWX786463 PGT786398:PGT786463 PQP786398:PQP786463 QAL786398:QAL786463 QKH786398:QKH786463 QUD786398:QUD786463 RDZ786398:RDZ786463 RNV786398:RNV786463 RXR786398:RXR786463 SHN786398:SHN786463 SRJ786398:SRJ786463 TBF786398:TBF786463 TLB786398:TLB786463 TUX786398:TUX786463 UET786398:UET786463 UOP786398:UOP786463 UYL786398:UYL786463 VIH786398:VIH786463 VSD786398:VSD786463 WBZ786398:WBZ786463 WLV786398:WLV786463 WVR786398:WVR786463 J851934:J851999 JF851934:JF851999 TB851934:TB851999 ACX851934:ACX851999 AMT851934:AMT851999 AWP851934:AWP851999 BGL851934:BGL851999 BQH851934:BQH851999 CAD851934:CAD851999 CJZ851934:CJZ851999 CTV851934:CTV851999 DDR851934:DDR851999 DNN851934:DNN851999 DXJ851934:DXJ851999 EHF851934:EHF851999 ERB851934:ERB851999 FAX851934:FAX851999 FKT851934:FKT851999 FUP851934:FUP851999 GEL851934:GEL851999 GOH851934:GOH851999 GYD851934:GYD851999 HHZ851934:HHZ851999 HRV851934:HRV851999 IBR851934:IBR851999 ILN851934:ILN851999 IVJ851934:IVJ851999 JFF851934:JFF851999 JPB851934:JPB851999 JYX851934:JYX851999 KIT851934:KIT851999 KSP851934:KSP851999 LCL851934:LCL851999 LMH851934:LMH851999 LWD851934:LWD851999 MFZ851934:MFZ851999 MPV851934:MPV851999 MZR851934:MZR851999 NJN851934:NJN851999 NTJ851934:NTJ851999 ODF851934:ODF851999 ONB851934:ONB851999 OWX851934:OWX851999 PGT851934:PGT851999 PQP851934:PQP851999 QAL851934:QAL851999 QKH851934:QKH851999 QUD851934:QUD851999 RDZ851934:RDZ851999 RNV851934:RNV851999 RXR851934:RXR851999 SHN851934:SHN851999 SRJ851934:SRJ851999 TBF851934:TBF851999 TLB851934:TLB851999 TUX851934:TUX851999 UET851934:UET851999 UOP851934:UOP851999 UYL851934:UYL851999 VIH851934:VIH851999 VSD851934:VSD851999 WBZ851934:WBZ851999 WLV851934:WLV851999 WVR851934:WVR851999 J917470:J917535 JF917470:JF917535 TB917470:TB917535 ACX917470:ACX917535 AMT917470:AMT917535 AWP917470:AWP917535 BGL917470:BGL917535 BQH917470:BQH917535 CAD917470:CAD917535 CJZ917470:CJZ917535 CTV917470:CTV917535 DDR917470:DDR917535 DNN917470:DNN917535 DXJ917470:DXJ917535 EHF917470:EHF917535 ERB917470:ERB917535 FAX917470:FAX917535 FKT917470:FKT917535 FUP917470:FUP917535 GEL917470:GEL917535 GOH917470:GOH917535 GYD917470:GYD917535 HHZ917470:HHZ917535 HRV917470:HRV917535 IBR917470:IBR917535 ILN917470:ILN917535 IVJ917470:IVJ917535 JFF917470:JFF917535 JPB917470:JPB917535 JYX917470:JYX917535 KIT917470:KIT917535 KSP917470:KSP917535 LCL917470:LCL917535 LMH917470:LMH917535 LWD917470:LWD917535 MFZ917470:MFZ917535 MPV917470:MPV917535 MZR917470:MZR917535 NJN917470:NJN917535 NTJ917470:NTJ917535 ODF917470:ODF917535 ONB917470:ONB917535 OWX917470:OWX917535 PGT917470:PGT917535 PQP917470:PQP917535 QAL917470:QAL917535 QKH917470:QKH917535 QUD917470:QUD917535 RDZ917470:RDZ917535 RNV917470:RNV917535 RXR917470:RXR917535 SHN917470:SHN917535 SRJ917470:SRJ917535 TBF917470:TBF917535 TLB917470:TLB917535 TUX917470:TUX917535 UET917470:UET917535 UOP917470:UOP917535 UYL917470:UYL917535 VIH917470:VIH917535 VSD917470:VSD917535 WBZ917470:WBZ917535 WLV917470:WLV917535 WVR917470:WVR917535 J983006:J983071 JF983006:JF983071 TB983006:TB983071 ACX983006:ACX983071 AMT983006:AMT983071 AWP983006:AWP983071 BGL983006:BGL983071 BQH983006:BQH983071 CAD983006:CAD983071 CJZ983006:CJZ983071 CTV983006:CTV983071 DDR983006:DDR983071 DNN983006:DNN983071 DXJ983006:DXJ983071 EHF983006:EHF983071 ERB983006:ERB983071 FAX983006:FAX983071 FKT983006:FKT983071 FUP983006:FUP983071 GEL983006:GEL983071 GOH983006:GOH983071 GYD983006:GYD983071 HHZ983006:HHZ983071 HRV983006:HRV983071 IBR983006:IBR983071 ILN983006:ILN983071 IVJ983006:IVJ983071 JFF983006:JFF983071 JPB983006:JPB983071 JYX983006:JYX983071 KIT983006:KIT983071 KSP983006:KSP983071 LCL983006:LCL983071 LMH983006:LMH983071 LWD983006:LWD983071 MFZ983006:MFZ983071 MPV983006:MPV983071 MZR983006:MZR983071 NJN983006:NJN983071 NTJ983006:NTJ983071 ODF983006:ODF983071 ONB983006:ONB983071 OWX983006:OWX983071 PGT983006:PGT983071 PQP983006:PQP983071 QAL983006:QAL983071 QKH983006:QKH983071 QUD983006:QUD983071 RDZ983006:RDZ983071 RNV983006:RNV983071 RXR983006:RXR983071 SHN983006:SHN983071 SRJ983006:SRJ983071 TBF983006:TBF983071 TLB983006:TLB983071 TUX983006:TUX983071 UET983006:UET983071 UOP983006:UOP983071 UYL983006:UYL983071 VIH983006:VIH983071 VSD983006:VSD983071 WBZ983006:WBZ983071 WLV983006:WLV983071 J52:J464 WVR2:WVR51 JF2:JF51 TB2:TB51 ACX2:ACX51 AMT2:AMT51 AWP2:AWP51 BGL2:BGL51 BQH2:BQH51 CAD2:CAD51 CJZ2:CJZ51 CTV2:CTV51 DDR2:DDR51 DNN2:DNN51 DXJ2:DXJ51 EHF2:EHF51 ERB2:ERB51 FAX2:FAX51 FKT2:FKT51 FUP2:FUP51 GEL2:GEL51 GOH2:GOH51 GYD2:GYD51 HHZ2:HHZ51 HRV2:HRV51 IBR2:IBR51 ILN2:ILN51 IVJ2:IVJ51 JFF2:JFF51 JPB2:JPB51 JYX2:JYX51 KIT2:KIT51 KSP2:KSP51 LCL2:LCL51 LMH2:LMH51 LWD2:LWD51 MFZ2:MFZ51 MPV2:MPV51 MZR2:MZR51 NJN2:NJN51 NTJ2:NTJ51 ODF2:ODF51 ONB2:ONB51 OWX2:OWX51 PGT2:PGT51 PQP2:PQP51 QAL2:QAL51 QKH2:QKH51 QUD2:QUD51 RDZ2:RDZ51 RNV2:RNV51 RXR2:RXR51 SHN2:SHN51 SRJ2:SRJ51 TBF2:TBF51 TLB2:TLB51 TUX2:TUX51 UET2:UET51 UOP2:UOP51 UYL2:UYL51 VIH2:VIH51 VSD2:VSD51 WBZ2:WBZ51 WLV2:WLV51" xr:uid="{BAF21FDC-B064-4885-8D2A-B99B2F25A100}">
      <formula1>$AP$2:$AP$27</formula1>
    </dataValidation>
    <dataValidation type="list" allowBlank="1" showInputMessage="1" showErrorMessage="1" sqref="WVP983006:WVP983071 H65502:H65567 JD65502:JD65567 SZ65502:SZ65567 ACV65502:ACV65567 AMR65502:AMR65567 AWN65502:AWN65567 BGJ65502:BGJ65567 BQF65502:BQF65567 CAB65502:CAB65567 CJX65502:CJX65567 CTT65502:CTT65567 DDP65502:DDP65567 DNL65502:DNL65567 DXH65502:DXH65567 EHD65502:EHD65567 EQZ65502:EQZ65567 FAV65502:FAV65567 FKR65502:FKR65567 FUN65502:FUN65567 GEJ65502:GEJ65567 GOF65502:GOF65567 GYB65502:GYB65567 HHX65502:HHX65567 HRT65502:HRT65567 IBP65502:IBP65567 ILL65502:ILL65567 IVH65502:IVH65567 JFD65502:JFD65567 JOZ65502:JOZ65567 JYV65502:JYV65567 KIR65502:KIR65567 KSN65502:KSN65567 LCJ65502:LCJ65567 LMF65502:LMF65567 LWB65502:LWB65567 MFX65502:MFX65567 MPT65502:MPT65567 MZP65502:MZP65567 NJL65502:NJL65567 NTH65502:NTH65567 ODD65502:ODD65567 OMZ65502:OMZ65567 OWV65502:OWV65567 PGR65502:PGR65567 PQN65502:PQN65567 QAJ65502:QAJ65567 QKF65502:QKF65567 QUB65502:QUB65567 RDX65502:RDX65567 RNT65502:RNT65567 RXP65502:RXP65567 SHL65502:SHL65567 SRH65502:SRH65567 TBD65502:TBD65567 TKZ65502:TKZ65567 TUV65502:TUV65567 UER65502:UER65567 UON65502:UON65567 UYJ65502:UYJ65567 VIF65502:VIF65567 VSB65502:VSB65567 WBX65502:WBX65567 WLT65502:WLT65567 WVP65502:WVP65567 H131038:H131103 JD131038:JD131103 SZ131038:SZ131103 ACV131038:ACV131103 AMR131038:AMR131103 AWN131038:AWN131103 BGJ131038:BGJ131103 BQF131038:BQF131103 CAB131038:CAB131103 CJX131038:CJX131103 CTT131038:CTT131103 DDP131038:DDP131103 DNL131038:DNL131103 DXH131038:DXH131103 EHD131038:EHD131103 EQZ131038:EQZ131103 FAV131038:FAV131103 FKR131038:FKR131103 FUN131038:FUN131103 GEJ131038:GEJ131103 GOF131038:GOF131103 GYB131038:GYB131103 HHX131038:HHX131103 HRT131038:HRT131103 IBP131038:IBP131103 ILL131038:ILL131103 IVH131038:IVH131103 JFD131038:JFD131103 JOZ131038:JOZ131103 JYV131038:JYV131103 KIR131038:KIR131103 KSN131038:KSN131103 LCJ131038:LCJ131103 LMF131038:LMF131103 LWB131038:LWB131103 MFX131038:MFX131103 MPT131038:MPT131103 MZP131038:MZP131103 NJL131038:NJL131103 NTH131038:NTH131103 ODD131038:ODD131103 OMZ131038:OMZ131103 OWV131038:OWV131103 PGR131038:PGR131103 PQN131038:PQN131103 QAJ131038:QAJ131103 QKF131038:QKF131103 QUB131038:QUB131103 RDX131038:RDX131103 RNT131038:RNT131103 RXP131038:RXP131103 SHL131038:SHL131103 SRH131038:SRH131103 TBD131038:TBD131103 TKZ131038:TKZ131103 TUV131038:TUV131103 UER131038:UER131103 UON131038:UON131103 UYJ131038:UYJ131103 VIF131038:VIF131103 VSB131038:VSB131103 WBX131038:WBX131103 WLT131038:WLT131103 WVP131038:WVP131103 H196574:H196639 JD196574:JD196639 SZ196574:SZ196639 ACV196574:ACV196639 AMR196574:AMR196639 AWN196574:AWN196639 BGJ196574:BGJ196639 BQF196574:BQF196639 CAB196574:CAB196639 CJX196574:CJX196639 CTT196574:CTT196639 DDP196574:DDP196639 DNL196574:DNL196639 DXH196574:DXH196639 EHD196574:EHD196639 EQZ196574:EQZ196639 FAV196574:FAV196639 FKR196574:FKR196639 FUN196574:FUN196639 GEJ196574:GEJ196639 GOF196574:GOF196639 GYB196574:GYB196639 HHX196574:HHX196639 HRT196574:HRT196639 IBP196574:IBP196639 ILL196574:ILL196639 IVH196574:IVH196639 JFD196574:JFD196639 JOZ196574:JOZ196639 JYV196574:JYV196639 KIR196574:KIR196639 KSN196574:KSN196639 LCJ196574:LCJ196639 LMF196574:LMF196639 LWB196574:LWB196639 MFX196574:MFX196639 MPT196574:MPT196639 MZP196574:MZP196639 NJL196574:NJL196639 NTH196574:NTH196639 ODD196574:ODD196639 OMZ196574:OMZ196639 OWV196574:OWV196639 PGR196574:PGR196639 PQN196574:PQN196639 QAJ196574:QAJ196639 QKF196574:QKF196639 QUB196574:QUB196639 RDX196574:RDX196639 RNT196574:RNT196639 RXP196574:RXP196639 SHL196574:SHL196639 SRH196574:SRH196639 TBD196574:TBD196639 TKZ196574:TKZ196639 TUV196574:TUV196639 UER196574:UER196639 UON196574:UON196639 UYJ196574:UYJ196639 VIF196574:VIF196639 VSB196574:VSB196639 WBX196574:WBX196639 WLT196574:WLT196639 WVP196574:WVP196639 H262110:H262175 JD262110:JD262175 SZ262110:SZ262175 ACV262110:ACV262175 AMR262110:AMR262175 AWN262110:AWN262175 BGJ262110:BGJ262175 BQF262110:BQF262175 CAB262110:CAB262175 CJX262110:CJX262175 CTT262110:CTT262175 DDP262110:DDP262175 DNL262110:DNL262175 DXH262110:DXH262175 EHD262110:EHD262175 EQZ262110:EQZ262175 FAV262110:FAV262175 FKR262110:FKR262175 FUN262110:FUN262175 GEJ262110:GEJ262175 GOF262110:GOF262175 GYB262110:GYB262175 HHX262110:HHX262175 HRT262110:HRT262175 IBP262110:IBP262175 ILL262110:ILL262175 IVH262110:IVH262175 JFD262110:JFD262175 JOZ262110:JOZ262175 JYV262110:JYV262175 KIR262110:KIR262175 KSN262110:KSN262175 LCJ262110:LCJ262175 LMF262110:LMF262175 LWB262110:LWB262175 MFX262110:MFX262175 MPT262110:MPT262175 MZP262110:MZP262175 NJL262110:NJL262175 NTH262110:NTH262175 ODD262110:ODD262175 OMZ262110:OMZ262175 OWV262110:OWV262175 PGR262110:PGR262175 PQN262110:PQN262175 QAJ262110:QAJ262175 QKF262110:QKF262175 QUB262110:QUB262175 RDX262110:RDX262175 RNT262110:RNT262175 RXP262110:RXP262175 SHL262110:SHL262175 SRH262110:SRH262175 TBD262110:TBD262175 TKZ262110:TKZ262175 TUV262110:TUV262175 UER262110:UER262175 UON262110:UON262175 UYJ262110:UYJ262175 VIF262110:VIF262175 VSB262110:VSB262175 WBX262110:WBX262175 WLT262110:WLT262175 WVP262110:WVP262175 H327646:H327711 JD327646:JD327711 SZ327646:SZ327711 ACV327646:ACV327711 AMR327646:AMR327711 AWN327646:AWN327711 BGJ327646:BGJ327711 BQF327646:BQF327711 CAB327646:CAB327711 CJX327646:CJX327711 CTT327646:CTT327711 DDP327646:DDP327711 DNL327646:DNL327711 DXH327646:DXH327711 EHD327646:EHD327711 EQZ327646:EQZ327711 FAV327646:FAV327711 FKR327646:FKR327711 FUN327646:FUN327711 GEJ327646:GEJ327711 GOF327646:GOF327711 GYB327646:GYB327711 HHX327646:HHX327711 HRT327646:HRT327711 IBP327646:IBP327711 ILL327646:ILL327711 IVH327646:IVH327711 JFD327646:JFD327711 JOZ327646:JOZ327711 JYV327646:JYV327711 KIR327646:KIR327711 KSN327646:KSN327711 LCJ327646:LCJ327711 LMF327646:LMF327711 LWB327646:LWB327711 MFX327646:MFX327711 MPT327646:MPT327711 MZP327646:MZP327711 NJL327646:NJL327711 NTH327646:NTH327711 ODD327646:ODD327711 OMZ327646:OMZ327711 OWV327646:OWV327711 PGR327646:PGR327711 PQN327646:PQN327711 QAJ327646:QAJ327711 QKF327646:QKF327711 QUB327646:QUB327711 RDX327646:RDX327711 RNT327646:RNT327711 RXP327646:RXP327711 SHL327646:SHL327711 SRH327646:SRH327711 TBD327646:TBD327711 TKZ327646:TKZ327711 TUV327646:TUV327711 UER327646:UER327711 UON327646:UON327711 UYJ327646:UYJ327711 VIF327646:VIF327711 VSB327646:VSB327711 WBX327646:WBX327711 WLT327646:WLT327711 WVP327646:WVP327711 H393182:H393247 JD393182:JD393247 SZ393182:SZ393247 ACV393182:ACV393247 AMR393182:AMR393247 AWN393182:AWN393247 BGJ393182:BGJ393247 BQF393182:BQF393247 CAB393182:CAB393247 CJX393182:CJX393247 CTT393182:CTT393247 DDP393182:DDP393247 DNL393182:DNL393247 DXH393182:DXH393247 EHD393182:EHD393247 EQZ393182:EQZ393247 FAV393182:FAV393247 FKR393182:FKR393247 FUN393182:FUN393247 GEJ393182:GEJ393247 GOF393182:GOF393247 GYB393182:GYB393247 HHX393182:HHX393247 HRT393182:HRT393247 IBP393182:IBP393247 ILL393182:ILL393247 IVH393182:IVH393247 JFD393182:JFD393247 JOZ393182:JOZ393247 JYV393182:JYV393247 KIR393182:KIR393247 KSN393182:KSN393247 LCJ393182:LCJ393247 LMF393182:LMF393247 LWB393182:LWB393247 MFX393182:MFX393247 MPT393182:MPT393247 MZP393182:MZP393247 NJL393182:NJL393247 NTH393182:NTH393247 ODD393182:ODD393247 OMZ393182:OMZ393247 OWV393182:OWV393247 PGR393182:PGR393247 PQN393182:PQN393247 QAJ393182:QAJ393247 QKF393182:QKF393247 QUB393182:QUB393247 RDX393182:RDX393247 RNT393182:RNT393247 RXP393182:RXP393247 SHL393182:SHL393247 SRH393182:SRH393247 TBD393182:TBD393247 TKZ393182:TKZ393247 TUV393182:TUV393247 UER393182:UER393247 UON393182:UON393247 UYJ393182:UYJ393247 VIF393182:VIF393247 VSB393182:VSB393247 WBX393182:WBX393247 WLT393182:WLT393247 WVP393182:WVP393247 H458718:H458783 JD458718:JD458783 SZ458718:SZ458783 ACV458718:ACV458783 AMR458718:AMR458783 AWN458718:AWN458783 BGJ458718:BGJ458783 BQF458718:BQF458783 CAB458718:CAB458783 CJX458718:CJX458783 CTT458718:CTT458783 DDP458718:DDP458783 DNL458718:DNL458783 DXH458718:DXH458783 EHD458718:EHD458783 EQZ458718:EQZ458783 FAV458718:FAV458783 FKR458718:FKR458783 FUN458718:FUN458783 GEJ458718:GEJ458783 GOF458718:GOF458783 GYB458718:GYB458783 HHX458718:HHX458783 HRT458718:HRT458783 IBP458718:IBP458783 ILL458718:ILL458783 IVH458718:IVH458783 JFD458718:JFD458783 JOZ458718:JOZ458783 JYV458718:JYV458783 KIR458718:KIR458783 KSN458718:KSN458783 LCJ458718:LCJ458783 LMF458718:LMF458783 LWB458718:LWB458783 MFX458718:MFX458783 MPT458718:MPT458783 MZP458718:MZP458783 NJL458718:NJL458783 NTH458718:NTH458783 ODD458718:ODD458783 OMZ458718:OMZ458783 OWV458718:OWV458783 PGR458718:PGR458783 PQN458718:PQN458783 QAJ458718:QAJ458783 QKF458718:QKF458783 QUB458718:QUB458783 RDX458718:RDX458783 RNT458718:RNT458783 RXP458718:RXP458783 SHL458718:SHL458783 SRH458718:SRH458783 TBD458718:TBD458783 TKZ458718:TKZ458783 TUV458718:TUV458783 UER458718:UER458783 UON458718:UON458783 UYJ458718:UYJ458783 VIF458718:VIF458783 VSB458718:VSB458783 WBX458718:WBX458783 WLT458718:WLT458783 WVP458718:WVP458783 H524254:H524319 JD524254:JD524319 SZ524254:SZ524319 ACV524254:ACV524319 AMR524254:AMR524319 AWN524254:AWN524319 BGJ524254:BGJ524319 BQF524254:BQF524319 CAB524254:CAB524319 CJX524254:CJX524319 CTT524254:CTT524319 DDP524254:DDP524319 DNL524254:DNL524319 DXH524254:DXH524319 EHD524254:EHD524319 EQZ524254:EQZ524319 FAV524254:FAV524319 FKR524254:FKR524319 FUN524254:FUN524319 GEJ524254:GEJ524319 GOF524254:GOF524319 GYB524254:GYB524319 HHX524254:HHX524319 HRT524254:HRT524319 IBP524254:IBP524319 ILL524254:ILL524319 IVH524254:IVH524319 JFD524254:JFD524319 JOZ524254:JOZ524319 JYV524254:JYV524319 KIR524254:KIR524319 KSN524254:KSN524319 LCJ524254:LCJ524319 LMF524254:LMF524319 LWB524254:LWB524319 MFX524254:MFX524319 MPT524254:MPT524319 MZP524254:MZP524319 NJL524254:NJL524319 NTH524254:NTH524319 ODD524254:ODD524319 OMZ524254:OMZ524319 OWV524254:OWV524319 PGR524254:PGR524319 PQN524254:PQN524319 QAJ524254:QAJ524319 QKF524254:QKF524319 QUB524254:QUB524319 RDX524254:RDX524319 RNT524254:RNT524319 RXP524254:RXP524319 SHL524254:SHL524319 SRH524254:SRH524319 TBD524254:TBD524319 TKZ524254:TKZ524319 TUV524254:TUV524319 UER524254:UER524319 UON524254:UON524319 UYJ524254:UYJ524319 VIF524254:VIF524319 VSB524254:VSB524319 WBX524254:WBX524319 WLT524254:WLT524319 WVP524254:WVP524319 H589790:H589855 JD589790:JD589855 SZ589790:SZ589855 ACV589790:ACV589855 AMR589790:AMR589855 AWN589790:AWN589855 BGJ589790:BGJ589855 BQF589790:BQF589855 CAB589790:CAB589855 CJX589790:CJX589855 CTT589790:CTT589855 DDP589790:DDP589855 DNL589790:DNL589855 DXH589790:DXH589855 EHD589790:EHD589855 EQZ589790:EQZ589855 FAV589790:FAV589855 FKR589790:FKR589855 FUN589790:FUN589855 GEJ589790:GEJ589855 GOF589790:GOF589855 GYB589790:GYB589855 HHX589790:HHX589855 HRT589790:HRT589855 IBP589790:IBP589855 ILL589790:ILL589855 IVH589790:IVH589855 JFD589790:JFD589855 JOZ589790:JOZ589855 JYV589790:JYV589855 KIR589790:KIR589855 KSN589790:KSN589855 LCJ589790:LCJ589855 LMF589790:LMF589855 LWB589790:LWB589855 MFX589790:MFX589855 MPT589790:MPT589855 MZP589790:MZP589855 NJL589790:NJL589855 NTH589790:NTH589855 ODD589790:ODD589855 OMZ589790:OMZ589855 OWV589790:OWV589855 PGR589790:PGR589855 PQN589790:PQN589855 QAJ589790:QAJ589855 QKF589790:QKF589855 QUB589790:QUB589855 RDX589790:RDX589855 RNT589790:RNT589855 RXP589790:RXP589855 SHL589790:SHL589855 SRH589790:SRH589855 TBD589790:TBD589855 TKZ589790:TKZ589855 TUV589790:TUV589855 UER589790:UER589855 UON589790:UON589855 UYJ589790:UYJ589855 VIF589790:VIF589855 VSB589790:VSB589855 WBX589790:WBX589855 WLT589790:WLT589855 WVP589790:WVP589855 H655326:H655391 JD655326:JD655391 SZ655326:SZ655391 ACV655326:ACV655391 AMR655326:AMR655391 AWN655326:AWN655391 BGJ655326:BGJ655391 BQF655326:BQF655391 CAB655326:CAB655391 CJX655326:CJX655391 CTT655326:CTT655391 DDP655326:DDP655391 DNL655326:DNL655391 DXH655326:DXH655391 EHD655326:EHD655391 EQZ655326:EQZ655391 FAV655326:FAV655391 FKR655326:FKR655391 FUN655326:FUN655391 GEJ655326:GEJ655391 GOF655326:GOF655391 GYB655326:GYB655391 HHX655326:HHX655391 HRT655326:HRT655391 IBP655326:IBP655391 ILL655326:ILL655391 IVH655326:IVH655391 JFD655326:JFD655391 JOZ655326:JOZ655391 JYV655326:JYV655391 KIR655326:KIR655391 KSN655326:KSN655391 LCJ655326:LCJ655391 LMF655326:LMF655391 LWB655326:LWB655391 MFX655326:MFX655391 MPT655326:MPT655391 MZP655326:MZP655391 NJL655326:NJL655391 NTH655326:NTH655391 ODD655326:ODD655391 OMZ655326:OMZ655391 OWV655326:OWV655391 PGR655326:PGR655391 PQN655326:PQN655391 QAJ655326:QAJ655391 QKF655326:QKF655391 QUB655326:QUB655391 RDX655326:RDX655391 RNT655326:RNT655391 RXP655326:RXP655391 SHL655326:SHL655391 SRH655326:SRH655391 TBD655326:TBD655391 TKZ655326:TKZ655391 TUV655326:TUV655391 UER655326:UER655391 UON655326:UON655391 UYJ655326:UYJ655391 VIF655326:VIF655391 VSB655326:VSB655391 WBX655326:WBX655391 WLT655326:WLT655391 WVP655326:WVP655391 H720862:H720927 JD720862:JD720927 SZ720862:SZ720927 ACV720862:ACV720927 AMR720862:AMR720927 AWN720862:AWN720927 BGJ720862:BGJ720927 BQF720862:BQF720927 CAB720862:CAB720927 CJX720862:CJX720927 CTT720862:CTT720927 DDP720862:DDP720927 DNL720862:DNL720927 DXH720862:DXH720927 EHD720862:EHD720927 EQZ720862:EQZ720927 FAV720862:FAV720927 FKR720862:FKR720927 FUN720862:FUN720927 GEJ720862:GEJ720927 GOF720862:GOF720927 GYB720862:GYB720927 HHX720862:HHX720927 HRT720862:HRT720927 IBP720862:IBP720927 ILL720862:ILL720927 IVH720862:IVH720927 JFD720862:JFD720927 JOZ720862:JOZ720927 JYV720862:JYV720927 KIR720862:KIR720927 KSN720862:KSN720927 LCJ720862:LCJ720927 LMF720862:LMF720927 LWB720862:LWB720927 MFX720862:MFX720927 MPT720862:MPT720927 MZP720862:MZP720927 NJL720862:NJL720927 NTH720862:NTH720927 ODD720862:ODD720927 OMZ720862:OMZ720927 OWV720862:OWV720927 PGR720862:PGR720927 PQN720862:PQN720927 QAJ720862:QAJ720927 QKF720862:QKF720927 QUB720862:QUB720927 RDX720862:RDX720927 RNT720862:RNT720927 RXP720862:RXP720927 SHL720862:SHL720927 SRH720862:SRH720927 TBD720862:TBD720927 TKZ720862:TKZ720927 TUV720862:TUV720927 UER720862:UER720927 UON720862:UON720927 UYJ720862:UYJ720927 VIF720862:VIF720927 VSB720862:VSB720927 WBX720862:WBX720927 WLT720862:WLT720927 WVP720862:WVP720927 H786398:H786463 JD786398:JD786463 SZ786398:SZ786463 ACV786398:ACV786463 AMR786398:AMR786463 AWN786398:AWN786463 BGJ786398:BGJ786463 BQF786398:BQF786463 CAB786398:CAB786463 CJX786398:CJX786463 CTT786398:CTT786463 DDP786398:DDP786463 DNL786398:DNL786463 DXH786398:DXH786463 EHD786398:EHD786463 EQZ786398:EQZ786463 FAV786398:FAV786463 FKR786398:FKR786463 FUN786398:FUN786463 GEJ786398:GEJ786463 GOF786398:GOF786463 GYB786398:GYB786463 HHX786398:HHX786463 HRT786398:HRT786463 IBP786398:IBP786463 ILL786398:ILL786463 IVH786398:IVH786463 JFD786398:JFD786463 JOZ786398:JOZ786463 JYV786398:JYV786463 KIR786398:KIR786463 KSN786398:KSN786463 LCJ786398:LCJ786463 LMF786398:LMF786463 LWB786398:LWB786463 MFX786398:MFX786463 MPT786398:MPT786463 MZP786398:MZP786463 NJL786398:NJL786463 NTH786398:NTH786463 ODD786398:ODD786463 OMZ786398:OMZ786463 OWV786398:OWV786463 PGR786398:PGR786463 PQN786398:PQN786463 QAJ786398:QAJ786463 QKF786398:QKF786463 QUB786398:QUB786463 RDX786398:RDX786463 RNT786398:RNT786463 RXP786398:RXP786463 SHL786398:SHL786463 SRH786398:SRH786463 TBD786398:TBD786463 TKZ786398:TKZ786463 TUV786398:TUV786463 UER786398:UER786463 UON786398:UON786463 UYJ786398:UYJ786463 VIF786398:VIF786463 VSB786398:VSB786463 WBX786398:WBX786463 WLT786398:WLT786463 WVP786398:WVP786463 H851934:H851999 JD851934:JD851999 SZ851934:SZ851999 ACV851934:ACV851999 AMR851934:AMR851999 AWN851934:AWN851999 BGJ851934:BGJ851999 BQF851934:BQF851999 CAB851934:CAB851999 CJX851934:CJX851999 CTT851934:CTT851999 DDP851934:DDP851999 DNL851934:DNL851999 DXH851934:DXH851999 EHD851934:EHD851999 EQZ851934:EQZ851999 FAV851934:FAV851999 FKR851934:FKR851999 FUN851934:FUN851999 GEJ851934:GEJ851999 GOF851934:GOF851999 GYB851934:GYB851999 HHX851934:HHX851999 HRT851934:HRT851999 IBP851934:IBP851999 ILL851934:ILL851999 IVH851934:IVH851999 JFD851934:JFD851999 JOZ851934:JOZ851999 JYV851934:JYV851999 KIR851934:KIR851999 KSN851934:KSN851999 LCJ851934:LCJ851999 LMF851934:LMF851999 LWB851934:LWB851999 MFX851934:MFX851999 MPT851934:MPT851999 MZP851934:MZP851999 NJL851934:NJL851999 NTH851934:NTH851999 ODD851934:ODD851999 OMZ851934:OMZ851999 OWV851934:OWV851999 PGR851934:PGR851999 PQN851934:PQN851999 QAJ851934:QAJ851999 QKF851934:QKF851999 QUB851934:QUB851999 RDX851934:RDX851999 RNT851934:RNT851999 RXP851934:RXP851999 SHL851934:SHL851999 SRH851934:SRH851999 TBD851934:TBD851999 TKZ851934:TKZ851999 TUV851934:TUV851999 UER851934:UER851999 UON851934:UON851999 UYJ851934:UYJ851999 VIF851934:VIF851999 VSB851934:VSB851999 WBX851934:WBX851999 WLT851934:WLT851999 WVP851934:WVP851999 H917470:H917535 JD917470:JD917535 SZ917470:SZ917535 ACV917470:ACV917535 AMR917470:AMR917535 AWN917470:AWN917535 BGJ917470:BGJ917535 BQF917470:BQF917535 CAB917470:CAB917535 CJX917470:CJX917535 CTT917470:CTT917535 DDP917470:DDP917535 DNL917470:DNL917535 DXH917470:DXH917535 EHD917470:EHD917535 EQZ917470:EQZ917535 FAV917470:FAV917535 FKR917470:FKR917535 FUN917470:FUN917535 GEJ917470:GEJ917535 GOF917470:GOF917535 GYB917470:GYB917535 HHX917470:HHX917535 HRT917470:HRT917535 IBP917470:IBP917535 ILL917470:ILL917535 IVH917470:IVH917535 JFD917470:JFD917535 JOZ917470:JOZ917535 JYV917470:JYV917535 KIR917470:KIR917535 KSN917470:KSN917535 LCJ917470:LCJ917535 LMF917470:LMF917535 LWB917470:LWB917535 MFX917470:MFX917535 MPT917470:MPT917535 MZP917470:MZP917535 NJL917470:NJL917535 NTH917470:NTH917535 ODD917470:ODD917535 OMZ917470:OMZ917535 OWV917470:OWV917535 PGR917470:PGR917535 PQN917470:PQN917535 QAJ917470:QAJ917535 QKF917470:QKF917535 QUB917470:QUB917535 RDX917470:RDX917535 RNT917470:RNT917535 RXP917470:RXP917535 SHL917470:SHL917535 SRH917470:SRH917535 TBD917470:TBD917535 TKZ917470:TKZ917535 TUV917470:TUV917535 UER917470:UER917535 UON917470:UON917535 UYJ917470:UYJ917535 VIF917470:VIF917535 VSB917470:VSB917535 WBX917470:WBX917535 WLT917470:WLT917535 WVP917470:WVP917535 H983006:H983071 JD983006:JD983071 SZ983006:SZ983071 ACV983006:ACV983071 AMR983006:AMR983071 AWN983006:AWN983071 BGJ983006:BGJ983071 BQF983006:BQF983071 CAB983006:CAB983071 CJX983006:CJX983071 CTT983006:CTT983071 DDP983006:DDP983071 DNL983006:DNL983071 DXH983006:DXH983071 EHD983006:EHD983071 EQZ983006:EQZ983071 FAV983006:FAV983071 FKR983006:FKR983071 FUN983006:FUN983071 GEJ983006:GEJ983071 GOF983006:GOF983071 GYB983006:GYB983071 HHX983006:HHX983071 HRT983006:HRT983071 IBP983006:IBP983071 ILL983006:ILL983071 IVH983006:IVH983071 JFD983006:JFD983071 JOZ983006:JOZ983071 JYV983006:JYV983071 KIR983006:KIR983071 KSN983006:KSN983071 LCJ983006:LCJ983071 LMF983006:LMF983071 LWB983006:LWB983071 MFX983006:MFX983071 MPT983006:MPT983071 MZP983006:MZP983071 NJL983006:NJL983071 NTH983006:NTH983071 ODD983006:ODD983071 OMZ983006:OMZ983071 OWV983006:OWV983071 PGR983006:PGR983071 PQN983006:PQN983071 QAJ983006:QAJ983071 QKF983006:QKF983071 QUB983006:QUB983071 RDX983006:RDX983071 RNT983006:RNT983071 RXP983006:RXP983071 SHL983006:SHL983071 SRH983006:SRH983071 TBD983006:TBD983071 TKZ983006:TKZ983071 TUV983006:TUV983071 UER983006:UER983071 UON983006:UON983071 UYJ983006:UYJ983071 VIF983006:VIF983071 VSB983006:VSB983071 WBX983006:WBX983071 WLT983006:WLT983071 WVP2:WVP51 JD2:JD51 SZ2:SZ51 ACV2:ACV51 AMR2:AMR51 AWN2:AWN51 BGJ2:BGJ51 BQF2:BQF51 CAB2:CAB51 CJX2:CJX51 CTT2:CTT51 DDP2:DDP51 DNL2:DNL51 DXH2:DXH51 EHD2:EHD51 EQZ2:EQZ51 FAV2:FAV51 FKR2:FKR51 FUN2:FUN51 GEJ2:GEJ51 GOF2:GOF51 GYB2:GYB51 HHX2:HHX51 HRT2:HRT51 IBP2:IBP51 ILL2:ILL51 IVH2:IVH51 JFD2:JFD51 JOZ2:JOZ51 JYV2:JYV51 KIR2:KIR51 KSN2:KSN51 LCJ2:LCJ51 LMF2:LMF51 LWB2:LWB51 MFX2:MFX51 MPT2:MPT51 MZP2:MZP51 NJL2:NJL51 NTH2:NTH51 ODD2:ODD51 OMZ2:OMZ51 OWV2:OWV51 PGR2:PGR51 PQN2:PQN51 QAJ2:QAJ51 QKF2:QKF51 QUB2:QUB51 RDX2:RDX51 RNT2:RNT51 RXP2:RXP51 SHL2:SHL51 SRH2:SRH51 TBD2:TBD51 TKZ2:TKZ51 TUV2:TUV51 UER2:UER51 UON2:UON51 UYJ2:UYJ51 VIF2:VIF51 VSB2:VSB51 WBX2:WBX51 WLT2:WLT51" xr:uid="{C14334B7-CD4D-4B74-8E89-DF7E0283A3D6}">
      <formula1>$AL$4:$AL$12</formula1>
    </dataValidation>
    <dataValidation type="list" allowBlank="1" showInputMessage="1" showErrorMessage="1" sqref="A64327:A64392 IW64327:IW64392 SS64327:SS64392 ACO64327:ACO64392 AMK64327:AMK64392 AWG64327:AWG64392 BGC64327:BGC64392 BPY64327:BPY64392 BZU64327:BZU64392 CJQ64327:CJQ64392 CTM64327:CTM64392 DDI64327:DDI64392 DNE64327:DNE64392 DXA64327:DXA64392 EGW64327:EGW64392 EQS64327:EQS64392 FAO64327:FAO64392 FKK64327:FKK64392 FUG64327:FUG64392 GEC64327:GEC64392 GNY64327:GNY64392 GXU64327:GXU64392 HHQ64327:HHQ64392 HRM64327:HRM64392 IBI64327:IBI64392 ILE64327:ILE64392 IVA64327:IVA64392 JEW64327:JEW64392 JOS64327:JOS64392 JYO64327:JYO64392 KIK64327:KIK64392 KSG64327:KSG64392 LCC64327:LCC64392 LLY64327:LLY64392 LVU64327:LVU64392 MFQ64327:MFQ64392 MPM64327:MPM64392 MZI64327:MZI64392 NJE64327:NJE64392 NTA64327:NTA64392 OCW64327:OCW64392 OMS64327:OMS64392 OWO64327:OWO64392 PGK64327:PGK64392 PQG64327:PQG64392 QAC64327:QAC64392 QJY64327:QJY64392 QTU64327:QTU64392 RDQ64327:RDQ64392 RNM64327:RNM64392 RXI64327:RXI64392 SHE64327:SHE64392 SRA64327:SRA64392 TAW64327:TAW64392 TKS64327:TKS64392 TUO64327:TUO64392 UEK64327:UEK64392 UOG64327:UOG64392 UYC64327:UYC64392 VHY64327:VHY64392 VRU64327:VRU64392 WBQ64327:WBQ64392 WLM64327:WLM64392 WVI64327:WVI64392 A129863:A129928 IW129863:IW129928 SS129863:SS129928 ACO129863:ACO129928 AMK129863:AMK129928 AWG129863:AWG129928 BGC129863:BGC129928 BPY129863:BPY129928 BZU129863:BZU129928 CJQ129863:CJQ129928 CTM129863:CTM129928 DDI129863:DDI129928 DNE129863:DNE129928 DXA129863:DXA129928 EGW129863:EGW129928 EQS129863:EQS129928 FAO129863:FAO129928 FKK129863:FKK129928 FUG129863:FUG129928 GEC129863:GEC129928 GNY129863:GNY129928 GXU129863:GXU129928 HHQ129863:HHQ129928 HRM129863:HRM129928 IBI129863:IBI129928 ILE129863:ILE129928 IVA129863:IVA129928 JEW129863:JEW129928 JOS129863:JOS129928 JYO129863:JYO129928 KIK129863:KIK129928 KSG129863:KSG129928 LCC129863:LCC129928 LLY129863:LLY129928 LVU129863:LVU129928 MFQ129863:MFQ129928 MPM129863:MPM129928 MZI129863:MZI129928 NJE129863:NJE129928 NTA129863:NTA129928 OCW129863:OCW129928 OMS129863:OMS129928 OWO129863:OWO129928 PGK129863:PGK129928 PQG129863:PQG129928 QAC129863:QAC129928 QJY129863:QJY129928 QTU129863:QTU129928 RDQ129863:RDQ129928 RNM129863:RNM129928 RXI129863:RXI129928 SHE129863:SHE129928 SRA129863:SRA129928 TAW129863:TAW129928 TKS129863:TKS129928 TUO129863:TUO129928 UEK129863:UEK129928 UOG129863:UOG129928 UYC129863:UYC129928 VHY129863:VHY129928 VRU129863:VRU129928 WBQ129863:WBQ129928 WLM129863:WLM129928 WVI129863:WVI129928 A195399:A195464 IW195399:IW195464 SS195399:SS195464 ACO195399:ACO195464 AMK195399:AMK195464 AWG195399:AWG195464 BGC195399:BGC195464 BPY195399:BPY195464 BZU195399:BZU195464 CJQ195399:CJQ195464 CTM195399:CTM195464 DDI195399:DDI195464 DNE195399:DNE195464 DXA195399:DXA195464 EGW195399:EGW195464 EQS195399:EQS195464 FAO195399:FAO195464 FKK195399:FKK195464 FUG195399:FUG195464 GEC195399:GEC195464 GNY195399:GNY195464 GXU195399:GXU195464 HHQ195399:HHQ195464 HRM195399:HRM195464 IBI195399:IBI195464 ILE195399:ILE195464 IVA195399:IVA195464 JEW195399:JEW195464 JOS195399:JOS195464 JYO195399:JYO195464 KIK195399:KIK195464 KSG195399:KSG195464 LCC195399:LCC195464 LLY195399:LLY195464 LVU195399:LVU195464 MFQ195399:MFQ195464 MPM195399:MPM195464 MZI195399:MZI195464 NJE195399:NJE195464 NTA195399:NTA195464 OCW195399:OCW195464 OMS195399:OMS195464 OWO195399:OWO195464 PGK195399:PGK195464 PQG195399:PQG195464 QAC195399:QAC195464 QJY195399:QJY195464 QTU195399:QTU195464 RDQ195399:RDQ195464 RNM195399:RNM195464 RXI195399:RXI195464 SHE195399:SHE195464 SRA195399:SRA195464 TAW195399:TAW195464 TKS195399:TKS195464 TUO195399:TUO195464 UEK195399:UEK195464 UOG195399:UOG195464 UYC195399:UYC195464 VHY195399:VHY195464 VRU195399:VRU195464 WBQ195399:WBQ195464 WLM195399:WLM195464 WVI195399:WVI195464 A260935:A261000 IW260935:IW261000 SS260935:SS261000 ACO260935:ACO261000 AMK260935:AMK261000 AWG260935:AWG261000 BGC260935:BGC261000 BPY260935:BPY261000 BZU260935:BZU261000 CJQ260935:CJQ261000 CTM260935:CTM261000 DDI260935:DDI261000 DNE260935:DNE261000 DXA260935:DXA261000 EGW260935:EGW261000 EQS260935:EQS261000 FAO260935:FAO261000 FKK260935:FKK261000 FUG260935:FUG261000 GEC260935:GEC261000 GNY260935:GNY261000 GXU260935:GXU261000 HHQ260935:HHQ261000 HRM260935:HRM261000 IBI260935:IBI261000 ILE260935:ILE261000 IVA260935:IVA261000 JEW260935:JEW261000 JOS260935:JOS261000 JYO260935:JYO261000 KIK260935:KIK261000 KSG260935:KSG261000 LCC260935:LCC261000 LLY260935:LLY261000 LVU260935:LVU261000 MFQ260935:MFQ261000 MPM260935:MPM261000 MZI260935:MZI261000 NJE260935:NJE261000 NTA260935:NTA261000 OCW260935:OCW261000 OMS260935:OMS261000 OWO260935:OWO261000 PGK260935:PGK261000 PQG260935:PQG261000 QAC260935:QAC261000 QJY260935:QJY261000 QTU260935:QTU261000 RDQ260935:RDQ261000 RNM260935:RNM261000 RXI260935:RXI261000 SHE260935:SHE261000 SRA260935:SRA261000 TAW260935:TAW261000 TKS260935:TKS261000 TUO260935:TUO261000 UEK260935:UEK261000 UOG260935:UOG261000 UYC260935:UYC261000 VHY260935:VHY261000 VRU260935:VRU261000 WBQ260935:WBQ261000 WLM260935:WLM261000 WVI260935:WVI261000 A326471:A326536 IW326471:IW326536 SS326471:SS326536 ACO326471:ACO326536 AMK326471:AMK326536 AWG326471:AWG326536 BGC326471:BGC326536 BPY326471:BPY326536 BZU326471:BZU326536 CJQ326471:CJQ326536 CTM326471:CTM326536 DDI326471:DDI326536 DNE326471:DNE326536 DXA326471:DXA326536 EGW326471:EGW326536 EQS326471:EQS326536 FAO326471:FAO326536 FKK326471:FKK326536 FUG326471:FUG326536 GEC326471:GEC326536 GNY326471:GNY326536 GXU326471:GXU326536 HHQ326471:HHQ326536 HRM326471:HRM326536 IBI326471:IBI326536 ILE326471:ILE326536 IVA326471:IVA326536 JEW326471:JEW326536 JOS326471:JOS326536 JYO326471:JYO326536 KIK326471:KIK326536 KSG326471:KSG326536 LCC326471:LCC326536 LLY326471:LLY326536 LVU326471:LVU326536 MFQ326471:MFQ326536 MPM326471:MPM326536 MZI326471:MZI326536 NJE326471:NJE326536 NTA326471:NTA326536 OCW326471:OCW326536 OMS326471:OMS326536 OWO326471:OWO326536 PGK326471:PGK326536 PQG326471:PQG326536 QAC326471:QAC326536 QJY326471:QJY326536 QTU326471:QTU326536 RDQ326471:RDQ326536 RNM326471:RNM326536 RXI326471:RXI326536 SHE326471:SHE326536 SRA326471:SRA326536 TAW326471:TAW326536 TKS326471:TKS326536 TUO326471:TUO326536 UEK326471:UEK326536 UOG326471:UOG326536 UYC326471:UYC326536 VHY326471:VHY326536 VRU326471:VRU326536 WBQ326471:WBQ326536 WLM326471:WLM326536 WVI326471:WVI326536 A392007:A392072 IW392007:IW392072 SS392007:SS392072 ACO392007:ACO392072 AMK392007:AMK392072 AWG392007:AWG392072 BGC392007:BGC392072 BPY392007:BPY392072 BZU392007:BZU392072 CJQ392007:CJQ392072 CTM392007:CTM392072 DDI392007:DDI392072 DNE392007:DNE392072 DXA392007:DXA392072 EGW392007:EGW392072 EQS392007:EQS392072 FAO392007:FAO392072 FKK392007:FKK392072 FUG392007:FUG392072 GEC392007:GEC392072 GNY392007:GNY392072 GXU392007:GXU392072 HHQ392007:HHQ392072 HRM392007:HRM392072 IBI392007:IBI392072 ILE392007:ILE392072 IVA392007:IVA392072 JEW392007:JEW392072 JOS392007:JOS392072 JYO392007:JYO392072 KIK392007:KIK392072 KSG392007:KSG392072 LCC392007:LCC392072 LLY392007:LLY392072 LVU392007:LVU392072 MFQ392007:MFQ392072 MPM392007:MPM392072 MZI392007:MZI392072 NJE392007:NJE392072 NTA392007:NTA392072 OCW392007:OCW392072 OMS392007:OMS392072 OWO392007:OWO392072 PGK392007:PGK392072 PQG392007:PQG392072 QAC392007:QAC392072 QJY392007:QJY392072 QTU392007:QTU392072 RDQ392007:RDQ392072 RNM392007:RNM392072 RXI392007:RXI392072 SHE392007:SHE392072 SRA392007:SRA392072 TAW392007:TAW392072 TKS392007:TKS392072 TUO392007:TUO392072 UEK392007:UEK392072 UOG392007:UOG392072 UYC392007:UYC392072 VHY392007:VHY392072 VRU392007:VRU392072 WBQ392007:WBQ392072 WLM392007:WLM392072 WVI392007:WVI392072 A457543:A457608 IW457543:IW457608 SS457543:SS457608 ACO457543:ACO457608 AMK457543:AMK457608 AWG457543:AWG457608 BGC457543:BGC457608 BPY457543:BPY457608 BZU457543:BZU457608 CJQ457543:CJQ457608 CTM457543:CTM457608 DDI457543:DDI457608 DNE457543:DNE457608 DXA457543:DXA457608 EGW457543:EGW457608 EQS457543:EQS457608 FAO457543:FAO457608 FKK457543:FKK457608 FUG457543:FUG457608 GEC457543:GEC457608 GNY457543:GNY457608 GXU457543:GXU457608 HHQ457543:HHQ457608 HRM457543:HRM457608 IBI457543:IBI457608 ILE457543:ILE457608 IVA457543:IVA457608 JEW457543:JEW457608 JOS457543:JOS457608 JYO457543:JYO457608 KIK457543:KIK457608 KSG457543:KSG457608 LCC457543:LCC457608 LLY457543:LLY457608 LVU457543:LVU457608 MFQ457543:MFQ457608 MPM457543:MPM457608 MZI457543:MZI457608 NJE457543:NJE457608 NTA457543:NTA457608 OCW457543:OCW457608 OMS457543:OMS457608 OWO457543:OWO457608 PGK457543:PGK457608 PQG457543:PQG457608 QAC457543:QAC457608 QJY457543:QJY457608 QTU457543:QTU457608 RDQ457543:RDQ457608 RNM457543:RNM457608 RXI457543:RXI457608 SHE457543:SHE457608 SRA457543:SRA457608 TAW457543:TAW457608 TKS457543:TKS457608 TUO457543:TUO457608 UEK457543:UEK457608 UOG457543:UOG457608 UYC457543:UYC457608 VHY457543:VHY457608 VRU457543:VRU457608 WBQ457543:WBQ457608 WLM457543:WLM457608 WVI457543:WVI457608 A523079:A523144 IW523079:IW523144 SS523079:SS523144 ACO523079:ACO523144 AMK523079:AMK523144 AWG523079:AWG523144 BGC523079:BGC523144 BPY523079:BPY523144 BZU523079:BZU523144 CJQ523079:CJQ523144 CTM523079:CTM523144 DDI523079:DDI523144 DNE523079:DNE523144 DXA523079:DXA523144 EGW523079:EGW523144 EQS523079:EQS523144 FAO523079:FAO523144 FKK523079:FKK523144 FUG523079:FUG523144 GEC523079:GEC523144 GNY523079:GNY523144 GXU523079:GXU523144 HHQ523079:HHQ523144 HRM523079:HRM523144 IBI523079:IBI523144 ILE523079:ILE523144 IVA523079:IVA523144 JEW523079:JEW523144 JOS523079:JOS523144 JYO523079:JYO523144 KIK523079:KIK523144 KSG523079:KSG523144 LCC523079:LCC523144 LLY523079:LLY523144 LVU523079:LVU523144 MFQ523079:MFQ523144 MPM523079:MPM523144 MZI523079:MZI523144 NJE523079:NJE523144 NTA523079:NTA523144 OCW523079:OCW523144 OMS523079:OMS523144 OWO523079:OWO523144 PGK523079:PGK523144 PQG523079:PQG523144 QAC523079:QAC523144 QJY523079:QJY523144 QTU523079:QTU523144 RDQ523079:RDQ523144 RNM523079:RNM523144 RXI523079:RXI523144 SHE523079:SHE523144 SRA523079:SRA523144 TAW523079:TAW523144 TKS523079:TKS523144 TUO523079:TUO523144 UEK523079:UEK523144 UOG523079:UOG523144 UYC523079:UYC523144 VHY523079:VHY523144 VRU523079:VRU523144 WBQ523079:WBQ523144 WLM523079:WLM523144 WVI523079:WVI523144 A588615:A588680 IW588615:IW588680 SS588615:SS588680 ACO588615:ACO588680 AMK588615:AMK588680 AWG588615:AWG588680 BGC588615:BGC588680 BPY588615:BPY588680 BZU588615:BZU588680 CJQ588615:CJQ588680 CTM588615:CTM588680 DDI588615:DDI588680 DNE588615:DNE588680 DXA588615:DXA588680 EGW588615:EGW588680 EQS588615:EQS588680 FAO588615:FAO588680 FKK588615:FKK588680 FUG588615:FUG588680 GEC588615:GEC588680 GNY588615:GNY588680 GXU588615:GXU588680 HHQ588615:HHQ588680 HRM588615:HRM588680 IBI588615:IBI588680 ILE588615:ILE588680 IVA588615:IVA588680 JEW588615:JEW588680 JOS588615:JOS588680 JYO588615:JYO588680 KIK588615:KIK588680 KSG588615:KSG588680 LCC588615:LCC588680 LLY588615:LLY588680 LVU588615:LVU588680 MFQ588615:MFQ588680 MPM588615:MPM588680 MZI588615:MZI588680 NJE588615:NJE588680 NTA588615:NTA588680 OCW588615:OCW588680 OMS588615:OMS588680 OWO588615:OWO588680 PGK588615:PGK588680 PQG588615:PQG588680 QAC588615:QAC588680 QJY588615:QJY588680 QTU588615:QTU588680 RDQ588615:RDQ588680 RNM588615:RNM588680 RXI588615:RXI588680 SHE588615:SHE588680 SRA588615:SRA588680 TAW588615:TAW588680 TKS588615:TKS588680 TUO588615:TUO588680 UEK588615:UEK588680 UOG588615:UOG588680 UYC588615:UYC588680 VHY588615:VHY588680 VRU588615:VRU588680 WBQ588615:WBQ588680 WLM588615:WLM588680 WVI588615:WVI588680 A654151:A654216 IW654151:IW654216 SS654151:SS654216 ACO654151:ACO654216 AMK654151:AMK654216 AWG654151:AWG654216 BGC654151:BGC654216 BPY654151:BPY654216 BZU654151:BZU654216 CJQ654151:CJQ654216 CTM654151:CTM654216 DDI654151:DDI654216 DNE654151:DNE654216 DXA654151:DXA654216 EGW654151:EGW654216 EQS654151:EQS654216 FAO654151:FAO654216 FKK654151:FKK654216 FUG654151:FUG654216 GEC654151:GEC654216 GNY654151:GNY654216 GXU654151:GXU654216 HHQ654151:HHQ654216 HRM654151:HRM654216 IBI654151:IBI654216 ILE654151:ILE654216 IVA654151:IVA654216 JEW654151:JEW654216 JOS654151:JOS654216 JYO654151:JYO654216 KIK654151:KIK654216 KSG654151:KSG654216 LCC654151:LCC654216 LLY654151:LLY654216 LVU654151:LVU654216 MFQ654151:MFQ654216 MPM654151:MPM654216 MZI654151:MZI654216 NJE654151:NJE654216 NTA654151:NTA654216 OCW654151:OCW654216 OMS654151:OMS654216 OWO654151:OWO654216 PGK654151:PGK654216 PQG654151:PQG654216 QAC654151:QAC654216 QJY654151:QJY654216 QTU654151:QTU654216 RDQ654151:RDQ654216 RNM654151:RNM654216 RXI654151:RXI654216 SHE654151:SHE654216 SRA654151:SRA654216 TAW654151:TAW654216 TKS654151:TKS654216 TUO654151:TUO654216 UEK654151:UEK654216 UOG654151:UOG654216 UYC654151:UYC654216 VHY654151:VHY654216 VRU654151:VRU654216 WBQ654151:WBQ654216 WLM654151:WLM654216 WVI654151:WVI654216 A719687:A719752 IW719687:IW719752 SS719687:SS719752 ACO719687:ACO719752 AMK719687:AMK719752 AWG719687:AWG719752 BGC719687:BGC719752 BPY719687:BPY719752 BZU719687:BZU719752 CJQ719687:CJQ719752 CTM719687:CTM719752 DDI719687:DDI719752 DNE719687:DNE719752 DXA719687:DXA719752 EGW719687:EGW719752 EQS719687:EQS719752 FAO719687:FAO719752 FKK719687:FKK719752 FUG719687:FUG719752 GEC719687:GEC719752 GNY719687:GNY719752 GXU719687:GXU719752 HHQ719687:HHQ719752 HRM719687:HRM719752 IBI719687:IBI719752 ILE719687:ILE719752 IVA719687:IVA719752 JEW719687:JEW719752 JOS719687:JOS719752 JYO719687:JYO719752 KIK719687:KIK719752 KSG719687:KSG719752 LCC719687:LCC719752 LLY719687:LLY719752 LVU719687:LVU719752 MFQ719687:MFQ719752 MPM719687:MPM719752 MZI719687:MZI719752 NJE719687:NJE719752 NTA719687:NTA719752 OCW719687:OCW719752 OMS719687:OMS719752 OWO719687:OWO719752 PGK719687:PGK719752 PQG719687:PQG719752 QAC719687:QAC719752 QJY719687:QJY719752 QTU719687:QTU719752 RDQ719687:RDQ719752 RNM719687:RNM719752 RXI719687:RXI719752 SHE719687:SHE719752 SRA719687:SRA719752 TAW719687:TAW719752 TKS719687:TKS719752 TUO719687:TUO719752 UEK719687:UEK719752 UOG719687:UOG719752 UYC719687:UYC719752 VHY719687:VHY719752 VRU719687:VRU719752 WBQ719687:WBQ719752 WLM719687:WLM719752 WVI719687:WVI719752 A785223:A785288 IW785223:IW785288 SS785223:SS785288 ACO785223:ACO785288 AMK785223:AMK785288 AWG785223:AWG785288 BGC785223:BGC785288 BPY785223:BPY785288 BZU785223:BZU785288 CJQ785223:CJQ785288 CTM785223:CTM785288 DDI785223:DDI785288 DNE785223:DNE785288 DXA785223:DXA785288 EGW785223:EGW785288 EQS785223:EQS785288 FAO785223:FAO785288 FKK785223:FKK785288 FUG785223:FUG785288 GEC785223:GEC785288 GNY785223:GNY785288 GXU785223:GXU785288 HHQ785223:HHQ785288 HRM785223:HRM785288 IBI785223:IBI785288 ILE785223:ILE785288 IVA785223:IVA785288 JEW785223:JEW785288 JOS785223:JOS785288 JYO785223:JYO785288 KIK785223:KIK785288 KSG785223:KSG785288 LCC785223:LCC785288 LLY785223:LLY785288 LVU785223:LVU785288 MFQ785223:MFQ785288 MPM785223:MPM785288 MZI785223:MZI785288 NJE785223:NJE785288 NTA785223:NTA785288 OCW785223:OCW785288 OMS785223:OMS785288 OWO785223:OWO785288 PGK785223:PGK785288 PQG785223:PQG785288 QAC785223:QAC785288 QJY785223:QJY785288 QTU785223:QTU785288 RDQ785223:RDQ785288 RNM785223:RNM785288 RXI785223:RXI785288 SHE785223:SHE785288 SRA785223:SRA785288 TAW785223:TAW785288 TKS785223:TKS785288 TUO785223:TUO785288 UEK785223:UEK785288 UOG785223:UOG785288 UYC785223:UYC785288 VHY785223:VHY785288 VRU785223:VRU785288 WBQ785223:WBQ785288 WLM785223:WLM785288 WVI785223:WVI785288 A850759:A850824 IW850759:IW850824 SS850759:SS850824 ACO850759:ACO850824 AMK850759:AMK850824 AWG850759:AWG850824 BGC850759:BGC850824 BPY850759:BPY850824 BZU850759:BZU850824 CJQ850759:CJQ850824 CTM850759:CTM850824 DDI850759:DDI850824 DNE850759:DNE850824 DXA850759:DXA850824 EGW850759:EGW850824 EQS850759:EQS850824 FAO850759:FAO850824 FKK850759:FKK850824 FUG850759:FUG850824 GEC850759:GEC850824 GNY850759:GNY850824 GXU850759:GXU850824 HHQ850759:HHQ850824 HRM850759:HRM850824 IBI850759:IBI850824 ILE850759:ILE850824 IVA850759:IVA850824 JEW850759:JEW850824 JOS850759:JOS850824 JYO850759:JYO850824 KIK850759:KIK850824 KSG850759:KSG850824 LCC850759:LCC850824 LLY850759:LLY850824 LVU850759:LVU850824 MFQ850759:MFQ850824 MPM850759:MPM850824 MZI850759:MZI850824 NJE850759:NJE850824 NTA850759:NTA850824 OCW850759:OCW850824 OMS850759:OMS850824 OWO850759:OWO850824 PGK850759:PGK850824 PQG850759:PQG850824 QAC850759:QAC850824 QJY850759:QJY850824 QTU850759:QTU850824 RDQ850759:RDQ850824 RNM850759:RNM850824 RXI850759:RXI850824 SHE850759:SHE850824 SRA850759:SRA850824 TAW850759:TAW850824 TKS850759:TKS850824 TUO850759:TUO850824 UEK850759:UEK850824 UOG850759:UOG850824 UYC850759:UYC850824 VHY850759:VHY850824 VRU850759:VRU850824 WBQ850759:WBQ850824 WLM850759:WLM850824 WVI850759:WVI850824 A916295:A916360 IW916295:IW916360 SS916295:SS916360 ACO916295:ACO916360 AMK916295:AMK916360 AWG916295:AWG916360 BGC916295:BGC916360 BPY916295:BPY916360 BZU916295:BZU916360 CJQ916295:CJQ916360 CTM916295:CTM916360 DDI916295:DDI916360 DNE916295:DNE916360 DXA916295:DXA916360 EGW916295:EGW916360 EQS916295:EQS916360 FAO916295:FAO916360 FKK916295:FKK916360 FUG916295:FUG916360 GEC916295:GEC916360 GNY916295:GNY916360 GXU916295:GXU916360 HHQ916295:HHQ916360 HRM916295:HRM916360 IBI916295:IBI916360 ILE916295:ILE916360 IVA916295:IVA916360 JEW916295:JEW916360 JOS916295:JOS916360 JYO916295:JYO916360 KIK916295:KIK916360 KSG916295:KSG916360 LCC916295:LCC916360 LLY916295:LLY916360 LVU916295:LVU916360 MFQ916295:MFQ916360 MPM916295:MPM916360 MZI916295:MZI916360 NJE916295:NJE916360 NTA916295:NTA916360 OCW916295:OCW916360 OMS916295:OMS916360 OWO916295:OWO916360 PGK916295:PGK916360 PQG916295:PQG916360 QAC916295:QAC916360 QJY916295:QJY916360 QTU916295:QTU916360 RDQ916295:RDQ916360 RNM916295:RNM916360 RXI916295:RXI916360 SHE916295:SHE916360 SRA916295:SRA916360 TAW916295:TAW916360 TKS916295:TKS916360 TUO916295:TUO916360 UEK916295:UEK916360 UOG916295:UOG916360 UYC916295:UYC916360 VHY916295:VHY916360 VRU916295:VRU916360 WBQ916295:WBQ916360 WLM916295:WLM916360 WVI916295:WVI916360 A981831:A981896 IW981831:IW981896 SS981831:SS981896 ACO981831:ACO981896 AMK981831:AMK981896 AWG981831:AWG981896 BGC981831:BGC981896 BPY981831:BPY981896 BZU981831:BZU981896 CJQ981831:CJQ981896 CTM981831:CTM981896 DDI981831:DDI981896 DNE981831:DNE981896 DXA981831:DXA981896 EGW981831:EGW981896 EQS981831:EQS981896 FAO981831:FAO981896 FKK981831:FKK981896 FUG981831:FUG981896 GEC981831:GEC981896 GNY981831:GNY981896 GXU981831:GXU981896 HHQ981831:HHQ981896 HRM981831:HRM981896 IBI981831:IBI981896 ILE981831:ILE981896 IVA981831:IVA981896 JEW981831:JEW981896 JOS981831:JOS981896 JYO981831:JYO981896 KIK981831:KIK981896 KSG981831:KSG981896 LCC981831:LCC981896 LLY981831:LLY981896 LVU981831:LVU981896 MFQ981831:MFQ981896 MPM981831:MPM981896 MZI981831:MZI981896 NJE981831:NJE981896 NTA981831:NTA981896 OCW981831:OCW981896 OMS981831:OMS981896 OWO981831:OWO981896 PGK981831:PGK981896 PQG981831:PQG981896 QAC981831:QAC981896 QJY981831:QJY981896 QTU981831:QTU981896 RDQ981831:RDQ981896 RNM981831:RNM981896 RXI981831:RXI981896 SHE981831:SHE981896 SRA981831:SRA981896 TAW981831:TAW981896 TKS981831:TKS981896 TUO981831:TUO981896 UEK981831:UEK981896 UOG981831:UOG981896 UYC981831:UYC981896 VHY981831:VHY981896 VRU981831:VRU981896 WBQ981831:WBQ981896 WLM981831:WLM981896 WVI981831:WVI981896 A1047367:A1047432 IW1047367:IW1047432 SS1047367:SS1047432 ACO1047367:ACO1047432 AMK1047367:AMK1047432 AWG1047367:AWG1047432 BGC1047367:BGC1047432 BPY1047367:BPY1047432 BZU1047367:BZU1047432 CJQ1047367:CJQ1047432 CTM1047367:CTM1047432 DDI1047367:DDI1047432 DNE1047367:DNE1047432 DXA1047367:DXA1047432 EGW1047367:EGW1047432 EQS1047367:EQS1047432 FAO1047367:FAO1047432 FKK1047367:FKK1047432 FUG1047367:FUG1047432 GEC1047367:GEC1047432 GNY1047367:GNY1047432 GXU1047367:GXU1047432 HHQ1047367:HHQ1047432 HRM1047367:HRM1047432 IBI1047367:IBI1047432 ILE1047367:ILE1047432 IVA1047367:IVA1047432 JEW1047367:JEW1047432 JOS1047367:JOS1047432 JYO1047367:JYO1047432 KIK1047367:KIK1047432 KSG1047367:KSG1047432 LCC1047367:LCC1047432 LLY1047367:LLY1047432 LVU1047367:LVU1047432 MFQ1047367:MFQ1047432 MPM1047367:MPM1047432 MZI1047367:MZI1047432 NJE1047367:NJE1047432 NTA1047367:NTA1047432 OCW1047367:OCW1047432 OMS1047367:OMS1047432 OWO1047367:OWO1047432 PGK1047367:PGK1047432 PQG1047367:PQG1047432 QAC1047367:QAC1047432 QJY1047367:QJY1047432 QTU1047367:QTU1047432 RDQ1047367:RDQ1047432 RNM1047367:RNM1047432 RXI1047367:RXI1047432 SHE1047367:SHE1047432 SRA1047367:SRA1047432 TAW1047367:TAW1047432 TKS1047367:TKS1047432 TUO1047367:TUO1047432 UEK1047367:UEK1047432 UOG1047367:UOG1047432 UYC1047367:UYC1047432 VHY1047367:VHY1047432 VRU1047367:VRU1047432 WBQ1047367:WBQ1047432 WLM1047367:WLM1047432 WVI1047367:WVI1047432 WVI983006:WVI983077 A65502:A65573 IW65502:IW65573 SS65502:SS65573 ACO65502:ACO65573 AMK65502:AMK65573 AWG65502:AWG65573 BGC65502:BGC65573 BPY65502:BPY65573 BZU65502:BZU65573 CJQ65502:CJQ65573 CTM65502:CTM65573 DDI65502:DDI65573 DNE65502:DNE65573 DXA65502:DXA65573 EGW65502:EGW65573 EQS65502:EQS65573 FAO65502:FAO65573 FKK65502:FKK65573 FUG65502:FUG65573 GEC65502:GEC65573 GNY65502:GNY65573 GXU65502:GXU65573 HHQ65502:HHQ65573 HRM65502:HRM65573 IBI65502:IBI65573 ILE65502:ILE65573 IVA65502:IVA65573 JEW65502:JEW65573 JOS65502:JOS65573 JYO65502:JYO65573 KIK65502:KIK65573 KSG65502:KSG65573 LCC65502:LCC65573 LLY65502:LLY65573 LVU65502:LVU65573 MFQ65502:MFQ65573 MPM65502:MPM65573 MZI65502:MZI65573 NJE65502:NJE65573 NTA65502:NTA65573 OCW65502:OCW65573 OMS65502:OMS65573 OWO65502:OWO65573 PGK65502:PGK65573 PQG65502:PQG65573 QAC65502:QAC65573 QJY65502:QJY65573 QTU65502:QTU65573 RDQ65502:RDQ65573 RNM65502:RNM65573 RXI65502:RXI65573 SHE65502:SHE65573 SRA65502:SRA65573 TAW65502:TAW65573 TKS65502:TKS65573 TUO65502:TUO65573 UEK65502:UEK65573 UOG65502:UOG65573 UYC65502:UYC65573 VHY65502:VHY65573 VRU65502:VRU65573 WBQ65502:WBQ65573 WLM65502:WLM65573 WVI65502:WVI65573 A131038:A131109 IW131038:IW131109 SS131038:SS131109 ACO131038:ACO131109 AMK131038:AMK131109 AWG131038:AWG131109 BGC131038:BGC131109 BPY131038:BPY131109 BZU131038:BZU131109 CJQ131038:CJQ131109 CTM131038:CTM131109 DDI131038:DDI131109 DNE131038:DNE131109 DXA131038:DXA131109 EGW131038:EGW131109 EQS131038:EQS131109 FAO131038:FAO131109 FKK131038:FKK131109 FUG131038:FUG131109 GEC131038:GEC131109 GNY131038:GNY131109 GXU131038:GXU131109 HHQ131038:HHQ131109 HRM131038:HRM131109 IBI131038:IBI131109 ILE131038:ILE131109 IVA131038:IVA131109 JEW131038:JEW131109 JOS131038:JOS131109 JYO131038:JYO131109 KIK131038:KIK131109 KSG131038:KSG131109 LCC131038:LCC131109 LLY131038:LLY131109 LVU131038:LVU131109 MFQ131038:MFQ131109 MPM131038:MPM131109 MZI131038:MZI131109 NJE131038:NJE131109 NTA131038:NTA131109 OCW131038:OCW131109 OMS131038:OMS131109 OWO131038:OWO131109 PGK131038:PGK131109 PQG131038:PQG131109 QAC131038:QAC131109 QJY131038:QJY131109 QTU131038:QTU131109 RDQ131038:RDQ131109 RNM131038:RNM131109 RXI131038:RXI131109 SHE131038:SHE131109 SRA131038:SRA131109 TAW131038:TAW131109 TKS131038:TKS131109 TUO131038:TUO131109 UEK131038:UEK131109 UOG131038:UOG131109 UYC131038:UYC131109 VHY131038:VHY131109 VRU131038:VRU131109 WBQ131038:WBQ131109 WLM131038:WLM131109 WVI131038:WVI131109 A196574:A196645 IW196574:IW196645 SS196574:SS196645 ACO196574:ACO196645 AMK196574:AMK196645 AWG196574:AWG196645 BGC196574:BGC196645 BPY196574:BPY196645 BZU196574:BZU196645 CJQ196574:CJQ196645 CTM196574:CTM196645 DDI196574:DDI196645 DNE196574:DNE196645 DXA196574:DXA196645 EGW196574:EGW196645 EQS196574:EQS196645 FAO196574:FAO196645 FKK196574:FKK196645 FUG196574:FUG196645 GEC196574:GEC196645 GNY196574:GNY196645 GXU196574:GXU196645 HHQ196574:HHQ196645 HRM196574:HRM196645 IBI196574:IBI196645 ILE196574:ILE196645 IVA196574:IVA196645 JEW196574:JEW196645 JOS196574:JOS196645 JYO196574:JYO196645 KIK196574:KIK196645 KSG196574:KSG196645 LCC196574:LCC196645 LLY196574:LLY196645 LVU196574:LVU196645 MFQ196574:MFQ196645 MPM196574:MPM196645 MZI196574:MZI196645 NJE196574:NJE196645 NTA196574:NTA196645 OCW196574:OCW196645 OMS196574:OMS196645 OWO196574:OWO196645 PGK196574:PGK196645 PQG196574:PQG196645 QAC196574:QAC196645 QJY196574:QJY196645 QTU196574:QTU196645 RDQ196574:RDQ196645 RNM196574:RNM196645 RXI196574:RXI196645 SHE196574:SHE196645 SRA196574:SRA196645 TAW196574:TAW196645 TKS196574:TKS196645 TUO196574:TUO196645 UEK196574:UEK196645 UOG196574:UOG196645 UYC196574:UYC196645 VHY196574:VHY196645 VRU196574:VRU196645 WBQ196574:WBQ196645 WLM196574:WLM196645 WVI196574:WVI196645 A262110:A262181 IW262110:IW262181 SS262110:SS262181 ACO262110:ACO262181 AMK262110:AMK262181 AWG262110:AWG262181 BGC262110:BGC262181 BPY262110:BPY262181 BZU262110:BZU262181 CJQ262110:CJQ262181 CTM262110:CTM262181 DDI262110:DDI262181 DNE262110:DNE262181 DXA262110:DXA262181 EGW262110:EGW262181 EQS262110:EQS262181 FAO262110:FAO262181 FKK262110:FKK262181 FUG262110:FUG262181 GEC262110:GEC262181 GNY262110:GNY262181 GXU262110:GXU262181 HHQ262110:HHQ262181 HRM262110:HRM262181 IBI262110:IBI262181 ILE262110:ILE262181 IVA262110:IVA262181 JEW262110:JEW262181 JOS262110:JOS262181 JYO262110:JYO262181 KIK262110:KIK262181 KSG262110:KSG262181 LCC262110:LCC262181 LLY262110:LLY262181 LVU262110:LVU262181 MFQ262110:MFQ262181 MPM262110:MPM262181 MZI262110:MZI262181 NJE262110:NJE262181 NTA262110:NTA262181 OCW262110:OCW262181 OMS262110:OMS262181 OWO262110:OWO262181 PGK262110:PGK262181 PQG262110:PQG262181 QAC262110:QAC262181 QJY262110:QJY262181 QTU262110:QTU262181 RDQ262110:RDQ262181 RNM262110:RNM262181 RXI262110:RXI262181 SHE262110:SHE262181 SRA262110:SRA262181 TAW262110:TAW262181 TKS262110:TKS262181 TUO262110:TUO262181 UEK262110:UEK262181 UOG262110:UOG262181 UYC262110:UYC262181 VHY262110:VHY262181 VRU262110:VRU262181 WBQ262110:WBQ262181 WLM262110:WLM262181 WVI262110:WVI262181 A327646:A327717 IW327646:IW327717 SS327646:SS327717 ACO327646:ACO327717 AMK327646:AMK327717 AWG327646:AWG327717 BGC327646:BGC327717 BPY327646:BPY327717 BZU327646:BZU327717 CJQ327646:CJQ327717 CTM327646:CTM327717 DDI327646:DDI327717 DNE327646:DNE327717 DXA327646:DXA327717 EGW327646:EGW327717 EQS327646:EQS327717 FAO327646:FAO327717 FKK327646:FKK327717 FUG327646:FUG327717 GEC327646:GEC327717 GNY327646:GNY327717 GXU327646:GXU327717 HHQ327646:HHQ327717 HRM327646:HRM327717 IBI327646:IBI327717 ILE327646:ILE327717 IVA327646:IVA327717 JEW327646:JEW327717 JOS327646:JOS327717 JYO327646:JYO327717 KIK327646:KIK327717 KSG327646:KSG327717 LCC327646:LCC327717 LLY327646:LLY327717 LVU327646:LVU327717 MFQ327646:MFQ327717 MPM327646:MPM327717 MZI327646:MZI327717 NJE327646:NJE327717 NTA327646:NTA327717 OCW327646:OCW327717 OMS327646:OMS327717 OWO327646:OWO327717 PGK327646:PGK327717 PQG327646:PQG327717 QAC327646:QAC327717 QJY327646:QJY327717 QTU327646:QTU327717 RDQ327646:RDQ327717 RNM327646:RNM327717 RXI327646:RXI327717 SHE327646:SHE327717 SRA327646:SRA327717 TAW327646:TAW327717 TKS327646:TKS327717 TUO327646:TUO327717 UEK327646:UEK327717 UOG327646:UOG327717 UYC327646:UYC327717 VHY327646:VHY327717 VRU327646:VRU327717 WBQ327646:WBQ327717 WLM327646:WLM327717 WVI327646:WVI327717 A393182:A393253 IW393182:IW393253 SS393182:SS393253 ACO393182:ACO393253 AMK393182:AMK393253 AWG393182:AWG393253 BGC393182:BGC393253 BPY393182:BPY393253 BZU393182:BZU393253 CJQ393182:CJQ393253 CTM393182:CTM393253 DDI393182:DDI393253 DNE393182:DNE393253 DXA393182:DXA393253 EGW393182:EGW393253 EQS393182:EQS393253 FAO393182:FAO393253 FKK393182:FKK393253 FUG393182:FUG393253 GEC393182:GEC393253 GNY393182:GNY393253 GXU393182:GXU393253 HHQ393182:HHQ393253 HRM393182:HRM393253 IBI393182:IBI393253 ILE393182:ILE393253 IVA393182:IVA393253 JEW393182:JEW393253 JOS393182:JOS393253 JYO393182:JYO393253 KIK393182:KIK393253 KSG393182:KSG393253 LCC393182:LCC393253 LLY393182:LLY393253 LVU393182:LVU393253 MFQ393182:MFQ393253 MPM393182:MPM393253 MZI393182:MZI393253 NJE393182:NJE393253 NTA393182:NTA393253 OCW393182:OCW393253 OMS393182:OMS393253 OWO393182:OWO393253 PGK393182:PGK393253 PQG393182:PQG393253 QAC393182:QAC393253 QJY393182:QJY393253 QTU393182:QTU393253 RDQ393182:RDQ393253 RNM393182:RNM393253 RXI393182:RXI393253 SHE393182:SHE393253 SRA393182:SRA393253 TAW393182:TAW393253 TKS393182:TKS393253 TUO393182:TUO393253 UEK393182:UEK393253 UOG393182:UOG393253 UYC393182:UYC393253 VHY393182:VHY393253 VRU393182:VRU393253 WBQ393182:WBQ393253 WLM393182:WLM393253 WVI393182:WVI393253 A458718:A458789 IW458718:IW458789 SS458718:SS458789 ACO458718:ACO458789 AMK458718:AMK458789 AWG458718:AWG458789 BGC458718:BGC458789 BPY458718:BPY458789 BZU458718:BZU458789 CJQ458718:CJQ458789 CTM458718:CTM458789 DDI458718:DDI458789 DNE458718:DNE458789 DXA458718:DXA458789 EGW458718:EGW458789 EQS458718:EQS458789 FAO458718:FAO458789 FKK458718:FKK458789 FUG458718:FUG458789 GEC458718:GEC458789 GNY458718:GNY458789 GXU458718:GXU458789 HHQ458718:HHQ458789 HRM458718:HRM458789 IBI458718:IBI458789 ILE458718:ILE458789 IVA458718:IVA458789 JEW458718:JEW458789 JOS458718:JOS458789 JYO458718:JYO458789 KIK458718:KIK458789 KSG458718:KSG458789 LCC458718:LCC458789 LLY458718:LLY458789 LVU458718:LVU458789 MFQ458718:MFQ458789 MPM458718:MPM458789 MZI458718:MZI458789 NJE458718:NJE458789 NTA458718:NTA458789 OCW458718:OCW458789 OMS458718:OMS458789 OWO458718:OWO458789 PGK458718:PGK458789 PQG458718:PQG458789 QAC458718:QAC458789 QJY458718:QJY458789 QTU458718:QTU458789 RDQ458718:RDQ458789 RNM458718:RNM458789 RXI458718:RXI458789 SHE458718:SHE458789 SRA458718:SRA458789 TAW458718:TAW458789 TKS458718:TKS458789 TUO458718:TUO458789 UEK458718:UEK458789 UOG458718:UOG458789 UYC458718:UYC458789 VHY458718:VHY458789 VRU458718:VRU458789 WBQ458718:WBQ458789 WLM458718:WLM458789 WVI458718:WVI458789 A524254:A524325 IW524254:IW524325 SS524254:SS524325 ACO524254:ACO524325 AMK524254:AMK524325 AWG524254:AWG524325 BGC524254:BGC524325 BPY524254:BPY524325 BZU524254:BZU524325 CJQ524254:CJQ524325 CTM524254:CTM524325 DDI524254:DDI524325 DNE524254:DNE524325 DXA524254:DXA524325 EGW524254:EGW524325 EQS524254:EQS524325 FAO524254:FAO524325 FKK524254:FKK524325 FUG524254:FUG524325 GEC524254:GEC524325 GNY524254:GNY524325 GXU524254:GXU524325 HHQ524254:HHQ524325 HRM524254:HRM524325 IBI524254:IBI524325 ILE524254:ILE524325 IVA524254:IVA524325 JEW524254:JEW524325 JOS524254:JOS524325 JYO524254:JYO524325 KIK524254:KIK524325 KSG524254:KSG524325 LCC524254:LCC524325 LLY524254:LLY524325 LVU524254:LVU524325 MFQ524254:MFQ524325 MPM524254:MPM524325 MZI524254:MZI524325 NJE524254:NJE524325 NTA524254:NTA524325 OCW524254:OCW524325 OMS524254:OMS524325 OWO524254:OWO524325 PGK524254:PGK524325 PQG524254:PQG524325 QAC524254:QAC524325 QJY524254:QJY524325 QTU524254:QTU524325 RDQ524254:RDQ524325 RNM524254:RNM524325 RXI524254:RXI524325 SHE524254:SHE524325 SRA524254:SRA524325 TAW524254:TAW524325 TKS524254:TKS524325 TUO524254:TUO524325 UEK524254:UEK524325 UOG524254:UOG524325 UYC524254:UYC524325 VHY524254:VHY524325 VRU524254:VRU524325 WBQ524254:WBQ524325 WLM524254:WLM524325 WVI524254:WVI524325 A589790:A589861 IW589790:IW589861 SS589790:SS589861 ACO589790:ACO589861 AMK589790:AMK589861 AWG589790:AWG589861 BGC589790:BGC589861 BPY589790:BPY589861 BZU589790:BZU589861 CJQ589790:CJQ589861 CTM589790:CTM589861 DDI589790:DDI589861 DNE589790:DNE589861 DXA589790:DXA589861 EGW589790:EGW589861 EQS589790:EQS589861 FAO589790:FAO589861 FKK589790:FKK589861 FUG589790:FUG589861 GEC589790:GEC589861 GNY589790:GNY589861 GXU589790:GXU589861 HHQ589790:HHQ589861 HRM589790:HRM589861 IBI589790:IBI589861 ILE589790:ILE589861 IVA589790:IVA589861 JEW589790:JEW589861 JOS589790:JOS589861 JYO589790:JYO589861 KIK589790:KIK589861 KSG589790:KSG589861 LCC589790:LCC589861 LLY589790:LLY589861 LVU589790:LVU589861 MFQ589790:MFQ589861 MPM589790:MPM589861 MZI589790:MZI589861 NJE589790:NJE589861 NTA589790:NTA589861 OCW589790:OCW589861 OMS589790:OMS589861 OWO589790:OWO589861 PGK589790:PGK589861 PQG589790:PQG589861 QAC589790:QAC589861 QJY589790:QJY589861 QTU589790:QTU589861 RDQ589790:RDQ589861 RNM589790:RNM589861 RXI589790:RXI589861 SHE589790:SHE589861 SRA589790:SRA589861 TAW589790:TAW589861 TKS589790:TKS589861 TUO589790:TUO589861 UEK589790:UEK589861 UOG589790:UOG589861 UYC589790:UYC589861 VHY589790:VHY589861 VRU589790:VRU589861 WBQ589790:WBQ589861 WLM589790:WLM589861 WVI589790:WVI589861 A655326:A655397 IW655326:IW655397 SS655326:SS655397 ACO655326:ACO655397 AMK655326:AMK655397 AWG655326:AWG655397 BGC655326:BGC655397 BPY655326:BPY655397 BZU655326:BZU655397 CJQ655326:CJQ655397 CTM655326:CTM655397 DDI655326:DDI655397 DNE655326:DNE655397 DXA655326:DXA655397 EGW655326:EGW655397 EQS655326:EQS655397 FAO655326:FAO655397 FKK655326:FKK655397 FUG655326:FUG655397 GEC655326:GEC655397 GNY655326:GNY655397 GXU655326:GXU655397 HHQ655326:HHQ655397 HRM655326:HRM655397 IBI655326:IBI655397 ILE655326:ILE655397 IVA655326:IVA655397 JEW655326:JEW655397 JOS655326:JOS655397 JYO655326:JYO655397 KIK655326:KIK655397 KSG655326:KSG655397 LCC655326:LCC655397 LLY655326:LLY655397 LVU655326:LVU655397 MFQ655326:MFQ655397 MPM655326:MPM655397 MZI655326:MZI655397 NJE655326:NJE655397 NTA655326:NTA655397 OCW655326:OCW655397 OMS655326:OMS655397 OWO655326:OWO655397 PGK655326:PGK655397 PQG655326:PQG655397 QAC655326:QAC655397 QJY655326:QJY655397 QTU655326:QTU655397 RDQ655326:RDQ655397 RNM655326:RNM655397 RXI655326:RXI655397 SHE655326:SHE655397 SRA655326:SRA655397 TAW655326:TAW655397 TKS655326:TKS655397 TUO655326:TUO655397 UEK655326:UEK655397 UOG655326:UOG655397 UYC655326:UYC655397 VHY655326:VHY655397 VRU655326:VRU655397 WBQ655326:WBQ655397 WLM655326:WLM655397 WVI655326:WVI655397 A720862:A720933 IW720862:IW720933 SS720862:SS720933 ACO720862:ACO720933 AMK720862:AMK720933 AWG720862:AWG720933 BGC720862:BGC720933 BPY720862:BPY720933 BZU720862:BZU720933 CJQ720862:CJQ720933 CTM720862:CTM720933 DDI720862:DDI720933 DNE720862:DNE720933 DXA720862:DXA720933 EGW720862:EGW720933 EQS720862:EQS720933 FAO720862:FAO720933 FKK720862:FKK720933 FUG720862:FUG720933 GEC720862:GEC720933 GNY720862:GNY720933 GXU720862:GXU720933 HHQ720862:HHQ720933 HRM720862:HRM720933 IBI720862:IBI720933 ILE720862:ILE720933 IVA720862:IVA720933 JEW720862:JEW720933 JOS720862:JOS720933 JYO720862:JYO720933 KIK720862:KIK720933 KSG720862:KSG720933 LCC720862:LCC720933 LLY720862:LLY720933 LVU720862:LVU720933 MFQ720862:MFQ720933 MPM720862:MPM720933 MZI720862:MZI720933 NJE720862:NJE720933 NTA720862:NTA720933 OCW720862:OCW720933 OMS720862:OMS720933 OWO720862:OWO720933 PGK720862:PGK720933 PQG720862:PQG720933 QAC720862:QAC720933 QJY720862:QJY720933 QTU720862:QTU720933 RDQ720862:RDQ720933 RNM720862:RNM720933 RXI720862:RXI720933 SHE720862:SHE720933 SRA720862:SRA720933 TAW720862:TAW720933 TKS720862:TKS720933 TUO720862:TUO720933 UEK720862:UEK720933 UOG720862:UOG720933 UYC720862:UYC720933 VHY720862:VHY720933 VRU720862:VRU720933 WBQ720862:WBQ720933 WLM720862:WLM720933 WVI720862:WVI720933 A786398:A786469 IW786398:IW786469 SS786398:SS786469 ACO786398:ACO786469 AMK786398:AMK786469 AWG786398:AWG786469 BGC786398:BGC786469 BPY786398:BPY786469 BZU786398:BZU786469 CJQ786398:CJQ786469 CTM786398:CTM786469 DDI786398:DDI786469 DNE786398:DNE786469 DXA786398:DXA786469 EGW786398:EGW786469 EQS786398:EQS786469 FAO786398:FAO786469 FKK786398:FKK786469 FUG786398:FUG786469 GEC786398:GEC786469 GNY786398:GNY786469 GXU786398:GXU786469 HHQ786398:HHQ786469 HRM786398:HRM786469 IBI786398:IBI786469 ILE786398:ILE786469 IVA786398:IVA786469 JEW786398:JEW786469 JOS786398:JOS786469 JYO786398:JYO786469 KIK786398:KIK786469 KSG786398:KSG786469 LCC786398:LCC786469 LLY786398:LLY786469 LVU786398:LVU786469 MFQ786398:MFQ786469 MPM786398:MPM786469 MZI786398:MZI786469 NJE786398:NJE786469 NTA786398:NTA786469 OCW786398:OCW786469 OMS786398:OMS786469 OWO786398:OWO786469 PGK786398:PGK786469 PQG786398:PQG786469 QAC786398:QAC786469 QJY786398:QJY786469 QTU786398:QTU786469 RDQ786398:RDQ786469 RNM786398:RNM786469 RXI786398:RXI786469 SHE786398:SHE786469 SRA786398:SRA786469 TAW786398:TAW786469 TKS786398:TKS786469 TUO786398:TUO786469 UEK786398:UEK786469 UOG786398:UOG786469 UYC786398:UYC786469 VHY786398:VHY786469 VRU786398:VRU786469 WBQ786398:WBQ786469 WLM786398:WLM786469 WVI786398:WVI786469 A851934:A852005 IW851934:IW852005 SS851934:SS852005 ACO851934:ACO852005 AMK851934:AMK852005 AWG851934:AWG852005 BGC851934:BGC852005 BPY851934:BPY852005 BZU851934:BZU852005 CJQ851934:CJQ852005 CTM851934:CTM852005 DDI851934:DDI852005 DNE851934:DNE852005 DXA851934:DXA852005 EGW851934:EGW852005 EQS851934:EQS852005 FAO851934:FAO852005 FKK851934:FKK852005 FUG851934:FUG852005 GEC851934:GEC852005 GNY851934:GNY852005 GXU851934:GXU852005 HHQ851934:HHQ852005 HRM851934:HRM852005 IBI851934:IBI852005 ILE851934:ILE852005 IVA851934:IVA852005 JEW851934:JEW852005 JOS851934:JOS852005 JYO851934:JYO852005 KIK851934:KIK852005 KSG851934:KSG852005 LCC851934:LCC852005 LLY851934:LLY852005 LVU851934:LVU852005 MFQ851934:MFQ852005 MPM851934:MPM852005 MZI851934:MZI852005 NJE851934:NJE852005 NTA851934:NTA852005 OCW851934:OCW852005 OMS851934:OMS852005 OWO851934:OWO852005 PGK851934:PGK852005 PQG851934:PQG852005 QAC851934:QAC852005 QJY851934:QJY852005 QTU851934:QTU852005 RDQ851934:RDQ852005 RNM851934:RNM852005 RXI851934:RXI852005 SHE851934:SHE852005 SRA851934:SRA852005 TAW851934:TAW852005 TKS851934:TKS852005 TUO851934:TUO852005 UEK851934:UEK852005 UOG851934:UOG852005 UYC851934:UYC852005 VHY851934:VHY852005 VRU851934:VRU852005 WBQ851934:WBQ852005 WLM851934:WLM852005 WVI851934:WVI852005 A917470:A917541 IW917470:IW917541 SS917470:SS917541 ACO917470:ACO917541 AMK917470:AMK917541 AWG917470:AWG917541 BGC917470:BGC917541 BPY917470:BPY917541 BZU917470:BZU917541 CJQ917470:CJQ917541 CTM917470:CTM917541 DDI917470:DDI917541 DNE917470:DNE917541 DXA917470:DXA917541 EGW917470:EGW917541 EQS917470:EQS917541 FAO917470:FAO917541 FKK917470:FKK917541 FUG917470:FUG917541 GEC917470:GEC917541 GNY917470:GNY917541 GXU917470:GXU917541 HHQ917470:HHQ917541 HRM917470:HRM917541 IBI917470:IBI917541 ILE917470:ILE917541 IVA917470:IVA917541 JEW917470:JEW917541 JOS917470:JOS917541 JYO917470:JYO917541 KIK917470:KIK917541 KSG917470:KSG917541 LCC917470:LCC917541 LLY917470:LLY917541 LVU917470:LVU917541 MFQ917470:MFQ917541 MPM917470:MPM917541 MZI917470:MZI917541 NJE917470:NJE917541 NTA917470:NTA917541 OCW917470:OCW917541 OMS917470:OMS917541 OWO917470:OWO917541 PGK917470:PGK917541 PQG917470:PQG917541 QAC917470:QAC917541 QJY917470:QJY917541 QTU917470:QTU917541 RDQ917470:RDQ917541 RNM917470:RNM917541 RXI917470:RXI917541 SHE917470:SHE917541 SRA917470:SRA917541 TAW917470:TAW917541 TKS917470:TKS917541 TUO917470:TUO917541 UEK917470:UEK917541 UOG917470:UOG917541 UYC917470:UYC917541 VHY917470:VHY917541 VRU917470:VRU917541 WBQ917470:WBQ917541 WLM917470:WLM917541 WVI917470:WVI917541 A983006:A983077 IW983006:IW983077 SS983006:SS983077 ACO983006:ACO983077 AMK983006:AMK983077 AWG983006:AWG983077 BGC983006:BGC983077 BPY983006:BPY983077 BZU983006:BZU983077 CJQ983006:CJQ983077 CTM983006:CTM983077 DDI983006:DDI983077 DNE983006:DNE983077 DXA983006:DXA983077 EGW983006:EGW983077 EQS983006:EQS983077 FAO983006:FAO983077 FKK983006:FKK983077 FUG983006:FUG983077 GEC983006:GEC983077 GNY983006:GNY983077 GXU983006:GXU983077 HHQ983006:HHQ983077 HRM983006:HRM983077 IBI983006:IBI983077 ILE983006:ILE983077 IVA983006:IVA983077 JEW983006:JEW983077 JOS983006:JOS983077 JYO983006:JYO983077 KIK983006:KIK983077 KSG983006:KSG983077 LCC983006:LCC983077 LLY983006:LLY983077 LVU983006:LVU983077 MFQ983006:MFQ983077 MPM983006:MPM983077 MZI983006:MZI983077 NJE983006:NJE983077 NTA983006:NTA983077 OCW983006:OCW983077 OMS983006:OMS983077 OWO983006:OWO983077 PGK983006:PGK983077 PQG983006:PQG983077 QAC983006:QAC983077 QJY983006:QJY983077 QTU983006:QTU983077 RDQ983006:RDQ983077 RNM983006:RNM983077 RXI983006:RXI983077 SHE983006:SHE983077 SRA983006:SRA983077 TAW983006:TAW983077 TKS983006:TKS983077 TUO983006:TUO983077 UEK983006:UEK983077 UOG983006:UOG983077 UYC983006:UYC983077 VHY983006:VHY983077 VRU983006:VRU983077 WBQ983006:WBQ983077 WLM983006:WLM983077 A2:A464 IW2:IW51 WVI2:WVI51 WLM2:WLM51 WBQ2:WBQ51 VRU2:VRU51 VHY2:VHY51 UYC2:UYC51 UOG2:UOG51 UEK2:UEK51 TUO2:TUO51 TKS2:TKS51 TAW2:TAW51 SRA2:SRA51 SHE2:SHE51 RXI2:RXI51 RNM2:RNM51 RDQ2:RDQ51 QTU2:QTU51 QJY2:QJY51 QAC2:QAC51 PQG2:PQG51 PGK2:PGK51 OWO2:OWO51 OMS2:OMS51 OCW2:OCW51 NTA2:NTA51 NJE2:NJE51 MZI2:MZI51 MPM2:MPM51 MFQ2:MFQ51 LVU2:LVU51 LLY2:LLY51 LCC2:LCC51 KSG2:KSG51 KIK2:KIK51 JYO2:JYO51 JOS2:JOS51 JEW2:JEW51 IVA2:IVA51 ILE2:ILE51 IBI2:IBI51 HRM2:HRM51 HHQ2:HHQ51 GXU2:GXU51 GNY2:GNY51 GEC2:GEC51 FUG2:FUG51 FKK2:FKK51 FAO2:FAO51 EQS2:EQS51 EGW2:EGW51 DXA2:DXA51 DNE2:DNE51 DDI2:DDI51 CTM2:CTM51 CJQ2:CJQ51 BZU2:BZU51 BPY2:BPY51 BGC2:BGC51 AWG2:AWG51 AMK2:AMK51 ACO2:ACO51 SS2:SS51" xr:uid="{8E6DC390-7E8E-40B4-B116-7990C9BB7EA9}">
      <formula1>$AE$2:$AE$19</formula1>
    </dataValidation>
    <dataValidation type="list" allowBlank="1" showInputMessage="1" showErrorMessage="1" sqref="X64327:X64392 JT64327:JT64392 TP64327:TP64392 ADL64327:ADL64392 ANH64327:ANH64392 AXD64327:AXD64392 BGZ64327:BGZ64392 BQV64327:BQV64392 CAR64327:CAR64392 CKN64327:CKN64392 CUJ64327:CUJ64392 DEF64327:DEF64392 DOB64327:DOB64392 DXX64327:DXX64392 EHT64327:EHT64392 ERP64327:ERP64392 FBL64327:FBL64392 FLH64327:FLH64392 FVD64327:FVD64392 GEZ64327:GEZ64392 GOV64327:GOV64392 GYR64327:GYR64392 HIN64327:HIN64392 HSJ64327:HSJ64392 ICF64327:ICF64392 IMB64327:IMB64392 IVX64327:IVX64392 JFT64327:JFT64392 JPP64327:JPP64392 JZL64327:JZL64392 KJH64327:KJH64392 KTD64327:KTD64392 LCZ64327:LCZ64392 LMV64327:LMV64392 LWR64327:LWR64392 MGN64327:MGN64392 MQJ64327:MQJ64392 NAF64327:NAF64392 NKB64327:NKB64392 NTX64327:NTX64392 ODT64327:ODT64392 ONP64327:ONP64392 OXL64327:OXL64392 PHH64327:PHH64392 PRD64327:PRD64392 QAZ64327:QAZ64392 QKV64327:QKV64392 QUR64327:QUR64392 REN64327:REN64392 ROJ64327:ROJ64392 RYF64327:RYF64392 SIB64327:SIB64392 SRX64327:SRX64392 TBT64327:TBT64392 TLP64327:TLP64392 TVL64327:TVL64392 UFH64327:UFH64392 UPD64327:UPD64392 UYZ64327:UYZ64392 VIV64327:VIV64392 VSR64327:VSR64392 WCN64327:WCN64392 WMJ64327:WMJ64392 WWF64327:WWF64392 X129863:X129928 JT129863:JT129928 TP129863:TP129928 ADL129863:ADL129928 ANH129863:ANH129928 AXD129863:AXD129928 BGZ129863:BGZ129928 BQV129863:BQV129928 CAR129863:CAR129928 CKN129863:CKN129928 CUJ129863:CUJ129928 DEF129863:DEF129928 DOB129863:DOB129928 DXX129863:DXX129928 EHT129863:EHT129928 ERP129863:ERP129928 FBL129863:FBL129928 FLH129863:FLH129928 FVD129863:FVD129928 GEZ129863:GEZ129928 GOV129863:GOV129928 GYR129863:GYR129928 HIN129863:HIN129928 HSJ129863:HSJ129928 ICF129863:ICF129928 IMB129863:IMB129928 IVX129863:IVX129928 JFT129863:JFT129928 JPP129863:JPP129928 JZL129863:JZL129928 KJH129863:KJH129928 KTD129863:KTD129928 LCZ129863:LCZ129928 LMV129863:LMV129928 LWR129863:LWR129928 MGN129863:MGN129928 MQJ129863:MQJ129928 NAF129863:NAF129928 NKB129863:NKB129928 NTX129863:NTX129928 ODT129863:ODT129928 ONP129863:ONP129928 OXL129863:OXL129928 PHH129863:PHH129928 PRD129863:PRD129928 QAZ129863:QAZ129928 QKV129863:QKV129928 QUR129863:QUR129928 REN129863:REN129928 ROJ129863:ROJ129928 RYF129863:RYF129928 SIB129863:SIB129928 SRX129863:SRX129928 TBT129863:TBT129928 TLP129863:TLP129928 TVL129863:TVL129928 UFH129863:UFH129928 UPD129863:UPD129928 UYZ129863:UYZ129928 VIV129863:VIV129928 VSR129863:VSR129928 WCN129863:WCN129928 WMJ129863:WMJ129928 WWF129863:WWF129928 X195399:X195464 JT195399:JT195464 TP195399:TP195464 ADL195399:ADL195464 ANH195399:ANH195464 AXD195399:AXD195464 BGZ195399:BGZ195464 BQV195399:BQV195464 CAR195399:CAR195464 CKN195399:CKN195464 CUJ195399:CUJ195464 DEF195399:DEF195464 DOB195399:DOB195464 DXX195399:DXX195464 EHT195399:EHT195464 ERP195399:ERP195464 FBL195399:FBL195464 FLH195399:FLH195464 FVD195399:FVD195464 GEZ195399:GEZ195464 GOV195399:GOV195464 GYR195399:GYR195464 HIN195399:HIN195464 HSJ195399:HSJ195464 ICF195399:ICF195464 IMB195399:IMB195464 IVX195399:IVX195464 JFT195399:JFT195464 JPP195399:JPP195464 JZL195399:JZL195464 KJH195399:KJH195464 KTD195399:KTD195464 LCZ195399:LCZ195464 LMV195399:LMV195464 LWR195399:LWR195464 MGN195399:MGN195464 MQJ195399:MQJ195464 NAF195399:NAF195464 NKB195399:NKB195464 NTX195399:NTX195464 ODT195399:ODT195464 ONP195399:ONP195464 OXL195399:OXL195464 PHH195399:PHH195464 PRD195399:PRD195464 QAZ195399:QAZ195464 QKV195399:QKV195464 QUR195399:QUR195464 REN195399:REN195464 ROJ195399:ROJ195464 RYF195399:RYF195464 SIB195399:SIB195464 SRX195399:SRX195464 TBT195399:TBT195464 TLP195399:TLP195464 TVL195399:TVL195464 UFH195399:UFH195464 UPD195399:UPD195464 UYZ195399:UYZ195464 VIV195399:VIV195464 VSR195399:VSR195464 WCN195399:WCN195464 WMJ195399:WMJ195464 WWF195399:WWF195464 X260935:X261000 JT260935:JT261000 TP260935:TP261000 ADL260935:ADL261000 ANH260935:ANH261000 AXD260935:AXD261000 BGZ260935:BGZ261000 BQV260935:BQV261000 CAR260935:CAR261000 CKN260935:CKN261000 CUJ260935:CUJ261000 DEF260935:DEF261000 DOB260935:DOB261000 DXX260935:DXX261000 EHT260935:EHT261000 ERP260935:ERP261000 FBL260935:FBL261000 FLH260935:FLH261000 FVD260935:FVD261000 GEZ260935:GEZ261000 GOV260935:GOV261000 GYR260935:GYR261000 HIN260935:HIN261000 HSJ260935:HSJ261000 ICF260935:ICF261000 IMB260935:IMB261000 IVX260935:IVX261000 JFT260935:JFT261000 JPP260935:JPP261000 JZL260935:JZL261000 KJH260935:KJH261000 KTD260935:KTD261000 LCZ260935:LCZ261000 LMV260935:LMV261000 LWR260935:LWR261000 MGN260935:MGN261000 MQJ260935:MQJ261000 NAF260935:NAF261000 NKB260935:NKB261000 NTX260935:NTX261000 ODT260935:ODT261000 ONP260935:ONP261000 OXL260935:OXL261000 PHH260935:PHH261000 PRD260935:PRD261000 QAZ260935:QAZ261000 QKV260935:QKV261000 QUR260935:QUR261000 REN260935:REN261000 ROJ260935:ROJ261000 RYF260935:RYF261000 SIB260935:SIB261000 SRX260935:SRX261000 TBT260935:TBT261000 TLP260935:TLP261000 TVL260935:TVL261000 UFH260935:UFH261000 UPD260935:UPD261000 UYZ260935:UYZ261000 VIV260935:VIV261000 VSR260935:VSR261000 WCN260935:WCN261000 WMJ260935:WMJ261000 WWF260935:WWF261000 X326471:X326536 JT326471:JT326536 TP326471:TP326536 ADL326471:ADL326536 ANH326471:ANH326536 AXD326471:AXD326536 BGZ326471:BGZ326536 BQV326471:BQV326536 CAR326471:CAR326536 CKN326471:CKN326536 CUJ326471:CUJ326536 DEF326471:DEF326536 DOB326471:DOB326536 DXX326471:DXX326536 EHT326471:EHT326536 ERP326471:ERP326536 FBL326471:FBL326536 FLH326471:FLH326536 FVD326471:FVD326536 GEZ326471:GEZ326536 GOV326471:GOV326536 GYR326471:GYR326536 HIN326471:HIN326536 HSJ326471:HSJ326536 ICF326471:ICF326536 IMB326471:IMB326536 IVX326471:IVX326536 JFT326471:JFT326536 JPP326471:JPP326536 JZL326471:JZL326536 KJH326471:KJH326536 KTD326471:KTD326536 LCZ326471:LCZ326536 LMV326471:LMV326536 LWR326471:LWR326536 MGN326471:MGN326536 MQJ326471:MQJ326536 NAF326471:NAF326536 NKB326471:NKB326536 NTX326471:NTX326536 ODT326471:ODT326536 ONP326471:ONP326536 OXL326471:OXL326536 PHH326471:PHH326536 PRD326471:PRD326536 QAZ326471:QAZ326536 QKV326471:QKV326536 QUR326471:QUR326536 REN326471:REN326536 ROJ326471:ROJ326536 RYF326471:RYF326536 SIB326471:SIB326536 SRX326471:SRX326536 TBT326471:TBT326536 TLP326471:TLP326536 TVL326471:TVL326536 UFH326471:UFH326536 UPD326471:UPD326536 UYZ326471:UYZ326536 VIV326471:VIV326536 VSR326471:VSR326536 WCN326471:WCN326536 WMJ326471:WMJ326536 WWF326471:WWF326536 X392007:X392072 JT392007:JT392072 TP392007:TP392072 ADL392007:ADL392072 ANH392007:ANH392072 AXD392007:AXD392072 BGZ392007:BGZ392072 BQV392007:BQV392072 CAR392007:CAR392072 CKN392007:CKN392072 CUJ392007:CUJ392072 DEF392007:DEF392072 DOB392007:DOB392072 DXX392007:DXX392072 EHT392007:EHT392072 ERP392007:ERP392072 FBL392007:FBL392072 FLH392007:FLH392072 FVD392007:FVD392072 GEZ392007:GEZ392072 GOV392007:GOV392072 GYR392007:GYR392072 HIN392007:HIN392072 HSJ392007:HSJ392072 ICF392007:ICF392072 IMB392007:IMB392072 IVX392007:IVX392072 JFT392007:JFT392072 JPP392007:JPP392072 JZL392007:JZL392072 KJH392007:KJH392072 KTD392007:KTD392072 LCZ392007:LCZ392072 LMV392007:LMV392072 LWR392007:LWR392072 MGN392007:MGN392072 MQJ392007:MQJ392072 NAF392007:NAF392072 NKB392007:NKB392072 NTX392007:NTX392072 ODT392007:ODT392072 ONP392007:ONP392072 OXL392007:OXL392072 PHH392007:PHH392072 PRD392007:PRD392072 QAZ392007:QAZ392072 QKV392007:QKV392072 QUR392007:QUR392072 REN392007:REN392072 ROJ392007:ROJ392072 RYF392007:RYF392072 SIB392007:SIB392072 SRX392007:SRX392072 TBT392007:TBT392072 TLP392007:TLP392072 TVL392007:TVL392072 UFH392007:UFH392072 UPD392007:UPD392072 UYZ392007:UYZ392072 VIV392007:VIV392072 VSR392007:VSR392072 WCN392007:WCN392072 WMJ392007:WMJ392072 WWF392007:WWF392072 X457543:X457608 JT457543:JT457608 TP457543:TP457608 ADL457543:ADL457608 ANH457543:ANH457608 AXD457543:AXD457608 BGZ457543:BGZ457608 BQV457543:BQV457608 CAR457543:CAR457608 CKN457543:CKN457608 CUJ457543:CUJ457608 DEF457543:DEF457608 DOB457543:DOB457608 DXX457543:DXX457608 EHT457543:EHT457608 ERP457543:ERP457608 FBL457543:FBL457608 FLH457543:FLH457608 FVD457543:FVD457608 GEZ457543:GEZ457608 GOV457543:GOV457608 GYR457543:GYR457608 HIN457543:HIN457608 HSJ457543:HSJ457608 ICF457543:ICF457608 IMB457543:IMB457608 IVX457543:IVX457608 JFT457543:JFT457608 JPP457543:JPP457608 JZL457543:JZL457608 KJH457543:KJH457608 KTD457543:KTD457608 LCZ457543:LCZ457608 LMV457543:LMV457608 LWR457543:LWR457608 MGN457543:MGN457608 MQJ457543:MQJ457608 NAF457543:NAF457608 NKB457543:NKB457608 NTX457543:NTX457608 ODT457543:ODT457608 ONP457543:ONP457608 OXL457543:OXL457608 PHH457543:PHH457608 PRD457543:PRD457608 QAZ457543:QAZ457608 QKV457543:QKV457608 QUR457543:QUR457608 REN457543:REN457608 ROJ457543:ROJ457608 RYF457543:RYF457608 SIB457543:SIB457608 SRX457543:SRX457608 TBT457543:TBT457608 TLP457543:TLP457608 TVL457543:TVL457608 UFH457543:UFH457608 UPD457543:UPD457608 UYZ457543:UYZ457608 VIV457543:VIV457608 VSR457543:VSR457608 WCN457543:WCN457608 WMJ457543:WMJ457608 WWF457543:WWF457608 X523079:X523144 JT523079:JT523144 TP523079:TP523144 ADL523079:ADL523144 ANH523079:ANH523144 AXD523079:AXD523144 BGZ523079:BGZ523144 BQV523079:BQV523144 CAR523079:CAR523144 CKN523079:CKN523144 CUJ523079:CUJ523144 DEF523079:DEF523144 DOB523079:DOB523144 DXX523079:DXX523144 EHT523079:EHT523144 ERP523079:ERP523144 FBL523079:FBL523144 FLH523079:FLH523144 FVD523079:FVD523144 GEZ523079:GEZ523144 GOV523079:GOV523144 GYR523079:GYR523144 HIN523079:HIN523144 HSJ523079:HSJ523144 ICF523079:ICF523144 IMB523079:IMB523144 IVX523079:IVX523144 JFT523079:JFT523144 JPP523079:JPP523144 JZL523079:JZL523144 KJH523079:KJH523144 KTD523079:KTD523144 LCZ523079:LCZ523144 LMV523079:LMV523144 LWR523079:LWR523144 MGN523079:MGN523144 MQJ523079:MQJ523144 NAF523079:NAF523144 NKB523079:NKB523144 NTX523079:NTX523144 ODT523079:ODT523144 ONP523079:ONP523144 OXL523079:OXL523144 PHH523079:PHH523144 PRD523079:PRD523144 QAZ523079:QAZ523144 QKV523079:QKV523144 QUR523079:QUR523144 REN523079:REN523144 ROJ523079:ROJ523144 RYF523079:RYF523144 SIB523079:SIB523144 SRX523079:SRX523144 TBT523079:TBT523144 TLP523079:TLP523144 TVL523079:TVL523144 UFH523079:UFH523144 UPD523079:UPD523144 UYZ523079:UYZ523144 VIV523079:VIV523144 VSR523079:VSR523144 WCN523079:WCN523144 WMJ523079:WMJ523144 WWF523079:WWF523144 X588615:X588680 JT588615:JT588680 TP588615:TP588680 ADL588615:ADL588680 ANH588615:ANH588680 AXD588615:AXD588680 BGZ588615:BGZ588680 BQV588615:BQV588680 CAR588615:CAR588680 CKN588615:CKN588680 CUJ588615:CUJ588680 DEF588615:DEF588680 DOB588615:DOB588680 DXX588615:DXX588680 EHT588615:EHT588680 ERP588615:ERP588680 FBL588615:FBL588680 FLH588615:FLH588680 FVD588615:FVD588680 GEZ588615:GEZ588680 GOV588615:GOV588680 GYR588615:GYR588680 HIN588615:HIN588680 HSJ588615:HSJ588680 ICF588615:ICF588680 IMB588615:IMB588680 IVX588615:IVX588680 JFT588615:JFT588680 JPP588615:JPP588680 JZL588615:JZL588680 KJH588615:KJH588680 KTD588615:KTD588680 LCZ588615:LCZ588680 LMV588615:LMV588680 LWR588615:LWR588680 MGN588615:MGN588680 MQJ588615:MQJ588680 NAF588615:NAF588680 NKB588615:NKB588680 NTX588615:NTX588680 ODT588615:ODT588680 ONP588615:ONP588680 OXL588615:OXL588680 PHH588615:PHH588680 PRD588615:PRD588680 QAZ588615:QAZ588680 QKV588615:QKV588680 QUR588615:QUR588680 REN588615:REN588680 ROJ588615:ROJ588680 RYF588615:RYF588680 SIB588615:SIB588680 SRX588615:SRX588680 TBT588615:TBT588680 TLP588615:TLP588680 TVL588615:TVL588680 UFH588615:UFH588680 UPD588615:UPD588680 UYZ588615:UYZ588680 VIV588615:VIV588680 VSR588615:VSR588680 WCN588615:WCN588680 WMJ588615:WMJ588680 WWF588615:WWF588680 X654151:X654216 JT654151:JT654216 TP654151:TP654216 ADL654151:ADL654216 ANH654151:ANH654216 AXD654151:AXD654216 BGZ654151:BGZ654216 BQV654151:BQV654216 CAR654151:CAR654216 CKN654151:CKN654216 CUJ654151:CUJ654216 DEF654151:DEF654216 DOB654151:DOB654216 DXX654151:DXX654216 EHT654151:EHT654216 ERP654151:ERP654216 FBL654151:FBL654216 FLH654151:FLH654216 FVD654151:FVD654216 GEZ654151:GEZ654216 GOV654151:GOV654216 GYR654151:GYR654216 HIN654151:HIN654216 HSJ654151:HSJ654216 ICF654151:ICF654216 IMB654151:IMB654216 IVX654151:IVX654216 JFT654151:JFT654216 JPP654151:JPP654216 JZL654151:JZL654216 KJH654151:KJH654216 KTD654151:KTD654216 LCZ654151:LCZ654216 LMV654151:LMV654216 LWR654151:LWR654216 MGN654151:MGN654216 MQJ654151:MQJ654216 NAF654151:NAF654216 NKB654151:NKB654216 NTX654151:NTX654216 ODT654151:ODT654216 ONP654151:ONP654216 OXL654151:OXL654216 PHH654151:PHH654216 PRD654151:PRD654216 QAZ654151:QAZ654216 QKV654151:QKV654216 QUR654151:QUR654216 REN654151:REN654216 ROJ654151:ROJ654216 RYF654151:RYF654216 SIB654151:SIB654216 SRX654151:SRX654216 TBT654151:TBT654216 TLP654151:TLP654216 TVL654151:TVL654216 UFH654151:UFH654216 UPD654151:UPD654216 UYZ654151:UYZ654216 VIV654151:VIV654216 VSR654151:VSR654216 WCN654151:WCN654216 WMJ654151:WMJ654216 WWF654151:WWF654216 X719687:X719752 JT719687:JT719752 TP719687:TP719752 ADL719687:ADL719752 ANH719687:ANH719752 AXD719687:AXD719752 BGZ719687:BGZ719752 BQV719687:BQV719752 CAR719687:CAR719752 CKN719687:CKN719752 CUJ719687:CUJ719752 DEF719687:DEF719752 DOB719687:DOB719752 DXX719687:DXX719752 EHT719687:EHT719752 ERP719687:ERP719752 FBL719687:FBL719752 FLH719687:FLH719752 FVD719687:FVD719752 GEZ719687:GEZ719752 GOV719687:GOV719752 GYR719687:GYR719752 HIN719687:HIN719752 HSJ719687:HSJ719752 ICF719687:ICF719752 IMB719687:IMB719752 IVX719687:IVX719752 JFT719687:JFT719752 JPP719687:JPP719752 JZL719687:JZL719752 KJH719687:KJH719752 KTD719687:KTD719752 LCZ719687:LCZ719752 LMV719687:LMV719752 LWR719687:LWR719752 MGN719687:MGN719752 MQJ719687:MQJ719752 NAF719687:NAF719752 NKB719687:NKB719752 NTX719687:NTX719752 ODT719687:ODT719752 ONP719687:ONP719752 OXL719687:OXL719752 PHH719687:PHH719752 PRD719687:PRD719752 QAZ719687:QAZ719752 QKV719687:QKV719752 QUR719687:QUR719752 REN719687:REN719752 ROJ719687:ROJ719752 RYF719687:RYF719752 SIB719687:SIB719752 SRX719687:SRX719752 TBT719687:TBT719752 TLP719687:TLP719752 TVL719687:TVL719752 UFH719687:UFH719752 UPD719687:UPD719752 UYZ719687:UYZ719752 VIV719687:VIV719752 VSR719687:VSR719752 WCN719687:WCN719752 WMJ719687:WMJ719752 WWF719687:WWF719752 X785223:X785288 JT785223:JT785288 TP785223:TP785288 ADL785223:ADL785288 ANH785223:ANH785288 AXD785223:AXD785288 BGZ785223:BGZ785288 BQV785223:BQV785288 CAR785223:CAR785288 CKN785223:CKN785288 CUJ785223:CUJ785288 DEF785223:DEF785288 DOB785223:DOB785288 DXX785223:DXX785288 EHT785223:EHT785288 ERP785223:ERP785288 FBL785223:FBL785288 FLH785223:FLH785288 FVD785223:FVD785288 GEZ785223:GEZ785288 GOV785223:GOV785288 GYR785223:GYR785288 HIN785223:HIN785288 HSJ785223:HSJ785288 ICF785223:ICF785288 IMB785223:IMB785288 IVX785223:IVX785288 JFT785223:JFT785288 JPP785223:JPP785288 JZL785223:JZL785288 KJH785223:KJH785288 KTD785223:KTD785288 LCZ785223:LCZ785288 LMV785223:LMV785288 LWR785223:LWR785288 MGN785223:MGN785288 MQJ785223:MQJ785288 NAF785223:NAF785288 NKB785223:NKB785288 NTX785223:NTX785288 ODT785223:ODT785288 ONP785223:ONP785288 OXL785223:OXL785288 PHH785223:PHH785288 PRD785223:PRD785288 QAZ785223:QAZ785288 QKV785223:QKV785288 QUR785223:QUR785288 REN785223:REN785288 ROJ785223:ROJ785288 RYF785223:RYF785288 SIB785223:SIB785288 SRX785223:SRX785288 TBT785223:TBT785288 TLP785223:TLP785288 TVL785223:TVL785288 UFH785223:UFH785288 UPD785223:UPD785288 UYZ785223:UYZ785288 VIV785223:VIV785288 VSR785223:VSR785288 WCN785223:WCN785288 WMJ785223:WMJ785288 WWF785223:WWF785288 X850759:X850824 JT850759:JT850824 TP850759:TP850824 ADL850759:ADL850824 ANH850759:ANH850824 AXD850759:AXD850824 BGZ850759:BGZ850824 BQV850759:BQV850824 CAR850759:CAR850824 CKN850759:CKN850824 CUJ850759:CUJ850824 DEF850759:DEF850824 DOB850759:DOB850824 DXX850759:DXX850824 EHT850759:EHT850824 ERP850759:ERP850824 FBL850759:FBL850824 FLH850759:FLH850824 FVD850759:FVD850824 GEZ850759:GEZ850824 GOV850759:GOV850824 GYR850759:GYR850824 HIN850759:HIN850824 HSJ850759:HSJ850824 ICF850759:ICF850824 IMB850759:IMB850824 IVX850759:IVX850824 JFT850759:JFT850824 JPP850759:JPP850824 JZL850759:JZL850824 KJH850759:KJH850824 KTD850759:KTD850824 LCZ850759:LCZ850824 LMV850759:LMV850824 LWR850759:LWR850824 MGN850759:MGN850824 MQJ850759:MQJ850824 NAF850759:NAF850824 NKB850759:NKB850824 NTX850759:NTX850824 ODT850759:ODT850824 ONP850759:ONP850824 OXL850759:OXL850824 PHH850759:PHH850824 PRD850759:PRD850824 QAZ850759:QAZ850824 QKV850759:QKV850824 QUR850759:QUR850824 REN850759:REN850824 ROJ850759:ROJ850824 RYF850759:RYF850824 SIB850759:SIB850824 SRX850759:SRX850824 TBT850759:TBT850824 TLP850759:TLP850824 TVL850759:TVL850824 UFH850759:UFH850824 UPD850759:UPD850824 UYZ850759:UYZ850824 VIV850759:VIV850824 VSR850759:VSR850824 WCN850759:WCN850824 WMJ850759:WMJ850824 WWF850759:WWF850824 X916295:X916360 JT916295:JT916360 TP916295:TP916360 ADL916295:ADL916360 ANH916295:ANH916360 AXD916295:AXD916360 BGZ916295:BGZ916360 BQV916295:BQV916360 CAR916295:CAR916360 CKN916295:CKN916360 CUJ916295:CUJ916360 DEF916295:DEF916360 DOB916295:DOB916360 DXX916295:DXX916360 EHT916295:EHT916360 ERP916295:ERP916360 FBL916295:FBL916360 FLH916295:FLH916360 FVD916295:FVD916360 GEZ916295:GEZ916360 GOV916295:GOV916360 GYR916295:GYR916360 HIN916295:HIN916360 HSJ916295:HSJ916360 ICF916295:ICF916360 IMB916295:IMB916360 IVX916295:IVX916360 JFT916295:JFT916360 JPP916295:JPP916360 JZL916295:JZL916360 KJH916295:KJH916360 KTD916295:KTD916360 LCZ916295:LCZ916360 LMV916295:LMV916360 LWR916295:LWR916360 MGN916295:MGN916360 MQJ916295:MQJ916360 NAF916295:NAF916360 NKB916295:NKB916360 NTX916295:NTX916360 ODT916295:ODT916360 ONP916295:ONP916360 OXL916295:OXL916360 PHH916295:PHH916360 PRD916295:PRD916360 QAZ916295:QAZ916360 QKV916295:QKV916360 QUR916295:QUR916360 REN916295:REN916360 ROJ916295:ROJ916360 RYF916295:RYF916360 SIB916295:SIB916360 SRX916295:SRX916360 TBT916295:TBT916360 TLP916295:TLP916360 TVL916295:TVL916360 UFH916295:UFH916360 UPD916295:UPD916360 UYZ916295:UYZ916360 VIV916295:VIV916360 VSR916295:VSR916360 WCN916295:WCN916360 WMJ916295:WMJ916360 WWF916295:WWF916360 X981831:X981896 JT981831:JT981896 TP981831:TP981896 ADL981831:ADL981896 ANH981831:ANH981896 AXD981831:AXD981896 BGZ981831:BGZ981896 BQV981831:BQV981896 CAR981831:CAR981896 CKN981831:CKN981896 CUJ981831:CUJ981896 DEF981831:DEF981896 DOB981831:DOB981896 DXX981831:DXX981896 EHT981831:EHT981896 ERP981831:ERP981896 FBL981831:FBL981896 FLH981831:FLH981896 FVD981831:FVD981896 GEZ981831:GEZ981896 GOV981831:GOV981896 GYR981831:GYR981896 HIN981831:HIN981896 HSJ981831:HSJ981896 ICF981831:ICF981896 IMB981831:IMB981896 IVX981831:IVX981896 JFT981831:JFT981896 JPP981831:JPP981896 JZL981831:JZL981896 KJH981831:KJH981896 KTD981831:KTD981896 LCZ981831:LCZ981896 LMV981831:LMV981896 LWR981831:LWR981896 MGN981831:MGN981896 MQJ981831:MQJ981896 NAF981831:NAF981896 NKB981831:NKB981896 NTX981831:NTX981896 ODT981831:ODT981896 ONP981831:ONP981896 OXL981831:OXL981896 PHH981831:PHH981896 PRD981831:PRD981896 QAZ981831:QAZ981896 QKV981831:QKV981896 QUR981831:QUR981896 REN981831:REN981896 ROJ981831:ROJ981896 RYF981831:RYF981896 SIB981831:SIB981896 SRX981831:SRX981896 TBT981831:TBT981896 TLP981831:TLP981896 TVL981831:TVL981896 UFH981831:UFH981896 UPD981831:UPD981896 UYZ981831:UYZ981896 VIV981831:VIV981896 VSR981831:VSR981896 WCN981831:WCN981896 WMJ981831:WMJ981896 WWF981831:WWF981896 X1047367:X1047432 JT1047367:JT1047432 TP1047367:TP1047432 ADL1047367:ADL1047432 ANH1047367:ANH1047432 AXD1047367:AXD1047432 BGZ1047367:BGZ1047432 BQV1047367:BQV1047432 CAR1047367:CAR1047432 CKN1047367:CKN1047432 CUJ1047367:CUJ1047432 DEF1047367:DEF1047432 DOB1047367:DOB1047432 DXX1047367:DXX1047432 EHT1047367:EHT1047432 ERP1047367:ERP1047432 FBL1047367:FBL1047432 FLH1047367:FLH1047432 FVD1047367:FVD1047432 GEZ1047367:GEZ1047432 GOV1047367:GOV1047432 GYR1047367:GYR1047432 HIN1047367:HIN1047432 HSJ1047367:HSJ1047432 ICF1047367:ICF1047432 IMB1047367:IMB1047432 IVX1047367:IVX1047432 JFT1047367:JFT1047432 JPP1047367:JPP1047432 JZL1047367:JZL1047432 KJH1047367:KJH1047432 KTD1047367:KTD1047432 LCZ1047367:LCZ1047432 LMV1047367:LMV1047432 LWR1047367:LWR1047432 MGN1047367:MGN1047432 MQJ1047367:MQJ1047432 NAF1047367:NAF1047432 NKB1047367:NKB1047432 NTX1047367:NTX1047432 ODT1047367:ODT1047432 ONP1047367:ONP1047432 OXL1047367:OXL1047432 PHH1047367:PHH1047432 PRD1047367:PRD1047432 QAZ1047367:QAZ1047432 QKV1047367:QKV1047432 QUR1047367:QUR1047432 REN1047367:REN1047432 ROJ1047367:ROJ1047432 RYF1047367:RYF1047432 SIB1047367:SIB1047432 SRX1047367:SRX1047432 TBT1047367:TBT1047432 TLP1047367:TLP1047432 TVL1047367:TVL1047432 UFH1047367:UFH1047432 UPD1047367:UPD1047432 UYZ1047367:UYZ1047432 VIV1047367:VIV1047432 VSR1047367:VSR1047432 WCN1047367:WCN1047432 WMJ1047367:WMJ1047432 WWF1047367:WWF1047432 WWF983006:WWF983071 X65502:X65567 JT65502:JT65567 TP65502:TP65567 ADL65502:ADL65567 ANH65502:ANH65567 AXD65502:AXD65567 BGZ65502:BGZ65567 BQV65502:BQV65567 CAR65502:CAR65567 CKN65502:CKN65567 CUJ65502:CUJ65567 DEF65502:DEF65567 DOB65502:DOB65567 DXX65502:DXX65567 EHT65502:EHT65567 ERP65502:ERP65567 FBL65502:FBL65567 FLH65502:FLH65567 FVD65502:FVD65567 GEZ65502:GEZ65567 GOV65502:GOV65567 GYR65502:GYR65567 HIN65502:HIN65567 HSJ65502:HSJ65567 ICF65502:ICF65567 IMB65502:IMB65567 IVX65502:IVX65567 JFT65502:JFT65567 JPP65502:JPP65567 JZL65502:JZL65567 KJH65502:KJH65567 KTD65502:KTD65567 LCZ65502:LCZ65567 LMV65502:LMV65567 LWR65502:LWR65567 MGN65502:MGN65567 MQJ65502:MQJ65567 NAF65502:NAF65567 NKB65502:NKB65567 NTX65502:NTX65567 ODT65502:ODT65567 ONP65502:ONP65567 OXL65502:OXL65567 PHH65502:PHH65567 PRD65502:PRD65567 QAZ65502:QAZ65567 QKV65502:QKV65567 QUR65502:QUR65567 REN65502:REN65567 ROJ65502:ROJ65567 RYF65502:RYF65567 SIB65502:SIB65567 SRX65502:SRX65567 TBT65502:TBT65567 TLP65502:TLP65567 TVL65502:TVL65567 UFH65502:UFH65567 UPD65502:UPD65567 UYZ65502:UYZ65567 VIV65502:VIV65567 VSR65502:VSR65567 WCN65502:WCN65567 WMJ65502:WMJ65567 WWF65502:WWF65567 X131038:X131103 JT131038:JT131103 TP131038:TP131103 ADL131038:ADL131103 ANH131038:ANH131103 AXD131038:AXD131103 BGZ131038:BGZ131103 BQV131038:BQV131103 CAR131038:CAR131103 CKN131038:CKN131103 CUJ131038:CUJ131103 DEF131038:DEF131103 DOB131038:DOB131103 DXX131038:DXX131103 EHT131038:EHT131103 ERP131038:ERP131103 FBL131038:FBL131103 FLH131038:FLH131103 FVD131038:FVD131103 GEZ131038:GEZ131103 GOV131038:GOV131103 GYR131038:GYR131103 HIN131038:HIN131103 HSJ131038:HSJ131103 ICF131038:ICF131103 IMB131038:IMB131103 IVX131038:IVX131103 JFT131038:JFT131103 JPP131038:JPP131103 JZL131038:JZL131103 KJH131038:KJH131103 KTD131038:KTD131103 LCZ131038:LCZ131103 LMV131038:LMV131103 LWR131038:LWR131103 MGN131038:MGN131103 MQJ131038:MQJ131103 NAF131038:NAF131103 NKB131038:NKB131103 NTX131038:NTX131103 ODT131038:ODT131103 ONP131038:ONP131103 OXL131038:OXL131103 PHH131038:PHH131103 PRD131038:PRD131103 QAZ131038:QAZ131103 QKV131038:QKV131103 QUR131038:QUR131103 REN131038:REN131103 ROJ131038:ROJ131103 RYF131038:RYF131103 SIB131038:SIB131103 SRX131038:SRX131103 TBT131038:TBT131103 TLP131038:TLP131103 TVL131038:TVL131103 UFH131038:UFH131103 UPD131038:UPD131103 UYZ131038:UYZ131103 VIV131038:VIV131103 VSR131038:VSR131103 WCN131038:WCN131103 WMJ131038:WMJ131103 WWF131038:WWF131103 X196574:X196639 JT196574:JT196639 TP196574:TP196639 ADL196574:ADL196639 ANH196574:ANH196639 AXD196574:AXD196639 BGZ196574:BGZ196639 BQV196574:BQV196639 CAR196574:CAR196639 CKN196574:CKN196639 CUJ196574:CUJ196639 DEF196574:DEF196639 DOB196574:DOB196639 DXX196574:DXX196639 EHT196574:EHT196639 ERP196574:ERP196639 FBL196574:FBL196639 FLH196574:FLH196639 FVD196574:FVD196639 GEZ196574:GEZ196639 GOV196574:GOV196639 GYR196574:GYR196639 HIN196574:HIN196639 HSJ196574:HSJ196639 ICF196574:ICF196639 IMB196574:IMB196639 IVX196574:IVX196639 JFT196574:JFT196639 JPP196574:JPP196639 JZL196574:JZL196639 KJH196574:KJH196639 KTD196574:KTD196639 LCZ196574:LCZ196639 LMV196574:LMV196639 LWR196574:LWR196639 MGN196574:MGN196639 MQJ196574:MQJ196639 NAF196574:NAF196639 NKB196574:NKB196639 NTX196574:NTX196639 ODT196574:ODT196639 ONP196574:ONP196639 OXL196574:OXL196639 PHH196574:PHH196639 PRD196574:PRD196639 QAZ196574:QAZ196639 QKV196574:QKV196639 QUR196574:QUR196639 REN196574:REN196639 ROJ196574:ROJ196639 RYF196574:RYF196639 SIB196574:SIB196639 SRX196574:SRX196639 TBT196574:TBT196639 TLP196574:TLP196639 TVL196574:TVL196639 UFH196574:UFH196639 UPD196574:UPD196639 UYZ196574:UYZ196639 VIV196574:VIV196639 VSR196574:VSR196639 WCN196574:WCN196639 WMJ196574:WMJ196639 WWF196574:WWF196639 X262110:X262175 JT262110:JT262175 TP262110:TP262175 ADL262110:ADL262175 ANH262110:ANH262175 AXD262110:AXD262175 BGZ262110:BGZ262175 BQV262110:BQV262175 CAR262110:CAR262175 CKN262110:CKN262175 CUJ262110:CUJ262175 DEF262110:DEF262175 DOB262110:DOB262175 DXX262110:DXX262175 EHT262110:EHT262175 ERP262110:ERP262175 FBL262110:FBL262175 FLH262110:FLH262175 FVD262110:FVD262175 GEZ262110:GEZ262175 GOV262110:GOV262175 GYR262110:GYR262175 HIN262110:HIN262175 HSJ262110:HSJ262175 ICF262110:ICF262175 IMB262110:IMB262175 IVX262110:IVX262175 JFT262110:JFT262175 JPP262110:JPP262175 JZL262110:JZL262175 KJH262110:KJH262175 KTD262110:KTD262175 LCZ262110:LCZ262175 LMV262110:LMV262175 LWR262110:LWR262175 MGN262110:MGN262175 MQJ262110:MQJ262175 NAF262110:NAF262175 NKB262110:NKB262175 NTX262110:NTX262175 ODT262110:ODT262175 ONP262110:ONP262175 OXL262110:OXL262175 PHH262110:PHH262175 PRD262110:PRD262175 QAZ262110:QAZ262175 QKV262110:QKV262175 QUR262110:QUR262175 REN262110:REN262175 ROJ262110:ROJ262175 RYF262110:RYF262175 SIB262110:SIB262175 SRX262110:SRX262175 TBT262110:TBT262175 TLP262110:TLP262175 TVL262110:TVL262175 UFH262110:UFH262175 UPD262110:UPD262175 UYZ262110:UYZ262175 VIV262110:VIV262175 VSR262110:VSR262175 WCN262110:WCN262175 WMJ262110:WMJ262175 WWF262110:WWF262175 X327646:X327711 JT327646:JT327711 TP327646:TP327711 ADL327646:ADL327711 ANH327646:ANH327711 AXD327646:AXD327711 BGZ327646:BGZ327711 BQV327646:BQV327711 CAR327646:CAR327711 CKN327646:CKN327711 CUJ327646:CUJ327711 DEF327646:DEF327711 DOB327646:DOB327711 DXX327646:DXX327711 EHT327646:EHT327711 ERP327646:ERP327711 FBL327646:FBL327711 FLH327646:FLH327711 FVD327646:FVD327711 GEZ327646:GEZ327711 GOV327646:GOV327711 GYR327646:GYR327711 HIN327646:HIN327711 HSJ327646:HSJ327711 ICF327646:ICF327711 IMB327646:IMB327711 IVX327646:IVX327711 JFT327646:JFT327711 JPP327646:JPP327711 JZL327646:JZL327711 KJH327646:KJH327711 KTD327646:KTD327711 LCZ327646:LCZ327711 LMV327646:LMV327711 LWR327646:LWR327711 MGN327646:MGN327711 MQJ327646:MQJ327711 NAF327646:NAF327711 NKB327646:NKB327711 NTX327646:NTX327711 ODT327646:ODT327711 ONP327646:ONP327711 OXL327646:OXL327711 PHH327646:PHH327711 PRD327646:PRD327711 QAZ327646:QAZ327711 QKV327646:QKV327711 QUR327646:QUR327711 REN327646:REN327711 ROJ327646:ROJ327711 RYF327646:RYF327711 SIB327646:SIB327711 SRX327646:SRX327711 TBT327646:TBT327711 TLP327646:TLP327711 TVL327646:TVL327711 UFH327646:UFH327711 UPD327646:UPD327711 UYZ327646:UYZ327711 VIV327646:VIV327711 VSR327646:VSR327711 WCN327646:WCN327711 WMJ327646:WMJ327711 WWF327646:WWF327711 X393182:X393247 JT393182:JT393247 TP393182:TP393247 ADL393182:ADL393247 ANH393182:ANH393247 AXD393182:AXD393247 BGZ393182:BGZ393247 BQV393182:BQV393247 CAR393182:CAR393247 CKN393182:CKN393247 CUJ393182:CUJ393247 DEF393182:DEF393247 DOB393182:DOB393247 DXX393182:DXX393247 EHT393182:EHT393247 ERP393182:ERP393247 FBL393182:FBL393247 FLH393182:FLH393247 FVD393182:FVD393247 GEZ393182:GEZ393247 GOV393182:GOV393247 GYR393182:GYR393247 HIN393182:HIN393247 HSJ393182:HSJ393247 ICF393182:ICF393247 IMB393182:IMB393247 IVX393182:IVX393247 JFT393182:JFT393247 JPP393182:JPP393247 JZL393182:JZL393247 KJH393182:KJH393247 KTD393182:KTD393247 LCZ393182:LCZ393247 LMV393182:LMV393247 LWR393182:LWR393247 MGN393182:MGN393247 MQJ393182:MQJ393247 NAF393182:NAF393247 NKB393182:NKB393247 NTX393182:NTX393247 ODT393182:ODT393247 ONP393182:ONP393247 OXL393182:OXL393247 PHH393182:PHH393247 PRD393182:PRD393247 QAZ393182:QAZ393247 QKV393182:QKV393247 QUR393182:QUR393247 REN393182:REN393247 ROJ393182:ROJ393247 RYF393182:RYF393247 SIB393182:SIB393247 SRX393182:SRX393247 TBT393182:TBT393247 TLP393182:TLP393247 TVL393182:TVL393247 UFH393182:UFH393247 UPD393182:UPD393247 UYZ393182:UYZ393247 VIV393182:VIV393247 VSR393182:VSR393247 WCN393182:WCN393247 WMJ393182:WMJ393247 WWF393182:WWF393247 X458718:X458783 JT458718:JT458783 TP458718:TP458783 ADL458718:ADL458783 ANH458718:ANH458783 AXD458718:AXD458783 BGZ458718:BGZ458783 BQV458718:BQV458783 CAR458718:CAR458783 CKN458718:CKN458783 CUJ458718:CUJ458783 DEF458718:DEF458783 DOB458718:DOB458783 DXX458718:DXX458783 EHT458718:EHT458783 ERP458718:ERP458783 FBL458718:FBL458783 FLH458718:FLH458783 FVD458718:FVD458783 GEZ458718:GEZ458783 GOV458718:GOV458783 GYR458718:GYR458783 HIN458718:HIN458783 HSJ458718:HSJ458783 ICF458718:ICF458783 IMB458718:IMB458783 IVX458718:IVX458783 JFT458718:JFT458783 JPP458718:JPP458783 JZL458718:JZL458783 KJH458718:KJH458783 KTD458718:KTD458783 LCZ458718:LCZ458783 LMV458718:LMV458783 LWR458718:LWR458783 MGN458718:MGN458783 MQJ458718:MQJ458783 NAF458718:NAF458783 NKB458718:NKB458783 NTX458718:NTX458783 ODT458718:ODT458783 ONP458718:ONP458783 OXL458718:OXL458783 PHH458718:PHH458783 PRD458718:PRD458783 QAZ458718:QAZ458783 QKV458718:QKV458783 QUR458718:QUR458783 REN458718:REN458783 ROJ458718:ROJ458783 RYF458718:RYF458783 SIB458718:SIB458783 SRX458718:SRX458783 TBT458718:TBT458783 TLP458718:TLP458783 TVL458718:TVL458783 UFH458718:UFH458783 UPD458718:UPD458783 UYZ458718:UYZ458783 VIV458718:VIV458783 VSR458718:VSR458783 WCN458718:WCN458783 WMJ458718:WMJ458783 WWF458718:WWF458783 X524254:X524319 JT524254:JT524319 TP524254:TP524319 ADL524254:ADL524319 ANH524254:ANH524319 AXD524254:AXD524319 BGZ524254:BGZ524319 BQV524254:BQV524319 CAR524254:CAR524319 CKN524254:CKN524319 CUJ524254:CUJ524319 DEF524254:DEF524319 DOB524254:DOB524319 DXX524254:DXX524319 EHT524254:EHT524319 ERP524254:ERP524319 FBL524254:FBL524319 FLH524254:FLH524319 FVD524254:FVD524319 GEZ524254:GEZ524319 GOV524254:GOV524319 GYR524254:GYR524319 HIN524254:HIN524319 HSJ524254:HSJ524319 ICF524254:ICF524319 IMB524254:IMB524319 IVX524254:IVX524319 JFT524254:JFT524319 JPP524254:JPP524319 JZL524254:JZL524319 KJH524254:KJH524319 KTD524254:KTD524319 LCZ524254:LCZ524319 LMV524254:LMV524319 LWR524254:LWR524319 MGN524254:MGN524319 MQJ524254:MQJ524319 NAF524254:NAF524319 NKB524254:NKB524319 NTX524254:NTX524319 ODT524254:ODT524319 ONP524254:ONP524319 OXL524254:OXL524319 PHH524254:PHH524319 PRD524254:PRD524319 QAZ524254:QAZ524319 QKV524254:QKV524319 QUR524254:QUR524319 REN524254:REN524319 ROJ524254:ROJ524319 RYF524254:RYF524319 SIB524254:SIB524319 SRX524254:SRX524319 TBT524254:TBT524319 TLP524254:TLP524319 TVL524254:TVL524319 UFH524254:UFH524319 UPD524254:UPD524319 UYZ524254:UYZ524319 VIV524254:VIV524319 VSR524254:VSR524319 WCN524254:WCN524319 WMJ524254:WMJ524319 WWF524254:WWF524319 X589790:X589855 JT589790:JT589855 TP589790:TP589855 ADL589790:ADL589855 ANH589790:ANH589855 AXD589790:AXD589855 BGZ589790:BGZ589855 BQV589790:BQV589855 CAR589790:CAR589855 CKN589790:CKN589855 CUJ589790:CUJ589855 DEF589790:DEF589855 DOB589790:DOB589855 DXX589790:DXX589855 EHT589790:EHT589855 ERP589790:ERP589855 FBL589790:FBL589855 FLH589790:FLH589855 FVD589790:FVD589855 GEZ589790:GEZ589855 GOV589790:GOV589855 GYR589790:GYR589855 HIN589790:HIN589855 HSJ589790:HSJ589855 ICF589790:ICF589855 IMB589790:IMB589855 IVX589790:IVX589855 JFT589790:JFT589855 JPP589790:JPP589855 JZL589790:JZL589855 KJH589790:KJH589855 KTD589790:KTD589855 LCZ589790:LCZ589855 LMV589790:LMV589855 LWR589790:LWR589855 MGN589790:MGN589855 MQJ589790:MQJ589855 NAF589790:NAF589855 NKB589790:NKB589855 NTX589790:NTX589855 ODT589790:ODT589855 ONP589790:ONP589855 OXL589790:OXL589855 PHH589790:PHH589855 PRD589790:PRD589855 QAZ589790:QAZ589855 QKV589790:QKV589855 QUR589790:QUR589855 REN589790:REN589855 ROJ589790:ROJ589855 RYF589790:RYF589855 SIB589790:SIB589855 SRX589790:SRX589855 TBT589790:TBT589855 TLP589790:TLP589855 TVL589790:TVL589855 UFH589790:UFH589855 UPD589790:UPD589855 UYZ589790:UYZ589855 VIV589790:VIV589855 VSR589790:VSR589855 WCN589790:WCN589855 WMJ589790:WMJ589855 WWF589790:WWF589855 X655326:X655391 JT655326:JT655391 TP655326:TP655391 ADL655326:ADL655391 ANH655326:ANH655391 AXD655326:AXD655391 BGZ655326:BGZ655391 BQV655326:BQV655391 CAR655326:CAR655391 CKN655326:CKN655391 CUJ655326:CUJ655391 DEF655326:DEF655391 DOB655326:DOB655391 DXX655326:DXX655391 EHT655326:EHT655391 ERP655326:ERP655391 FBL655326:FBL655391 FLH655326:FLH655391 FVD655326:FVD655391 GEZ655326:GEZ655391 GOV655326:GOV655391 GYR655326:GYR655391 HIN655326:HIN655391 HSJ655326:HSJ655391 ICF655326:ICF655391 IMB655326:IMB655391 IVX655326:IVX655391 JFT655326:JFT655391 JPP655326:JPP655391 JZL655326:JZL655391 KJH655326:KJH655391 KTD655326:KTD655391 LCZ655326:LCZ655391 LMV655326:LMV655391 LWR655326:LWR655391 MGN655326:MGN655391 MQJ655326:MQJ655391 NAF655326:NAF655391 NKB655326:NKB655391 NTX655326:NTX655391 ODT655326:ODT655391 ONP655326:ONP655391 OXL655326:OXL655391 PHH655326:PHH655391 PRD655326:PRD655391 QAZ655326:QAZ655391 QKV655326:QKV655391 QUR655326:QUR655391 REN655326:REN655391 ROJ655326:ROJ655391 RYF655326:RYF655391 SIB655326:SIB655391 SRX655326:SRX655391 TBT655326:TBT655391 TLP655326:TLP655391 TVL655326:TVL655391 UFH655326:UFH655391 UPD655326:UPD655391 UYZ655326:UYZ655391 VIV655326:VIV655391 VSR655326:VSR655391 WCN655326:WCN655391 WMJ655326:WMJ655391 WWF655326:WWF655391 X720862:X720927 JT720862:JT720927 TP720862:TP720927 ADL720862:ADL720927 ANH720862:ANH720927 AXD720862:AXD720927 BGZ720862:BGZ720927 BQV720862:BQV720927 CAR720862:CAR720927 CKN720862:CKN720927 CUJ720862:CUJ720927 DEF720862:DEF720927 DOB720862:DOB720927 DXX720862:DXX720927 EHT720862:EHT720927 ERP720862:ERP720927 FBL720862:FBL720927 FLH720862:FLH720927 FVD720862:FVD720927 GEZ720862:GEZ720927 GOV720862:GOV720927 GYR720862:GYR720927 HIN720862:HIN720927 HSJ720862:HSJ720927 ICF720862:ICF720927 IMB720862:IMB720927 IVX720862:IVX720927 JFT720862:JFT720927 JPP720862:JPP720927 JZL720862:JZL720927 KJH720862:KJH720927 KTD720862:KTD720927 LCZ720862:LCZ720927 LMV720862:LMV720927 LWR720862:LWR720927 MGN720862:MGN720927 MQJ720862:MQJ720927 NAF720862:NAF720927 NKB720862:NKB720927 NTX720862:NTX720927 ODT720862:ODT720927 ONP720862:ONP720927 OXL720862:OXL720927 PHH720862:PHH720927 PRD720862:PRD720927 QAZ720862:QAZ720927 QKV720862:QKV720927 QUR720862:QUR720927 REN720862:REN720927 ROJ720862:ROJ720927 RYF720862:RYF720927 SIB720862:SIB720927 SRX720862:SRX720927 TBT720862:TBT720927 TLP720862:TLP720927 TVL720862:TVL720927 UFH720862:UFH720927 UPD720862:UPD720927 UYZ720862:UYZ720927 VIV720862:VIV720927 VSR720862:VSR720927 WCN720862:WCN720927 WMJ720862:WMJ720927 WWF720862:WWF720927 X786398:X786463 JT786398:JT786463 TP786398:TP786463 ADL786398:ADL786463 ANH786398:ANH786463 AXD786398:AXD786463 BGZ786398:BGZ786463 BQV786398:BQV786463 CAR786398:CAR786463 CKN786398:CKN786463 CUJ786398:CUJ786463 DEF786398:DEF786463 DOB786398:DOB786463 DXX786398:DXX786463 EHT786398:EHT786463 ERP786398:ERP786463 FBL786398:FBL786463 FLH786398:FLH786463 FVD786398:FVD786463 GEZ786398:GEZ786463 GOV786398:GOV786463 GYR786398:GYR786463 HIN786398:HIN786463 HSJ786398:HSJ786463 ICF786398:ICF786463 IMB786398:IMB786463 IVX786398:IVX786463 JFT786398:JFT786463 JPP786398:JPP786463 JZL786398:JZL786463 KJH786398:KJH786463 KTD786398:KTD786463 LCZ786398:LCZ786463 LMV786398:LMV786463 LWR786398:LWR786463 MGN786398:MGN786463 MQJ786398:MQJ786463 NAF786398:NAF786463 NKB786398:NKB786463 NTX786398:NTX786463 ODT786398:ODT786463 ONP786398:ONP786463 OXL786398:OXL786463 PHH786398:PHH786463 PRD786398:PRD786463 QAZ786398:QAZ786463 QKV786398:QKV786463 QUR786398:QUR786463 REN786398:REN786463 ROJ786398:ROJ786463 RYF786398:RYF786463 SIB786398:SIB786463 SRX786398:SRX786463 TBT786398:TBT786463 TLP786398:TLP786463 TVL786398:TVL786463 UFH786398:UFH786463 UPD786398:UPD786463 UYZ786398:UYZ786463 VIV786398:VIV786463 VSR786398:VSR786463 WCN786398:WCN786463 WMJ786398:WMJ786463 WWF786398:WWF786463 X851934:X851999 JT851934:JT851999 TP851934:TP851999 ADL851934:ADL851999 ANH851934:ANH851999 AXD851934:AXD851999 BGZ851934:BGZ851999 BQV851934:BQV851999 CAR851934:CAR851999 CKN851934:CKN851999 CUJ851934:CUJ851999 DEF851934:DEF851999 DOB851934:DOB851999 DXX851934:DXX851999 EHT851934:EHT851999 ERP851934:ERP851999 FBL851934:FBL851999 FLH851934:FLH851999 FVD851934:FVD851999 GEZ851934:GEZ851999 GOV851934:GOV851999 GYR851934:GYR851999 HIN851934:HIN851999 HSJ851934:HSJ851999 ICF851934:ICF851999 IMB851934:IMB851999 IVX851934:IVX851999 JFT851934:JFT851999 JPP851934:JPP851999 JZL851934:JZL851999 KJH851934:KJH851999 KTD851934:KTD851999 LCZ851934:LCZ851999 LMV851934:LMV851999 LWR851934:LWR851999 MGN851934:MGN851999 MQJ851934:MQJ851999 NAF851934:NAF851999 NKB851934:NKB851999 NTX851934:NTX851999 ODT851934:ODT851999 ONP851934:ONP851999 OXL851934:OXL851999 PHH851934:PHH851999 PRD851934:PRD851999 QAZ851934:QAZ851999 QKV851934:QKV851999 QUR851934:QUR851999 REN851934:REN851999 ROJ851934:ROJ851999 RYF851934:RYF851999 SIB851934:SIB851999 SRX851934:SRX851999 TBT851934:TBT851999 TLP851934:TLP851999 TVL851934:TVL851999 UFH851934:UFH851999 UPD851934:UPD851999 UYZ851934:UYZ851999 VIV851934:VIV851999 VSR851934:VSR851999 WCN851934:WCN851999 WMJ851934:WMJ851999 WWF851934:WWF851999 X917470:X917535 JT917470:JT917535 TP917470:TP917535 ADL917470:ADL917535 ANH917470:ANH917535 AXD917470:AXD917535 BGZ917470:BGZ917535 BQV917470:BQV917535 CAR917470:CAR917535 CKN917470:CKN917535 CUJ917470:CUJ917535 DEF917470:DEF917535 DOB917470:DOB917535 DXX917470:DXX917535 EHT917470:EHT917535 ERP917470:ERP917535 FBL917470:FBL917535 FLH917470:FLH917535 FVD917470:FVD917535 GEZ917470:GEZ917535 GOV917470:GOV917535 GYR917470:GYR917535 HIN917470:HIN917535 HSJ917470:HSJ917535 ICF917470:ICF917535 IMB917470:IMB917535 IVX917470:IVX917535 JFT917470:JFT917535 JPP917470:JPP917535 JZL917470:JZL917535 KJH917470:KJH917535 KTD917470:KTD917535 LCZ917470:LCZ917535 LMV917470:LMV917535 LWR917470:LWR917535 MGN917470:MGN917535 MQJ917470:MQJ917535 NAF917470:NAF917535 NKB917470:NKB917535 NTX917470:NTX917535 ODT917470:ODT917535 ONP917470:ONP917535 OXL917470:OXL917535 PHH917470:PHH917535 PRD917470:PRD917535 QAZ917470:QAZ917535 QKV917470:QKV917535 QUR917470:QUR917535 REN917470:REN917535 ROJ917470:ROJ917535 RYF917470:RYF917535 SIB917470:SIB917535 SRX917470:SRX917535 TBT917470:TBT917535 TLP917470:TLP917535 TVL917470:TVL917535 UFH917470:UFH917535 UPD917470:UPD917535 UYZ917470:UYZ917535 VIV917470:VIV917535 VSR917470:VSR917535 WCN917470:WCN917535 WMJ917470:WMJ917535 WWF917470:WWF917535 X983006:X983071 JT983006:JT983071 TP983006:TP983071 ADL983006:ADL983071 ANH983006:ANH983071 AXD983006:AXD983071 BGZ983006:BGZ983071 BQV983006:BQV983071 CAR983006:CAR983071 CKN983006:CKN983071 CUJ983006:CUJ983071 DEF983006:DEF983071 DOB983006:DOB983071 DXX983006:DXX983071 EHT983006:EHT983071 ERP983006:ERP983071 FBL983006:FBL983071 FLH983006:FLH983071 FVD983006:FVD983071 GEZ983006:GEZ983071 GOV983006:GOV983071 GYR983006:GYR983071 HIN983006:HIN983071 HSJ983006:HSJ983071 ICF983006:ICF983071 IMB983006:IMB983071 IVX983006:IVX983071 JFT983006:JFT983071 JPP983006:JPP983071 JZL983006:JZL983071 KJH983006:KJH983071 KTD983006:KTD983071 LCZ983006:LCZ983071 LMV983006:LMV983071 LWR983006:LWR983071 MGN983006:MGN983071 MQJ983006:MQJ983071 NAF983006:NAF983071 NKB983006:NKB983071 NTX983006:NTX983071 ODT983006:ODT983071 ONP983006:ONP983071 OXL983006:OXL983071 PHH983006:PHH983071 PRD983006:PRD983071 QAZ983006:QAZ983071 QKV983006:QKV983071 QUR983006:QUR983071 REN983006:REN983071 ROJ983006:ROJ983071 RYF983006:RYF983071 SIB983006:SIB983071 SRX983006:SRX983071 TBT983006:TBT983071 TLP983006:TLP983071 TVL983006:TVL983071 UFH983006:UFH983071 UPD983006:UPD983071 UYZ983006:UYZ983071 VIV983006:VIV983071 VSR983006:VSR983071 WCN983006:WCN983071 WMJ983006:WMJ983071 WWF2:WWF51 JT2:JT51 TP2:TP51 ADL2:ADL51 ANH2:ANH51 AXD2:AXD51 BGZ2:BGZ51 BQV2:BQV51 CAR2:CAR51 CKN2:CKN51 CUJ2:CUJ51 DEF2:DEF51 DOB2:DOB51 DXX2:DXX51 EHT2:EHT51 ERP2:ERP51 FBL2:FBL51 FLH2:FLH51 FVD2:FVD51 GEZ2:GEZ51 GOV2:GOV51 GYR2:GYR51 HIN2:HIN51 HSJ2:HSJ51 ICF2:ICF51 IMB2:IMB51 IVX2:IVX51 JFT2:JFT51 JPP2:JPP51 JZL2:JZL51 KJH2:KJH51 KTD2:KTD51 LCZ2:LCZ51 LMV2:LMV51 LWR2:LWR51 MGN2:MGN51 MQJ2:MQJ51 NAF2:NAF51 NKB2:NKB51 NTX2:NTX51 ODT2:ODT51 ONP2:ONP51 OXL2:OXL51 PHH2:PHH51 PRD2:PRD51 QAZ2:QAZ51 QKV2:QKV51 QUR2:QUR51 REN2:REN51 ROJ2:ROJ51 RYF2:RYF51 SIB2:SIB51 SRX2:SRX51 TBT2:TBT51 TLP2:TLP51 TVL2:TVL51 UFH2:UFH51 UPD2:UPD51 UYZ2:UYZ51 VIV2:VIV51 VSR2:VSR51 WCN2:WCN51 WMJ2:WMJ51 X2:X464" xr:uid="{1C7539EE-9E60-4520-BEB0-ABE0ABDD2A2C}">
      <formula1>$AT$2:$AT$3</formula1>
    </dataValidation>
    <dataValidation type="list" allowBlank="1" showInputMessage="1" showErrorMessage="1" sqref="G64327:G64394 JC64327:JC64394 SY64327:SY64394 ACU64327:ACU64394 AMQ64327:AMQ64394 AWM64327:AWM64394 BGI64327:BGI64394 BQE64327:BQE64394 CAA64327:CAA64394 CJW64327:CJW64394 CTS64327:CTS64394 DDO64327:DDO64394 DNK64327:DNK64394 DXG64327:DXG64394 EHC64327:EHC64394 EQY64327:EQY64394 FAU64327:FAU64394 FKQ64327:FKQ64394 FUM64327:FUM64394 GEI64327:GEI64394 GOE64327:GOE64394 GYA64327:GYA64394 HHW64327:HHW64394 HRS64327:HRS64394 IBO64327:IBO64394 ILK64327:ILK64394 IVG64327:IVG64394 JFC64327:JFC64394 JOY64327:JOY64394 JYU64327:JYU64394 KIQ64327:KIQ64394 KSM64327:KSM64394 LCI64327:LCI64394 LME64327:LME64394 LWA64327:LWA64394 MFW64327:MFW64394 MPS64327:MPS64394 MZO64327:MZO64394 NJK64327:NJK64394 NTG64327:NTG64394 ODC64327:ODC64394 OMY64327:OMY64394 OWU64327:OWU64394 PGQ64327:PGQ64394 PQM64327:PQM64394 QAI64327:QAI64394 QKE64327:QKE64394 QUA64327:QUA64394 RDW64327:RDW64394 RNS64327:RNS64394 RXO64327:RXO64394 SHK64327:SHK64394 SRG64327:SRG64394 TBC64327:TBC64394 TKY64327:TKY64394 TUU64327:TUU64394 UEQ64327:UEQ64394 UOM64327:UOM64394 UYI64327:UYI64394 VIE64327:VIE64394 VSA64327:VSA64394 WBW64327:WBW64394 WLS64327:WLS64394 WVO64327:WVO64394 G129863:G129930 JC129863:JC129930 SY129863:SY129930 ACU129863:ACU129930 AMQ129863:AMQ129930 AWM129863:AWM129930 BGI129863:BGI129930 BQE129863:BQE129930 CAA129863:CAA129930 CJW129863:CJW129930 CTS129863:CTS129930 DDO129863:DDO129930 DNK129863:DNK129930 DXG129863:DXG129930 EHC129863:EHC129930 EQY129863:EQY129930 FAU129863:FAU129930 FKQ129863:FKQ129930 FUM129863:FUM129930 GEI129863:GEI129930 GOE129863:GOE129930 GYA129863:GYA129930 HHW129863:HHW129930 HRS129863:HRS129930 IBO129863:IBO129930 ILK129863:ILK129930 IVG129863:IVG129930 JFC129863:JFC129930 JOY129863:JOY129930 JYU129863:JYU129930 KIQ129863:KIQ129930 KSM129863:KSM129930 LCI129863:LCI129930 LME129863:LME129930 LWA129863:LWA129930 MFW129863:MFW129930 MPS129863:MPS129930 MZO129863:MZO129930 NJK129863:NJK129930 NTG129863:NTG129930 ODC129863:ODC129930 OMY129863:OMY129930 OWU129863:OWU129930 PGQ129863:PGQ129930 PQM129863:PQM129930 QAI129863:QAI129930 QKE129863:QKE129930 QUA129863:QUA129930 RDW129863:RDW129930 RNS129863:RNS129930 RXO129863:RXO129930 SHK129863:SHK129930 SRG129863:SRG129930 TBC129863:TBC129930 TKY129863:TKY129930 TUU129863:TUU129930 UEQ129863:UEQ129930 UOM129863:UOM129930 UYI129863:UYI129930 VIE129863:VIE129930 VSA129863:VSA129930 WBW129863:WBW129930 WLS129863:WLS129930 WVO129863:WVO129930 G195399:G195466 JC195399:JC195466 SY195399:SY195466 ACU195399:ACU195466 AMQ195399:AMQ195466 AWM195399:AWM195466 BGI195399:BGI195466 BQE195399:BQE195466 CAA195399:CAA195466 CJW195399:CJW195466 CTS195399:CTS195466 DDO195399:DDO195466 DNK195399:DNK195466 DXG195399:DXG195466 EHC195399:EHC195466 EQY195399:EQY195466 FAU195399:FAU195466 FKQ195399:FKQ195466 FUM195399:FUM195466 GEI195399:GEI195466 GOE195399:GOE195466 GYA195399:GYA195466 HHW195399:HHW195466 HRS195399:HRS195466 IBO195399:IBO195466 ILK195399:ILK195466 IVG195399:IVG195466 JFC195399:JFC195466 JOY195399:JOY195466 JYU195399:JYU195466 KIQ195399:KIQ195466 KSM195399:KSM195466 LCI195399:LCI195466 LME195399:LME195466 LWA195399:LWA195466 MFW195399:MFW195466 MPS195399:MPS195466 MZO195399:MZO195466 NJK195399:NJK195466 NTG195399:NTG195466 ODC195399:ODC195466 OMY195399:OMY195466 OWU195399:OWU195466 PGQ195399:PGQ195466 PQM195399:PQM195466 QAI195399:QAI195466 QKE195399:QKE195466 QUA195399:QUA195466 RDW195399:RDW195466 RNS195399:RNS195466 RXO195399:RXO195466 SHK195399:SHK195466 SRG195399:SRG195466 TBC195399:TBC195466 TKY195399:TKY195466 TUU195399:TUU195466 UEQ195399:UEQ195466 UOM195399:UOM195466 UYI195399:UYI195466 VIE195399:VIE195466 VSA195399:VSA195466 WBW195399:WBW195466 WLS195399:WLS195466 WVO195399:WVO195466 G260935:G261002 JC260935:JC261002 SY260935:SY261002 ACU260935:ACU261002 AMQ260935:AMQ261002 AWM260935:AWM261002 BGI260935:BGI261002 BQE260935:BQE261002 CAA260935:CAA261002 CJW260935:CJW261002 CTS260935:CTS261002 DDO260935:DDO261002 DNK260935:DNK261002 DXG260935:DXG261002 EHC260935:EHC261002 EQY260935:EQY261002 FAU260935:FAU261002 FKQ260935:FKQ261002 FUM260935:FUM261002 GEI260935:GEI261002 GOE260935:GOE261002 GYA260935:GYA261002 HHW260935:HHW261002 HRS260935:HRS261002 IBO260935:IBO261002 ILK260935:ILK261002 IVG260935:IVG261002 JFC260935:JFC261002 JOY260935:JOY261002 JYU260935:JYU261002 KIQ260935:KIQ261002 KSM260935:KSM261002 LCI260935:LCI261002 LME260935:LME261002 LWA260935:LWA261002 MFW260935:MFW261002 MPS260935:MPS261002 MZO260935:MZO261002 NJK260935:NJK261002 NTG260935:NTG261002 ODC260935:ODC261002 OMY260935:OMY261002 OWU260935:OWU261002 PGQ260935:PGQ261002 PQM260935:PQM261002 QAI260935:QAI261002 QKE260935:QKE261002 QUA260935:QUA261002 RDW260935:RDW261002 RNS260935:RNS261002 RXO260935:RXO261002 SHK260935:SHK261002 SRG260935:SRG261002 TBC260935:TBC261002 TKY260935:TKY261002 TUU260935:TUU261002 UEQ260935:UEQ261002 UOM260935:UOM261002 UYI260935:UYI261002 VIE260935:VIE261002 VSA260935:VSA261002 WBW260935:WBW261002 WLS260935:WLS261002 WVO260935:WVO261002 G326471:G326538 JC326471:JC326538 SY326471:SY326538 ACU326471:ACU326538 AMQ326471:AMQ326538 AWM326471:AWM326538 BGI326471:BGI326538 BQE326471:BQE326538 CAA326471:CAA326538 CJW326471:CJW326538 CTS326471:CTS326538 DDO326471:DDO326538 DNK326471:DNK326538 DXG326471:DXG326538 EHC326471:EHC326538 EQY326471:EQY326538 FAU326471:FAU326538 FKQ326471:FKQ326538 FUM326471:FUM326538 GEI326471:GEI326538 GOE326471:GOE326538 GYA326471:GYA326538 HHW326471:HHW326538 HRS326471:HRS326538 IBO326471:IBO326538 ILK326471:ILK326538 IVG326471:IVG326538 JFC326471:JFC326538 JOY326471:JOY326538 JYU326471:JYU326538 KIQ326471:KIQ326538 KSM326471:KSM326538 LCI326471:LCI326538 LME326471:LME326538 LWA326471:LWA326538 MFW326471:MFW326538 MPS326471:MPS326538 MZO326471:MZO326538 NJK326471:NJK326538 NTG326471:NTG326538 ODC326471:ODC326538 OMY326471:OMY326538 OWU326471:OWU326538 PGQ326471:PGQ326538 PQM326471:PQM326538 QAI326471:QAI326538 QKE326471:QKE326538 QUA326471:QUA326538 RDW326471:RDW326538 RNS326471:RNS326538 RXO326471:RXO326538 SHK326471:SHK326538 SRG326471:SRG326538 TBC326471:TBC326538 TKY326471:TKY326538 TUU326471:TUU326538 UEQ326471:UEQ326538 UOM326471:UOM326538 UYI326471:UYI326538 VIE326471:VIE326538 VSA326471:VSA326538 WBW326471:WBW326538 WLS326471:WLS326538 WVO326471:WVO326538 G392007:G392074 JC392007:JC392074 SY392007:SY392074 ACU392007:ACU392074 AMQ392007:AMQ392074 AWM392007:AWM392074 BGI392007:BGI392074 BQE392007:BQE392074 CAA392007:CAA392074 CJW392007:CJW392074 CTS392007:CTS392074 DDO392007:DDO392074 DNK392007:DNK392074 DXG392007:DXG392074 EHC392007:EHC392074 EQY392007:EQY392074 FAU392007:FAU392074 FKQ392007:FKQ392074 FUM392007:FUM392074 GEI392007:GEI392074 GOE392007:GOE392074 GYA392007:GYA392074 HHW392007:HHW392074 HRS392007:HRS392074 IBO392007:IBO392074 ILK392007:ILK392074 IVG392007:IVG392074 JFC392007:JFC392074 JOY392007:JOY392074 JYU392007:JYU392074 KIQ392007:KIQ392074 KSM392007:KSM392074 LCI392007:LCI392074 LME392007:LME392074 LWA392007:LWA392074 MFW392007:MFW392074 MPS392007:MPS392074 MZO392007:MZO392074 NJK392007:NJK392074 NTG392007:NTG392074 ODC392007:ODC392074 OMY392007:OMY392074 OWU392007:OWU392074 PGQ392007:PGQ392074 PQM392007:PQM392074 QAI392007:QAI392074 QKE392007:QKE392074 QUA392007:QUA392074 RDW392007:RDW392074 RNS392007:RNS392074 RXO392007:RXO392074 SHK392007:SHK392074 SRG392007:SRG392074 TBC392007:TBC392074 TKY392007:TKY392074 TUU392007:TUU392074 UEQ392007:UEQ392074 UOM392007:UOM392074 UYI392007:UYI392074 VIE392007:VIE392074 VSA392007:VSA392074 WBW392007:WBW392074 WLS392007:WLS392074 WVO392007:WVO392074 G457543:G457610 JC457543:JC457610 SY457543:SY457610 ACU457543:ACU457610 AMQ457543:AMQ457610 AWM457543:AWM457610 BGI457543:BGI457610 BQE457543:BQE457610 CAA457543:CAA457610 CJW457543:CJW457610 CTS457543:CTS457610 DDO457543:DDO457610 DNK457543:DNK457610 DXG457543:DXG457610 EHC457543:EHC457610 EQY457543:EQY457610 FAU457543:FAU457610 FKQ457543:FKQ457610 FUM457543:FUM457610 GEI457543:GEI457610 GOE457543:GOE457610 GYA457543:GYA457610 HHW457543:HHW457610 HRS457543:HRS457610 IBO457543:IBO457610 ILK457543:ILK457610 IVG457543:IVG457610 JFC457543:JFC457610 JOY457543:JOY457610 JYU457543:JYU457610 KIQ457543:KIQ457610 KSM457543:KSM457610 LCI457543:LCI457610 LME457543:LME457610 LWA457543:LWA457610 MFW457543:MFW457610 MPS457543:MPS457610 MZO457543:MZO457610 NJK457543:NJK457610 NTG457543:NTG457610 ODC457543:ODC457610 OMY457543:OMY457610 OWU457543:OWU457610 PGQ457543:PGQ457610 PQM457543:PQM457610 QAI457543:QAI457610 QKE457543:QKE457610 QUA457543:QUA457610 RDW457543:RDW457610 RNS457543:RNS457610 RXO457543:RXO457610 SHK457543:SHK457610 SRG457543:SRG457610 TBC457543:TBC457610 TKY457543:TKY457610 TUU457543:TUU457610 UEQ457543:UEQ457610 UOM457543:UOM457610 UYI457543:UYI457610 VIE457543:VIE457610 VSA457543:VSA457610 WBW457543:WBW457610 WLS457543:WLS457610 WVO457543:WVO457610 G523079:G523146 JC523079:JC523146 SY523079:SY523146 ACU523079:ACU523146 AMQ523079:AMQ523146 AWM523079:AWM523146 BGI523079:BGI523146 BQE523079:BQE523146 CAA523079:CAA523146 CJW523079:CJW523146 CTS523079:CTS523146 DDO523079:DDO523146 DNK523079:DNK523146 DXG523079:DXG523146 EHC523079:EHC523146 EQY523079:EQY523146 FAU523079:FAU523146 FKQ523079:FKQ523146 FUM523079:FUM523146 GEI523079:GEI523146 GOE523079:GOE523146 GYA523079:GYA523146 HHW523079:HHW523146 HRS523079:HRS523146 IBO523079:IBO523146 ILK523079:ILK523146 IVG523079:IVG523146 JFC523079:JFC523146 JOY523079:JOY523146 JYU523079:JYU523146 KIQ523079:KIQ523146 KSM523079:KSM523146 LCI523079:LCI523146 LME523079:LME523146 LWA523079:LWA523146 MFW523079:MFW523146 MPS523079:MPS523146 MZO523079:MZO523146 NJK523079:NJK523146 NTG523079:NTG523146 ODC523079:ODC523146 OMY523079:OMY523146 OWU523079:OWU523146 PGQ523079:PGQ523146 PQM523079:PQM523146 QAI523079:QAI523146 QKE523079:QKE523146 QUA523079:QUA523146 RDW523079:RDW523146 RNS523079:RNS523146 RXO523079:RXO523146 SHK523079:SHK523146 SRG523079:SRG523146 TBC523079:TBC523146 TKY523079:TKY523146 TUU523079:TUU523146 UEQ523079:UEQ523146 UOM523079:UOM523146 UYI523079:UYI523146 VIE523079:VIE523146 VSA523079:VSA523146 WBW523079:WBW523146 WLS523079:WLS523146 WVO523079:WVO523146 G588615:G588682 JC588615:JC588682 SY588615:SY588682 ACU588615:ACU588682 AMQ588615:AMQ588682 AWM588615:AWM588682 BGI588615:BGI588682 BQE588615:BQE588682 CAA588615:CAA588682 CJW588615:CJW588682 CTS588615:CTS588682 DDO588615:DDO588682 DNK588615:DNK588682 DXG588615:DXG588682 EHC588615:EHC588682 EQY588615:EQY588682 FAU588615:FAU588682 FKQ588615:FKQ588682 FUM588615:FUM588682 GEI588615:GEI588682 GOE588615:GOE588682 GYA588615:GYA588682 HHW588615:HHW588682 HRS588615:HRS588682 IBO588615:IBO588682 ILK588615:ILK588682 IVG588615:IVG588682 JFC588615:JFC588682 JOY588615:JOY588682 JYU588615:JYU588682 KIQ588615:KIQ588682 KSM588615:KSM588682 LCI588615:LCI588682 LME588615:LME588682 LWA588615:LWA588682 MFW588615:MFW588682 MPS588615:MPS588682 MZO588615:MZO588682 NJK588615:NJK588682 NTG588615:NTG588682 ODC588615:ODC588682 OMY588615:OMY588682 OWU588615:OWU588682 PGQ588615:PGQ588682 PQM588615:PQM588682 QAI588615:QAI588682 QKE588615:QKE588682 QUA588615:QUA588682 RDW588615:RDW588682 RNS588615:RNS588682 RXO588615:RXO588682 SHK588615:SHK588682 SRG588615:SRG588682 TBC588615:TBC588682 TKY588615:TKY588682 TUU588615:TUU588682 UEQ588615:UEQ588682 UOM588615:UOM588682 UYI588615:UYI588682 VIE588615:VIE588682 VSA588615:VSA588682 WBW588615:WBW588682 WLS588615:WLS588682 WVO588615:WVO588682 G654151:G654218 JC654151:JC654218 SY654151:SY654218 ACU654151:ACU654218 AMQ654151:AMQ654218 AWM654151:AWM654218 BGI654151:BGI654218 BQE654151:BQE654218 CAA654151:CAA654218 CJW654151:CJW654218 CTS654151:CTS654218 DDO654151:DDO654218 DNK654151:DNK654218 DXG654151:DXG654218 EHC654151:EHC654218 EQY654151:EQY654218 FAU654151:FAU654218 FKQ654151:FKQ654218 FUM654151:FUM654218 GEI654151:GEI654218 GOE654151:GOE654218 GYA654151:GYA654218 HHW654151:HHW654218 HRS654151:HRS654218 IBO654151:IBO654218 ILK654151:ILK654218 IVG654151:IVG654218 JFC654151:JFC654218 JOY654151:JOY654218 JYU654151:JYU654218 KIQ654151:KIQ654218 KSM654151:KSM654218 LCI654151:LCI654218 LME654151:LME654218 LWA654151:LWA654218 MFW654151:MFW654218 MPS654151:MPS654218 MZO654151:MZO654218 NJK654151:NJK654218 NTG654151:NTG654218 ODC654151:ODC654218 OMY654151:OMY654218 OWU654151:OWU654218 PGQ654151:PGQ654218 PQM654151:PQM654218 QAI654151:QAI654218 QKE654151:QKE654218 QUA654151:QUA654218 RDW654151:RDW654218 RNS654151:RNS654218 RXO654151:RXO654218 SHK654151:SHK654218 SRG654151:SRG654218 TBC654151:TBC654218 TKY654151:TKY654218 TUU654151:TUU654218 UEQ654151:UEQ654218 UOM654151:UOM654218 UYI654151:UYI654218 VIE654151:VIE654218 VSA654151:VSA654218 WBW654151:WBW654218 WLS654151:WLS654218 WVO654151:WVO654218 G719687:G719754 JC719687:JC719754 SY719687:SY719754 ACU719687:ACU719754 AMQ719687:AMQ719754 AWM719687:AWM719754 BGI719687:BGI719754 BQE719687:BQE719754 CAA719687:CAA719754 CJW719687:CJW719754 CTS719687:CTS719754 DDO719687:DDO719754 DNK719687:DNK719754 DXG719687:DXG719754 EHC719687:EHC719754 EQY719687:EQY719754 FAU719687:FAU719754 FKQ719687:FKQ719754 FUM719687:FUM719754 GEI719687:GEI719754 GOE719687:GOE719754 GYA719687:GYA719754 HHW719687:HHW719754 HRS719687:HRS719754 IBO719687:IBO719754 ILK719687:ILK719754 IVG719687:IVG719754 JFC719687:JFC719754 JOY719687:JOY719754 JYU719687:JYU719754 KIQ719687:KIQ719754 KSM719687:KSM719754 LCI719687:LCI719754 LME719687:LME719754 LWA719687:LWA719754 MFW719687:MFW719754 MPS719687:MPS719754 MZO719687:MZO719754 NJK719687:NJK719754 NTG719687:NTG719754 ODC719687:ODC719754 OMY719687:OMY719754 OWU719687:OWU719754 PGQ719687:PGQ719754 PQM719687:PQM719754 QAI719687:QAI719754 QKE719687:QKE719754 QUA719687:QUA719754 RDW719687:RDW719754 RNS719687:RNS719754 RXO719687:RXO719754 SHK719687:SHK719754 SRG719687:SRG719754 TBC719687:TBC719754 TKY719687:TKY719754 TUU719687:TUU719754 UEQ719687:UEQ719754 UOM719687:UOM719754 UYI719687:UYI719754 VIE719687:VIE719754 VSA719687:VSA719754 WBW719687:WBW719754 WLS719687:WLS719754 WVO719687:WVO719754 G785223:G785290 JC785223:JC785290 SY785223:SY785290 ACU785223:ACU785290 AMQ785223:AMQ785290 AWM785223:AWM785290 BGI785223:BGI785290 BQE785223:BQE785290 CAA785223:CAA785290 CJW785223:CJW785290 CTS785223:CTS785290 DDO785223:DDO785290 DNK785223:DNK785290 DXG785223:DXG785290 EHC785223:EHC785290 EQY785223:EQY785290 FAU785223:FAU785290 FKQ785223:FKQ785290 FUM785223:FUM785290 GEI785223:GEI785290 GOE785223:GOE785290 GYA785223:GYA785290 HHW785223:HHW785290 HRS785223:HRS785290 IBO785223:IBO785290 ILK785223:ILK785290 IVG785223:IVG785290 JFC785223:JFC785290 JOY785223:JOY785290 JYU785223:JYU785290 KIQ785223:KIQ785290 KSM785223:KSM785290 LCI785223:LCI785290 LME785223:LME785290 LWA785223:LWA785290 MFW785223:MFW785290 MPS785223:MPS785290 MZO785223:MZO785290 NJK785223:NJK785290 NTG785223:NTG785290 ODC785223:ODC785290 OMY785223:OMY785290 OWU785223:OWU785290 PGQ785223:PGQ785290 PQM785223:PQM785290 QAI785223:QAI785290 QKE785223:QKE785290 QUA785223:QUA785290 RDW785223:RDW785290 RNS785223:RNS785290 RXO785223:RXO785290 SHK785223:SHK785290 SRG785223:SRG785290 TBC785223:TBC785290 TKY785223:TKY785290 TUU785223:TUU785290 UEQ785223:UEQ785290 UOM785223:UOM785290 UYI785223:UYI785290 VIE785223:VIE785290 VSA785223:VSA785290 WBW785223:WBW785290 WLS785223:WLS785290 WVO785223:WVO785290 G850759:G850826 JC850759:JC850826 SY850759:SY850826 ACU850759:ACU850826 AMQ850759:AMQ850826 AWM850759:AWM850826 BGI850759:BGI850826 BQE850759:BQE850826 CAA850759:CAA850826 CJW850759:CJW850826 CTS850759:CTS850826 DDO850759:DDO850826 DNK850759:DNK850826 DXG850759:DXG850826 EHC850759:EHC850826 EQY850759:EQY850826 FAU850759:FAU850826 FKQ850759:FKQ850826 FUM850759:FUM850826 GEI850759:GEI850826 GOE850759:GOE850826 GYA850759:GYA850826 HHW850759:HHW850826 HRS850759:HRS850826 IBO850759:IBO850826 ILK850759:ILK850826 IVG850759:IVG850826 JFC850759:JFC850826 JOY850759:JOY850826 JYU850759:JYU850826 KIQ850759:KIQ850826 KSM850759:KSM850826 LCI850759:LCI850826 LME850759:LME850826 LWA850759:LWA850826 MFW850759:MFW850826 MPS850759:MPS850826 MZO850759:MZO850826 NJK850759:NJK850826 NTG850759:NTG850826 ODC850759:ODC850826 OMY850759:OMY850826 OWU850759:OWU850826 PGQ850759:PGQ850826 PQM850759:PQM850826 QAI850759:QAI850826 QKE850759:QKE850826 QUA850759:QUA850826 RDW850759:RDW850826 RNS850759:RNS850826 RXO850759:RXO850826 SHK850759:SHK850826 SRG850759:SRG850826 TBC850759:TBC850826 TKY850759:TKY850826 TUU850759:TUU850826 UEQ850759:UEQ850826 UOM850759:UOM850826 UYI850759:UYI850826 VIE850759:VIE850826 VSA850759:VSA850826 WBW850759:WBW850826 WLS850759:WLS850826 WVO850759:WVO850826 G916295:G916362 JC916295:JC916362 SY916295:SY916362 ACU916295:ACU916362 AMQ916295:AMQ916362 AWM916295:AWM916362 BGI916295:BGI916362 BQE916295:BQE916362 CAA916295:CAA916362 CJW916295:CJW916362 CTS916295:CTS916362 DDO916295:DDO916362 DNK916295:DNK916362 DXG916295:DXG916362 EHC916295:EHC916362 EQY916295:EQY916362 FAU916295:FAU916362 FKQ916295:FKQ916362 FUM916295:FUM916362 GEI916295:GEI916362 GOE916295:GOE916362 GYA916295:GYA916362 HHW916295:HHW916362 HRS916295:HRS916362 IBO916295:IBO916362 ILK916295:ILK916362 IVG916295:IVG916362 JFC916295:JFC916362 JOY916295:JOY916362 JYU916295:JYU916362 KIQ916295:KIQ916362 KSM916295:KSM916362 LCI916295:LCI916362 LME916295:LME916362 LWA916295:LWA916362 MFW916295:MFW916362 MPS916295:MPS916362 MZO916295:MZO916362 NJK916295:NJK916362 NTG916295:NTG916362 ODC916295:ODC916362 OMY916295:OMY916362 OWU916295:OWU916362 PGQ916295:PGQ916362 PQM916295:PQM916362 QAI916295:QAI916362 QKE916295:QKE916362 QUA916295:QUA916362 RDW916295:RDW916362 RNS916295:RNS916362 RXO916295:RXO916362 SHK916295:SHK916362 SRG916295:SRG916362 TBC916295:TBC916362 TKY916295:TKY916362 TUU916295:TUU916362 UEQ916295:UEQ916362 UOM916295:UOM916362 UYI916295:UYI916362 VIE916295:VIE916362 VSA916295:VSA916362 WBW916295:WBW916362 WLS916295:WLS916362 WVO916295:WVO916362 G981831:G981898 JC981831:JC981898 SY981831:SY981898 ACU981831:ACU981898 AMQ981831:AMQ981898 AWM981831:AWM981898 BGI981831:BGI981898 BQE981831:BQE981898 CAA981831:CAA981898 CJW981831:CJW981898 CTS981831:CTS981898 DDO981831:DDO981898 DNK981831:DNK981898 DXG981831:DXG981898 EHC981831:EHC981898 EQY981831:EQY981898 FAU981831:FAU981898 FKQ981831:FKQ981898 FUM981831:FUM981898 GEI981831:GEI981898 GOE981831:GOE981898 GYA981831:GYA981898 HHW981831:HHW981898 HRS981831:HRS981898 IBO981831:IBO981898 ILK981831:ILK981898 IVG981831:IVG981898 JFC981831:JFC981898 JOY981831:JOY981898 JYU981831:JYU981898 KIQ981831:KIQ981898 KSM981831:KSM981898 LCI981831:LCI981898 LME981831:LME981898 LWA981831:LWA981898 MFW981831:MFW981898 MPS981831:MPS981898 MZO981831:MZO981898 NJK981831:NJK981898 NTG981831:NTG981898 ODC981831:ODC981898 OMY981831:OMY981898 OWU981831:OWU981898 PGQ981831:PGQ981898 PQM981831:PQM981898 QAI981831:QAI981898 QKE981831:QKE981898 QUA981831:QUA981898 RDW981831:RDW981898 RNS981831:RNS981898 RXO981831:RXO981898 SHK981831:SHK981898 SRG981831:SRG981898 TBC981831:TBC981898 TKY981831:TKY981898 TUU981831:TUU981898 UEQ981831:UEQ981898 UOM981831:UOM981898 UYI981831:UYI981898 VIE981831:VIE981898 VSA981831:VSA981898 WBW981831:WBW981898 WLS981831:WLS981898 WVO981831:WVO981898 G1047367:G1047434 JC1047367:JC1047434 SY1047367:SY1047434 ACU1047367:ACU1047434 AMQ1047367:AMQ1047434 AWM1047367:AWM1047434 BGI1047367:BGI1047434 BQE1047367:BQE1047434 CAA1047367:CAA1047434 CJW1047367:CJW1047434 CTS1047367:CTS1047434 DDO1047367:DDO1047434 DNK1047367:DNK1047434 DXG1047367:DXG1047434 EHC1047367:EHC1047434 EQY1047367:EQY1047434 FAU1047367:FAU1047434 FKQ1047367:FKQ1047434 FUM1047367:FUM1047434 GEI1047367:GEI1047434 GOE1047367:GOE1047434 GYA1047367:GYA1047434 HHW1047367:HHW1047434 HRS1047367:HRS1047434 IBO1047367:IBO1047434 ILK1047367:ILK1047434 IVG1047367:IVG1047434 JFC1047367:JFC1047434 JOY1047367:JOY1047434 JYU1047367:JYU1047434 KIQ1047367:KIQ1047434 KSM1047367:KSM1047434 LCI1047367:LCI1047434 LME1047367:LME1047434 LWA1047367:LWA1047434 MFW1047367:MFW1047434 MPS1047367:MPS1047434 MZO1047367:MZO1047434 NJK1047367:NJK1047434 NTG1047367:NTG1047434 ODC1047367:ODC1047434 OMY1047367:OMY1047434 OWU1047367:OWU1047434 PGQ1047367:PGQ1047434 PQM1047367:PQM1047434 QAI1047367:QAI1047434 QKE1047367:QKE1047434 QUA1047367:QUA1047434 RDW1047367:RDW1047434 RNS1047367:RNS1047434 RXO1047367:RXO1047434 SHK1047367:SHK1047434 SRG1047367:SRG1047434 TBC1047367:TBC1047434 TKY1047367:TKY1047434 TUU1047367:TUU1047434 UEQ1047367:UEQ1047434 UOM1047367:UOM1047434 UYI1047367:UYI1047434 VIE1047367:VIE1047434 VSA1047367:VSA1047434 WBW1047367:WBW1047434 WLS1047367:WLS1047434 WVO1047367:WVO1047434 WVO983006:WVO983077 G65502:G65573 JC65502:JC65573 SY65502:SY65573 ACU65502:ACU65573 AMQ65502:AMQ65573 AWM65502:AWM65573 BGI65502:BGI65573 BQE65502:BQE65573 CAA65502:CAA65573 CJW65502:CJW65573 CTS65502:CTS65573 DDO65502:DDO65573 DNK65502:DNK65573 DXG65502:DXG65573 EHC65502:EHC65573 EQY65502:EQY65573 FAU65502:FAU65573 FKQ65502:FKQ65573 FUM65502:FUM65573 GEI65502:GEI65573 GOE65502:GOE65573 GYA65502:GYA65573 HHW65502:HHW65573 HRS65502:HRS65573 IBO65502:IBO65573 ILK65502:ILK65573 IVG65502:IVG65573 JFC65502:JFC65573 JOY65502:JOY65573 JYU65502:JYU65573 KIQ65502:KIQ65573 KSM65502:KSM65573 LCI65502:LCI65573 LME65502:LME65573 LWA65502:LWA65573 MFW65502:MFW65573 MPS65502:MPS65573 MZO65502:MZO65573 NJK65502:NJK65573 NTG65502:NTG65573 ODC65502:ODC65573 OMY65502:OMY65573 OWU65502:OWU65573 PGQ65502:PGQ65573 PQM65502:PQM65573 QAI65502:QAI65573 QKE65502:QKE65573 QUA65502:QUA65573 RDW65502:RDW65573 RNS65502:RNS65573 RXO65502:RXO65573 SHK65502:SHK65573 SRG65502:SRG65573 TBC65502:TBC65573 TKY65502:TKY65573 TUU65502:TUU65573 UEQ65502:UEQ65573 UOM65502:UOM65573 UYI65502:UYI65573 VIE65502:VIE65573 VSA65502:VSA65573 WBW65502:WBW65573 WLS65502:WLS65573 WVO65502:WVO65573 G131038:G131109 JC131038:JC131109 SY131038:SY131109 ACU131038:ACU131109 AMQ131038:AMQ131109 AWM131038:AWM131109 BGI131038:BGI131109 BQE131038:BQE131109 CAA131038:CAA131109 CJW131038:CJW131109 CTS131038:CTS131109 DDO131038:DDO131109 DNK131038:DNK131109 DXG131038:DXG131109 EHC131038:EHC131109 EQY131038:EQY131109 FAU131038:FAU131109 FKQ131038:FKQ131109 FUM131038:FUM131109 GEI131038:GEI131109 GOE131038:GOE131109 GYA131038:GYA131109 HHW131038:HHW131109 HRS131038:HRS131109 IBO131038:IBO131109 ILK131038:ILK131109 IVG131038:IVG131109 JFC131038:JFC131109 JOY131038:JOY131109 JYU131038:JYU131109 KIQ131038:KIQ131109 KSM131038:KSM131109 LCI131038:LCI131109 LME131038:LME131109 LWA131038:LWA131109 MFW131038:MFW131109 MPS131038:MPS131109 MZO131038:MZO131109 NJK131038:NJK131109 NTG131038:NTG131109 ODC131038:ODC131109 OMY131038:OMY131109 OWU131038:OWU131109 PGQ131038:PGQ131109 PQM131038:PQM131109 QAI131038:QAI131109 QKE131038:QKE131109 QUA131038:QUA131109 RDW131038:RDW131109 RNS131038:RNS131109 RXO131038:RXO131109 SHK131038:SHK131109 SRG131038:SRG131109 TBC131038:TBC131109 TKY131038:TKY131109 TUU131038:TUU131109 UEQ131038:UEQ131109 UOM131038:UOM131109 UYI131038:UYI131109 VIE131038:VIE131109 VSA131038:VSA131109 WBW131038:WBW131109 WLS131038:WLS131109 WVO131038:WVO131109 G196574:G196645 JC196574:JC196645 SY196574:SY196645 ACU196574:ACU196645 AMQ196574:AMQ196645 AWM196574:AWM196645 BGI196574:BGI196645 BQE196574:BQE196645 CAA196574:CAA196645 CJW196574:CJW196645 CTS196574:CTS196645 DDO196574:DDO196645 DNK196574:DNK196645 DXG196574:DXG196645 EHC196574:EHC196645 EQY196574:EQY196645 FAU196574:FAU196645 FKQ196574:FKQ196645 FUM196574:FUM196645 GEI196574:GEI196645 GOE196574:GOE196645 GYA196574:GYA196645 HHW196574:HHW196645 HRS196574:HRS196645 IBO196574:IBO196645 ILK196574:ILK196645 IVG196574:IVG196645 JFC196574:JFC196645 JOY196574:JOY196645 JYU196574:JYU196645 KIQ196574:KIQ196645 KSM196574:KSM196645 LCI196574:LCI196645 LME196574:LME196645 LWA196574:LWA196645 MFW196574:MFW196645 MPS196574:MPS196645 MZO196574:MZO196645 NJK196574:NJK196645 NTG196574:NTG196645 ODC196574:ODC196645 OMY196574:OMY196645 OWU196574:OWU196645 PGQ196574:PGQ196645 PQM196574:PQM196645 QAI196574:QAI196645 QKE196574:QKE196645 QUA196574:QUA196645 RDW196574:RDW196645 RNS196574:RNS196645 RXO196574:RXO196645 SHK196574:SHK196645 SRG196574:SRG196645 TBC196574:TBC196645 TKY196574:TKY196645 TUU196574:TUU196645 UEQ196574:UEQ196645 UOM196574:UOM196645 UYI196574:UYI196645 VIE196574:VIE196645 VSA196574:VSA196645 WBW196574:WBW196645 WLS196574:WLS196645 WVO196574:WVO196645 G262110:G262181 JC262110:JC262181 SY262110:SY262181 ACU262110:ACU262181 AMQ262110:AMQ262181 AWM262110:AWM262181 BGI262110:BGI262181 BQE262110:BQE262181 CAA262110:CAA262181 CJW262110:CJW262181 CTS262110:CTS262181 DDO262110:DDO262181 DNK262110:DNK262181 DXG262110:DXG262181 EHC262110:EHC262181 EQY262110:EQY262181 FAU262110:FAU262181 FKQ262110:FKQ262181 FUM262110:FUM262181 GEI262110:GEI262181 GOE262110:GOE262181 GYA262110:GYA262181 HHW262110:HHW262181 HRS262110:HRS262181 IBO262110:IBO262181 ILK262110:ILK262181 IVG262110:IVG262181 JFC262110:JFC262181 JOY262110:JOY262181 JYU262110:JYU262181 KIQ262110:KIQ262181 KSM262110:KSM262181 LCI262110:LCI262181 LME262110:LME262181 LWA262110:LWA262181 MFW262110:MFW262181 MPS262110:MPS262181 MZO262110:MZO262181 NJK262110:NJK262181 NTG262110:NTG262181 ODC262110:ODC262181 OMY262110:OMY262181 OWU262110:OWU262181 PGQ262110:PGQ262181 PQM262110:PQM262181 QAI262110:QAI262181 QKE262110:QKE262181 QUA262110:QUA262181 RDW262110:RDW262181 RNS262110:RNS262181 RXO262110:RXO262181 SHK262110:SHK262181 SRG262110:SRG262181 TBC262110:TBC262181 TKY262110:TKY262181 TUU262110:TUU262181 UEQ262110:UEQ262181 UOM262110:UOM262181 UYI262110:UYI262181 VIE262110:VIE262181 VSA262110:VSA262181 WBW262110:WBW262181 WLS262110:WLS262181 WVO262110:WVO262181 G327646:G327717 JC327646:JC327717 SY327646:SY327717 ACU327646:ACU327717 AMQ327646:AMQ327717 AWM327646:AWM327717 BGI327646:BGI327717 BQE327646:BQE327717 CAA327646:CAA327717 CJW327646:CJW327717 CTS327646:CTS327717 DDO327646:DDO327717 DNK327646:DNK327717 DXG327646:DXG327717 EHC327646:EHC327717 EQY327646:EQY327717 FAU327646:FAU327717 FKQ327646:FKQ327717 FUM327646:FUM327717 GEI327646:GEI327717 GOE327646:GOE327717 GYA327646:GYA327717 HHW327646:HHW327717 HRS327646:HRS327717 IBO327646:IBO327717 ILK327646:ILK327717 IVG327646:IVG327717 JFC327646:JFC327717 JOY327646:JOY327717 JYU327646:JYU327717 KIQ327646:KIQ327717 KSM327646:KSM327717 LCI327646:LCI327717 LME327646:LME327717 LWA327646:LWA327717 MFW327646:MFW327717 MPS327646:MPS327717 MZO327646:MZO327717 NJK327646:NJK327717 NTG327646:NTG327717 ODC327646:ODC327717 OMY327646:OMY327717 OWU327646:OWU327717 PGQ327646:PGQ327717 PQM327646:PQM327717 QAI327646:QAI327717 QKE327646:QKE327717 QUA327646:QUA327717 RDW327646:RDW327717 RNS327646:RNS327717 RXO327646:RXO327717 SHK327646:SHK327717 SRG327646:SRG327717 TBC327646:TBC327717 TKY327646:TKY327717 TUU327646:TUU327717 UEQ327646:UEQ327717 UOM327646:UOM327717 UYI327646:UYI327717 VIE327646:VIE327717 VSA327646:VSA327717 WBW327646:WBW327717 WLS327646:WLS327717 WVO327646:WVO327717 G393182:G393253 JC393182:JC393253 SY393182:SY393253 ACU393182:ACU393253 AMQ393182:AMQ393253 AWM393182:AWM393253 BGI393182:BGI393253 BQE393182:BQE393253 CAA393182:CAA393253 CJW393182:CJW393253 CTS393182:CTS393253 DDO393182:DDO393253 DNK393182:DNK393253 DXG393182:DXG393253 EHC393182:EHC393253 EQY393182:EQY393253 FAU393182:FAU393253 FKQ393182:FKQ393253 FUM393182:FUM393253 GEI393182:GEI393253 GOE393182:GOE393253 GYA393182:GYA393253 HHW393182:HHW393253 HRS393182:HRS393253 IBO393182:IBO393253 ILK393182:ILK393253 IVG393182:IVG393253 JFC393182:JFC393253 JOY393182:JOY393253 JYU393182:JYU393253 KIQ393182:KIQ393253 KSM393182:KSM393253 LCI393182:LCI393253 LME393182:LME393253 LWA393182:LWA393253 MFW393182:MFW393253 MPS393182:MPS393253 MZO393182:MZO393253 NJK393182:NJK393253 NTG393182:NTG393253 ODC393182:ODC393253 OMY393182:OMY393253 OWU393182:OWU393253 PGQ393182:PGQ393253 PQM393182:PQM393253 QAI393182:QAI393253 QKE393182:QKE393253 QUA393182:QUA393253 RDW393182:RDW393253 RNS393182:RNS393253 RXO393182:RXO393253 SHK393182:SHK393253 SRG393182:SRG393253 TBC393182:TBC393253 TKY393182:TKY393253 TUU393182:TUU393253 UEQ393182:UEQ393253 UOM393182:UOM393253 UYI393182:UYI393253 VIE393182:VIE393253 VSA393182:VSA393253 WBW393182:WBW393253 WLS393182:WLS393253 WVO393182:WVO393253 G458718:G458789 JC458718:JC458789 SY458718:SY458789 ACU458718:ACU458789 AMQ458718:AMQ458789 AWM458718:AWM458789 BGI458718:BGI458789 BQE458718:BQE458789 CAA458718:CAA458789 CJW458718:CJW458789 CTS458718:CTS458789 DDO458718:DDO458789 DNK458718:DNK458789 DXG458718:DXG458789 EHC458718:EHC458789 EQY458718:EQY458789 FAU458718:FAU458789 FKQ458718:FKQ458789 FUM458718:FUM458789 GEI458718:GEI458789 GOE458718:GOE458789 GYA458718:GYA458789 HHW458718:HHW458789 HRS458718:HRS458789 IBO458718:IBO458789 ILK458718:ILK458789 IVG458718:IVG458789 JFC458718:JFC458789 JOY458718:JOY458789 JYU458718:JYU458789 KIQ458718:KIQ458789 KSM458718:KSM458789 LCI458718:LCI458789 LME458718:LME458789 LWA458718:LWA458789 MFW458718:MFW458789 MPS458718:MPS458789 MZO458718:MZO458789 NJK458718:NJK458789 NTG458718:NTG458789 ODC458718:ODC458789 OMY458718:OMY458789 OWU458718:OWU458789 PGQ458718:PGQ458789 PQM458718:PQM458789 QAI458718:QAI458789 QKE458718:QKE458789 QUA458718:QUA458789 RDW458718:RDW458789 RNS458718:RNS458789 RXO458718:RXO458789 SHK458718:SHK458789 SRG458718:SRG458789 TBC458718:TBC458789 TKY458718:TKY458789 TUU458718:TUU458789 UEQ458718:UEQ458789 UOM458718:UOM458789 UYI458718:UYI458789 VIE458718:VIE458789 VSA458718:VSA458789 WBW458718:WBW458789 WLS458718:WLS458789 WVO458718:WVO458789 G524254:G524325 JC524254:JC524325 SY524254:SY524325 ACU524254:ACU524325 AMQ524254:AMQ524325 AWM524254:AWM524325 BGI524254:BGI524325 BQE524254:BQE524325 CAA524254:CAA524325 CJW524254:CJW524325 CTS524254:CTS524325 DDO524254:DDO524325 DNK524254:DNK524325 DXG524254:DXG524325 EHC524254:EHC524325 EQY524254:EQY524325 FAU524254:FAU524325 FKQ524254:FKQ524325 FUM524254:FUM524325 GEI524254:GEI524325 GOE524254:GOE524325 GYA524254:GYA524325 HHW524254:HHW524325 HRS524254:HRS524325 IBO524254:IBO524325 ILK524254:ILK524325 IVG524254:IVG524325 JFC524254:JFC524325 JOY524254:JOY524325 JYU524254:JYU524325 KIQ524254:KIQ524325 KSM524254:KSM524325 LCI524254:LCI524325 LME524254:LME524325 LWA524254:LWA524325 MFW524254:MFW524325 MPS524254:MPS524325 MZO524254:MZO524325 NJK524254:NJK524325 NTG524254:NTG524325 ODC524254:ODC524325 OMY524254:OMY524325 OWU524254:OWU524325 PGQ524254:PGQ524325 PQM524254:PQM524325 QAI524254:QAI524325 QKE524254:QKE524325 QUA524254:QUA524325 RDW524254:RDW524325 RNS524254:RNS524325 RXO524254:RXO524325 SHK524254:SHK524325 SRG524254:SRG524325 TBC524254:TBC524325 TKY524254:TKY524325 TUU524254:TUU524325 UEQ524254:UEQ524325 UOM524254:UOM524325 UYI524254:UYI524325 VIE524254:VIE524325 VSA524254:VSA524325 WBW524254:WBW524325 WLS524254:WLS524325 WVO524254:WVO524325 G589790:G589861 JC589790:JC589861 SY589790:SY589861 ACU589790:ACU589861 AMQ589790:AMQ589861 AWM589790:AWM589861 BGI589790:BGI589861 BQE589790:BQE589861 CAA589790:CAA589861 CJW589790:CJW589861 CTS589790:CTS589861 DDO589790:DDO589861 DNK589790:DNK589861 DXG589790:DXG589861 EHC589790:EHC589861 EQY589790:EQY589861 FAU589790:FAU589861 FKQ589790:FKQ589861 FUM589790:FUM589861 GEI589790:GEI589861 GOE589790:GOE589861 GYA589790:GYA589861 HHW589790:HHW589861 HRS589790:HRS589861 IBO589790:IBO589861 ILK589790:ILK589861 IVG589790:IVG589861 JFC589790:JFC589861 JOY589790:JOY589861 JYU589790:JYU589861 KIQ589790:KIQ589861 KSM589790:KSM589861 LCI589790:LCI589861 LME589790:LME589861 LWA589790:LWA589861 MFW589790:MFW589861 MPS589790:MPS589861 MZO589790:MZO589861 NJK589790:NJK589861 NTG589790:NTG589861 ODC589790:ODC589861 OMY589790:OMY589861 OWU589790:OWU589861 PGQ589790:PGQ589861 PQM589790:PQM589861 QAI589790:QAI589861 QKE589790:QKE589861 QUA589790:QUA589861 RDW589790:RDW589861 RNS589790:RNS589861 RXO589790:RXO589861 SHK589790:SHK589861 SRG589790:SRG589861 TBC589790:TBC589861 TKY589790:TKY589861 TUU589790:TUU589861 UEQ589790:UEQ589861 UOM589790:UOM589861 UYI589790:UYI589861 VIE589790:VIE589861 VSA589790:VSA589861 WBW589790:WBW589861 WLS589790:WLS589861 WVO589790:WVO589861 G655326:G655397 JC655326:JC655397 SY655326:SY655397 ACU655326:ACU655397 AMQ655326:AMQ655397 AWM655326:AWM655397 BGI655326:BGI655397 BQE655326:BQE655397 CAA655326:CAA655397 CJW655326:CJW655397 CTS655326:CTS655397 DDO655326:DDO655397 DNK655326:DNK655397 DXG655326:DXG655397 EHC655326:EHC655397 EQY655326:EQY655397 FAU655326:FAU655397 FKQ655326:FKQ655397 FUM655326:FUM655397 GEI655326:GEI655397 GOE655326:GOE655397 GYA655326:GYA655397 HHW655326:HHW655397 HRS655326:HRS655397 IBO655326:IBO655397 ILK655326:ILK655397 IVG655326:IVG655397 JFC655326:JFC655397 JOY655326:JOY655397 JYU655326:JYU655397 KIQ655326:KIQ655397 KSM655326:KSM655397 LCI655326:LCI655397 LME655326:LME655397 LWA655326:LWA655397 MFW655326:MFW655397 MPS655326:MPS655397 MZO655326:MZO655397 NJK655326:NJK655397 NTG655326:NTG655397 ODC655326:ODC655397 OMY655326:OMY655397 OWU655326:OWU655397 PGQ655326:PGQ655397 PQM655326:PQM655397 QAI655326:QAI655397 QKE655326:QKE655397 QUA655326:QUA655397 RDW655326:RDW655397 RNS655326:RNS655397 RXO655326:RXO655397 SHK655326:SHK655397 SRG655326:SRG655397 TBC655326:TBC655397 TKY655326:TKY655397 TUU655326:TUU655397 UEQ655326:UEQ655397 UOM655326:UOM655397 UYI655326:UYI655397 VIE655326:VIE655397 VSA655326:VSA655397 WBW655326:WBW655397 WLS655326:WLS655397 WVO655326:WVO655397 G720862:G720933 JC720862:JC720933 SY720862:SY720933 ACU720862:ACU720933 AMQ720862:AMQ720933 AWM720862:AWM720933 BGI720862:BGI720933 BQE720862:BQE720933 CAA720862:CAA720933 CJW720862:CJW720933 CTS720862:CTS720933 DDO720862:DDO720933 DNK720862:DNK720933 DXG720862:DXG720933 EHC720862:EHC720933 EQY720862:EQY720933 FAU720862:FAU720933 FKQ720862:FKQ720933 FUM720862:FUM720933 GEI720862:GEI720933 GOE720862:GOE720933 GYA720862:GYA720933 HHW720862:HHW720933 HRS720862:HRS720933 IBO720862:IBO720933 ILK720862:ILK720933 IVG720862:IVG720933 JFC720862:JFC720933 JOY720862:JOY720933 JYU720862:JYU720933 KIQ720862:KIQ720933 KSM720862:KSM720933 LCI720862:LCI720933 LME720862:LME720933 LWA720862:LWA720933 MFW720862:MFW720933 MPS720862:MPS720933 MZO720862:MZO720933 NJK720862:NJK720933 NTG720862:NTG720933 ODC720862:ODC720933 OMY720862:OMY720933 OWU720862:OWU720933 PGQ720862:PGQ720933 PQM720862:PQM720933 QAI720862:QAI720933 QKE720862:QKE720933 QUA720862:QUA720933 RDW720862:RDW720933 RNS720862:RNS720933 RXO720862:RXO720933 SHK720862:SHK720933 SRG720862:SRG720933 TBC720862:TBC720933 TKY720862:TKY720933 TUU720862:TUU720933 UEQ720862:UEQ720933 UOM720862:UOM720933 UYI720862:UYI720933 VIE720862:VIE720933 VSA720862:VSA720933 WBW720862:WBW720933 WLS720862:WLS720933 WVO720862:WVO720933 G786398:G786469 JC786398:JC786469 SY786398:SY786469 ACU786398:ACU786469 AMQ786398:AMQ786469 AWM786398:AWM786469 BGI786398:BGI786469 BQE786398:BQE786469 CAA786398:CAA786469 CJW786398:CJW786469 CTS786398:CTS786469 DDO786398:DDO786469 DNK786398:DNK786469 DXG786398:DXG786469 EHC786398:EHC786469 EQY786398:EQY786469 FAU786398:FAU786469 FKQ786398:FKQ786469 FUM786398:FUM786469 GEI786398:GEI786469 GOE786398:GOE786469 GYA786398:GYA786469 HHW786398:HHW786469 HRS786398:HRS786469 IBO786398:IBO786469 ILK786398:ILK786469 IVG786398:IVG786469 JFC786398:JFC786469 JOY786398:JOY786469 JYU786398:JYU786469 KIQ786398:KIQ786469 KSM786398:KSM786469 LCI786398:LCI786469 LME786398:LME786469 LWA786398:LWA786469 MFW786398:MFW786469 MPS786398:MPS786469 MZO786398:MZO786469 NJK786398:NJK786469 NTG786398:NTG786469 ODC786398:ODC786469 OMY786398:OMY786469 OWU786398:OWU786469 PGQ786398:PGQ786469 PQM786398:PQM786469 QAI786398:QAI786469 QKE786398:QKE786469 QUA786398:QUA786469 RDW786398:RDW786469 RNS786398:RNS786469 RXO786398:RXO786469 SHK786398:SHK786469 SRG786398:SRG786469 TBC786398:TBC786469 TKY786398:TKY786469 TUU786398:TUU786469 UEQ786398:UEQ786469 UOM786398:UOM786469 UYI786398:UYI786469 VIE786398:VIE786469 VSA786398:VSA786469 WBW786398:WBW786469 WLS786398:WLS786469 WVO786398:WVO786469 G851934:G852005 JC851934:JC852005 SY851934:SY852005 ACU851934:ACU852005 AMQ851934:AMQ852005 AWM851934:AWM852005 BGI851934:BGI852005 BQE851934:BQE852005 CAA851934:CAA852005 CJW851934:CJW852005 CTS851934:CTS852005 DDO851934:DDO852005 DNK851934:DNK852005 DXG851934:DXG852005 EHC851934:EHC852005 EQY851934:EQY852005 FAU851934:FAU852005 FKQ851934:FKQ852005 FUM851934:FUM852005 GEI851934:GEI852005 GOE851934:GOE852005 GYA851934:GYA852005 HHW851934:HHW852005 HRS851934:HRS852005 IBO851934:IBO852005 ILK851934:ILK852005 IVG851934:IVG852005 JFC851934:JFC852005 JOY851934:JOY852005 JYU851934:JYU852005 KIQ851934:KIQ852005 KSM851934:KSM852005 LCI851934:LCI852005 LME851934:LME852005 LWA851934:LWA852005 MFW851934:MFW852005 MPS851934:MPS852005 MZO851934:MZO852005 NJK851934:NJK852005 NTG851934:NTG852005 ODC851934:ODC852005 OMY851934:OMY852005 OWU851934:OWU852005 PGQ851934:PGQ852005 PQM851934:PQM852005 QAI851934:QAI852005 QKE851934:QKE852005 QUA851934:QUA852005 RDW851934:RDW852005 RNS851934:RNS852005 RXO851934:RXO852005 SHK851934:SHK852005 SRG851934:SRG852005 TBC851934:TBC852005 TKY851934:TKY852005 TUU851934:TUU852005 UEQ851934:UEQ852005 UOM851934:UOM852005 UYI851934:UYI852005 VIE851934:VIE852005 VSA851934:VSA852005 WBW851934:WBW852005 WLS851934:WLS852005 WVO851934:WVO852005 G917470:G917541 JC917470:JC917541 SY917470:SY917541 ACU917470:ACU917541 AMQ917470:AMQ917541 AWM917470:AWM917541 BGI917470:BGI917541 BQE917470:BQE917541 CAA917470:CAA917541 CJW917470:CJW917541 CTS917470:CTS917541 DDO917470:DDO917541 DNK917470:DNK917541 DXG917470:DXG917541 EHC917470:EHC917541 EQY917470:EQY917541 FAU917470:FAU917541 FKQ917470:FKQ917541 FUM917470:FUM917541 GEI917470:GEI917541 GOE917470:GOE917541 GYA917470:GYA917541 HHW917470:HHW917541 HRS917470:HRS917541 IBO917470:IBO917541 ILK917470:ILK917541 IVG917470:IVG917541 JFC917470:JFC917541 JOY917470:JOY917541 JYU917470:JYU917541 KIQ917470:KIQ917541 KSM917470:KSM917541 LCI917470:LCI917541 LME917470:LME917541 LWA917470:LWA917541 MFW917470:MFW917541 MPS917470:MPS917541 MZO917470:MZO917541 NJK917470:NJK917541 NTG917470:NTG917541 ODC917470:ODC917541 OMY917470:OMY917541 OWU917470:OWU917541 PGQ917470:PGQ917541 PQM917470:PQM917541 QAI917470:QAI917541 QKE917470:QKE917541 QUA917470:QUA917541 RDW917470:RDW917541 RNS917470:RNS917541 RXO917470:RXO917541 SHK917470:SHK917541 SRG917470:SRG917541 TBC917470:TBC917541 TKY917470:TKY917541 TUU917470:TUU917541 UEQ917470:UEQ917541 UOM917470:UOM917541 UYI917470:UYI917541 VIE917470:VIE917541 VSA917470:VSA917541 WBW917470:WBW917541 WLS917470:WLS917541 WVO917470:WVO917541 G983006:G983077 JC983006:JC983077 SY983006:SY983077 ACU983006:ACU983077 AMQ983006:AMQ983077 AWM983006:AWM983077 BGI983006:BGI983077 BQE983006:BQE983077 CAA983006:CAA983077 CJW983006:CJW983077 CTS983006:CTS983077 DDO983006:DDO983077 DNK983006:DNK983077 DXG983006:DXG983077 EHC983006:EHC983077 EQY983006:EQY983077 FAU983006:FAU983077 FKQ983006:FKQ983077 FUM983006:FUM983077 GEI983006:GEI983077 GOE983006:GOE983077 GYA983006:GYA983077 HHW983006:HHW983077 HRS983006:HRS983077 IBO983006:IBO983077 ILK983006:ILK983077 IVG983006:IVG983077 JFC983006:JFC983077 JOY983006:JOY983077 JYU983006:JYU983077 KIQ983006:KIQ983077 KSM983006:KSM983077 LCI983006:LCI983077 LME983006:LME983077 LWA983006:LWA983077 MFW983006:MFW983077 MPS983006:MPS983077 MZO983006:MZO983077 NJK983006:NJK983077 NTG983006:NTG983077 ODC983006:ODC983077 OMY983006:OMY983077 OWU983006:OWU983077 PGQ983006:PGQ983077 PQM983006:PQM983077 QAI983006:QAI983077 QKE983006:QKE983077 QUA983006:QUA983077 RDW983006:RDW983077 RNS983006:RNS983077 RXO983006:RXO983077 SHK983006:SHK983077 SRG983006:SRG983077 TBC983006:TBC983077 TKY983006:TKY983077 TUU983006:TUU983077 UEQ983006:UEQ983077 UOM983006:UOM983077 UYI983006:UYI983077 VIE983006:VIE983077 VSA983006:VSA983077 WBW983006:WBW983077 WLS983006:WLS983077 G2:G464 JC2:JC51 WVO2:WVO51 WLS2:WLS51 WBW2:WBW51 VSA2:VSA51 VIE2:VIE51 UYI2:UYI51 UOM2:UOM51 UEQ2:UEQ51 TUU2:TUU51 TKY2:TKY51 TBC2:TBC51 SRG2:SRG51 SHK2:SHK51 RXO2:RXO51 RNS2:RNS51 RDW2:RDW51 QUA2:QUA51 QKE2:QKE51 QAI2:QAI51 PQM2:PQM51 PGQ2:PGQ51 OWU2:OWU51 OMY2:OMY51 ODC2:ODC51 NTG2:NTG51 NJK2:NJK51 MZO2:MZO51 MPS2:MPS51 MFW2:MFW51 LWA2:LWA51 LME2:LME51 LCI2:LCI51 KSM2:KSM51 KIQ2:KIQ51 JYU2:JYU51 JOY2:JOY51 JFC2:JFC51 IVG2:IVG51 ILK2:ILK51 IBO2:IBO51 HRS2:HRS51 HHW2:HHW51 GYA2:GYA51 GOE2:GOE51 GEI2:GEI51 FUM2:FUM51 FKQ2:FKQ51 FAU2:FAU51 EQY2:EQY51 EHC2:EHC51 DXG2:DXG51 DNK2:DNK51 DDO2:DDO51 CTS2:CTS51 CJW2:CJW51 CAA2:CAA51 BQE2:BQE51 BGI2:BGI51 AWM2:AWM51 AMQ2:AMQ51 ACU2:ACU51 SY2:SY51" xr:uid="{6F263A5E-AFEA-445B-B25B-4D4A578F2C02}">
      <formula1>$AJ$2:$AJ$4</formula1>
    </dataValidation>
    <dataValidation type="list" allowBlank="1" showInputMessage="1" showErrorMessage="1" sqref="I64327:I64392 JE64327:JE64392 TA64327:TA64392 ACW64327:ACW64392 AMS64327:AMS64392 AWO64327:AWO64392 BGK64327:BGK64392 BQG64327:BQG64392 CAC64327:CAC64392 CJY64327:CJY64392 CTU64327:CTU64392 DDQ64327:DDQ64392 DNM64327:DNM64392 DXI64327:DXI64392 EHE64327:EHE64392 ERA64327:ERA64392 FAW64327:FAW64392 FKS64327:FKS64392 FUO64327:FUO64392 GEK64327:GEK64392 GOG64327:GOG64392 GYC64327:GYC64392 HHY64327:HHY64392 HRU64327:HRU64392 IBQ64327:IBQ64392 ILM64327:ILM64392 IVI64327:IVI64392 JFE64327:JFE64392 JPA64327:JPA64392 JYW64327:JYW64392 KIS64327:KIS64392 KSO64327:KSO64392 LCK64327:LCK64392 LMG64327:LMG64392 LWC64327:LWC64392 MFY64327:MFY64392 MPU64327:MPU64392 MZQ64327:MZQ64392 NJM64327:NJM64392 NTI64327:NTI64392 ODE64327:ODE64392 ONA64327:ONA64392 OWW64327:OWW64392 PGS64327:PGS64392 PQO64327:PQO64392 QAK64327:QAK64392 QKG64327:QKG64392 QUC64327:QUC64392 RDY64327:RDY64392 RNU64327:RNU64392 RXQ64327:RXQ64392 SHM64327:SHM64392 SRI64327:SRI64392 TBE64327:TBE64392 TLA64327:TLA64392 TUW64327:TUW64392 UES64327:UES64392 UOO64327:UOO64392 UYK64327:UYK64392 VIG64327:VIG64392 VSC64327:VSC64392 WBY64327:WBY64392 WLU64327:WLU64392 WVQ64327:WVQ64392 I129863:I129928 JE129863:JE129928 TA129863:TA129928 ACW129863:ACW129928 AMS129863:AMS129928 AWO129863:AWO129928 BGK129863:BGK129928 BQG129863:BQG129928 CAC129863:CAC129928 CJY129863:CJY129928 CTU129863:CTU129928 DDQ129863:DDQ129928 DNM129863:DNM129928 DXI129863:DXI129928 EHE129863:EHE129928 ERA129863:ERA129928 FAW129863:FAW129928 FKS129863:FKS129928 FUO129863:FUO129928 GEK129863:GEK129928 GOG129863:GOG129928 GYC129863:GYC129928 HHY129863:HHY129928 HRU129863:HRU129928 IBQ129863:IBQ129928 ILM129863:ILM129928 IVI129863:IVI129928 JFE129863:JFE129928 JPA129863:JPA129928 JYW129863:JYW129928 KIS129863:KIS129928 KSO129863:KSO129928 LCK129863:LCK129928 LMG129863:LMG129928 LWC129863:LWC129928 MFY129863:MFY129928 MPU129863:MPU129928 MZQ129863:MZQ129928 NJM129863:NJM129928 NTI129863:NTI129928 ODE129863:ODE129928 ONA129863:ONA129928 OWW129863:OWW129928 PGS129863:PGS129928 PQO129863:PQO129928 QAK129863:QAK129928 QKG129863:QKG129928 QUC129863:QUC129928 RDY129863:RDY129928 RNU129863:RNU129928 RXQ129863:RXQ129928 SHM129863:SHM129928 SRI129863:SRI129928 TBE129863:TBE129928 TLA129863:TLA129928 TUW129863:TUW129928 UES129863:UES129928 UOO129863:UOO129928 UYK129863:UYK129928 VIG129863:VIG129928 VSC129863:VSC129928 WBY129863:WBY129928 WLU129863:WLU129928 WVQ129863:WVQ129928 I195399:I195464 JE195399:JE195464 TA195399:TA195464 ACW195399:ACW195464 AMS195399:AMS195464 AWO195399:AWO195464 BGK195399:BGK195464 BQG195399:BQG195464 CAC195399:CAC195464 CJY195399:CJY195464 CTU195399:CTU195464 DDQ195399:DDQ195464 DNM195399:DNM195464 DXI195399:DXI195464 EHE195399:EHE195464 ERA195399:ERA195464 FAW195399:FAW195464 FKS195399:FKS195464 FUO195399:FUO195464 GEK195399:GEK195464 GOG195399:GOG195464 GYC195399:GYC195464 HHY195399:HHY195464 HRU195399:HRU195464 IBQ195399:IBQ195464 ILM195399:ILM195464 IVI195399:IVI195464 JFE195399:JFE195464 JPA195399:JPA195464 JYW195399:JYW195464 KIS195399:KIS195464 KSO195399:KSO195464 LCK195399:LCK195464 LMG195399:LMG195464 LWC195399:LWC195464 MFY195399:MFY195464 MPU195399:MPU195464 MZQ195399:MZQ195464 NJM195399:NJM195464 NTI195399:NTI195464 ODE195399:ODE195464 ONA195399:ONA195464 OWW195399:OWW195464 PGS195399:PGS195464 PQO195399:PQO195464 QAK195399:QAK195464 QKG195399:QKG195464 QUC195399:QUC195464 RDY195399:RDY195464 RNU195399:RNU195464 RXQ195399:RXQ195464 SHM195399:SHM195464 SRI195399:SRI195464 TBE195399:TBE195464 TLA195399:TLA195464 TUW195399:TUW195464 UES195399:UES195464 UOO195399:UOO195464 UYK195399:UYK195464 VIG195399:VIG195464 VSC195399:VSC195464 WBY195399:WBY195464 WLU195399:WLU195464 WVQ195399:WVQ195464 I260935:I261000 JE260935:JE261000 TA260935:TA261000 ACW260935:ACW261000 AMS260935:AMS261000 AWO260935:AWO261000 BGK260935:BGK261000 BQG260935:BQG261000 CAC260935:CAC261000 CJY260935:CJY261000 CTU260935:CTU261000 DDQ260935:DDQ261000 DNM260935:DNM261000 DXI260935:DXI261000 EHE260935:EHE261000 ERA260935:ERA261000 FAW260935:FAW261000 FKS260935:FKS261000 FUO260935:FUO261000 GEK260935:GEK261000 GOG260935:GOG261000 GYC260935:GYC261000 HHY260935:HHY261000 HRU260935:HRU261000 IBQ260935:IBQ261000 ILM260935:ILM261000 IVI260935:IVI261000 JFE260935:JFE261000 JPA260935:JPA261000 JYW260935:JYW261000 KIS260935:KIS261000 KSO260935:KSO261000 LCK260935:LCK261000 LMG260935:LMG261000 LWC260935:LWC261000 MFY260935:MFY261000 MPU260935:MPU261000 MZQ260935:MZQ261000 NJM260935:NJM261000 NTI260935:NTI261000 ODE260935:ODE261000 ONA260935:ONA261000 OWW260935:OWW261000 PGS260935:PGS261000 PQO260935:PQO261000 QAK260935:QAK261000 QKG260935:QKG261000 QUC260935:QUC261000 RDY260935:RDY261000 RNU260935:RNU261000 RXQ260935:RXQ261000 SHM260935:SHM261000 SRI260935:SRI261000 TBE260935:TBE261000 TLA260935:TLA261000 TUW260935:TUW261000 UES260935:UES261000 UOO260935:UOO261000 UYK260935:UYK261000 VIG260935:VIG261000 VSC260935:VSC261000 WBY260935:WBY261000 WLU260935:WLU261000 WVQ260935:WVQ261000 I326471:I326536 JE326471:JE326536 TA326471:TA326536 ACW326471:ACW326536 AMS326471:AMS326536 AWO326471:AWO326536 BGK326471:BGK326536 BQG326471:BQG326536 CAC326471:CAC326536 CJY326471:CJY326536 CTU326471:CTU326536 DDQ326471:DDQ326536 DNM326471:DNM326536 DXI326471:DXI326536 EHE326471:EHE326536 ERA326471:ERA326536 FAW326471:FAW326536 FKS326471:FKS326536 FUO326471:FUO326536 GEK326471:GEK326536 GOG326471:GOG326536 GYC326471:GYC326536 HHY326471:HHY326536 HRU326471:HRU326536 IBQ326471:IBQ326536 ILM326471:ILM326536 IVI326471:IVI326536 JFE326471:JFE326536 JPA326471:JPA326536 JYW326471:JYW326536 KIS326471:KIS326536 KSO326471:KSO326536 LCK326471:LCK326536 LMG326471:LMG326536 LWC326471:LWC326536 MFY326471:MFY326536 MPU326471:MPU326536 MZQ326471:MZQ326536 NJM326471:NJM326536 NTI326471:NTI326536 ODE326471:ODE326536 ONA326471:ONA326536 OWW326471:OWW326536 PGS326471:PGS326536 PQO326471:PQO326536 QAK326471:QAK326536 QKG326471:QKG326536 QUC326471:QUC326536 RDY326471:RDY326536 RNU326471:RNU326536 RXQ326471:RXQ326536 SHM326471:SHM326536 SRI326471:SRI326536 TBE326471:TBE326536 TLA326471:TLA326536 TUW326471:TUW326536 UES326471:UES326536 UOO326471:UOO326536 UYK326471:UYK326536 VIG326471:VIG326536 VSC326471:VSC326536 WBY326471:WBY326536 WLU326471:WLU326536 WVQ326471:WVQ326536 I392007:I392072 JE392007:JE392072 TA392007:TA392072 ACW392007:ACW392072 AMS392007:AMS392072 AWO392007:AWO392072 BGK392007:BGK392072 BQG392007:BQG392072 CAC392007:CAC392072 CJY392007:CJY392072 CTU392007:CTU392072 DDQ392007:DDQ392072 DNM392007:DNM392072 DXI392007:DXI392072 EHE392007:EHE392072 ERA392007:ERA392072 FAW392007:FAW392072 FKS392007:FKS392072 FUO392007:FUO392072 GEK392007:GEK392072 GOG392007:GOG392072 GYC392007:GYC392072 HHY392007:HHY392072 HRU392007:HRU392072 IBQ392007:IBQ392072 ILM392007:ILM392072 IVI392007:IVI392072 JFE392007:JFE392072 JPA392007:JPA392072 JYW392007:JYW392072 KIS392007:KIS392072 KSO392007:KSO392072 LCK392007:LCK392072 LMG392007:LMG392072 LWC392007:LWC392072 MFY392007:MFY392072 MPU392007:MPU392072 MZQ392007:MZQ392072 NJM392007:NJM392072 NTI392007:NTI392072 ODE392007:ODE392072 ONA392007:ONA392072 OWW392007:OWW392072 PGS392007:PGS392072 PQO392007:PQO392072 QAK392007:QAK392072 QKG392007:QKG392072 QUC392007:QUC392072 RDY392007:RDY392072 RNU392007:RNU392072 RXQ392007:RXQ392072 SHM392007:SHM392072 SRI392007:SRI392072 TBE392007:TBE392072 TLA392007:TLA392072 TUW392007:TUW392072 UES392007:UES392072 UOO392007:UOO392072 UYK392007:UYK392072 VIG392007:VIG392072 VSC392007:VSC392072 WBY392007:WBY392072 WLU392007:WLU392072 WVQ392007:WVQ392072 I457543:I457608 JE457543:JE457608 TA457543:TA457608 ACW457543:ACW457608 AMS457543:AMS457608 AWO457543:AWO457608 BGK457543:BGK457608 BQG457543:BQG457608 CAC457543:CAC457608 CJY457543:CJY457608 CTU457543:CTU457608 DDQ457543:DDQ457608 DNM457543:DNM457608 DXI457543:DXI457608 EHE457543:EHE457608 ERA457543:ERA457608 FAW457543:FAW457608 FKS457543:FKS457608 FUO457543:FUO457608 GEK457543:GEK457608 GOG457543:GOG457608 GYC457543:GYC457608 HHY457543:HHY457608 HRU457543:HRU457608 IBQ457543:IBQ457608 ILM457543:ILM457608 IVI457543:IVI457608 JFE457543:JFE457608 JPA457543:JPA457608 JYW457543:JYW457608 KIS457543:KIS457608 KSO457543:KSO457608 LCK457543:LCK457608 LMG457543:LMG457608 LWC457543:LWC457608 MFY457543:MFY457608 MPU457543:MPU457608 MZQ457543:MZQ457608 NJM457543:NJM457608 NTI457543:NTI457608 ODE457543:ODE457608 ONA457543:ONA457608 OWW457543:OWW457608 PGS457543:PGS457608 PQO457543:PQO457608 QAK457543:QAK457608 QKG457543:QKG457608 QUC457543:QUC457608 RDY457543:RDY457608 RNU457543:RNU457608 RXQ457543:RXQ457608 SHM457543:SHM457608 SRI457543:SRI457608 TBE457543:TBE457608 TLA457543:TLA457608 TUW457543:TUW457608 UES457543:UES457608 UOO457543:UOO457608 UYK457543:UYK457608 VIG457543:VIG457608 VSC457543:VSC457608 WBY457543:WBY457608 WLU457543:WLU457608 WVQ457543:WVQ457608 I523079:I523144 JE523079:JE523144 TA523079:TA523144 ACW523079:ACW523144 AMS523079:AMS523144 AWO523079:AWO523144 BGK523079:BGK523144 BQG523079:BQG523144 CAC523079:CAC523144 CJY523079:CJY523144 CTU523079:CTU523144 DDQ523079:DDQ523144 DNM523079:DNM523144 DXI523079:DXI523144 EHE523079:EHE523144 ERA523079:ERA523144 FAW523079:FAW523144 FKS523079:FKS523144 FUO523079:FUO523144 GEK523079:GEK523144 GOG523079:GOG523144 GYC523079:GYC523144 HHY523079:HHY523144 HRU523079:HRU523144 IBQ523079:IBQ523144 ILM523079:ILM523144 IVI523079:IVI523144 JFE523079:JFE523144 JPA523079:JPA523144 JYW523079:JYW523144 KIS523079:KIS523144 KSO523079:KSO523144 LCK523079:LCK523144 LMG523079:LMG523144 LWC523079:LWC523144 MFY523079:MFY523144 MPU523079:MPU523144 MZQ523079:MZQ523144 NJM523079:NJM523144 NTI523079:NTI523144 ODE523079:ODE523144 ONA523079:ONA523144 OWW523079:OWW523144 PGS523079:PGS523144 PQO523079:PQO523144 QAK523079:QAK523144 QKG523079:QKG523144 QUC523079:QUC523144 RDY523079:RDY523144 RNU523079:RNU523144 RXQ523079:RXQ523144 SHM523079:SHM523144 SRI523079:SRI523144 TBE523079:TBE523144 TLA523079:TLA523144 TUW523079:TUW523144 UES523079:UES523144 UOO523079:UOO523144 UYK523079:UYK523144 VIG523079:VIG523144 VSC523079:VSC523144 WBY523079:WBY523144 WLU523079:WLU523144 WVQ523079:WVQ523144 I588615:I588680 JE588615:JE588680 TA588615:TA588680 ACW588615:ACW588680 AMS588615:AMS588680 AWO588615:AWO588680 BGK588615:BGK588680 BQG588615:BQG588680 CAC588615:CAC588680 CJY588615:CJY588680 CTU588615:CTU588680 DDQ588615:DDQ588680 DNM588615:DNM588680 DXI588615:DXI588680 EHE588615:EHE588680 ERA588615:ERA588680 FAW588615:FAW588680 FKS588615:FKS588680 FUO588615:FUO588680 GEK588615:GEK588680 GOG588615:GOG588680 GYC588615:GYC588680 HHY588615:HHY588680 HRU588615:HRU588680 IBQ588615:IBQ588680 ILM588615:ILM588680 IVI588615:IVI588680 JFE588615:JFE588680 JPA588615:JPA588680 JYW588615:JYW588680 KIS588615:KIS588680 KSO588615:KSO588680 LCK588615:LCK588680 LMG588615:LMG588680 LWC588615:LWC588680 MFY588615:MFY588680 MPU588615:MPU588680 MZQ588615:MZQ588680 NJM588615:NJM588680 NTI588615:NTI588680 ODE588615:ODE588680 ONA588615:ONA588680 OWW588615:OWW588680 PGS588615:PGS588680 PQO588615:PQO588680 QAK588615:QAK588680 QKG588615:QKG588680 QUC588615:QUC588680 RDY588615:RDY588680 RNU588615:RNU588680 RXQ588615:RXQ588680 SHM588615:SHM588680 SRI588615:SRI588680 TBE588615:TBE588680 TLA588615:TLA588680 TUW588615:TUW588680 UES588615:UES588680 UOO588615:UOO588680 UYK588615:UYK588680 VIG588615:VIG588680 VSC588615:VSC588680 WBY588615:WBY588680 WLU588615:WLU588680 WVQ588615:WVQ588680 I654151:I654216 JE654151:JE654216 TA654151:TA654216 ACW654151:ACW654216 AMS654151:AMS654216 AWO654151:AWO654216 BGK654151:BGK654216 BQG654151:BQG654216 CAC654151:CAC654216 CJY654151:CJY654216 CTU654151:CTU654216 DDQ654151:DDQ654216 DNM654151:DNM654216 DXI654151:DXI654216 EHE654151:EHE654216 ERA654151:ERA654216 FAW654151:FAW654216 FKS654151:FKS654216 FUO654151:FUO654216 GEK654151:GEK654216 GOG654151:GOG654216 GYC654151:GYC654216 HHY654151:HHY654216 HRU654151:HRU654216 IBQ654151:IBQ654216 ILM654151:ILM654216 IVI654151:IVI654216 JFE654151:JFE654216 JPA654151:JPA654216 JYW654151:JYW654216 KIS654151:KIS654216 KSO654151:KSO654216 LCK654151:LCK654216 LMG654151:LMG654216 LWC654151:LWC654216 MFY654151:MFY654216 MPU654151:MPU654216 MZQ654151:MZQ654216 NJM654151:NJM654216 NTI654151:NTI654216 ODE654151:ODE654216 ONA654151:ONA654216 OWW654151:OWW654216 PGS654151:PGS654216 PQO654151:PQO654216 QAK654151:QAK654216 QKG654151:QKG654216 QUC654151:QUC654216 RDY654151:RDY654216 RNU654151:RNU654216 RXQ654151:RXQ654216 SHM654151:SHM654216 SRI654151:SRI654216 TBE654151:TBE654216 TLA654151:TLA654216 TUW654151:TUW654216 UES654151:UES654216 UOO654151:UOO654216 UYK654151:UYK654216 VIG654151:VIG654216 VSC654151:VSC654216 WBY654151:WBY654216 WLU654151:WLU654216 WVQ654151:WVQ654216 I719687:I719752 JE719687:JE719752 TA719687:TA719752 ACW719687:ACW719752 AMS719687:AMS719752 AWO719687:AWO719752 BGK719687:BGK719752 BQG719687:BQG719752 CAC719687:CAC719752 CJY719687:CJY719752 CTU719687:CTU719752 DDQ719687:DDQ719752 DNM719687:DNM719752 DXI719687:DXI719752 EHE719687:EHE719752 ERA719687:ERA719752 FAW719687:FAW719752 FKS719687:FKS719752 FUO719687:FUO719752 GEK719687:GEK719752 GOG719687:GOG719752 GYC719687:GYC719752 HHY719687:HHY719752 HRU719687:HRU719752 IBQ719687:IBQ719752 ILM719687:ILM719752 IVI719687:IVI719752 JFE719687:JFE719752 JPA719687:JPA719752 JYW719687:JYW719752 KIS719687:KIS719752 KSO719687:KSO719752 LCK719687:LCK719752 LMG719687:LMG719752 LWC719687:LWC719752 MFY719687:MFY719752 MPU719687:MPU719752 MZQ719687:MZQ719752 NJM719687:NJM719752 NTI719687:NTI719752 ODE719687:ODE719752 ONA719687:ONA719752 OWW719687:OWW719752 PGS719687:PGS719752 PQO719687:PQO719752 QAK719687:QAK719752 QKG719687:QKG719752 QUC719687:QUC719752 RDY719687:RDY719752 RNU719687:RNU719752 RXQ719687:RXQ719752 SHM719687:SHM719752 SRI719687:SRI719752 TBE719687:TBE719752 TLA719687:TLA719752 TUW719687:TUW719752 UES719687:UES719752 UOO719687:UOO719752 UYK719687:UYK719752 VIG719687:VIG719752 VSC719687:VSC719752 WBY719687:WBY719752 WLU719687:WLU719752 WVQ719687:WVQ719752 I785223:I785288 JE785223:JE785288 TA785223:TA785288 ACW785223:ACW785288 AMS785223:AMS785288 AWO785223:AWO785288 BGK785223:BGK785288 BQG785223:BQG785288 CAC785223:CAC785288 CJY785223:CJY785288 CTU785223:CTU785288 DDQ785223:DDQ785288 DNM785223:DNM785288 DXI785223:DXI785288 EHE785223:EHE785288 ERA785223:ERA785288 FAW785223:FAW785288 FKS785223:FKS785288 FUO785223:FUO785288 GEK785223:GEK785288 GOG785223:GOG785288 GYC785223:GYC785288 HHY785223:HHY785288 HRU785223:HRU785288 IBQ785223:IBQ785288 ILM785223:ILM785288 IVI785223:IVI785288 JFE785223:JFE785288 JPA785223:JPA785288 JYW785223:JYW785288 KIS785223:KIS785288 KSO785223:KSO785288 LCK785223:LCK785288 LMG785223:LMG785288 LWC785223:LWC785288 MFY785223:MFY785288 MPU785223:MPU785288 MZQ785223:MZQ785288 NJM785223:NJM785288 NTI785223:NTI785288 ODE785223:ODE785288 ONA785223:ONA785288 OWW785223:OWW785288 PGS785223:PGS785288 PQO785223:PQO785288 QAK785223:QAK785288 QKG785223:QKG785288 QUC785223:QUC785288 RDY785223:RDY785288 RNU785223:RNU785288 RXQ785223:RXQ785288 SHM785223:SHM785288 SRI785223:SRI785288 TBE785223:TBE785288 TLA785223:TLA785288 TUW785223:TUW785288 UES785223:UES785288 UOO785223:UOO785288 UYK785223:UYK785288 VIG785223:VIG785288 VSC785223:VSC785288 WBY785223:WBY785288 WLU785223:WLU785288 WVQ785223:WVQ785288 I850759:I850824 JE850759:JE850824 TA850759:TA850824 ACW850759:ACW850824 AMS850759:AMS850824 AWO850759:AWO850824 BGK850759:BGK850824 BQG850759:BQG850824 CAC850759:CAC850824 CJY850759:CJY850824 CTU850759:CTU850824 DDQ850759:DDQ850824 DNM850759:DNM850824 DXI850759:DXI850824 EHE850759:EHE850824 ERA850759:ERA850824 FAW850759:FAW850824 FKS850759:FKS850824 FUO850759:FUO850824 GEK850759:GEK850824 GOG850759:GOG850824 GYC850759:GYC850824 HHY850759:HHY850824 HRU850759:HRU850824 IBQ850759:IBQ850824 ILM850759:ILM850824 IVI850759:IVI850824 JFE850759:JFE850824 JPA850759:JPA850824 JYW850759:JYW850824 KIS850759:KIS850824 KSO850759:KSO850824 LCK850759:LCK850824 LMG850759:LMG850824 LWC850759:LWC850824 MFY850759:MFY850824 MPU850759:MPU850824 MZQ850759:MZQ850824 NJM850759:NJM850824 NTI850759:NTI850824 ODE850759:ODE850824 ONA850759:ONA850824 OWW850759:OWW850824 PGS850759:PGS850824 PQO850759:PQO850824 QAK850759:QAK850824 QKG850759:QKG850824 QUC850759:QUC850824 RDY850759:RDY850824 RNU850759:RNU850824 RXQ850759:RXQ850824 SHM850759:SHM850824 SRI850759:SRI850824 TBE850759:TBE850824 TLA850759:TLA850824 TUW850759:TUW850824 UES850759:UES850824 UOO850759:UOO850824 UYK850759:UYK850824 VIG850759:VIG850824 VSC850759:VSC850824 WBY850759:WBY850824 WLU850759:WLU850824 WVQ850759:WVQ850824 I916295:I916360 JE916295:JE916360 TA916295:TA916360 ACW916295:ACW916360 AMS916295:AMS916360 AWO916295:AWO916360 BGK916295:BGK916360 BQG916295:BQG916360 CAC916295:CAC916360 CJY916295:CJY916360 CTU916295:CTU916360 DDQ916295:DDQ916360 DNM916295:DNM916360 DXI916295:DXI916360 EHE916295:EHE916360 ERA916295:ERA916360 FAW916295:FAW916360 FKS916295:FKS916360 FUO916295:FUO916360 GEK916295:GEK916360 GOG916295:GOG916360 GYC916295:GYC916360 HHY916295:HHY916360 HRU916295:HRU916360 IBQ916295:IBQ916360 ILM916295:ILM916360 IVI916295:IVI916360 JFE916295:JFE916360 JPA916295:JPA916360 JYW916295:JYW916360 KIS916295:KIS916360 KSO916295:KSO916360 LCK916295:LCK916360 LMG916295:LMG916360 LWC916295:LWC916360 MFY916295:MFY916360 MPU916295:MPU916360 MZQ916295:MZQ916360 NJM916295:NJM916360 NTI916295:NTI916360 ODE916295:ODE916360 ONA916295:ONA916360 OWW916295:OWW916360 PGS916295:PGS916360 PQO916295:PQO916360 QAK916295:QAK916360 QKG916295:QKG916360 QUC916295:QUC916360 RDY916295:RDY916360 RNU916295:RNU916360 RXQ916295:RXQ916360 SHM916295:SHM916360 SRI916295:SRI916360 TBE916295:TBE916360 TLA916295:TLA916360 TUW916295:TUW916360 UES916295:UES916360 UOO916295:UOO916360 UYK916295:UYK916360 VIG916295:VIG916360 VSC916295:VSC916360 WBY916295:WBY916360 WLU916295:WLU916360 WVQ916295:WVQ916360 I981831:I981896 JE981831:JE981896 TA981831:TA981896 ACW981831:ACW981896 AMS981831:AMS981896 AWO981831:AWO981896 BGK981831:BGK981896 BQG981831:BQG981896 CAC981831:CAC981896 CJY981831:CJY981896 CTU981831:CTU981896 DDQ981831:DDQ981896 DNM981831:DNM981896 DXI981831:DXI981896 EHE981831:EHE981896 ERA981831:ERA981896 FAW981831:FAW981896 FKS981831:FKS981896 FUO981831:FUO981896 GEK981831:GEK981896 GOG981831:GOG981896 GYC981831:GYC981896 HHY981831:HHY981896 HRU981831:HRU981896 IBQ981831:IBQ981896 ILM981831:ILM981896 IVI981831:IVI981896 JFE981831:JFE981896 JPA981831:JPA981896 JYW981831:JYW981896 KIS981831:KIS981896 KSO981831:KSO981896 LCK981831:LCK981896 LMG981831:LMG981896 LWC981831:LWC981896 MFY981831:MFY981896 MPU981831:MPU981896 MZQ981831:MZQ981896 NJM981831:NJM981896 NTI981831:NTI981896 ODE981831:ODE981896 ONA981831:ONA981896 OWW981831:OWW981896 PGS981831:PGS981896 PQO981831:PQO981896 QAK981831:QAK981896 QKG981831:QKG981896 QUC981831:QUC981896 RDY981831:RDY981896 RNU981831:RNU981896 RXQ981831:RXQ981896 SHM981831:SHM981896 SRI981831:SRI981896 TBE981831:TBE981896 TLA981831:TLA981896 TUW981831:TUW981896 UES981831:UES981896 UOO981831:UOO981896 UYK981831:UYK981896 VIG981831:VIG981896 VSC981831:VSC981896 WBY981831:WBY981896 WLU981831:WLU981896 WVQ981831:WVQ981896 I1047367:I1047432 JE1047367:JE1047432 TA1047367:TA1047432 ACW1047367:ACW1047432 AMS1047367:AMS1047432 AWO1047367:AWO1047432 BGK1047367:BGK1047432 BQG1047367:BQG1047432 CAC1047367:CAC1047432 CJY1047367:CJY1047432 CTU1047367:CTU1047432 DDQ1047367:DDQ1047432 DNM1047367:DNM1047432 DXI1047367:DXI1047432 EHE1047367:EHE1047432 ERA1047367:ERA1047432 FAW1047367:FAW1047432 FKS1047367:FKS1047432 FUO1047367:FUO1047432 GEK1047367:GEK1047432 GOG1047367:GOG1047432 GYC1047367:GYC1047432 HHY1047367:HHY1047432 HRU1047367:HRU1047432 IBQ1047367:IBQ1047432 ILM1047367:ILM1047432 IVI1047367:IVI1047432 JFE1047367:JFE1047432 JPA1047367:JPA1047432 JYW1047367:JYW1047432 KIS1047367:KIS1047432 KSO1047367:KSO1047432 LCK1047367:LCK1047432 LMG1047367:LMG1047432 LWC1047367:LWC1047432 MFY1047367:MFY1047432 MPU1047367:MPU1047432 MZQ1047367:MZQ1047432 NJM1047367:NJM1047432 NTI1047367:NTI1047432 ODE1047367:ODE1047432 ONA1047367:ONA1047432 OWW1047367:OWW1047432 PGS1047367:PGS1047432 PQO1047367:PQO1047432 QAK1047367:QAK1047432 QKG1047367:QKG1047432 QUC1047367:QUC1047432 RDY1047367:RDY1047432 RNU1047367:RNU1047432 RXQ1047367:RXQ1047432 SHM1047367:SHM1047432 SRI1047367:SRI1047432 TBE1047367:TBE1047432 TLA1047367:TLA1047432 TUW1047367:TUW1047432 UES1047367:UES1047432 UOO1047367:UOO1047432 UYK1047367:UYK1047432 VIG1047367:VIG1047432 VSC1047367:VSC1047432 WBY1047367:WBY1047432 WLU1047367:WLU1047432 WVQ1047367:WVQ1047432 WVQ983006:WVQ983071 I65502:I65567 JE65502:JE65567 TA65502:TA65567 ACW65502:ACW65567 AMS65502:AMS65567 AWO65502:AWO65567 BGK65502:BGK65567 BQG65502:BQG65567 CAC65502:CAC65567 CJY65502:CJY65567 CTU65502:CTU65567 DDQ65502:DDQ65567 DNM65502:DNM65567 DXI65502:DXI65567 EHE65502:EHE65567 ERA65502:ERA65567 FAW65502:FAW65567 FKS65502:FKS65567 FUO65502:FUO65567 GEK65502:GEK65567 GOG65502:GOG65567 GYC65502:GYC65567 HHY65502:HHY65567 HRU65502:HRU65567 IBQ65502:IBQ65567 ILM65502:ILM65567 IVI65502:IVI65567 JFE65502:JFE65567 JPA65502:JPA65567 JYW65502:JYW65567 KIS65502:KIS65567 KSO65502:KSO65567 LCK65502:LCK65567 LMG65502:LMG65567 LWC65502:LWC65567 MFY65502:MFY65567 MPU65502:MPU65567 MZQ65502:MZQ65567 NJM65502:NJM65567 NTI65502:NTI65567 ODE65502:ODE65567 ONA65502:ONA65567 OWW65502:OWW65567 PGS65502:PGS65567 PQO65502:PQO65567 QAK65502:QAK65567 QKG65502:QKG65567 QUC65502:QUC65567 RDY65502:RDY65567 RNU65502:RNU65567 RXQ65502:RXQ65567 SHM65502:SHM65567 SRI65502:SRI65567 TBE65502:TBE65567 TLA65502:TLA65567 TUW65502:TUW65567 UES65502:UES65567 UOO65502:UOO65567 UYK65502:UYK65567 VIG65502:VIG65567 VSC65502:VSC65567 WBY65502:WBY65567 WLU65502:WLU65567 WVQ65502:WVQ65567 I131038:I131103 JE131038:JE131103 TA131038:TA131103 ACW131038:ACW131103 AMS131038:AMS131103 AWO131038:AWO131103 BGK131038:BGK131103 BQG131038:BQG131103 CAC131038:CAC131103 CJY131038:CJY131103 CTU131038:CTU131103 DDQ131038:DDQ131103 DNM131038:DNM131103 DXI131038:DXI131103 EHE131038:EHE131103 ERA131038:ERA131103 FAW131038:FAW131103 FKS131038:FKS131103 FUO131038:FUO131103 GEK131038:GEK131103 GOG131038:GOG131103 GYC131038:GYC131103 HHY131038:HHY131103 HRU131038:HRU131103 IBQ131038:IBQ131103 ILM131038:ILM131103 IVI131038:IVI131103 JFE131038:JFE131103 JPA131038:JPA131103 JYW131038:JYW131103 KIS131038:KIS131103 KSO131038:KSO131103 LCK131038:LCK131103 LMG131038:LMG131103 LWC131038:LWC131103 MFY131038:MFY131103 MPU131038:MPU131103 MZQ131038:MZQ131103 NJM131038:NJM131103 NTI131038:NTI131103 ODE131038:ODE131103 ONA131038:ONA131103 OWW131038:OWW131103 PGS131038:PGS131103 PQO131038:PQO131103 QAK131038:QAK131103 QKG131038:QKG131103 QUC131038:QUC131103 RDY131038:RDY131103 RNU131038:RNU131103 RXQ131038:RXQ131103 SHM131038:SHM131103 SRI131038:SRI131103 TBE131038:TBE131103 TLA131038:TLA131103 TUW131038:TUW131103 UES131038:UES131103 UOO131038:UOO131103 UYK131038:UYK131103 VIG131038:VIG131103 VSC131038:VSC131103 WBY131038:WBY131103 WLU131038:WLU131103 WVQ131038:WVQ131103 I196574:I196639 JE196574:JE196639 TA196574:TA196639 ACW196574:ACW196639 AMS196574:AMS196639 AWO196574:AWO196639 BGK196574:BGK196639 BQG196574:BQG196639 CAC196574:CAC196639 CJY196574:CJY196639 CTU196574:CTU196639 DDQ196574:DDQ196639 DNM196574:DNM196639 DXI196574:DXI196639 EHE196574:EHE196639 ERA196574:ERA196639 FAW196574:FAW196639 FKS196574:FKS196639 FUO196574:FUO196639 GEK196574:GEK196639 GOG196574:GOG196639 GYC196574:GYC196639 HHY196574:HHY196639 HRU196574:HRU196639 IBQ196574:IBQ196639 ILM196574:ILM196639 IVI196574:IVI196639 JFE196574:JFE196639 JPA196574:JPA196639 JYW196574:JYW196639 KIS196574:KIS196639 KSO196574:KSO196639 LCK196574:LCK196639 LMG196574:LMG196639 LWC196574:LWC196639 MFY196574:MFY196639 MPU196574:MPU196639 MZQ196574:MZQ196639 NJM196574:NJM196639 NTI196574:NTI196639 ODE196574:ODE196639 ONA196574:ONA196639 OWW196574:OWW196639 PGS196574:PGS196639 PQO196574:PQO196639 QAK196574:QAK196639 QKG196574:QKG196639 QUC196574:QUC196639 RDY196574:RDY196639 RNU196574:RNU196639 RXQ196574:RXQ196639 SHM196574:SHM196639 SRI196574:SRI196639 TBE196574:TBE196639 TLA196574:TLA196639 TUW196574:TUW196639 UES196574:UES196639 UOO196574:UOO196639 UYK196574:UYK196639 VIG196574:VIG196639 VSC196574:VSC196639 WBY196574:WBY196639 WLU196574:WLU196639 WVQ196574:WVQ196639 I262110:I262175 JE262110:JE262175 TA262110:TA262175 ACW262110:ACW262175 AMS262110:AMS262175 AWO262110:AWO262175 BGK262110:BGK262175 BQG262110:BQG262175 CAC262110:CAC262175 CJY262110:CJY262175 CTU262110:CTU262175 DDQ262110:DDQ262175 DNM262110:DNM262175 DXI262110:DXI262175 EHE262110:EHE262175 ERA262110:ERA262175 FAW262110:FAW262175 FKS262110:FKS262175 FUO262110:FUO262175 GEK262110:GEK262175 GOG262110:GOG262175 GYC262110:GYC262175 HHY262110:HHY262175 HRU262110:HRU262175 IBQ262110:IBQ262175 ILM262110:ILM262175 IVI262110:IVI262175 JFE262110:JFE262175 JPA262110:JPA262175 JYW262110:JYW262175 KIS262110:KIS262175 KSO262110:KSO262175 LCK262110:LCK262175 LMG262110:LMG262175 LWC262110:LWC262175 MFY262110:MFY262175 MPU262110:MPU262175 MZQ262110:MZQ262175 NJM262110:NJM262175 NTI262110:NTI262175 ODE262110:ODE262175 ONA262110:ONA262175 OWW262110:OWW262175 PGS262110:PGS262175 PQO262110:PQO262175 QAK262110:QAK262175 QKG262110:QKG262175 QUC262110:QUC262175 RDY262110:RDY262175 RNU262110:RNU262175 RXQ262110:RXQ262175 SHM262110:SHM262175 SRI262110:SRI262175 TBE262110:TBE262175 TLA262110:TLA262175 TUW262110:TUW262175 UES262110:UES262175 UOO262110:UOO262175 UYK262110:UYK262175 VIG262110:VIG262175 VSC262110:VSC262175 WBY262110:WBY262175 WLU262110:WLU262175 WVQ262110:WVQ262175 I327646:I327711 JE327646:JE327711 TA327646:TA327711 ACW327646:ACW327711 AMS327646:AMS327711 AWO327646:AWO327711 BGK327646:BGK327711 BQG327646:BQG327711 CAC327646:CAC327711 CJY327646:CJY327711 CTU327646:CTU327711 DDQ327646:DDQ327711 DNM327646:DNM327711 DXI327646:DXI327711 EHE327646:EHE327711 ERA327646:ERA327711 FAW327646:FAW327711 FKS327646:FKS327711 FUO327646:FUO327711 GEK327646:GEK327711 GOG327646:GOG327711 GYC327646:GYC327711 HHY327646:HHY327711 HRU327646:HRU327711 IBQ327646:IBQ327711 ILM327646:ILM327711 IVI327646:IVI327711 JFE327646:JFE327711 JPA327646:JPA327711 JYW327646:JYW327711 KIS327646:KIS327711 KSO327646:KSO327711 LCK327646:LCK327711 LMG327646:LMG327711 LWC327646:LWC327711 MFY327646:MFY327711 MPU327646:MPU327711 MZQ327646:MZQ327711 NJM327646:NJM327711 NTI327646:NTI327711 ODE327646:ODE327711 ONA327646:ONA327711 OWW327646:OWW327711 PGS327646:PGS327711 PQO327646:PQO327711 QAK327646:QAK327711 QKG327646:QKG327711 QUC327646:QUC327711 RDY327646:RDY327711 RNU327646:RNU327711 RXQ327646:RXQ327711 SHM327646:SHM327711 SRI327646:SRI327711 TBE327646:TBE327711 TLA327646:TLA327711 TUW327646:TUW327711 UES327646:UES327711 UOO327646:UOO327711 UYK327646:UYK327711 VIG327646:VIG327711 VSC327646:VSC327711 WBY327646:WBY327711 WLU327646:WLU327711 WVQ327646:WVQ327711 I393182:I393247 JE393182:JE393247 TA393182:TA393247 ACW393182:ACW393247 AMS393182:AMS393247 AWO393182:AWO393247 BGK393182:BGK393247 BQG393182:BQG393247 CAC393182:CAC393247 CJY393182:CJY393247 CTU393182:CTU393247 DDQ393182:DDQ393247 DNM393182:DNM393247 DXI393182:DXI393247 EHE393182:EHE393247 ERA393182:ERA393247 FAW393182:FAW393247 FKS393182:FKS393247 FUO393182:FUO393247 GEK393182:GEK393247 GOG393182:GOG393247 GYC393182:GYC393247 HHY393182:HHY393247 HRU393182:HRU393247 IBQ393182:IBQ393247 ILM393182:ILM393247 IVI393182:IVI393247 JFE393182:JFE393247 JPA393182:JPA393247 JYW393182:JYW393247 KIS393182:KIS393247 KSO393182:KSO393247 LCK393182:LCK393247 LMG393182:LMG393247 LWC393182:LWC393247 MFY393182:MFY393247 MPU393182:MPU393247 MZQ393182:MZQ393247 NJM393182:NJM393247 NTI393182:NTI393247 ODE393182:ODE393247 ONA393182:ONA393247 OWW393182:OWW393247 PGS393182:PGS393247 PQO393182:PQO393247 QAK393182:QAK393247 QKG393182:QKG393247 QUC393182:QUC393247 RDY393182:RDY393247 RNU393182:RNU393247 RXQ393182:RXQ393247 SHM393182:SHM393247 SRI393182:SRI393247 TBE393182:TBE393247 TLA393182:TLA393247 TUW393182:TUW393247 UES393182:UES393247 UOO393182:UOO393247 UYK393182:UYK393247 VIG393182:VIG393247 VSC393182:VSC393247 WBY393182:WBY393247 WLU393182:WLU393247 WVQ393182:WVQ393247 I458718:I458783 JE458718:JE458783 TA458718:TA458783 ACW458718:ACW458783 AMS458718:AMS458783 AWO458718:AWO458783 BGK458718:BGK458783 BQG458718:BQG458783 CAC458718:CAC458783 CJY458718:CJY458783 CTU458718:CTU458783 DDQ458718:DDQ458783 DNM458718:DNM458783 DXI458718:DXI458783 EHE458718:EHE458783 ERA458718:ERA458783 FAW458718:FAW458783 FKS458718:FKS458783 FUO458718:FUO458783 GEK458718:GEK458783 GOG458718:GOG458783 GYC458718:GYC458783 HHY458718:HHY458783 HRU458718:HRU458783 IBQ458718:IBQ458783 ILM458718:ILM458783 IVI458718:IVI458783 JFE458718:JFE458783 JPA458718:JPA458783 JYW458718:JYW458783 KIS458718:KIS458783 KSO458718:KSO458783 LCK458718:LCK458783 LMG458718:LMG458783 LWC458718:LWC458783 MFY458718:MFY458783 MPU458718:MPU458783 MZQ458718:MZQ458783 NJM458718:NJM458783 NTI458718:NTI458783 ODE458718:ODE458783 ONA458718:ONA458783 OWW458718:OWW458783 PGS458718:PGS458783 PQO458718:PQO458783 QAK458718:QAK458783 QKG458718:QKG458783 QUC458718:QUC458783 RDY458718:RDY458783 RNU458718:RNU458783 RXQ458718:RXQ458783 SHM458718:SHM458783 SRI458718:SRI458783 TBE458718:TBE458783 TLA458718:TLA458783 TUW458718:TUW458783 UES458718:UES458783 UOO458718:UOO458783 UYK458718:UYK458783 VIG458718:VIG458783 VSC458718:VSC458783 WBY458718:WBY458783 WLU458718:WLU458783 WVQ458718:WVQ458783 I524254:I524319 JE524254:JE524319 TA524254:TA524319 ACW524254:ACW524319 AMS524254:AMS524319 AWO524254:AWO524319 BGK524254:BGK524319 BQG524254:BQG524319 CAC524254:CAC524319 CJY524254:CJY524319 CTU524254:CTU524319 DDQ524254:DDQ524319 DNM524254:DNM524319 DXI524254:DXI524319 EHE524254:EHE524319 ERA524254:ERA524319 FAW524254:FAW524319 FKS524254:FKS524319 FUO524254:FUO524319 GEK524254:GEK524319 GOG524254:GOG524319 GYC524254:GYC524319 HHY524254:HHY524319 HRU524254:HRU524319 IBQ524254:IBQ524319 ILM524254:ILM524319 IVI524254:IVI524319 JFE524254:JFE524319 JPA524254:JPA524319 JYW524254:JYW524319 KIS524254:KIS524319 KSO524254:KSO524319 LCK524254:LCK524319 LMG524254:LMG524319 LWC524254:LWC524319 MFY524254:MFY524319 MPU524254:MPU524319 MZQ524254:MZQ524319 NJM524254:NJM524319 NTI524254:NTI524319 ODE524254:ODE524319 ONA524254:ONA524319 OWW524254:OWW524319 PGS524254:PGS524319 PQO524254:PQO524319 QAK524254:QAK524319 QKG524254:QKG524319 QUC524254:QUC524319 RDY524254:RDY524319 RNU524254:RNU524319 RXQ524254:RXQ524319 SHM524254:SHM524319 SRI524254:SRI524319 TBE524254:TBE524319 TLA524254:TLA524319 TUW524254:TUW524319 UES524254:UES524319 UOO524254:UOO524319 UYK524254:UYK524319 VIG524254:VIG524319 VSC524254:VSC524319 WBY524254:WBY524319 WLU524254:WLU524319 WVQ524254:WVQ524319 I589790:I589855 JE589790:JE589855 TA589790:TA589855 ACW589790:ACW589855 AMS589790:AMS589855 AWO589790:AWO589855 BGK589790:BGK589855 BQG589790:BQG589855 CAC589790:CAC589855 CJY589790:CJY589855 CTU589790:CTU589855 DDQ589790:DDQ589855 DNM589790:DNM589855 DXI589790:DXI589855 EHE589790:EHE589855 ERA589790:ERA589855 FAW589790:FAW589855 FKS589790:FKS589855 FUO589790:FUO589855 GEK589790:GEK589855 GOG589790:GOG589855 GYC589790:GYC589855 HHY589790:HHY589855 HRU589790:HRU589855 IBQ589790:IBQ589855 ILM589790:ILM589855 IVI589790:IVI589855 JFE589790:JFE589855 JPA589790:JPA589855 JYW589790:JYW589855 KIS589790:KIS589855 KSO589790:KSO589855 LCK589790:LCK589855 LMG589790:LMG589855 LWC589790:LWC589855 MFY589790:MFY589855 MPU589790:MPU589855 MZQ589790:MZQ589855 NJM589790:NJM589855 NTI589790:NTI589855 ODE589790:ODE589855 ONA589790:ONA589855 OWW589790:OWW589855 PGS589790:PGS589855 PQO589790:PQO589855 QAK589790:QAK589855 QKG589790:QKG589855 QUC589790:QUC589855 RDY589790:RDY589855 RNU589790:RNU589855 RXQ589790:RXQ589855 SHM589790:SHM589855 SRI589790:SRI589855 TBE589790:TBE589855 TLA589790:TLA589855 TUW589790:TUW589855 UES589790:UES589855 UOO589790:UOO589855 UYK589790:UYK589855 VIG589790:VIG589855 VSC589790:VSC589855 WBY589790:WBY589855 WLU589790:WLU589855 WVQ589790:WVQ589855 I655326:I655391 JE655326:JE655391 TA655326:TA655391 ACW655326:ACW655391 AMS655326:AMS655391 AWO655326:AWO655391 BGK655326:BGK655391 BQG655326:BQG655391 CAC655326:CAC655391 CJY655326:CJY655391 CTU655326:CTU655391 DDQ655326:DDQ655391 DNM655326:DNM655391 DXI655326:DXI655391 EHE655326:EHE655391 ERA655326:ERA655391 FAW655326:FAW655391 FKS655326:FKS655391 FUO655326:FUO655391 GEK655326:GEK655391 GOG655326:GOG655391 GYC655326:GYC655391 HHY655326:HHY655391 HRU655326:HRU655391 IBQ655326:IBQ655391 ILM655326:ILM655391 IVI655326:IVI655391 JFE655326:JFE655391 JPA655326:JPA655391 JYW655326:JYW655391 KIS655326:KIS655391 KSO655326:KSO655391 LCK655326:LCK655391 LMG655326:LMG655391 LWC655326:LWC655391 MFY655326:MFY655391 MPU655326:MPU655391 MZQ655326:MZQ655391 NJM655326:NJM655391 NTI655326:NTI655391 ODE655326:ODE655391 ONA655326:ONA655391 OWW655326:OWW655391 PGS655326:PGS655391 PQO655326:PQO655391 QAK655326:QAK655391 QKG655326:QKG655391 QUC655326:QUC655391 RDY655326:RDY655391 RNU655326:RNU655391 RXQ655326:RXQ655391 SHM655326:SHM655391 SRI655326:SRI655391 TBE655326:TBE655391 TLA655326:TLA655391 TUW655326:TUW655391 UES655326:UES655391 UOO655326:UOO655391 UYK655326:UYK655391 VIG655326:VIG655391 VSC655326:VSC655391 WBY655326:WBY655391 WLU655326:WLU655391 WVQ655326:WVQ655391 I720862:I720927 JE720862:JE720927 TA720862:TA720927 ACW720862:ACW720927 AMS720862:AMS720927 AWO720862:AWO720927 BGK720862:BGK720927 BQG720862:BQG720927 CAC720862:CAC720927 CJY720862:CJY720927 CTU720862:CTU720927 DDQ720862:DDQ720927 DNM720862:DNM720927 DXI720862:DXI720927 EHE720862:EHE720927 ERA720862:ERA720927 FAW720862:FAW720927 FKS720862:FKS720927 FUO720862:FUO720927 GEK720862:GEK720927 GOG720862:GOG720927 GYC720862:GYC720927 HHY720862:HHY720927 HRU720862:HRU720927 IBQ720862:IBQ720927 ILM720862:ILM720927 IVI720862:IVI720927 JFE720862:JFE720927 JPA720862:JPA720927 JYW720862:JYW720927 KIS720862:KIS720927 KSO720862:KSO720927 LCK720862:LCK720927 LMG720862:LMG720927 LWC720862:LWC720927 MFY720862:MFY720927 MPU720862:MPU720927 MZQ720862:MZQ720927 NJM720862:NJM720927 NTI720862:NTI720927 ODE720862:ODE720927 ONA720862:ONA720927 OWW720862:OWW720927 PGS720862:PGS720927 PQO720862:PQO720927 QAK720862:QAK720927 QKG720862:QKG720927 QUC720862:QUC720927 RDY720862:RDY720927 RNU720862:RNU720927 RXQ720862:RXQ720927 SHM720862:SHM720927 SRI720862:SRI720927 TBE720862:TBE720927 TLA720862:TLA720927 TUW720862:TUW720927 UES720862:UES720927 UOO720862:UOO720927 UYK720862:UYK720927 VIG720862:VIG720927 VSC720862:VSC720927 WBY720862:WBY720927 WLU720862:WLU720927 WVQ720862:WVQ720927 I786398:I786463 JE786398:JE786463 TA786398:TA786463 ACW786398:ACW786463 AMS786398:AMS786463 AWO786398:AWO786463 BGK786398:BGK786463 BQG786398:BQG786463 CAC786398:CAC786463 CJY786398:CJY786463 CTU786398:CTU786463 DDQ786398:DDQ786463 DNM786398:DNM786463 DXI786398:DXI786463 EHE786398:EHE786463 ERA786398:ERA786463 FAW786398:FAW786463 FKS786398:FKS786463 FUO786398:FUO786463 GEK786398:GEK786463 GOG786398:GOG786463 GYC786398:GYC786463 HHY786398:HHY786463 HRU786398:HRU786463 IBQ786398:IBQ786463 ILM786398:ILM786463 IVI786398:IVI786463 JFE786398:JFE786463 JPA786398:JPA786463 JYW786398:JYW786463 KIS786398:KIS786463 KSO786398:KSO786463 LCK786398:LCK786463 LMG786398:LMG786463 LWC786398:LWC786463 MFY786398:MFY786463 MPU786398:MPU786463 MZQ786398:MZQ786463 NJM786398:NJM786463 NTI786398:NTI786463 ODE786398:ODE786463 ONA786398:ONA786463 OWW786398:OWW786463 PGS786398:PGS786463 PQO786398:PQO786463 QAK786398:QAK786463 QKG786398:QKG786463 QUC786398:QUC786463 RDY786398:RDY786463 RNU786398:RNU786463 RXQ786398:RXQ786463 SHM786398:SHM786463 SRI786398:SRI786463 TBE786398:TBE786463 TLA786398:TLA786463 TUW786398:TUW786463 UES786398:UES786463 UOO786398:UOO786463 UYK786398:UYK786463 VIG786398:VIG786463 VSC786398:VSC786463 WBY786398:WBY786463 WLU786398:WLU786463 WVQ786398:WVQ786463 I851934:I851999 JE851934:JE851999 TA851934:TA851999 ACW851934:ACW851999 AMS851934:AMS851999 AWO851934:AWO851999 BGK851934:BGK851999 BQG851934:BQG851999 CAC851934:CAC851999 CJY851934:CJY851999 CTU851934:CTU851999 DDQ851934:DDQ851999 DNM851934:DNM851999 DXI851934:DXI851999 EHE851934:EHE851999 ERA851934:ERA851999 FAW851934:FAW851999 FKS851934:FKS851999 FUO851934:FUO851999 GEK851934:GEK851999 GOG851934:GOG851999 GYC851934:GYC851999 HHY851934:HHY851999 HRU851934:HRU851999 IBQ851934:IBQ851999 ILM851934:ILM851999 IVI851934:IVI851999 JFE851934:JFE851999 JPA851934:JPA851999 JYW851934:JYW851999 KIS851934:KIS851999 KSO851934:KSO851999 LCK851934:LCK851999 LMG851934:LMG851999 LWC851934:LWC851999 MFY851934:MFY851999 MPU851934:MPU851999 MZQ851934:MZQ851999 NJM851934:NJM851999 NTI851934:NTI851999 ODE851934:ODE851999 ONA851934:ONA851999 OWW851934:OWW851999 PGS851934:PGS851999 PQO851934:PQO851999 QAK851934:QAK851999 QKG851934:QKG851999 QUC851934:QUC851999 RDY851934:RDY851999 RNU851934:RNU851999 RXQ851934:RXQ851999 SHM851934:SHM851999 SRI851934:SRI851999 TBE851934:TBE851999 TLA851934:TLA851999 TUW851934:TUW851999 UES851934:UES851999 UOO851934:UOO851999 UYK851934:UYK851999 VIG851934:VIG851999 VSC851934:VSC851999 WBY851934:WBY851999 WLU851934:WLU851999 WVQ851934:WVQ851999 I917470:I917535 JE917470:JE917535 TA917470:TA917535 ACW917470:ACW917535 AMS917470:AMS917535 AWO917470:AWO917535 BGK917470:BGK917535 BQG917470:BQG917535 CAC917470:CAC917535 CJY917470:CJY917535 CTU917470:CTU917535 DDQ917470:DDQ917535 DNM917470:DNM917535 DXI917470:DXI917535 EHE917470:EHE917535 ERA917470:ERA917535 FAW917470:FAW917535 FKS917470:FKS917535 FUO917470:FUO917535 GEK917470:GEK917535 GOG917470:GOG917535 GYC917470:GYC917535 HHY917470:HHY917535 HRU917470:HRU917535 IBQ917470:IBQ917535 ILM917470:ILM917535 IVI917470:IVI917535 JFE917470:JFE917535 JPA917470:JPA917535 JYW917470:JYW917535 KIS917470:KIS917535 KSO917470:KSO917535 LCK917470:LCK917535 LMG917470:LMG917535 LWC917470:LWC917535 MFY917470:MFY917535 MPU917470:MPU917535 MZQ917470:MZQ917535 NJM917470:NJM917535 NTI917470:NTI917535 ODE917470:ODE917535 ONA917470:ONA917535 OWW917470:OWW917535 PGS917470:PGS917535 PQO917470:PQO917535 QAK917470:QAK917535 QKG917470:QKG917535 QUC917470:QUC917535 RDY917470:RDY917535 RNU917470:RNU917535 RXQ917470:RXQ917535 SHM917470:SHM917535 SRI917470:SRI917535 TBE917470:TBE917535 TLA917470:TLA917535 TUW917470:TUW917535 UES917470:UES917535 UOO917470:UOO917535 UYK917470:UYK917535 VIG917470:VIG917535 VSC917470:VSC917535 WBY917470:WBY917535 WLU917470:WLU917535 WVQ917470:WVQ917535 I983006:I983071 JE983006:JE983071 TA983006:TA983071 ACW983006:ACW983071 AMS983006:AMS983071 AWO983006:AWO983071 BGK983006:BGK983071 BQG983006:BQG983071 CAC983006:CAC983071 CJY983006:CJY983071 CTU983006:CTU983071 DDQ983006:DDQ983071 DNM983006:DNM983071 DXI983006:DXI983071 EHE983006:EHE983071 ERA983006:ERA983071 FAW983006:FAW983071 FKS983006:FKS983071 FUO983006:FUO983071 GEK983006:GEK983071 GOG983006:GOG983071 GYC983006:GYC983071 HHY983006:HHY983071 HRU983006:HRU983071 IBQ983006:IBQ983071 ILM983006:ILM983071 IVI983006:IVI983071 JFE983006:JFE983071 JPA983006:JPA983071 JYW983006:JYW983071 KIS983006:KIS983071 KSO983006:KSO983071 LCK983006:LCK983071 LMG983006:LMG983071 LWC983006:LWC983071 MFY983006:MFY983071 MPU983006:MPU983071 MZQ983006:MZQ983071 NJM983006:NJM983071 NTI983006:NTI983071 ODE983006:ODE983071 ONA983006:ONA983071 OWW983006:OWW983071 PGS983006:PGS983071 PQO983006:PQO983071 QAK983006:QAK983071 QKG983006:QKG983071 QUC983006:QUC983071 RDY983006:RDY983071 RNU983006:RNU983071 RXQ983006:RXQ983071 SHM983006:SHM983071 SRI983006:SRI983071 TBE983006:TBE983071 TLA983006:TLA983071 TUW983006:TUW983071 UES983006:UES983071 UOO983006:UOO983071 UYK983006:UYK983071 VIG983006:VIG983071 VSC983006:VSC983071 WBY983006:WBY983071 WLU983006:WLU983071 I2:I464 JE2:JE51 TA2:TA51 ACW2:ACW51 AMS2:AMS51 AWO2:AWO51 BGK2:BGK51 BQG2:BQG51 CAC2:CAC51 CJY2:CJY51 CTU2:CTU51 DDQ2:DDQ51 DNM2:DNM51 DXI2:DXI51 EHE2:EHE51 ERA2:ERA51 FAW2:FAW51 FKS2:FKS51 FUO2:FUO51 GEK2:GEK51 GOG2:GOG51 GYC2:GYC51 HHY2:HHY51 HRU2:HRU51 IBQ2:IBQ51 ILM2:ILM51 IVI2:IVI51 JFE2:JFE51 JPA2:JPA51 JYW2:JYW51 KIS2:KIS51 KSO2:KSO51 LCK2:LCK51 LMG2:LMG51 LWC2:LWC51 MFY2:MFY51 MPU2:MPU51 MZQ2:MZQ51 NJM2:NJM51 NTI2:NTI51 ODE2:ODE51 ONA2:ONA51 OWW2:OWW51 PGS2:PGS51 PQO2:PQO51 QAK2:QAK51 QKG2:QKG51 QUC2:QUC51 RDY2:RDY51 RNU2:RNU51 RXQ2:RXQ51 SHM2:SHM51 SRI2:SRI51 TBE2:TBE51 TLA2:TLA51 TUW2:TUW51 UES2:UES51 UOO2:UOO51 UYK2:UYK51 VIG2:VIG51 VSC2:VSC51 WBY2:WBY51 WLU2:WLU51 WVQ2:WVQ51" xr:uid="{C915A0BB-57E5-45C8-B7FF-30A84263A398}">
      <formula1>$AN$5:$AN$6</formula1>
    </dataValidation>
    <dataValidation type="list" allowBlank="1" showInputMessage="1" showErrorMessage="1" sqref="J64327:J64392 JF64327:JF64392 TB64327:TB64392 ACX64327:ACX64392 AMT64327:AMT64392 AWP64327:AWP64392 BGL64327:BGL64392 BQH64327:BQH64392 CAD64327:CAD64392 CJZ64327:CJZ64392 CTV64327:CTV64392 DDR64327:DDR64392 DNN64327:DNN64392 DXJ64327:DXJ64392 EHF64327:EHF64392 ERB64327:ERB64392 FAX64327:FAX64392 FKT64327:FKT64392 FUP64327:FUP64392 GEL64327:GEL64392 GOH64327:GOH64392 GYD64327:GYD64392 HHZ64327:HHZ64392 HRV64327:HRV64392 IBR64327:IBR64392 ILN64327:ILN64392 IVJ64327:IVJ64392 JFF64327:JFF64392 JPB64327:JPB64392 JYX64327:JYX64392 KIT64327:KIT64392 KSP64327:KSP64392 LCL64327:LCL64392 LMH64327:LMH64392 LWD64327:LWD64392 MFZ64327:MFZ64392 MPV64327:MPV64392 MZR64327:MZR64392 NJN64327:NJN64392 NTJ64327:NTJ64392 ODF64327:ODF64392 ONB64327:ONB64392 OWX64327:OWX64392 PGT64327:PGT64392 PQP64327:PQP64392 QAL64327:QAL64392 QKH64327:QKH64392 QUD64327:QUD64392 RDZ64327:RDZ64392 RNV64327:RNV64392 RXR64327:RXR64392 SHN64327:SHN64392 SRJ64327:SRJ64392 TBF64327:TBF64392 TLB64327:TLB64392 TUX64327:TUX64392 UET64327:UET64392 UOP64327:UOP64392 UYL64327:UYL64392 VIH64327:VIH64392 VSD64327:VSD64392 WBZ64327:WBZ64392 WLV64327:WLV64392 WVR64327:WVR64392 J129863:J129928 JF129863:JF129928 TB129863:TB129928 ACX129863:ACX129928 AMT129863:AMT129928 AWP129863:AWP129928 BGL129863:BGL129928 BQH129863:BQH129928 CAD129863:CAD129928 CJZ129863:CJZ129928 CTV129863:CTV129928 DDR129863:DDR129928 DNN129863:DNN129928 DXJ129863:DXJ129928 EHF129863:EHF129928 ERB129863:ERB129928 FAX129863:FAX129928 FKT129863:FKT129928 FUP129863:FUP129928 GEL129863:GEL129928 GOH129863:GOH129928 GYD129863:GYD129928 HHZ129863:HHZ129928 HRV129863:HRV129928 IBR129863:IBR129928 ILN129863:ILN129928 IVJ129863:IVJ129928 JFF129863:JFF129928 JPB129863:JPB129928 JYX129863:JYX129928 KIT129863:KIT129928 KSP129863:KSP129928 LCL129863:LCL129928 LMH129863:LMH129928 LWD129863:LWD129928 MFZ129863:MFZ129928 MPV129863:MPV129928 MZR129863:MZR129928 NJN129863:NJN129928 NTJ129863:NTJ129928 ODF129863:ODF129928 ONB129863:ONB129928 OWX129863:OWX129928 PGT129863:PGT129928 PQP129863:PQP129928 QAL129863:QAL129928 QKH129863:QKH129928 QUD129863:QUD129928 RDZ129863:RDZ129928 RNV129863:RNV129928 RXR129863:RXR129928 SHN129863:SHN129928 SRJ129863:SRJ129928 TBF129863:TBF129928 TLB129863:TLB129928 TUX129863:TUX129928 UET129863:UET129928 UOP129863:UOP129928 UYL129863:UYL129928 VIH129863:VIH129928 VSD129863:VSD129928 WBZ129863:WBZ129928 WLV129863:WLV129928 WVR129863:WVR129928 J195399:J195464 JF195399:JF195464 TB195399:TB195464 ACX195399:ACX195464 AMT195399:AMT195464 AWP195399:AWP195464 BGL195399:BGL195464 BQH195399:BQH195464 CAD195399:CAD195464 CJZ195399:CJZ195464 CTV195399:CTV195464 DDR195399:DDR195464 DNN195399:DNN195464 DXJ195399:DXJ195464 EHF195399:EHF195464 ERB195399:ERB195464 FAX195399:FAX195464 FKT195399:FKT195464 FUP195399:FUP195464 GEL195399:GEL195464 GOH195399:GOH195464 GYD195399:GYD195464 HHZ195399:HHZ195464 HRV195399:HRV195464 IBR195399:IBR195464 ILN195399:ILN195464 IVJ195399:IVJ195464 JFF195399:JFF195464 JPB195399:JPB195464 JYX195399:JYX195464 KIT195399:KIT195464 KSP195399:KSP195464 LCL195399:LCL195464 LMH195399:LMH195464 LWD195399:LWD195464 MFZ195399:MFZ195464 MPV195399:MPV195464 MZR195399:MZR195464 NJN195399:NJN195464 NTJ195399:NTJ195464 ODF195399:ODF195464 ONB195399:ONB195464 OWX195399:OWX195464 PGT195399:PGT195464 PQP195399:PQP195464 QAL195399:QAL195464 QKH195399:QKH195464 QUD195399:QUD195464 RDZ195399:RDZ195464 RNV195399:RNV195464 RXR195399:RXR195464 SHN195399:SHN195464 SRJ195399:SRJ195464 TBF195399:TBF195464 TLB195399:TLB195464 TUX195399:TUX195464 UET195399:UET195464 UOP195399:UOP195464 UYL195399:UYL195464 VIH195399:VIH195464 VSD195399:VSD195464 WBZ195399:WBZ195464 WLV195399:WLV195464 WVR195399:WVR195464 J260935:J261000 JF260935:JF261000 TB260935:TB261000 ACX260935:ACX261000 AMT260935:AMT261000 AWP260935:AWP261000 BGL260935:BGL261000 BQH260935:BQH261000 CAD260935:CAD261000 CJZ260935:CJZ261000 CTV260935:CTV261000 DDR260935:DDR261000 DNN260935:DNN261000 DXJ260935:DXJ261000 EHF260935:EHF261000 ERB260935:ERB261000 FAX260935:FAX261000 FKT260935:FKT261000 FUP260935:FUP261000 GEL260935:GEL261000 GOH260935:GOH261000 GYD260935:GYD261000 HHZ260935:HHZ261000 HRV260935:HRV261000 IBR260935:IBR261000 ILN260935:ILN261000 IVJ260935:IVJ261000 JFF260935:JFF261000 JPB260935:JPB261000 JYX260935:JYX261000 KIT260935:KIT261000 KSP260935:KSP261000 LCL260935:LCL261000 LMH260935:LMH261000 LWD260935:LWD261000 MFZ260935:MFZ261000 MPV260935:MPV261000 MZR260935:MZR261000 NJN260935:NJN261000 NTJ260935:NTJ261000 ODF260935:ODF261000 ONB260935:ONB261000 OWX260935:OWX261000 PGT260935:PGT261000 PQP260935:PQP261000 QAL260935:QAL261000 QKH260935:QKH261000 QUD260935:QUD261000 RDZ260935:RDZ261000 RNV260935:RNV261000 RXR260935:RXR261000 SHN260935:SHN261000 SRJ260935:SRJ261000 TBF260935:TBF261000 TLB260935:TLB261000 TUX260935:TUX261000 UET260935:UET261000 UOP260935:UOP261000 UYL260935:UYL261000 VIH260935:VIH261000 VSD260935:VSD261000 WBZ260935:WBZ261000 WLV260935:WLV261000 WVR260935:WVR261000 J326471:J326536 JF326471:JF326536 TB326471:TB326536 ACX326471:ACX326536 AMT326471:AMT326536 AWP326471:AWP326536 BGL326471:BGL326536 BQH326471:BQH326536 CAD326471:CAD326536 CJZ326471:CJZ326536 CTV326471:CTV326536 DDR326471:DDR326536 DNN326471:DNN326536 DXJ326471:DXJ326536 EHF326471:EHF326536 ERB326471:ERB326536 FAX326471:FAX326536 FKT326471:FKT326536 FUP326471:FUP326536 GEL326471:GEL326536 GOH326471:GOH326536 GYD326471:GYD326536 HHZ326471:HHZ326536 HRV326471:HRV326536 IBR326471:IBR326536 ILN326471:ILN326536 IVJ326471:IVJ326536 JFF326471:JFF326536 JPB326471:JPB326536 JYX326471:JYX326536 KIT326471:KIT326536 KSP326471:KSP326536 LCL326471:LCL326536 LMH326471:LMH326536 LWD326471:LWD326536 MFZ326471:MFZ326536 MPV326471:MPV326536 MZR326471:MZR326536 NJN326471:NJN326536 NTJ326471:NTJ326536 ODF326471:ODF326536 ONB326471:ONB326536 OWX326471:OWX326536 PGT326471:PGT326536 PQP326471:PQP326536 QAL326471:QAL326536 QKH326471:QKH326536 QUD326471:QUD326536 RDZ326471:RDZ326536 RNV326471:RNV326536 RXR326471:RXR326536 SHN326471:SHN326536 SRJ326471:SRJ326536 TBF326471:TBF326536 TLB326471:TLB326536 TUX326471:TUX326536 UET326471:UET326536 UOP326471:UOP326536 UYL326471:UYL326536 VIH326471:VIH326536 VSD326471:VSD326536 WBZ326471:WBZ326536 WLV326471:WLV326536 WVR326471:WVR326536 J392007:J392072 JF392007:JF392072 TB392007:TB392072 ACX392007:ACX392072 AMT392007:AMT392072 AWP392007:AWP392072 BGL392007:BGL392072 BQH392007:BQH392072 CAD392007:CAD392072 CJZ392007:CJZ392072 CTV392007:CTV392072 DDR392007:DDR392072 DNN392007:DNN392072 DXJ392007:DXJ392072 EHF392007:EHF392072 ERB392007:ERB392072 FAX392007:FAX392072 FKT392007:FKT392072 FUP392007:FUP392072 GEL392007:GEL392072 GOH392007:GOH392072 GYD392007:GYD392072 HHZ392007:HHZ392072 HRV392007:HRV392072 IBR392007:IBR392072 ILN392007:ILN392072 IVJ392007:IVJ392072 JFF392007:JFF392072 JPB392007:JPB392072 JYX392007:JYX392072 KIT392007:KIT392072 KSP392007:KSP392072 LCL392007:LCL392072 LMH392007:LMH392072 LWD392007:LWD392072 MFZ392007:MFZ392072 MPV392007:MPV392072 MZR392007:MZR392072 NJN392007:NJN392072 NTJ392007:NTJ392072 ODF392007:ODF392072 ONB392007:ONB392072 OWX392007:OWX392072 PGT392007:PGT392072 PQP392007:PQP392072 QAL392007:QAL392072 QKH392007:QKH392072 QUD392007:QUD392072 RDZ392007:RDZ392072 RNV392007:RNV392072 RXR392007:RXR392072 SHN392007:SHN392072 SRJ392007:SRJ392072 TBF392007:TBF392072 TLB392007:TLB392072 TUX392007:TUX392072 UET392007:UET392072 UOP392007:UOP392072 UYL392007:UYL392072 VIH392007:VIH392072 VSD392007:VSD392072 WBZ392007:WBZ392072 WLV392007:WLV392072 WVR392007:WVR392072 J457543:J457608 JF457543:JF457608 TB457543:TB457608 ACX457543:ACX457608 AMT457543:AMT457608 AWP457543:AWP457608 BGL457543:BGL457608 BQH457543:BQH457608 CAD457543:CAD457608 CJZ457543:CJZ457608 CTV457543:CTV457608 DDR457543:DDR457608 DNN457543:DNN457608 DXJ457543:DXJ457608 EHF457543:EHF457608 ERB457543:ERB457608 FAX457543:FAX457608 FKT457543:FKT457608 FUP457543:FUP457608 GEL457543:GEL457608 GOH457543:GOH457608 GYD457543:GYD457608 HHZ457543:HHZ457608 HRV457543:HRV457608 IBR457543:IBR457608 ILN457543:ILN457608 IVJ457543:IVJ457608 JFF457543:JFF457608 JPB457543:JPB457608 JYX457543:JYX457608 KIT457543:KIT457608 KSP457543:KSP457608 LCL457543:LCL457608 LMH457543:LMH457608 LWD457543:LWD457608 MFZ457543:MFZ457608 MPV457543:MPV457608 MZR457543:MZR457608 NJN457543:NJN457608 NTJ457543:NTJ457608 ODF457543:ODF457608 ONB457543:ONB457608 OWX457543:OWX457608 PGT457543:PGT457608 PQP457543:PQP457608 QAL457543:QAL457608 QKH457543:QKH457608 QUD457543:QUD457608 RDZ457543:RDZ457608 RNV457543:RNV457608 RXR457543:RXR457608 SHN457543:SHN457608 SRJ457543:SRJ457608 TBF457543:TBF457608 TLB457543:TLB457608 TUX457543:TUX457608 UET457543:UET457608 UOP457543:UOP457608 UYL457543:UYL457608 VIH457543:VIH457608 VSD457543:VSD457608 WBZ457543:WBZ457608 WLV457543:WLV457608 WVR457543:WVR457608 J523079:J523144 JF523079:JF523144 TB523079:TB523144 ACX523079:ACX523144 AMT523079:AMT523144 AWP523079:AWP523144 BGL523079:BGL523144 BQH523079:BQH523144 CAD523079:CAD523144 CJZ523079:CJZ523144 CTV523079:CTV523144 DDR523079:DDR523144 DNN523079:DNN523144 DXJ523079:DXJ523144 EHF523079:EHF523144 ERB523079:ERB523144 FAX523079:FAX523144 FKT523079:FKT523144 FUP523079:FUP523144 GEL523079:GEL523144 GOH523079:GOH523144 GYD523079:GYD523144 HHZ523079:HHZ523144 HRV523079:HRV523144 IBR523079:IBR523144 ILN523079:ILN523144 IVJ523079:IVJ523144 JFF523079:JFF523144 JPB523079:JPB523144 JYX523079:JYX523144 KIT523079:KIT523144 KSP523079:KSP523144 LCL523079:LCL523144 LMH523079:LMH523144 LWD523079:LWD523144 MFZ523079:MFZ523144 MPV523079:MPV523144 MZR523079:MZR523144 NJN523079:NJN523144 NTJ523079:NTJ523144 ODF523079:ODF523144 ONB523079:ONB523144 OWX523079:OWX523144 PGT523079:PGT523144 PQP523079:PQP523144 QAL523079:QAL523144 QKH523079:QKH523144 QUD523079:QUD523144 RDZ523079:RDZ523144 RNV523079:RNV523144 RXR523079:RXR523144 SHN523079:SHN523144 SRJ523079:SRJ523144 TBF523079:TBF523144 TLB523079:TLB523144 TUX523079:TUX523144 UET523079:UET523144 UOP523079:UOP523144 UYL523079:UYL523144 VIH523079:VIH523144 VSD523079:VSD523144 WBZ523079:WBZ523144 WLV523079:WLV523144 WVR523079:WVR523144 J588615:J588680 JF588615:JF588680 TB588615:TB588680 ACX588615:ACX588680 AMT588615:AMT588680 AWP588615:AWP588680 BGL588615:BGL588680 BQH588615:BQH588680 CAD588615:CAD588680 CJZ588615:CJZ588680 CTV588615:CTV588680 DDR588615:DDR588680 DNN588615:DNN588680 DXJ588615:DXJ588680 EHF588615:EHF588680 ERB588615:ERB588680 FAX588615:FAX588680 FKT588615:FKT588680 FUP588615:FUP588680 GEL588615:GEL588680 GOH588615:GOH588680 GYD588615:GYD588680 HHZ588615:HHZ588680 HRV588615:HRV588680 IBR588615:IBR588680 ILN588615:ILN588680 IVJ588615:IVJ588680 JFF588615:JFF588680 JPB588615:JPB588680 JYX588615:JYX588680 KIT588615:KIT588680 KSP588615:KSP588680 LCL588615:LCL588680 LMH588615:LMH588680 LWD588615:LWD588680 MFZ588615:MFZ588680 MPV588615:MPV588680 MZR588615:MZR588680 NJN588615:NJN588680 NTJ588615:NTJ588680 ODF588615:ODF588680 ONB588615:ONB588680 OWX588615:OWX588680 PGT588615:PGT588680 PQP588615:PQP588680 QAL588615:QAL588680 QKH588615:QKH588680 QUD588615:QUD588680 RDZ588615:RDZ588680 RNV588615:RNV588680 RXR588615:RXR588680 SHN588615:SHN588680 SRJ588615:SRJ588680 TBF588615:TBF588680 TLB588615:TLB588680 TUX588615:TUX588680 UET588615:UET588680 UOP588615:UOP588680 UYL588615:UYL588680 VIH588615:VIH588680 VSD588615:VSD588680 WBZ588615:WBZ588680 WLV588615:WLV588680 WVR588615:WVR588680 J654151:J654216 JF654151:JF654216 TB654151:TB654216 ACX654151:ACX654216 AMT654151:AMT654216 AWP654151:AWP654216 BGL654151:BGL654216 BQH654151:BQH654216 CAD654151:CAD654216 CJZ654151:CJZ654216 CTV654151:CTV654216 DDR654151:DDR654216 DNN654151:DNN654216 DXJ654151:DXJ654216 EHF654151:EHF654216 ERB654151:ERB654216 FAX654151:FAX654216 FKT654151:FKT654216 FUP654151:FUP654216 GEL654151:GEL654216 GOH654151:GOH654216 GYD654151:GYD654216 HHZ654151:HHZ654216 HRV654151:HRV654216 IBR654151:IBR654216 ILN654151:ILN654216 IVJ654151:IVJ654216 JFF654151:JFF654216 JPB654151:JPB654216 JYX654151:JYX654216 KIT654151:KIT654216 KSP654151:KSP654216 LCL654151:LCL654216 LMH654151:LMH654216 LWD654151:LWD654216 MFZ654151:MFZ654216 MPV654151:MPV654216 MZR654151:MZR654216 NJN654151:NJN654216 NTJ654151:NTJ654216 ODF654151:ODF654216 ONB654151:ONB654216 OWX654151:OWX654216 PGT654151:PGT654216 PQP654151:PQP654216 QAL654151:QAL654216 QKH654151:QKH654216 QUD654151:QUD654216 RDZ654151:RDZ654216 RNV654151:RNV654216 RXR654151:RXR654216 SHN654151:SHN654216 SRJ654151:SRJ654216 TBF654151:TBF654216 TLB654151:TLB654216 TUX654151:TUX654216 UET654151:UET654216 UOP654151:UOP654216 UYL654151:UYL654216 VIH654151:VIH654216 VSD654151:VSD654216 WBZ654151:WBZ654216 WLV654151:WLV654216 WVR654151:WVR654216 J719687:J719752 JF719687:JF719752 TB719687:TB719752 ACX719687:ACX719752 AMT719687:AMT719752 AWP719687:AWP719752 BGL719687:BGL719752 BQH719687:BQH719752 CAD719687:CAD719752 CJZ719687:CJZ719752 CTV719687:CTV719752 DDR719687:DDR719752 DNN719687:DNN719752 DXJ719687:DXJ719752 EHF719687:EHF719752 ERB719687:ERB719752 FAX719687:FAX719752 FKT719687:FKT719752 FUP719687:FUP719752 GEL719687:GEL719752 GOH719687:GOH719752 GYD719687:GYD719752 HHZ719687:HHZ719752 HRV719687:HRV719752 IBR719687:IBR719752 ILN719687:ILN719752 IVJ719687:IVJ719752 JFF719687:JFF719752 JPB719687:JPB719752 JYX719687:JYX719752 KIT719687:KIT719752 KSP719687:KSP719752 LCL719687:LCL719752 LMH719687:LMH719752 LWD719687:LWD719752 MFZ719687:MFZ719752 MPV719687:MPV719752 MZR719687:MZR719752 NJN719687:NJN719752 NTJ719687:NTJ719752 ODF719687:ODF719752 ONB719687:ONB719752 OWX719687:OWX719752 PGT719687:PGT719752 PQP719687:PQP719752 QAL719687:QAL719752 QKH719687:QKH719752 QUD719687:QUD719752 RDZ719687:RDZ719752 RNV719687:RNV719752 RXR719687:RXR719752 SHN719687:SHN719752 SRJ719687:SRJ719752 TBF719687:TBF719752 TLB719687:TLB719752 TUX719687:TUX719752 UET719687:UET719752 UOP719687:UOP719752 UYL719687:UYL719752 VIH719687:VIH719752 VSD719687:VSD719752 WBZ719687:WBZ719752 WLV719687:WLV719752 WVR719687:WVR719752 J785223:J785288 JF785223:JF785288 TB785223:TB785288 ACX785223:ACX785288 AMT785223:AMT785288 AWP785223:AWP785288 BGL785223:BGL785288 BQH785223:BQH785288 CAD785223:CAD785288 CJZ785223:CJZ785288 CTV785223:CTV785288 DDR785223:DDR785288 DNN785223:DNN785288 DXJ785223:DXJ785288 EHF785223:EHF785288 ERB785223:ERB785288 FAX785223:FAX785288 FKT785223:FKT785288 FUP785223:FUP785288 GEL785223:GEL785288 GOH785223:GOH785288 GYD785223:GYD785288 HHZ785223:HHZ785288 HRV785223:HRV785288 IBR785223:IBR785288 ILN785223:ILN785288 IVJ785223:IVJ785288 JFF785223:JFF785288 JPB785223:JPB785288 JYX785223:JYX785288 KIT785223:KIT785288 KSP785223:KSP785288 LCL785223:LCL785288 LMH785223:LMH785288 LWD785223:LWD785288 MFZ785223:MFZ785288 MPV785223:MPV785288 MZR785223:MZR785288 NJN785223:NJN785288 NTJ785223:NTJ785288 ODF785223:ODF785288 ONB785223:ONB785288 OWX785223:OWX785288 PGT785223:PGT785288 PQP785223:PQP785288 QAL785223:QAL785288 QKH785223:QKH785288 QUD785223:QUD785288 RDZ785223:RDZ785288 RNV785223:RNV785288 RXR785223:RXR785288 SHN785223:SHN785288 SRJ785223:SRJ785288 TBF785223:TBF785288 TLB785223:TLB785288 TUX785223:TUX785288 UET785223:UET785288 UOP785223:UOP785288 UYL785223:UYL785288 VIH785223:VIH785288 VSD785223:VSD785288 WBZ785223:WBZ785288 WLV785223:WLV785288 WVR785223:WVR785288 J850759:J850824 JF850759:JF850824 TB850759:TB850824 ACX850759:ACX850824 AMT850759:AMT850824 AWP850759:AWP850824 BGL850759:BGL850824 BQH850759:BQH850824 CAD850759:CAD850824 CJZ850759:CJZ850824 CTV850759:CTV850824 DDR850759:DDR850824 DNN850759:DNN850824 DXJ850759:DXJ850824 EHF850759:EHF850824 ERB850759:ERB850824 FAX850759:FAX850824 FKT850759:FKT850824 FUP850759:FUP850824 GEL850759:GEL850824 GOH850759:GOH850824 GYD850759:GYD850824 HHZ850759:HHZ850824 HRV850759:HRV850824 IBR850759:IBR850824 ILN850759:ILN850824 IVJ850759:IVJ850824 JFF850759:JFF850824 JPB850759:JPB850824 JYX850759:JYX850824 KIT850759:KIT850824 KSP850759:KSP850824 LCL850759:LCL850824 LMH850759:LMH850824 LWD850759:LWD850824 MFZ850759:MFZ850824 MPV850759:MPV850824 MZR850759:MZR850824 NJN850759:NJN850824 NTJ850759:NTJ850824 ODF850759:ODF850824 ONB850759:ONB850824 OWX850759:OWX850824 PGT850759:PGT850824 PQP850759:PQP850824 QAL850759:QAL850824 QKH850759:QKH850824 QUD850759:QUD850824 RDZ850759:RDZ850824 RNV850759:RNV850824 RXR850759:RXR850824 SHN850759:SHN850824 SRJ850759:SRJ850824 TBF850759:TBF850824 TLB850759:TLB850824 TUX850759:TUX850824 UET850759:UET850824 UOP850759:UOP850824 UYL850759:UYL850824 VIH850759:VIH850824 VSD850759:VSD850824 WBZ850759:WBZ850824 WLV850759:WLV850824 WVR850759:WVR850824 J916295:J916360 JF916295:JF916360 TB916295:TB916360 ACX916295:ACX916360 AMT916295:AMT916360 AWP916295:AWP916360 BGL916295:BGL916360 BQH916295:BQH916360 CAD916295:CAD916360 CJZ916295:CJZ916360 CTV916295:CTV916360 DDR916295:DDR916360 DNN916295:DNN916360 DXJ916295:DXJ916360 EHF916295:EHF916360 ERB916295:ERB916360 FAX916295:FAX916360 FKT916295:FKT916360 FUP916295:FUP916360 GEL916295:GEL916360 GOH916295:GOH916360 GYD916295:GYD916360 HHZ916295:HHZ916360 HRV916295:HRV916360 IBR916295:IBR916360 ILN916295:ILN916360 IVJ916295:IVJ916360 JFF916295:JFF916360 JPB916295:JPB916360 JYX916295:JYX916360 KIT916295:KIT916360 KSP916295:KSP916360 LCL916295:LCL916360 LMH916295:LMH916360 LWD916295:LWD916360 MFZ916295:MFZ916360 MPV916295:MPV916360 MZR916295:MZR916360 NJN916295:NJN916360 NTJ916295:NTJ916360 ODF916295:ODF916360 ONB916295:ONB916360 OWX916295:OWX916360 PGT916295:PGT916360 PQP916295:PQP916360 QAL916295:QAL916360 QKH916295:QKH916360 QUD916295:QUD916360 RDZ916295:RDZ916360 RNV916295:RNV916360 RXR916295:RXR916360 SHN916295:SHN916360 SRJ916295:SRJ916360 TBF916295:TBF916360 TLB916295:TLB916360 TUX916295:TUX916360 UET916295:UET916360 UOP916295:UOP916360 UYL916295:UYL916360 VIH916295:VIH916360 VSD916295:VSD916360 WBZ916295:WBZ916360 WLV916295:WLV916360 WVR916295:WVR916360 J981831:J981896 JF981831:JF981896 TB981831:TB981896 ACX981831:ACX981896 AMT981831:AMT981896 AWP981831:AWP981896 BGL981831:BGL981896 BQH981831:BQH981896 CAD981831:CAD981896 CJZ981831:CJZ981896 CTV981831:CTV981896 DDR981831:DDR981896 DNN981831:DNN981896 DXJ981831:DXJ981896 EHF981831:EHF981896 ERB981831:ERB981896 FAX981831:FAX981896 FKT981831:FKT981896 FUP981831:FUP981896 GEL981831:GEL981896 GOH981831:GOH981896 GYD981831:GYD981896 HHZ981831:HHZ981896 HRV981831:HRV981896 IBR981831:IBR981896 ILN981831:ILN981896 IVJ981831:IVJ981896 JFF981831:JFF981896 JPB981831:JPB981896 JYX981831:JYX981896 KIT981831:KIT981896 KSP981831:KSP981896 LCL981831:LCL981896 LMH981831:LMH981896 LWD981831:LWD981896 MFZ981831:MFZ981896 MPV981831:MPV981896 MZR981831:MZR981896 NJN981831:NJN981896 NTJ981831:NTJ981896 ODF981831:ODF981896 ONB981831:ONB981896 OWX981831:OWX981896 PGT981831:PGT981896 PQP981831:PQP981896 QAL981831:QAL981896 QKH981831:QKH981896 QUD981831:QUD981896 RDZ981831:RDZ981896 RNV981831:RNV981896 RXR981831:RXR981896 SHN981831:SHN981896 SRJ981831:SRJ981896 TBF981831:TBF981896 TLB981831:TLB981896 TUX981831:TUX981896 UET981831:UET981896 UOP981831:UOP981896 UYL981831:UYL981896 VIH981831:VIH981896 VSD981831:VSD981896 WBZ981831:WBZ981896 WLV981831:WLV981896 WVR981831:WVR981896 J1047367:J1047432 JF1047367:JF1047432 TB1047367:TB1047432 ACX1047367:ACX1047432 AMT1047367:AMT1047432 AWP1047367:AWP1047432 BGL1047367:BGL1047432 BQH1047367:BQH1047432 CAD1047367:CAD1047432 CJZ1047367:CJZ1047432 CTV1047367:CTV1047432 DDR1047367:DDR1047432 DNN1047367:DNN1047432 DXJ1047367:DXJ1047432 EHF1047367:EHF1047432 ERB1047367:ERB1047432 FAX1047367:FAX1047432 FKT1047367:FKT1047432 FUP1047367:FUP1047432 GEL1047367:GEL1047432 GOH1047367:GOH1047432 GYD1047367:GYD1047432 HHZ1047367:HHZ1047432 HRV1047367:HRV1047432 IBR1047367:IBR1047432 ILN1047367:ILN1047432 IVJ1047367:IVJ1047432 JFF1047367:JFF1047432 JPB1047367:JPB1047432 JYX1047367:JYX1047432 KIT1047367:KIT1047432 KSP1047367:KSP1047432 LCL1047367:LCL1047432 LMH1047367:LMH1047432 LWD1047367:LWD1047432 MFZ1047367:MFZ1047432 MPV1047367:MPV1047432 MZR1047367:MZR1047432 NJN1047367:NJN1047432 NTJ1047367:NTJ1047432 ODF1047367:ODF1047432 ONB1047367:ONB1047432 OWX1047367:OWX1047432 PGT1047367:PGT1047432 PQP1047367:PQP1047432 QAL1047367:QAL1047432 QKH1047367:QKH1047432 QUD1047367:QUD1047432 RDZ1047367:RDZ1047432 RNV1047367:RNV1047432 RXR1047367:RXR1047432 SHN1047367:SHN1047432 SRJ1047367:SRJ1047432 TBF1047367:TBF1047432 TLB1047367:TLB1047432 TUX1047367:TUX1047432 UET1047367:UET1047432 UOP1047367:UOP1047432 UYL1047367:UYL1047432 VIH1047367:VIH1047432 VSD1047367:VSD1047432 WBZ1047367:WBZ1047432 WLV1047367:WLV1047432 WVR1047367:WVR1047432" xr:uid="{C2483F07-AD80-4FA5-ACFA-5604ADCC0B7D}">
      <formula1>$AP$2:$AP$15</formula1>
    </dataValidation>
    <dataValidation type="list" allowBlank="1" showInputMessage="1" showErrorMessage="1" sqref="K64327:K64392 JG64327:JG64392 TC64327:TC64392 ACY64327:ACY64392 AMU64327:AMU64392 AWQ64327:AWQ64392 BGM64327:BGM64392 BQI64327:BQI64392 CAE64327:CAE64392 CKA64327:CKA64392 CTW64327:CTW64392 DDS64327:DDS64392 DNO64327:DNO64392 DXK64327:DXK64392 EHG64327:EHG64392 ERC64327:ERC64392 FAY64327:FAY64392 FKU64327:FKU64392 FUQ64327:FUQ64392 GEM64327:GEM64392 GOI64327:GOI64392 GYE64327:GYE64392 HIA64327:HIA64392 HRW64327:HRW64392 IBS64327:IBS64392 ILO64327:ILO64392 IVK64327:IVK64392 JFG64327:JFG64392 JPC64327:JPC64392 JYY64327:JYY64392 KIU64327:KIU64392 KSQ64327:KSQ64392 LCM64327:LCM64392 LMI64327:LMI64392 LWE64327:LWE64392 MGA64327:MGA64392 MPW64327:MPW64392 MZS64327:MZS64392 NJO64327:NJO64392 NTK64327:NTK64392 ODG64327:ODG64392 ONC64327:ONC64392 OWY64327:OWY64392 PGU64327:PGU64392 PQQ64327:PQQ64392 QAM64327:QAM64392 QKI64327:QKI64392 QUE64327:QUE64392 REA64327:REA64392 RNW64327:RNW64392 RXS64327:RXS64392 SHO64327:SHO64392 SRK64327:SRK64392 TBG64327:TBG64392 TLC64327:TLC64392 TUY64327:TUY64392 UEU64327:UEU64392 UOQ64327:UOQ64392 UYM64327:UYM64392 VII64327:VII64392 VSE64327:VSE64392 WCA64327:WCA64392 WLW64327:WLW64392 WVS64327:WVS64392 K129863:K129928 JG129863:JG129928 TC129863:TC129928 ACY129863:ACY129928 AMU129863:AMU129928 AWQ129863:AWQ129928 BGM129863:BGM129928 BQI129863:BQI129928 CAE129863:CAE129928 CKA129863:CKA129928 CTW129863:CTW129928 DDS129863:DDS129928 DNO129863:DNO129928 DXK129863:DXK129928 EHG129863:EHG129928 ERC129863:ERC129928 FAY129863:FAY129928 FKU129863:FKU129928 FUQ129863:FUQ129928 GEM129863:GEM129928 GOI129863:GOI129928 GYE129863:GYE129928 HIA129863:HIA129928 HRW129863:HRW129928 IBS129863:IBS129928 ILO129863:ILO129928 IVK129863:IVK129928 JFG129863:JFG129928 JPC129863:JPC129928 JYY129863:JYY129928 KIU129863:KIU129928 KSQ129863:KSQ129928 LCM129863:LCM129928 LMI129863:LMI129928 LWE129863:LWE129928 MGA129863:MGA129928 MPW129863:MPW129928 MZS129863:MZS129928 NJO129863:NJO129928 NTK129863:NTK129928 ODG129863:ODG129928 ONC129863:ONC129928 OWY129863:OWY129928 PGU129863:PGU129928 PQQ129863:PQQ129928 QAM129863:QAM129928 QKI129863:QKI129928 QUE129863:QUE129928 REA129863:REA129928 RNW129863:RNW129928 RXS129863:RXS129928 SHO129863:SHO129928 SRK129863:SRK129928 TBG129863:TBG129928 TLC129863:TLC129928 TUY129863:TUY129928 UEU129863:UEU129928 UOQ129863:UOQ129928 UYM129863:UYM129928 VII129863:VII129928 VSE129863:VSE129928 WCA129863:WCA129928 WLW129863:WLW129928 WVS129863:WVS129928 K195399:K195464 JG195399:JG195464 TC195399:TC195464 ACY195399:ACY195464 AMU195399:AMU195464 AWQ195399:AWQ195464 BGM195399:BGM195464 BQI195399:BQI195464 CAE195399:CAE195464 CKA195399:CKA195464 CTW195399:CTW195464 DDS195399:DDS195464 DNO195399:DNO195464 DXK195399:DXK195464 EHG195399:EHG195464 ERC195399:ERC195464 FAY195399:FAY195464 FKU195399:FKU195464 FUQ195399:FUQ195464 GEM195399:GEM195464 GOI195399:GOI195464 GYE195399:GYE195464 HIA195399:HIA195464 HRW195399:HRW195464 IBS195399:IBS195464 ILO195399:ILO195464 IVK195399:IVK195464 JFG195399:JFG195464 JPC195399:JPC195464 JYY195399:JYY195464 KIU195399:KIU195464 KSQ195399:KSQ195464 LCM195399:LCM195464 LMI195399:LMI195464 LWE195399:LWE195464 MGA195399:MGA195464 MPW195399:MPW195464 MZS195399:MZS195464 NJO195399:NJO195464 NTK195399:NTK195464 ODG195399:ODG195464 ONC195399:ONC195464 OWY195399:OWY195464 PGU195399:PGU195464 PQQ195399:PQQ195464 QAM195399:QAM195464 QKI195399:QKI195464 QUE195399:QUE195464 REA195399:REA195464 RNW195399:RNW195464 RXS195399:RXS195464 SHO195399:SHO195464 SRK195399:SRK195464 TBG195399:TBG195464 TLC195399:TLC195464 TUY195399:TUY195464 UEU195399:UEU195464 UOQ195399:UOQ195464 UYM195399:UYM195464 VII195399:VII195464 VSE195399:VSE195464 WCA195399:WCA195464 WLW195399:WLW195464 WVS195399:WVS195464 K260935:K261000 JG260935:JG261000 TC260935:TC261000 ACY260935:ACY261000 AMU260935:AMU261000 AWQ260935:AWQ261000 BGM260935:BGM261000 BQI260935:BQI261000 CAE260935:CAE261000 CKA260935:CKA261000 CTW260935:CTW261000 DDS260935:DDS261000 DNO260935:DNO261000 DXK260935:DXK261000 EHG260935:EHG261000 ERC260935:ERC261000 FAY260935:FAY261000 FKU260935:FKU261000 FUQ260935:FUQ261000 GEM260935:GEM261000 GOI260935:GOI261000 GYE260935:GYE261000 HIA260935:HIA261000 HRW260935:HRW261000 IBS260935:IBS261000 ILO260935:ILO261000 IVK260935:IVK261000 JFG260935:JFG261000 JPC260935:JPC261000 JYY260935:JYY261000 KIU260935:KIU261000 KSQ260935:KSQ261000 LCM260935:LCM261000 LMI260935:LMI261000 LWE260935:LWE261000 MGA260935:MGA261000 MPW260935:MPW261000 MZS260935:MZS261000 NJO260935:NJO261000 NTK260935:NTK261000 ODG260935:ODG261000 ONC260935:ONC261000 OWY260935:OWY261000 PGU260935:PGU261000 PQQ260935:PQQ261000 QAM260935:QAM261000 QKI260935:QKI261000 QUE260935:QUE261000 REA260935:REA261000 RNW260935:RNW261000 RXS260935:RXS261000 SHO260935:SHO261000 SRK260935:SRK261000 TBG260935:TBG261000 TLC260935:TLC261000 TUY260935:TUY261000 UEU260935:UEU261000 UOQ260935:UOQ261000 UYM260935:UYM261000 VII260935:VII261000 VSE260935:VSE261000 WCA260935:WCA261000 WLW260935:WLW261000 WVS260935:WVS261000 K326471:K326536 JG326471:JG326536 TC326471:TC326536 ACY326471:ACY326536 AMU326471:AMU326536 AWQ326471:AWQ326536 BGM326471:BGM326536 BQI326471:BQI326536 CAE326471:CAE326536 CKA326471:CKA326536 CTW326471:CTW326536 DDS326471:DDS326536 DNO326471:DNO326536 DXK326471:DXK326536 EHG326471:EHG326536 ERC326471:ERC326536 FAY326471:FAY326536 FKU326471:FKU326536 FUQ326471:FUQ326536 GEM326471:GEM326536 GOI326471:GOI326536 GYE326471:GYE326536 HIA326471:HIA326536 HRW326471:HRW326536 IBS326471:IBS326536 ILO326471:ILO326536 IVK326471:IVK326536 JFG326471:JFG326536 JPC326471:JPC326536 JYY326471:JYY326536 KIU326471:KIU326536 KSQ326471:KSQ326536 LCM326471:LCM326536 LMI326471:LMI326536 LWE326471:LWE326536 MGA326471:MGA326536 MPW326471:MPW326536 MZS326471:MZS326536 NJO326471:NJO326536 NTK326471:NTK326536 ODG326471:ODG326536 ONC326471:ONC326536 OWY326471:OWY326536 PGU326471:PGU326536 PQQ326471:PQQ326536 QAM326471:QAM326536 QKI326471:QKI326536 QUE326471:QUE326536 REA326471:REA326536 RNW326471:RNW326536 RXS326471:RXS326536 SHO326471:SHO326536 SRK326471:SRK326536 TBG326471:TBG326536 TLC326471:TLC326536 TUY326471:TUY326536 UEU326471:UEU326536 UOQ326471:UOQ326536 UYM326471:UYM326536 VII326471:VII326536 VSE326471:VSE326536 WCA326471:WCA326536 WLW326471:WLW326536 WVS326471:WVS326536 K392007:K392072 JG392007:JG392072 TC392007:TC392072 ACY392007:ACY392072 AMU392007:AMU392072 AWQ392007:AWQ392072 BGM392007:BGM392072 BQI392007:BQI392072 CAE392007:CAE392072 CKA392007:CKA392072 CTW392007:CTW392072 DDS392007:DDS392072 DNO392007:DNO392072 DXK392007:DXK392072 EHG392007:EHG392072 ERC392007:ERC392072 FAY392007:FAY392072 FKU392007:FKU392072 FUQ392007:FUQ392072 GEM392007:GEM392072 GOI392007:GOI392072 GYE392007:GYE392072 HIA392007:HIA392072 HRW392007:HRW392072 IBS392007:IBS392072 ILO392007:ILO392072 IVK392007:IVK392072 JFG392007:JFG392072 JPC392007:JPC392072 JYY392007:JYY392072 KIU392007:KIU392072 KSQ392007:KSQ392072 LCM392007:LCM392072 LMI392007:LMI392072 LWE392007:LWE392072 MGA392007:MGA392072 MPW392007:MPW392072 MZS392007:MZS392072 NJO392007:NJO392072 NTK392007:NTK392072 ODG392007:ODG392072 ONC392007:ONC392072 OWY392007:OWY392072 PGU392007:PGU392072 PQQ392007:PQQ392072 QAM392007:QAM392072 QKI392007:QKI392072 QUE392007:QUE392072 REA392007:REA392072 RNW392007:RNW392072 RXS392007:RXS392072 SHO392007:SHO392072 SRK392007:SRK392072 TBG392007:TBG392072 TLC392007:TLC392072 TUY392007:TUY392072 UEU392007:UEU392072 UOQ392007:UOQ392072 UYM392007:UYM392072 VII392007:VII392072 VSE392007:VSE392072 WCA392007:WCA392072 WLW392007:WLW392072 WVS392007:WVS392072 K457543:K457608 JG457543:JG457608 TC457543:TC457608 ACY457543:ACY457608 AMU457543:AMU457608 AWQ457543:AWQ457608 BGM457543:BGM457608 BQI457543:BQI457608 CAE457543:CAE457608 CKA457543:CKA457608 CTW457543:CTW457608 DDS457543:DDS457608 DNO457543:DNO457608 DXK457543:DXK457608 EHG457543:EHG457608 ERC457543:ERC457608 FAY457543:FAY457608 FKU457543:FKU457608 FUQ457543:FUQ457608 GEM457543:GEM457608 GOI457543:GOI457608 GYE457543:GYE457608 HIA457543:HIA457608 HRW457543:HRW457608 IBS457543:IBS457608 ILO457543:ILO457608 IVK457543:IVK457608 JFG457543:JFG457608 JPC457543:JPC457608 JYY457543:JYY457608 KIU457543:KIU457608 KSQ457543:KSQ457608 LCM457543:LCM457608 LMI457543:LMI457608 LWE457543:LWE457608 MGA457543:MGA457608 MPW457543:MPW457608 MZS457543:MZS457608 NJO457543:NJO457608 NTK457543:NTK457608 ODG457543:ODG457608 ONC457543:ONC457608 OWY457543:OWY457608 PGU457543:PGU457608 PQQ457543:PQQ457608 QAM457543:QAM457608 QKI457543:QKI457608 QUE457543:QUE457608 REA457543:REA457608 RNW457543:RNW457608 RXS457543:RXS457608 SHO457543:SHO457608 SRK457543:SRK457608 TBG457543:TBG457608 TLC457543:TLC457608 TUY457543:TUY457608 UEU457543:UEU457608 UOQ457543:UOQ457608 UYM457543:UYM457608 VII457543:VII457608 VSE457543:VSE457608 WCA457543:WCA457608 WLW457543:WLW457608 WVS457543:WVS457608 K523079:K523144 JG523079:JG523144 TC523079:TC523144 ACY523079:ACY523144 AMU523079:AMU523144 AWQ523079:AWQ523144 BGM523079:BGM523144 BQI523079:BQI523144 CAE523079:CAE523144 CKA523079:CKA523144 CTW523079:CTW523144 DDS523079:DDS523144 DNO523079:DNO523144 DXK523079:DXK523144 EHG523079:EHG523144 ERC523079:ERC523144 FAY523079:FAY523144 FKU523079:FKU523144 FUQ523079:FUQ523144 GEM523079:GEM523144 GOI523079:GOI523144 GYE523079:GYE523144 HIA523079:HIA523144 HRW523079:HRW523144 IBS523079:IBS523144 ILO523079:ILO523144 IVK523079:IVK523144 JFG523079:JFG523144 JPC523079:JPC523144 JYY523079:JYY523144 KIU523079:KIU523144 KSQ523079:KSQ523144 LCM523079:LCM523144 LMI523079:LMI523144 LWE523079:LWE523144 MGA523079:MGA523144 MPW523079:MPW523144 MZS523079:MZS523144 NJO523079:NJO523144 NTK523079:NTK523144 ODG523079:ODG523144 ONC523079:ONC523144 OWY523079:OWY523144 PGU523079:PGU523144 PQQ523079:PQQ523144 QAM523079:QAM523144 QKI523079:QKI523144 QUE523079:QUE523144 REA523079:REA523144 RNW523079:RNW523144 RXS523079:RXS523144 SHO523079:SHO523144 SRK523079:SRK523144 TBG523079:TBG523144 TLC523079:TLC523144 TUY523079:TUY523144 UEU523079:UEU523144 UOQ523079:UOQ523144 UYM523079:UYM523144 VII523079:VII523144 VSE523079:VSE523144 WCA523079:WCA523144 WLW523079:WLW523144 WVS523079:WVS523144 K588615:K588680 JG588615:JG588680 TC588615:TC588680 ACY588615:ACY588680 AMU588615:AMU588680 AWQ588615:AWQ588680 BGM588615:BGM588680 BQI588615:BQI588680 CAE588615:CAE588680 CKA588615:CKA588680 CTW588615:CTW588680 DDS588615:DDS588680 DNO588615:DNO588680 DXK588615:DXK588680 EHG588615:EHG588680 ERC588615:ERC588680 FAY588615:FAY588680 FKU588615:FKU588680 FUQ588615:FUQ588680 GEM588615:GEM588680 GOI588615:GOI588680 GYE588615:GYE588680 HIA588615:HIA588680 HRW588615:HRW588680 IBS588615:IBS588680 ILO588615:ILO588680 IVK588615:IVK588680 JFG588615:JFG588680 JPC588615:JPC588680 JYY588615:JYY588680 KIU588615:KIU588680 KSQ588615:KSQ588680 LCM588615:LCM588680 LMI588615:LMI588680 LWE588615:LWE588680 MGA588615:MGA588680 MPW588615:MPW588680 MZS588615:MZS588680 NJO588615:NJO588680 NTK588615:NTK588680 ODG588615:ODG588680 ONC588615:ONC588680 OWY588615:OWY588680 PGU588615:PGU588680 PQQ588615:PQQ588680 QAM588615:QAM588680 QKI588615:QKI588680 QUE588615:QUE588680 REA588615:REA588680 RNW588615:RNW588680 RXS588615:RXS588680 SHO588615:SHO588680 SRK588615:SRK588680 TBG588615:TBG588680 TLC588615:TLC588680 TUY588615:TUY588680 UEU588615:UEU588680 UOQ588615:UOQ588680 UYM588615:UYM588680 VII588615:VII588680 VSE588615:VSE588680 WCA588615:WCA588680 WLW588615:WLW588680 WVS588615:WVS588680 K654151:K654216 JG654151:JG654216 TC654151:TC654216 ACY654151:ACY654216 AMU654151:AMU654216 AWQ654151:AWQ654216 BGM654151:BGM654216 BQI654151:BQI654216 CAE654151:CAE654216 CKA654151:CKA654216 CTW654151:CTW654216 DDS654151:DDS654216 DNO654151:DNO654216 DXK654151:DXK654216 EHG654151:EHG654216 ERC654151:ERC654216 FAY654151:FAY654216 FKU654151:FKU654216 FUQ654151:FUQ654216 GEM654151:GEM654216 GOI654151:GOI654216 GYE654151:GYE654216 HIA654151:HIA654216 HRW654151:HRW654216 IBS654151:IBS654216 ILO654151:ILO654216 IVK654151:IVK654216 JFG654151:JFG654216 JPC654151:JPC654216 JYY654151:JYY654216 KIU654151:KIU654216 KSQ654151:KSQ654216 LCM654151:LCM654216 LMI654151:LMI654216 LWE654151:LWE654216 MGA654151:MGA654216 MPW654151:MPW654216 MZS654151:MZS654216 NJO654151:NJO654216 NTK654151:NTK654216 ODG654151:ODG654216 ONC654151:ONC654216 OWY654151:OWY654216 PGU654151:PGU654216 PQQ654151:PQQ654216 QAM654151:QAM654216 QKI654151:QKI654216 QUE654151:QUE654216 REA654151:REA654216 RNW654151:RNW654216 RXS654151:RXS654216 SHO654151:SHO654216 SRK654151:SRK654216 TBG654151:TBG654216 TLC654151:TLC654216 TUY654151:TUY654216 UEU654151:UEU654216 UOQ654151:UOQ654216 UYM654151:UYM654216 VII654151:VII654216 VSE654151:VSE654216 WCA654151:WCA654216 WLW654151:WLW654216 WVS654151:WVS654216 K719687:K719752 JG719687:JG719752 TC719687:TC719752 ACY719687:ACY719752 AMU719687:AMU719752 AWQ719687:AWQ719752 BGM719687:BGM719752 BQI719687:BQI719752 CAE719687:CAE719752 CKA719687:CKA719752 CTW719687:CTW719752 DDS719687:DDS719752 DNO719687:DNO719752 DXK719687:DXK719752 EHG719687:EHG719752 ERC719687:ERC719752 FAY719687:FAY719752 FKU719687:FKU719752 FUQ719687:FUQ719752 GEM719687:GEM719752 GOI719687:GOI719752 GYE719687:GYE719752 HIA719687:HIA719752 HRW719687:HRW719752 IBS719687:IBS719752 ILO719687:ILO719752 IVK719687:IVK719752 JFG719687:JFG719752 JPC719687:JPC719752 JYY719687:JYY719752 KIU719687:KIU719752 KSQ719687:KSQ719752 LCM719687:LCM719752 LMI719687:LMI719752 LWE719687:LWE719752 MGA719687:MGA719752 MPW719687:MPW719752 MZS719687:MZS719752 NJO719687:NJO719752 NTK719687:NTK719752 ODG719687:ODG719752 ONC719687:ONC719752 OWY719687:OWY719752 PGU719687:PGU719752 PQQ719687:PQQ719752 QAM719687:QAM719752 QKI719687:QKI719752 QUE719687:QUE719752 REA719687:REA719752 RNW719687:RNW719752 RXS719687:RXS719752 SHO719687:SHO719752 SRK719687:SRK719752 TBG719687:TBG719752 TLC719687:TLC719752 TUY719687:TUY719752 UEU719687:UEU719752 UOQ719687:UOQ719752 UYM719687:UYM719752 VII719687:VII719752 VSE719687:VSE719752 WCA719687:WCA719752 WLW719687:WLW719752 WVS719687:WVS719752 K785223:K785288 JG785223:JG785288 TC785223:TC785288 ACY785223:ACY785288 AMU785223:AMU785288 AWQ785223:AWQ785288 BGM785223:BGM785288 BQI785223:BQI785288 CAE785223:CAE785288 CKA785223:CKA785288 CTW785223:CTW785288 DDS785223:DDS785288 DNO785223:DNO785288 DXK785223:DXK785288 EHG785223:EHG785288 ERC785223:ERC785288 FAY785223:FAY785288 FKU785223:FKU785288 FUQ785223:FUQ785288 GEM785223:GEM785288 GOI785223:GOI785288 GYE785223:GYE785288 HIA785223:HIA785288 HRW785223:HRW785288 IBS785223:IBS785288 ILO785223:ILO785288 IVK785223:IVK785288 JFG785223:JFG785288 JPC785223:JPC785288 JYY785223:JYY785288 KIU785223:KIU785288 KSQ785223:KSQ785288 LCM785223:LCM785288 LMI785223:LMI785288 LWE785223:LWE785288 MGA785223:MGA785288 MPW785223:MPW785288 MZS785223:MZS785288 NJO785223:NJO785288 NTK785223:NTK785288 ODG785223:ODG785288 ONC785223:ONC785288 OWY785223:OWY785288 PGU785223:PGU785288 PQQ785223:PQQ785288 QAM785223:QAM785288 QKI785223:QKI785288 QUE785223:QUE785288 REA785223:REA785288 RNW785223:RNW785288 RXS785223:RXS785288 SHO785223:SHO785288 SRK785223:SRK785288 TBG785223:TBG785288 TLC785223:TLC785288 TUY785223:TUY785288 UEU785223:UEU785288 UOQ785223:UOQ785288 UYM785223:UYM785288 VII785223:VII785288 VSE785223:VSE785288 WCA785223:WCA785288 WLW785223:WLW785288 WVS785223:WVS785288 K850759:K850824 JG850759:JG850824 TC850759:TC850824 ACY850759:ACY850824 AMU850759:AMU850824 AWQ850759:AWQ850824 BGM850759:BGM850824 BQI850759:BQI850824 CAE850759:CAE850824 CKA850759:CKA850824 CTW850759:CTW850824 DDS850759:DDS850824 DNO850759:DNO850824 DXK850759:DXK850824 EHG850759:EHG850824 ERC850759:ERC850824 FAY850759:FAY850824 FKU850759:FKU850824 FUQ850759:FUQ850824 GEM850759:GEM850824 GOI850759:GOI850824 GYE850759:GYE850824 HIA850759:HIA850824 HRW850759:HRW850824 IBS850759:IBS850824 ILO850759:ILO850824 IVK850759:IVK850824 JFG850759:JFG850824 JPC850759:JPC850824 JYY850759:JYY850824 KIU850759:KIU850824 KSQ850759:KSQ850824 LCM850759:LCM850824 LMI850759:LMI850824 LWE850759:LWE850824 MGA850759:MGA850824 MPW850759:MPW850824 MZS850759:MZS850824 NJO850759:NJO850824 NTK850759:NTK850824 ODG850759:ODG850824 ONC850759:ONC850824 OWY850759:OWY850824 PGU850759:PGU850824 PQQ850759:PQQ850824 QAM850759:QAM850824 QKI850759:QKI850824 QUE850759:QUE850824 REA850759:REA850824 RNW850759:RNW850824 RXS850759:RXS850824 SHO850759:SHO850824 SRK850759:SRK850824 TBG850759:TBG850824 TLC850759:TLC850824 TUY850759:TUY850824 UEU850759:UEU850824 UOQ850759:UOQ850824 UYM850759:UYM850824 VII850759:VII850824 VSE850759:VSE850824 WCA850759:WCA850824 WLW850759:WLW850824 WVS850759:WVS850824 K916295:K916360 JG916295:JG916360 TC916295:TC916360 ACY916295:ACY916360 AMU916295:AMU916360 AWQ916295:AWQ916360 BGM916295:BGM916360 BQI916295:BQI916360 CAE916295:CAE916360 CKA916295:CKA916360 CTW916295:CTW916360 DDS916295:DDS916360 DNO916295:DNO916360 DXK916295:DXK916360 EHG916295:EHG916360 ERC916295:ERC916360 FAY916295:FAY916360 FKU916295:FKU916360 FUQ916295:FUQ916360 GEM916295:GEM916360 GOI916295:GOI916360 GYE916295:GYE916360 HIA916295:HIA916360 HRW916295:HRW916360 IBS916295:IBS916360 ILO916295:ILO916360 IVK916295:IVK916360 JFG916295:JFG916360 JPC916295:JPC916360 JYY916295:JYY916360 KIU916295:KIU916360 KSQ916295:KSQ916360 LCM916295:LCM916360 LMI916295:LMI916360 LWE916295:LWE916360 MGA916295:MGA916360 MPW916295:MPW916360 MZS916295:MZS916360 NJO916295:NJO916360 NTK916295:NTK916360 ODG916295:ODG916360 ONC916295:ONC916360 OWY916295:OWY916360 PGU916295:PGU916360 PQQ916295:PQQ916360 QAM916295:QAM916360 QKI916295:QKI916360 QUE916295:QUE916360 REA916295:REA916360 RNW916295:RNW916360 RXS916295:RXS916360 SHO916295:SHO916360 SRK916295:SRK916360 TBG916295:TBG916360 TLC916295:TLC916360 TUY916295:TUY916360 UEU916295:UEU916360 UOQ916295:UOQ916360 UYM916295:UYM916360 VII916295:VII916360 VSE916295:VSE916360 WCA916295:WCA916360 WLW916295:WLW916360 WVS916295:WVS916360 K981831:K981896 JG981831:JG981896 TC981831:TC981896 ACY981831:ACY981896 AMU981831:AMU981896 AWQ981831:AWQ981896 BGM981831:BGM981896 BQI981831:BQI981896 CAE981831:CAE981896 CKA981831:CKA981896 CTW981831:CTW981896 DDS981831:DDS981896 DNO981831:DNO981896 DXK981831:DXK981896 EHG981831:EHG981896 ERC981831:ERC981896 FAY981831:FAY981896 FKU981831:FKU981896 FUQ981831:FUQ981896 GEM981831:GEM981896 GOI981831:GOI981896 GYE981831:GYE981896 HIA981831:HIA981896 HRW981831:HRW981896 IBS981831:IBS981896 ILO981831:ILO981896 IVK981831:IVK981896 JFG981831:JFG981896 JPC981831:JPC981896 JYY981831:JYY981896 KIU981831:KIU981896 KSQ981831:KSQ981896 LCM981831:LCM981896 LMI981831:LMI981896 LWE981831:LWE981896 MGA981831:MGA981896 MPW981831:MPW981896 MZS981831:MZS981896 NJO981831:NJO981896 NTK981831:NTK981896 ODG981831:ODG981896 ONC981831:ONC981896 OWY981831:OWY981896 PGU981831:PGU981896 PQQ981831:PQQ981896 QAM981831:QAM981896 QKI981831:QKI981896 QUE981831:QUE981896 REA981831:REA981896 RNW981831:RNW981896 RXS981831:RXS981896 SHO981831:SHO981896 SRK981831:SRK981896 TBG981831:TBG981896 TLC981831:TLC981896 TUY981831:TUY981896 UEU981831:UEU981896 UOQ981831:UOQ981896 UYM981831:UYM981896 VII981831:VII981896 VSE981831:VSE981896 WCA981831:WCA981896 WLW981831:WLW981896 WVS981831:WVS981896 K1047367:K1047432 JG1047367:JG1047432 TC1047367:TC1047432 ACY1047367:ACY1047432 AMU1047367:AMU1047432 AWQ1047367:AWQ1047432 BGM1047367:BGM1047432 BQI1047367:BQI1047432 CAE1047367:CAE1047432 CKA1047367:CKA1047432 CTW1047367:CTW1047432 DDS1047367:DDS1047432 DNO1047367:DNO1047432 DXK1047367:DXK1047432 EHG1047367:EHG1047432 ERC1047367:ERC1047432 FAY1047367:FAY1047432 FKU1047367:FKU1047432 FUQ1047367:FUQ1047432 GEM1047367:GEM1047432 GOI1047367:GOI1047432 GYE1047367:GYE1047432 HIA1047367:HIA1047432 HRW1047367:HRW1047432 IBS1047367:IBS1047432 ILO1047367:ILO1047432 IVK1047367:IVK1047432 JFG1047367:JFG1047432 JPC1047367:JPC1047432 JYY1047367:JYY1047432 KIU1047367:KIU1047432 KSQ1047367:KSQ1047432 LCM1047367:LCM1047432 LMI1047367:LMI1047432 LWE1047367:LWE1047432 MGA1047367:MGA1047432 MPW1047367:MPW1047432 MZS1047367:MZS1047432 NJO1047367:NJO1047432 NTK1047367:NTK1047432 ODG1047367:ODG1047432 ONC1047367:ONC1047432 OWY1047367:OWY1047432 PGU1047367:PGU1047432 PQQ1047367:PQQ1047432 QAM1047367:QAM1047432 QKI1047367:QKI1047432 QUE1047367:QUE1047432 REA1047367:REA1047432 RNW1047367:RNW1047432 RXS1047367:RXS1047432 SHO1047367:SHO1047432 SRK1047367:SRK1047432 TBG1047367:TBG1047432 TLC1047367:TLC1047432 TUY1047367:TUY1047432 UEU1047367:UEU1047432 UOQ1047367:UOQ1047432 UYM1047367:UYM1047432 VII1047367:VII1047432 VSE1047367:VSE1047432 WCA1047367:WCA1047432 WLW1047367:WLW1047432 WVS1047367:WVS1047432" xr:uid="{3BE56683-B870-4520-BBF6-6C3141C5915C}">
      <formula1>$AR$2:$AR$24</formula1>
    </dataValidation>
    <dataValidation type="list" allowBlank="1" showInputMessage="1" showErrorMessage="1" sqref="Y64327:AA64392 JU64327:JW64392 TQ64327:TS64392 ADM64327:ADO64392 ANI64327:ANK64392 AXE64327:AXG64392 BHA64327:BHC64392 BQW64327:BQY64392 CAS64327:CAU64392 CKO64327:CKQ64392 CUK64327:CUM64392 DEG64327:DEI64392 DOC64327:DOE64392 DXY64327:DYA64392 EHU64327:EHW64392 ERQ64327:ERS64392 FBM64327:FBO64392 FLI64327:FLK64392 FVE64327:FVG64392 GFA64327:GFC64392 GOW64327:GOY64392 GYS64327:GYU64392 HIO64327:HIQ64392 HSK64327:HSM64392 ICG64327:ICI64392 IMC64327:IME64392 IVY64327:IWA64392 JFU64327:JFW64392 JPQ64327:JPS64392 JZM64327:JZO64392 KJI64327:KJK64392 KTE64327:KTG64392 LDA64327:LDC64392 LMW64327:LMY64392 LWS64327:LWU64392 MGO64327:MGQ64392 MQK64327:MQM64392 NAG64327:NAI64392 NKC64327:NKE64392 NTY64327:NUA64392 ODU64327:ODW64392 ONQ64327:ONS64392 OXM64327:OXO64392 PHI64327:PHK64392 PRE64327:PRG64392 QBA64327:QBC64392 QKW64327:QKY64392 QUS64327:QUU64392 REO64327:REQ64392 ROK64327:ROM64392 RYG64327:RYI64392 SIC64327:SIE64392 SRY64327:SSA64392 TBU64327:TBW64392 TLQ64327:TLS64392 TVM64327:TVO64392 UFI64327:UFK64392 UPE64327:UPG64392 UZA64327:UZC64392 VIW64327:VIY64392 VSS64327:VSU64392 WCO64327:WCQ64392 WMK64327:WMM64392 WWG64327:WWI64392 Y129863:AA129928 JU129863:JW129928 TQ129863:TS129928 ADM129863:ADO129928 ANI129863:ANK129928 AXE129863:AXG129928 BHA129863:BHC129928 BQW129863:BQY129928 CAS129863:CAU129928 CKO129863:CKQ129928 CUK129863:CUM129928 DEG129863:DEI129928 DOC129863:DOE129928 DXY129863:DYA129928 EHU129863:EHW129928 ERQ129863:ERS129928 FBM129863:FBO129928 FLI129863:FLK129928 FVE129863:FVG129928 GFA129863:GFC129928 GOW129863:GOY129928 GYS129863:GYU129928 HIO129863:HIQ129928 HSK129863:HSM129928 ICG129863:ICI129928 IMC129863:IME129928 IVY129863:IWA129928 JFU129863:JFW129928 JPQ129863:JPS129928 JZM129863:JZO129928 KJI129863:KJK129928 KTE129863:KTG129928 LDA129863:LDC129928 LMW129863:LMY129928 LWS129863:LWU129928 MGO129863:MGQ129928 MQK129863:MQM129928 NAG129863:NAI129928 NKC129863:NKE129928 NTY129863:NUA129928 ODU129863:ODW129928 ONQ129863:ONS129928 OXM129863:OXO129928 PHI129863:PHK129928 PRE129863:PRG129928 QBA129863:QBC129928 QKW129863:QKY129928 QUS129863:QUU129928 REO129863:REQ129928 ROK129863:ROM129928 RYG129863:RYI129928 SIC129863:SIE129928 SRY129863:SSA129928 TBU129863:TBW129928 TLQ129863:TLS129928 TVM129863:TVO129928 UFI129863:UFK129928 UPE129863:UPG129928 UZA129863:UZC129928 VIW129863:VIY129928 VSS129863:VSU129928 WCO129863:WCQ129928 WMK129863:WMM129928 WWG129863:WWI129928 Y195399:AA195464 JU195399:JW195464 TQ195399:TS195464 ADM195399:ADO195464 ANI195399:ANK195464 AXE195399:AXG195464 BHA195399:BHC195464 BQW195399:BQY195464 CAS195399:CAU195464 CKO195399:CKQ195464 CUK195399:CUM195464 DEG195399:DEI195464 DOC195399:DOE195464 DXY195399:DYA195464 EHU195399:EHW195464 ERQ195399:ERS195464 FBM195399:FBO195464 FLI195399:FLK195464 FVE195399:FVG195464 GFA195399:GFC195464 GOW195399:GOY195464 GYS195399:GYU195464 HIO195399:HIQ195464 HSK195399:HSM195464 ICG195399:ICI195464 IMC195399:IME195464 IVY195399:IWA195464 JFU195399:JFW195464 JPQ195399:JPS195464 JZM195399:JZO195464 KJI195399:KJK195464 KTE195399:KTG195464 LDA195399:LDC195464 LMW195399:LMY195464 LWS195399:LWU195464 MGO195399:MGQ195464 MQK195399:MQM195464 NAG195399:NAI195464 NKC195399:NKE195464 NTY195399:NUA195464 ODU195399:ODW195464 ONQ195399:ONS195464 OXM195399:OXO195464 PHI195399:PHK195464 PRE195399:PRG195464 QBA195399:QBC195464 QKW195399:QKY195464 QUS195399:QUU195464 REO195399:REQ195464 ROK195399:ROM195464 RYG195399:RYI195464 SIC195399:SIE195464 SRY195399:SSA195464 TBU195399:TBW195464 TLQ195399:TLS195464 TVM195399:TVO195464 UFI195399:UFK195464 UPE195399:UPG195464 UZA195399:UZC195464 VIW195399:VIY195464 VSS195399:VSU195464 WCO195399:WCQ195464 WMK195399:WMM195464 WWG195399:WWI195464 Y260935:AA261000 JU260935:JW261000 TQ260935:TS261000 ADM260935:ADO261000 ANI260935:ANK261000 AXE260935:AXG261000 BHA260935:BHC261000 BQW260935:BQY261000 CAS260935:CAU261000 CKO260935:CKQ261000 CUK260935:CUM261000 DEG260935:DEI261000 DOC260935:DOE261000 DXY260935:DYA261000 EHU260935:EHW261000 ERQ260935:ERS261000 FBM260935:FBO261000 FLI260935:FLK261000 FVE260935:FVG261000 GFA260935:GFC261000 GOW260935:GOY261000 GYS260935:GYU261000 HIO260935:HIQ261000 HSK260935:HSM261000 ICG260935:ICI261000 IMC260935:IME261000 IVY260935:IWA261000 JFU260935:JFW261000 JPQ260935:JPS261000 JZM260935:JZO261000 KJI260935:KJK261000 KTE260935:KTG261000 LDA260935:LDC261000 LMW260935:LMY261000 LWS260935:LWU261000 MGO260935:MGQ261000 MQK260935:MQM261000 NAG260935:NAI261000 NKC260935:NKE261000 NTY260935:NUA261000 ODU260935:ODW261000 ONQ260935:ONS261000 OXM260935:OXO261000 PHI260935:PHK261000 PRE260935:PRG261000 QBA260935:QBC261000 QKW260935:QKY261000 QUS260935:QUU261000 REO260935:REQ261000 ROK260935:ROM261000 RYG260935:RYI261000 SIC260935:SIE261000 SRY260935:SSA261000 TBU260935:TBW261000 TLQ260935:TLS261000 TVM260935:TVO261000 UFI260935:UFK261000 UPE260935:UPG261000 UZA260935:UZC261000 VIW260935:VIY261000 VSS260935:VSU261000 WCO260935:WCQ261000 WMK260935:WMM261000 WWG260935:WWI261000 Y326471:AA326536 JU326471:JW326536 TQ326471:TS326536 ADM326471:ADO326536 ANI326471:ANK326536 AXE326471:AXG326536 BHA326471:BHC326536 BQW326471:BQY326536 CAS326471:CAU326536 CKO326471:CKQ326536 CUK326471:CUM326536 DEG326471:DEI326536 DOC326471:DOE326536 DXY326471:DYA326536 EHU326471:EHW326536 ERQ326471:ERS326536 FBM326471:FBO326536 FLI326471:FLK326536 FVE326471:FVG326536 GFA326471:GFC326536 GOW326471:GOY326536 GYS326471:GYU326536 HIO326471:HIQ326536 HSK326471:HSM326536 ICG326471:ICI326536 IMC326471:IME326536 IVY326471:IWA326536 JFU326471:JFW326536 JPQ326471:JPS326536 JZM326471:JZO326536 KJI326471:KJK326536 KTE326471:KTG326536 LDA326471:LDC326536 LMW326471:LMY326536 LWS326471:LWU326536 MGO326471:MGQ326536 MQK326471:MQM326536 NAG326471:NAI326536 NKC326471:NKE326536 NTY326471:NUA326536 ODU326471:ODW326536 ONQ326471:ONS326536 OXM326471:OXO326536 PHI326471:PHK326536 PRE326471:PRG326536 QBA326471:QBC326536 QKW326471:QKY326536 QUS326471:QUU326536 REO326471:REQ326536 ROK326471:ROM326536 RYG326471:RYI326536 SIC326471:SIE326536 SRY326471:SSA326536 TBU326471:TBW326536 TLQ326471:TLS326536 TVM326471:TVO326536 UFI326471:UFK326536 UPE326471:UPG326536 UZA326471:UZC326536 VIW326471:VIY326536 VSS326471:VSU326536 WCO326471:WCQ326536 WMK326471:WMM326536 WWG326471:WWI326536 Y392007:AA392072 JU392007:JW392072 TQ392007:TS392072 ADM392007:ADO392072 ANI392007:ANK392072 AXE392007:AXG392072 BHA392007:BHC392072 BQW392007:BQY392072 CAS392007:CAU392072 CKO392007:CKQ392072 CUK392007:CUM392072 DEG392007:DEI392072 DOC392007:DOE392072 DXY392007:DYA392072 EHU392007:EHW392072 ERQ392007:ERS392072 FBM392007:FBO392072 FLI392007:FLK392072 FVE392007:FVG392072 GFA392007:GFC392072 GOW392007:GOY392072 GYS392007:GYU392072 HIO392007:HIQ392072 HSK392007:HSM392072 ICG392007:ICI392072 IMC392007:IME392072 IVY392007:IWA392072 JFU392007:JFW392072 JPQ392007:JPS392072 JZM392007:JZO392072 KJI392007:KJK392072 KTE392007:KTG392072 LDA392007:LDC392072 LMW392007:LMY392072 LWS392007:LWU392072 MGO392007:MGQ392072 MQK392007:MQM392072 NAG392007:NAI392072 NKC392007:NKE392072 NTY392007:NUA392072 ODU392007:ODW392072 ONQ392007:ONS392072 OXM392007:OXO392072 PHI392007:PHK392072 PRE392007:PRG392072 QBA392007:QBC392072 QKW392007:QKY392072 QUS392007:QUU392072 REO392007:REQ392072 ROK392007:ROM392072 RYG392007:RYI392072 SIC392007:SIE392072 SRY392007:SSA392072 TBU392007:TBW392072 TLQ392007:TLS392072 TVM392007:TVO392072 UFI392007:UFK392072 UPE392007:UPG392072 UZA392007:UZC392072 VIW392007:VIY392072 VSS392007:VSU392072 WCO392007:WCQ392072 WMK392007:WMM392072 WWG392007:WWI392072 Y457543:AA457608 JU457543:JW457608 TQ457543:TS457608 ADM457543:ADO457608 ANI457543:ANK457608 AXE457543:AXG457608 BHA457543:BHC457608 BQW457543:BQY457608 CAS457543:CAU457608 CKO457543:CKQ457608 CUK457543:CUM457608 DEG457543:DEI457608 DOC457543:DOE457608 DXY457543:DYA457608 EHU457543:EHW457608 ERQ457543:ERS457608 FBM457543:FBO457608 FLI457543:FLK457608 FVE457543:FVG457608 GFA457543:GFC457608 GOW457543:GOY457608 GYS457543:GYU457608 HIO457543:HIQ457608 HSK457543:HSM457608 ICG457543:ICI457608 IMC457543:IME457608 IVY457543:IWA457608 JFU457543:JFW457608 JPQ457543:JPS457608 JZM457543:JZO457608 KJI457543:KJK457608 KTE457543:KTG457608 LDA457543:LDC457608 LMW457543:LMY457608 LWS457543:LWU457608 MGO457543:MGQ457608 MQK457543:MQM457608 NAG457543:NAI457608 NKC457543:NKE457608 NTY457543:NUA457608 ODU457543:ODW457608 ONQ457543:ONS457608 OXM457543:OXO457608 PHI457543:PHK457608 PRE457543:PRG457608 QBA457543:QBC457608 QKW457543:QKY457608 QUS457543:QUU457608 REO457543:REQ457608 ROK457543:ROM457608 RYG457543:RYI457608 SIC457543:SIE457608 SRY457543:SSA457608 TBU457543:TBW457608 TLQ457543:TLS457608 TVM457543:TVO457608 UFI457543:UFK457608 UPE457543:UPG457608 UZA457543:UZC457608 VIW457543:VIY457608 VSS457543:VSU457608 WCO457543:WCQ457608 WMK457543:WMM457608 WWG457543:WWI457608 Y523079:AA523144 JU523079:JW523144 TQ523079:TS523144 ADM523079:ADO523144 ANI523079:ANK523144 AXE523079:AXG523144 BHA523079:BHC523144 BQW523079:BQY523144 CAS523079:CAU523144 CKO523079:CKQ523144 CUK523079:CUM523144 DEG523079:DEI523144 DOC523079:DOE523144 DXY523079:DYA523144 EHU523079:EHW523144 ERQ523079:ERS523144 FBM523079:FBO523144 FLI523079:FLK523144 FVE523079:FVG523144 GFA523079:GFC523144 GOW523079:GOY523144 GYS523079:GYU523144 HIO523079:HIQ523144 HSK523079:HSM523144 ICG523079:ICI523144 IMC523079:IME523144 IVY523079:IWA523144 JFU523079:JFW523144 JPQ523079:JPS523144 JZM523079:JZO523144 KJI523079:KJK523144 KTE523079:KTG523144 LDA523079:LDC523144 LMW523079:LMY523144 LWS523079:LWU523144 MGO523079:MGQ523144 MQK523079:MQM523144 NAG523079:NAI523144 NKC523079:NKE523144 NTY523079:NUA523144 ODU523079:ODW523144 ONQ523079:ONS523144 OXM523079:OXO523144 PHI523079:PHK523144 PRE523079:PRG523144 QBA523079:QBC523144 QKW523079:QKY523144 QUS523079:QUU523144 REO523079:REQ523144 ROK523079:ROM523144 RYG523079:RYI523144 SIC523079:SIE523144 SRY523079:SSA523144 TBU523079:TBW523144 TLQ523079:TLS523144 TVM523079:TVO523144 UFI523079:UFK523144 UPE523079:UPG523144 UZA523079:UZC523144 VIW523079:VIY523144 VSS523079:VSU523144 WCO523079:WCQ523144 WMK523079:WMM523144 WWG523079:WWI523144 Y588615:AA588680 JU588615:JW588680 TQ588615:TS588680 ADM588615:ADO588680 ANI588615:ANK588680 AXE588615:AXG588680 BHA588615:BHC588680 BQW588615:BQY588680 CAS588615:CAU588680 CKO588615:CKQ588680 CUK588615:CUM588680 DEG588615:DEI588680 DOC588615:DOE588680 DXY588615:DYA588680 EHU588615:EHW588680 ERQ588615:ERS588680 FBM588615:FBO588680 FLI588615:FLK588680 FVE588615:FVG588680 GFA588615:GFC588680 GOW588615:GOY588680 GYS588615:GYU588680 HIO588615:HIQ588680 HSK588615:HSM588680 ICG588615:ICI588680 IMC588615:IME588680 IVY588615:IWA588680 JFU588615:JFW588680 JPQ588615:JPS588680 JZM588615:JZO588680 KJI588615:KJK588680 KTE588615:KTG588680 LDA588615:LDC588680 LMW588615:LMY588680 LWS588615:LWU588680 MGO588615:MGQ588680 MQK588615:MQM588680 NAG588615:NAI588680 NKC588615:NKE588680 NTY588615:NUA588680 ODU588615:ODW588680 ONQ588615:ONS588680 OXM588615:OXO588680 PHI588615:PHK588680 PRE588615:PRG588680 QBA588615:QBC588680 QKW588615:QKY588680 QUS588615:QUU588680 REO588615:REQ588680 ROK588615:ROM588680 RYG588615:RYI588680 SIC588615:SIE588680 SRY588615:SSA588680 TBU588615:TBW588680 TLQ588615:TLS588680 TVM588615:TVO588680 UFI588615:UFK588680 UPE588615:UPG588680 UZA588615:UZC588680 VIW588615:VIY588680 VSS588615:VSU588680 WCO588615:WCQ588680 WMK588615:WMM588680 WWG588615:WWI588680 Y654151:AA654216 JU654151:JW654216 TQ654151:TS654216 ADM654151:ADO654216 ANI654151:ANK654216 AXE654151:AXG654216 BHA654151:BHC654216 BQW654151:BQY654216 CAS654151:CAU654216 CKO654151:CKQ654216 CUK654151:CUM654216 DEG654151:DEI654216 DOC654151:DOE654216 DXY654151:DYA654216 EHU654151:EHW654216 ERQ654151:ERS654216 FBM654151:FBO654216 FLI654151:FLK654216 FVE654151:FVG654216 GFA654151:GFC654216 GOW654151:GOY654216 GYS654151:GYU654216 HIO654151:HIQ654216 HSK654151:HSM654216 ICG654151:ICI654216 IMC654151:IME654216 IVY654151:IWA654216 JFU654151:JFW654216 JPQ654151:JPS654216 JZM654151:JZO654216 KJI654151:KJK654216 KTE654151:KTG654216 LDA654151:LDC654216 LMW654151:LMY654216 LWS654151:LWU654216 MGO654151:MGQ654216 MQK654151:MQM654216 NAG654151:NAI654216 NKC654151:NKE654216 NTY654151:NUA654216 ODU654151:ODW654216 ONQ654151:ONS654216 OXM654151:OXO654216 PHI654151:PHK654216 PRE654151:PRG654216 QBA654151:QBC654216 QKW654151:QKY654216 QUS654151:QUU654216 REO654151:REQ654216 ROK654151:ROM654216 RYG654151:RYI654216 SIC654151:SIE654216 SRY654151:SSA654216 TBU654151:TBW654216 TLQ654151:TLS654216 TVM654151:TVO654216 UFI654151:UFK654216 UPE654151:UPG654216 UZA654151:UZC654216 VIW654151:VIY654216 VSS654151:VSU654216 WCO654151:WCQ654216 WMK654151:WMM654216 WWG654151:WWI654216 Y719687:AA719752 JU719687:JW719752 TQ719687:TS719752 ADM719687:ADO719752 ANI719687:ANK719752 AXE719687:AXG719752 BHA719687:BHC719752 BQW719687:BQY719752 CAS719687:CAU719752 CKO719687:CKQ719752 CUK719687:CUM719752 DEG719687:DEI719752 DOC719687:DOE719752 DXY719687:DYA719752 EHU719687:EHW719752 ERQ719687:ERS719752 FBM719687:FBO719752 FLI719687:FLK719752 FVE719687:FVG719752 GFA719687:GFC719752 GOW719687:GOY719752 GYS719687:GYU719752 HIO719687:HIQ719752 HSK719687:HSM719752 ICG719687:ICI719752 IMC719687:IME719752 IVY719687:IWA719752 JFU719687:JFW719752 JPQ719687:JPS719752 JZM719687:JZO719752 KJI719687:KJK719752 KTE719687:KTG719752 LDA719687:LDC719752 LMW719687:LMY719752 LWS719687:LWU719752 MGO719687:MGQ719752 MQK719687:MQM719752 NAG719687:NAI719752 NKC719687:NKE719752 NTY719687:NUA719752 ODU719687:ODW719752 ONQ719687:ONS719752 OXM719687:OXO719752 PHI719687:PHK719752 PRE719687:PRG719752 QBA719687:QBC719752 QKW719687:QKY719752 QUS719687:QUU719752 REO719687:REQ719752 ROK719687:ROM719752 RYG719687:RYI719752 SIC719687:SIE719752 SRY719687:SSA719752 TBU719687:TBW719752 TLQ719687:TLS719752 TVM719687:TVO719752 UFI719687:UFK719752 UPE719687:UPG719752 UZA719687:UZC719752 VIW719687:VIY719752 VSS719687:VSU719752 WCO719687:WCQ719752 WMK719687:WMM719752 WWG719687:WWI719752 Y785223:AA785288 JU785223:JW785288 TQ785223:TS785288 ADM785223:ADO785288 ANI785223:ANK785288 AXE785223:AXG785288 BHA785223:BHC785288 BQW785223:BQY785288 CAS785223:CAU785288 CKO785223:CKQ785288 CUK785223:CUM785288 DEG785223:DEI785288 DOC785223:DOE785288 DXY785223:DYA785288 EHU785223:EHW785288 ERQ785223:ERS785288 FBM785223:FBO785288 FLI785223:FLK785288 FVE785223:FVG785288 GFA785223:GFC785288 GOW785223:GOY785288 GYS785223:GYU785288 HIO785223:HIQ785288 HSK785223:HSM785288 ICG785223:ICI785288 IMC785223:IME785288 IVY785223:IWA785288 JFU785223:JFW785288 JPQ785223:JPS785288 JZM785223:JZO785288 KJI785223:KJK785288 KTE785223:KTG785288 LDA785223:LDC785288 LMW785223:LMY785288 LWS785223:LWU785288 MGO785223:MGQ785288 MQK785223:MQM785288 NAG785223:NAI785288 NKC785223:NKE785288 NTY785223:NUA785288 ODU785223:ODW785288 ONQ785223:ONS785288 OXM785223:OXO785288 PHI785223:PHK785288 PRE785223:PRG785288 QBA785223:QBC785288 QKW785223:QKY785288 QUS785223:QUU785288 REO785223:REQ785288 ROK785223:ROM785288 RYG785223:RYI785288 SIC785223:SIE785288 SRY785223:SSA785288 TBU785223:TBW785288 TLQ785223:TLS785288 TVM785223:TVO785288 UFI785223:UFK785288 UPE785223:UPG785288 UZA785223:UZC785288 VIW785223:VIY785288 VSS785223:VSU785288 WCO785223:WCQ785288 WMK785223:WMM785288 WWG785223:WWI785288 Y850759:AA850824 JU850759:JW850824 TQ850759:TS850824 ADM850759:ADO850824 ANI850759:ANK850824 AXE850759:AXG850824 BHA850759:BHC850824 BQW850759:BQY850824 CAS850759:CAU850824 CKO850759:CKQ850824 CUK850759:CUM850824 DEG850759:DEI850824 DOC850759:DOE850824 DXY850759:DYA850824 EHU850759:EHW850824 ERQ850759:ERS850824 FBM850759:FBO850824 FLI850759:FLK850824 FVE850759:FVG850824 GFA850759:GFC850824 GOW850759:GOY850824 GYS850759:GYU850824 HIO850759:HIQ850824 HSK850759:HSM850824 ICG850759:ICI850824 IMC850759:IME850824 IVY850759:IWA850824 JFU850759:JFW850824 JPQ850759:JPS850824 JZM850759:JZO850824 KJI850759:KJK850824 KTE850759:KTG850824 LDA850759:LDC850824 LMW850759:LMY850824 LWS850759:LWU850824 MGO850759:MGQ850824 MQK850759:MQM850824 NAG850759:NAI850824 NKC850759:NKE850824 NTY850759:NUA850824 ODU850759:ODW850824 ONQ850759:ONS850824 OXM850759:OXO850824 PHI850759:PHK850824 PRE850759:PRG850824 QBA850759:QBC850824 QKW850759:QKY850824 QUS850759:QUU850824 REO850759:REQ850824 ROK850759:ROM850824 RYG850759:RYI850824 SIC850759:SIE850824 SRY850759:SSA850824 TBU850759:TBW850824 TLQ850759:TLS850824 TVM850759:TVO850824 UFI850759:UFK850824 UPE850759:UPG850824 UZA850759:UZC850824 VIW850759:VIY850824 VSS850759:VSU850824 WCO850759:WCQ850824 WMK850759:WMM850824 WWG850759:WWI850824 Y916295:AA916360 JU916295:JW916360 TQ916295:TS916360 ADM916295:ADO916360 ANI916295:ANK916360 AXE916295:AXG916360 BHA916295:BHC916360 BQW916295:BQY916360 CAS916295:CAU916360 CKO916295:CKQ916360 CUK916295:CUM916360 DEG916295:DEI916360 DOC916295:DOE916360 DXY916295:DYA916360 EHU916295:EHW916360 ERQ916295:ERS916360 FBM916295:FBO916360 FLI916295:FLK916360 FVE916295:FVG916360 GFA916295:GFC916360 GOW916295:GOY916360 GYS916295:GYU916360 HIO916295:HIQ916360 HSK916295:HSM916360 ICG916295:ICI916360 IMC916295:IME916360 IVY916295:IWA916360 JFU916295:JFW916360 JPQ916295:JPS916360 JZM916295:JZO916360 KJI916295:KJK916360 KTE916295:KTG916360 LDA916295:LDC916360 LMW916295:LMY916360 LWS916295:LWU916360 MGO916295:MGQ916360 MQK916295:MQM916360 NAG916295:NAI916360 NKC916295:NKE916360 NTY916295:NUA916360 ODU916295:ODW916360 ONQ916295:ONS916360 OXM916295:OXO916360 PHI916295:PHK916360 PRE916295:PRG916360 QBA916295:QBC916360 QKW916295:QKY916360 QUS916295:QUU916360 REO916295:REQ916360 ROK916295:ROM916360 RYG916295:RYI916360 SIC916295:SIE916360 SRY916295:SSA916360 TBU916295:TBW916360 TLQ916295:TLS916360 TVM916295:TVO916360 UFI916295:UFK916360 UPE916295:UPG916360 UZA916295:UZC916360 VIW916295:VIY916360 VSS916295:VSU916360 WCO916295:WCQ916360 WMK916295:WMM916360 WWG916295:WWI916360 Y981831:AA981896 JU981831:JW981896 TQ981831:TS981896 ADM981831:ADO981896 ANI981831:ANK981896 AXE981831:AXG981896 BHA981831:BHC981896 BQW981831:BQY981896 CAS981831:CAU981896 CKO981831:CKQ981896 CUK981831:CUM981896 DEG981831:DEI981896 DOC981831:DOE981896 DXY981831:DYA981896 EHU981831:EHW981896 ERQ981831:ERS981896 FBM981831:FBO981896 FLI981831:FLK981896 FVE981831:FVG981896 GFA981831:GFC981896 GOW981831:GOY981896 GYS981831:GYU981896 HIO981831:HIQ981896 HSK981831:HSM981896 ICG981831:ICI981896 IMC981831:IME981896 IVY981831:IWA981896 JFU981831:JFW981896 JPQ981831:JPS981896 JZM981831:JZO981896 KJI981831:KJK981896 KTE981831:KTG981896 LDA981831:LDC981896 LMW981831:LMY981896 LWS981831:LWU981896 MGO981831:MGQ981896 MQK981831:MQM981896 NAG981831:NAI981896 NKC981831:NKE981896 NTY981831:NUA981896 ODU981831:ODW981896 ONQ981831:ONS981896 OXM981831:OXO981896 PHI981831:PHK981896 PRE981831:PRG981896 QBA981831:QBC981896 QKW981831:QKY981896 QUS981831:QUU981896 REO981831:REQ981896 ROK981831:ROM981896 RYG981831:RYI981896 SIC981831:SIE981896 SRY981831:SSA981896 TBU981831:TBW981896 TLQ981831:TLS981896 TVM981831:TVO981896 UFI981831:UFK981896 UPE981831:UPG981896 UZA981831:UZC981896 VIW981831:VIY981896 VSS981831:VSU981896 WCO981831:WCQ981896 WMK981831:WMM981896 WWG981831:WWI981896 Y1047367:AA1047432 JU1047367:JW1047432 TQ1047367:TS1047432 ADM1047367:ADO1047432 ANI1047367:ANK1047432 AXE1047367:AXG1047432 BHA1047367:BHC1047432 BQW1047367:BQY1047432 CAS1047367:CAU1047432 CKO1047367:CKQ1047432 CUK1047367:CUM1047432 DEG1047367:DEI1047432 DOC1047367:DOE1047432 DXY1047367:DYA1047432 EHU1047367:EHW1047432 ERQ1047367:ERS1047432 FBM1047367:FBO1047432 FLI1047367:FLK1047432 FVE1047367:FVG1047432 GFA1047367:GFC1047432 GOW1047367:GOY1047432 GYS1047367:GYU1047432 HIO1047367:HIQ1047432 HSK1047367:HSM1047432 ICG1047367:ICI1047432 IMC1047367:IME1047432 IVY1047367:IWA1047432 JFU1047367:JFW1047432 JPQ1047367:JPS1047432 JZM1047367:JZO1047432 KJI1047367:KJK1047432 KTE1047367:KTG1047432 LDA1047367:LDC1047432 LMW1047367:LMY1047432 LWS1047367:LWU1047432 MGO1047367:MGQ1047432 MQK1047367:MQM1047432 NAG1047367:NAI1047432 NKC1047367:NKE1047432 NTY1047367:NUA1047432 ODU1047367:ODW1047432 ONQ1047367:ONS1047432 OXM1047367:OXO1047432 PHI1047367:PHK1047432 PRE1047367:PRG1047432 QBA1047367:QBC1047432 QKW1047367:QKY1047432 QUS1047367:QUU1047432 REO1047367:REQ1047432 ROK1047367:ROM1047432 RYG1047367:RYI1047432 SIC1047367:SIE1047432 SRY1047367:SSA1047432 TBU1047367:TBW1047432 TLQ1047367:TLS1047432 TVM1047367:TVO1047432 UFI1047367:UFK1047432 UPE1047367:UPG1047432 UZA1047367:UZC1047432 VIW1047367:VIY1047432 VSS1047367:VSU1047432 WCO1047367:WCQ1047432 WMK1047367:WMM1047432 WWG1047367:WWI1047432 WWG983006:WWI983071 Y65502:AA65567 JU65502:JW65567 TQ65502:TS65567 ADM65502:ADO65567 ANI65502:ANK65567 AXE65502:AXG65567 BHA65502:BHC65567 BQW65502:BQY65567 CAS65502:CAU65567 CKO65502:CKQ65567 CUK65502:CUM65567 DEG65502:DEI65567 DOC65502:DOE65567 DXY65502:DYA65567 EHU65502:EHW65567 ERQ65502:ERS65567 FBM65502:FBO65567 FLI65502:FLK65567 FVE65502:FVG65567 GFA65502:GFC65567 GOW65502:GOY65567 GYS65502:GYU65567 HIO65502:HIQ65567 HSK65502:HSM65567 ICG65502:ICI65567 IMC65502:IME65567 IVY65502:IWA65567 JFU65502:JFW65567 JPQ65502:JPS65567 JZM65502:JZO65567 KJI65502:KJK65567 KTE65502:KTG65567 LDA65502:LDC65567 LMW65502:LMY65567 LWS65502:LWU65567 MGO65502:MGQ65567 MQK65502:MQM65567 NAG65502:NAI65567 NKC65502:NKE65567 NTY65502:NUA65567 ODU65502:ODW65567 ONQ65502:ONS65567 OXM65502:OXO65567 PHI65502:PHK65567 PRE65502:PRG65567 QBA65502:QBC65567 QKW65502:QKY65567 QUS65502:QUU65567 REO65502:REQ65567 ROK65502:ROM65567 RYG65502:RYI65567 SIC65502:SIE65567 SRY65502:SSA65567 TBU65502:TBW65567 TLQ65502:TLS65567 TVM65502:TVO65567 UFI65502:UFK65567 UPE65502:UPG65567 UZA65502:UZC65567 VIW65502:VIY65567 VSS65502:VSU65567 WCO65502:WCQ65567 WMK65502:WMM65567 WWG65502:WWI65567 Y131038:AA131103 JU131038:JW131103 TQ131038:TS131103 ADM131038:ADO131103 ANI131038:ANK131103 AXE131038:AXG131103 BHA131038:BHC131103 BQW131038:BQY131103 CAS131038:CAU131103 CKO131038:CKQ131103 CUK131038:CUM131103 DEG131038:DEI131103 DOC131038:DOE131103 DXY131038:DYA131103 EHU131038:EHW131103 ERQ131038:ERS131103 FBM131038:FBO131103 FLI131038:FLK131103 FVE131038:FVG131103 GFA131038:GFC131103 GOW131038:GOY131103 GYS131038:GYU131103 HIO131038:HIQ131103 HSK131038:HSM131103 ICG131038:ICI131103 IMC131038:IME131103 IVY131038:IWA131103 JFU131038:JFW131103 JPQ131038:JPS131103 JZM131038:JZO131103 KJI131038:KJK131103 KTE131038:KTG131103 LDA131038:LDC131103 LMW131038:LMY131103 LWS131038:LWU131103 MGO131038:MGQ131103 MQK131038:MQM131103 NAG131038:NAI131103 NKC131038:NKE131103 NTY131038:NUA131103 ODU131038:ODW131103 ONQ131038:ONS131103 OXM131038:OXO131103 PHI131038:PHK131103 PRE131038:PRG131103 QBA131038:QBC131103 QKW131038:QKY131103 QUS131038:QUU131103 REO131038:REQ131103 ROK131038:ROM131103 RYG131038:RYI131103 SIC131038:SIE131103 SRY131038:SSA131103 TBU131038:TBW131103 TLQ131038:TLS131103 TVM131038:TVO131103 UFI131038:UFK131103 UPE131038:UPG131103 UZA131038:UZC131103 VIW131038:VIY131103 VSS131038:VSU131103 WCO131038:WCQ131103 WMK131038:WMM131103 WWG131038:WWI131103 Y196574:AA196639 JU196574:JW196639 TQ196574:TS196639 ADM196574:ADO196639 ANI196574:ANK196639 AXE196574:AXG196639 BHA196574:BHC196639 BQW196574:BQY196639 CAS196574:CAU196639 CKO196574:CKQ196639 CUK196574:CUM196639 DEG196574:DEI196639 DOC196574:DOE196639 DXY196574:DYA196639 EHU196574:EHW196639 ERQ196574:ERS196639 FBM196574:FBO196639 FLI196574:FLK196639 FVE196574:FVG196639 GFA196574:GFC196639 GOW196574:GOY196639 GYS196574:GYU196639 HIO196574:HIQ196639 HSK196574:HSM196639 ICG196574:ICI196639 IMC196574:IME196639 IVY196574:IWA196639 JFU196574:JFW196639 JPQ196574:JPS196639 JZM196574:JZO196639 KJI196574:KJK196639 KTE196574:KTG196639 LDA196574:LDC196639 LMW196574:LMY196639 LWS196574:LWU196639 MGO196574:MGQ196639 MQK196574:MQM196639 NAG196574:NAI196639 NKC196574:NKE196639 NTY196574:NUA196639 ODU196574:ODW196639 ONQ196574:ONS196639 OXM196574:OXO196639 PHI196574:PHK196639 PRE196574:PRG196639 QBA196574:QBC196639 QKW196574:QKY196639 QUS196574:QUU196639 REO196574:REQ196639 ROK196574:ROM196639 RYG196574:RYI196639 SIC196574:SIE196639 SRY196574:SSA196639 TBU196574:TBW196639 TLQ196574:TLS196639 TVM196574:TVO196639 UFI196574:UFK196639 UPE196574:UPG196639 UZA196574:UZC196639 VIW196574:VIY196639 VSS196574:VSU196639 WCO196574:WCQ196639 WMK196574:WMM196639 WWG196574:WWI196639 Y262110:AA262175 JU262110:JW262175 TQ262110:TS262175 ADM262110:ADO262175 ANI262110:ANK262175 AXE262110:AXG262175 BHA262110:BHC262175 BQW262110:BQY262175 CAS262110:CAU262175 CKO262110:CKQ262175 CUK262110:CUM262175 DEG262110:DEI262175 DOC262110:DOE262175 DXY262110:DYA262175 EHU262110:EHW262175 ERQ262110:ERS262175 FBM262110:FBO262175 FLI262110:FLK262175 FVE262110:FVG262175 GFA262110:GFC262175 GOW262110:GOY262175 GYS262110:GYU262175 HIO262110:HIQ262175 HSK262110:HSM262175 ICG262110:ICI262175 IMC262110:IME262175 IVY262110:IWA262175 JFU262110:JFW262175 JPQ262110:JPS262175 JZM262110:JZO262175 KJI262110:KJK262175 KTE262110:KTG262175 LDA262110:LDC262175 LMW262110:LMY262175 LWS262110:LWU262175 MGO262110:MGQ262175 MQK262110:MQM262175 NAG262110:NAI262175 NKC262110:NKE262175 NTY262110:NUA262175 ODU262110:ODW262175 ONQ262110:ONS262175 OXM262110:OXO262175 PHI262110:PHK262175 PRE262110:PRG262175 QBA262110:QBC262175 QKW262110:QKY262175 QUS262110:QUU262175 REO262110:REQ262175 ROK262110:ROM262175 RYG262110:RYI262175 SIC262110:SIE262175 SRY262110:SSA262175 TBU262110:TBW262175 TLQ262110:TLS262175 TVM262110:TVO262175 UFI262110:UFK262175 UPE262110:UPG262175 UZA262110:UZC262175 VIW262110:VIY262175 VSS262110:VSU262175 WCO262110:WCQ262175 WMK262110:WMM262175 WWG262110:WWI262175 Y327646:AA327711 JU327646:JW327711 TQ327646:TS327711 ADM327646:ADO327711 ANI327646:ANK327711 AXE327646:AXG327711 BHA327646:BHC327711 BQW327646:BQY327711 CAS327646:CAU327711 CKO327646:CKQ327711 CUK327646:CUM327711 DEG327646:DEI327711 DOC327646:DOE327711 DXY327646:DYA327711 EHU327646:EHW327711 ERQ327646:ERS327711 FBM327646:FBO327711 FLI327646:FLK327711 FVE327646:FVG327711 GFA327646:GFC327711 GOW327646:GOY327711 GYS327646:GYU327711 HIO327646:HIQ327711 HSK327646:HSM327711 ICG327646:ICI327711 IMC327646:IME327711 IVY327646:IWA327711 JFU327646:JFW327711 JPQ327646:JPS327711 JZM327646:JZO327711 KJI327646:KJK327711 KTE327646:KTG327711 LDA327646:LDC327711 LMW327646:LMY327711 LWS327646:LWU327711 MGO327646:MGQ327711 MQK327646:MQM327711 NAG327646:NAI327711 NKC327646:NKE327711 NTY327646:NUA327711 ODU327646:ODW327711 ONQ327646:ONS327711 OXM327646:OXO327711 PHI327646:PHK327711 PRE327646:PRG327711 QBA327646:QBC327711 QKW327646:QKY327711 QUS327646:QUU327711 REO327646:REQ327711 ROK327646:ROM327711 RYG327646:RYI327711 SIC327646:SIE327711 SRY327646:SSA327711 TBU327646:TBW327711 TLQ327646:TLS327711 TVM327646:TVO327711 UFI327646:UFK327711 UPE327646:UPG327711 UZA327646:UZC327711 VIW327646:VIY327711 VSS327646:VSU327711 WCO327646:WCQ327711 WMK327646:WMM327711 WWG327646:WWI327711 Y393182:AA393247 JU393182:JW393247 TQ393182:TS393247 ADM393182:ADO393247 ANI393182:ANK393247 AXE393182:AXG393247 BHA393182:BHC393247 BQW393182:BQY393247 CAS393182:CAU393247 CKO393182:CKQ393247 CUK393182:CUM393247 DEG393182:DEI393247 DOC393182:DOE393247 DXY393182:DYA393247 EHU393182:EHW393247 ERQ393182:ERS393247 FBM393182:FBO393247 FLI393182:FLK393247 FVE393182:FVG393247 GFA393182:GFC393247 GOW393182:GOY393247 GYS393182:GYU393247 HIO393182:HIQ393247 HSK393182:HSM393247 ICG393182:ICI393247 IMC393182:IME393247 IVY393182:IWA393247 JFU393182:JFW393247 JPQ393182:JPS393247 JZM393182:JZO393247 KJI393182:KJK393247 KTE393182:KTG393247 LDA393182:LDC393247 LMW393182:LMY393247 LWS393182:LWU393247 MGO393182:MGQ393247 MQK393182:MQM393247 NAG393182:NAI393247 NKC393182:NKE393247 NTY393182:NUA393247 ODU393182:ODW393247 ONQ393182:ONS393247 OXM393182:OXO393247 PHI393182:PHK393247 PRE393182:PRG393247 QBA393182:QBC393247 QKW393182:QKY393247 QUS393182:QUU393247 REO393182:REQ393247 ROK393182:ROM393247 RYG393182:RYI393247 SIC393182:SIE393247 SRY393182:SSA393247 TBU393182:TBW393247 TLQ393182:TLS393247 TVM393182:TVO393247 UFI393182:UFK393247 UPE393182:UPG393247 UZA393182:UZC393247 VIW393182:VIY393247 VSS393182:VSU393247 WCO393182:WCQ393247 WMK393182:WMM393247 WWG393182:WWI393247 Y458718:AA458783 JU458718:JW458783 TQ458718:TS458783 ADM458718:ADO458783 ANI458718:ANK458783 AXE458718:AXG458783 BHA458718:BHC458783 BQW458718:BQY458783 CAS458718:CAU458783 CKO458718:CKQ458783 CUK458718:CUM458783 DEG458718:DEI458783 DOC458718:DOE458783 DXY458718:DYA458783 EHU458718:EHW458783 ERQ458718:ERS458783 FBM458718:FBO458783 FLI458718:FLK458783 FVE458718:FVG458783 GFA458718:GFC458783 GOW458718:GOY458783 GYS458718:GYU458783 HIO458718:HIQ458783 HSK458718:HSM458783 ICG458718:ICI458783 IMC458718:IME458783 IVY458718:IWA458783 JFU458718:JFW458783 JPQ458718:JPS458783 JZM458718:JZO458783 KJI458718:KJK458783 KTE458718:KTG458783 LDA458718:LDC458783 LMW458718:LMY458783 LWS458718:LWU458783 MGO458718:MGQ458783 MQK458718:MQM458783 NAG458718:NAI458783 NKC458718:NKE458783 NTY458718:NUA458783 ODU458718:ODW458783 ONQ458718:ONS458783 OXM458718:OXO458783 PHI458718:PHK458783 PRE458718:PRG458783 QBA458718:QBC458783 QKW458718:QKY458783 QUS458718:QUU458783 REO458718:REQ458783 ROK458718:ROM458783 RYG458718:RYI458783 SIC458718:SIE458783 SRY458718:SSA458783 TBU458718:TBW458783 TLQ458718:TLS458783 TVM458718:TVO458783 UFI458718:UFK458783 UPE458718:UPG458783 UZA458718:UZC458783 VIW458718:VIY458783 VSS458718:VSU458783 WCO458718:WCQ458783 WMK458718:WMM458783 WWG458718:WWI458783 Y524254:AA524319 JU524254:JW524319 TQ524254:TS524319 ADM524254:ADO524319 ANI524254:ANK524319 AXE524254:AXG524319 BHA524254:BHC524319 BQW524254:BQY524319 CAS524254:CAU524319 CKO524254:CKQ524319 CUK524254:CUM524319 DEG524254:DEI524319 DOC524254:DOE524319 DXY524254:DYA524319 EHU524254:EHW524319 ERQ524254:ERS524319 FBM524254:FBO524319 FLI524254:FLK524319 FVE524254:FVG524319 GFA524254:GFC524319 GOW524254:GOY524319 GYS524254:GYU524319 HIO524254:HIQ524319 HSK524254:HSM524319 ICG524254:ICI524319 IMC524254:IME524319 IVY524254:IWA524319 JFU524254:JFW524319 JPQ524254:JPS524319 JZM524254:JZO524319 KJI524254:KJK524319 KTE524254:KTG524319 LDA524254:LDC524319 LMW524254:LMY524319 LWS524254:LWU524319 MGO524254:MGQ524319 MQK524254:MQM524319 NAG524254:NAI524319 NKC524254:NKE524319 NTY524254:NUA524319 ODU524254:ODW524319 ONQ524254:ONS524319 OXM524254:OXO524319 PHI524254:PHK524319 PRE524254:PRG524319 QBA524254:QBC524319 QKW524254:QKY524319 QUS524254:QUU524319 REO524254:REQ524319 ROK524254:ROM524319 RYG524254:RYI524319 SIC524254:SIE524319 SRY524254:SSA524319 TBU524254:TBW524319 TLQ524254:TLS524319 TVM524254:TVO524319 UFI524254:UFK524319 UPE524254:UPG524319 UZA524254:UZC524319 VIW524254:VIY524319 VSS524254:VSU524319 WCO524254:WCQ524319 WMK524254:WMM524319 WWG524254:WWI524319 Y589790:AA589855 JU589790:JW589855 TQ589790:TS589855 ADM589790:ADO589855 ANI589790:ANK589855 AXE589790:AXG589855 BHA589790:BHC589855 BQW589790:BQY589855 CAS589790:CAU589855 CKO589790:CKQ589855 CUK589790:CUM589855 DEG589790:DEI589855 DOC589790:DOE589855 DXY589790:DYA589855 EHU589790:EHW589855 ERQ589790:ERS589855 FBM589790:FBO589855 FLI589790:FLK589855 FVE589790:FVG589855 GFA589790:GFC589855 GOW589790:GOY589855 GYS589790:GYU589855 HIO589790:HIQ589855 HSK589790:HSM589855 ICG589790:ICI589855 IMC589790:IME589855 IVY589790:IWA589855 JFU589790:JFW589855 JPQ589790:JPS589855 JZM589790:JZO589855 KJI589790:KJK589855 KTE589790:KTG589855 LDA589790:LDC589855 LMW589790:LMY589855 LWS589790:LWU589855 MGO589790:MGQ589855 MQK589790:MQM589855 NAG589790:NAI589855 NKC589790:NKE589855 NTY589790:NUA589855 ODU589790:ODW589855 ONQ589790:ONS589855 OXM589790:OXO589855 PHI589790:PHK589855 PRE589790:PRG589855 QBA589790:QBC589855 QKW589790:QKY589855 QUS589790:QUU589855 REO589790:REQ589855 ROK589790:ROM589855 RYG589790:RYI589855 SIC589790:SIE589855 SRY589790:SSA589855 TBU589790:TBW589855 TLQ589790:TLS589855 TVM589790:TVO589855 UFI589790:UFK589855 UPE589790:UPG589855 UZA589790:UZC589855 VIW589790:VIY589855 VSS589790:VSU589855 WCO589790:WCQ589855 WMK589790:WMM589855 WWG589790:WWI589855 Y655326:AA655391 JU655326:JW655391 TQ655326:TS655391 ADM655326:ADO655391 ANI655326:ANK655391 AXE655326:AXG655391 BHA655326:BHC655391 BQW655326:BQY655391 CAS655326:CAU655391 CKO655326:CKQ655391 CUK655326:CUM655391 DEG655326:DEI655391 DOC655326:DOE655391 DXY655326:DYA655391 EHU655326:EHW655391 ERQ655326:ERS655391 FBM655326:FBO655391 FLI655326:FLK655391 FVE655326:FVG655391 GFA655326:GFC655391 GOW655326:GOY655391 GYS655326:GYU655391 HIO655326:HIQ655391 HSK655326:HSM655391 ICG655326:ICI655391 IMC655326:IME655391 IVY655326:IWA655391 JFU655326:JFW655391 JPQ655326:JPS655391 JZM655326:JZO655391 KJI655326:KJK655391 KTE655326:KTG655391 LDA655326:LDC655391 LMW655326:LMY655391 LWS655326:LWU655391 MGO655326:MGQ655391 MQK655326:MQM655391 NAG655326:NAI655391 NKC655326:NKE655391 NTY655326:NUA655391 ODU655326:ODW655391 ONQ655326:ONS655391 OXM655326:OXO655391 PHI655326:PHK655391 PRE655326:PRG655391 QBA655326:QBC655391 QKW655326:QKY655391 QUS655326:QUU655391 REO655326:REQ655391 ROK655326:ROM655391 RYG655326:RYI655391 SIC655326:SIE655391 SRY655326:SSA655391 TBU655326:TBW655391 TLQ655326:TLS655391 TVM655326:TVO655391 UFI655326:UFK655391 UPE655326:UPG655391 UZA655326:UZC655391 VIW655326:VIY655391 VSS655326:VSU655391 WCO655326:WCQ655391 WMK655326:WMM655391 WWG655326:WWI655391 Y720862:AA720927 JU720862:JW720927 TQ720862:TS720927 ADM720862:ADO720927 ANI720862:ANK720927 AXE720862:AXG720927 BHA720862:BHC720927 BQW720862:BQY720927 CAS720862:CAU720927 CKO720862:CKQ720927 CUK720862:CUM720927 DEG720862:DEI720927 DOC720862:DOE720927 DXY720862:DYA720927 EHU720862:EHW720927 ERQ720862:ERS720927 FBM720862:FBO720927 FLI720862:FLK720927 FVE720862:FVG720927 GFA720862:GFC720927 GOW720862:GOY720927 GYS720862:GYU720927 HIO720862:HIQ720927 HSK720862:HSM720927 ICG720862:ICI720927 IMC720862:IME720927 IVY720862:IWA720927 JFU720862:JFW720927 JPQ720862:JPS720927 JZM720862:JZO720927 KJI720862:KJK720927 KTE720862:KTG720927 LDA720862:LDC720927 LMW720862:LMY720927 LWS720862:LWU720927 MGO720862:MGQ720927 MQK720862:MQM720927 NAG720862:NAI720927 NKC720862:NKE720927 NTY720862:NUA720927 ODU720862:ODW720927 ONQ720862:ONS720927 OXM720862:OXO720927 PHI720862:PHK720927 PRE720862:PRG720927 QBA720862:QBC720927 QKW720862:QKY720927 QUS720862:QUU720927 REO720862:REQ720927 ROK720862:ROM720927 RYG720862:RYI720927 SIC720862:SIE720927 SRY720862:SSA720927 TBU720862:TBW720927 TLQ720862:TLS720927 TVM720862:TVO720927 UFI720862:UFK720927 UPE720862:UPG720927 UZA720862:UZC720927 VIW720862:VIY720927 VSS720862:VSU720927 WCO720862:WCQ720927 WMK720862:WMM720927 WWG720862:WWI720927 Y786398:AA786463 JU786398:JW786463 TQ786398:TS786463 ADM786398:ADO786463 ANI786398:ANK786463 AXE786398:AXG786463 BHA786398:BHC786463 BQW786398:BQY786463 CAS786398:CAU786463 CKO786398:CKQ786463 CUK786398:CUM786463 DEG786398:DEI786463 DOC786398:DOE786463 DXY786398:DYA786463 EHU786398:EHW786463 ERQ786398:ERS786463 FBM786398:FBO786463 FLI786398:FLK786463 FVE786398:FVG786463 GFA786398:GFC786463 GOW786398:GOY786463 GYS786398:GYU786463 HIO786398:HIQ786463 HSK786398:HSM786463 ICG786398:ICI786463 IMC786398:IME786463 IVY786398:IWA786463 JFU786398:JFW786463 JPQ786398:JPS786463 JZM786398:JZO786463 KJI786398:KJK786463 KTE786398:KTG786463 LDA786398:LDC786463 LMW786398:LMY786463 LWS786398:LWU786463 MGO786398:MGQ786463 MQK786398:MQM786463 NAG786398:NAI786463 NKC786398:NKE786463 NTY786398:NUA786463 ODU786398:ODW786463 ONQ786398:ONS786463 OXM786398:OXO786463 PHI786398:PHK786463 PRE786398:PRG786463 QBA786398:QBC786463 QKW786398:QKY786463 QUS786398:QUU786463 REO786398:REQ786463 ROK786398:ROM786463 RYG786398:RYI786463 SIC786398:SIE786463 SRY786398:SSA786463 TBU786398:TBW786463 TLQ786398:TLS786463 TVM786398:TVO786463 UFI786398:UFK786463 UPE786398:UPG786463 UZA786398:UZC786463 VIW786398:VIY786463 VSS786398:VSU786463 WCO786398:WCQ786463 WMK786398:WMM786463 WWG786398:WWI786463 Y851934:AA851999 JU851934:JW851999 TQ851934:TS851999 ADM851934:ADO851999 ANI851934:ANK851999 AXE851934:AXG851999 BHA851934:BHC851999 BQW851934:BQY851999 CAS851934:CAU851999 CKO851934:CKQ851999 CUK851934:CUM851999 DEG851934:DEI851999 DOC851934:DOE851999 DXY851934:DYA851999 EHU851934:EHW851999 ERQ851934:ERS851999 FBM851934:FBO851999 FLI851934:FLK851999 FVE851934:FVG851999 GFA851934:GFC851999 GOW851934:GOY851999 GYS851934:GYU851999 HIO851934:HIQ851999 HSK851934:HSM851999 ICG851934:ICI851999 IMC851934:IME851999 IVY851934:IWA851999 JFU851934:JFW851999 JPQ851934:JPS851999 JZM851934:JZO851999 KJI851934:KJK851999 KTE851934:KTG851999 LDA851934:LDC851999 LMW851934:LMY851999 LWS851934:LWU851999 MGO851934:MGQ851999 MQK851934:MQM851999 NAG851934:NAI851999 NKC851934:NKE851999 NTY851934:NUA851999 ODU851934:ODW851999 ONQ851934:ONS851999 OXM851934:OXO851999 PHI851934:PHK851999 PRE851934:PRG851999 QBA851934:QBC851999 QKW851934:QKY851999 QUS851934:QUU851999 REO851934:REQ851999 ROK851934:ROM851999 RYG851934:RYI851999 SIC851934:SIE851999 SRY851934:SSA851999 TBU851934:TBW851999 TLQ851934:TLS851999 TVM851934:TVO851999 UFI851934:UFK851999 UPE851934:UPG851999 UZA851934:UZC851999 VIW851934:VIY851999 VSS851934:VSU851999 WCO851934:WCQ851999 WMK851934:WMM851999 WWG851934:WWI851999 Y917470:AA917535 JU917470:JW917535 TQ917470:TS917535 ADM917470:ADO917535 ANI917470:ANK917535 AXE917470:AXG917535 BHA917470:BHC917535 BQW917470:BQY917535 CAS917470:CAU917535 CKO917470:CKQ917535 CUK917470:CUM917535 DEG917470:DEI917535 DOC917470:DOE917535 DXY917470:DYA917535 EHU917470:EHW917535 ERQ917470:ERS917535 FBM917470:FBO917535 FLI917470:FLK917535 FVE917470:FVG917535 GFA917470:GFC917535 GOW917470:GOY917535 GYS917470:GYU917535 HIO917470:HIQ917535 HSK917470:HSM917535 ICG917470:ICI917535 IMC917470:IME917535 IVY917470:IWA917535 JFU917470:JFW917535 JPQ917470:JPS917535 JZM917470:JZO917535 KJI917470:KJK917535 KTE917470:KTG917535 LDA917470:LDC917535 LMW917470:LMY917535 LWS917470:LWU917535 MGO917470:MGQ917535 MQK917470:MQM917535 NAG917470:NAI917535 NKC917470:NKE917535 NTY917470:NUA917535 ODU917470:ODW917535 ONQ917470:ONS917535 OXM917470:OXO917535 PHI917470:PHK917535 PRE917470:PRG917535 QBA917470:QBC917535 QKW917470:QKY917535 QUS917470:QUU917535 REO917470:REQ917535 ROK917470:ROM917535 RYG917470:RYI917535 SIC917470:SIE917535 SRY917470:SSA917535 TBU917470:TBW917535 TLQ917470:TLS917535 TVM917470:TVO917535 UFI917470:UFK917535 UPE917470:UPG917535 UZA917470:UZC917535 VIW917470:VIY917535 VSS917470:VSU917535 WCO917470:WCQ917535 WMK917470:WMM917535 WWG917470:WWI917535 Y983006:AA983071 JU983006:JW983071 TQ983006:TS983071 ADM983006:ADO983071 ANI983006:ANK983071 AXE983006:AXG983071 BHA983006:BHC983071 BQW983006:BQY983071 CAS983006:CAU983071 CKO983006:CKQ983071 CUK983006:CUM983071 DEG983006:DEI983071 DOC983006:DOE983071 DXY983006:DYA983071 EHU983006:EHW983071 ERQ983006:ERS983071 FBM983006:FBO983071 FLI983006:FLK983071 FVE983006:FVG983071 GFA983006:GFC983071 GOW983006:GOY983071 GYS983006:GYU983071 HIO983006:HIQ983071 HSK983006:HSM983071 ICG983006:ICI983071 IMC983006:IME983071 IVY983006:IWA983071 JFU983006:JFW983071 JPQ983006:JPS983071 JZM983006:JZO983071 KJI983006:KJK983071 KTE983006:KTG983071 LDA983006:LDC983071 LMW983006:LMY983071 LWS983006:LWU983071 MGO983006:MGQ983071 MQK983006:MQM983071 NAG983006:NAI983071 NKC983006:NKE983071 NTY983006:NUA983071 ODU983006:ODW983071 ONQ983006:ONS983071 OXM983006:OXO983071 PHI983006:PHK983071 PRE983006:PRG983071 QBA983006:QBC983071 QKW983006:QKY983071 QUS983006:QUU983071 REO983006:REQ983071 ROK983006:ROM983071 RYG983006:RYI983071 SIC983006:SIE983071 SRY983006:SSA983071 TBU983006:TBW983071 TLQ983006:TLS983071 TVM983006:TVO983071 UFI983006:UFK983071 UPE983006:UPG983071 UZA983006:UZC983071 VIW983006:VIY983071 VSS983006:VSU983071 WCO983006:WCQ983071 WMK983006:WMM983071 WWG2:WWI51 JU2:JW51 TQ2:TS51 ADM2:ADO51 ANI2:ANK51 AXE2:AXG51 BHA2:BHC51 BQW2:BQY51 CAS2:CAU51 CKO2:CKQ51 CUK2:CUM51 DEG2:DEI51 DOC2:DOE51 DXY2:DYA51 EHU2:EHW51 ERQ2:ERS51 FBM2:FBO51 FLI2:FLK51 FVE2:FVG51 GFA2:GFC51 GOW2:GOY51 GYS2:GYU51 HIO2:HIQ51 HSK2:HSM51 ICG2:ICI51 IMC2:IME51 IVY2:IWA51 JFU2:JFW51 JPQ2:JPS51 JZM2:JZO51 KJI2:KJK51 KTE2:KTG51 LDA2:LDC51 LMW2:LMY51 LWS2:LWU51 MGO2:MGQ51 MQK2:MQM51 NAG2:NAI51 NKC2:NKE51 NTY2:NUA51 ODU2:ODW51 ONQ2:ONS51 OXM2:OXO51 PHI2:PHK51 PRE2:PRG51 QBA2:QBC51 QKW2:QKY51 QUS2:QUU51 REO2:REQ51 ROK2:ROM51 RYG2:RYI51 SIC2:SIE51 SRY2:SSA51 TBU2:TBW51 TLQ2:TLS51 TVM2:TVO51 UFI2:UFK51 UPE2:UPG51 UZA2:UZC51 VIW2:VIY51 VSS2:VSU51 WCO2:WCQ51 WMK2:WMM51" xr:uid="{DB600DED-AAD7-4E9F-9BE5-8060F42FAA08}">
      <formula1>$AV$2:$AV$20</formula1>
    </dataValidation>
    <dataValidation type="list" allowBlank="1" showInputMessage="1" showErrorMessage="1" sqref="H64327:H64392 JD64327:JD64392 SZ64327:SZ64392 ACV64327:ACV64392 AMR64327:AMR64392 AWN64327:AWN64392 BGJ64327:BGJ64392 BQF64327:BQF64392 CAB64327:CAB64392 CJX64327:CJX64392 CTT64327:CTT64392 DDP64327:DDP64392 DNL64327:DNL64392 DXH64327:DXH64392 EHD64327:EHD64392 EQZ64327:EQZ64392 FAV64327:FAV64392 FKR64327:FKR64392 FUN64327:FUN64392 GEJ64327:GEJ64392 GOF64327:GOF64392 GYB64327:GYB64392 HHX64327:HHX64392 HRT64327:HRT64392 IBP64327:IBP64392 ILL64327:ILL64392 IVH64327:IVH64392 JFD64327:JFD64392 JOZ64327:JOZ64392 JYV64327:JYV64392 KIR64327:KIR64392 KSN64327:KSN64392 LCJ64327:LCJ64392 LMF64327:LMF64392 LWB64327:LWB64392 MFX64327:MFX64392 MPT64327:MPT64392 MZP64327:MZP64392 NJL64327:NJL64392 NTH64327:NTH64392 ODD64327:ODD64392 OMZ64327:OMZ64392 OWV64327:OWV64392 PGR64327:PGR64392 PQN64327:PQN64392 QAJ64327:QAJ64392 QKF64327:QKF64392 QUB64327:QUB64392 RDX64327:RDX64392 RNT64327:RNT64392 RXP64327:RXP64392 SHL64327:SHL64392 SRH64327:SRH64392 TBD64327:TBD64392 TKZ64327:TKZ64392 TUV64327:TUV64392 UER64327:UER64392 UON64327:UON64392 UYJ64327:UYJ64392 VIF64327:VIF64392 VSB64327:VSB64392 WBX64327:WBX64392 WLT64327:WLT64392 WVP64327:WVP64392 H129863:H129928 JD129863:JD129928 SZ129863:SZ129928 ACV129863:ACV129928 AMR129863:AMR129928 AWN129863:AWN129928 BGJ129863:BGJ129928 BQF129863:BQF129928 CAB129863:CAB129928 CJX129863:CJX129928 CTT129863:CTT129928 DDP129863:DDP129928 DNL129863:DNL129928 DXH129863:DXH129928 EHD129863:EHD129928 EQZ129863:EQZ129928 FAV129863:FAV129928 FKR129863:FKR129928 FUN129863:FUN129928 GEJ129863:GEJ129928 GOF129863:GOF129928 GYB129863:GYB129928 HHX129863:HHX129928 HRT129863:HRT129928 IBP129863:IBP129928 ILL129863:ILL129928 IVH129863:IVH129928 JFD129863:JFD129928 JOZ129863:JOZ129928 JYV129863:JYV129928 KIR129863:KIR129928 KSN129863:KSN129928 LCJ129863:LCJ129928 LMF129863:LMF129928 LWB129863:LWB129928 MFX129863:MFX129928 MPT129863:MPT129928 MZP129863:MZP129928 NJL129863:NJL129928 NTH129863:NTH129928 ODD129863:ODD129928 OMZ129863:OMZ129928 OWV129863:OWV129928 PGR129863:PGR129928 PQN129863:PQN129928 QAJ129863:QAJ129928 QKF129863:QKF129928 QUB129863:QUB129928 RDX129863:RDX129928 RNT129863:RNT129928 RXP129863:RXP129928 SHL129863:SHL129928 SRH129863:SRH129928 TBD129863:TBD129928 TKZ129863:TKZ129928 TUV129863:TUV129928 UER129863:UER129928 UON129863:UON129928 UYJ129863:UYJ129928 VIF129863:VIF129928 VSB129863:VSB129928 WBX129863:WBX129928 WLT129863:WLT129928 WVP129863:WVP129928 H195399:H195464 JD195399:JD195464 SZ195399:SZ195464 ACV195399:ACV195464 AMR195399:AMR195464 AWN195399:AWN195464 BGJ195399:BGJ195464 BQF195399:BQF195464 CAB195399:CAB195464 CJX195399:CJX195464 CTT195399:CTT195464 DDP195399:DDP195464 DNL195399:DNL195464 DXH195399:DXH195464 EHD195399:EHD195464 EQZ195399:EQZ195464 FAV195399:FAV195464 FKR195399:FKR195464 FUN195399:FUN195464 GEJ195399:GEJ195464 GOF195399:GOF195464 GYB195399:GYB195464 HHX195399:HHX195464 HRT195399:HRT195464 IBP195399:IBP195464 ILL195399:ILL195464 IVH195399:IVH195464 JFD195399:JFD195464 JOZ195399:JOZ195464 JYV195399:JYV195464 KIR195399:KIR195464 KSN195399:KSN195464 LCJ195399:LCJ195464 LMF195399:LMF195464 LWB195399:LWB195464 MFX195399:MFX195464 MPT195399:MPT195464 MZP195399:MZP195464 NJL195399:NJL195464 NTH195399:NTH195464 ODD195399:ODD195464 OMZ195399:OMZ195464 OWV195399:OWV195464 PGR195399:PGR195464 PQN195399:PQN195464 QAJ195399:QAJ195464 QKF195399:QKF195464 QUB195399:QUB195464 RDX195399:RDX195464 RNT195399:RNT195464 RXP195399:RXP195464 SHL195399:SHL195464 SRH195399:SRH195464 TBD195399:TBD195464 TKZ195399:TKZ195464 TUV195399:TUV195464 UER195399:UER195464 UON195399:UON195464 UYJ195399:UYJ195464 VIF195399:VIF195464 VSB195399:VSB195464 WBX195399:WBX195464 WLT195399:WLT195464 WVP195399:WVP195464 H260935:H261000 JD260935:JD261000 SZ260935:SZ261000 ACV260935:ACV261000 AMR260935:AMR261000 AWN260935:AWN261000 BGJ260935:BGJ261000 BQF260935:BQF261000 CAB260935:CAB261000 CJX260935:CJX261000 CTT260935:CTT261000 DDP260935:DDP261000 DNL260935:DNL261000 DXH260935:DXH261000 EHD260935:EHD261000 EQZ260935:EQZ261000 FAV260935:FAV261000 FKR260935:FKR261000 FUN260935:FUN261000 GEJ260935:GEJ261000 GOF260935:GOF261000 GYB260935:GYB261000 HHX260935:HHX261000 HRT260935:HRT261000 IBP260935:IBP261000 ILL260935:ILL261000 IVH260935:IVH261000 JFD260935:JFD261000 JOZ260935:JOZ261000 JYV260935:JYV261000 KIR260935:KIR261000 KSN260935:KSN261000 LCJ260935:LCJ261000 LMF260935:LMF261000 LWB260935:LWB261000 MFX260935:MFX261000 MPT260935:MPT261000 MZP260935:MZP261000 NJL260935:NJL261000 NTH260935:NTH261000 ODD260935:ODD261000 OMZ260935:OMZ261000 OWV260935:OWV261000 PGR260935:PGR261000 PQN260935:PQN261000 QAJ260935:QAJ261000 QKF260935:QKF261000 QUB260935:QUB261000 RDX260935:RDX261000 RNT260935:RNT261000 RXP260935:RXP261000 SHL260935:SHL261000 SRH260935:SRH261000 TBD260935:TBD261000 TKZ260935:TKZ261000 TUV260935:TUV261000 UER260935:UER261000 UON260935:UON261000 UYJ260935:UYJ261000 VIF260935:VIF261000 VSB260935:VSB261000 WBX260935:WBX261000 WLT260935:WLT261000 WVP260935:WVP261000 H326471:H326536 JD326471:JD326536 SZ326471:SZ326536 ACV326471:ACV326536 AMR326471:AMR326536 AWN326471:AWN326536 BGJ326471:BGJ326536 BQF326471:BQF326536 CAB326471:CAB326536 CJX326471:CJX326536 CTT326471:CTT326536 DDP326471:DDP326536 DNL326471:DNL326536 DXH326471:DXH326536 EHD326471:EHD326536 EQZ326471:EQZ326536 FAV326471:FAV326536 FKR326471:FKR326536 FUN326471:FUN326536 GEJ326471:GEJ326536 GOF326471:GOF326536 GYB326471:GYB326536 HHX326471:HHX326536 HRT326471:HRT326536 IBP326471:IBP326536 ILL326471:ILL326536 IVH326471:IVH326536 JFD326471:JFD326536 JOZ326471:JOZ326536 JYV326471:JYV326536 KIR326471:KIR326536 KSN326471:KSN326536 LCJ326471:LCJ326536 LMF326471:LMF326536 LWB326471:LWB326536 MFX326471:MFX326536 MPT326471:MPT326536 MZP326471:MZP326536 NJL326471:NJL326536 NTH326471:NTH326536 ODD326471:ODD326536 OMZ326471:OMZ326536 OWV326471:OWV326536 PGR326471:PGR326536 PQN326471:PQN326536 QAJ326471:QAJ326536 QKF326471:QKF326536 QUB326471:QUB326536 RDX326471:RDX326536 RNT326471:RNT326536 RXP326471:RXP326536 SHL326471:SHL326536 SRH326471:SRH326536 TBD326471:TBD326536 TKZ326471:TKZ326536 TUV326471:TUV326536 UER326471:UER326536 UON326471:UON326536 UYJ326471:UYJ326536 VIF326471:VIF326536 VSB326471:VSB326536 WBX326471:WBX326536 WLT326471:WLT326536 WVP326471:WVP326536 H392007:H392072 JD392007:JD392072 SZ392007:SZ392072 ACV392007:ACV392072 AMR392007:AMR392072 AWN392007:AWN392072 BGJ392007:BGJ392072 BQF392007:BQF392072 CAB392007:CAB392072 CJX392007:CJX392072 CTT392007:CTT392072 DDP392007:DDP392072 DNL392007:DNL392072 DXH392007:DXH392072 EHD392007:EHD392072 EQZ392007:EQZ392072 FAV392007:FAV392072 FKR392007:FKR392072 FUN392007:FUN392072 GEJ392007:GEJ392072 GOF392007:GOF392072 GYB392007:GYB392072 HHX392007:HHX392072 HRT392007:HRT392072 IBP392007:IBP392072 ILL392007:ILL392072 IVH392007:IVH392072 JFD392007:JFD392072 JOZ392007:JOZ392072 JYV392007:JYV392072 KIR392007:KIR392072 KSN392007:KSN392072 LCJ392007:LCJ392072 LMF392007:LMF392072 LWB392007:LWB392072 MFX392007:MFX392072 MPT392007:MPT392072 MZP392007:MZP392072 NJL392007:NJL392072 NTH392007:NTH392072 ODD392007:ODD392072 OMZ392007:OMZ392072 OWV392007:OWV392072 PGR392007:PGR392072 PQN392007:PQN392072 QAJ392007:QAJ392072 QKF392007:QKF392072 QUB392007:QUB392072 RDX392007:RDX392072 RNT392007:RNT392072 RXP392007:RXP392072 SHL392007:SHL392072 SRH392007:SRH392072 TBD392007:TBD392072 TKZ392007:TKZ392072 TUV392007:TUV392072 UER392007:UER392072 UON392007:UON392072 UYJ392007:UYJ392072 VIF392007:VIF392072 VSB392007:VSB392072 WBX392007:WBX392072 WLT392007:WLT392072 WVP392007:WVP392072 H457543:H457608 JD457543:JD457608 SZ457543:SZ457608 ACV457543:ACV457608 AMR457543:AMR457608 AWN457543:AWN457608 BGJ457543:BGJ457608 BQF457543:BQF457608 CAB457543:CAB457608 CJX457543:CJX457608 CTT457543:CTT457608 DDP457543:DDP457608 DNL457543:DNL457608 DXH457543:DXH457608 EHD457543:EHD457608 EQZ457543:EQZ457608 FAV457543:FAV457608 FKR457543:FKR457608 FUN457543:FUN457608 GEJ457543:GEJ457608 GOF457543:GOF457608 GYB457543:GYB457608 HHX457543:HHX457608 HRT457543:HRT457608 IBP457543:IBP457608 ILL457543:ILL457608 IVH457543:IVH457608 JFD457543:JFD457608 JOZ457543:JOZ457608 JYV457543:JYV457608 KIR457543:KIR457608 KSN457543:KSN457608 LCJ457543:LCJ457608 LMF457543:LMF457608 LWB457543:LWB457608 MFX457543:MFX457608 MPT457543:MPT457608 MZP457543:MZP457608 NJL457543:NJL457608 NTH457543:NTH457608 ODD457543:ODD457608 OMZ457543:OMZ457608 OWV457543:OWV457608 PGR457543:PGR457608 PQN457543:PQN457608 QAJ457543:QAJ457608 QKF457543:QKF457608 QUB457543:QUB457608 RDX457543:RDX457608 RNT457543:RNT457608 RXP457543:RXP457608 SHL457543:SHL457608 SRH457543:SRH457608 TBD457543:TBD457608 TKZ457543:TKZ457608 TUV457543:TUV457608 UER457543:UER457608 UON457543:UON457608 UYJ457543:UYJ457608 VIF457543:VIF457608 VSB457543:VSB457608 WBX457543:WBX457608 WLT457543:WLT457608 WVP457543:WVP457608 H523079:H523144 JD523079:JD523144 SZ523079:SZ523144 ACV523079:ACV523144 AMR523079:AMR523144 AWN523079:AWN523144 BGJ523079:BGJ523144 BQF523079:BQF523144 CAB523079:CAB523144 CJX523079:CJX523144 CTT523079:CTT523144 DDP523079:DDP523144 DNL523079:DNL523144 DXH523079:DXH523144 EHD523079:EHD523144 EQZ523079:EQZ523144 FAV523079:FAV523144 FKR523079:FKR523144 FUN523079:FUN523144 GEJ523079:GEJ523144 GOF523079:GOF523144 GYB523079:GYB523144 HHX523079:HHX523144 HRT523079:HRT523144 IBP523079:IBP523144 ILL523079:ILL523144 IVH523079:IVH523144 JFD523079:JFD523144 JOZ523079:JOZ523144 JYV523079:JYV523144 KIR523079:KIR523144 KSN523079:KSN523144 LCJ523079:LCJ523144 LMF523079:LMF523144 LWB523079:LWB523144 MFX523079:MFX523144 MPT523079:MPT523144 MZP523079:MZP523144 NJL523079:NJL523144 NTH523079:NTH523144 ODD523079:ODD523144 OMZ523079:OMZ523144 OWV523079:OWV523144 PGR523079:PGR523144 PQN523079:PQN523144 QAJ523079:QAJ523144 QKF523079:QKF523144 QUB523079:QUB523144 RDX523079:RDX523144 RNT523079:RNT523144 RXP523079:RXP523144 SHL523079:SHL523144 SRH523079:SRH523144 TBD523079:TBD523144 TKZ523079:TKZ523144 TUV523079:TUV523144 UER523079:UER523144 UON523079:UON523144 UYJ523079:UYJ523144 VIF523079:VIF523144 VSB523079:VSB523144 WBX523079:WBX523144 WLT523079:WLT523144 WVP523079:WVP523144 H588615:H588680 JD588615:JD588680 SZ588615:SZ588680 ACV588615:ACV588680 AMR588615:AMR588680 AWN588615:AWN588680 BGJ588615:BGJ588680 BQF588615:BQF588680 CAB588615:CAB588680 CJX588615:CJX588680 CTT588615:CTT588680 DDP588615:DDP588680 DNL588615:DNL588680 DXH588615:DXH588680 EHD588615:EHD588680 EQZ588615:EQZ588680 FAV588615:FAV588680 FKR588615:FKR588680 FUN588615:FUN588680 GEJ588615:GEJ588680 GOF588615:GOF588680 GYB588615:GYB588680 HHX588615:HHX588680 HRT588615:HRT588680 IBP588615:IBP588680 ILL588615:ILL588680 IVH588615:IVH588680 JFD588615:JFD588680 JOZ588615:JOZ588680 JYV588615:JYV588680 KIR588615:KIR588680 KSN588615:KSN588680 LCJ588615:LCJ588680 LMF588615:LMF588680 LWB588615:LWB588680 MFX588615:MFX588680 MPT588615:MPT588680 MZP588615:MZP588680 NJL588615:NJL588680 NTH588615:NTH588680 ODD588615:ODD588680 OMZ588615:OMZ588680 OWV588615:OWV588680 PGR588615:PGR588680 PQN588615:PQN588680 QAJ588615:QAJ588680 QKF588615:QKF588680 QUB588615:QUB588680 RDX588615:RDX588680 RNT588615:RNT588680 RXP588615:RXP588680 SHL588615:SHL588680 SRH588615:SRH588680 TBD588615:TBD588680 TKZ588615:TKZ588680 TUV588615:TUV588680 UER588615:UER588680 UON588615:UON588680 UYJ588615:UYJ588680 VIF588615:VIF588680 VSB588615:VSB588680 WBX588615:WBX588680 WLT588615:WLT588680 WVP588615:WVP588680 H654151:H654216 JD654151:JD654216 SZ654151:SZ654216 ACV654151:ACV654216 AMR654151:AMR654216 AWN654151:AWN654216 BGJ654151:BGJ654216 BQF654151:BQF654216 CAB654151:CAB654216 CJX654151:CJX654216 CTT654151:CTT654216 DDP654151:DDP654216 DNL654151:DNL654216 DXH654151:DXH654216 EHD654151:EHD654216 EQZ654151:EQZ654216 FAV654151:FAV654216 FKR654151:FKR654216 FUN654151:FUN654216 GEJ654151:GEJ654216 GOF654151:GOF654216 GYB654151:GYB654216 HHX654151:HHX654216 HRT654151:HRT654216 IBP654151:IBP654216 ILL654151:ILL654216 IVH654151:IVH654216 JFD654151:JFD654216 JOZ654151:JOZ654216 JYV654151:JYV654216 KIR654151:KIR654216 KSN654151:KSN654216 LCJ654151:LCJ654216 LMF654151:LMF654216 LWB654151:LWB654216 MFX654151:MFX654216 MPT654151:MPT654216 MZP654151:MZP654216 NJL654151:NJL654216 NTH654151:NTH654216 ODD654151:ODD654216 OMZ654151:OMZ654216 OWV654151:OWV654216 PGR654151:PGR654216 PQN654151:PQN654216 QAJ654151:QAJ654216 QKF654151:QKF654216 QUB654151:QUB654216 RDX654151:RDX654216 RNT654151:RNT654216 RXP654151:RXP654216 SHL654151:SHL654216 SRH654151:SRH654216 TBD654151:TBD654216 TKZ654151:TKZ654216 TUV654151:TUV654216 UER654151:UER654216 UON654151:UON654216 UYJ654151:UYJ654216 VIF654151:VIF654216 VSB654151:VSB654216 WBX654151:WBX654216 WLT654151:WLT654216 WVP654151:WVP654216 H719687:H719752 JD719687:JD719752 SZ719687:SZ719752 ACV719687:ACV719752 AMR719687:AMR719752 AWN719687:AWN719752 BGJ719687:BGJ719752 BQF719687:BQF719752 CAB719687:CAB719752 CJX719687:CJX719752 CTT719687:CTT719752 DDP719687:DDP719752 DNL719687:DNL719752 DXH719687:DXH719752 EHD719687:EHD719752 EQZ719687:EQZ719752 FAV719687:FAV719752 FKR719687:FKR719752 FUN719687:FUN719752 GEJ719687:GEJ719752 GOF719687:GOF719752 GYB719687:GYB719752 HHX719687:HHX719752 HRT719687:HRT719752 IBP719687:IBP719752 ILL719687:ILL719752 IVH719687:IVH719752 JFD719687:JFD719752 JOZ719687:JOZ719752 JYV719687:JYV719752 KIR719687:KIR719752 KSN719687:KSN719752 LCJ719687:LCJ719752 LMF719687:LMF719752 LWB719687:LWB719752 MFX719687:MFX719752 MPT719687:MPT719752 MZP719687:MZP719752 NJL719687:NJL719752 NTH719687:NTH719752 ODD719687:ODD719752 OMZ719687:OMZ719752 OWV719687:OWV719752 PGR719687:PGR719752 PQN719687:PQN719752 QAJ719687:QAJ719752 QKF719687:QKF719752 QUB719687:QUB719752 RDX719687:RDX719752 RNT719687:RNT719752 RXP719687:RXP719752 SHL719687:SHL719752 SRH719687:SRH719752 TBD719687:TBD719752 TKZ719687:TKZ719752 TUV719687:TUV719752 UER719687:UER719752 UON719687:UON719752 UYJ719687:UYJ719752 VIF719687:VIF719752 VSB719687:VSB719752 WBX719687:WBX719752 WLT719687:WLT719752 WVP719687:WVP719752 H785223:H785288 JD785223:JD785288 SZ785223:SZ785288 ACV785223:ACV785288 AMR785223:AMR785288 AWN785223:AWN785288 BGJ785223:BGJ785288 BQF785223:BQF785288 CAB785223:CAB785288 CJX785223:CJX785288 CTT785223:CTT785288 DDP785223:DDP785288 DNL785223:DNL785288 DXH785223:DXH785288 EHD785223:EHD785288 EQZ785223:EQZ785288 FAV785223:FAV785288 FKR785223:FKR785288 FUN785223:FUN785288 GEJ785223:GEJ785288 GOF785223:GOF785288 GYB785223:GYB785288 HHX785223:HHX785288 HRT785223:HRT785288 IBP785223:IBP785288 ILL785223:ILL785288 IVH785223:IVH785288 JFD785223:JFD785288 JOZ785223:JOZ785288 JYV785223:JYV785288 KIR785223:KIR785288 KSN785223:KSN785288 LCJ785223:LCJ785288 LMF785223:LMF785288 LWB785223:LWB785288 MFX785223:MFX785288 MPT785223:MPT785288 MZP785223:MZP785288 NJL785223:NJL785288 NTH785223:NTH785288 ODD785223:ODD785288 OMZ785223:OMZ785288 OWV785223:OWV785288 PGR785223:PGR785288 PQN785223:PQN785288 QAJ785223:QAJ785288 QKF785223:QKF785288 QUB785223:QUB785288 RDX785223:RDX785288 RNT785223:RNT785288 RXP785223:RXP785288 SHL785223:SHL785288 SRH785223:SRH785288 TBD785223:TBD785288 TKZ785223:TKZ785288 TUV785223:TUV785288 UER785223:UER785288 UON785223:UON785288 UYJ785223:UYJ785288 VIF785223:VIF785288 VSB785223:VSB785288 WBX785223:WBX785288 WLT785223:WLT785288 WVP785223:WVP785288 H850759:H850824 JD850759:JD850824 SZ850759:SZ850824 ACV850759:ACV850824 AMR850759:AMR850824 AWN850759:AWN850824 BGJ850759:BGJ850824 BQF850759:BQF850824 CAB850759:CAB850824 CJX850759:CJX850824 CTT850759:CTT850824 DDP850759:DDP850824 DNL850759:DNL850824 DXH850759:DXH850824 EHD850759:EHD850824 EQZ850759:EQZ850824 FAV850759:FAV850824 FKR850759:FKR850824 FUN850759:FUN850824 GEJ850759:GEJ850824 GOF850759:GOF850824 GYB850759:GYB850824 HHX850759:HHX850824 HRT850759:HRT850824 IBP850759:IBP850824 ILL850759:ILL850824 IVH850759:IVH850824 JFD850759:JFD850824 JOZ850759:JOZ850824 JYV850759:JYV850824 KIR850759:KIR850824 KSN850759:KSN850824 LCJ850759:LCJ850824 LMF850759:LMF850824 LWB850759:LWB850824 MFX850759:MFX850824 MPT850759:MPT850824 MZP850759:MZP850824 NJL850759:NJL850824 NTH850759:NTH850824 ODD850759:ODD850824 OMZ850759:OMZ850824 OWV850759:OWV850824 PGR850759:PGR850824 PQN850759:PQN850824 QAJ850759:QAJ850824 QKF850759:QKF850824 QUB850759:QUB850824 RDX850759:RDX850824 RNT850759:RNT850824 RXP850759:RXP850824 SHL850759:SHL850824 SRH850759:SRH850824 TBD850759:TBD850824 TKZ850759:TKZ850824 TUV850759:TUV850824 UER850759:UER850824 UON850759:UON850824 UYJ850759:UYJ850824 VIF850759:VIF850824 VSB850759:VSB850824 WBX850759:WBX850824 WLT850759:WLT850824 WVP850759:WVP850824 H916295:H916360 JD916295:JD916360 SZ916295:SZ916360 ACV916295:ACV916360 AMR916295:AMR916360 AWN916295:AWN916360 BGJ916295:BGJ916360 BQF916295:BQF916360 CAB916295:CAB916360 CJX916295:CJX916360 CTT916295:CTT916360 DDP916295:DDP916360 DNL916295:DNL916360 DXH916295:DXH916360 EHD916295:EHD916360 EQZ916295:EQZ916360 FAV916295:FAV916360 FKR916295:FKR916360 FUN916295:FUN916360 GEJ916295:GEJ916360 GOF916295:GOF916360 GYB916295:GYB916360 HHX916295:HHX916360 HRT916295:HRT916360 IBP916295:IBP916360 ILL916295:ILL916360 IVH916295:IVH916360 JFD916295:JFD916360 JOZ916295:JOZ916360 JYV916295:JYV916360 KIR916295:KIR916360 KSN916295:KSN916360 LCJ916295:LCJ916360 LMF916295:LMF916360 LWB916295:LWB916360 MFX916295:MFX916360 MPT916295:MPT916360 MZP916295:MZP916360 NJL916295:NJL916360 NTH916295:NTH916360 ODD916295:ODD916360 OMZ916295:OMZ916360 OWV916295:OWV916360 PGR916295:PGR916360 PQN916295:PQN916360 QAJ916295:QAJ916360 QKF916295:QKF916360 QUB916295:QUB916360 RDX916295:RDX916360 RNT916295:RNT916360 RXP916295:RXP916360 SHL916295:SHL916360 SRH916295:SRH916360 TBD916295:TBD916360 TKZ916295:TKZ916360 TUV916295:TUV916360 UER916295:UER916360 UON916295:UON916360 UYJ916295:UYJ916360 VIF916295:VIF916360 VSB916295:VSB916360 WBX916295:WBX916360 WLT916295:WLT916360 WVP916295:WVP916360 H981831:H981896 JD981831:JD981896 SZ981831:SZ981896 ACV981831:ACV981896 AMR981831:AMR981896 AWN981831:AWN981896 BGJ981831:BGJ981896 BQF981831:BQF981896 CAB981831:CAB981896 CJX981831:CJX981896 CTT981831:CTT981896 DDP981831:DDP981896 DNL981831:DNL981896 DXH981831:DXH981896 EHD981831:EHD981896 EQZ981831:EQZ981896 FAV981831:FAV981896 FKR981831:FKR981896 FUN981831:FUN981896 GEJ981831:GEJ981896 GOF981831:GOF981896 GYB981831:GYB981896 HHX981831:HHX981896 HRT981831:HRT981896 IBP981831:IBP981896 ILL981831:ILL981896 IVH981831:IVH981896 JFD981831:JFD981896 JOZ981831:JOZ981896 JYV981831:JYV981896 KIR981831:KIR981896 KSN981831:KSN981896 LCJ981831:LCJ981896 LMF981831:LMF981896 LWB981831:LWB981896 MFX981831:MFX981896 MPT981831:MPT981896 MZP981831:MZP981896 NJL981831:NJL981896 NTH981831:NTH981896 ODD981831:ODD981896 OMZ981831:OMZ981896 OWV981831:OWV981896 PGR981831:PGR981896 PQN981831:PQN981896 QAJ981831:QAJ981896 QKF981831:QKF981896 QUB981831:QUB981896 RDX981831:RDX981896 RNT981831:RNT981896 RXP981831:RXP981896 SHL981831:SHL981896 SRH981831:SRH981896 TBD981831:TBD981896 TKZ981831:TKZ981896 TUV981831:TUV981896 UER981831:UER981896 UON981831:UON981896 UYJ981831:UYJ981896 VIF981831:VIF981896 VSB981831:VSB981896 WBX981831:WBX981896 WLT981831:WLT981896 WVP981831:WVP981896 H1047367:H1047432 JD1047367:JD1047432 SZ1047367:SZ1047432 ACV1047367:ACV1047432 AMR1047367:AMR1047432 AWN1047367:AWN1047432 BGJ1047367:BGJ1047432 BQF1047367:BQF1047432 CAB1047367:CAB1047432 CJX1047367:CJX1047432 CTT1047367:CTT1047432 DDP1047367:DDP1047432 DNL1047367:DNL1047432 DXH1047367:DXH1047432 EHD1047367:EHD1047432 EQZ1047367:EQZ1047432 FAV1047367:FAV1047432 FKR1047367:FKR1047432 FUN1047367:FUN1047432 GEJ1047367:GEJ1047432 GOF1047367:GOF1047432 GYB1047367:GYB1047432 HHX1047367:HHX1047432 HRT1047367:HRT1047432 IBP1047367:IBP1047432 ILL1047367:ILL1047432 IVH1047367:IVH1047432 JFD1047367:JFD1047432 JOZ1047367:JOZ1047432 JYV1047367:JYV1047432 KIR1047367:KIR1047432 KSN1047367:KSN1047432 LCJ1047367:LCJ1047432 LMF1047367:LMF1047432 LWB1047367:LWB1047432 MFX1047367:MFX1047432 MPT1047367:MPT1047432 MZP1047367:MZP1047432 NJL1047367:NJL1047432 NTH1047367:NTH1047432 ODD1047367:ODD1047432 OMZ1047367:OMZ1047432 OWV1047367:OWV1047432 PGR1047367:PGR1047432 PQN1047367:PQN1047432 QAJ1047367:QAJ1047432 QKF1047367:QKF1047432 QUB1047367:QUB1047432 RDX1047367:RDX1047432 RNT1047367:RNT1047432 RXP1047367:RXP1047432 SHL1047367:SHL1047432 SRH1047367:SRH1047432 TBD1047367:TBD1047432 TKZ1047367:TKZ1047432 TUV1047367:TUV1047432 UER1047367:UER1047432 UON1047367:UON1047432 UYJ1047367:UYJ1047432 VIF1047367:VIF1047432 VSB1047367:VSB1047432 WBX1047367:WBX1047432 WLT1047367:WLT1047432 WVP1047367:WVP1047432" xr:uid="{7A41A4C4-672E-4389-B03A-D1BA279B52DF}">
      <formula1>$AL$5:$AL$12</formula1>
    </dataValidation>
    <dataValidation type="list" allowBlank="1" showInputMessage="1" showErrorMessage="1" sqref="E64327:F64392 WVM983006:WVN983077 WLQ983006:WLR983077 WBU983006:WBV983077 VRY983006:VRZ983077 VIC983006:VID983077 UYG983006:UYH983077 UOK983006:UOL983077 UEO983006:UEP983077 TUS983006:TUT983077 TKW983006:TKX983077 TBA983006:TBB983077 SRE983006:SRF983077 SHI983006:SHJ983077 RXM983006:RXN983077 RNQ983006:RNR983077 RDU983006:RDV983077 QTY983006:QTZ983077 QKC983006:QKD983077 QAG983006:QAH983077 PQK983006:PQL983077 PGO983006:PGP983077 OWS983006:OWT983077 OMW983006:OMX983077 ODA983006:ODB983077 NTE983006:NTF983077 NJI983006:NJJ983077 MZM983006:MZN983077 MPQ983006:MPR983077 MFU983006:MFV983077 LVY983006:LVZ983077 LMC983006:LMD983077 LCG983006:LCH983077 KSK983006:KSL983077 KIO983006:KIP983077 JYS983006:JYT983077 JOW983006:JOX983077 JFA983006:JFB983077 IVE983006:IVF983077 ILI983006:ILJ983077 IBM983006:IBN983077 HRQ983006:HRR983077 HHU983006:HHV983077 GXY983006:GXZ983077 GOC983006:GOD983077 GEG983006:GEH983077 FUK983006:FUL983077 FKO983006:FKP983077 FAS983006:FAT983077 EQW983006:EQX983077 EHA983006:EHB983077 DXE983006:DXF983077 DNI983006:DNJ983077 DDM983006:DDN983077 CTQ983006:CTR983077 CJU983006:CJV983077 BZY983006:BZZ983077 BQC983006:BQD983077 BGG983006:BGH983077 AWK983006:AWL983077 AMO983006:AMP983077 ACS983006:ACT983077 SW983006:SX983077 JA983006:JB983077 E983006:F983077 WVM917470:WVN917541 WLQ917470:WLR917541 WBU917470:WBV917541 VRY917470:VRZ917541 VIC917470:VID917541 UYG917470:UYH917541 UOK917470:UOL917541 UEO917470:UEP917541 TUS917470:TUT917541 TKW917470:TKX917541 TBA917470:TBB917541 SRE917470:SRF917541 SHI917470:SHJ917541 RXM917470:RXN917541 RNQ917470:RNR917541 RDU917470:RDV917541 QTY917470:QTZ917541 QKC917470:QKD917541 QAG917470:QAH917541 PQK917470:PQL917541 PGO917470:PGP917541 OWS917470:OWT917541 OMW917470:OMX917541 ODA917470:ODB917541 NTE917470:NTF917541 NJI917470:NJJ917541 MZM917470:MZN917541 MPQ917470:MPR917541 MFU917470:MFV917541 LVY917470:LVZ917541 LMC917470:LMD917541 LCG917470:LCH917541 KSK917470:KSL917541 KIO917470:KIP917541 JYS917470:JYT917541 JOW917470:JOX917541 JFA917470:JFB917541 IVE917470:IVF917541 ILI917470:ILJ917541 IBM917470:IBN917541 HRQ917470:HRR917541 HHU917470:HHV917541 GXY917470:GXZ917541 GOC917470:GOD917541 GEG917470:GEH917541 FUK917470:FUL917541 FKO917470:FKP917541 FAS917470:FAT917541 EQW917470:EQX917541 EHA917470:EHB917541 DXE917470:DXF917541 DNI917470:DNJ917541 DDM917470:DDN917541 CTQ917470:CTR917541 CJU917470:CJV917541 BZY917470:BZZ917541 BQC917470:BQD917541 BGG917470:BGH917541 AWK917470:AWL917541 AMO917470:AMP917541 ACS917470:ACT917541 SW917470:SX917541 JA917470:JB917541 E917470:F917541 WVM851934:WVN852005 WLQ851934:WLR852005 WBU851934:WBV852005 VRY851934:VRZ852005 VIC851934:VID852005 UYG851934:UYH852005 UOK851934:UOL852005 UEO851934:UEP852005 TUS851934:TUT852005 TKW851934:TKX852005 TBA851934:TBB852005 SRE851934:SRF852005 SHI851934:SHJ852005 RXM851934:RXN852005 RNQ851934:RNR852005 RDU851934:RDV852005 QTY851934:QTZ852005 QKC851934:QKD852005 QAG851934:QAH852005 PQK851934:PQL852005 PGO851934:PGP852005 OWS851934:OWT852005 OMW851934:OMX852005 ODA851934:ODB852005 NTE851934:NTF852005 NJI851934:NJJ852005 MZM851934:MZN852005 MPQ851934:MPR852005 MFU851934:MFV852005 LVY851934:LVZ852005 LMC851934:LMD852005 LCG851934:LCH852005 KSK851934:KSL852005 KIO851934:KIP852005 JYS851934:JYT852005 JOW851934:JOX852005 JFA851934:JFB852005 IVE851934:IVF852005 ILI851934:ILJ852005 IBM851934:IBN852005 HRQ851934:HRR852005 HHU851934:HHV852005 GXY851934:GXZ852005 GOC851934:GOD852005 GEG851934:GEH852005 FUK851934:FUL852005 FKO851934:FKP852005 FAS851934:FAT852005 EQW851934:EQX852005 EHA851934:EHB852005 DXE851934:DXF852005 DNI851934:DNJ852005 DDM851934:DDN852005 CTQ851934:CTR852005 CJU851934:CJV852005 BZY851934:BZZ852005 BQC851934:BQD852005 BGG851934:BGH852005 AWK851934:AWL852005 AMO851934:AMP852005 ACS851934:ACT852005 SW851934:SX852005 JA851934:JB852005 E851934:F852005 WVM786398:WVN786469 WLQ786398:WLR786469 WBU786398:WBV786469 VRY786398:VRZ786469 VIC786398:VID786469 UYG786398:UYH786469 UOK786398:UOL786469 UEO786398:UEP786469 TUS786398:TUT786469 TKW786398:TKX786469 TBA786398:TBB786469 SRE786398:SRF786469 SHI786398:SHJ786469 RXM786398:RXN786469 RNQ786398:RNR786469 RDU786398:RDV786469 QTY786398:QTZ786469 QKC786398:QKD786469 QAG786398:QAH786469 PQK786398:PQL786469 PGO786398:PGP786469 OWS786398:OWT786469 OMW786398:OMX786469 ODA786398:ODB786469 NTE786398:NTF786469 NJI786398:NJJ786469 MZM786398:MZN786469 MPQ786398:MPR786469 MFU786398:MFV786469 LVY786398:LVZ786469 LMC786398:LMD786469 LCG786398:LCH786469 KSK786398:KSL786469 KIO786398:KIP786469 JYS786398:JYT786469 JOW786398:JOX786469 JFA786398:JFB786469 IVE786398:IVF786469 ILI786398:ILJ786469 IBM786398:IBN786469 HRQ786398:HRR786469 HHU786398:HHV786469 GXY786398:GXZ786469 GOC786398:GOD786469 GEG786398:GEH786469 FUK786398:FUL786469 FKO786398:FKP786469 FAS786398:FAT786469 EQW786398:EQX786469 EHA786398:EHB786469 DXE786398:DXF786469 DNI786398:DNJ786469 DDM786398:DDN786469 CTQ786398:CTR786469 CJU786398:CJV786469 BZY786398:BZZ786469 BQC786398:BQD786469 BGG786398:BGH786469 AWK786398:AWL786469 AMO786398:AMP786469 ACS786398:ACT786469 SW786398:SX786469 JA786398:JB786469 E786398:F786469 WVM720862:WVN720933 WLQ720862:WLR720933 WBU720862:WBV720933 VRY720862:VRZ720933 VIC720862:VID720933 UYG720862:UYH720933 UOK720862:UOL720933 UEO720862:UEP720933 TUS720862:TUT720933 TKW720862:TKX720933 TBA720862:TBB720933 SRE720862:SRF720933 SHI720862:SHJ720933 RXM720862:RXN720933 RNQ720862:RNR720933 RDU720862:RDV720933 QTY720862:QTZ720933 QKC720862:QKD720933 QAG720862:QAH720933 PQK720862:PQL720933 PGO720862:PGP720933 OWS720862:OWT720933 OMW720862:OMX720933 ODA720862:ODB720933 NTE720862:NTF720933 NJI720862:NJJ720933 MZM720862:MZN720933 MPQ720862:MPR720933 MFU720862:MFV720933 LVY720862:LVZ720933 LMC720862:LMD720933 LCG720862:LCH720933 KSK720862:KSL720933 KIO720862:KIP720933 JYS720862:JYT720933 JOW720862:JOX720933 JFA720862:JFB720933 IVE720862:IVF720933 ILI720862:ILJ720933 IBM720862:IBN720933 HRQ720862:HRR720933 HHU720862:HHV720933 GXY720862:GXZ720933 GOC720862:GOD720933 GEG720862:GEH720933 FUK720862:FUL720933 FKO720862:FKP720933 FAS720862:FAT720933 EQW720862:EQX720933 EHA720862:EHB720933 DXE720862:DXF720933 DNI720862:DNJ720933 DDM720862:DDN720933 CTQ720862:CTR720933 CJU720862:CJV720933 BZY720862:BZZ720933 BQC720862:BQD720933 BGG720862:BGH720933 AWK720862:AWL720933 AMO720862:AMP720933 ACS720862:ACT720933 SW720862:SX720933 JA720862:JB720933 E720862:F720933 WVM655326:WVN655397 WLQ655326:WLR655397 WBU655326:WBV655397 VRY655326:VRZ655397 VIC655326:VID655397 UYG655326:UYH655397 UOK655326:UOL655397 UEO655326:UEP655397 TUS655326:TUT655397 TKW655326:TKX655397 TBA655326:TBB655397 SRE655326:SRF655397 SHI655326:SHJ655397 RXM655326:RXN655397 RNQ655326:RNR655397 RDU655326:RDV655397 QTY655326:QTZ655397 QKC655326:QKD655397 QAG655326:QAH655397 PQK655326:PQL655397 PGO655326:PGP655397 OWS655326:OWT655397 OMW655326:OMX655397 ODA655326:ODB655397 NTE655326:NTF655397 NJI655326:NJJ655397 MZM655326:MZN655397 MPQ655326:MPR655397 MFU655326:MFV655397 LVY655326:LVZ655397 LMC655326:LMD655397 LCG655326:LCH655397 KSK655326:KSL655397 KIO655326:KIP655397 JYS655326:JYT655397 JOW655326:JOX655397 JFA655326:JFB655397 IVE655326:IVF655397 ILI655326:ILJ655397 IBM655326:IBN655397 HRQ655326:HRR655397 HHU655326:HHV655397 GXY655326:GXZ655397 GOC655326:GOD655397 GEG655326:GEH655397 FUK655326:FUL655397 FKO655326:FKP655397 FAS655326:FAT655397 EQW655326:EQX655397 EHA655326:EHB655397 DXE655326:DXF655397 DNI655326:DNJ655397 DDM655326:DDN655397 CTQ655326:CTR655397 CJU655326:CJV655397 BZY655326:BZZ655397 BQC655326:BQD655397 BGG655326:BGH655397 AWK655326:AWL655397 AMO655326:AMP655397 ACS655326:ACT655397 SW655326:SX655397 JA655326:JB655397 E655326:F655397 WVM589790:WVN589861 WLQ589790:WLR589861 WBU589790:WBV589861 VRY589790:VRZ589861 VIC589790:VID589861 UYG589790:UYH589861 UOK589790:UOL589861 UEO589790:UEP589861 TUS589790:TUT589861 TKW589790:TKX589861 TBA589790:TBB589861 SRE589790:SRF589861 SHI589790:SHJ589861 RXM589790:RXN589861 RNQ589790:RNR589861 RDU589790:RDV589861 QTY589790:QTZ589861 QKC589790:QKD589861 QAG589790:QAH589861 PQK589790:PQL589861 PGO589790:PGP589861 OWS589790:OWT589861 OMW589790:OMX589861 ODA589790:ODB589861 NTE589790:NTF589861 NJI589790:NJJ589861 MZM589790:MZN589861 MPQ589790:MPR589861 MFU589790:MFV589861 LVY589790:LVZ589861 LMC589790:LMD589861 LCG589790:LCH589861 KSK589790:KSL589861 KIO589790:KIP589861 JYS589790:JYT589861 JOW589790:JOX589861 JFA589790:JFB589861 IVE589790:IVF589861 ILI589790:ILJ589861 IBM589790:IBN589861 HRQ589790:HRR589861 HHU589790:HHV589861 GXY589790:GXZ589861 GOC589790:GOD589861 GEG589790:GEH589861 FUK589790:FUL589861 FKO589790:FKP589861 FAS589790:FAT589861 EQW589790:EQX589861 EHA589790:EHB589861 DXE589790:DXF589861 DNI589790:DNJ589861 DDM589790:DDN589861 CTQ589790:CTR589861 CJU589790:CJV589861 BZY589790:BZZ589861 BQC589790:BQD589861 BGG589790:BGH589861 AWK589790:AWL589861 AMO589790:AMP589861 ACS589790:ACT589861 SW589790:SX589861 JA589790:JB589861 E589790:F589861 WVM524254:WVN524325 WLQ524254:WLR524325 WBU524254:WBV524325 VRY524254:VRZ524325 VIC524254:VID524325 UYG524254:UYH524325 UOK524254:UOL524325 UEO524254:UEP524325 TUS524254:TUT524325 TKW524254:TKX524325 TBA524254:TBB524325 SRE524254:SRF524325 SHI524254:SHJ524325 RXM524254:RXN524325 RNQ524254:RNR524325 RDU524254:RDV524325 QTY524254:QTZ524325 QKC524254:QKD524325 QAG524254:QAH524325 PQK524254:PQL524325 PGO524254:PGP524325 OWS524254:OWT524325 OMW524254:OMX524325 ODA524254:ODB524325 NTE524254:NTF524325 NJI524254:NJJ524325 MZM524254:MZN524325 MPQ524254:MPR524325 MFU524254:MFV524325 LVY524254:LVZ524325 LMC524254:LMD524325 LCG524254:LCH524325 KSK524254:KSL524325 KIO524254:KIP524325 JYS524254:JYT524325 JOW524254:JOX524325 JFA524254:JFB524325 IVE524254:IVF524325 ILI524254:ILJ524325 IBM524254:IBN524325 HRQ524254:HRR524325 HHU524254:HHV524325 GXY524254:GXZ524325 GOC524254:GOD524325 GEG524254:GEH524325 FUK524254:FUL524325 FKO524254:FKP524325 FAS524254:FAT524325 EQW524254:EQX524325 EHA524254:EHB524325 DXE524254:DXF524325 DNI524254:DNJ524325 DDM524254:DDN524325 CTQ524254:CTR524325 CJU524254:CJV524325 BZY524254:BZZ524325 BQC524254:BQD524325 BGG524254:BGH524325 AWK524254:AWL524325 AMO524254:AMP524325 ACS524254:ACT524325 SW524254:SX524325 JA524254:JB524325 E524254:F524325 WVM458718:WVN458789 WLQ458718:WLR458789 WBU458718:WBV458789 VRY458718:VRZ458789 VIC458718:VID458789 UYG458718:UYH458789 UOK458718:UOL458789 UEO458718:UEP458789 TUS458718:TUT458789 TKW458718:TKX458789 TBA458718:TBB458789 SRE458718:SRF458789 SHI458718:SHJ458789 RXM458718:RXN458789 RNQ458718:RNR458789 RDU458718:RDV458789 QTY458718:QTZ458789 QKC458718:QKD458789 QAG458718:QAH458789 PQK458718:PQL458789 PGO458718:PGP458789 OWS458718:OWT458789 OMW458718:OMX458789 ODA458718:ODB458789 NTE458718:NTF458789 NJI458718:NJJ458789 MZM458718:MZN458789 MPQ458718:MPR458789 MFU458718:MFV458789 LVY458718:LVZ458789 LMC458718:LMD458789 LCG458718:LCH458789 KSK458718:KSL458789 KIO458718:KIP458789 JYS458718:JYT458789 JOW458718:JOX458789 JFA458718:JFB458789 IVE458718:IVF458789 ILI458718:ILJ458789 IBM458718:IBN458789 HRQ458718:HRR458789 HHU458718:HHV458789 GXY458718:GXZ458789 GOC458718:GOD458789 GEG458718:GEH458789 FUK458718:FUL458789 FKO458718:FKP458789 FAS458718:FAT458789 EQW458718:EQX458789 EHA458718:EHB458789 DXE458718:DXF458789 DNI458718:DNJ458789 DDM458718:DDN458789 CTQ458718:CTR458789 CJU458718:CJV458789 BZY458718:BZZ458789 BQC458718:BQD458789 BGG458718:BGH458789 AWK458718:AWL458789 AMO458718:AMP458789 ACS458718:ACT458789 SW458718:SX458789 JA458718:JB458789 E458718:F458789 WVM393182:WVN393253 WLQ393182:WLR393253 WBU393182:WBV393253 VRY393182:VRZ393253 VIC393182:VID393253 UYG393182:UYH393253 UOK393182:UOL393253 UEO393182:UEP393253 TUS393182:TUT393253 TKW393182:TKX393253 TBA393182:TBB393253 SRE393182:SRF393253 SHI393182:SHJ393253 RXM393182:RXN393253 RNQ393182:RNR393253 RDU393182:RDV393253 QTY393182:QTZ393253 QKC393182:QKD393253 QAG393182:QAH393253 PQK393182:PQL393253 PGO393182:PGP393253 OWS393182:OWT393253 OMW393182:OMX393253 ODA393182:ODB393253 NTE393182:NTF393253 NJI393182:NJJ393253 MZM393182:MZN393253 MPQ393182:MPR393253 MFU393182:MFV393253 LVY393182:LVZ393253 LMC393182:LMD393253 LCG393182:LCH393253 KSK393182:KSL393253 KIO393182:KIP393253 JYS393182:JYT393253 JOW393182:JOX393253 JFA393182:JFB393253 IVE393182:IVF393253 ILI393182:ILJ393253 IBM393182:IBN393253 HRQ393182:HRR393253 HHU393182:HHV393253 GXY393182:GXZ393253 GOC393182:GOD393253 GEG393182:GEH393253 FUK393182:FUL393253 FKO393182:FKP393253 FAS393182:FAT393253 EQW393182:EQX393253 EHA393182:EHB393253 DXE393182:DXF393253 DNI393182:DNJ393253 DDM393182:DDN393253 CTQ393182:CTR393253 CJU393182:CJV393253 BZY393182:BZZ393253 BQC393182:BQD393253 BGG393182:BGH393253 AWK393182:AWL393253 AMO393182:AMP393253 ACS393182:ACT393253 SW393182:SX393253 JA393182:JB393253 E393182:F393253 WVM327646:WVN327717 WLQ327646:WLR327717 WBU327646:WBV327717 VRY327646:VRZ327717 VIC327646:VID327717 UYG327646:UYH327717 UOK327646:UOL327717 UEO327646:UEP327717 TUS327646:TUT327717 TKW327646:TKX327717 TBA327646:TBB327717 SRE327646:SRF327717 SHI327646:SHJ327717 RXM327646:RXN327717 RNQ327646:RNR327717 RDU327646:RDV327717 QTY327646:QTZ327717 QKC327646:QKD327717 QAG327646:QAH327717 PQK327646:PQL327717 PGO327646:PGP327717 OWS327646:OWT327717 OMW327646:OMX327717 ODA327646:ODB327717 NTE327646:NTF327717 NJI327646:NJJ327717 MZM327646:MZN327717 MPQ327646:MPR327717 MFU327646:MFV327717 LVY327646:LVZ327717 LMC327646:LMD327717 LCG327646:LCH327717 KSK327646:KSL327717 KIO327646:KIP327717 JYS327646:JYT327717 JOW327646:JOX327717 JFA327646:JFB327717 IVE327646:IVF327717 ILI327646:ILJ327717 IBM327646:IBN327717 HRQ327646:HRR327717 HHU327646:HHV327717 GXY327646:GXZ327717 GOC327646:GOD327717 GEG327646:GEH327717 FUK327646:FUL327717 FKO327646:FKP327717 FAS327646:FAT327717 EQW327646:EQX327717 EHA327646:EHB327717 DXE327646:DXF327717 DNI327646:DNJ327717 DDM327646:DDN327717 CTQ327646:CTR327717 CJU327646:CJV327717 BZY327646:BZZ327717 BQC327646:BQD327717 BGG327646:BGH327717 AWK327646:AWL327717 AMO327646:AMP327717 ACS327646:ACT327717 SW327646:SX327717 JA327646:JB327717 E327646:F327717 WVM262110:WVN262181 WLQ262110:WLR262181 WBU262110:WBV262181 VRY262110:VRZ262181 VIC262110:VID262181 UYG262110:UYH262181 UOK262110:UOL262181 UEO262110:UEP262181 TUS262110:TUT262181 TKW262110:TKX262181 TBA262110:TBB262181 SRE262110:SRF262181 SHI262110:SHJ262181 RXM262110:RXN262181 RNQ262110:RNR262181 RDU262110:RDV262181 QTY262110:QTZ262181 QKC262110:QKD262181 QAG262110:QAH262181 PQK262110:PQL262181 PGO262110:PGP262181 OWS262110:OWT262181 OMW262110:OMX262181 ODA262110:ODB262181 NTE262110:NTF262181 NJI262110:NJJ262181 MZM262110:MZN262181 MPQ262110:MPR262181 MFU262110:MFV262181 LVY262110:LVZ262181 LMC262110:LMD262181 LCG262110:LCH262181 KSK262110:KSL262181 KIO262110:KIP262181 JYS262110:JYT262181 JOW262110:JOX262181 JFA262110:JFB262181 IVE262110:IVF262181 ILI262110:ILJ262181 IBM262110:IBN262181 HRQ262110:HRR262181 HHU262110:HHV262181 GXY262110:GXZ262181 GOC262110:GOD262181 GEG262110:GEH262181 FUK262110:FUL262181 FKO262110:FKP262181 FAS262110:FAT262181 EQW262110:EQX262181 EHA262110:EHB262181 DXE262110:DXF262181 DNI262110:DNJ262181 DDM262110:DDN262181 CTQ262110:CTR262181 CJU262110:CJV262181 BZY262110:BZZ262181 BQC262110:BQD262181 BGG262110:BGH262181 AWK262110:AWL262181 AMO262110:AMP262181 ACS262110:ACT262181 SW262110:SX262181 JA262110:JB262181 E262110:F262181 WVM196574:WVN196645 WLQ196574:WLR196645 WBU196574:WBV196645 VRY196574:VRZ196645 VIC196574:VID196645 UYG196574:UYH196645 UOK196574:UOL196645 UEO196574:UEP196645 TUS196574:TUT196645 TKW196574:TKX196645 TBA196574:TBB196645 SRE196574:SRF196645 SHI196574:SHJ196645 RXM196574:RXN196645 RNQ196574:RNR196645 RDU196574:RDV196645 QTY196574:QTZ196645 QKC196574:QKD196645 QAG196574:QAH196645 PQK196574:PQL196645 PGO196574:PGP196645 OWS196574:OWT196645 OMW196574:OMX196645 ODA196574:ODB196645 NTE196574:NTF196645 NJI196574:NJJ196645 MZM196574:MZN196645 MPQ196574:MPR196645 MFU196574:MFV196645 LVY196574:LVZ196645 LMC196574:LMD196645 LCG196574:LCH196645 KSK196574:KSL196645 KIO196574:KIP196645 JYS196574:JYT196645 JOW196574:JOX196645 JFA196574:JFB196645 IVE196574:IVF196645 ILI196574:ILJ196645 IBM196574:IBN196645 HRQ196574:HRR196645 HHU196574:HHV196645 GXY196574:GXZ196645 GOC196574:GOD196645 GEG196574:GEH196645 FUK196574:FUL196645 FKO196574:FKP196645 FAS196574:FAT196645 EQW196574:EQX196645 EHA196574:EHB196645 DXE196574:DXF196645 DNI196574:DNJ196645 DDM196574:DDN196645 CTQ196574:CTR196645 CJU196574:CJV196645 BZY196574:BZZ196645 BQC196574:BQD196645 BGG196574:BGH196645 AWK196574:AWL196645 AMO196574:AMP196645 ACS196574:ACT196645 SW196574:SX196645 JA196574:JB196645 E196574:F196645 WVM131038:WVN131109 WLQ131038:WLR131109 WBU131038:WBV131109 VRY131038:VRZ131109 VIC131038:VID131109 UYG131038:UYH131109 UOK131038:UOL131109 UEO131038:UEP131109 TUS131038:TUT131109 TKW131038:TKX131109 TBA131038:TBB131109 SRE131038:SRF131109 SHI131038:SHJ131109 RXM131038:RXN131109 RNQ131038:RNR131109 RDU131038:RDV131109 QTY131038:QTZ131109 QKC131038:QKD131109 QAG131038:QAH131109 PQK131038:PQL131109 PGO131038:PGP131109 OWS131038:OWT131109 OMW131038:OMX131109 ODA131038:ODB131109 NTE131038:NTF131109 NJI131038:NJJ131109 MZM131038:MZN131109 MPQ131038:MPR131109 MFU131038:MFV131109 LVY131038:LVZ131109 LMC131038:LMD131109 LCG131038:LCH131109 KSK131038:KSL131109 KIO131038:KIP131109 JYS131038:JYT131109 JOW131038:JOX131109 JFA131038:JFB131109 IVE131038:IVF131109 ILI131038:ILJ131109 IBM131038:IBN131109 HRQ131038:HRR131109 HHU131038:HHV131109 GXY131038:GXZ131109 GOC131038:GOD131109 GEG131038:GEH131109 FUK131038:FUL131109 FKO131038:FKP131109 FAS131038:FAT131109 EQW131038:EQX131109 EHA131038:EHB131109 DXE131038:DXF131109 DNI131038:DNJ131109 DDM131038:DDN131109 CTQ131038:CTR131109 CJU131038:CJV131109 BZY131038:BZZ131109 BQC131038:BQD131109 BGG131038:BGH131109 AWK131038:AWL131109 AMO131038:AMP131109 ACS131038:ACT131109 SW131038:SX131109 JA131038:JB131109 E131038:F131109 WVM65502:WVN65573 WLQ65502:WLR65573 WBU65502:WBV65573 VRY65502:VRZ65573 VIC65502:VID65573 UYG65502:UYH65573 UOK65502:UOL65573 UEO65502:UEP65573 TUS65502:TUT65573 TKW65502:TKX65573 TBA65502:TBB65573 SRE65502:SRF65573 SHI65502:SHJ65573 RXM65502:RXN65573 RNQ65502:RNR65573 RDU65502:RDV65573 QTY65502:QTZ65573 QKC65502:QKD65573 QAG65502:QAH65573 PQK65502:PQL65573 PGO65502:PGP65573 OWS65502:OWT65573 OMW65502:OMX65573 ODA65502:ODB65573 NTE65502:NTF65573 NJI65502:NJJ65573 MZM65502:MZN65573 MPQ65502:MPR65573 MFU65502:MFV65573 LVY65502:LVZ65573 LMC65502:LMD65573 LCG65502:LCH65573 KSK65502:KSL65573 KIO65502:KIP65573 JYS65502:JYT65573 JOW65502:JOX65573 JFA65502:JFB65573 IVE65502:IVF65573 ILI65502:ILJ65573 IBM65502:IBN65573 HRQ65502:HRR65573 HHU65502:HHV65573 GXY65502:GXZ65573 GOC65502:GOD65573 GEG65502:GEH65573 FUK65502:FUL65573 FKO65502:FKP65573 FAS65502:FAT65573 EQW65502:EQX65573 EHA65502:EHB65573 DXE65502:DXF65573 DNI65502:DNJ65573 DDM65502:DDN65573 CTQ65502:CTR65573 CJU65502:CJV65573 BZY65502:BZZ65573 BQC65502:BQD65573 BGG65502:BGH65573 AWK65502:AWL65573 AMO65502:AMP65573 ACS65502:ACT65573 SW65502:SX65573 JA65502:JB65573 E65502:F65573 JA64327:JB64392 WVM1047367:WVN1047432 WLQ1047367:WLR1047432 WBU1047367:WBV1047432 VRY1047367:VRZ1047432 VIC1047367:VID1047432 UYG1047367:UYH1047432 UOK1047367:UOL1047432 UEO1047367:UEP1047432 TUS1047367:TUT1047432 TKW1047367:TKX1047432 TBA1047367:TBB1047432 SRE1047367:SRF1047432 SHI1047367:SHJ1047432 RXM1047367:RXN1047432 RNQ1047367:RNR1047432 RDU1047367:RDV1047432 QTY1047367:QTZ1047432 QKC1047367:QKD1047432 QAG1047367:QAH1047432 PQK1047367:PQL1047432 PGO1047367:PGP1047432 OWS1047367:OWT1047432 OMW1047367:OMX1047432 ODA1047367:ODB1047432 NTE1047367:NTF1047432 NJI1047367:NJJ1047432 MZM1047367:MZN1047432 MPQ1047367:MPR1047432 MFU1047367:MFV1047432 LVY1047367:LVZ1047432 LMC1047367:LMD1047432 LCG1047367:LCH1047432 KSK1047367:KSL1047432 KIO1047367:KIP1047432 JYS1047367:JYT1047432 JOW1047367:JOX1047432 JFA1047367:JFB1047432 IVE1047367:IVF1047432 ILI1047367:ILJ1047432 IBM1047367:IBN1047432 HRQ1047367:HRR1047432 HHU1047367:HHV1047432 GXY1047367:GXZ1047432 GOC1047367:GOD1047432 GEG1047367:GEH1047432 FUK1047367:FUL1047432 FKO1047367:FKP1047432 FAS1047367:FAT1047432 EQW1047367:EQX1047432 EHA1047367:EHB1047432 DXE1047367:DXF1047432 DNI1047367:DNJ1047432 DDM1047367:DDN1047432 CTQ1047367:CTR1047432 CJU1047367:CJV1047432 BZY1047367:BZZ1047432 BQC1047367:BQD1047432 BGG1047367:BGH1047432 AWK1047367:AWL1047432 AMO1047367:AMP1047432 ACS1047367:ACT1047432 SW1047367:SX1047432 JA1047367:JB1047432 E1047367:F1047432 WVM981831:WVN981896 WLQ981831:WLR981896 WBU981831:WBV981896 VRY981831:VRZ981896 VIC981831:VID981896 UYG981831:UYH981896 UOK981831:UOL981896 UEO981831:UEP981896 TUS981831:TUT981896 TKW981831:TKX981896 TBA981831:TBB981896 SRE981831:SRF981896 SHI981831:SHJ981896 RXM981831:RXN981896 RNQ981831:RNR981896 RDU981831:RDV981896 QTY981831:QTZ981896 QKC981831:QKD981896 QAG981831:QAH981896 PQK981831:PQL981896 PGO981831:PGP981896 OWS981831:OWT981896 OMW981831:OMX981896 ODA981831:ODB981896 NTE981831:NTF981896 NJI981831:NJJ981896 MZM981831:MZN981896 MPQ981831:MPR981896 MFU981831:MFV981896 LVY981831:LVZ981896 LMC981831:LMD981896 LCG981831:LCH981896 KSK981831:KSL981896 KIO981831:KIP981896 JYS981831:JYT981896 JOW981831:JOX981896 JFA981831:JFB981896 IVE981831:IVF981896 ILI981831:ILJ981896 IBM981831:IBN981896 HRQ981831:HRR981896 HHU981831:HHV981896 GXY981831:GXZ981896 GOC981831:GOD981896 GEG981831:GEH981896 FUK981831:FUL981896 FKO981831:FKP981896 FAS981831:FAT981896 EQW981831:EQX981896 EHA981831:EHB981896 DXE981831:DXF981896 DNI981831:DNJ981896 DDM981831:DDN981896 CTQ981831:CTR981896 CJU981831:CJV981896 BZY981831:BZZ981896 BQC981831:BQD981896 BGG981831:BGH981896 AWK981831:AWL981896 AMO981831:AMP981896 ACS981831:ACT981896 SW981831:SX981896 JA981831:JB981896 E981831:F981896 WVM916295:WVN916360 WLQ916295:WLR916360 WBU916295:WBV916360 VRY916295:VRZ916360 VIC916295:VID916360 UYG916295:UYH916360 UOK916295:UOL916360 UEO916295:UEP916360 TUS916295:TUT916360 TKW916295:TKX916360 TBA916295:TBB916360 SRE916295:SRF916360 SHI916295:SHJ916360 RXM916295:RXN916360 RNQ916295:RNR916360 RDU916295:RDV916360 QTY916295:QTZ916360 QKC916295:QKD916360 QAG916295:QAH916360 PQK916295:PQL916360 PGO916295:PGP916360 OWS916295:OWT916360 OMW916295:OMX916360 ODA916295:ODB916360 NTE916295:NTF916360 NJI916295:NJJ916360 MZM916295:MZN916360 MPQ916295:MPR916360 MFU916295:MFV916360 LVY916295:LVZ916360 LMC916295:LMD916360 LCG916295:LCH916360 KSK916295:KSL916360 KIO916295:KIP916360 JYS916295:JYT916360 JOW916295:JOX916360 JFA916295:JFB916360 IVE916295:IVF916360 ILI916295:ILJ916360 IBM916295:IBN916360 HRQ916295:HRR916360 HHU916295:HHV916360 GXY916295:GXZ916360 GOC916295:GOD916360 GEG916295:GEH916360 FUK916295:FUL916360 FKO916295:FKP916360 FAS916295:FAT916360 EQW916295:EQX916360 EHA916295:EHB916360 DXE916295:DXF916360 DNI916295:DNJ916360 DDM916295:DDN916360 CTQ916295:CTR916360 CJU916295:CJV916360 BZY916295:BZZ916360 BQC916295:BQD916360 BGG916295:BGH916360 AWK916295:AWL916360 AMO916295:AMP916360 ACS916295:ACT916360 SW916295:SX916360 JA916295:JB916360 E916295:F916360 WVM850759:WVN850824 WLQ850759:WLR850824 WBU850759:WBV850824 VRY850759:VRZ850824 VIC850759:VID850824 UYG850759:UYH850824 UOK850759:UOL850824 UEO850759:UEP850824 TUS850759:TUT850824 TKW850759:TKX850824 TBA850759:TBB850824 SRE850759:SRF850824 SHI850759:SHJ850824 RXM850759:RXN850824 RNQ850759:RNR850824 RDU850759:RDV850824 QTY850759:QTZ850824 QKC850759:QKD850824 QAG850759:QAH850824 PQK850759:PQL850824 PGO850759:PGP850824 OWS850759:OWT850824 OMW850759:OMX850824 ODA850759:ODB850824 NTE850759:NTF850824 NJI850759:NJJ850824 MZM850759:MZN850824 MPQ850759:MPR850824 MFU850759:MFV850824 LVY850759:LVZ850824 LMC850759:LMD850824 LCG850759:LCH850824 KSK850759:KSL850824 KIO850759:KIP850824 JYS850759:JYT850824 JOW850759:JOX850824 JFA850759:JFB850824 IVE850759:IVF850824 ILI850759:ILJ850824 IBM850759:IBN850824 HRQ850759:HRR850824 HHU850759:HHV850824 GXY850759:GXZ850824 GOC850759:GOD850824 GEG850759:GEH850824 FUK850759:FUL850824 FKO850759:FKP850824 FAS850759:FAT850824 EQW850759:EQX850824 EHA850759:EHB850824 DXE850759:DXF850824 DNI850759:DNJ850824 DDM850759:DDN850824 CTQ850759:CTR850824 CJU850759:CJV850824 BZY850759:BZZ850824 BQC850759:BQD850824 BGG850759:BGH850824 AWK850759:AWL850824 AMO850759:AMP850824 ACS850759:ACT850824 SW850759:SX850824 JA850759:JB850824 E850759:F850824 WVM785223:WVN785288 WLQ785223:WLR785288 WBU785223:WBV785288 VRY785223:VRZ785288 VIC785223:VID785288 UYG785223:UYH785288 UOK785223:UOL785288 UEO785223:UEP785288 TUS785223:TUT785288 TKW785223:TKX785288 TBA785223:TBB785288 SRE785223:SRF785288 SHI785223:SHJ785288 RXM785223:RXN785288 RNQ785223:RNR785288 RDU785223:RDV785288 QTY785223:QTZ785288 QKC785223:QKD785288 QAG785223:QAH785288 PQK785223:PQL785288 PGO785223:PGP785288 OWS785223:OWT785288 OMW785223:OMX785288 ODA785223:ODB785288 NTE785223:NTF785288 NJI785223:NJJ785288 MZM785223:MZN785288 MPQ785223:MPR785288 MFU785223:MFV785288 LVY785223:LVZ785288 LMC785223:LMD785288 LCG785223:LCH785288 KSK785223:KSL785288 KIO785223:KIP785288 JYS785223:JYT785288 JOW785223:JOX785288 JFA785223:JFB785288 IVE785223:IVF785288 ILI785223:ILJ785288 IBM785223:IBN785288 HRQ785223:HRR785288 HHU785223:HHV785288 GXY785223:GXZ785288 GOC785223:GOD785288 GEG785223:GEH785288 FUK785223:FUL785288 FKO785223:FKP785288 FAS785223:FAT785288 EQW785223:EQX785288 EHA785223:EHB785288 DXE785223:DXF785288 DNI785223:DNJ785288 DDM785223:DDN785288 CTQ785223:CTR785288 CJU785223:CJV785288 BZY785223:BZZ785288 BQC785223:BQD785288 BGG785223:BGH785288 AWK785223:AWL785288 AMO785223:AMP785288 ACS785223:ACT785288 SW785223:SX785288 JA785223:JB785288 E785223:F785288 WVM719687:WVN719752 WLQ719687:WLR719752 WBU719687:WBV719752 VRY719687:VRZ719752 VIC719687:VID719752 UYG719687:UYH719752 UOK719687:UOL719752 UEO719687:UEP719752 TUS719687:TUT719752 TKW719687:TKX719752 TBA719687:TBB719752 SRE719687:SRF719752 SHI719687:SHJ719752 RXM719687:RXN719752 RNQ719687:RNR719752 RDU719687:RDV719752 QTY719687:QTZ719752 QKC719687:QKD719752 QAG719687:QAH719752 PQK719687:PQL719752 PGO719687:PGP719752 OWS719687:OWT719752 OMW719687:OMX719752 ODA719687:ODB719752 NTE719687:NTF719752 NJI719687:NJJ719752 MZM719687:MZN719752 MPQ719687:MPR719752 MFU719687:MFV719752 LVY719687:LVZ719752 LMC719687:LMD719752 LCG719687:LCH719752 KSK719687:KSL719752 KIO719687:KIP719752 JYS719687:JYT719752 JOW719687:JOX719752 JFA719687:JFB719752 IVE719687:IVF719752 ILI719687:ILJ719752 IBM719687:IBN719752 HRQ719687:HRR719752 HHU719687:HHV719752 GXY719687:GXZ719752 GOC719687:GOD719752 GEG719687:GEH719752 FUK719687:FUL719752 FKO719687:FKP719752 FAS719687:FAT719752 EQW719687:EQX719752 EHA719687:EHB719752 DXE719687:DXF719752 DNI719687:DNJ719752 DDM719687:DDN719752 CTQ719687:CTR719752 CJU719687:CJV719752 BZY719687:BZZ719752 BQC719687:BQD719752 BGG719687:BGH719752 AWK719687:AWL719752 AMO719687:AMP719752 ACS719687:ACT719752 SW719687:SX719752 JA719687:JB719752 E719687:F719752 WVM654151:WVN654216 WLQ654151:WLR654216 WBU654151:WBV654216 VRY654151:VRZ654216 VIC654151:VID654216 UYG654151:UYH654216 UOK654151:UOL654216 UEO654151:UEP654216 TUS654151:TUT654216 TKW654151:TKX654216 TBA654151:TBB654216 SRE654151:SRF654216 SHI654151:SHJ654216 RXM654151:RXN654216 RNQ654151:RNR654216 RDU654151:RDV654216 QTY654151:QTZ654216 QKC654151:QKD654216 QAG654151:QAH654216 PQK654151:PQL654216 PGO654151:PGP654216 OWS654151:OWT654216 OMW654151:OMX654216 ODA654151:ODB654216 NTE654151:NTF654216 NJI654151:NJJ654216 MZM654151:MZN654216 MPQ654151:MPR654216 MFU654151:MFV654216 LVY654151:LVZ654216 LMC654151:LMD654216 LCG654151:LCH654216 KSK654151:KSL654216 KIO654151:KIP654216 JYS654151:JYT654216 JOW654151:JOX654216 JFA654151:JFB654216 IVE654151:IVF654216 ILI654151:ILJ654216 IBM654151:IBN654216 HRQ654151:HRR654216 HHU654151:HHV654216 GXY654151:GXZ654216 GOC654151:GOD654216 GEG654151:GEH654216 FUK654151:FUL654216 FKO654151:FKP654216 FAS654151:FAT654216 EQW654151:EQX654216 EHA654151:EHB654216 DXE654151:DXF654216 DNI654151:DNJ654216 DDM654151:DDN654216 CTQ654151:CTR654216 CJU654151:CJV654216 BZY654151:BZZ654216 BQC654151:BQD654216 BGG654151:BGH654216 AWK654151:AWL654216 AMO654151:AMP654216 ACS654151:ACT654216 SW654151:SX654216 JA654151:JB654216 E654151:F654216 WVM588615:WVN588680 WLQ588615:WLR588680 WBU588615:WBV588680 VRY588615:VRZ588680 VIC588615:VID588680 UYG588615:UYH588680 UOK588615:UOL588680 UEO588615:UEP588680 TUS588615:TUT588680 TKW588615:TKX588680 TBA588615:TBB588680 SRE588615:SRF588680 SHI588615:SHJ588680 RXM588615:RXN588680 RNQ588615:RNR588680 RDU588615:RDV588680 QTY588615:QTZ588680 QKC588615:QKD588680 QAG588615:QAH588680 PQK588615:PQL588680 PGO588615:PGP588680 OWS588615:OWT588680 OMW588615:OMX588680 ODA588615:ODB588680 NTE588615:NTF588680 NJI588615:NJJ588680 MZM588615:MZN588680 MPQ588615:MPR588680 MFU588615:MFV588680 LVY588615:LVZ588680 LMC588615:LMD588680 LCG588615:LCH588680 KSK588615:KSL588680 KIO588615:KIP588680 JYS588615:JYT588680 JOW588615:JOX588680 JFA588615:JFB588680 IVE588615:IVF588680 ILI588615:ILJ588680 IBM588615:IBN588680 HRQ588615:HRR588680 HHU588615:HHV588680 GXY588615:GXZ588680 GOC588615:GOD588680 GEG588615:GEH588680 FUK588615:FUL588680 FKO588615:FKP588680 FAS588615:FAT588680 EQW588615:EQX588680 EHA588615:EHB588680 DXE588615:DXF588680 DNI588615:DNJ588680 DDM588615:DDN588680 CTQ588615:CTR588680 CJU588615:CJV588680 BZY588615:BZZ588680 BQC588615:BQD588680 BGG588615:BGH588680 AWK588615:AWL588680 AMO588615:AMP588680 ACS588615:ACT588680 SW588615:SX588680 JA588615:JB588680 E588615:F588680 WVM523079:WVN523144 WLQ523079:WLR523144 WBU523079:WBV523144 VRY523079:VRZ523144 VIC523079:VID523144 UYG523079:UYH523144 UOK523079:UOL523144 UEO523079:UEP523144 TUS523079:TUT523144 TKW523079:TKX523144 TBA523079:TBB523144 SRE523079:SRF523144 SHI523079:SHJ523144 RXM523079:RXN523144 RNQ523079:RNR523144 RDU523079:RDV523144 QTY523079:QTZ523144 QKC523079:QKD523144 QAG523079:QAH523144 PQK523079:PQL523144 PGO523079:PGP523144 OWS523079:OWT523144 OMW523079:OMX523144 ODA523079:ODB523144 NTE523079:NTF523144 NJI523079:NJJ523144 MZM523079:MZN523144 MPQ523079:MPR523144 MFU523079:MFV523144 LVY523079:LVZ523144 LMC523079:LMD523144 LCG523079:LCH523144 KSK523079:KSL523144 KIO523079:KIP523144 JYS523079:JYT523144 JOW523079:JOX523144 JFA523079:JFB523144 IVE523079:IVF523144 ILI523079:ILJ523144 IBM523079:IBN523144 HRQ523079:HRR523144 HHU523079:HHV523144 GXY523079:GXZ523144 GOC523079:GOD523144 GEG523079:GEH523144 FUK523079:FUL523144 FKO523079:FKP523144 FAS523079:FAT523144 EQW523079:EQX523144 EHA523079:EHB523144 DXE523079:DXF523144 DNI523079:DNJ523144 DDM523079:DDN523144 CTQ523079:CTR523144 CJU523079:CJV523144 BZY523079:BZZ523144 BQC523079:BQD523144 BGG523079:BGH523144 AWK523079:AWL523144 AMO523079:AMP523144 ACS523079:ACT523144 SW523079:SX523144 JA523079:JB523144 E523079:F523144 WVM457543:WVN457608 WLQ457543:WLR457608 WBU457543:WBV457608 VRY457543:VRZ457608 VIC457543:VID457608 UYG457543:UYH457608 UOK457543:UOL457608 UEO457543:UEP457608 TUS457543:TUT457608 TKW457543:TKX457608 TBA457543:TBB457608 SRE457543:SRF457608 SHI457543:SHJ457608 RXM457543:RXN457608 RNQ457543:RNR457608 RDU457543:RDV457608 QTY457543:QTZ457608 QKC457543:QKD457608 QAG457543:QAH457608 PQK457543:PQL457608 PGO457543:PGP457608 OWS457543:OWT457608 OMW457543:OMX457608 ODA457543:ODB457608 NTE457543:NTF457608 NJI457543:NJJ457608 MZM457543:MZN457608 MPQ457543:MPR457608 MFU457543:MFV457608 LVY457543:LVZ457608 LMC457543:LMD457608 LCG457543:LCH457608 KSK457543:KSL457608 KIO457543:KIP457608 JYS457543:JYT457608 JOW457543:JOX457608 JFA457543:JFB457608 IVE457543:IVF457608 ILI457543:ILJ457608 IBM457543:IBN457608 HRQ457543:HRR457608 HHU457543:HHV457608 GXY457543:GXZ457608 GOC457543:GOD457608 GEG457543:GEH457608 FUK457543:FUL457608 FKO457543:FKP457608 FAS457543:FAT457608 EQW457543:EQX457608 EHA457543:EHB457608 DXE457543:DXF457608 DNI457543:DNJ457608 DDM457543:DDN457608 CTQ457543:CTR457608 CJU457543:CJV457608 BZY457543:BZZ457608 BQC457543:BQD457608 BGG457543:BGH457608 AWK457543:AWL457608 AMO457543:AMP457608 ACS457543:ACT457608 SW457543:SX457608 JA457543:JB457608 E457543:F457608 WVM392007:WVN392072 WLQ392007:WLR392072 WBU392007:WBV392072 VRY392007:VRZ392072 VIC392007:VID392072 UYG392007:UYH392072 UOK392007:UOL392072 UEO392007:UEP392072 TUS392007:TUT392072 TKW392007:TKX392072 TBA392007:TBB392072 SRE392007:SRF392072 SHI392007:SHJ392072 RXM392007:RXN392072 RNQ392007:RNR392072 RDU392007:RDV392072 QTY392007:QTZ392072 QKC392007:QKD392072 QAG392007:QAH392072 PQK392007:PQL392072 PGO392007:PGP392072 OWS392007:OWT392072 OMW392007:OMX392072 ODA392007:ODB392072 NTE392007:NTF392072 NJI392007:NJJ392072 MZM392007:MZN392072 MPQ392007:MPR392072 MFU392007:MFV392072 LVY392007:LVZ392072 LMC392007:LMD392072 LCG392007:LCH392072 KSK392007:KSL392072 KIO392007:KIP392072 JYS392007:JYT392072 JOW392007:JOX392072 JFA392007:JFB392072 IVE392007:IVF392072 ILI392007:ILJ392072 IBM392007:IBN392072 HRQ392007:HRR392072 HHU392007:HHV392072 GXY392007:GXZ392072 GOC392007:GOD392072 GEG392007:GEH392072 FUK392007:FUL392072 FKO392007:FKP392072 FAS392007:FAT392072 EQW392007:EQX392072 EHA392007:EHB392072 DXE392007:DXF392072 DNI392007:DNJ392072 DDM392007:DDN392072 CTQ392007:CTR392072 CJU392007:CJV392072 BZY392007:BZZ392072 BQC392007:BQD392072 BGG392007:BGH392072 AWK392007:AWL392072 AMO392007:AMP392072 ACS392007:ACT392072 SW392007:SX392072 JA392007:JB392072 E392007:F392072 WVM326471:WVN326536 WLQ326471:WLR326536 WBU326471:WBV326536 VRY326471:VRZ326536 VIC326471:VID326536 UYG326471:UYH326536 UOK326471:UOL326536 UEO326471:UEP326536 TUS326471:TUT326536 TKW326471:TKX326536 TBA326471:TBB326536 SRE326471:SRF326536 SHI326471:SHJ326536 RXM326471:RXN326536 RNQ326471:RNR326536 RDU326471:RDV326536 QTY326471:QTZ326536 QKC326471:QKD326536 QAG326471:QAH326536 PQK326471:PQL326536 PGO326471:PGP326536 OWS326471:OWT326536 OMW326471:OMX326536 ODA326471:ODB326536 NTE326471:NTF326536 NJI326471:NJJ326536 MZM326471:MZN326536 MPQ326471:MPR326536 MFU326471:MFV326536 LVY326471:LVZ326536 LMC326471:LMD326536 LCG326471:LCH326536 KSK326471:KSL326536 KIO326471:KIP326536 JYS326471:JYT326536 JOW326471:JOX326536 JFA326471:JFB326536 IVE326471:IVF326536 ILI326471:ILJ326536 IBM326471:IBN326536 HRQ326471:HRR326536 HHU326471:HHV326536 GXY326471:GXZ326536 GOC326471:GOD326536 GEG326471:GEH326536 FUK326471:FUL326536 FKO326471:FKP326536 FAS326471:FAT326536 EQW326471:EQX326536 EHA326471:EHB326536 DXE326471:DXF326536 DNI326471:DNJ326536 DDM326471:DDN326536 CTQ326471:CTR326536 CJU326471:CJV326536 BZY326471:BZZ326536 BQC326471:BQD326536 BGG326471:BGH326536 AWK326471:AWL326536 AMO326471:AMP326536 ACS326471:ACT326536 SW326471:SX326536 JA326471:JB326536 E326471:F326536 WVM260935:WVN261000 WLQ260935:WLR261000 WBU260935:WBV261000 VRY260935:VRZ261000 VIC260935:VID261000 UYG260935:UYH261000 UOK260935:UOL261000 UEO260935:UEP261000 TUS260935:TUT261000 TKW260935:TKX261000 TBA260935:TBB261000 SRE260935:SRF261000 SHI260935:SHJ261000 RXM260935:RXN261000 RNQ260935:RNR261000 RDU260935:RDV261000 QTY260935:QTZ261000 QKC260935:QKD261000 QAG260935:QAH261000 PQK260935:PQL261000 PGO260935:PGP261000 OWS260935:OWT261000 OMW260935:OMX261000 ODA260935:ODB261000 NTE260935:NTF261000 NJI260935:NJJ261000 MZM260935:MZN261000 MPQ260935:MPR261000 MFU260935:MFV261000 LVY260935:LVZ261000 LMC260935:LMD261000 LCG260935:LCH261000 KSK260935:KSL261000 KIO260935:KIP261000 JYS260935:JYT261000 JOW260935:JOX261000 JFA260935:JFB261000 IVE260935:IVF261000 ILI260935:ILJ261000 IBM260935:IBN261000 HRQ260935:HRR261000 HHU260935:HHV261000 GXY260935:GXZ261000 GOC260935:GOD261000 GEG260935:GEH261000 FUK260935:FUL261000 FKO260935:FKP261000 FAS260935:FAT261000 EQW260935:EQX261000 EHA260935:EHB261000 DXE260935:DXF261000 DNI260935:DNJ261000 DDM260935:DDN261000 CTQ260935:CTR261000 CJU260935:CJV261000 BZY260935:BZZ261000 BQC260935:BQD261000 BGG260935:BGH261000 AWK260935:AWL261000 AMO260935:AMP261000 ACS260935:ACT261000 SW260935:SX261000 JA260935:JB261000 E260935:F261000 WVM195399:WVN195464 WLQ195399:WLR195464 WBU195399:WBV195464 VRY195399:VRZ195464 VIC195399:VID195464 UYG195399:UYH195464 UOK195399:UOL195464 UEO195399:UEP195464 TUS195399:TUT195464 TKW195399:TKX195464 TBA195399:TBB195464 SRE195399:SRF195464 SHI195399:SHJ195464 RXM195399:RXN195464 RNQ195399:RNR195464 RDU195399:RDV195464 QTY195399:QTZ195464 QKC195399:QKD195464 QAG195399:QAH195464 PQK195399:PQL195464 PGO195399:PGP195464 OWS195399:OWT195464 OMW195399:OMX195464 ODA195399:ODB195464 NTE195399:NTF195464 NJI195399:NJJ195464 MZM195399:MZN195464 MPQ195399:MPR195464 MFU195399:MFV195464 LVY195399:LVZ195464 LMC195399:LMD195464 LCG195399:LCH195464 KSK195399:KSL195464 KIO195399:KIP195464 JYS195399:JYT195464 JOW195399:JOX195464 JFA195399:JFB195464 IVE195399:IVF195464 ILI195399:ILJ195464 IBM195399:IBN195464 HRQ195399:HRR195464 HHU195399:HHV195464 GXY195399:GXZ195464 GOC195399:GOD195464 GEG195399:GEH195464 FUK195399:FUL195464 FKO195399:FKP195464 FAS195399:FAT195464 EQW195399:EQX195464 EHA195399:EHB195464 DXE195399:DXF195464 DNI195399:DNJ195464 DDM195399:DDN195464 CTQ195399:CTR195464 CJU195399:CJV195464 BZY195399:BZZ195464 BQC195399:BQD195464 BGG195399:BGH195464 AWK195399:AWL195464 AMO195399:AMP195464 ACS195399:ACT195464 SW195399:SX195464 JA195399:JB195464 E195399:F195464 WVM129863:WVN129928 WLQ129863:WLR129928 WBU129863:WBV129928 VRY129863:VRZ129928 VIC129863:VID129928 UYG129863:UYH129928 UOK129863:UOL129928 UEO129863:UEP129928 TUS129863:TUT129928 TKW129863:TKX129928 TBA129863:TBB129928 SRE129863:SRF129928 SHI129863:SHJ129928 RXM129863:RXN129928 RNQ129863:RNR129928 RDU129863:RDV129928 QTY129863:QTZ129928 QKC129863:QKD129928 QAG129863:QAH129928 PQK129863:PQL129928 PGO129863:PGP129928 OWS129863:OWT129928 OMW129863:OMX129928 ODA129863:ODB129928 NTE129863:NTF129928 NJI129863:NJJ129928 MZM129863:MZN129928 MPQ129863:MPR129928 MFU129863:MFV129928 LVY129863:LVZ129928 LMC129863:LMD129928 LCG129863:LCH129928 KSK129863:KSL129928 KIO129863:KIP129928 JYS129863:JYT129928 JOW129863:JOX129928 JFA129863:JFB129928 IVE129863:IVF129928 ILI129863:ILJ129928 IBM129863:IBN129928 HRQ129863:HRR129928 HHU129863:HHV129928 GXY129863:GXZ129928 GOC129863:GOD129928 GEG129863:GEH129928 FUK129863:FUL129928 FKO129863:FKP129928 FAS129863:FAT129928 EQW129863:EQX129928 EHA129863:EHB129928 DXE129863:DXF129928 DNI129863:DNJ129928 DDM129863:DDN129928 CTQ129863:CTR129928 CJU129863:CJV129928 BZY129863:BZZ129928 BQC129863:BQD129928 BGG129863:BGH129928 AWK129863:AWL129928 AMO129863:AMP129928 ACS129863:ACT129928 SW129863:SX129928 JA129863:JB129928 E129863:F129928 WVM64327:WVN64392 WLQ64327:WLR64392 WBU64327:WBV64392 VRY64327:VRZ64392 VIC64327:VID64392 UYG64327:UYH64392 UOK64327:UOL64392 UEO64327:UEP64392 TUS64327:TUT64392 TKW64327:TKX64392 TBA64327:TBB64392 SRE64327:SRF64392 SHI64327:SHJ64392 RXM64327:RXN64392 RNQ64327:RNR64392 RDU64327:RDV64392 QTY64327:QTZ64392 QKC64327:QKD64392 QAG64327:QAH64392 PQK64327:PQL64392 PGO64327:PGP64392 OWS64327:OWT64392 OMW64327:OMX64392 ODA64327:ODB64392 NTE64327:NTF64392 NJI64327:NJJ64392 MZM64327:MZN64392 MPQ64327:MPR64392 MFU64327:MFV64392 LVY64327:LVZ64392 LMC64327:LMD64392 LCG64327:LCH64392 KSK64327:KSL64392 KIO64327:KIP64392 JYS64327:JYT64392 JOW64327:JOX64392 JFA64327:JFB64392 IVE64327:IVF64392 ILI64327:ILJ64392 IBM64327:IBN64392 HRQ64327:HRR64392 HHU64327:HHV64392 GXY64327:GXZ64392 GOC64327:GOD64392 GEG64327:GEH64392 FUK64327:FUL64392 FKO64327:FKP64392 FAS64327:FAT64392 EQW64327:EQX64392 EHA64327:EHB64392 DXE64327:DXF64392 DNI64327:DNJ64392 DDM64327:DDN64392 CTQ64327:CTR64392 CJU64327:CJV64392 BZY64327:BZZ64392 BQC64327:BQD64392 BGG64327:BGH64392 AWK64327:AWL64392 AMO64327:AMP64392 ACS64327:ACT64392 SW64327:SX64392 WVM2:WVN51 JA2:JB51 SW2:SX51 ACS2:ACT51 AMO2:AMP51 AWK2:AWL51 BGG2:BGH51 BQC2:BQD51 BZY2:BZZ51 CJU2:CJV51 CTQ2:CTR51 DDM2:DDN51 DNI2:DNJ51 DXE2:DXF51 EHA2:EHB51 EQW2:EQX51 FAS2:FAT51 FKO2:FKP51 FUK2:FUL51 GEG2:GEH51 GOC2:GOD51 GXY2:GXZ51 HHU2:HHV51 HRQ2:HRR51 IBM2:IBN51 ILI2:ILJ51 IVE2:IVF51 JFA2:JFB51 JOW2:JOX51 JYS2:JYT51 KIO2:KIP51 KSK2:KSL51 LCG2:LCH51 LMC2:LMD51 LVY2:LVZ51 MFU2:MFV51 MPQ2:MPR51 MZM2:MZN51 NJI2:NJJ51 NTE2:NTF51 ODA2:ODB51 OMW2:OMX51 OWS2:OWT51 PGO2:PGP51 PQK2:PQL51 QAG2:QAH51 QKC2:QKD51 QTY2:QTZ51 RDU2:RDV51 RNQ2:RNR51 RXM2:RXN51 SHI2:SHJ51 SRE2:SRF51 TBA2:TBB51 TKW2:TKX51 TUS2:TUT51 UEO2:UEP51 UOK2:UOL51 UYG2:UYH51 VIC2:VID51 VRY2:VRZ51 WBU2:WBV51 WLQ2:WLR51" xr:uid="{2486037D-0FCA-4240-B802-373742768689}">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9AB97-9F73-438D-8014-A70CD6633038}">
  <dimension ref="A1:BA443"/>
  <sheetViews>
    <sheetView zoomScaleNormal="100" zoomScaleSheetLayoutView="100" workbookViewId="0">
      <selection activeCell="T33" sqref="T33"/>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360</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237</v>
      </c>
      <c r="C2" s="146">
        <v>2019</v>
      </c>
      <c r="D2" s="147" t="s">
        <v>361</v>
      </c>
      <c r="E2" s="146" t="s">
        <v>362</v>
      </c>
      <c r="F2" s="146" t="s">
        <v>363</v>
      </c>
      <c r="G2" s="148" t="s">
        <v>36</v>
      </c>
      <c r="H2" s="149" t="s">
        <v>164</v>
      </c>
      <c r="I2" s="127" t="s">
        <v>159</v>
      </c>
      <c r="J2" s="150" t="s">
        <v>38</v>
      </c>
      <c r="K2" s="127" t="s">
        <v>161</v>
      </c>
      <c r="L2" s="151">
        <v>1</v>
      </c>
      <c r="M2" s="152"/>
      <c r="N2" s="152">
        <v>1</v>
      </c>
      <c r="O2" s="152">
        <v>0.8</v>
      </c>
      <c r="P2" s="152">
        <v>0.75</v>
      </c>
      <c r="Q2" s="153">
        <f>IF(OR(O2="",P2=""),"",AVERAGE(O2,P2))</f>
        <v>0.77500000000000002</v>
      </c>
      <c r="R2" s="154">
        <v>15.2</v>
      </c>
      <c r="S2" s="149">
        <v>123</v>
      </c>
      <c r="T2" s="155">
        <f t="shared" ref="T2:T65" si="0">IF(H2="","",IF(OR(H2="GREEN",H2="GK"),IF(S2&gt;=$AX$2,VLOOKUP(S2,$AX$2:$AY$7,2,1),""),IF(S2&gt;=$AZ$2,VLOOKUP(S2,$AZ$2:$BA$7,2,1),"")))</f>
        <v>30</v>
      </c>
      <c r="U2" s="127">
        <v>84</v>
      </c>
      <c r="V2" s="155">
        <f>IF(OR(N2="",U2="",T2=""),"",U2/N2*T2)</f>
        <v>2520</v>
      </c>
      <c r="W2" s="156">
        <v>6</v>
      </c>
      <c r="X2" s="157" t="s">
        <v>46</v>
      </c>
      <c r="Y2" s="157" t="s">
        <v>84</v>
      </c>
      <c r="Z2" s="157" t="s">
        <v>90</v>
      </c>
      <c r="AA2" s="157" t="s">
        <v>40</v>
      </c>
      <c r="AB2" s="53" t="s">
        <v>241</v>
      </c>
      <c r="AE2" s="64" t="s">
        <v>35</v>
      </c>
      <c r="AG2" s="67" t="s">
        <v>362</v>
      </c>
      <c r="AH2" s="67" t="s">
        <v>363</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364</v>
      </c>
      <c r="E3" s="158" t="s">
        <v>362</v>
      </c>
      <c r="F3" s="158" t="s">
        <v>363</v>
      </c>
      <c r="G3" s="161" t="s">
        <v>36</v>
      </c>
      <c r="H3" s="127" t="s">
        <v>164</v>
      </c>
      <c r="I3" s="127" t="s">
        <v>159</v>
      </c>
      <c r="J3" s="127" t="s">
        <v>38</v>
      </c>
      <c r="K3" s="127" t="s">
        <v>161</v>
      </c>
      <c r="L3" s="53">
        <v>2</v>
      </c>
      <c r="N3" s="53">
        <v>1</v>
      </c>
      <c r="O3" s="53">
        <v>0.7</v>
      </c>
      <c r="P3" s="34">
        <v>0.75</v>
      </c>
      <c r="Q3" s="162">
        <f t="shared" ref="Q3:Q43" si="1">IF(OR(O3="",P3=""),"",AVERAGE(O3,P3))</f>
        <v>0.72499999999999998</v>
      </c>
      <c r="R3" s="163">
        <v>15.4</v>
      </c>
      <c r="S3" s="163">
        <v>120</v>
      </c>
      <c r="T3" s="16">
        <f t="shared" si="0"/>
        <v>30</v>
      </c>
      <c r="U3" s="164">
        <v>84</v>
      </c>
      <c r="V3" s="38">
        <f t="shared" ref="V3:V31" si="2">IF(OR(N3="",U3="",T3=""),"",U3/N3*T3)</f>
        <v>2520</v>
      </c>
      <c r="W3" s="165">
        <v>6</v>
      </c>
      <c r="X3" s="166" t="s">
        <v>46</v>
      </c>
      <c r="Y3" s="166" t="s">
        <v>84</v>
      </c>
      <c r="Z3" s="166" t="s">
        <v>90</v>
      </c>
      <c r="AA3" s="157" t="s">
        <v>40</v>
      </c>
      <c r="AB3" s="53" t="s">
        <v>158</v>
      </c>
      <c r="AE3" s="22" t="s">
        <v>41</v>
      </c>
      <c r="AG3" s="67" t="s">
        <v>365</v>
      </c>
      <c r="AH3" s="67" t="s">
        <v>366</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364</v>
      </c>
      <c r="E4" s="158" t="s">
        <v>362</v>
      </c>
      <c r="F4" s="158" t="s">
        <v>363</v>
      </c>
      <c r="G4" s="161" t="s">
        <v>36</v>
      </c>
      <c r="H4" s="127" t="s">
        <v>164</v>
      </c>
      <c r="I4" s="127" t="s">
        <v>159</v>
      </c>
      <c r="J4" s="127" t="s">
        <v>38</v>
      </c>
      <c r="K4" s="127" t="s">
        <v>161</v>
      </c>
      <c r="L4" s="53">
        <v>3</v>
      </c>
      <c r="N4" s="53">
        <v>1</v>
      </c>
      <c r="O4" s="53">
        <v>0.75</v>
      </c>
      <c r="P4" s="34">
        <v>0.7</v>
      </c>
      <c r="Q4" s="74">
        <f t="shared" si="1"/>
        <v>0.72499999999999998</v>
      </c>
      <c r="R4" s="168">
        <v>15.6</v>
      </c>
      <c r="S4" s="168">
        <v>115</v>
      </c>
      <c r="T4" s="16">
        <f t="shared" si="0"/>
        <v>30</v>
      </c>
      <c r="U4" s="169">
        <v>84</v>
      </c>
      <c r="V4" s="38">
        <f t="shared" si="2"/>
        <v>2520</v>
      </c>
      <c r="W4" s="165">
        <v>6</v>
      </c>
      <c r="X4" s="166" t="s">
        <v>46</v>
      </c>
      <c r="Y4" s="166" t="s">
        <v>84</v>
      </c>
      <c r="Z4" s="166" t="s">
        <v>90</v>
      </c>
      <c r="AA4" s="157" t="s">
        <v>40</v>
      </c>
      <c r="AB4" s="53" t="s">
        <v>158</v>
      </c>
      <c r="AE4" s="22" t="s">
        <v>34</v>
      </c>
      <c r="AG4" s="67" t="s">
        <v>367</v>
      </c>
      <c r="AH4" s="67" t="s">
        <v>366</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364</v>
      </c>
      <c r="E5" s="158" t="s">
        <v>365</v>
      </c>
      <c r="F5" s="158" t="s">
        <v>366</v>
      </c>
      <c r="G5" s="161" t="s">
        <v>36</v>
      </c>
      <c r="H5" s="127" t="s">
        <v>164</v>
      </c>
      <c r="I5" s="127" t="s">
        <v>159</v>
      </c>
      <c r="J5" s="127" t="s">
        <v>38</v>
      </c>
      <c r="K5" s="127" t="s">
        <v>161</v>
      </c>
      <c r="L5" s="53">
        <v>1</v>
      </c>
      <c r="N5" s="53">
        <v>1</v>
      </c>
      <c r="O5" s="53">
        <v>0.8</v>
      </c>
      <c r="P5" s="53">
        <v>0.7</v>
      </c>
      <c r="Q5" s="74">
        <f t="shared" si="1"/>
        <v>0.75</v>
      </c>
      <c r="R5" s="168">
        <v>15.1</v>
      </c>
      <c r="S5" s="168">
        <v>121</v>
      </c>
      <c r="T5" s="16">
        <f t="shared" si="0"/>
        <v>30</v>
      </c>
      <c r="U5" s="169">
        <v>128</v>
      </c>
      <c r="V5" s="38">
        <f t="shared" si="2"/>
        <v>3840</v>
      </c>
      <c r="W5" s="165">
        <v>4</v>
      </c>
      <c r="X5" s="166" t="s">
        <v>46</v>
      </c>
      <c r="Y5" s="166" t="s">
        <v>84</v>
      </c>
      <c r="Z5" s="166" t="s">
        <v>40</v>
      </c>
      <c r="AA5" s="157" t="s">
        <v>50</v>
      </c>
      <c r="AB5" s="53" t="s">
        <v>158</v>
      </c>
      <c r="AE5" s="22" t="s">
        <v>51</v>
      </c>
      <c r="AG5" s="67" t="s">
        <v>362</v>
      </c>
      <c r="AH5" s="67" t="s">
        <v>368</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364</v>
      </c>
      <c r="E6" s="158" t="s">
        <v>365</v>
      </c>
      <c r="F6" s="158" t="s">
        <v>366</v>
      </c>
      <c r="G6" s="161" t="s">
        <v>36</v>
      </c>
      <c r="H6" s="127" t="s">
        <v>164</v>
      </c>
      <c r="I6" s="127" t="s">
        <v>159</v>
      </c>
      <c r="J6" s="127" t="s">
        <v>38</v>
      </c>
      <c r="K6" s="127" t="s">
        <v>161</v>
      </c>
      <c r="L6" s="53">
        <v>2</v>
      </c>
      <c r="N6" s="53">
        <v>1</v>
      </c>
      <c r="O6" s="53">
        <v>1</v>
      </c>
      <c r="P6" s="53">
        <v>0.85</v>
      </c>
      <c r="Q6" s="74">
        <f t="shared" si="1"/>
        <v>0.92500000000000004</v>
      </c>
      <c r="R6" s="168">
        <v>14.7</v>
      </c>
      <c r="S6" s="168">
        <v>120</v>
      </c>
      <c r="T6" s="16">
        <f t="shared" si="0"/>
        <v>30</v>
      </c>
      <c r="U6" s="169">
        <v>128</v>
      </c>
      <c r="V6" s="38">
        <f t="shared" si="2"/>
        <v>3840</v>
      </c>
      <c r="W6" s="165">
        <v>4</v>
      </c>
      <c r="X6" s="166" t="s">
        <v>46</v>
      </c>
      <c r="Y6" s="166" t="s">
        <v>84</v>
      </c>
      <c r="Z6" s="166" t="s">
        <v>40</v>
      </c>
      <c r="AA6" s="157" t="s">
        <v>50</v>
      </c>
      <c r="AB6" s="53" t="s">
        <v>158</v>
      </c>
      <c r="AE6" s="22" t="s">
        <v>56</v>
      </c>
      <c r="AG6" s="67" t="s">
        <v>211</v>
      </c>
      <c r="AH6" s="67" t="s">
        <v>369</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364</v>
      </c>
      <c r="E7" s="158" t="s">
        <v>365</v>
      </c>
      <c r="F7" s="158" t="s">
        <v>366</v>
      </c>
      <c r="G7" s="161" t="s">
        <v>36</v>
      </c>
      <c r="H7" s="127" t="s">
        <v>164</v>
      </c>
      <c r="I7" s="127" t="s">
        <v>159</v>
      </c>
      <c r="J7" s="127" t="s">
        <v>38</v>
      </c>
      <c r="K7" s="127" t="s">
        <v>161</v>
      </c>
      <c r="L7" s="53">
        <v>3</v>
      </c>
      <c r="N7" s="53">
        <v>1</v>
      </c>
      <c r="O7" s="53">
        <v>0.85</v>
      </c>
      <c r="P7" s="53">
        <v>0.9</v>
      </c>
      <c r="Q7" s="74">
        <f t="shared" si="1"/>
        <v>0.875</v>
      </c>
      <c r="R7" s="168">
        <v>14.5</v>
      </c>
      <c r="S7" s="168">
        <v>116</v>
      </c>
      <c r="T7" s="16">
        <f t="shared" si="0"/>
        <v>30</v>
      </c>
      <c r="U7" s="169">
        <v>128</v>
      </c>
      <c r="V7" s="38">
        <f t="shared" si="2"/>
        <v>3840</v>
      </c>
      <c r="W7" s="165">
        <v>4</v>
      </c>
      <c r="X7" s="166" t="s">
        <v>46</v>
      </c>
      <c r="Y7" s="166" t="s">
        <v>84</v>
      </c>
      <c r="Z7" s="166" t="s">
        <v>40</v>
      </c>
      <c r="AA7" s="157" t="s">
        <v>50</v>
      </c>
      <c r="AB7" s="53" t="s">
        <v>158</v>
      </c>
      <c r="AE7" s="22" t="s">
        <v>61</v>
      </c>
      <c r="AG7" s="67" t="s">
        <v>370</v>
      </c>
      <c r="AH7" s="67" t="s">
        <v>369</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364</v>
      </c>
      <c r="E8" s="159" t="s">
        <v>367</v>
      </c>
      <c r="F8" s="158" t="s">
        <v>366</v>
      </c>
      <c r="G8" s="161" t="s">
        <v>36</v>
      </c>
      <c r="H8" s="127" t="s">
        <v>164</v>
      </c>
      <c r="I8" s="127" t="s">
        <v>159</v>
      </c>
      <c r="J8" s="127" t="s">
        <v>38</v>
      </c>
      <c r="K8" s="127" t="s">
        <v>161</v>
      </c>
      <c r="L8" s="53">
        <v>1</v>
      </c>
      <c r="N8" s="53">
        <v>1</v>
      </c>
      <c r="O8" s="53">
        <v>1</v>
      </c>
      <c r="P8" s="53">
        <v>0.9</v>
      </c>
      <c r="Q8" s="74">
        <f t="shared" si="1"/>
        <v>0.95</v>
      </c>
      <c r="R8" s="168">
        <v>13</v>
      </c>
      <c r="S8" s="168">
        <v>131</v>
      </c>
      <c r="T8" s="16">
        <f t="shared" si="0"/>
        <v>30</v>
      </c>
      <c r="U8" s="164">
        <v>128</v>
      </c>
      <c r="V8" s="38">
        <f t="shared" si="2"/>
        <v>3840</v>
      </c>
      <c r="W8" s="165">
        <v>2</v>
      </c>
      <c r="X8" s="166" t="s">
        <v>39</v>
      </c>
      <c r="Y8" s="172" t="s">
        <v>84</v>
      </c>
      <c r="Z8" s="166" t="s">
        <v>69</v>
      </c>
      <c r="AA8" s="157" t="s">
        <v>50</v>
      </c>
      <c r="AB8" s="53" t="s">
        <v>158</v>
      </c>
      <c r="AE8" s="22" t="s">
        <v>59</v>
      </c>
      <c r="AG8" s="67" t="s">
        <v>211</v>
      </c>
      <c r="AH8" s="67" t="s">
        <v>371</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364</v>
      </c>
      <c r="E9" s="159" t="s">
        <v>367</v>
      </c>
      <c r="F9" s="158" t="s">
        <v>366</v>
      </c>
      <c r="G9" s="161" t="s">
        <v>36</v>
      </c>
      <c r="H9" s="127" t="s">
        <v>164</v>
      </c>
      <c r="I9" s="127" t="s">
        <v>159</v>
      </c>
      <c r="J9" s="127" t="s">
        <v>38</v>
      </c>
      <c r="K9" s="127" t="s">
        <v>161</v>
      </c>
      <c r="L9" s="53">
        <v>2</v>
      </c>
      <c r="N9" s="53">
        <v>1</v>
      </c>
      <c r="O9" s="53">
        <v>0.95</v>
      </c>
      <c r="P9" s="53">
        <v>0.85</v>
      </c>
      <c r="Q9" s="74">
        <f t="shared" si="1"/>
        <v>0.89999999999999991</v>
      </c>
      <c r="R9" s="168">
        <v>13.5</v>
      </c>
      <c r="S9" s="168">
        <v>131</v>
      </c>
      <c r="T9" s="16">
        <f t="shared" si="0"/>
        <v>30</v>
      </c>
      <c r="U9" s="164">
        <v>128</v>
      </c>
      <c r="V9" s="38">
        <f t="shared" si="2"/>
        <v>3840</v>
      </c>
      <c r="W9" s="165">
        <v>2</v>
      </c>
      <c r="X9" s="166" t="s">
        <v>39</v>
      </c>
      <c r="Y9" s="172" t="s">
        <v>84</v>
      </c>
      <c r="Z9" s="166" t="s">
        <v>69</v>
      </c>
      <c r="AA9" s="157" t="s">
        <v>50</v>
      </c>
      <c r="AB9" s="53" t="s">
        <v>158</v>
      </c>
      <c r="AE9" s="22" t="s">
        <v>98</v>
      </c>
      <c r="AG9" s="67" t="s">
        <v>139</v>
      </c>
      <c r="AH9" s="67" t="s">
        <v>371</v>
      </c>
      <c r="AL9" s="73"/>
      <c r="AP9" s="23" t="s">
        <v>95</v>
      </c>
      <c r="AR9" s="23" t="s">
        <v>89</v>
      </c>
      <c r="AV9" s="23" t="s">
        <v>102</v>
      </c>
      <c r="AX9" s="31">
        <v>180</v>
      </c>
      <c r="AY9" s="32">
        <v>18</v>
      </c>
      <c r="AZ9" s="32">
        <v>181</v>
      </c>
      <c r="BA9" s="33">
        <v>16</v>
      </c>
    </row>
    <row r="10" spans="1:53" x14ac:dyDescent="0.15">
      <c r="A10" s="158" t="s">
        <v>34</v>
      </c>
      <c r="B10" s="158" t="s">
        <v>157</v>
      </c>
      <c r="C10" s="158">
        <v>2019</v>
      </c>
      <c r="D10" s="160" t="s">
        <v>364</v>
      </c>
      <c r="E10" s="159" t="s">
        <v>367</v>
      </c>
      <c r="F10" s="158" t="s">
        <v>366</v>
      </c>
      <c r="G10" s="161" t="s">
        <v>36</v>
      </c>
      <c r="H10" s="127" t="s">
        <v>164</v>
      </c>
      <c r="I10" s="127" t="s">
        <v>159</v>
      </c>
      <c r="J10" s="127" t="s">
        <v>38</v>
      </c>
      <c r="K10" s="127" t="s">
        <v>161</v>
      </c>
      <c r="L10" s="53">
        <v>3</v>
      </c>
      <c r="N10" s="53">
        <v>1</v>
      </c>
      <c r="O10" s="53">
        <v>1.1000000000000001</v>
      </c>
      <c r="P10" s="53">
        <v>0.9</v>
      </c>
      <c r="Q10" s="74">
        <f t="shared" si="1"/>
        <v>1</v>
      </c>
      <c r="R10" s="168">
        <v>13.2</v>
      </c>
      <c r="S10" s="168">
        <v>128</v>
      </c>
      <c r="T10" s="16">
        <f t="shared" si="0"/>
        <v>30</v>
      </c>
      <c r="U10" s="164">
        <v>128</v>
      </c>
      <c r="V10" s="38">
        <f t="shared" si="2"/>
        <v>3840</v>
      </c>
      <c r="W10" s="165">
        <v>2</v>
      </c>
      <c r="X10" s="166" t="s">
        <v>39</v>
      </c>
      <c r="Y10" s="172" t="s">
        <v>84</v>
      </c>
      <c r="Z10" s="166" t="s">
        <v>69</v>
      </c>
      <c r="AA10" s="157" t="s">
        <v>50</v>
      </c>
      <c r="AB10" s="53" t="s">
        <v>158</v>
      </c>
      <c r="AE10" s="22" t="s">
        <v>103</v>
      </c>
      <c r="AG10" s="67" t="s">
        <v>133</v>
      </c>
      <c r="AH10" s="67" t="s">
        <v>372</v>
      </c>
      <c r="AL10" s="34"/>
      <c r="AP10" s="23" t="s">
        <v>100</v>
      </c>
      <c r="AR10" s="23" t="s">
        <v>123</v>
      </c>
      <c r="AV10" s="23" t="s">
        <v>106</v>
      </c>
    </row>
    <row r="11" spans="1:53" x14ac:dyDescent="0.15">
      <c r="A11" s="158" t="s">
        <v>34</v>
      </c>
      <c r="B11" s="158" t="s">
        <v>157</v>
      </c>
      <c r="C11" s="159">
        <v>2019</v>
      </c>
      <c r="D11" s="160" t="s">
        <v>364</v>
      </c>
      <c r="E11" s="159" t="s">
        <v>362</v>
      </c>
      <c r="F11" s="158" t="s">
        <v>368</v>
      </c>
      <c r="G11" s="161" t="s">
        <v>36</v>
      </c>
      <c r="H11" s="127" t="s">
        <v>164</v>
      </c>
      <c r="I11" s="127" t="s">
        <v>159</v>
      </c>
      <c r="J11" s="127" t="s">
        <v>38</v>
      </c>
      <c r="K11" s="127" t="s">
        <v>161</v>
      </c>
      <c r="L11" s="53">
        <v>1</v>
      </c>
      <c r="N11" s="53">
        <v>1</v>
      </c>
      <c r="O11" s="53">
        <v>0.65</v>
      </c>
      <c r="P11" s="53">
        <v>0.75</v>
      </c>
      <c r="Q11" s="74">
        <f t="shared" si="1"/>
        <v>0.7</v>
      </c>
      <c r="R11" s="168">
        <v>15.6</v>
      </c>
      <c r="S11" s="168">
        <v>119</v>
      </c>
      <c r="T11" s="16">
        <f t="shared" si="0"/>
        <v>30</v>
      </c>
      <c r="U11" s="164">
        <v>75</v>
      </c>
      <c r="V11" s="38">
        <f t="shared" si="2"/>
        <v>2250</v>
      </c>
      <c r="W11" s="165">
        <v>3</v>
      </c>
      <c r="X11" s="166" t="s">
        <v>39</v>
      </c>
      <c r="Y11" s="172" t="s">
        <v>90</v>
      </c>
      <c r="Z11" s="166" t="s">
        <v>50</v>
      </c>
      <c r="AA11" s="172" t="s">
        <v>78</v>
      </c>
      <c r="AB11" s="53" t="s">
        <v>158</v>
      </c>
      <c r="AE11" s="22" t="s">
        <v>65</v>
      </c>
      <c r="AG11" s="23" t="s">
        <v>274</v>
      </c>
      <c r="AH11" s="23" t="s">
        <v>373</v>
      </c>
      <c r="AL11" s="34"/>
      <c r="AP11" s="23" t="s">
        <v>104</v>
      </c>
      <c r="AR11" s="23" t="s">
        <v>87</v>
      </c>
      <c r="AV11" s="23" t="s">
        <v>69</v>
      </c>
    </row>
    <row r="12" spans="1:53" x14ac:dyDescent="0.15">
      <c r="A12" s="158" t="s">
        <v>34</v>
      </c>
      <c r="B12" s="158" t="s">
        <v>157</v>
      </c>
      <c r="C12" s="158">
        <v>2019</v>
      </c>
      <c r="D12" s="160" t="s">
        <v>364</v>
      </c>
      <c r="E12" s="159" t="s">
        <v>362</v>
      </c>
      <c r="F12" s="158" t="s">
        <v>368</v>
      </c>
      <c r="G12" s="161" t="s">
        <v>36</v>
      </c>
      <c r="H12" s="127" t="s">
        <v>164</v>
      </c>
      <c r="I12" s="127" t="s">
        <v>159</v>
      </c>
      <c r="J12" s="127" t="s">
        <v>38</v>
      </c>
      <c r="K12" s="127" t="s">
        <v>161</v>
      </c>
      <c r="L12" s="53">
        <v>2</v>
      </c>
      <c r="N12" s="53">
        <v>1</v>
      </c>
      <c r="O12" s="53">
        <v>0.8</v>
      </c>
      <c r="P12" s="53">
        <v>0.75</v>
      </c>
      <c r="Q12" s="74">
        <f t="shared" si="1"/>
        <v>0.77500000000000002</v>
      </c>
      <c r="R12" s="168">
        <v>15.2</v>
      </c>
      <c r="S12" s="168">
        <v>120</v>
      </c>
      <c r="T12" s="16">
        <f t="shared" si="0"/>
        <v>30</v>
      </c>
      <c r="U12" s="164">
        <v>75</v>
      </c>
      <c r="V12" s="38">
        <f t="shared" si="2"/>
        <v>2250</v>
      </c>
      <c r="W12" s="165">
        <v>3</v>
      </c>
      <c r="X12" s="166" t="s">
        <v>39</v>
      </c>
      <c r="Y12" s="172" t="s">
        <v>90</v>
      </c>
      <c r="Z12" s="166" t="s">
        <v>50</v>
      </c>
      <c r="AA12" s="172" t="s">
        <v>78</v>
      </c>
      <c r="AB12" s="53" t="s">
        <v>158</v>
      </c>
      <c r="AE12" s="22" t="s">
        <v>70</v>
      </c>
      <c r="AG12" s="23"/>
      <c r="AH12" s="23"/>
      <c r="AL12" s="34"/>
      <c r="AP12" s="23" t="s">
        <v>67</v>
      </c>
      <c r="AR12" s="23" t="s">
        <v>124</v>
      </c>
      <c r="AV12" s="23" t="s">
        <v>72</v>
      </c>
    </row>
    <row r="13" spans="1:53" x14ac:dyDescent="0.15">
      <c r="A13" s="158" t="s">
        <v>34</v>
      </c>
      <c r="B13" s="158" t="s">
        <v>157</v>
      </c>
      <c r="C13" s="159">
        <v>2019</v>
      </c>
      <c r="D13" s="160" t="s">
        <v>364</v>
      </c>
      <c r="E13" s="159" t="s">
        <v>362</v>
      </c>
      <c r="F13" s="158" t="s">
        <v>368</v>
      </c>
      <c r="G13" s="161" t="s">
        <v>36</v>
      </c>
      <c r="H13" s="127" t="s">
        <v>164</v>
      </c>
      <c r="I13" s="127" t="s">
        <v>159</v>
      </c>
      <c r="J13" s="127" t="s">
        <v>38</v>
      </c>
      <c r="K13" s="127" t="s">
        <v>161</v>
      </c>
      <c r="L13" s="53">
        <v>3</v>
      </c>
      <c r="N13" s="53">
        <v>1</v>
      </c>
      <c r="O13" s="53">
        <v>0.75</v>
      </c>
      <c r="P13" s="53">
        <v>0.7</v>
      </c>
      <c r="Q13" s="74">
        <f t="shared" si="1"/>
        <v>0.72499999999999998</v>
      </c>
      <c r="R13" s="168">
        <v>15.5</v>
      </c>
      <c r="S13" s="168">
        <v>122</v>
      </c>
      <c r="T13" s="16">
        <f t="shared" si="0"/>
        <v>30</v>
      </c>
      <c r="U13" s="164">
        <v>75</v>
      </c>
      <c r="V13" s="38">
        <f t="shared" si="2"/>
        <v>2250</v>
      </c>
      <c r="W13" s="165">
        <v>3</v>
      </c>
      <c r="X13" s="166" t="s">
        <v>39</v>
      </c>
      <c r="Y13" s="172" t="s">
        <v>90</v>
      </c>
      <c r="Z13" s="166" t="s">
        <v>50</v>
      </c>
      <c r="AA13" s="172" t="s">
        <v>78</v>
      </c>
      <c r="AB13" s="53" t="s">
        <v>158</v>
      </c>
      <c r="AE13" s="22" t="s">
        <v>73</v>
      </c>
      <c r="AG13" s="28"/>
      <c r="AH13" s="28"/>
      <c r="AP13" s="23" t="s">
        <v>71</v>
      </c>
      <c r="AR13" s="23" t="s">
        <v>103</v>
      </c>
      <c r="AV13" s="23" t="s">
        <v>75</v>
      </c>
    </row>
    <row r="14" spans="1:53" x14ac:dyDescent="0.15">
      <c r="A14" s="158" t="s">
        <v>34</v>
      </c>
      <c r="B14" s="158" t="s">
        <v>157</v>
      </c>
      <c r="C14" s="158">
        <v>2019</v>
      </c>
      <c r="D14" s="160" t="s">
        <v>364</v>
      </c>
      <c r="E14" s="159" t="s">
        <v>211</v>
      </c>
      <c r="F14" s="158" t="s">
        <v>369</v>
      </c>
      <c r="G14" s="161" t="s">
        <v>36</v>
      </c>
      <c r="H14" s="127" t="s">
        <v>164</v>
      </c>
      <c r="I14" s="127" t="s">
        <v>159</v>
      </c>
      <c r="J14" s="127" t="s">
        <v>38</v>
      </c>
      <c r="K14" s="127" t="s">
        <v>161</v>
      </c>
      <c r="L14" s="53">
        <v>1</v>
      </c>
      <c r="N14" s="53">
        <v>4</v>
      </c>
      <c r="O14" s="53">
        <v>0.65</v>
      </c>
      <c r="P14" s="53">
        <v>0.6</v>
      </c>
      <c r="Q14" s="74">
        <f t="shared" si="1"/>
        <v>0.625</v>
      </c>
      <c r="R14" s="168">
        <v>13.3</v>
      </c>
      <c r="S14" s="168">
        <v>89</v>
      </c>
      <c r="T14" s="16">
        <f t="shared" si="0"/>
        <v>36</v>
      </c>
      <c r="U14" s="164">
        <v>377</v>
      </c>
      <c r="V14" s="38">
        <f t="shared" si="2"/>
        <v>3393</v>
      </c>
      <c r="W14" s="165">
        <v>2</v>
      </c>
      <c r="X14" s="166" t="s">
        <v>39</v>
      </c>
      <c r="Y14" s="172" t="s">
        <v>84</v>
      </c>
      <c r="Z14" s="172" t="s">
        <v>78</v>
      </c>
      <c r="AA14" s="172" t="s">
        <v>90</v>
      </c>
      <c r="AB14" s="53" t="s">
        <v>158</v>
      </c>
      <c r="AC14" s="34"/>
      <c r="AE14" s="22" t="s">
        <v>76</v>
      </c>
      <c r="AP14" s="23" t="s">
        <v>74</v>
      </c>
      <c r="AR14" s="23" t="s">
        <v>125</v>
      </c>
      <c r="AV14" s="23" t="s">
        <v>78</v>
      </c>
    </row>
    <row r="15" spans="1:53" x14ac:dyDescent="0.15">
      <c r="A15" s="158" t="s">
        <v>34</v>
      </c>
      <c r="B15" s="158" t="s">
        <v>157</v>
      </c>
      <c r="C15" s="159">
        <v>2019</v>
      </c>
      <c r="D15" s="160" t="s">
        <v>364</v>
      </c>
      <c r="E15" s="159" t="s">
        <v>211</v>
      </c>
      <c r="F15" s="158" t="s">
        <v>369</v>
      </c>
      <c r="G15" s="161" t="s">
        <v>36</v>
      </c>
      <c r="H15" s="127" t="s">
        <v>164</v>
      </c>
      <c r="I15" s="127" t="s">
        <v>159</v>
      </c>
      <c r="J15" s="127" t="s">
        <v>38</v>
      </c>
      <c r="K15" s="127" t="s">
        <v>161</v>
      </c>
      <c r="L15" s="53">
        <v>2</v>
      </c>
      <c r="N15" s="53">
        <v>4</v>
      </c>
      <c r="O15" s="53">
        <v>0.8</v>
      </c>
      <c r="P15" s="53">
        <v>0.7</v>
      </c>
      <c r="Q15" s="74">
        <f t="shared" si="1"/>
        <v>0.75</v>
      </c>
      <c r="R15" s="168">
        <v>14.1</v>
      </c>
      <c r="S15" s="168">
        <v>86</v>
      </c>
      <c r="T15" s="16">
        <f t="shared" si="0"/>
        <v>36</v>
      </c>
      <c r="U15" s="164">
        <v>377</v>
      </c>
      <c r="V15" s="38">
        <f t="shared" si="2"/>
        <v>3393</v>
      </c>
      <c r="W15" s="165">
        <v>2</v>
      </c>
      <c r="X15" s="166" t="s">
        <v>39</v>
      </c>
      <c r="Y15" s="172" t="s">
        <v>84</v>
      </c>
      <c r="Z15" s="172" t="s">
        <v>78</v>
      </c>
      <c r="AA15" s="172" t="s">
        <v>90</v>
      </c>
      <c r="AB15" s="53" t="s">
        <v>158</v>
      </c>
      <c r="AC15" s="34"/>
      <c r="AE15" s="22" t="s">
        <v>79</v>
      </c>
      <c r="AP15" s="23" t="s">
        <v>77</v>
      </c>
      <c r="AR15" s="23" t="s">
        <v>94</v>
      </c>
      <c r="AV15" s="23" t="s">
        <v>107</v>
      </c>
    </row>
    <row r="16" spans="1:53" x14ac:dyDescent="0.15">
      <c r="A16" s="158" t="s">
        <v>34</v>
      </c>
      <c r="B16" s="158" t="s">
        <v>157</v>
      </c>
      <c r="C16" s="158">
        <v>2019</v>
      </c>
      <c r="D16" s="160" t="s">
        <v>364</v>
      </c>
      <c r="E16" s="159" t="s">
        <v>211</v>
      </c>
      <c r="F16" s="158" t="s">
        <v>369</v>
      </c>
      <c r="G16" s="161" t="s">
        <v>42</v>
      </c>
      <c r="H16" s="127" t="s">
        <v>164</v>
      </c>
      <c r="I16" s="127" t="s">
        <v>159</v>
      </c>
      <c r="J16" s="127" t="s">
        <v>38</v>
      </c>
      <c r="K16" s="127" t="s">
        <v>161</v>
      </c>
      <c r="L16" s="53">
        <v>3</v>
      </c>
      <c r="N16" s="53">
        <v>4</v>
      </c>
      <c r="O16" s="53">
        <v>0.85</v>
      </c>
      <c r="P16" s="53">
        <v>0.75</v>
      </c>
      <c r="Q16" s="74">
        <f t="shared" si="1"/>
        <v>0.8</v>
      </c>
      <c r="R16" s="168">
        <v>13.6</v>
      </c>
      <c r="S16" s="168">
        <v>89</v>
      </c>
      <c r="T16" s="16">
        <f t="shared" si="0"/>
        <v>36</v>
      </c>
      <c r="U16" s="164">
        <v>377</v>
      </c>
      <c r="V16" s="38">
        <f t="shared" si="2"/>
        <v>3393</v>
      </c>
      <c r="W16" s="165">
        <v>2</v>
      </c>
      <c r="X16" s="166" t="s">
        <v>39</v>
      </c>
      <c r="Y16" s="172" t="s">
        <v>84</v>
      </c>
      <c r="Z16" s="172" t="s">
        <v>78</v>
      </c>
      <c r="AA16" s="172" t="s">
        <v>90</v>
      </c>
      <c r="AB16" s="53" t="s">
        <v>158</v>
      </c>
      <c r="AC16" s="34"/>
      <c r="AE16" s="22" t="s">
        <v>82</v>
      </c>
      <c r="AP16" s="23" t="s">
        <v>80</v>
      </c>
      <c r="AR16" s="23" t="s">
        <v>63</v>
      </c>
      <c r="AV16" s="23" t="s">
        <v>84</v>
      </c>
    </row>
    <row r="17" spans="1:48" x14ac:dyDescent="0.15">
      <c r="A17" s="158" t="s">
        <v>34</v>
      </c>
      <c r="B17" s="158" t="s">
        <v>237</v>
      </c>
      <c r="C17" s="159">
        <v>2019</v>
      </c>
      <c r="D17" s="160" t="s">
        <v>364</v>
      </c>
      <c r="E17" s="159" t="s">
        <v>274</v>
      </c>
      <c r="F17" s="158" t="s">
        <v>369</v>
      </c>
      <c r="G17" s="161" t="s">
        <v>42</v>
      </c>
      <c r="H17" s="127" t="s">
        <v>164</v>
      </c>
      <c r="I17" s="127" t="s">
        <v>159</v>
      </c>
      <c r="J17" s="127" t="s">
        <v>38</v>
      </c>
      <c r="K17" s="127" t="s">
        <v>161</v>
      </c>
      <c r="L17" s="53">
        <v>1</v>
      </c>
      <c r="N17" s="53">
        <v>7</v>
      </c>
      <c r="O17" s="53">
        <v>0.8</v>
      </c>
      <c r="P17" s="53">
        <v>0.7</v>
      </c>
      <c r="Q17" s="74">
        <f t="shared" si="1"/>
        <v>0.75</v>
      </c>
      <c r="R17" s="168">
        <v>13.6</v>
      </c>
      <c r="S17" s="168">
        <v>87</v>
      </c>
      <c r="T17" s="16">
        <f t="shared" si="0"/>
        <v>36</v>
      </c>
      <c r="U17" s="164">
        <v>398</v>
      </c>
      <c r="V17" s="38">
        <f t="shared" si="2"/>
        <v>2046.8571428571427</v>
      </c>
      <c r="W17" s="165">
        <v>2</v>
      </c>
      <c r="X17" s="166" t="s">
        <v>46</v>
      </c>
      <c r="Y17" s="172" t="s">
        <v>228</v>
      </c>
      <c r="Z17" s="172" t="s">
        <v>84</v>
      </c>
      <c r="AA17" s="172" t="s">
        <v>69</v>
      </c>
      <c r="AB17" s="53" t="s">
        <v>158</v>
      </c>
      <c r="AC17" s="34"/>
      <c r="AE17" s="22" t="s">
        <v>85</v>
      </c>
      <c r="AP17" s="27" t="s">
        <v>110</v>
      </c>
      <c r="AR17" s="23" t="s">
        <v>96</v>
      </c>
      <c r="AV17" s="23" t="s">
        <v>86</v>
      </c>
    </row>
    <row r="18" spans="1:48" x14ac:dyDescent="0.15">
      <c r="A18" s="158" t="s">
        <v>34</v>
      </c>
      <c r="B18" s="158" t="s">
        <v>157</v>
      </c>
      <c r="C18" s="158">
        <v>2019</v>
      </c>
      <c r="D18" s="160" t="s">
        <v>364</v>
      </c>
      <c r="E18" s="159" t="s">
        <v>274</v>
      </c>
      <c r="F18" s="158" t="s">
        <v>369</v>
      </c>
      <c r="G18" s="161" t="s">
        <v>42</v>
      </c>
      <c r="H18" s="127" t="s">
        <v>164</v>
      </c>
      <c r="I18" s="127" t="s">
        <v>159</v>
      </c>
      <c r="J18" s="127" t="s">
        <v>38</v>
      </c>
      <c r="K18" s="127" t="s">
        <v>161</v>
      </c>
      <c r="L18" s="53">
        <v>2</v>
      </c>
      <c r="N18" s="53">
        <v>7</v>
      </c>
      <c r="O18" s="53">
        <v>0.65</v>
      </c>
      <c r="P18" s="53">
        <v>0.7</v>
      </c>
      <c r="Q18" s="74">
        <f t="shared" si="1"/>
        <v>0.67500000000000004</v>
      </c>
      <c r="R18" s="168">
        <v>14</v>
      </c>
      <c r="S18" s="168">
        <v>89</v>
      </c>
      <c r="T18" s="16">
        <f t="shared" si="0"/>
        <v>36</v>
      </c>
      <c r="U18" s="164">
        <v>398</v>
      </c>
      <c r="V18" s="38">
        <f t="shared" si="2"/>
        <v>2046.8571428571427</v>
      </c>
      <c r="W18" s="165">
        <v>2</v>
      </c>
      <c r="X18" s="166" t="s">
        <v>46</v>
      </c>
      <c r="Y18" s="172" t="s">
        <v>228</v>
      </c>
      <c r="Z18" s="172" t="s">
        <v>84</v>
      </c>
      <c r="AA18" s="172" t="s">
        <v>69</v>
      </c>
      <c r="AB18" s="53" t="s">
        <v>158</v>
      </c>
      <c r="AC18" s="34"/>
      <c r="AE18" s="22" t="s">
        <v>87</v>
      </c>
      <c r="AP18" s="27" t="s">
        <v>111</v>
      </c>
      <c r="AR18" s="23" t="s">
        <v>101</v>
      </c>
      <c r="AV18" s="23" t="s">
        <v>88</v>
      </c>
    </row>
    <row r="19" spans="1:48" x14ac:dyDescent="0.15">
      <c r="A19" s="158" t="s">
        <v>34</v>
      </c>
      <c r="B19" s="158" t="s">
        <v>157</v>
      </c>
      <c r="C19" s="159">
        <v>2019</v>
      </c>
      <c r="D19" s="160" t="s">
        <v>364</v>
      </c>
      <c r="E19" s="159" t="s">
        <v>274</v>
      </c>
      <c r="F19" s="158" t="s">
        <v>369</v>
      </c>
      <c r="G19" s="161" t="s">
        <v>42</v>
      </c>
      <c r="H19" s="127" t="s">
        <v>164</v>
      </c>
      <c r="I19" s="127" t="s">
        <v>159</v>
      </c>
      <c r="J19" s="127" t="s">
        <v>38</v>
      </c>
      <c r="K19" s="127" t="s">
        <v>161</v>
      </c>
      <c r="L19" s="53">
        <v>3</v>
      </c>
      <c r="N19" s="53">
        <v>7</v>
      </c>
      <c r="O19" s="53">
        <v>0.85</v>
      </c>
      <c r="P19" s="53">
        <v>0.8</v>
      </c>
      <c r="Q19" s="74">
        <f t="shared" si="1"/>
        <v>0.82499999999999996</v>
      </c>
      <c r="R19" s="168">
        <v>13.3</v>
      </c>
      <c r="S19" s="168">
        <v>84</v>
      </c>
      <c r="T19" s="16">
        <f t="shared" si="0"/>
        <v>36</v>
      </c>
      <c r="U19" s="164">
        <v>398</v>
      </c>
      <c r="V19" s="38">
        <f t="shared" si="2"/>
        <v>2046.8571428571427</v>
      </c>
      <c r="W19" s="165">
        <v>2</v>
      </c>
      <c r="X19" s="166" t="s">
        <v>46</v>
      </c>
      <c r="Y19" s="172" t="s">
        <v>228</v>
      </c>
      <c r="Z19" s="172" t="s">
        <v>84</v>
      </c>
      <c r="AA19" s="172" t="s">
        <v>69</v>
      </c>
      <c r="AB19" s="53" t="s">
        <v>158</v>
      </c>
      <c r="AC19" s="34"/>
      <c r="AE19" s="35" t="s">
        <v>89</v>
      </c>
      <c r="AP19" s="27" t="s">
        <v>112</v>
      </c>
      <c r="AR19" s="23" t="s">
        <v>126</v>
      </c>
      <c r="AV19" s="23" t="s">
        <v>90</v>
      </c>
    </row>
    <row r="20" spans="1:48" x14ac:dyDescent="0.15">
      <c r="A20" s="158" t="s">
        <v>34</v>
      </c>
      <c r="B20" s="158" t="s">
        <v>157</v>
      </c>
      <c r="C20" s="158">
        <v>2019</v>
      </c>
      <c r="D20" s="160" t="s">
        <v>364</v>
      </c>
      <c r="E20" s="159" t="s">
        <v>211</v>
      </c>
      <c r="F20" s="158" t="s">
        <v>371</v>
      </c>
      <c r="G20" s="161" t="s">
        <v>42</v>
      </c>
      <c r="H20" s="127" t="s">
        <v>164</v>
      </c>
      <c r="I20" s="127" t="s">
        <v>159</v>
      </c>
      <c r="J20" s="127" t="s">
        <v>38</v>
      </c>
      <c r="K20" s="127" t="s">
        <v>161</v>
      </c>
      <c r="L20" s="53">
        <v>1</v>
      </c>
      <c r="N20" s="53">
        <v>4</v>
      </c>
      <c r="O20" s="53">
        <v>0.75</v>
      </c>
      <c r="P20" s="53">
        <v>0.65</v>
      </c>
      <c r="Q20" s="74">
        <f t="shared" si="1"/>
        <v>0.7</v>
      </c>
      <c r="R20" s="168">
        <v>14.2</v>
      </c>
      <c r="S20" s="168">
        <v>87</v>
      </c>
      <c r="T20" s="16">
        <f t="shared" si="0"/>
        <v>36</v>
      </c>
      <c r="U20" s="164">
        <v>377</v>
      </c>
      <c r="V20" s="38">
        <f t="shared" si="2"/>
        <v>3393</v>
      </c>
      <c r="W20" s="165">
        <v>2</v>
      </c>
      <c r="X20" s="166" t="s">
        <v>46</v>
      </c>
      <c r="Y20" s="172" t="s">
        <v>84</v>
      </c>
      <c r="Z20" s="172" t="s">
        <v>69</v>
      </c>
      <c r="AA20" s="172" t="s">
        <v>90</v>
      </c>
      <c r="AB20" s="53" t="s">
        <v>158</v>
      </c>
      <c r="AE20" s="35"/>
      <c r="AP20" s="27" t="s">
        <v>113</v>
      </c>
      <c r="AR20" s="23" t="s">
        <v>105</v>
      </c>
      <c r="AV20" s="27" t="s">
        <v>135</v>
      </c>
    </row>
    <row r="21" spans="1:48" x14ac:dyDescent="0.15">
      <c r="A21" s="158" t="s">
        <v>34</v>
      </c>
      <c r="B21" s="158" t="s">
        <v>157</v>
      </c>
      <c r="C21" s="159">
        <v>2019</v>
      </c>
      <c r="D21" s="160" t="s">
        <v>364</v>
      </c>
      <c r="E21" s="159" t="s">
        <v>211</v>
      </c>
      <c r="F21" s="158" t="s">
        <v>371</v>
      </c>
      <c r="G21" s="161" t="s">
        <v>42</v>
      </c>
      <c r="H21" s="127" t="s">
        <v>164</v>
      </c>
      <c r="I21" s="127" t="s">
        <v>159</v>
      </c>
      <c r="J21" s="127" t="s">
        <v>38</v>
      </c>
      <c r="K21" s="127" t="s">
        <v>161</v>
      </c>
      <c r="L21" s="53">
        <v>2</v>
      </c>
      <c r="N21" s="53">
        <v>4</v>
      </c>
      <c r="O21" s="53">
        <v>0.8</v>
      </c>
      <c r="P21" s="53">
        <v>0.7</v>
      </c>
      <c r="Q21" s="74">
        <f t="shared" si="1"/>
        <v>0.75</v>
      </c>
      <c r="R21" s="168">
        <v>13.5</v>
      </c>
      <c r="S21" s="168">
        <v>86</v>
      </c>
      <c r="T21" s="16">
        <f t="shared" si="0"/>
        <v>36</v>
      </c>
      <c r="U21" s="164">
        <v>377</v>
      </c>
      <c r="V21" s="38">
        <f t="shared" si="2"/>
        <v>3393</v>
      </c>
      <c r="W21" s="165">
        <v>2</v>
      </c>
      <c r="X21" s="166" t="s">
        <v>46</v>
      </c>
      <c r="Y21" s="172" t="s">
        <v>84</v>
      </c>
      <c r="Z21" s="172" t="s">
        <v>69</v>
      </c>
      <c r="AA21" s="172" t="s">
        <v>90</v>
      </c>
      <c r="AB21" s="53" t="s">
        <v>158</v>
      </c>
      <c r="AE21" s="28"/>
      <c r="AP21" s="27" t="s">
        <v>114</v>
      </c>
      <c r="AR21" s="23" t="s">
        <v>68</v>
      </c>
      <c r="AV21" s="27" t="s">
        <v>136</v>
      </c>
    </row>
    <row r="22" spans="1:48" x14ac:dyDescent="0.15">
      <c r="A22" s="158" t="s">
        <v>34</v>
      </c>
      <c r="B22" s="158" t="s">
        <v>157</v>
      </c>
      <c r="C22" s="158">
        <v>2019</v>
      </c>
      <c r="D22" s="160" t="s">
        <v>364</v>
      </c>
      <c r="E22" s="159" t="s">
        <v>211</v>
      </c>
      <c r="F22" s="158" t="s">
        <v>371</v>
      </c>
      <c r="G22" s="161" t="s">
        <v>42</v>
      </c>
      <c r="H22" s="127" t="s">
        <v>164</v>
      </c>
      <c r="I22" s="127" t="s">
        <v>159</v>
      </c>
      <c r="J22" s="127" t="s">
        <v>38</v>
      </c>
      <c r="K22" s="127" t="s">
        <v>161</v>
      </c>
      <c r="L22" s="53">
        <v>3</v>
      </c>
      <c r="N22" s="53">
        <v>4</v>
      </c>
      <c r="O22" s="53">
        <v>0.75</v>
      </c>
      <c r="P22" s="34">
        <v>0.7</v>
      </c>
      <c r="Q22" s="74">
        <f t="shared" si="1"/>
        <v>0.72499999999999998</v>
      </c>
      <c r="R22" s="168">
        <v>13.5</v>
      </c>
      <c r="S22" s="168">
        <v>91</v>
      </c>
      <c r="T22" s="16">
        <f t="shared" si="0"/>
        <v>36</v>
      </c>
      <c r="U22" s="164">
        <v>377</v>
      </c>
      <c r="V22" s="38">
        <f t="shared" si="2"/>
        <v>3393</v>
      </c>
      <c r="W22" s="165">
        <v>2</v>
      </c>
      <c r="X22" s="166" t="s">
        <v>46</v>
      </c>
      <c r="Y22" s="172" t="s">
        <v>84</v>
      </c>
      <c r="Z22" s="172" t="s">
        <v>69</v>
      </c>
      <c r="AA22" s="172" t="s">
        <v>90</v>
      </c>
      <c r="AB22" s="53" t="s">
        <v>158</v>
      </c>
      <c r="AP22" s="27" t="s">
        <v>115</v>
      </c>
      <c r="AR22" s="23" t="s">
        <v>83</v>
      </c>
      <c r="AV22" s="23"/>
    </row>
    <row r="23" spans="1:48" x14ac:dyDescent="0.15">
      <c r="A23" s="158" t="s">
        <v>34</v>
      </c>
      <c r="B23" s="158" t="s">
        <v>157</v>
      </c>
      <c r="C23" s="159">
        <v>2019</v>
      </c>
      <c r="D23" s="160" t="s">
        <v>364</v>
      </c>
      <c r="E23" s="159" t="s">
        <v>139</v>
      </c>
      <c r="F23" s="158" t="s">
        <v>371</v>
      </c>
      <c r="G23" s="161" t="s">
        <v>36</v>
      </c>
      <c r="H23" s="127" t="s">
        <v>164</v>
      </c>
      <c r="I23" s="127" t="s">
        <v>159</v>
      </c>
      <c r="J23" s="127" t="s">
        <v>38</v>
      </c>
      <c r="K23" s="127" t="s">
        <v>161</v>
      </c>
      <c r="L23" s="53">
        <v>1</v>
      </c>
      <c r="N23" s="53">
        <v>1</v>
      </c>
      <c r="O23" s="53">
        <v>0.9</v>
      </c>
      <c r="P23" s="34">
        <v>0.85</v>
      </c>
      <c r="Q23" s="74">
        <f t="shared" si="1"/>
        <v>0.875</v>
      </c>
      <c r="R23" s="168">
        <v>15.4</v>
      </c>
      <c r="S23" s="168">
        <v>115</v>
      </c>
      <c r="T23" s="16">
        <f t="shared" si="0"/>
        <v>30</v>
      </c>
      <c r="U23" s="164">
        <v>108</v>
      </c>
      <c r="V23" s="38">
        <f t="shared" si="2"/>
        <v>3240</v>
      </c>
      <c r="W23" s="165">
        <v>6</v>
      </c>
      <c r="X23" s="166" t="s">
        <v>46</v>
      </c>
      <c r="Y23" s="172" t="s">
        <v>84</v>
      </c>
      <c r="Z23" s="172" t="s">
        <v>90</v>
      </c>
      <c r="AA23" s="172" t="s">
        <v>40</v>
      </c>
      <c r="AB23" s="53" t="s">
        <v>158</v>
      </c>
      <c r="AP23" s="27" t="s">
        <v>137</v>
      </c>
      <c r="AR23" s="23" t="s">
        <v>61</v>
      </c>
      <c r="AV23" s="23"/>
    </row>
    <row r="24" spans="1:48" x14ac:dyDescent="0.15">
      <c r="A24" s="158" t="s">
        <v>34</v>
      </c>
      <c r="B24" s="158" t="s">
        <v>157</v>
      </c>
      <c r="C24" s="158">
        <v>2019</v>
      </c>
      <c r="D24" s="160" t="s">
        <v>364</v>
      </c>
      <c r="E24" s="159" t="s">
        <v>139</v>
      </c>
      <c r="F24" s="158" t="s">
        <v>371</v>
      </c>
      <c r="G24" s="161" t="s">
        <v>36</v>
      </c>
      <c r="H24" s="127" t="s">
        <v>164</v>
      </c>
      <c r="I24" s="127" t="s">
        <v>159</v>
      </c>
      <c r="J24" s="127" t="s">
        <v>38</v>
      </c>
      <c r="K24" s="127" t="s">
        <v>161</v>
      </c>
      <c r="L24" s="53">
        <v>2</v>
      </c>
      <c r="N24" s="53">
        <v>1</v>
      </c>
      <c r="O24" s="53">
        <v>0.75</v>
      </c>
      <c r="P24" s="34">
        <v>0.7</v>
      </c>
      <c r="Q24" s="74">
        <f t="shared" si="1"/>
        <v>0.72499999999999998</v>
      </c>
      <c r="R24" s="168">
        <v>15.7</v>
      </c>
      <c r="S24" s="168">
        <v>112</v>
      </c>
      <c r="T24" s="16">
        <f t="shared" si="0"/>
        <v>33</v>
      </c>
      <c r="U24" s="164">
        <v>108</v>
      </c>
      <c r="V24" s="38">
        <f t="shared" si="2"/>
        <v>3564</v>
      </c>
      <c r="W24" s="165">
        <v>6</v>
      </c>
      <c r="X24" s="166" t="s">
        <v>46</v>
      </c>
      <c r="Y24" s="172" t="s">
        <v>84</v>
      </c>
      <c r="Z24" s="172" t="s">
        <v>90</v>
      </c>
      <c r="AA24" s="172" t="s">
        <v>40</v>
      </c>
      <c r="AB24" s="53" t="s">
        <v>158</v>
      </c>
      <c r="AP24" s="27" t="s">
        <v>138</v>
      </c>
      <c r="AR24" s="23" t="s">
        <v>91</v>
      </c>
      <c r="AV24" s="23"/>
    </row>
    <row r="25" spans="1:48" x14ac:dyDescent="0.15">
      <c r="A25" s="158" t="s">
        <v>34</v>
      </c>
      <c r="B25" s="158" t="s">
        <v>157</v>
      </c>
      <c r="C25" s="159">
        <v>2019</v>
      </c>
      <c r="D25" s="160" t="s">
        <v>364</v>
      </c>
      <c r="E25" s="159" t="s">
        <v>139</v>
      </c>
      <c r="F25" s="158" t="s">
        <v>371</v>
      </c>
      <c r="G25" s="161" t="s">
        <v>36</v>
      </c>
      <c r="H25" s="127" t="s">
        <v>164</v>
      </c>
      <c r="I25" s="127" t="s">
        <v>159</v>
      </c>
      <c r="J25" s="127" t="s">
        <v>38</v>
      </c>
      <c r="K25" s="127" t="s">
        <v>161</v>
      </c>
      <c r="L25" s="53">
        <v>3</v>
      </c>
      <c r="N25" s="53">
        <v>1</v>
      </c>
      <c r="O25" s="53">
        <v>0.8</v>
      </c>
      <c r="P25" s="34">
        <v>0.9</v>
      </c>
      <c r="Q25" s="74">
        <f t="shared" si="1"/>
        <v>0.85000000000000009</v>
      </c>
      <c r="R25" s="168">
        <v>15.5</v>
      </c>
      <c r="S25" s="168">
        <v>116</v>
      </c>
      <c r="T25" s="16">
        <f t="shared" si="0"/>
        <v>30</v>
      </c>
      <c r="U25" s="164">
        <v>108</v>
      </c>
      <c r="V25" s="38">
        <f t="shared" si="2"/>
        <v>3240</v>
      </c>
      <c r="W25" s="165">
        <v>6</v>
      </c>
      <c r="X25" s="166" t="s">
        <v>46</v>
      </c>
      <c r="Y25" s="172" t="s">
        <v>84</v>
      </c>
      <c r="Z25" s="172" t="s">
        <v>90</v>
      </c>
      <c r="AA25" s="172" t="s">
        <v>40</v>
      </c>
      <c r="AB25" s="53" t="s">
        <v>158</v>
      </c>
      <c r="AP25" s="27" t="s">
        <v>116</v>
      </c>
      <c r="AR25" s="27" t="s">
        <v>92</v>
      </c>
      <c r="AV25" s="23"/>
    </row>
    <row r="26" spans="1:48" x14ac:dyDescent="0.15">
      <c r="A26" s="158" t="s">
        <v>34</v>
      </c>
      <c r="B26" s="158" t="s">
        <v>157</v>
      </c>
      <c r="C26" s="158">
        <v>2019</v>
      </c>
      <c r="D26" s="160" t="s">
        <v>364</v>
      </c>
      <c r="E26" s="159" t="s">
        <v>133</v>
      </c>
      <c r="F26" s="158" t="s">
        <v>372</v>
      </c>
      <c r="G26" s="161" t="s">
        <v>36</v>
      </c>
      <c r="H26" s="127" t="s">
        <v>164</v>
      </c>
      <c r="I26" s="127" t="s">
        <v>159</v>
      </c>
      <c r="J26" s="127" t="s">
        <v>38</v>
      </c>
      <c r="K26" s="127" t="s">
        <v>161</v>
      </c>
      <c r="L26" s="53">
        <v>1</v>
      </c>
      <c r="N26" s="53">
        <v>1</v>
      </c>
      <c r="O26" s="53">
        <v>1.1000000000000001</v>
      </c>
      <c r="P26" s="53">
        <v>0.95</v>
      </c>
      <c r="Q26" s="74">
        <f t="shared" si="1"/>
        <v>1.0249999999999999</v>
      </c>
      <c r="R26" s="168">
        <v>14</v>
      </c>
      <c r="S26" s="168">
        <v>114</v>
      </c>
      <c r="T26" s="16">
        <f t="shared" si="0"/>
        <v>30</v>
      </c>
      <c r="U26" s="164">
        <v>98</v>
      </c>
      <c r="V26" s="38">
        <f t="shared" si="2"/>
        <v>2940</v>
      </c>
      <c r="W26" s="165">
        <v>6</v>
      </c>
      <c r="X26" s="166" t="s">
        <v>46</v>
      </c>
      <c r="Y26" s="172" t="s">
        <v>84</v>
      </c>
      <c r="Z26" s="172" t="s">
        <v>78</v>
      </c>
      <c r="AA26" s="172" t="s">
        <v>90</v>
      </c>
      <c r="AB26" s="53" t="s">
        <v>158</v>
      </c>
      <c r="AP26" s="27" t="s">
        <v>117</v>
      </c>
      <c r="AR26" s="23" t="s">
        <v>153</v>
      </c>
      <c r="AV26" s="27"/>
    </row>
    <row r="27" spans="1:48" x14ac:dyDescent="0.15">
      <c r="A27" s="158" t="s">
        <v>34</v>
      </c>
      <c r="B27" s="158" t="s">
        <v>157</v>
      </c>
      <c r="C27" s="159">
        <v>2019</v>
      </c>
      <c r="D27" s="160" t="s">
        <v>364</v>
      </c>
      <c r="E27" s="159" t="s">
        <v>133</v>
      </c>
      <c r="F27" s="158" t="s">
        <v>372</v>
      </c>
      <c r="G27" s="161" t="s">
        <v>36</v>
      </c>
      <c r="H27" s="127" t="s">
        <v>164</v>
      </c>
      <c r="I27" s="127" t="s">
        <v>159</v>
      </c>
      <c r="J27" s="127" t="s">
        <v>38</v>
      </c>
      <c r="K27" s="127" t="s">
        <v>161</v>
      </c>
      <c r="L27" s="53">
        <v>2</v>
      </c>
      <c r="N27" s="53">
        <v>1</v>
      </c>
      <c r="O27" s="34">
        <v>0.9</v>
      </c>
      <c r="P27" s="53">
        <v>0.8</v>
      </c>
      <c r="Q27" s="74">
        <f t="shared" si="1"/>
        <v>0.85000000000000009</v>
      </c>
      <c r="R27" s="168">
        <v>13.6</v>
      </c>
      <c r="S27" s="168">
        <v>116</v>
      </c>
      <c r="T27" s="16">
        <f t="shared" si="0"/>
        <v>30</v>
      </c>
      <c r="U27" s="164">
        <v>98</v>
      </c>
      <c r="V27" s="38">
        <f t="shared" si="2"/>
        <v>2940</v>
      </c>
      <c r="W27" s="165">
        <v>6</v>
      </c>
      <c r="X27" s="166" t="s">
        <v>46</v>
      </c>
      <c r="Y27" s="172" t="s">
        <v>84</v>
      </c>
      <c r="Z27" s="172" t="s">
        <v>78</v>
      </c>
      <c r="AA27" s="172" t="s">
        <v>90</v>
      </c>
      <c r="AB27" s="53" t="s">
        <v>158</v>
      </c>
      <c r="AP27" s="27" t="s">
        <v>118</v>
      </c>
      <c r="AR27" s="23"/>
    </row>
    <row r="28" spans="1:48" x14ac:dyDescent="0.15">
      <c r="A28" s="158" t="s">
        <v>34</v>
      </c>
      <c r="B28" s="158" t="s">
        <v>157</v>
      </c>
      <c r="C28" s="158">
        <v>2019</v>
      </c>
      <c r="D28" s="160" t="s">
        <v>364</v>
      </c>
      <c r="E28" s="159" t="s">
        <v>133</v>
      </c>
      <c r="F28" s="158" t="s">
        <v>372</v>
      </c>
      <c r="G28" s="161" t="s">
        <v>36</v>
      </c>
      <c r="H28" s="127" t="s">
        <v>164</v>
      </c>
      <c r="I28" s="127" t="s">
        <v>159</v>
      </c>
      <c r="J28" s="127" t="s">
        <v>38</v>
      </c>
      <c r="K28" s="127" t="s">
        <v>161</v>
      </c>
      <c r="L28" s="53">
        <v>3</v>
      </c>
      <c r="N28" s="53">
        <v>1</v>
      </c>
      <c r="O28" s="34">
        <v>1.2</v>
      </c>
      <c r="P28" s="53">
        <v>1</v>
      </c>
      <c r="Q28" s="74">
        <f t="shared" si="1"/>
        <v>1.1000000000000001</v>
      </c>
      <c r="R28" s="168">
        <v>13.4</v>
      </c>
      <c r="S28" s="168">
        <v>114</v>
      </c>
      <c r="T28" s="16">
        <f t="shared" si="0"/>
        <v>30</v>
      </c>
      <c r="U28" s="164">
        <v>98</v>
      </c>
      <c r="V28" s="38">
        <f t="shared" si="2"/>
        <v>2940</v>
      </c>
      <c r="W28" s="165">
        <v>6</v>
      </c>
      <c r="X28" s="166" t="s">
        <v>46</v>
      </c>
      <c r="Y28" s="172" t="s">
        <v>84</v>
      </c>
      <c r="Z28" s="172" t="s">
        <v>78</v>
      </c>
      <c r="AA28" s="172" t="s">
        <v>90</v>
      </c>
      <c r="AB28" s="53" t="s">
        <v>158</v>
      </c>
      <c r="AR28" s="23"/>
    </row>
    <row r="29" spans="1:48" x14ac:dyDescent="0.15">
      <c r="A29" s="158" t="s">
        <v>34</v>
      </c>
      <c r="B29" s="158" t="s">
        <v>157</v>
      </c>
      <c r="C29" s="158">
        <v>2019</v>
      </c>
      <c r="D29" s="160" t="s">
        <v>364</v>
      </c>
      <c r="E29" s="159" t="s">
        <v>274</v>
      </c>
      <c r="F29" s="158" t="s">
        <v>373</v>
      </c>
      <c r="G29" s="161" t="s">
        <v>36</v>
      </c>
      <c r="H29" s="127" t="s">
        <v>164</v>
      </c>
      <c r="I29" s="127" t="s">
        <v>159</v>
      </c>
      <c r="J29" s="127" t="s">
        <v>38</v>
      </c>
      <c r="K29" s="127" t="s">
        <v>161</v>
      </c>
      <c r="L29" s="53">
        <v>1</v>
      </c>
      <c r="N29" s="53">
        <v>7</v>
      </c>
      <c r="O29" s="53">
        <v>0.7</v>
      </c>
      <c r="P29" s="53">
        <v>0.65</v>
      </c>
      <c r="Q29" s="74">
        <f t="shared" si="1"/>
        <v>0.67500000000000004</v>
      </c>
      <c r="R29" s="168">
        <v>13.7</v>
      </c>
      <c r="S29" s="168">
        <v>94</v>
      </c>
      <c r="T29" s="16">
        <f t="shared" si="0"/>
        <v>36</v>
      </c>
      <c r="U29" s="164">
        <v>398</v>
      </c>
      <c r="V29" s="38">
        <f t="shared" si="2"/>
        <v>2046.8571428571427</v>
      </c>
      <c r="W29" s="165">
        <v>1</v>
      </c>
      <c r="X29" s="166" t="s">
        <v>39</v>
      </c>
      <c r="Y29" s="172" t="s">
        <v>69</v>
      </c>
      <c r="Z29" s="172" t="s">
        <v>90</v>
      </c>
      <c r="AA29" s="172" t="s">
        <v>84</v>
      </c>
      <c r="AB29" s="53" t="s">
        <v>158</v>
      </c>
      <c r="AR29" s="28"/>
    </row>
    <row r="30" spans="1:48" x14ac:dyDescent="0.15">
      <c r="A30" s="158" t="s">
        <v>34</v>
      </c>
      <c r="B30" s="158" t="s">
        <v>157</v>
      </c>
      <c r="C30" s="159">
        <v>2019</v>
      </c>
      <c r="D30" s="160" t="s">
        <v>364</v>
      </c>
      <c r="E30" s="159" t="s">
        <v>274</v>
      </c>
      <c r="F30" s="158" t="s">
        <v>373</v>
      </c>
      <c r="G30" s="161" t="s">
        <v>36</v>
      </c>
      <c r="H30" s="127" t="s">
        <v>164</v>
      </c>
      <c r="I30" s="127" t="s">
        <v>159</v>
      </c>
      <c r="J30" s="127" t="s">
        <v>38</v>
      </c>
      <c r="K30" s="127" t="s">
        <v>161</v>
      </c>
      <c r="L30" s="53">
        <v>2</v>
      </c>
      <c r="N30" s="53">
        <v>7</v>
      </c>
      <c r="O30" s="53">
        <v>0.6</v>
      </c>
      <c r="P30" s="53">
        <v>0.55000000000000004</v>
      </c>
      <c r="Q30" s="74">
        <f t="shared" si="1"/>
        <v>0.57499999999999996</v>
      </c>
      <c r="R30" s="168">
        <v>14.2</v>
      </c>
      <c r="S30" s="168">
        <v>94</v>
      </c>
      <c r="T30" s="16">
        <f t="shared" si="0"/>
        <v>36</v>
      </c>
      <c r="U30" s="164">
        <v>398</v>
      </c>
      <c r="V30" s="38">
        <f t="shared" si="2"/>
        <v>2046.8571428571427</v>
      </c>
      <c r="W30" s="165">
        <v>1</v>
      </c>
      <c r="X30" s="166" t="s">
        <v>39</v>
      </c>
      <c r="Y30" s="172" t="s">
        <v>69</v>
      </c>
      <c r="Z30" s="172" t="s">
        <v>90</v>
      </c>
      <c r="AA30" s="172" t="s">
        <v>84</v>
      </c>
      <c r="AB30" s="53" t="s">
        <v>158</v>
      </c>
    </row>
    <row r="31" spans="1:48" x14ac:dyDescent="0.15">
      <c r="A31" s="158" t="s">
        <v>34</v>
      </c>
      <c r="B31" s="158" t="s">
        <v>157</v>
      </c>
      <c r="C31" s="158">
        <v>2019</v>
      </c>
      <c r="D31" s="160" t="s">
        <v>364</v>
      </c>
      <c r="E31" s="159" t="s">
        <v>274</v>
      </c>
      <c r="F31" s="158" t="s">
        <v>373</v>
      </c>
      <c r="G31" s="161" t="s">
        <v>36</v>
      </c>
      <c r="H31" s="127" t="s">
        <v>164</v>
      </c>
      <c r="I31" s="127" t="s">
        <v>159</v>
      </c>
      <c r="J31" s="127" t="s">
        <v>38</v>
      </c>
      <c r="K31" s="127" t="s">
        <v>161</v>
      </c>
      <c r="L31" s="53">
        <v>3</v>
      </c>
      <c r="N31" s="53">
        <v>7</v>
      </c>
      <c r="O31" s="53">
        <v>0.8</v>
      </c>
      <c r="P31" s="53">
        <v>0.7</v>
      </c>
      <c r="Q31" s="74">
        <f t="shared" si="1"/>
        <v>0.75</v>
      </c>
      <c r="R31" s="168">
        <v>13.5</v>
      </c>
      <c r="S31" s="168">
        <v>93</v>
      </c>
      <c r="T31" s="16">
        <f t="shared" si="0"/>
        <v>36</v>
      </c>
      <c r="U31" s="164">
        <v>398</v>
      </c>
      <c r="V31" s="38">
        <f t="shared" si="2"/>
        <v>2046.8571428571427</v>
      </c>
      <c r="W31" s="165">
        <v>1</v>
      </c>
      <c r="X31" s="166" t="s">
        <v>39</v>
      </c>
      <c r="Y31" s="172" t="s">
        <v>69</v>
      </c>
      <c r="Z31" s="172" t="s">
        <v>90</v>
      </c>
      <c r="AA31" s="172" t="s">
        <v>84</v>
      </c>
      <c r="AB31" s="53" t="s">
        <v>158</v>
      </c>
    </row>
    <row r="32" spans="1:48" ht="14.25" customHeight="1" x14ac:dyDescent="0.15">
      <c r="A32" s="158"/>
      <c r="B32" s="158"/>
      <c r="C32" s="159"/>
      <c r="D32" s="160"/>
      <c r="E32" s="159"/>
      <c r="F32" s="158"/>
      <c r="G32" s="161"/>
      <c r="H32" s="127"/>
      <c r="I32" s="127"/>
      <c r="J32" s="127"/>
      <c r="K32" s="127"/>
      <c r="Q32" s="74"/>
      <c r="R32" s="168"/>
      <c r="S32" s="168"/>
      <c r="U32" s="164"/>
      <c r="V32" s="38"/>
      <c r="W32" s="165"/>
      <c r="X32" s="166"/>
      <c r="Y32" s="172"/>
      <c r="Z32" s="172"/>
      <c r="AA32" s="172"/>
    </row>
    <row r="33" spans="1:27" x14ac:dyDescent="0.15">
      <c r="A33" s="158"/>
      <c r="B33" s="158"/>
      <c r="C33" s="158"/>
      <c r="D33" s="160"/>
      <c r="E33" s="159"/>
      <c r="F33" s="158"/>
      <c r="G33" s="161"/>
      <c r="H33" s="127"/>
      <c r="I33" s="127"/>
      <c r="J33" s="127"/>
      <c r="K33" s="127"/>
      <c r="Q33" s="74"/>
      <c r="R33" s="168"/>
      <c r="S33" s="168"/>
      <c r="U33" s="164"/>
      <c r="V33" s="38"/>
      <c r="W33" s="165"/>
      <c r="X33" s="166"/>
      <c r="Y33" s="172"/>
      <c r="Z33" s="172"/>
      <c r="AA33" s="172"/>
    </row>
    <row r="34" spans="1:27" x14ac:dyDescent="0.15">
      <c r="A34" s="158"/>
      <c r="B34" s="158"/>
      <c r="C34" s="159"/>
      <c r="D34" s="160"/>
      <c r="E34" s="159"/>
      <c r="F34" s="158"/>
      <c r="G34" s="161"/>
      <c r="H34" s="127"/>
      <c r="I34" s="127"/>
      <c r="J34" s="127"/>
      <c r="K34" s="127"/>
      <c r="P34" s="34"/>
      <c r="Q34" s="74"/>
      <c r="R34" s="168"/>
      <c r="S34" s="168"/>
      <c r="U34" s="164"/>
      <c r="V34" s="38"/>
      <c r="W34" s="165"/>
      <c r="X34" s="166"/>
      <c r="Y34" s="172"/>
      <c r="Z34" s="172"/>
      <c r="AA34" s="172"/>
    </row>
    <row r="35" spans="1:27" x14ac:dyDescent="0.15">
      <c r="A35" s="158"/>
      <c r="B35" s="158"/>
      <c r="C35" s="158"/>
      <c r="D35" s="160"/>
      <c r="E35" s="159"/>
      <c r="F35" s="158"/>
      <c r="G35" s="161"/>
      <c r="H35" s="127"/>
      <c r="I35" s="127"/>
      <c r="J35" s="127"/>
      <c r="K35" s="127"/>
      <c r="Q35" s="74"/>
      <c r="R35" s="168"/>
      <c r="S35" s="168"/>
      <c r="U35" s="164"/>
      <c r="V35" s="38"/>
      <c r="W35" s="165"/>
      <c r="X35" s="166"/>
      <c r="Y35" s="172"/>
      <c r="Z35" s="172"/>
      <c r="AA35" s="172"/>
    </row>
    <row r="36" spans="1:27" x14ac:dyDescent="0.15">
      <c r="A36" s="158"/>
      <c r="B36" s="158"/>
      <c r="C36" s="159"/>
      <c r="D36" s="160"/>
      <c r="E36" s="159"/>
      <c r="F36" s="158"/>
      <c r="G36" s="161"/>
      <c r="H36" s="127"/>
      <c r="I36" s="127"/>
      <c r="J36" s="127"/>
      <c r="K36" s="127"/>
      <c r="Q36" s="74"/>
      <c r="R36" s="168"/>
      <c r="S36" s="168"/>
      <c r="U36" s="164"/>
      <c r="V36" s="38"/>
      <c r="W36" s="165"/>
      <c r="X36" s="166"/>
      <c r="Y36" s="172"/>
      <c r="Z36" s="172"/>
      <c r="AA36" s="172"/>
    </row>
    <row r="37" spans="1:27" x14ac:dyDescent="0.15">
      <c r="A37" s="158"/>
      <c r="B37" s="158"/>
      <c r="C37" s="158"/>
      <c r="D37" s="160"/>
      <c r="E37" s="159"/>
      <c r="F37" s="158"/>
      <c r="G37" s="161"/>
      <c r="H37" s="127"/>
      <c r="I37" s="127"/>
      <c r="J37" s="127"/>
      <c r="K37" s="127"/>
      <c r="Q37" s="74"/>
      <c r="R37" s="168"/>
      <c r="S37" s="168"/>
      <c r="U37" s="164"/>
      <c r="V37" s="38"/>
      <c r="W37" s="165"/>
      <c r="X37" s="166"/>
      <c r="Y37" s="172"/>
      <c r="Z37" s="172"/>
      <c r="AA37" s="172"/>
    </row>
    <row r="38" spans="1:27" x14ac:dyDescent="0.15">
      <c r="A38" s="158"/>
      <c r="B38" s="158"/>
      <c r="C38" s="159"/>
      <c r="D38" s="160"/>
      <c r="E38" s="159"/>
      <c r="F38" s="158"/>
      <c r="G38" s="161"/>
      <c r="H38" s="127"/>
      <c r="I38" s="127"/>
      <c r="J38" s="127"/>
      <c r="K38" s="127"/>
      <c r="Q38" s="74"/>
      <c r="R38" s="168"/>
      <c r="S38" s="168"/>
      <c r="U38" s="164"/>
      <c r="V38" s="38"/>
      <c r="W38" s="165"/>
      <c r="X38" s="166"/>
      <c r="Y38" s="172"/>
      <c r="Z38" s="172"/>
      <c r="AA38" s="172"/>
    </row>
    <row r="39" spans="1:27" x14ac:dyDescent="0.15">
      <c r="A39" s="158"/>
      <c r="B39" s="158"/>
      <c r="C39" s="158"/>
      <c r="D39" s="160"/>
      <c r="E39" s="159"/>
      <c r="F39" s="158"/>
      <c r="G39" s="161"/>
      <c r="H39" s="127"/>
      <c r="I39" s="127"/>
      <c r="J39" s="127"/>
      <c r="K39" s="127"/>
      <c r="Q39" s="74"/>
      <c r="R39" s="168"/>
      <c r="S39" s="168"/>
      <c r="U39" s="164"/>
      <c r="V39" s="38"/>
      <c r="W39" s="165"/>
      <c r="X39" s="166"/>
      <c r="Y39" s="172"/>
      <c r="Z39" s="172"/>
      <c r="AA39" s="172"/>
    </row>
    <row r="40" spans="1:27" ht="12.75" customHeight="1" x14ac:dyDescent="0.15">
      <c r="A40" s="158"/>
      <c r="B40" s="158"/>
      <c r="C40" s="159"/>
      <c r="D40" s="160"/>
      <c r="E40" s="159"/>
      <c r="F40" s="158"/>
      <c r="G40" s="161"/>
      <c r="H40" s="127"/>
      <c r="I40" s="127"/>
      <c r="J40" s="127"/>
      <c r="K40" s="127"/>
      <c r="Q40" s="74"/>
      <c r="R40" s="168"/>
      <c r="S40" s="168"/>
      <c r="U40" s="164"/>
      <c r="V40" s="38"/>
      <c r="W40" s="165"/>
      <c r="X40" s="166"/>
      <c r="Y40" s="172"/>
      <c r="Z40" s="172"/>
      <c r="AA40" s="172"/>
    </row>
    <row r="41" spans="1:27" ht="12.75" customHeight="1" x14ac:dyDescent="0.15">
      <c r="A41" s="127"/>
      <c r="B41" s="158"/>
      <c r="C41" s="159"/>
      <c r="D41" s="160"/>
      <c r="E41" s="159"/>
      <c r="F41" s="158"/>
      <c r="G41" s="161"/>
      <c r="H41" s="127"/>
      <c r="I41" s="127"/>
      <c r="J41" s="127"/>
      <c r="K41" s="127"/>
      <c r="Q41" s="74" t="str">
        <f t="shared" si="1"/>
        <v/>
      </c>
      <c r="R41" s="168"/>
      <c r="S41" s="168"/>
      <c r="T41" s="16" t="str">
        <f t="shared" si="0"/>
        <v/>
      </c>
      <c r="U41" s="164"/>
      <c r="V41" s="38" t="str">
        <f t="shared" ref="V41:V91" si="3">IF(OR(N41="",U41="",T41=""),"",U41/N41*T41)</f>
        <v/>
      </c>
      <c r="X41" s="166"/>
      <c r="Y41" s="173"/>
      <c r="Z41" s="173"/>
      <c r="AA41" s="173"/>
    </row>
    <row r="42" spans="1:27" ht="12.75" customHeight="1" x14ac:dyDescent="0.15">
      <c r="A42" s="127"/>
      <c r="B42" s="158"/>
      <c r="C42" s="159"/>
      <c r="D42" s="160"/>
      <c r="E42" s="159"/>
      <c r="F42" s="158"/>
      <c r="G42" s="161"/>
      <c r="H42" s="127"/>
      <c r="I42" s="127"/>
      <c r="J42" s="127"/>
      <c r="K42" s="127"/>
      <c r="Q42" s="74" t="str">
        <f t="shared" si="1"/>
        <v/>
      </c>
      <c r="R42" s="168"/>
      <c r="S42" s="168"/>
      <c r="T42" s="16" t="str">
        <f t="shared" si="0"/>
        <v/>
      </c>
      <c r="U42" s="164"/>
      <c r="V42" s="38" t="str">
        <f t="shared" si="3"/>
        <v/>
      </c>
      <c r="X42" s="166"/>
      <c r="Y42" s="173"/>
      <c r="Z42" s="173"/>
      <c r="AA42" s="173"/>
    </row>
    <row r="43" spans="1:27" ht="12.75" customHeight="1" x14ac:dyDescent="0.15">
      <c r="A43" s="127"/>
      <c r="B43" s="158"/>
      <c r="C43" s="159"/>
      <c r="D43" s="160"/>
      <c r="E43" s="159"/>
      <c r="F43" s="158"/>
      <c r="G43" s="161"/>
      <c r="H43" s="127"/>
      <c r="I43" s="127"/>
      <c r="J43" s="127"/>
      <c r="K43" s="127"/>
      <c r="Q43" s="74" t="str">
        <f t="shared" si="1"/>
        <v/>
      </c>
      <c r="R43" s="168"/>
      <c r="S43" s="168"/>
      <c r="T43" s="16" t="str">
        <f t="shared" si="0"/>
        <v/>
      </c>
      <c r="U43" s="164"/>
      <c r="V43" s="38" t="str">
        <f t="shared" si="3"/>
        <v/>
      </c>
      <c r="X43" s="166"/>
      <c r="Y43" s="173"/>
      <c r="Z43" s="173"/>
      <c r="AA43" s="173"/>
    </row>
    <row r="44" spans="1:27" x14ac:dyDescent="0.15">
      <c r="B44" s="158"/>
      <c r="C44" s="159"/>
      <c r="D44" s="160"/>
      <c r="E44" s="159"/>
      <c r="F44" s="158"/>
      <c r="G44" s="161"/>
      <c r="H44" s="127"/>
      <c r="I44" s="127"/>
      <c r="K44" s="127"/>
      <c r="Q44" s="74"/>
      <c r="R44" s="168"/>
      <c r="S44" s="168"/>
      <c r="U44" s="164"/>
      <c r="X44" s="166"/>
      <c r="Y44" s="173"/>
      <c r="Z44" s="173"/>
      <c r="AA44" s="173"/>
    </row>
    <row r="45" spans="1:27" x14ac:dyDescent="0.15">
      <c r="B45" s="158"/>
      <c r="C45" s="158"/>
      <c r="D45" s="160"/>
      <c r="E45" s="159"/>
      <c r="F45" s="158"/>
      <c r="G45" s="161"/>
      <c r="H45" s="127"/>
      <c r="I45" s="127"/>
      <c r="K45" s="127"/>
      <c r="Q45" s="74"/>
      <c r="R45" s="168"/>
      <c r="S45" s="168"/>
      <c r="U45" s="164"/>
      <c r="X45" s="166"/>
      <c r="Y45" s="173"/>
      <c r="Z45" s="173"/>
      <c r="AA45" s="173"/>
    </row>
    <row r="46" spans="1:27" x14ac:dyDescent="0.15">
      <c r="B46" s="158"/>
      <c r="C46" s="159"/>
      <c r="D46" s="160"/>
      <c r="E46" s="159"/>
      <c r="F46" s="158"/>
      <c r="G46" s="161"/>
      <c r="H46" s="127"/>
      <c r="I46" s="127"/>
      <c r="K46" s="127"/>
      <c r="Q46" s="74"/>
      <c r="R46" s="168"/>
      <c r="S46" s="168"/>
      <c r="U46" s="164"/>
      <c r="X46" s="166"/>
      <c r="Y46" s="173"/>
      <c r="Z46" s="173"/>
      <c r="AA46" s="173"/>
    </row>
    <row r="47" spans="1:27" x14ac:dyDescent="0.15">
      <c r="B47" s="34"/>
      <c r="D47" s="174"/>
      <c r="F47" s="158"/>
      <c r="G47" s="161"/>
      <c r="H47" s="127"/>
      <c r="I47" s="127"/>
      <c r="K47" s="127"/>
      <c r="Q47" s="74"/>
      <c r="R47" s="168"/>
      <c r="S47" s="168"/>
      <c r="X47" s="166"/>
    </row>
    <row r="48" spans="1:27" x14ac:dyDescent="0.15">
      <c r="B48" s="34"/>
      <c r="D48" s="174"/>
      <c r="F48" s="158"/>
      <c r="G48" s="161"/>
      <c r="H48" s="127"/>
      <c r="I48" s="127"/>
      <c r="K48" s="127"/>
      <c r="Q48" s="74"/>
      <c r="R48" s="168"/>
      <c r="S48" s="168"/>
      <c r="X48" s="166"/>
    </row>
    <row r="49" spans="2:24" x14ac:dyDescent="0.15">
      <c r="B49" s="34"/>
      <c r="D49" s="174"/>
      <c r="F49" s="158"/>
      <c r="G49" s="161"/>
      <c r="H49" s="127"/>
      <c r="I49" s="127"/>
      <c r="K49" s="127"/>
      <c r="Q49" s="74"/>
      <c r="R49" s="168"/>
      <c r="S49" s="168"/>
      <c r="X49" s="166"/>
    </row>
    <row r="50" spans="2:24" x14ac:dyDescent="0.15">
      <c r="D50" s="174"/>
      <c r="F50" s="158"/>
      <c r="G50" s="161"/>
      <c r="K50" s="127"/>
      <c r="Q50" s="74"/>
      <c r="X50" s="166"/>
    </row>
    <row r="51" spans="2:24" x14ac:dyDescent="0.15">
      <c r="D51" s="174"/>
      <c r="F51" s="158"/>
      <c r="G51" s="161"/>
      <c r="K51" s="127"/>
      <c r="Q51" s="74"/>
      <c r="X51" s="166"/>
    </row>
    <row r="52" spans="2:24" x14ac:dyDescent="0.15">
      <c r="D52" s="174"/>
      <c r="F52" s="158"/>
      <c r="G52" s="161"/>
      <c r="K52" s="127"/>
      <c r="Q52" s="74"/>
      <c r="X52" s="166"/>
    </row>
    <row r="53" spans="2:24" x14ac:dyDescent="0.15">
      <c r="D53" s="174"/>
      <c r="F53" s="158"/>
      <c r="G53" s="161"/>
      <c r="K53" s="127"/>
      <c r="Q53" s="74"/>
      <c r="X53" s="166"/>
    </row>
    <row r="54" spans="2:24" x14ac:dyDescent="0.15">
      <c r="D54" s="174"/>
      <c r="F54" s="158"/>
      <c r="G54" s="161"/>
      <c r="K54" s="127"/>
      <c r="Q54" s="74"/>
      <c r="X54" s="166"/>
    </row>
    <row r="55" spans="2:24" x14ac:dyDescent="0.15">
      <c r="D55" s="174"/>
      <c r="F55" s="158"/>
      <c r="G55" s="161"/>
      <c r="K55" s="127"/>
      <c r="Q55" s="74"/>
      <c r="X55" s="166"/>
    </row>
    <row r="56" spans="2:24" x14ac:dyDescent="0.15">
      <c r="D56" s="174"/>
      <c r="F56" s="158"/>
      <c r="G56" s="161"/>
      <c r="K56" s="127"/>
      <c r="Q56" s="74"/>
      <c r="X56" s="166"/>
    </row>
    <row r="57" spans="2:24" x14ac:dyDescent="0.15">
      <c r="D57" s="174"/>
      <c r="F57" s="158"/>
      <c r="G57" s="161"/>
      <c r="K57" s="127"/>
      <c r="Q57" s="74"/>
      <c r="X57" s="166"/>
    </row>
    <row r="58" spans="2:24" x14ac:dyDescent="0.15">
      <c r="D58" s="174"/>
      <c r="F58" s="158"/>
      <c r="G58" s="161"/>
      <c r="K58" s="127"/>
      <c r="Q58" s="74"/>
      <c r="X58" s="166"/>
    </row>
    <row r="59" spans="2:24" x14ac:dyDescent="0.15">
      <c r="D59" s="174"/>
      <c r="F59" s="158"/>
      <c r="G59" s="161"/>
      <c r="K59" s="127"/>
      <c r="Q59" s="74"/>
      <c r="X59" s="166"/>
    </row>
    <row r="60" spans="2:24" x14ac:dyDescent="0.15">
      <c r="D60" s="174"/>
      <c r="F60" s="158"/>
      <c r="G60" s="161"/>
      <c r="K60" s="127"/>
      <c r="Q60" s="74"/>
      <c r="X60" s="166"/>
    </row>
    <row r="61" spans="2:24" x14ac:dyDescent="0.15">
      <c r="D61" s="174"/>
      <c r="F61" s="158"/>
      <c r="G61" s="161"/>
      <c r="K61" s="127"/>
      <c r="Q61" s="74"/>
      <c r="X61" s="166"/>
    </row>
    <row r="62" spans="2:24" x14ac:dyDescent="0.15">
      <c r="D62" s="174"/>
      <c r="F62" s="158"/>
      <c r="G62" s="161"/>
      <c r="K62" s="127"/>
      <c r="Q62" s="74" t="str">
        <f t="shared" ref="Q62:Q91" si="4">IF(OR(O62="",P62=""),"",AVERAGE(O62,P62))</f>
        <v/>
      </c>
      <c r="T62" s="16" t="str">
        <f t="shared" si="0"/>
        <v/>
      </c>
      <c r="V62" s="16" t="str">
        <f t="shared" si="3"/>
        <v/>
      </c>
      <c r="X62" s="166"/>
    </row>
    <row r="63" spans="2:24" x14ac:dyDescent="0.15">
      <c r="D63" s="174"/>
      <c r="F63" s="158"/>
      <c r="G63" s="161"/>
      <c r="K63" s="127"/>
      <c r="Q63" s="74" t="str">
        <f t="shared" si="4"/>
        <v/>
      </c>
      <c r="T63" s="16" t="str">
        <f t="shared" si="0"/>
        <v/>
      </c>
      <c r="V63" s="16" t="str">
        <f t="shared" si="3"/>
        <v/>
      </c>
      <c r="X63" s="166"/>
    </row>
    <row r="64" spans="2:24" x14ac:dyDescent="0.15">
      <c r="D64" s="174"/>
      <c r="F64" s="158"/>
      <c r="G64" s="161"/>
      <c r="K64" s="127"/>
      <c r="Q64" s="74" t="str">
        <f t="shared" si="4"/>
        <v/>
      </c>
      <c r="T64" s="16" t="str">
        <f t="shared" si="0"/>
        <v/>
      </c>
      <c r="V64" s="16" t="str">
        <f t="shared" si="3"/>
        <v/>
      </c>
      <c r="X64" s="166"/>
    </row>
    <row r="65" spans="4:24" x14ac:dyDescent="0.15">
      <c r="D65" s="174"/>
      <c r="F65" s="158"/>
      <c r="G65" s="161"/>
      <c r="K65" s="127"/>
      <c r="Q65" s="74" t="str">
        <f t="shared" si="4"/>
        <v/>
      </c>
      <c r="T65" s="16" t="str">
        <f t="shared" si="0"/>
        <v/>
      </c>
      <c r="V65" s="16" t="str">
        <f t="shared" si="3"/>
        <v/>
      </c>
      <c r="X65" s="166"/>
    </row>
    <row r="66" spans="4:24" x14ac:dyDescent="0.15">
      <c r="D66" s="174"/>
      <c r="F66" s="158"/>
      <c r="G66" s="161"/>
      <c r="K66" s="127"/>
      <c r="Q66" s="74" t="str">
        <f t="shared" si="4"/>
        <v/>
      </c>
      <c r="T66" s="16" t="str">
        <f t="shared" ref="T66:T91" si="5">IF(H66="","",IF(OR(H66="GREEN",H66="GK"),IF(S66&gt;=$AX$2,VLOOKUP(S66,$AX$2:$AY$7,2,1),""),IF(S66&gt;=$AZ$2,VLOOKUP(S66,$AZ$2:$BA$7,2,1),"")))</f>
        <v/>
      </c>
      <c r="V66" s="16" t="str">
        <f t="shared" si="3"/>
        <v/>
      </c>
      <c r="X66" s="166"/>
    </row>
    <row r="67" spans="4:24" x14ac:dyDescent="0.15">
      <c r="D67" s="174"/>
      <c r="F67" s="158"/>
      <c r="G67" s="161"/>
      <c r="K67" s="127"/>
      <c r="Q67" s="74" t="str">
        <f t="shared" si="4"/>
        <v/>
      </c>
      <c r="T67" s="16" t="str">
        <f t="shared" si="5"/>
        <v/>
      </c>
      <c r="V67" s="16" t="str">
        <f t="shared" si="3"/>
        <v/>
      </c>
      <c r="X67" s="166"/>
    </row>
    <row r="68" spans="4:24" x14ac:dyDescent="0.15">
      <c r="D68" s="174"/>
      <c r="F68" s="158"/>
      <c r="G68" s="161"/>
      <c r="K68" s="127"/>
      <c r="Q68" s="74" t="str">
        <f t="shared" si="4"/>
        <v/>
      </c>
      <c r="T68" s="16" t="str">
        <f t="shared" si="5"/>
        <v/>
      </c>
      <c r="V68" s="16" t="str">
        <f t="shared" si="3"/>
        <v/>
      </c>
      <c r="X68" s="166"/>
    </row>
    <row r="69" spans="4:24" x14ac:dyDescent="0.15">
      <c r="D69" s="174"/>
      <c r="F69" s="158"/>
      <c r="G69" s="161"/>
      <c r="K69" s="127"/>
      <c r="Q69" s="74" t="str">
        <f t="shared" si="4"/>
        <v/>
      </c>
      <c r="T69" s="16" t="str">
        <f t="shared" si="5"/>
        <v/>
      </c>
      <c r="V69" s="16" t="str">
        <f t="shared" si="3"/>
        <v/>
      </c>
      <c r="X69" s="166"/>
    </row>
    <row r="70" spans="4:24" x14ac:dyDescent="0.15">
      <c r="D70" s="174"/>
      <c r="F70" s="158"/>
      <c r="G70" s="161"/>
      <c r="K70" s="127"/>
      <c r="Q70" s="74" t="str">
        <f t="shared" si="4"/>
        <v/>
      </c>
      <c r="T70" s="16" t="str">
        <f t="shared" si="5"/>
        <v/>
      </c>
      <c r="V70" s="16" t="str">
        <f t="shared" si="3"/>
        <v/>
      </c>
      <c r="X70" s="166"/>
    </row>
    <row r="71" spans="4:24" x14ac:dyDescent="0.15">
      <c r="D71" s="174"/>
      <c r="F71" s="158"/>
      <c r="G71" s="161"/>
      <c r="K71" s="127"/>
      <c r="Q71" s="74" t="str">
        <f t="shared" si="4"/>
        <v/>
      </c>
      <c r="T71" s="16" t="str">
        <f t="shared" si="5"/>
        <v/>
      </c>
      <c r="V71" s="16" t="str">
        <f t="shared" si="3"/>
        <v/>
      </c>
      <c r="X71" s="166"/>
    </row>
    <row r="72" spans="4:24" x14ac:dyDescent="0.15">
      <c r="D72" s="174"/>
      <c r="F72" s="158"/>
      <c r="G72" s="161"/>
      <c r="K72" s="127"/>
      <c r="Q72" s="74" t="str">
        <f t="shared" si="4"/>
        <v/>
      </c>
      <c r="T72" s="16" t="str">
        <f t="shared" si="5"/>
        <v/>
      </c>
      <c r="V72" s="16" t="str">
        <f t="shared" si="3"/>
        <v/>
      </c>
      <c r="X72" s="166"/>
    </row>
    <row r="73" spans="4:24" x14ac:dyDescent="0.15">
      <c r="D73" s="174"/>
      <c r="F73" s="158"/>
      <c r="G73" s="161"/>
      <c r="K73" s="127"/>
      <c r="Q73" s="74" t="str">
        <f t="shared" si="4"/>
        <v/>
      </c>
      <c r="T73" s="16" t="str">
        <f t="shared" si="5"/>
        <v/>
      </c>
      <c r="V73" s="16" t="str">
        <f t="shared" si="3"/>
        <v/>
      </c>
      <c r="X73" s="166"/>
    </row>
    <row r="74" spans="4:24" x14ac:dyDescent="0.15">
      <c r="D74" s="174"/>
      <c r="F74" s="158"/>
      <c r="G74" s="161"/>
      <c r="K74" s="127"/>
      <c r="Q74" s="74" t="str">
        <f t="shared" si="4"/>
        <v/>
      </c>
      <c r="T74" s="16" t="str">
        <f t="shared" si="5"/>
        <v/>
      </c>
      <c r="V74" s="16" t="str">
        <f t="shared" si="3"/>
        <v/>
      </c>
      <c r="X74" s="166"/>
    </row>
    <row r="75" spans="4:24" x14ac:dyDescent="0.15">
      <c r="D75" s="174"/>
      <c r="F75" s="158"/>
      <c r="G75" s="161"/>
      <c r="K75" s="127"/>
      <c r="Q75" s="74" t="str">
        <f t="shared" si="4"/>
        <v/>
      </c>
      <c r="T75" s="16" t="str">
        <f t="shared" si="5"/>
        <v/>
      </c>
      <c r="V75" s="16" t="str">
        <f t="shared" si="3"/>
        <v/>
      </c>
      <c r="X75" s="166"/>
    </row>
    <row r="76" spans="4:24" x14ac:dyDescent="0.15">
      <c r="D76" s="174"/>
      <c r="F76" s="158"/>
      <c r="G76" s="161"/>
      <c r="K76" s="127"/>
      <c r="Q76" s="74" t="str">
        <f t="shared" si="4"/>
        <v/>
      </c>
      <c r="T76" s="16" t="str">
        <f t="shared" si="5"/>
        <v/>
      </c>
      <c r="V76" s="16" t="str">
        <f t="shared" si="3"/>
        <v/>
      </c>
      <c r="X76" s="166"/>
    </row>
    <row r="77" spans="4:24" x14ac:dyDescent="0.15">
      <c r="D77" s="174"/>
      <c r="F77" s="158"/>
      <c r="G77" s="161"/>
      <c r="K77" s="127"/>
      <c r="Q77" s="74" t="str">
        <f t="shared" si="4"/>
        <v/>
      </c>
      <c r="T77" s="16" t="str">
        <f t="shared" si="5"/>
        <v/>
      </c>
      <c r="V77" s="16" t="str">
        <f t="shared" si="3"/>
        <v/>
      </c>
      <c r="X77" s="166"/>
    </row>
    <row r="78" spans="4:24" x14ac:dyDescent="0.15">
      <c r="D78" s="174"/>
      <c r="F78" s="158"/>
      <c r="G78" s="161"/>
      <c r="K78" s="127"/>
      <c r="Q78" s="74" t="str">
        <f t="shared" si="4"/>
        <v/>
      </c>
      <c r="T78" s="16" t="str">
        <f t="shared" si="5"/>
        <v/>
      </c>
      <c r="V78" s="16" t="str">
        <f t="shared" si="3"/>
        <v/>
      </c>
      <c r="X78" s="166"/>
    </row>
    <row r="79" spans="4:24" x14ac:dyDescent="0.15">
      <c r="D79" s="174"/>
      <c r="F79" s="158"/>
      <c r="G79" s="161"/>
      <c r="K79" s="127"/>
      <c r="Q79" s="74" t="str">
        <f t="shared" si="4"/>
        <v/>
      </c>
      <c r="T79" s="16" t="str">
        <f t="shared" si="5"/>
        <v/>
      </c>
      <c r="V79" s="16" t="str">
        <f t="shared" si="3"/>
        <v/>
      </c>
      <c r="X79" s="166"/>
    </row>
    <row r="80" spans="4:24" x14ac:dyDescent="0.15">
      <c r="K80" s="127"/>
      <c r="Q80" s="74" t="str">
        <f t="shared" si="4"/>
        <v/>
      </c>
      <c r="T80" s="16" t="str">
        <f t="shared" si="5"/>
        <v/>
      </c>
      <c r="V80" s="16" t="str">
        <f t="shared" si="3"/>
        <v/>
      </c>
    </row>
    <row r="81" spans="11:22" x14ac:dyDescent="0.15">
      <c r="K81" s="127"/>
      <c r="Q81" s="74" t="str">
        <f t="shared" si="4"/>
        <v/>
      </c>
      <c r="T81" s="16" t="str">
        <f t="shared" si="5"/>
        <v/>
      </c>
      <c r="V81" s="16" t="str">
        <f t="shared" si="3"/>
        <v/>
      </c>
    </row>
    <row r="82" spans="11:22" x14ac:dyDescent="0.15">
      <c r="K82" s="127"/>
      <c r="Q82" s="74" t="str">
        <f t="shared" si="4"/>
        <v/>
      </c>
      <c r="T82" s="16" t="str">
        <f t="shared" si="5"/>
        <v/>
      </c>
      <c r="V82" s="16" t="str">
        <f t="shared" si="3"/>
        <v/>
      </c>
    </row>
    <row r="83" spans="11:22" x14ac:dyDescent="0.15">
      <c r="K83" s="127"/>
      <c r="Q83" s="74" t="str">
        <f t="shared" si="4"/>
        <v/>
      </c>
      <c r="T83" s="16" t="str">
        <f t="shared" si="5"/>
        <v/>
      </c>
      <c r="V83" s="16" t="str">
        <f t="shared" si="3"/>
        <v/>
      </c>
    </row>
    <row r="84" spans="11:22" x14ac:dyDescent="0.15">
      <c r="K84" s="127"/>
      <c r="Q84" s="74" t="str">
        <f t="shared" si="4"/>
        <v/>
      </c>
      <c r="T84" s="16" t="str">
        <f t="shared" si="5"/>
        <v/>
      </c>
      <c r="V84" s="16" t="str">
        <f t="shared" si="3"/>
        <v/>
      </c>
    </row>
    <row r="85" spans="11:22" x14ac:dyDescent="0.15">
      <c r="K85" s="127"/>
      <c r="Q85" s="74" t="str">
        <f t="shared" si="4"/>
        <v/>
      </c>
      <c r="T85" s="16" t="str">
        <f t="shared" si="5"/>
        <v/>
      </c>
      <c r="V85" s="16" t="str">
        <f t="shared" si="3"/>
        <v/>
      </c>
    </row>
    <row r="86" spans="11:22" x14ac:dyDescent="0.15">
      <c r="K86" s="127"/>
      <c r="Q86" s="74" t="str">
        <f t="shared" si="4"/>
        <v/>
      </c>
      <c r="T86" s="16" t="str">
        <f t="shared" si="5"/>
        <v/>
      </c>
      <c r="V86" s="16" t="str">
        <f t="shared" si="3"/>
        <v/>
      </c>
    </row>
    <row r="87" spans="11:22" x14ac:dyDescent="0.15">
      <c r="K87" s="127"/>
      <c r="Q87" s="74" t="str">
        <f t="shared" si="4"/>
        <v/>
      </c>
      <c r="T87" s="16" t="str">
        <f t="shared" si="5"/>
        <v/>
      </c>
      <c r="V87" s="16" t="str">
        <f t="shared" si="3"/>
        <v/>
      </c>
    </row>
    <row r="88" spans="11:22" x14ac:dyDescent="0.15">
      <c r="K88" s="127"/>
      <c r="Q88" s="74" t="str">
        <f t="shared" si="4"/>
        <v/>
      </c>
      <c r="T88" s="16" t="str">
        <f t="shared" si="5"/>
        <v/>
      </c>
      <c r="V88" s="16" t="str">
        <f t="shared" si="3"/>
        <v/>
      </c>
    </row>
    <row r="89" spans="11:22" x14ac:dyDescent="0.15">
      <c r="K89" s="127"/>
      <c r="Q89" s="74" t="str">
        <f t="shared" si="4"/>
        <v/>
      </c>
      <c r="T89" s="16" t="str">
        <f t="shared" si="5"/>
        <v/>
      </c>
      <c r="V89" s="16" t="str">
        <f t="shared" si="3"/>
        <v/>
      </c>
    </row>
    <row r="90" spans="11:22" x14ac:dyDescent="0.15">
      <c r="K90" s="127"/>
      <c r="Q90" s="74" t="str">
        <f t="shared" si="4"/>
        <v/>
      </c>
      <c r="T90" s="16" t="str">
        <f t="shared" si="5"/>
        <v/>
      </c>
      <c r="V90" s="16" t="str">
        <f t="shared" si="3"/>
        <v/>
      </c>
    </row>
    <row r="91" spans="11:22" x14ac:dyDescent="0.15">
      <c r="K91" s="127"/>
      <c r="Q91" s="74" t="str">
        <f t="shared" si="4"/>
        <v/>
      </c>
      <c r="T91" s="16" t="str">
        <f t="shared" si="5"/>
        <v/>
      </c>
      <c r="V91" s="16" t="str">
        <f t="shared" si="3"/>
        <v/>
      </c>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c r="Q286" s="74"/>
    </row>
    <row r="287" spans="11:17" x14ac:dyDescent="0.15">
      <c r="K287" s="127"/>
      <c r="Q287" s="74"/>
    </row>
    <row r="288" spans="11:17" x14ac:dyDescent="0.15">
      <c r="K288" s="127"/>
      <c r="Q288" s="74"/>
    </row>
    <row r="289" spans="11:17" x14ac:dyDescent="0.15">
      <c r="K289" s="127"/>
      <c r="Q289" s="74"/>
    </row>
    <row r="290" spans="11:17" x14ac:dyDescent="0.15">
      <c r="K290" s="127"/>
      <c r="Q290" s="74"/>
    </row>
    <row r="291" spans="11:17" x14ac:dyDescent="0.15">
      <c r="K291" s="127"/>
      <c r="Q291" s="74"/>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63FA356C-6453-47B1-B7DC-56FA19D81E27}">
      <formula1>$AH$2:$AH$11</formula1>
    </dataValidation>
    <dataValidation type="list" allowBlank="1" showInputMessage="1" showErrorMessage="1" sqref="E2:E491" xr:uid="{DFB73114-94F0-4CC8-B55B-3C9B9824FB37}">
      <formula1>$AG$2:$AG$11</formula1>
    </dataValidation>
    <dataValidation type="decimal" allowBlank="1" showInputMessage="1" showErrorMessage="1" error="硬度を正しく入力して下さい。" sqref="O2:P491" xr:uid="{C83C0456-23F8-4FF8-8E83-2FCF5F55BEC7}">
      <formula1>0</formula1>
      <formula2>7</formula2>
    </dataValidation>
    <dataValidation type="list" allowBlank="1" showInputMessage="1" showErrorMessage="1" sqref="Y2:AA491" xr:uid="{1ECD5D5D-5B16-46B8-99AE-2B3D5CD976B8}">
      <formula1>$AV$2:$AV$21</formula1>
    </dataValidation>
    <dataValidation type="list" allowBlank="1" showInputMessage="1" showErrorMessage="1" sqref="K444:K491" xr:uid="{B0B99C7C-BEF8-4958-B86E-26747D5D42DA}">
      <formula1>$AR$2:$AR$25</formula1>
    </dataValidation>
    <dataValidation type="list" allowBlank="1" showInputMessage="1" showErrorMessage="1" sqref="I2:I491" xr:uid="{0B3546B6-204D-4D61-9F22-4AA3733DAFFD}">
      <formula1>$AN$5:$AN$6</formula1>
    </dataValidation>
    <dataValidation type="list" allowBlank="1" showInputMessage="1" showErrorMessage="1" sqref="H2:H491" xr:uid="{D290DF4C-A552-4DB6-88B5-A20B14C1B99D}">
      <formula1>$AL$2:$AL$8</formula1>
    </dataValidation>
    <dataValidation type="list" allowBlank="1" showInputMessage="1" showErrorMessage="1" sqref="A2:A491" xr:uid="{860D476A-2030-402B-85C5-D4D851D40B09}">
      <formula1>$AE$2:$AE$19</formula1>
    </dataValidation>
    <dataValidation type="list" allowBlank="1" showInputMessage="1" showErrorMessage="1" sqref="X2:X491" xr:uid="{9AD0A87E-58C3-48BE-AFD8-8AC8A2304748}">
      <formula1>$AT$2:$AT$3</formula1>
    </dataValidation>
    <dataValidation type="list" allowBlank="1" showInputMessage="1" showErrorMessage="1" sqref="G2:G491" xr:uid="{543E5996-8CCF-47B4-B6B6-2807EB75D751}">
      <formula1>$AJ$2:$AJ$4</formula1>
    </dataValidation>
    <dataValidation type="list" allowBlank="1" showInputMessage="1" showErrorMessage="1" sqref="J2:J491" xr:uid="{E9E1AE49-1982-46CF-887B-C356A6B5437C}">
      <formula1>$AP$2:$AP$27</formula1>
    </dataValidation>
    <dataValidation operator="equal" allowBlank="1" showInputMessage="1" showErrorMessage="1" sqref="B2:B46" xr:uid="{E4A2A52F-DA55-4DAA-A820-CABE413B1F5C}"/>
    <dataValidation type="list" allowBlank="1" showInputMessage="1" showErrorMessage="1" sqref="F492:F64242" xr:uid="{2CEC182F-04BA-47E5-B857-E4A2DB0443F5}">
      <formula1>$AH$2:$AH$8</formula1>
    </dataValidation>
    <dataValidation type="list" allowBlank="1" showInputMessage="1" showErrorMessage="1" sqref="E492:E64242" xr:uid="{EB45B1F8-0B23-4E47-B00C-A9082E63BD80}">
      <formula1>$AG$2:$AG$9</formula1>
    </dataValidation>
    <dataValidation type="list" allowBlank="1" showInputMessage="1" showErrorMessage="1" sqref="H492:H64242" xr:uid="{3E63BD2D-8C4A-484B-B8A1-5FCD2C0BE72A}">
      <formula1>$AL$2:$AL$10</formula1>
    </dataValidation>
    <dataValidation type="list" allowBlank="1" showInputMessage="1" showErrorMessage="1" sqref="K492:K64242" xr:uid="{2CB15D70-0CFE-4A72-AF34-BDC62D0BF65F}">
      <formula1>$AR$2:$AR$28</formula1>
    </dataValidation>
    <dataValidation type="list" allowBlank="1" showInputMessage="1" showErrorMessage="1" sqref="Y492:AA64242" xr:uid="{C0511C7B-8DC9-429D-9CCA-78EA5FB08488}">
      <formula1>$AV$2:$AV$26</formula1>
    </dataValidation>
    <dataValidation type="list" allowBlank="1" showInputMessage="1" showErrorMessage="1" sqref="I492:I64242" xr:uid="{C8F2CE9A-6E8B-4055-8495-1AEF1FF619CF}">
      <formula1>$AN$2:$AN$6</formula1>
    </dataValidation>
    <dataValidation type="list" allowBlank="1" showInputMessage="1" showErrorMessage="1" sqref="J492:J64242" xr:uid="{7AFA847E-3E2C-46EC-BAFA-86F0D82BAD1F}">
      <formula1>$AP$2:$AP$16</formula1>
    </dataValidation>
    <dataValidation type="list" allowBlank="1" showInputMessage="1" showErrorMessage="1" sqref="K2:K443" xr:uid="{53916495-2B42-4CA2-9D79-AAE90DD6C149}">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C235-2C6C-4524-BC92-C5DD0F4AF7D6}">
  <dimension ref="A1:BA146"/>
  <sheetViews>
    <sheetView zoomScale="85" zoomScaleNormal="85" workbookViewId="0">
      <pane ySplit="1" topLeftCell="A35" activePane="bottomLeft" state="frozen"/>
      <selection pane="bottomLeft" activeCell="N66" sqref="N66"/>
    </sheetView>
  </sheetViews>
  <sheetFormatPr defaultRowHeight="13.5" x14ac:dyDescent="0.15"/>
  <cols>
    <col min="1" max="2" width="9" style="53"/>
    <col min="3" max="3" width="6.5" style="53" customWidth="1"/>
    <col min="4" max="4" width="10.5" style="53" bestFit="1"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317</v>
      </c>
      <c r="V1" s="5" t="s">
        <v>20</v>
      </c>
      <c r="W1" s="56" t="s">
        <v>21</v>
      </c>
      <c r="X1" s="45" t="s">
        <v>22</v>
      </c>
      <c r="Y1" s="45" t="s">
        <v>23</v>
      </c>
      <c r="Z1" s="45" t="s">
        <v>374</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237</v>
      </c>
      <c r="C2" s="53">
        <v>2019</v>
      </c>
      <c r="D2" s="176" t="s">
        <v>361</v>
      </c>
      <c r="E2" s="53" t="s">
        <v>375</v>
      </c>
      <c r="F2" s="53" t="s">
        <v>376</v>
      </c>
      <c r="G2" s="53" t="s">
        <v>36</v>
      </c>
      <c r="H2" s="53" t="s">
        <v>164</v>
      </c>
      <c r="I2" s="53" t="s">
        <v>159</v>
      </c>
      <c r="J2" s="53" t="s">
        <v>38</v>
      </c>
      <c r="K2" s="53" t="s">
        <v>161</v>
      </c>
      <c r="L2" s="53">
        <v>1</v>
      </c>
      <c r="N2" s="53">
        <v>1</v>
      </c>
      <c r="O2" s="53">
        <v>0.55000000000000004</v>
      </c>
      <c r="P2" s="53">
        <v>0.7</v>
      </c>
      <c r="Q2" s="74">
        <f t="shared" ref="Q2:Q65" si="0">IF(OR(O2="",P2=""),"",AVERAGE(O2,P2))</f>
        <v>0.625</v>
      </c>
      <c r="R2" s="53">
        <v>15.1</v>
      </c>
      <c r="S2" s="53">
        <v>120</v>
      </c>
      <c r="T2" s="16">
        <f t="shared" ref="T2:T65" si="1">IF(H2="","",IF(OR(H2="GREEN",H2="GK"),IF(S2&gt;=$AX$2,VLOOKUP(S2,$AX$2:$AY$9,2,1),""),IF(S2&gt;=$AZ$2,VLOOKUP(S2,$AZ$2:$BA$9,2,1),"")))</f>
        <v>30</v>
      </c>
      <c r="U2" s="53">
        <v>103</v>
      </c>
      <c r="V2" s="16">
        <f t="shared" ref="V2:V65" si="2">IF(OR(N2="",U2="",T2=""),"",U2/N2*T2)</f>
        <v>3090</v>
      </c>
      <c r="W2" s="53">
        <v>1</v>
      </c>
      <c r="X2" s="53" t="s">
        <v>46</v>
      </c>
      <c r="Y2" s="53" t="s">
        <v>84</v>
      </c>
      <c r="Z2" s="53" t="s">
        <v>90</v>
      </c>
      <c r="AA2" s="53" t="s">
        <v>69</v>
      </c>
      <c r="AB2" s="53" t="s">
        <v>241</v>
      </c>
      <c r="AE2" s="64" t="s">
        <v>35</v>
      </c>
      <c r="AG2" s="177" t="s">
        <v>367</v>
      </c>
      <c r="AH2" s="67" t="s">
        <v>377</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237</v>
      </c>
      <c r="C3" s="53">
        <v>2019</v>
      </c>
      <c r="D3" s="176" t="s">
        <v>361</v>
      </c>
      <c r="E3" s="53" t="s">
        <v>375</v>
      </c>
      <c r="F3" s="53" t="s">
        <v>376</v>
      </c>
      <c r="G3" s="53" t="s">
        <v>36</v>
      </c>
      <c r="H3" s="53" t="s">
        <v>164</v>
      </c>
      <c r="I3" s="53" t="s">
        <v>159</v>
      </c>
      <c r="J3" s="53" t="s">
        <v>38</v>
      </c>
      <c r="K3" s="53" t="s">
        <v>161</v>
      </c>
      <c r="L3" s="53">
        <v>2</v>
      </c>
      <c r="N3" s="53">
        <v>1</v>
      </c>
      <c r="O3" s="53">
        <v>0.75</v>
      </c>
      <c r="P3" s="53">
        <v>0.75</v>
      </c>
      <c r="Q3" s="74">
        <f t="shared" si="0"/>
        <v>0.75</v>
      </c>
      <c r="R3" s="53">
        <v>14.6</v>
      </c>
      <c r="S3" s="53">
        <v>128</v>
      </c>
      <c r="T3" s="16">
        <f t="shared" si="1"/>
        <v>30</v>
      </c>
      <c r="U3" s="53">
        <v>103</v>
      </c>
      <c r="V3" s="16">
        <f t="shared" si="2"/>
        <v>3090</v>
      </c>
      <c r="W3" s="53">
        <v>1</v>
      </c>
      <c r="X3" s="53" t="s">
        <v>46</v>
      </c>
      <c r="Y3" s="53" t="s">
        <v>84</v>
      </c>
      <c r="Z3" s="53" t="s">
        <v>90</v>
      </c>
      <c r="AA3" s="53" t="s">
        <v>69</v>
      </c>
      <c r="AB3" s="53" t="s">
        <v>241</v>
      </c>
      <c r="AE3" s="22" t="s">
        <v>41</v>
      </c>
      <c r="AG3" s="178" t="s">
        <v>378</v>
      </c>
      <c r="AH3" s="67" t="s">
        <v>379</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237</v>
      </c>
      <c r="C4" s="53">
        <v>2019</v>
      </c>
      <c r="D4" s="176" t="s">
        <v>361</v>
      </c>
      <c r="E4" s="53" t="s">
        <v>375</v>
      </c>
      <c r="F4" s="53" t="s">
        <v>376</v>
      </c>
      <c r="G4" s="53" t="s">
        <v>36</v>
      </c>
      <c r="H4" s="53" t="s">
        <v>164</v>
      </c>
      <c r="I4" s="53" t="s">
        <v>159</v>
      </c>
      <c r="J4" s="53" t="s">
        <v>38</v>
      </c>
      <c r="K4" s="53" t="s">
        <v>161</v>
      </c>
      <c r="L4" s="53">
        <v>3</v>
      </c>
      <c r="N4" s="53">
        <v>1</v>
      </c>
      <c r="O4" s="53">
        <v>0.2</v>
      </c>
      <c r="P4" s="53">
        <v>0.2</v>
      </c>
      <c r="Q4" s="74">
        <f t="shared" si="0"/>
        <v>0.2</v>
      </c>
      <c r="R4" s="53">
        <v>14</v>
      </c>
      <c r="S4" s="53">
        <v>126</v>
      </c>
      <c r="T4" s="16">
        <f t="shared" si="1"/>
        <v>30</v>
      </c>
      <c r="U4" s="53">
        <v>103</v>
      </c>
      <c r="V4" s="16">
        <f t="shared" si="2"/>
        <v>3090</v>
      </c>
      <c r="W4" s="53">
        <v>1</v>
      </c>
      <c r="X4" s="53" t="s">
        <v>46</v>
      </c>
      <c r="Y4" s="53" t="s">
        <v>84</v>
      </c>
      <c r="Z4" s="53" t="s">
        <v>90</v>
      </c>
      <c r="AA4" s="53" t="s">
        <v>69</v>
      </c>
      <c r="AB4" s="53" t="s">
        <v>241</v>
      </c>
      <c r="AE4" s="22" t="s">
        <v>34</v>
      </c>
      <c r="AG4" s="178" t="s">
        <v>380</v>
      </c>
      <c r="AH4" s="67" t="s">
        <v>381</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237</v>
      </c>
      <c r="C5" s="53">
        <v>2019</v>
      </c>
      <c r="D5" s="176" t="s">
        <v>361</v>
      </c>
      <c r="E5" s="53" t="s">
        <v>382</v>
      </c>
      <c r="F5" s="53" t="s">
        <v>383</v>
      </c>
      <c r="G5" s="53" t="s">
        <v>36</v>
      </c>
      <c r="H5" s="53" t="s">
        <v>164</v>
      </c>
      <c r="I5" s="53" t="s">
        <v>159</v>
      </c>
      <c r="J5" s="53" t="s">
        <v>38</v>
      </c>
      <c r="K5" s="53" t="s">
        <v>161</v>
      </c>
      <c r="L5" s="53">
        <v>1</v>
      </c>
      <c r="N5" s="53">
        <v>1</v>
      </c>
      <c r="O5" s="53">
        <v>0.8</v>
      </c>
      <c r="P5" s="53">
        <v>0.9</v>
      </c>
      <c r="Q5" s="74">
        <f t="shared" si="0"/>
        <v>0.85000000000000009</v>
      </c>
      <c r="R5" s="53">
        <v>13.9</v>
      </c>
      <c r="S5" s="53">
        <v>132</v>
      </c>
      <c r="T5" s="16">
        <f t="shared" si="1"/>
        <v>30</v>
      </c>
      <c r="U5" s="53">
        <v>105</v>
      </c>
      <c r="V5" s="16">
        <f t="shared" si="2"/>
        <v>3150</v>
      </c>
      <c r="W5" s="53">
        <v>3</v>
      </c>
      <c r="X5" s="53" t="s">
        <v>46</v>
      </c>
      <c r="Y5" s="53" t="s">
        <v>84</v>
      </c>
      <c r="Z5" s="53" t="s">
        <v>78</v>
      </c>
      <c r="AA5" s="53" t="s">
        <v>90</v>
      </c>
      <c r="AB5" s="53" t="s">
        <v>241</v>
      </c>
      <c r="AE5" s="22" t="s">
        <v>51</v>
      </c>
      <c r="AG5" s="178" t="s">
        <v>384</v>
      </c>
      <c r="AH5" s="67" t="s">
        <v>385</v>
      </c>
      <c r="AJ5" s="28"/>
      <c r="AL5" s="73" t="s">
        <v>66</v>
      </c>
      <c r="AN5" s="73" t="s">
        <v>52</v>
      </c>
      <c r="AP5" s="23" t="s">
        <v>119</v>
      </c>
      <c r="AR5" s="23" t="s">
        <v>54</v>
      </c>
      <c r="AV5" s="23" t="s">
        <v>55</v>
      </c>
      <c r="AX5" s="24">
        <v>84</v>
      </c>
      <c r="AY5" s="25">
        <v>39</v>
      </c>
      <c r="AZ5" s="25">
        <v>84</v>
      </c>
      <c r="BA5" s="26">
        <v>36</v>
      </c>
    </row>
    <row r="6" spans="1:53" x14ac:dyDescent="0.15">
      <c r="A6" s="53" t="s">
        <v>34</v>
      </c>
      <c r="B6" s="53" t="s">
        <v>237</v>
      </c>
      <c r="C6" s="53">
        <v>2019</v>
      </c>
      <c r="D6" s="176" t="s">
        <v>361</v>
      </c>
      <c r="E6" s="53" t="s">
        <v>382</v>
      </c>
      <c r="F6" s="53" t="s">
        <v>383</v>
      </c>
      <c r="G6" s="53" t="s">
        <v>36</v>
      </c>
      <c r="H6" s="53" t="s">
        <v>164</v>
      </c>
      <c r="I6" s="53" t="s">
        <v>159</v>
      </c>
      <c r="J6" s="53" t="s">
        <v>38</v>
      </c>
      <c r="K6" s="53" t="s">
        <v>161</v>
      </c>
      <c r="L6" s="53">
        <v>2</v>
      </c>
      <c r="N6" s="53">
        <v>1</v>
      </c>
      <c r="O6" s="53">
        <v>0.75</v>
      </c>
      <c r="P6" s="53">
        <v>0.7</v>
      </c>
      <c r="Q6" s="74">
        <f t="shared" si="0"/>
        <v>0.72499999999999998</v>
      </c>
      <c r="R6" s="53">
        <v>12.9</v>
      </c>
      <c r="S6" s="53">
        <v>130</v>
      </c>
      <c r="T6" s="16">
        <f t="shared" si="1"/>
        <v>30</v>
      </c>
      <c r="U6" s="53">
        <v>105</v>
      </c>
      <c r="V6" s="16">
        <f t="shared" si="2"/>
        <v>3150</v>
      </c>
      <c r="W6" s="53">
        <v>3</v>
      </c>
      <c r="X6" s="53" t="s">
        <v>46</v>
      </c>
      <c r="Y6" s="53" t="s">
        <v>84</v>
      </c>
      <c r="Z6" s="53" t="s">
        <v>78</v>
      </c>
      <c r="AA6" s="53" t="s">
        <v>90</v>
      </c>
      <c r="AB6" s="53" t="s">
        <v>241</v>
      </c>
      <c r="AE6" s="22" t="s">
        <v>56</v>
      </c>
      <c r="AG6" s="178" t="s">
        <v>386</v>
      </c>
      <c r="AH6" s="67" t="s">
        <v>387</v>
      </c>
      <c r="AL6" s="73" t="s">
        <v>99</v>
      </c>
      <c r="AN6" s="73" t="s">
        <v>57</v>
      </c>
      <c r="AP6" s="23" t="s">
        <v>53</v>
      </c>
      <c r="AR6" s="23" t="s">
        <v>59</v>
      </c>
      <c r="AV6" s="23" t="s">
        <v>60</v>
      </c>
      <c r="AX6" s="24">
        <v>97</v>
      </c>
      <c r="AY6" s="25">
        <v>36</v>
      </c>
      <c r="AZ6" s="25">
        <v>99</v>
      </c>
      <c r="BA6" s="26">
        <v>33</v>
      </c>
    </row>
    <row r="7" spans="1:53" x14ac:dyDescent="0.15">
      <c r="A7" s="53" t="s">
        <v>34</v>
      </c>
      <c r="B7" s="53" t="s">
        <v>237</v>
      </c>
      <c r="C7" s="53">
        <v>2019</v>
      </c>
      <c r="D7" s="176" t="s">
        <v>361</v>
      </c>
      <c r="E7" s="53" t="s">
        <v>382</v>
      </c>
      <c r="F7" s="53" t="s">
        <v>383</v>
      </c>
      <c r="G7" s="53" t="s">
        <v>36</v>
      </c>
      <c r="H7" s="53" t="s">
        <v>164</v>
      </c>
      <c r="I7" s="53" t="s">
        <v>159</v>
      </c>
      <c r="J7" s="53" t="s">
        <v>38</v>
      </c>
      <c r="K7" s="53" t="s">
        <v>161</v>
      </c>
      <c r="L7" s="53">
        <v>3</v>
      </c>
      <c r="N7" s="53">
        <v>1</v>
      </c>
      <c r="O7" s="53">
        <v>0.7</v>
      </c>
      <c r="P7" s="53">
        <v>0.6</v>
      </c>
      <c r="Q7" s="74">
        <f t="shared" si="0"/>
        <v>0.64999999999999991</v>
      </c>
      <c r="R7" s="53">
        <v>14.1</v>
      </c>
      <c r="S7" s="53">
        <v>128</v>
      </c>
      <c r="T7" s="16">
        <f t="shared" si="1"/>
        <v>30</v>
      </c>
      <c r="U7" s="53">
        <v>105</v>
      </c>
      <c r="V7" s="16">
        <f t="shared" si="2"/>
        <v>3150</v>
      </c>
      <c r="W7" s="53">
        <v>3</v>
      </c>
      <c r="X7" s="53" t="s">
        <v>46</v>
      </c>
      <c r="Y7" s="53" t="s">
        <v>84</v>
      </c>
      <c r="Z7" s="53" t="s">
        <v>78</v>
      </c>
      <c r="AA7" s="53" t="s">
        <v>90</v>
      </c>
      <c r="AB7" s="53" t="s">
        <v>241</v>
      </c>
      <c r="AE7" s="22" t="s">
        <v>61</v>
      </c>
      <c r="AG7" s="178" t="s">
        <v>274</v>
      </c>
      <c r="AH7" s="67" t="s">
        <v>388</v>
      </c>
      <c r="AL7" s="34" t="s">
        <v>109</v>
      </c>
      <c r="AP7" s="23" t="s">
        <v>58</v>
      </c>
      <c r="AR7" s="23" t="s">
        <v>122</v>
      </c>
      <c r="AV7" s="23" t="s">
        <v>64</v>
      </c>
      <c r="AX7" s="24">
        <v>109</v>
      </c>
      <c r="AY7" s="25">
        <v>33</v>
      </c>
      <c r="AZ7" s="25">
        <v>113</v>
      </c>
      <c r="BA7" s="26">
        <v>30</v>
      </c>
    </row>
    <row r="8" spans="1:53" x14ac:dyDescent="0.15">
      <c r="A8" s="53" t="s">
        <v>34</v>
      </c>
      <c r="B8" s="53" t="s">
        <v>237</v>
      </c>
      <c r="C8" s="53">
        <v>2019</v>
      </c>
      <c r="D8" s="176" t="s">
        <v>361</v>
      </c>
      <c r="E8" s="53" t="s">
        <v>382</v>
      </c>
      <c r="F8" s="53" t="s">
        <v>383</v>
      </c>
      <c r="G8" s="53" t="s">
        <v>36</v>
      </c>
      <c r="H8" s="53" t="s">
        <v>127</v>
      </c>
      <c r="I8" s="53" t="s">
        <v>159</v>
      </c>
      <c r="J8" s="53" t="s">
        <v>80</v>
      </c>
      <c r="K8" s="53" t="s">
        <v>45</v>
      </c>
      <c r="L8" s="53">
        <v>1</v>
      </c>
      <c r="N8" s="53">
        <v>6</v>
      </c>
      <c r="O8" s="53">
        <v>0.2</v>
      </c>
      <c r="P8" s="53">
        <v>0.2</v>
      </c>
      <c r="Q8" s="74">
        <f t="shared" si="0"/>
        <v>0.2</v>
      </c>
      <c r="R8" s="53">
        <v>11.2</v>
      </c>
      <c r="S8" s="53">
        <v>89</v>
      </c>
      <c r="T8" s="16">
        <f t="shared" si="1"/>
        <v>36</v>
      </c>
      <c r="U8" s="53">
        <v>302</v>
      </c>
      <c r="V8" s="16">
        <f t="shared" si="2"/>
        <v>1812</v>
      </c>
      <c r="W8" s="53">
        <v>3</v>
      </c>
      <c r="X8" s="53" t="s">
        <v>46</v>
      </c>
      <c r="Y8" s="53" t="s">
        <v>84</v>
      </c>
      <c r="Z8" s="53" t="s">
        <v>78</v>
      </c>
      <c r="AA8" s="53" t="s">
        <v>90</v>
      </c>
      <c r="AB8" s="53" t="s">
        <v>241</v>
      </c>
      <c r="AE8" s="22" t="s">
        <v>59</v>
      </c>
      <c r="AG8" s="178" t="s">
        <v>382</v>
      </c>
      <c r="AH8" s="67" t="s">
        <v>383</v>
      </c>
      <c r="AL8" s="34" t="s">
        <v>134</v>
      </c>
      <c r="AP8" s="23" t="s">
        <v>62</v>
      </c>
      <c r="AR8" s="23" t="s">
        <v>81</v>
      </c>
      <c r="AV8" s="23" t="s">
        <v>97</v>
      </c>
      <c r="AX8" s="24">
        <v>151</v>
      </c>
      <c r="AY8" s="25">
        <v>22</v>
      </c>
      <c r="AZ8" s="25">
        <v>152</v>
      </c>
      <c r="BA8" s="26">
        <v>18</v>
      </c>
    </row>
    <row r="9" spans="1:53" x14ac:dyDescent="0.15">
      <c r="A9" s="53" t="s">
        <v>34</v>
      </c>
      <c r="B9" s="53" t="s">
        <v>237</v>
      </c>
      <c r="C9" s="53">
        <v>2019</v>
      </c>
      <c r="D9" s="176" t="s">
        <v>361</v>
      </c>
      <c r="E9" s="53" t="s">
        <v>382</v>
      </c>
      <c r="F9" s="53" t="s">
        <v>383</v>
      </c>
      <c r="G9" s="53" t="s">
        <v>36</v>
      </c>
      <c r="H9" s="53" t="s">
        <v>127</v>
      </c>
      <c r="I9" s="53" t="s">
        <v>159</v>
      </c>
      <c r="J9" s="53" t="s">
        <v>80</v>
      </c>
      <c r="K9" s="53" t="s">
        <v>45</v>
      </c>
      <c r="L9" s="53">
        <v>2</v>
      </c>
      <c r="N9" s="53">
        <v>6</v>
      </c>
      <c r="O9" s="53">
        <v>0.45</v>
      </c>
      <c r="P9" s="53">
        <v>0.45</v>
      </c>
      <c r="Q9" s="74">
        <f t="shared" si="0"/>
        <v>0.45</v>
      </c>
      <c r="R9" s="53">
        <v>11.6</v>
      </c>
      <c r="S9" s="53">
        <v>85</v>
      </c>
      <c r="T9" s="16">
        <f t="shared" si="1"/>
        <v>36</v>
      </c>
      <c r="U9" s="53">
        <v>302</v>
      </c>
      <c r="V9" s="16">
        <f t="shared" si="2"/>
        <v>1812</v>
      </c>
      <c r="W9" s="53">
        <v>3</v>
      </c>
      <c r="X9" s="53" t="s">
        <v>46</v>
      </c>
      <c r="Y9" s="53" t="s">
        <v>84</v>
      </c>
      <c r="Z9" s="53" t="s">
        <v>78</v>
      </c>
      <c r="AA9" s="53" t="s">
        <v>90</v>
      </c>
      <c r="AB9" s="53" t="s">
        <v>241</v>
      </c>
      <c r="AE9" s="22" t="s">
        <v>98</v>
      </c>
      <c r="AG9" s="178" t="s">
        <v>389</v>
      </c>
      <c r="AH9" s="67" t="s">
        <v>390</v>
      </c>
      <c r="AL9" s="73"/>
      <c r="AP9" s="23" t="s">
        <v>95</v>
      </c>
      <c r="AR9" s="23" t="s">
        <v>89</v>
      </c>
      <c r="AV9" s="23" t="s">
        <v>102</v>
      </c>
      <c r="AX9" s="31">
        <v>180</v>
      </c>
      <c r="AY9" s="32">
        <v>18</v>
      </c>
      <c r="AZ9" s="32">
        <v>181</v>
      </c>
      <c r="BA9" s="33">
        <v>16</v>
      </c>
    </row>
    <row r="10" spans="1:53" x14ac:dyDescent="0.15">
      <c r="A10" s="53" t="s">
        <v>34</v>
      </c>
      <c r="B10" s="53" t="s">
        <v>237</v>
      </c>
      <c r="C10" s="53">
        <v>2019</v>
      </c>
      <c r="D10" s="176" t="s">
        <v>361</v>
      </c>
      <c r="E10" s="53" t="s">
        <v>382</v>
      </c>
      <c r="F10" s="53" t="s">
        <v>383</v>
      </c>
      <c r="G10" s="53" t="s">
        <v>36</v>
      </c>
      <c r="H10" s="53" t="s">
        <v>127</v>
      </c>
      <c r="I10" s="53" t="s">
        <v>159</v>
      </c>
      <c r="J10" s="53" t="s">
        <v>80</v>
      </c>
      <c r="K10" s="53" t="s">
        <v>45</v>
      </c>
      <c r="L10" s="53">
        <v>3</v>
      </c>
      <c r="N10" s="53">
        <v>6</v>
      </c>
      <c r="O10" s="53">
        <v>0.2</v>
      </c>
      <c r="P10" s="53">
        <v>0.2</v>
      </c>
      <c r="Q10" s="74">
        <f t="shared" si="0"/>
        <v>0.2</v>
      </c>
      <c r="R10" s="53">
        <v>12.1</v>
      </c>
      <c r="S10" s="53">
        <v>85</v>
      </c>
      <c r="T10" s="16">
        <f t="shared" si="1"/>
        <v>36</v>
      </c>
      <c r="U10" s="53">
        <v>302</v>
      </c>
      <c r="V10" s="16">
        <f t="shared" si="2"/>
        <v>1812</v>
      </c>
      <c r="W10" s="53">
        <v>3</v>
      </c>
      <c r="X10" s="53" t="s">
        <v>46</v>
      </c>
      <c r="Y10" s="53" t="s">
        <v>84</v>
      </c>
      <c r="Z10" s="53" t="s">
        <v>78</v>
      </c>
      <c r="AA10" s="53" t="s">
        <v>90</v>
      </c>
      <c r="AB10" s="53" t="s">
        <v>241</v>
      </c>
      <c r="AE10" s="22" t="s">
        <v>103</v>
      </c>
      <c r="AG10" s="178" t="s">
        <v>375</v>
      </c>
      <c r="AH10" s="67" t="s">
        <v>376</v>
      </c>
      <c r="AL10" s="34"/>
      <c r="AP10" s="23" t="s">
        <v>100</v>
      </c>
      <c r="AR10" s="23" t="s">
        <v>123</v>
      </c>
      <c r="AV10" s="23" t="s">
        <v>106</v>
      </c>
    </row>
    <row r="11" spans="1:53" x14ac:dyDescent="0.15">
      <c r="A11" s="53" t="s">
        <v>34</v>
      </c>
      <c r="B11" s="53" t="s">
        <v>237</v>
      </c>
      <c r="C11" s="53">
        <v>2019</v>
      </c>
      <c r="D11" s="176" t="s">
        <v>361</v>
      </c>
      <c r="E11" s="53" t="s">
        <v>382</v>
      </c>
      <c r="F11" s="53" t="s">
        <v>383</v>
      </c>
      <c r="G11" s="53" t="s">
        <v>36</v>
      </c>
      <c r="H11" s="53" t="s">
        <v>160</v>
      </c>
      <c r="I11" s="53" t="s">
        <v>159</v>
      </c>
      <c r="J11" s="53" t="s">
        <v>38</v>
      </c>
      <c r="K11" s="53" t="s">
        <v>54</v>
      </c>
      <c r="L11" s="53">
        <v>1</v>
      </c>
      <c r="N11" s="53">
        <v>1</v>
      </c>
      <c r="O11" s="53">
        <v>0.2</v>
      </c>
      <c r="P11" s="53">
        <v>0.2</v>
      </c>
      <c r="Q11" s="74">
        <f t="shared" si="0"/>
        <v>0.2</v>
      </c>
      <c r="R11" s="53">
        <v>16</v>
      </c>
      <c r="S11" s="53">
        <v>104</v>
      </c>
      <c r="T11" s="16">
        <f t="shared" si="1"/>
        <v>33</v>
      </c>
      <c r="U11" s="53">
        <v>149</v>
      </c>
      <c r="V11" s="16">
        <f t="shared" si="2"/>
        <v>4917</v>
      </c>
      <c r="W11" s="53">
        <v>1</v>
      </c>
      <c r="X11" s="53" t="s">
        <v>46</v>
      </c>
      <c r="Y11" s="53" t="s">
        <v>84</v>
      </c>
      <c r="Z11" s="53" t="s">
        <v>78</v>
      </c>
      <c r="AA11" s="53" t="s">
        <v>90</v>
      </c>
      <c r="AB11" s="53" t="s">
        <v>241</v>
      </c>
      <c r="AE11" s="22" t="s">
        <v>65</v>
      </c>
      <c r="AG11" s="178" t="s">
        <v>211</v>
      </c>
      <c r="AH11" s="67" t="s">
        <v>391</v>
      </c>
      <c r="AL11" s="34"/>
      <c r="AP11" s="23" t="s">
        <v>104</v>
      </c>
      <c r="AR11" s="23" t="s">
        <v>87</v>
      </c>
      <c r="AV11" s="23" t="s">
        <v>69</v>
      </c>
    </row>
    <row r="12" spans="1:53" x14ac:dyDescent="0.15">
      <c r="A12" s="53" t="s">
        <v>34</v>
      </c>
      <c r="B12" s="53" t="s">
        <v>237</v>
      </c>
      <c r="C12" s="53">
        <v>2019</v>
      </c>
      <c r="D12" s="176" t="s">
        <v>361</v>
      </c>
      <c r="E12" s="53" t="s">
        <v>382</v>
      </c>
      <c r="F12" s="53" t="s">
        <v>383</v>
      </c>
      <c r="G12" s="53" t="s">
        <v>36</v>
      </c>
      <c r="H12" s="53" t="s">
        <v>160</v>
      </c>
      <c r="I12" s="53" t="s">
        <v>159</v>
      </c>
      <c r="J12" s="53" t="s">
        <v>38</v>
      </c>
      <c r="K12" s="53" t="s">
        <v>54</v>
      </c>
      <c r="L12" s="53">
        <v>2</v>
      </c>
      <c r="N12" s="53">
        <v>1</v>
      </c>
      <c r="O12" s="53">
        <v>0.2</v>
      </c>
      <c r="P12" s="53">
        <v>0.2</v>
      </c>
      <c r="Q12" s="74">
        <f t="shared" si="0"/>
        <v>0.2</v>
      </c>
      <c r="R12" s="53">
        <v>16.600000000000001</v>
      </c>
      <c r="S12" s="53">
        <v>110</v>
      </c>
      <c r="T12" s="16">
        <f t="shared" si="1"/>
        <v>33</v>
      </c>
      <c r="U12" s="53">
        <v>149</v>
      </c>
      <c r="V12" s="16">
        <f t="shared" si="2"/>
        <v>4917</v>
      </c>
      <c r="W12" s="53">
        <v>1</v>
      </c>
      <c r="X12" s="53" t="s">
        <v>46</v>
      </c>
      <c r="Y12" s="53" t="s">
        <v>84</v>
      </c>
      <c r="Z12" s="53" t="s">
        <v>78</v>
      </c>
      <c r="AA12" s="53" t="s">
        <v>90</v>
      </c>
      <c r="AB12" s="53" t="s">
        <v>241</v>
      </c>
      <c r="AE12" s="22" t="s">
        <v>70</v>
      </c>
      <c r="AG12" s="28"/>
      <c r="AH12" s="23"/>
      <c r="AL12" s="34"/>
      <c r="AP12" s="23" t="s">
        <v>67</v>
      </c>
      <c r="AR12" s="23" t="s">
        <v>124</v>
      </c>
      <c r="AV12" s="23" t="s">
        <v>72</v>
      </c>
    </row>
    <row r="13" spans="1:53" x14ac:dyDescent="0.15">
      <c r="A13" s="53" t="s">
        <v>34</v>
      </c>
      <c r="B13" s="53" t="s">
        <v>237</v>
      </c>
      <c r="C13" s="53">
        <v>2019</v>
      </c>
      <c r="D13" s="176" t="s">
        <v>361</v>
      </c>
      <c r="E13" s="53" t="s">
        <v>382</v>
      </c>
      <c r="F13" s="53" t="s">
        <v>383</v>
      </c>
      <c r="G13" s="53" t="s">
        <v>36</v>
      </c>
      <c r="H13" s="53" t="s">
        <v>160</v>
      </c>
      <c r="I13" s="53" t="s">
        <v>159</v>
      </c>
      <c r="J13" s="53" t="s">
        <v>38</v>
      </c>
      <c r="K13" s="53" t="s">
        <v>54</v>
      </c>
      <c r="L13" s="53">
        <v>3</v>
      </c>
      <c r="N13" s="53">
        <v>1</v>
      </c>
      <c r="O13" s="53">
        <v>0.45</v>
      </c>
      <c r="P13" s="53">
        <v>0.45</v>
      </c>
      <c r="Q13" s="74">
        <f t="shared" si="0"/>
        <v>0.45</v>
      </c>
      <c r="R13" s="53">
        <v>16.899999999999999</v>
      </c>
      <c r="S13" s="53">
        <v>100</v>
      </c>
      <c r="T13" s="16">
        <f t="shared" si="1"/>
        <v>33</v>
      </c>
      <c r="U13" s="53">
        <v>149</v>
      </c>
      <c r="V13" s="16">
        <f t="shared" si="2"/>
        <v>4917</v>
      </c>
      <c r="W13" s="53">
        <v>1</v>
      </c>
      <c r="X13" s="53" t="s">
        <v>46</v>
      </c>
      <c r="Y13" s="53" t="s">
        <v>84</v>
      </c>
      <c r="Z13" s="53" t="s">
        <v>78</v>
      </c>
      <c r="AA13" s="53" t="s">
        <v>90</v>
      </c>
      <c r="AB13" s="53" t="s">
        <v>241</v>
      </c>
      <c r="AE13" s="22" t="s">
        <v>73</v>
      </c>
      <c r="AH13" s="28"/>
      <c r="AP13" s="23" t="s">
        <v>71</v>
      </c>
      <c r="AR13" s="23" t="s">
        <v>103</v>
      </c>
      <c r="AV13" s="23" t="s">
        <v>75</v>
      </c>
    </row>
    <row r="14" spans="1:53" x14ac:dyDescent="0.15">
      <c r="A14" s="53" t="s">
        <v>34</v>
      </c>
      <c r="B14" s="53" t="s">
        <v>237</v>
      </c>
      <c r="C14" s="53">
        <v>2019</v>
      </c>
      <c r="D14" s="176" t="s">
        <v>361</v>
      </c>
      <c r="E14" s="53" t="s">
        <v>380</v>
      </c>
      <c r="F14" s="53" t="s">
        <v>381</v>
      </c>
      <c r="G14" s="53" t="s">
        <v>36</v>
      </c>
      <c r="H14" s="53" t="s">
        <v>164</v>
      </c>
      <c r="I14" s="53" t="s">
        <v>159</v>
      </c>
      <c r="J14" s="53" t="s">
        <v>38</v>
      </c>
      <c r="K14" s="53" t="s">
        <v>161</v>
      </c>
      <c r="L14" s="53">
        <v>1</v>
      </c>
      <c r="N14" s="53">
        <v>1</v>
      </c>
      <c r="O14" s="53">
        <v>0.45</v>
      </c>
      <c r="P14" s="53">
        <v>0.45</v>
      </c>
      <c r="Q14" s="74">
        <f t="shared" si="0"/>
        <v>0.45</v>
      </c>
      <c r="R14" s="53">
        <v>14.8</v>
      </c>
      <c r="S14" s="53">
        <v>138</v>
      </c>
      <c r="T14" s="16">
        <f t="shared" si="1"/>
        <v>30</v>
      </c>
      <c r="U14" s="53">
        <v>108</v>
      </c>
      <c r="V14" s="16">
        <f t="shared" si="2"/>
        <v>3240</v>
      </c>
      <c r="W14" s="53">
        <v>3</v>
      </c>
      <c r="X14" s="53" t="s">
        <v>39</v>
      </c>
      <c r="Y14" s="53" t="s">
        <v>84</v>
      </c>
      <c r="Z14" s="53" t="s">
        <v>40</v>
      </c>
      <c r="AA14" s="53" t="s">
        <v>90</v>
      </c>
      <c r="AB14" s="53" t="s">
        <v>241</v>
      </c>
      <c r="AE14" s="22" t="s">
        <v>76</v>
      </c>
      <c r="AG14" s="179"/>
      <c r="AP14" s="23" t="s">
        <v>74</v>
      </c>
      <c r="AR14" s="23" t="s">
        <v>125</v>
      </c>
      <c r="AV14" s="23" t="s">
        <v>78</v>
      </c>
    </row>
    <row r="15" spans="1:53" x14ac:dyDescent="0.15">
      <c r="A15" s="53" t="s">
        <v>34</v>
      </c>
      <c r="B15" s="53" t="s">
        <v>237</v>
      </c>
      <c r="C15" s="53">
        <v>2019</v>
      </c>
      <c r="D15" s="176" t="s">
        <v>361</v>
      </c>
      <c r="E15" s="53" t="s">
        <v>380</v>
      </c>
      <c r="F15" s="53" t="s">
        <v>381</v>
      </c>
      <c r="G15" s="53" t="s">
        <v>36</v>
      </c>
      <c r="H15" s="53" t="s">
        <v>164</v>
      </c>
      <c r="I15" s="53" t="s">
        <v>159</v>
      </c>
      <c r="J15" s="53" t="s">
        <v>38</v>
      </c>
      <c r="K15" s="53" t="s">
        <v>161</v>
      </c>
      <c r="L15" s="53">
        <v>2</v>
      </c>
      <c r="N15" s="53">
        <v>1</v>
      </c>
      <c r="O15" s="53">
        <v>0.45</v>
      </c>
      <c r="P15" s="53">
        <v>0.45</v>
      </c>
      <c r="Q15" s="74">
        <f t="shared" si="0"/>
        <v>0.45</v>
      </c>
      <c r="R15" s="53">
        <v>14.1</v>
      </c>
      <c r="S15" s="53">
        <v>142</v>
      </c>
      <c r="T15" s="16">
        <f t="shared" si="1"/>
        <v>30</v>
      </c>
      <c r="U15" s="53">
        <v>108</v>
      </c>
      <c r="V15" s="16">
        <f t="shared" si="2"/>
        <v>3240</v>
      </c>
      <c r="W15" s="53">
        <v>3</v>
      </c>
      <c r="X15" s="53" t="s">
        <v>39</v>
      </c>
      <c r="Y15" s="53" t="s">
        <v>84</v>
      </c>
      <c r="Z15" s="53" t="s">
        <v>40</v>
      </c>
      <c r="AA15" s="53" t="s">
        <v>90</v>
      </c>
      <c r="AB15" s="53" t="s">
        <v>241</v>
      </c>
      <c r="AE15" s="22" t="s">
        <v>79</v>
      </c>
      <c r="AP15" s="23" t="s">
        <v>77</v>
      </c>
      <c r="AR15" s="23" t="s">
        <v>94</v>
      </c>
      <c r="AV15" s="23" t="s">
        <v>107</v>
      </c>
    </row>
    <row r="16" spans="1:53" x14ac:dyDescent="0.15">
      <c r="A16" s="53" t="s">
        <v>34</v>
      </c>
      <c r="B16" s="53" t="s">
        <v>237</v>
      </c>
      <c r="C16" s="53">
        <v>2019</v>
      </c>
      <c r="D16" s="176" t="s">
        <v>361</v>
      </c>
      <c r="E16" s="53" t="s">
        <v>380</v>
      </c>
      <c r="F16" s="53" t="s">
        <v>381</v>
      </c>
      <c r="G16" s="53" t="s">
        <v>36</v>
      </c>
      <c r="H16" s="53" t="s">
        <v>164</v>
      </c>
      <c r="I16" s="53" t="s">
        <v>159</v>
      </c>
      <c r="J16" s="53" t="s">
        <v>38</v>
      </c>
      <c r="K16" s="53" t="s">
        <v>161</v>
      </c>
      <c r="L16" s="53">
        <v>3</v>
      </c>
      <c r="N16" s="53">
        <v>1</v>
      </c>
      <c r="O16" s="53">
        <v>0.75</v>
      </c>
      <c r="P16" s="53">
        <v>0.5</v>
      </c>
      <c r="Q16" s="74">
        <f t="shared" si="0"/>
        <v>0.625</v>
      </c>
      <c r="R16" s="53">
        <v>13.5</v>
      </c>
      <c r="S16" s="53">
        <v>120</v>
      </c>
      <c r="T16" s="16">
        <f t="shared" si="1"/>
        <v>30</v>
      </c>
      <c r="U16" s="53">
        <v>108</v>
      </c>
      <c r="V16" s="16">
        <f t="shared" si="2"/>
        <v>3240</v>
      </c>
      <c r="W16" s="53">
        <v>3</v>
      </c>
      <c r="X16" s="53" t="s">
        <v>39</v>
      </c>
      <c r="Y16" s="53" t="s">
        <v>84</v>
      </c>
      <c r="Z16" s="53" t="s">
        <v>40</v>
      </c>
      <c r="AA16" s="53" t="s">
        <v>90</v>
      </c>
      <c r="AB16" s="53" t="s">
        <v>241</v>
      </c>
      <c r="AE16" s="22" t="s">
        <v>82</v>
      </c>
      <c r="AP16" s="23" t="s">
        <v>80</v>
      </c>
      <c r="AR16" s="23" t="s">
        <v>63</v>
      </c>
      <c r="AV16" s="23" t="s">
        <v>84</v>
      </c>
    </row>
    <row r="17" spans="1:48" x14ac:dyDescent="0.15">
      <c r="A17" s="53" t="s">
        <v>34</v>
      </c>
      <c r="B17" s="53" t="s">
        <v>237</v>
      </c>
      <c r="C17" s="53">
        <v>2019</v>
      </c>
      <c r="D17" s="176" t="s">
        <v>361</v>
      </c>
      <c r="E17" s="53" t="s">
        <v>380</v>
      </c>
      <c r="F17" s="53" t="s">
        <v>381</v>
      </c>
      <c r="G17" s="53" t="s">
        <v>36</v>
      </c>
      <c r="H17" s="53" t="s">
        <v>164</v>
      </c>
      <c r="I17" s="53" t="s">
        <v>159</v>
      </c>
      <c r="J17" s="53" t="s">
        <v>38</v>
      </c>
      <c r="K17" s="53" t="s">
        <v>161</v>
      </c>
      <c r="L17" s="53">
        <v>1</v>
      </c>
      <c r="N17" s="53">
        <v>4</v>
      </c>
      <c r="O17" s="53">
        <v>0.2</v>
      </c>
      <c r="P17" s="53">
        <v>0.2</v>
      </c>
      <c r="Q17" s="74">
        <f t="shared" si="0"/>
        <v>0.2</v>
      </c>
      <c r="R17" s="53">
        <v>14.1</v>
      </c>
      <c r="S17" s="53">
        <v>102</v>
      </c>
      <c r="T17" s="16">
        <f t="shared" si="1"/>
        <v>33</v>
      </c>
      <c r="U17" s="53">
        <v>321</v>
      </c>
      <c r="V17" s="16">
        <f t="shared" si="2"/>
        <v>2648.25</v>
      </c>
      <c r="W17" s="53">
        <v>3</v>
      </c>
      <c r="X17" s="53" t="s">
        <v>39</v>
      </c>
      <c r="Y17" s="53" t="s">
        <v>84</v>
      </c>
      <c r="Z17" s="53" t="s">
        <v>40</v>
      </c>
      <c r="AA17" s="53" t="s">
        <v>90</v>
      </c>
      <c r="AB17" s="53" t="s">
        <v>241</v>
      </c>
      <c r="AE17" s="22" t="s">
        <v>85</v>
      </c>
      <c r="AP17" s="27" t="s">
        <v>110</v>
      </c>
      <c r="AR17" s="23" t="s">
        <v>96</v>
      </c>
      <c r="AV17" s="23" t="s">
        <v>86</v>
      </c>
    </row>
    <row r="18" spans="1:48" x14ac:dyDescent="0.15">
      <c r="A18" s="53" t="s">
        <v>34</v>
      </c>
      <c r="B18" s="53" t="s">
        <v>237</v>
      </c>
      <c r="C18" s="53">
        <v>2019</v>
      </c>
      <c r="D18" s="176" t="s">
        <v>361</v>
      </c>
      <c r="E18" s="53" t="s">
        <v>380</v>
      </c>
      <c r="F18" s="53" t="s">
        <v>381</v>
      </c>
      <c r="G18" s="53" t="s">
        <v>36</v>
      </c>
      <c r="H18" s="53" t="s">
        <v>164</v>
      </c>
      <c r="I18" s="53" t="s">
        <v>159</v>
      </c>
      <c r="J18" s="53" t="s">
        <v>38</v>
      </c>
      <c r="K18" s="53" t="s">
        <v>161</v>
      </c>
      <c r="L18" s="53">
        <v>2</v>
      </c>
      <c r="N18" s="53">
        <v>4</v>
      </c>
      <c r="O18" s="53">
        <v>0.2</v>
      </c>
      <c r="P18" s="53">
        <v>0.2</v>
      </c>
      <c r="Q18" s="74">
        <f t="shared" si="0"/>
        <v>0.2</v>
      </c>
      <c r="R18" s="53">
        <v>13.5</v>
      </c>
      <c r="S18" s="53">
        <v>112</v>
      </c>
      <c r="T18" s="16">
        <f t="shared" si="1"/>
        <v>33</v>
      </c>
      <c r="U18" s="53">
        <v>321</v>
      </c>
      <c r="V18" s="16">
        <f t="shared" si="2"/>
        <v>2648.25</v>
      </c>
      <c r="W18" s="53">
        <v>3</v>
      </c>
      <c r="X18" s="53" t="s">
        <v>39</v>
      </c>
      <c r="Y18" s="53" t="s">
        <v>84</v>
      </c>
      <c r="Z18" s="53" t="s">
        <v>40</v>
      </c>
      <c r="AA18" s="53" t="s">
        <v>90</v>
      </c>
      <c r="AB18" s="53" t="s">
        <v>241</v>
      </c>
      <c r="AE18" s="22" t="s">
        <v>87</v>
      </c>
      <c r="AP18" s="27" t="s">
        <v>111</v>
      </c>
      <c r="AR18" s="23" t="s">
        <v>101</v>
      </c>
      <c r="AV18" s="23" t="s">
        <v>88</v>
      </c>
    </row>
    <row r="19" spans="1:48" x14ac:dyDescent="0.15">
      <c r="A19" s="53" t="s">
        <v>34</v>
      </c>
      <c r="B19" s="53" t="s">
        <v>237</v>
      </c>
      <c r="C19" s="53">
        <v>2019</v>
      </c>
      <c r="D19" s="176" t="s">
        <v>361</v>
      </c>
      <c r="E19" s="53" t="s">
        <v>380</v>
      </c>
      <c r="F19" s="53" t="s">
        <v>381</v>
      </c>
      <c r="G19" s="53" t="s">
        <v>36</v>
      </c>
      <c r="H19" s="53" t="s">
        <v>164</v>
      </c>
      <c r="I19" s="53" t="s">
        <v>159</v>
      </c>
      <c r="J19" s="53" t="s">
        <v>38</v>
      </c>
      <c r="K19" s="53" t="s">
        <v>161</v>
      </c>
      <c r="L19" s="53">
        <v>3</v>
      </c>
      <c r="N19" s="53">
        <v>4</v>
      </c>
      <c r="O19" s="53">
        <v>0.2</v>
      </c>
      <c r="P19" s="53">
        <v>0.2</v>
      </c>
      <c r="Q19" s="74">
        <f t="shared" si="0"/>
        <v>0.2</v>
      </c>
      <c r="R19" s="53">
        <v>14.9</v>
      </c>
      <c r="S19" s="53">
        <v>97</v>
      </c>
      <c r="T19" s="16">
        <f t="shared" si="1"/>
        <v>36</v>
      </c>
      <c r="U19" s="53">
        <v>321</v>
      </c>
      <c r="V19" s="16">
        <f t="shared" si="2"/>
        <v>2889</v>
      </c>
      <c r="W19" s="53">
        <v>3</v>
      </c>
      <c r="X19" s="53" t="s">
        <v>39</v>
      </c>
      <c r="Y19" s="53" t="s">
        <v>84</v>
      </c>
      <c r="Z19" s="53" t="s">
        <v>40</v>
      </c>
      <c r="AA19" s="53" t="s">
        <v>90</v>
      </c>
      <c r="AB19" s="53" t="s">
        <v>241</v>
      </c>
      <c r="AE19" s="35" t="s">
        <v>89</v>
      </c>
      <c r="AP19" s="27" t="s">
        <v>112</v>
      </c>
      <c r="AR19" s="23" t="s">
        <v>126</v>
      </c>
      <c r="AV19" s="23" t="s">
        <v>90</v>
      </c>
    </row>
    <row r="20" spans="1:48" x14ac:dyDescent="0.15">
      <c r="A20" s="53" t="s">
        <v>34</v>
      </c>
      <c r="B20" s="53" t="s">
        <v>237</v>
      </c>
      <c r="C20" s="53">
        <v>2019</v>
      </c>
      <c r="D20" s="176" t="s">
        <v>361</v>
      </c>
      <c r="E20" s="53" t="s">
        <v>380</v>
      </c>
      <c r="F20" s="53" t="s">
        <v>381</v>
      </c>
      <c r="G20" s="53" t="s">
        <v>36</v>
      </c>
      <c r="H20" s="53" t="s">
        <v>127</v>
      </c>
      <c r="I20" s="53" t="s">
        <v>159</v>
      </c>
      <c r="J20" s="53" t="s">
        <v>80</v>
      </c>
      <c r="K20" s="53" t="s">
        <v>94</v>
      </c>
      <c r="L20" s="53">
        <v>1</v>
      </c>
      <c r="N20" s="53">
        <v>5</v>
      </c>
      <c r="O20" s="53">
        <v>1.95</v>
      </c>
      <c r="P20" s="53">
        <v>1.95</v>
      </c>
      <c r="Q20" s="74">
        <f t="shared" si="0"/>
        <v>1.95</v>
      </c>
      <c r="R20" s="53">
        <v>14.4</v>
      </c>
      <c r="S20" s="53">
        <v>63</v>
      </c>
      <c r="T20" s="16">
        <f t="shared" si="1"/>
        <v>50</v>
      </c>
      <c r="U20" s="53">
        <v>321</v>
      </c>
      <c r="V20" s="16">
        <f t="shared" si="2"/>
        <v>3210</v>
      </c>
      <c r="W20" s="53">
        <v>3</v>
      </c>
      <c r="X20" s="53" t="s">
        <v>46</v>
      </c>
      <c r="Y20" s="53" t="s">
        <v>84</v>
      </c>
      <c r="Z20" s="53" t="s">
        <v>40</v>
      </c>
      <c r="AA20" s="53" t="s">
        <v>90</v>
      </c>
      <c r="AB20" s="53" t="s">
        <v>241</v>
      </c>
      <c r="AP20" s="27" t="s">
        <v>113</v>
      </c>
      <c r="AR20" s="23" t="s">
        <v>105</v>
      </c>
      <c r="AV20" s="27" t="s">
        <v>135</v>
      </c>
    </row>
    <row r="21" spans="1:48" x14ac:dyDescent="0.15">
      <c r="A21" s="53" t="s">
        <v>34</v>
      </c>
      <c r="B21" s="53" t="s">
        <v>237</v>
      </c>
      <c r="C21" s="53">
        <v>2019</v>
      </c>
      <c r="D21" s="176" t="s">
        <v>361</v>
      </c>
      <c r="E21" s="53" t="s">
        <v>380</v>
      </c>
      <c r="F21" s="53" t="s">
        <v>381</v>
      </c>
      <c r="G21" s="53" t="s">
        <v>36</v>
      </c>
      <c r="H21" s="53" t="s">
        <v>127</v>
      </c>
      <c r="I21" s="53" t="s">
        <v>159</v>
      </c>
      <c r="J21" s="53" t="s">
        <v>80</v>
      </c>
      <c r="K21" s="53" t="s">
        <v>94</v>
      </c>
      <c r="L21" s="53">
        <v>2</v>
      </c>
      <c r="N21" s="53">
        <v>5</v>
      </c>
      <c r="O21" s="53">
        <v>1.95</v>
      </c>
      <c r="P21" s="53">
        <v>1.95</v>
      </c>
      <c r="Q21" s="74">
        <f t="shared" si="0"/>
        <v>1.95</v>
      </c>
      <c r="R21" s="53">
        <v>9.6999999999999993</v>
      </c>
      <c r="S21" s="53">
        <v>106</v>
      </c>
      <c r="T21" s="16">
        <f t="shared" si="1"/>
        <v>33</v>
      </c>
      <c r="U21" s="53">
        <v>321</v>
      </c>
      <c r="V21" s="16">
        <f t="shared" si="2"/>
        <v>2118.6</v>
      </c>
      <c r="W21" s="53">
        <v>3</v>
      </c>
      <c r="X21" s="53" t="s">
        <v>46</v>
      </c>
      <c r="Y21" s="53" t="s">
        <v>84</v>
      </c>
      <c r="Z21" s="53" t="s">
        <v>40</v>
      </c>
      <c r="AA21" s="53" t="s">
        <v>90</v>
      </c>
      <c r="AB21" s="53" t="s">
        <v>241</v>
      </c>
      <c r="AP21" s="27" t="s">
        <v>114</v>
      </c>
      <c r="AR21" s="23" t="s">
        <v>68</v>
      </c>
      <c r="AV21" s="27" t="s">
        <v>136</v>
      </c>
    </row>
    <row r="22" spans="1:48" x14ac:dyDescent="0.15">
      <c r="A22" s="53" t="s">
        <v>34</v>
      </c>
      <c r="B22" s="53" t="s">
        <v>237</v>
      </c>
      <c r="C22" s="53">
        <v>2019</v>
      </c>
      <c r="D22" s="176" t="s">
        <v>361</v>
      </c>
      <c r="E22" s="53" t="s">
        <v>380</v>
      </c>
      <c r="F22" s="53" t="s">
        <v>381</v>
      </c>
      <c r="G22" s="53" t="s">
        <v>36</v>
      </c>
      <c r="H22" s="53" t="s">
        <v>127</v>
      </c>
      <c r="I22" s="53" t="s">
        <v>159</v>
      </c>
      <c r="J22" s="53" t="s">
        <v>80</v>
      </c>
      <c r="K22" s="53" t="s">
        <v>94</v>
      </c>
      <c r="L22" s="53">
        <v>3</v>
      </c>
      <c r="N22" s="53">
        <v>5</v>
      </c>
      <c r="O22" s="53">
        <v>1.95</v>
      </c>
      <c r="P22" s="53">
        <v>1.95</v>
      </c>
      <c r="Q22" s="74">
        <f t="shared" si="0"/>
        <v>1.95</v>
      </c>
      <c r="R22" s="53">
        <v>9.1999999999999993</v>
      </c>
      <c r="S22" s="53">
        <v>100</v>
      </c>
      <c r="T22" s="16">
        <f t="shared" si="1"/>
        <v>33</v>
      </c>
      <c r="U22" s="53">
        <v>321</v>
      </c>
      <c r="V22" s="16">
        <f t="shared" si="2"/>
        <v>2118.6</v>
      </c>
      <c r="W22" s="53">
        <v>3</v>
      </c>
      <c r="X22" s="53" t="s">
        <v>46</v>
      </c>
      <c r="Y22" s="53" t="s">
        <v>84</v>
      </c>
      <c r="Z22" s="53" t="s">
        <v>40</v>
      </c>
      <c r="AA22" s="53" t="s">
        <v>90</v>
      </c>
      <c r="AB22" s="53" t="s">
        <v>241</v>
      </c>
      <c r="AP22" s="27" t="s">
        <v>115</v>
      </c>
      <c r="AR22" s="23" t="s">
        <v>83</v>
      </c>
      <c r="AV22" s="27"/>
    </row>
    <row r="23" spans="1:48" x14ac:dyDescent="0.15">
      <c r="A23" s="53" t="s">
        <v>34</v>
      </c>
      <c r="B23" s="53" t="s">
        <v>237</v>
      </c>
      <c r="C23" s="53">
        <v>2019</v>
      </c>
      <c r="D23" s="176" t="s">
        <v>361</v>
      </c>
      <c r="E23" s="53" t="s">
        <v>211</v>
      </c>
      <c r="F23" s="53" t="s">
        <v>391</v>
      </c>
      <c r="G23" s="53" t="s">
        <v>36</v>
      </c>
      <c r="H23" s="53" t="s">
        <v>164</v>
      </c>
      <c r="I23" s="53" t="s">
        <v>159</v>
      </c>
      <c r="J23" s="53" t="s">
        <v>38</v>
      </c>
      <c r="K23" s="53" t="s">
        <v>161</v>
      </c>
      <c r="L23" s="53">
        <v>1</v>
      </c>
      <c r="N23" s="53">
        <v>3</v>
      </c>
      <c r="O23" s="53">
        <v>0.55000000000000004</v>
      </c>
      <c r="P23" s="53">
        <v>0.7</v>
      </c>
      <c r="Q23" s="74">
        <f t="shared" si="0"/>
        <v>0.625</v>
      </c>
      <c r="R23" s="53">
        <v>14.3</v>
      </c>
      <c r="S23" s="53">
        <v>122</v>
      </c>
      <c r="T23" s="16">
        <f t="shared" si="1"/>
        <v>30</v>
      </c>
      <c r="U23" s="53">
        <v>104</v>
      </c>
      <c r="V23" s="16">
        <f t="shared" si="2"/>
        <v>1040</v>
      </c>
      <c r="W23" s="53">
        <v>3</v>
      </c>
      <c r="X23" s="53" t="s">
        <v>46</v>
      </c>
      <c r="Y23" s="53" t="s">
        <v>84</v>
      </c>
      <c r="Z23" s="53" t="s">
        <v>69</v>
      </c>
      <c r="AA23" s="53" t="s">
        <v>90</v>
      </c>
      <c r="AB23" s="53" t="s">
        <v>241</v>
      </c>
      <c r="AP23" s="27" t="s">
        <v>117</v>
      </c>
      <c r="AR23" s="23" t="s">
        <v>153</v>
      </c>
    </row>
    <row r="24" spans="1:48" x14ac:dyDescent="0.15">
      <c r="A24" s="53" t="s">
        <v>34</v>
      </c>
      <c r="B24" s="53" t="s">
        <v>237</v>
      </c>
      <c r="C24" s="53">
        <v>2019</v>
      </c>
      <c r="D24" s="176" t="s">
        <v>361</v>
      </c>
      <c r="E24" s="53" t="s">
        <v>211</v>
      </c>
      <c r="F24" s="53" t="s">
        <v>391</v>
      </c>
      <c r="G24" s="53" t="s">
        <v>36</v>
      </c>
      <c r="H24" s="53" t="s">
        <v>164</v>
      </c>
      <c r="I24" s="53" t="s">
        <v>159</v>
      </c>
      <c r="J24" s="53" t="s">
        <v>38</v>
      </c>
      <c r="K24" s="53" t="s">
        <v>161</v>
      </c>
      <c r="L24" s="53">
        <v>2</v>
      </c>
      <c r="N24" s="53">
        <v>3</v>
      </c>
      <c r="O24" s="53">
        <v>0.75</v>
      </c>
      <c r="P24" s="53">
        <v>0.8</v>
      </c>
      <c r="Q24" s="74">
        <f t="shared" si="0"/>
        <v>0.77500000000000002</v>
      </c>
      <c r="R24" s="53">
        <v>15.5</v>
      </c>
      <c r="S24" s="53">
        <v>124</v>
      </c>
      <c r="T24" s="16">
        <f t="shared" si="1"/>
        <v>30</v>
      </c>
      <c r="U24" s="53">
        <v>104</v>
      </c>
      <c r="V24" s="16">
        <f t="shared" si="2"/>
        <v>1040</v>
      </c>
      <c r="W24" s="53">
        <v>3</v>
      </c>
      <c r="X24" s="53" t="s">
        <v>46</v>
      </c>
      <c r="Y24" s="53" t="s">
        <v>84</v>
      </c>
      <c r="Z24" s="53" t="s">
        <v>69</v>
      </c>
      <c r="AA24" s="53" t="s">
        <v>90</v>
      </c>
      <c r="AB24" s="53" t="s">
        <v>241</v>
      </c>
      <c r="AP24" s="27" t="s">
        <v>118</v>
      </c>
    </row>
    <row r="25" spans="1:48" x14ac:dyDescent="0.15">
      <c r="A25" s="53" t="s">
        <v>34</v>
      </c>
      <c r="B25" s="53" t="s">
        <v>237</v>
      </c>
      <c r="C25" s="53">
        <v>2019</v>
      </c>
      <c r="D25" s="176" t="s">
        <v>361</v>
      </c>
      <c r="E25" s="53" t="s">
        <v>211</v>
      </c>
      <c r="F25" s="53" t="s">
        <v>391</v>
      </c>
      <c r="G25" s="53" t="s">
        <v>36</v>
      </c>
      <c r="H25" s="53" t="s">
        <v>164</v>
      </c>
      <c r="I25" s="53" t="s">
        <v>159</v>
      </c>
      <c r="J25" s="53" t="s">
        <v>38</v>
      </c>
      <c r="K25" s="53" t="s">
        <v>161</v>
      </c>
      <c r="L25" s="53">
        <v>3</v>
      </c>
      <c r="N25" s="53">
        <v>3</v>
      </c>
      <c r="O25" s="53">
        <v>0.6</v>
      </c>
      <c r="P25" s="53">
        <v>0.8</v>
      </c>
      <c r="Q25" s="74">
        <f t="shared" si="0"/>
        <v>0.7</v>
      </c>
      <c r="R25" s="53">
        <v>13</v>
      </c>
      <c r="S25" s="53">
        <v>118</v>
      </c>
      <c r="T25" s="16">
        <f t="shared" si="1"/>
        <v>30</v>
      </c>
      <c r="U25" s="53">
        <v>104</v>
      </c>
      <c r="V25" s="16">
        <f t="shared" si="2"/>
        <v>1040</v>
      </c>
      <c r="W25" s="53">
        <v>3</v>
      </c>
      <c r="X25" s="53" t="s">
        <v>46</v>
      </c>
      <c r="Y25" s="53" t="s">
        <v>84</v>
      </c>
      <c r="Z25" s="53" t="s">
        <v>69</v>
      </c>
      <c r="AA25" s="53" t="s">
        <v>90</v>
      </c>
      <c r="AB25" s="53" t="s">
        <v>241</v>
      </c>
    </row>
    <row r="26" spans="1:48" x14ac:dyDescent="0.15">
      <c r="A26" s="53" t="s">
        <v>34</v>
      </c>
      <c r="B26" s="53" t="s">
        <v>237</v>
      </c>
      <c r="C26" s="53">
        <v>2019</v>
      </c>
      <c r="D26" s="176" t="s">
        <v>361</v>
      </c>
      <c r="E26" s="53" t="s">
        <v>211</v>
      </c>
      <c r="F26" s="53" t="s">
        <v>391</v>
      </c>
      <c r="G26" s="53" t="s">
        <v>36</v>
      </c>
      <c r="H26" s="53" t="s">
        <v>164</v>
      </c>
      <c r="I26" s="53" t="s">
        <v>159</v>
      </c>
      <c r="J26" s="53" t="s">
        <v>38</v>
      </c>
      <c r="K26" s="53" t="s">
        <v>161</v>
      </c>
      <c r="L26" s="53">
        <v>1</v>
      </c>
      <c r="N26" s="53">
        <v>3</v>
      </c>
      <c r="O26" s="53">
        <v>0.65</v>
      </c>
      <c r="P26" s="53">
        <v>0.55500000000000005</v>
      </c>
      <c r="Q26" s="74">
        <f t="shared" si="0"/>
        <v>0.60250000000000004</v>
      </c>
      <c r="R26" s="53">
        <v>11.3</v>
      </c>
      <c r="S26" s="53">
        <v>91</v>
      </c>
      <c r="T26" s="16">
        <f t="shared" si="1"/>
        <v>36</v>
      </c>
      <c r="U26" s="53">
        <v>407</v>
      </c>
      <c r="V26" s="16">
        <f t="shared" si="2"/>
        <v>4884</v>
      </c>
      <c r="W26" s="53">
        <v>3</v>
      </c>
      <c r="X26" s="53" t="s">
        <v>46</v>
      </c>
      <c r="Y26" s="53" t="s">
        <v>84</v>
      </c>
      <c r="Z26" s="53" t="s">
        <v>69</v>
      </c>
      <c r="AA26" s="53" t="s">
        <v>90</v>
      </c>
      <c r="AB26" s="53" t="s">
        <v>241</v>
      </c>
    </row>
    <row r="27" spans="1:48" x14ac:dyDescent="0.15">
      <c r="A27" s="53" t="s">
        <v>34</v>
      </c>
      <c r="B27" s="53" t="s">
        <v>237</v>
      </c>
      <c r="C27" s="53">
        <v>2019</v>
      </c>
      <c r="D27" s="176" t="s">
        <v>361</v>
      </c>
      <c r="E27" s="53" t="s">
        <v>211</v>
      </c>
      <c r="F27" s="53" t="s">
        <v>391</v>
      </c>
      <c r="G27" s="53" t="s">
        <v>36</v>
      </c>
      <c r="H27" s="53" t="s">
        <v>164</v>
      </c>
      <c r="I27" s="53" t="s">
        <v>159</v>
      </c>
      <c r="J27" s="53" t="s">
        <v>38</v>
      </c>
      <c r="K27" s="53" t="s">
        <v>161</v>
      </c>
      <c r="L27" s="53">
        <v>2</v>
      </c>
      <c r="N27" s="53">
        <v>3</v>
      </c>
      <c r="O27" s="53">
        <v>0.45</v>
      </c>
      <c r="P27" s="53">
        <v>0.55000000000000004</v>
      </c>
      <c r="Q27" s="74">
        <f t="shared" si="0"/>
        <v>0.5</v>
      </c>
      <c r="R27" s="53">
        <v>14.3</v>
      </c>
      <c r="S27" s="53">
        <v>85</v>
      </c>
      <c r="T27" s="16">
        <f t="shared" si="1"/>
        <v>36</v>
      </c>
      <c r="U27" s="53">
        <v>407</v>
      </c>
      <c r="V27" s="16">
        <f t="shared" si="2"/>
        <v>4884</v>
      </c>
      <c r="W27" s="53">
        <v>3</v>
      </c>
      <c r="X27" s="53" t="s">
        <v>46</v>
      </c>
      <c r="Y27" s="53" t="s">
        <v>84</v>
      </c>
      <c r="Z27" s="53" t="s">
        <v>69</v>
      </c>
      <c r="AA27" s="53" t="s">
        <v>90</v>
      </c>
      <c r="AB27" s="53" t="s">
        <v>241</v>
      </c>
    </row>
    <row r="28" spans="1:48" x14ac:dyDescent="0.15">
      <c r="A28" s="53" t="s">
        <v>34</v>
      </c>
      <c r="B28" s="53" t="s">
        <v>237</v>
      </c>
      <c r="C28" s="53">
        <v>2019</v>
      </c>
      <c r="D28" s="176" t="s">
        <v>361</v>
      </c>
      <c r="E28" s="53" t="s">
        <v>211</v>
      </c>
      <c r="F28" s="53" t="s">
        <v>391</v>
      </c>
      <c r="G28" s="53" t="s">
        <v>36</v>
      </c>
      <c r="H28" s="53" t="s">
        <v>164</v>
      </c>
      <c r="I28" s="53" t="s">
        <v>159</v>
      </c>
      <c r="J28" s="53" t="s">
        <v>38</v>
      </c>
      <c r="K28" s="53" t="s">
        <v>161</v>
      </c>
      <c r="L28" s="53">
        <v>3</v>
      </c>
      <c r="N28" s="53">
        <v>3</v>
      </c>
      <c r="O28" s="53">
        <v>0.55000000000000004</v>
      </c>
      <c r="P28" s="53">
        <v>0.55000000000000004</v>
      </c>
      <c r="Q28" s="74">
        <f>IF(OR(O28="",P28=""),"",AVERAGE(O28,P28))</f>
        <v>0.55000000000000004</v>
      </c>
      <c r="R28" s="53">
        <v>14.2</v>
      </c>
      <c r="S28" s="53">
        <v>91</v>
      </c>
      <c r="T28" s="16">
        <f t="shared" si="1"/>
        <v>36</v>
      </c>
      <c r="U28" s="53">
        <v>407</v>
      </c>
      <c r="V28" s="16">
        <f t="shared" si="2"/>
        <v>4884</v>
      </c>
      <c r="W28" s="53">
        <v>3</v>
      </c>
      <c r="X28" s="53" t="s">
        <v>46</v>
      </c>
      <c r="Y28" s="53" t="s">
        <v>84</v>
      </c>
      <c r="Z28" s="53" t="s">
        <v>69</v>
      </c>
      <c r="AA28" s="53" t="s">
        <v>90</v>
      </c>
      <c r="AB28" s="53" t="s">
        <v>241</v>
      </c>
    </row>
    <row r="29" spans="1:48" x14ac:dyDescent="0.15">
      <c r="A29" s="53" t="s">
        <v>34</v>
      </c>
      <c r="B29" s="53" t="s">
        <v>237</v>
      </c>
      <c r="C29" s="53">
        <v>2019</v>
      </c>
      <c r="D29" s="176" t="s">
        <v>361</v>
      </c>
      <c r="E29" s="53" t="s">
        <v>389</v>
      </c>
      <c r="F29" s="53" t="s">
        <v>390</v>
      </c>
      <c r="G29" s="53" t="s">
        <v>36</v>
      </c>
      <c r="H29" s="53" t="s">
        <v>164</v>
      </c>
      <c r="I29" s="53" t="s">
        <v>159</v>
      </c>
      <c r="J29" s="53" t="s">
        <v>38</v>
      </c>
      <c r="K29" s="53" t="s">
        <v>161</v>
      </c>
      <c r="L29" s="53">
        <v>1</v>
      </c>
      <c r="N29" s="53">
        <v>1</v>
      </c>
      <c r="O29" s="53">
        <v>0.2</v>
      </c>
      <c r="P29" s="53">
        <v>0.2</v>
      </c>
      <c r="Q29" s="74">
        <f t="shared" si="0"/>
        <v>0.2</v>
      </c>
      <c r="R29" s="53">
        <v>11.7</v>
      </c>
      <c r="S29" s="53">
        <v>116</v>
      </c>
      <c r="T29" s="16">
        <f t="shared" si="1"/>
        <v>30</v>
      </c>
      <c r="U29" s="53">
        <v>81</v>
      </c>
      <c r="V29" s="16">
        <f t="shared" si="2"/>
        <v>2430</v>
      </c>
      <c r="W29" s="53">
        <v>4</v>
      </c>
      <c r="X29" s="53" t="s">
        <v>46</v>
      </c>
      <c r="Y29" s="53" t="s">
        <v>84</v>
      </c>
      <c r="Z29" s="53" t="s">
        <v>78</v>
      </c>
      <c r="AA29" s="53" t="s">
        <v>90</v>
      </c>
      <c r="AB29" s="53" t="s">
        <v>241</v>
      </c>
    </row>
    <row r="30" spans="1:48" x14ac:dyDescent="0.15">
      <c r="A30" s="53" t="s">
        <v>34</v>
      </c>
      <c r="B30" s="53" t="s">
        <v>237</v>
      </c>
      <c r="C30" s="53">
        <v>2019</v>
      </c>
      <c r="D30" s="176" t="s">
        <v>361</v>
      </c>
      <c r="E30" s="53" t="s">
        <v>389</v>
      </c>
      <c r="F30" s="53" t="s">
        <v>390</v>
      </c>
      <c r="G30" s="53" t="s">
        <v>36</v>
      </c>
      <c r="H30" s="53" t="s">
        <v>164</v>
      </c>
      <c r="I30" s="53" t="s">
        <v>159</v>
      </c>
      <c r="J30" s="53" t="s">
        <v>38</v>
      </c>
      <c r="K30" s="53" t="s">
        <v>161</v>
      </c>
      <c r="L30" s="53">
        <v>2</v>
      </c>
      <c r="N30" s="53">
        <v>1</v>
      </c>
      <c r="O30" s="53">
        <v>0.5</v>
      </c>
      <c r="P30" s="53">
        <v>0.5</v>
      </c>
      <c r="Q30" s="74">
        <f t="shared" si="0"/>
        <v>0.5</v>
      </c>
      <c r="R30" s="53">
        <v>13.9</v>
      </c>
      <c r="S30" s="53">
        <v>120</v>
      </c>
      <c r="T30" s="16">
        <f t="shared" si="1"/>
        <v>30</v>
      </c>
      <c r="U30" s="53">
        <v>81</v>
      </c>
      <c r="V30" s="16">
        <f t="shared" si="2"/>
        <v>2430</v>
      </c>
      <c r="W30" s="53">
        <v>4</v>
      </c>
      <c r="X30" s="53" t="s">
        <v>46</v>
      </c>
      <c r="Y30" s="53" t="s">
        <v>84</v>
      </c>
      <c r="Z30" s="53" t="s">
        <v>78</v>
      </c>
      <c r="AA30" s="53" t="s">
        <v>90</v>
      </c>
      <c r="AB30" s="53" t="s">
        <v>241</v>
      </c>
    </row>
    <row r="31" spans="1:48" x14ac:dyDescent="0.15">
      <c r="A31" s="53" t="s">
        <v>34</v>
      </c>
      <c r="B31" s="53" t="s">
        <v>237</v>
      </c>
      <c r="C31" s="53">
        <v>2019</v>
      </c>
      <c r="D31" s="176" t="s">
        <v>361</v>
      </c>
      <c r="E31" s="53" t="s">
        <v>389</v>
      </c>
      <c r="F31" s="53" t="s">
        <v>390</v>
      </c>
      <c r="G31" s="53" t="s">
        <v>36</v>
      </c>
      <c r="H31" s="53" t="s">
        <v>164</v>
      </c>
      <c r="I31" s="53" t="s">
        <v>159</v>
      </c>
      <c r="J31" s="53" t="s">
        <v>38</v>
      </c>
      <c r="K31" s="53" t="s">
        <v>161</v>
      </c>
      <c r="L31" s="53">
        <v>3</v>
      </c>
      <c r="N31" s="53">
        <v>1</v>
      </c>
      <c r="O31" s="53">
        <v>0.55000000000000004</v>
      </c>
      <c r="P31" s="53">
        <v>0.75</v>
      </c>
      <c r="Q31" s="74">
        <f t="shared" si="0"/>
        <v>0.65</v>
      </c>
      <c r="R31" s="53">
        <v>13.8</v>
      </c>
      <c r="S31" s="53">
        <v>120</v>
      </c>
      <c r="T31" s="16">
        <f t="shared" si="1"/>
        <v>30</v>
      </c>
      <c r="U31" s="53">
        <v>81</v>
      </c>
      <c r="V31" s="16">
        <f t="shared" si="2"/>
        <v>2430</v>
      </c>
      <c r="W31" s="53">
        <v>4</v>
      </c>
      <c r="X31" s="53" t="s">
        <v>46</v>
      </c>
      <c r="Y31" s="53" t="s">
        <v>84</v>
      </c>
      <c r="Z31" s="53" t="s">
        <v>78</v>
      </c>
      <c r="AA31" s="53" t="s">
        <v>90</v>
      </c>
      <c r="AB31" s="53" t="s">
        <v>241</v>
      </c>
    </row>
    <row r="32" spans="1:48" x14ac:dyDescent="0.15">
      <c r="A32" s="53" t="s">
        <v>34</v>
      </c>
      <c r="B32" s="53" t="s">
        <v>237</v>
      </c>
      <c r="C32" s="53">
        <v>2019</v>
      </c>
      <c r="D32" s="176" t="s">
        <v>361</v>
      </c>
      <c r="E32" s="53" t="s">
        <v>389</v>
      </c>
      <c r="F32" s="53" t="s">
        <v>390</v>
      </c>
      <c r="G32" s="53" t="s">
        <v>36</v>
      </c>
      <c r="H32" s="53" t="s">
        <v>164</v>
      </c>
      <c r="I32" s="53" t="s">
        <v>159</v>
      </c>
      <c r="J32" s="53" t="s">
        <v>38</v>
      </c>
      <c r="K32" s="53" t="s">
        <v>161</v>
      </c>
      <c r="L32" s="53">
        <v>1</v>
      </c>
      <c r="N32" s="53">
        <v>4</v>
      </c>
      <c r="O32" s="53">
        <v>0.2</v>
      </c>
      <c r="P32" s="53">
        <v>0.2</v>
      </c>
      <c r="Q32" s="74">
        <f t="shared" si="0"/>
        <v>0.2</v>
      </c>
      <c r="R32" s="53">
        <v>14.4</v>
      </c>
      <c r="S32" s="53">
        <v>85</v>
      </c>
      <c r="T32" s="16">
        <f t="shared" si="1"/>
        <v>36</v>
      </c>
      <c r="U32" s="53">
        <v>311</v>
      </c>
      <c r="V32" s="16">
        <f t="shared" si="2"/>
        <v>2799</v>
      </c>
      <c r="W32" s="53">
        <v>4</v>
      </c>
      <c r="X32" s="53" t="s">
        <v>46</v>
      </c>
      <c r="Y32" s="53" t="s">
        <v>84</v>
      </c>
      <c r="Z32" s="53" t="s">
        <v>78</v>
      </c>
      <c r="AA32" s="53" t="s">
        <v>90</v>
      </c>
      <c r="AB32" s="53" t="s">
        <v>241</v>
      </c>
    </row>
    <row r="33" spans="1:28" x14ac:dyDescent="0.15">
      <c r="A33" s="53" t="s">
        <v>34</v>
      </c>
      <c r="B33" s="53" t="s">
        <v>237</v>
      </c>
      <c r="C33" s="53">
        <v>2019</v>
      </c>
      <c r="D33" s="176" t="s">
        <v>361</v>
      </c>
      <c r="E33" s="53" t="s">
        <v>389</v>
      </c>
      <c r="F33" s="53" t="s">
        <v>390</v>
      </c>
      <c r="G33" s="53" t="s">
        <v>36</v>
      </c>
      <c r="H33" s="53" t="s">
        <v>164</v>
      </c>
      <c r="I33" s="53" t="s">
        <v>159</v>
      </c>
      <c r="J33" s="53" t="s">
        <v>38</v>
      </c>
      <c r="K33" s="53" t="s">
        <v>161</v>
      </c>
      <c r="L33" s="53">
        <v>2</v>
      </c>
      <c r="N33" s="53">
        <v>4</v>
      </c>
      <c r="O33" s="53">
        <v>0.6</v>
      </c>
      <c r="P33" s="53">
        <v>0.8</v>
      </c>
      <c r="Q33" s="74">
        <f t="shared" si="0"/>
        <v>0.7</v>
      </c>
      <c r="R33" s="53">
        <v>12.3</v>
      </c>
      <c r="S33" s="53">
        <v>93</v>
      </c>
      <c r="T33" s="16">
        <f t="shared" si="1"/>
        <v>36</v>
      </c>
      <c r="U33" s="53">
        <v>311</v>
      </c>
      <c r="V33" s="16">
        <f t="shared" si="2"/>
        <v>2799</v>
      </c>
      <c r="W33" s="53">
        <v>4</v>
      </c>
      <c r="X33" s="53" t="s">
        <v>46</v>
      </c>
      <c r="Y33" s="53" t="s">
        <v>84</v>
      </c>
      <c r="Z33" s="53" t="s">
        <v>78</v>
      </c>
      <c r="AA33" s="53" t="s">
        <v>90</v>
      </c>
      <c r="AB33" s="53" t="s">
        <v>241</v>
      </c>
    </row>
    <row r="34" spans="1:28" x14ac:dyDescent="0.15">
      <c r="A34" s="53" t="s">
        <v>34</v>
      </c>
      <c r="B34" s="53" t="s">
        <v>237</v>
      </c>
      <c r="C34" s="53">
        <v>2019</v>
      </c>
      <c r="D34" s="176" t="s">
        <v>361</v>
      </c>
      <c r="E34" s="53" t="s">
        <v>389</v>
      </c>
      <c r="F34" s="53" t="s">
        <v>390</v>
      </c>
      <c r="G34" s="53" t="s">
        <v>36</v>
      </c>
      <c r="H34" s="53" t="s">
        <v>164</v>
      </c>
      <c r="I34" s="53" t="s">
        <v>159</v>
      </c>
      <c r="J34" s="53" t="s">
        <v>38</v>
      </c>
      <c r="K34" s="53" t="s">
        <v>161</v>
      </c>
      <c r="L34" s="53">
        <v>3</v>
      </c>
      <c r="N34" s="53">
        <v>4</v>
      </c>
      <c r="O34" s="53">
        <v>0.6</v>
      </c>
      <c r="P34" s="53">
        <v>0.9</v>
      </c>
      <c r="Q34" s="74">
        <f>IF(OR(O34="",P34=""),"",AVERAGE(O34,P34))</f>
        <v>0.75</v>
      </c>
      <c r="R34" s="53">
        <v>11.2</v>
      </c>
      <c r="S34" s="53">
        <v>90</v>
      </c>
      <c r="T34" s="16">
        <f t="shared" si="1"/>
        <v>36</v>
      </c>
      <c r="U34" s="53">
        <v>311</v>
      </c>
      <c r="V34" s="16">
        <f t="shared" si="2"/>
        <v>2799</v>
      </c>
      <c r="W34" s="53">
        <v>4</v>
      </c>
      <c r="X34" s="53" t="s">
        <v>46</v>
      </c>
      <c r="Y34" s="53" t="s">
        <v>84</v>
      </c>
      <c r="Z34" s="53" t="s">
        <v>78</v>
      </c>
      <c r="AA34" s="53" t="s">
        <v>90</v>
      </c>
      <c r="AB34" s="53" t="s">
        <v>241</v>
      </c>
    </row>
    <row r="35" spans="1:28" x14ac:dyDescent="0.15">
      <c r="A35" s="53" t="s">
        <v>34</v>
      </c>
      <c r="B35" s="53" t="s">
        <v>237</v>
      </c>
      <c r="C35" s="53">
        <v>2019</v>
      </c>
      <c r="D35" s="176" t="s">
        <v>361</v>
      </c>
      <c r="E35" s="53" t="s">
        <v>389</v>
      </c>
      <c r="F35" s="53" t="s">
        <v>390</v>
      </c>
      <c r="G35" s="53" t="s">
        <v>36</v>
      </c>
      <c r="H35" s="53" t="s">
        <v>164</v>
      </c>
      <c r="I35" s="53" t="s">
        <v>159</v>
      </c>
      <c r="J35" s="53" t="s">
        <v>38</v>
      </c>
      <c r="K35" s="53" t="s">
        <v>161</v>
      </c>
      <c r="L35" s="53">
        <v>1</v>
      </c>
      <c r="N35" s="53">
        <v>8</v>
      </c>
      <c r="O35" s="53">
        <v>0.2</v>
      </c>
      <c r="P35" s="53">
        <v>0.2</v>
      </c>
      <c r="Q35" s="74">
        <f t="shared" ref="Q35:Q36" si="3">IF(OR(O35="",P35=""),"",AVERAGE(O35,P35))</f>
        <v>0.2</v>
      </c>
      <c r="R35" s="53">
        <v>14.3</v>
      </c>
      <c r="S35" s="53">
        <v>83</v>
      </c>
      <c r="T35" s="16">
        <f t="shared" si="1"/>
        <v>39</v>
      </c>
      <c r="U35" s="53">
        <v>646</v>
      </c>
      <c r="V35" s="16">
        <f t="shared" si="2"/>
        <v>3149.25</v>
      </c>
      <c r="W35" s="53">
        <v>4</v>
      </c>
      <c r="X35" s="53" t="s">
        <v>46</v>
      </c>
      <c r="Y35" s="53" t="s">
        <v>84</v>
      </c>
      <c r="Z35" s="53" t="s">
        <v>78</v>
      </c>
      <c r="AA35" s="53" t="s">
        <v>90</v>
      </c>
      <c r="AB35" s="53" t="s">
        <v>241</v>
      </c>
    </row>
    <row r="36" spans="1:28" x14ac:dyDescent="0.15">
      <c r="A36" s="53" t="s">
        <v>34</v>
      </c>
      <c r="B36" s="53" t="s">
        <v>237</v>
      </c>
      <c r="C36" s="53">
        <v>2019</v>
      </c>
      <c r="D36" s="176" t="s">
        <v>361</v>
      </c>
      <c r="E36" s="53" t="s">
        <v>389</v>
      </c>
      <c r="F36" s="53" t="s">
        <v>390</v>
      </c>
      <c r="G36" s="53" t="s">
        <v>36</v>
      </c>
      <c r="H36" s="53" t="s">
        <v>164</v>
      </c>
      <c r="I36" s="53" t="s">
        <v>159</v>
      </c>
      <c r="J36" s="53" t="s">
        <v>38</v>
      </c>
      <c r="K36" s="53" t="s">
        <v>161</v>
      </c>
      <c r="L36" s="53">
        <v>2</v>
      </c>
      <c r="N36" s="53">
        <v>8</v>
      </c>
      <c r="O36" s="53">
        <v>0.2</v>
      </c>
      <c r="P36" s="53">
        <v>0.2</v>
      </c>
      <c r="Q36" s="74">
        <f t="shared" si="3"/>
        <v>0.2</v>
      </c>
      <c r="R36" s="53">
        <v>14.2</v>
      </c>
      <c r="S36" s="53">
        <v>78</v>
      </c>
      <c r="T36" s="16">
        <f t="shared" si="1"/>
        <v>39</v>
      </c>
      <c r="U36" s="53">
        <v>646</v>
      </c>
      <c r="V36" s="16">
        <f t="shared" si="2"/>
        <v>3149.25</v>
      </c>
      <c r="W36" s="53">
        <v>4</v>
      </c>
      <c r="X36" s="53" t="s">
        <v>46</v>
      </c>
      <c r="Y36" s="53" t="s">
        <v>84</v>
      </c>
      <c r="Z36" s="53" t="s">
        <v>78</v>
      </c>
      <c r="AA36" s="53" t="s">
        <v>90</v>
      </c>
      <c r="AB36" s="53" t="s">
        <v>241</v>
      </c>
    </row>
    <row r="37" spans="1:28" x14ac:dyDescent="0.15">
      <c r="A37" s="53" t="s">
        <v>34</v>
      </c>
      <c r="B37" s="53" t="s">
        <v>237</v>
      </c>
      <c r="C37" s="53">
        <v>2019</v>
      </c>
      <c r="D37" s="176" t="s">
        <v>361</v>
      </c>
      <c r="E37" s="53" t="s">
        <v>389</v>
      </c>
      <c r="F37" s="53" t="s">
        <v>390</v>
      </c>
      <c r="G37" s="53" t="s">
        <v>36</v>
      </c>
      <c r="H37" s="53" t="s">
        <v>164</v>
      </c>
      <c r="I37" s="53" t="s">
        <v>159</v>
      </c>
      <c r="J37" s="53" t="s">
        <v>38</v>
      </c>
      <c r="K37" s="53" t="s">
        <v>161</v>
      </c>
      <c r="L37" s="53">
        <v>3</v>
      </c>
      <c r="N37" s="53">
        <v>8</v>
      </c>
      <c r="O37" s="53">
        <v>0.2</v>
      </c>
      <c r="P37" s="53">
        <v>0.2</v>
      </c>
      <c r="Q37" s="74">
        <f>IF(OR(O37="",P37=""),"",AVERAGE(O37,P37))</f>
        <v>0.2</v>
      </c>
      <c r="R37" s="53">
        <v>14.6</v>
      </c>
      <c r="S37" s="53">
        <v>88</v>
      </c>
      <c r="T37" s="16">
        <f t="shared" si="1"/>
        <v>36</v>
      </c>
      <c r="U37" s="53">
        <v>646</v>
      </c>
      <c r="V37" s="16">
        <f t="shared" si="2"/>
        <v>2907</v>
      </c>
      <c r="W37" s="53">
        <v>4</v>
      </c>
      <c r="X37" s="53" t="s">
        <v>46</v>
      </c>
      <c r="Y37" s="53" t="s">
        <v>84</v>
      </c>
      <c r="Z37" s="53" t="s">
        <v>78</v>
      </c>
      <c r="AA37" s="53" t="s">
        <v>90</v>
      </c>
      <c r="AB37" s="53" t="s">
        <v>241</v>
      </c>
    </row>
    <row r="38" spans="1:28" x14ac:dyDescent="0.15">
      <c r="A38" s="53" t="s">
        <v>34</v>
      </c>
      <c r="B38" s="53" t="s">
        <v>237</v>
      </c>
      <c r="C38" s="53">
        <v>2019</v>
      </c>
      <c r="D38" s="176" t="s">
        <v>361</v>
      </c>
      <c r="E38" s="53" t="s">
        <v>389</v>
      </c>
      <c r="F38" s="53" t="s">
        <v>390</v>
      </c>
      <c r="G38" s="53" t="s">
        <v>36</v>
      </c>
      <c r="H38" s="53" t="s">
        <v>128</v>
      </c>
      <c r="I38" s="53" t="s">
        <v>159</v>
      </c>
      <c r="J38" s="53" t="s">
        <v>38</v>
      </c>
      <c r="K38" s="53" t="s">
        <v>94</v>
      </c>
      <c r="L38" s="53">
        <v>1</v>
      </c>
      <c r="N38" s="53">
        <v>1</v>
      </c>
      <c r="O38" s="53">
        <v>0.2</v>
      </c>
      <c r="P38" s="53">
        <v>0.2</v>
      </c>
      <c r="Q38" s="74">
        <f t="shared" ref="Q38:Q39" si="4">IF(OR(O38="",P38=""),"",AVERAGE(O38,P38))</f>
        <v>0.2</v>
      </c>
      <c r="R38" s="53">
        <v>14.7</v>
      </c>
      <c r="S38" s="53">
        <v>154</v>
      </c>
      <c r="T38" s="16">
        <f t="shared" si="1"/>
        <v>18</v>
      </c>
      <c r="U38" s="53">
        <v>92</v>
      </c>
      <c r="V38" s="16">
        <f t="shared" si="2"/>
        <v>1656</v>
      </c>
      <c r="W38" s="53">
        <v>2</v>
      </c>
      <c r="X38" s="53" t="s">
        <v>46</v>
      </c>
      <c r="Y38" s="53" t="s">
        <v>84</v>
      </c>
      <c r="Z38" s="53" t="s">
        <v>78</v>
      </c>
      <c r="AA38" s="53" t="s">
        <v>90</v>
      </c>
      <c r="AB38" s="53" t="s">
        <v>241</v>
      </c>
    </row>
    <row r="39" spans="1:28" x14ac:dyDescent="0.15">
      <c r="A39" s="53" t="s">
        <v>34</v>
      </c>
      <c r="B39" s="53" t="s">
        <v>237</v>
      </c>
      <c r="C39" s="53">
        <v>2019</v>
      </c>
      <c r="D39" s="176" t="s">
        <v>361</v>
      </c>
      <c r="E39" s="53" t="s">
        <v>389</v>
      </c>
      <c r="F39" s="53" t="s">
        <v>390</v>
      </c>
      <c r="G39" s="53" t="s">
        <v>36</v>
      </c>
      <c r="H39" s="53" t="s">
        <v>128</v>
      </c>
      <c r="I39" s="53" t="s">
        <v>159</v>
      </c>
      <c r="J39" s="53" t="s">
        <v>38</v>
      </c>
      <c r="K39" s="53" t="s">
        <v>94</v>
      </c>
      <c r="L39" s="53">
        <v>2</v>
      </c>
      <c r="N39" s="53">
        <v>1</v>
      </c>
      <c r="O39" s="53">
        <v>0.2</v>
      </c>
      <c r="P39" s="53">
        <v>0.2</v>
      </c>
      <c r="Q39" s="74">
        <f t="shared" si="4"/>
        <v>0.2</v>
      </c>
      <c r="R39" s="53">
        <v>15.4</v>
      </c>
      <c r="S39" s="53">
        <v>146</v>
      </c>
      <c r="T39" s="16">
        <f t="shared" si="1"/>
        <v>30</v>
      </c>
      <c r="U39" s="53">
        <v>192</v>
      </c>
      <c r="V39" s="16">
        <f t="shared" si="2"/>
        <v>5760</v>
      </c>
      <c r="W39" s="53">
        <v>2</v>
      </c>
      <c r="X39" s="53" t="s">
        <v>46</v>
      </c>
      <c r="Y39" s="53" t="s">
        <v>84</v>
      </c>
      <c r="Z39" s="53" t="s">
        <v>78</v>
      </c>
      <c r="AA39" s="53" t="s">
        <v>90</v>
      </c>
      <c r="AB39" s="53" t="s">
        <v>241</v>
      </c>
    </row>
    <row r="40" spans="1:28" x14ac:dyDescent="0.15">
      <c r="A40" s="53" t="s">
        <v>34</v>
      </c>
      <c r="B40" s="53" t="s">
        <v>237</v>
      </c>
      <c r="C40" s="53">
        <v>2019</v>
      </c>
      <c r="D40" s="176" t="s">
        <v>361</v>
      </c>
      <c r="E40" s="53" t="s">
        <v>389</v>
      </c>
      <c r="F40" s="53" t="s">
        <v>390</v>
      </c>
      <c r="G40" s="53" t="s">
        <v>36</v>
      </c>
      <c r="H40" s="53" t="s">
        <v>128</v>
      </c>
      <c r="I40" s="53" t="s">
        <v>159</v>
      </c>
      <c r="J40" s="53" t="s">
        <v>38</v>
      </c>
      <c r="K40" s="53" t="s">
        <v>94</v>
      </c>
      <c r="L40" s="53">
        <v>3</v>
      </c>
      <c r="N40" s="53">
        <v>1</v>
      </c>
      <c r="O40" s="53">
        <v>0.2</v>
      </c>
      <c r="P40" s="53">
        <v>0.2</v>
      </c>
      <c r="Q40" s="74">
        <f>IF(OR(O40="",P40=""),"",AVERAGE(O40,P40))</f>
        <v>0.2</v>
      </c>
      <c r="R40" s="53">
        <v>13.9</v>
      </c>
      <c r="S40" s="53">
        <v>142</v>
      </c>
      <c r="T40" s="16">
        <f t="shared" si="1"/>
        <v>30</v>
      </c>
      <c r="U40" s="53">
        <v>192</v>
      </c>
      <c r="V40" s="16">
        <f t="shared" si="2"/>
        <v>5760</v>
      </c>
      <c r="W40" s="53">
        <v>2</v>
      </c>
      <c r="X40" s="53" t="s">
        <v>46</v>
      </c>
      <c r="Y40" s="53" t="s">
        <v>84</v>
      </c>
      <c r="Z40" s="53" t="s">
        <v>78</v>
      </c>
      <c r="AA40" s="53" t="s">
        <v>90</v>
      </c>
      <c r="AB40" s="53" t="s">
        <v>241</v>
      </c>
    </row>
    <row r="41" spans="1:28" x14ac:dyDescent="0.15">
      <c r="A41" s="53" t="s">
        <v>34</v>
      </c>
      <c r="B41" s="53" t="s">
        <v>237</v>
      </c>
      <c r="C41" s="53">
        <v>2019</v>
      </c>
      <c r="D41" s="176" t="s">
        <v>361</v>
      </c>
      <c r="E41" s="53" t="s">
        <v>389</v>
      </c>
      <c r="F41" s="53" t="s">
        <v>390</v>
      </c>
      <c r="G41" s="53" t="s">
        <v>36</v>
      </c>
      <c r="H41" s="53" t="s">
        <v>160</v>
      </c>
      <c r="I41" s="53" t="s">
        <v>159</v>
      </c>
      <c r="J41" s="53" t="s">
        <v>38</v>
      </c>
      <c r="K41" s="53" t="s">
        <v>54</v>
      </c>
      <c r="L41" s="53">
        <v>1</v>
      </c>
      <c r="N41" s="53">
        <v>3</v>
      </c>
      <c r="O41" s="53">
        <v>0.2</v>
      </c>
      <c r="P41" s="53">
        <v>0.2</v>
      </c>
      <c r="Q41" s="74">
        <f t="shared" si="0"/>
        <v>0.2</v>
      </c>
      <c r="R41" s="53">
        <v>10.8</v>
      </c>
      <c r="S41" s="53">
        <v>116</v>
      </c>
      <c r="T41" s="16">
        <f t="shared" si="1"/>
        <v>30</v>
      </c>
      <c r="U41" s="53">
        <v>538</v>
      </c>
      <c r="V41" s="16">
        <f t="shared" si="2"/>
        <v>5380</v>
      </c>
      <c r="W41" s="53">
        <v>2</v>
      </c>
      <c r="X41" s="53" t="s">
        <v>46</v>
      </c>
      <c r="Y41" s="53" t="s">
        <v>84</v>
      </c>
      <c r="Z41" s="53" t="s">
        <v>78</v>
      </c>
      <c r="AA41" s="53" t="s">
        <v>90</v>
      </c>
      <c r="AB41" s="53" t="s">
        <v>241</v>
      </c>
    </row>
    <row r="42" spans="1:28" x14ac:dyDescent="0.15">
      <c r="A42" s="53" t="s">
        <v>34</v>
      </c>
      <c r="B42" s="53" t="s">
        <v>237</v>
      </c>
      <c r="C42" s="53">
        <v>2019</v>
      </c>
      <c r="D42" s="176" t="s">
        <v>361</v>
      </c>
      <c r="E42" s="53" t="s">
        <v>389</v>
      </c>
      <c r="F42" s="53" t="s">
        <v>390</v>
      </c>
      <c r="G42" s="53" t="s">
        <v>36</v>
      </c>
      <c r="H42" s="53" t="s">
        <v>160</v>
      </c>
      <c r="I42" s="53" t="s">
        <v>159</v>
      </c>
      <c r="J42" s="53" t="s">
        <v>38</v>
      </c>
      <c r="K42" s="53" t="s">
        <v>54</v>
      </c>
      <c r="L42" s="53">
        <v>2</v>
      </c>
      <c r="N42" s="53">
        <v>3</v>
      </c>
      <c r="O42" s="53">
        <v>0.45</v>
      </c>
      <c r="P42" s="53">
        <v>0.45</v>
      </c>
      <c r="Q42" s="74">
        <f t="shared" si="0"/>
        <v>0.45</v>
      </c>
      <c r="R42" s="53">
        <v>15</v>
      </c>
      <c r="S42" s="53">
        <v>110</v>
      </c>
      <c r="T42" s="16">
        <f t="shared" si="1"/>
        <v>33</v>
      </c>
      <c r="U42" s="53">
        <v>538</v>
      </c>
      <c r="V42" s="16">
        <f t="shared" si="2"/>
        <v>5918</v>
      </c>
      <c r="W42" s="53">
        <v>2</v>
      </c>
      <c r="X42" s="53" t="s">
        <v>46</v>
      </c>
      <c r="Y42" s="53" t="s">
        <v>84</v>
      </c>
      <c r="Z42" s="53" t="s">
        <v>78</v>
      </c>
      <c r="AA42" s="53" t="s">
        <v>90</v>
      </c>
      <c r="AB42" s="53" t="s">
        <v>241</v>
      </c>
    </row>
    <row r="43" spans="1:28" x14ac:dyDescent="0.15">
      <c r="A43" s="53" t="s">
        <v>34</v>
      </c>
      <c r="B43" s="53" t="s">
        <v>237</v>
      </c>
      <c r="C43" s="53">
        <v>2019</v>
      </c>
      <c r="D43" s="176" t="s">
        <v>361</v>
      </c>
      <c r="E43" s="53" t="s">
        <v>389</v>
      </c>
      <c r="F43" s="53" t="s">
        <v>390</v>
      </c>
      <c r="G43" s="53" t="s">
        <v>36</v>
      </c>
      <c r="H43" s="53" t="s">
        <v>160</v>
      </c>
      <c r="I43" s="53" t="s">
        <v>159</v>
      </c>
      <c r="J43" s="53" t="s">
        <v>38</v>
      </c>
      <c r="K43" s="53" t="s">
        <v>54</v>
      </c>
      <c r="L43" s="53">
        <v>3</v>
      </c>
      <c r="N43" s="53">
        <v>3</v>
      </c>
      <c r="O43" s="53">
        <v>0.6</v>
      </c>
      <c r="P43" s="53">
        <v>0.6</v>
      </c>
      <c r="Q43" s="74">
        <f t="shared" si="0"/>
        <v>0.6</v>
      </c>
      <c r="R43" s="53">
        <v>13.6</v>
      </c>
      <c r="S43" s="53">
        <v>112</v>
      </c>
      <c r="T43" s="16">
        <f t="shared" si="1"/>
        <v>33</v>
      </c>
      <c r="U43" s="53">
        <v>538</v>
      </c>
      <c r="V43" s="16">
        <f t="shared" si="2"/>
        <v>5918</v>
      </c>
      <c r="W43" s="53">
        <v>2</v>
      </c>
      <c r="X43" s="53" t="s">
        <v>46</v>
      </c>
      <c r="Y43" s="53" t="s">
        <v>84</v>
      </c>
      <c r="Z43" s="53" t="s">
        <v>78</v>
      </c>
      <c r="AA43" s="53" t="s">
        <v>90</v>
      </c>
      <c r="AB43" s="53" t="s">
        <v>241</v>
      </c>
    </row>
    <row r="44" spans="1:28" x14ac:dyDescent="0.15">
      <c r="A44" s="53" t="s">
        <v>34</v>
      </c>
      <c r="B44" s="53" t="s">
        <v>237</v>
      </c>
      <c r="C44" s="53">
        <v>2019</v>
      </c>
      <c r="D44" s="176" t="s">
        <v>361</v>
      </c>
      <c r="E44" s="53" t="s">
        <v>378</v>
      </c>
      <c r="F44" s="53" t="s">
        <v>379</v>
      </c>
      <c r="G44" s="53" t="s">
        <v>36</v>
      </c>
      <c r="H44" s="53" t="s">
        <v>164</v>
      </c>
      <c r="I44" s="53" t="s">
        <v>159</v>
      </c>
      <c r="J44" s="53" t="s">
        <v>38</v>
      </c>
      <c r="K44" s="53" t="s">
        <v>161</v>
      </c>
      <c r="L44" s="53">
        <v>1</v>
      </c>
      <c r="N44" s="53">
        <v>1</v>
      </c>
      <c r="O44" s="53">
        <v>0.8</v>
      </c>
      <c r="P44" s="53">
        <v>0.85</v>
      </c>
      <c r="Q44" s="74">
        <f t="shared" si="0"/>
        <v>0.82499999999999996</v>
      </c>
      <c r="R44" s="53">
        <v>15.1</v>
      </c>
      <c r="S44" s="53">
        <v>15.1</v>
      </c>
      <c r="T44" s="16">
        <f t="shared" si="1"/>
        <v>50</v>
      </c>
      <c r="U44" s="53">
        <v>108</v>
      </c>
      <c r="V44" s="16">
        <f t="shared" si="2"/>
        <v>5400</v>
      </c>
      <c r="W44" s="53">
        <v>2</v>
      </c>
      <c r="X44" s="53" t="s">
        <v>46</v>
      </c>
      <c r="Y44" s="53" t="s">
        <v>84</v>
      </c>
      <c r="Z44" s="53" t="s">
        <v>90</v>
      </c>
      <c r="AA44" s="53" t="s">
        <v>78</v>
      </c>
      <c r="AB44" s="53" t="s">
        <v>241</v>
      </c>
    </row>
    <row r="45" spans="1:28" x14ac:dyDescent="0.15">
      <c r="A45" s="53" t="s">
        <v>34</v>
      </c>
      <c r="B45" s="53" t="s">
        <v>237</v>
      </c>
      <c r="C45" s="53">
        <v>2019</v>
      </c>
      <c r="D45" s="176" t="s">
        <v>361</v>
      </c>
      <c r="E45" s="53" t="s">
        <v>378</v>
      </c>
      <c r="F45" s="53" t="s">
        <v>379</v>
      </c>
      <c r="G45" s="53" t="s">
        <v>36</v>
      </c>
      <c r="H45" s="53" t="s">
        <v>164</v>
      </c>
      <c r="I45" s="53" t="s">
        <v>159</v>
      </c>
      <c r="J45" s="53" t="s">
        <v>38</v>
      </c>
      <c r="K45" s="53" t="s">
        <v>161</v>
      </c>
      <c r="L45" s="53">
        <v>2</v>
      </c>
      <c r="N45" s="53">
        <v>1</v>
      </c>
      <c r="O45" s="53">
        <v>0.8</v>
      </c>
      <c r="P45" s="53">
        <v>0.65</v>
      </c>
      <c r="Q45" s="74">
        <f t="shared" si="0"/>
        <v>0.72500000000000009</v>
      </c>
      <c r="R45" s="53">
        <v>15.1</v>
      </c>
      <c r="S45" s="53">
        <v>15.1</v>
      </c>
      <c r="T45" s="16">
        <f t="shared" si="1"/>
        <v>50</v>
      </c>
      <c r="U45" s="53">
        <v>108</v>
      </c>
      <c r="V45" s="16">
        <f t="shared" si="2"/>
        <v>5400</v>
      </c>
      <c r="W45" s="53">
        <v>2</v>
      </c>
      <c r="X45" s="53" t="s">
        <v>46</v>
      </c>
      <c r="Y45" s="53" t="s">
        <v>84</v>
      </c>
      <c r="Z45" s="53" t="s">
        <v>90</v>
      </c>
      <c r="AA45" s="53" t="s">
        <v>78</v>
      </c>
      <c r="AB45" s="53" t="s">
        <v>241</v>
      </c>
    </row>
    <row r="46" spans="1:28" x14ac:dyDescent="0.15">
      <c r="A46" s="53" t="s">
        <v>34</v>
      </c>
      <c r="B46" s="53" t="s">
        <v>237</v>
      </c>
      <c r="C46" s="53">
        <v>2019</v>
      </c>
      <c r="D46" s="176" t="s">
        <v>361</v>
      </c>
      <c r="E46" s="53" t="s">
        <v>378</v>
      </c>
      <c r="F46" s="53" t="s">
        <v>379</v>
      </c>
      <c r="G46" s="53" t="s">
        <v>36</v>
      </c>
      <c r="H46" s="53" t="s">
        <v>164</v>
      </c>
      <c r="I46" s="53" t="s">
        <v>159</v>
      </c>
      <c r="J46" s="53" t="s">
        <v>38</v>
      </c>
      <c r="K46" s="53" t="s">
        <v>161</v>
      </c>
      <c r="L46" s="53">
        <v>3</v>
      </c>
      <c r="N46" s="53">
        <v>1</v>
      </c>
      <c r="O46" s="53">
        <v>0.8</v>
      </c>
      <c r="P46" s="53">
        <v>0.7</v>
      </c>
      <c r="Q46" s="74">
        <f t="shared" si="0"/>
        <v>0.75</v>
      </c>
      <c r="R46" s="53">
        <v>12.3</v>
      </c>
      <c r="S46" s="53">
        <v>12.3</v>
      </c>
      <c r="T46" s="16">
        <f t="shared" si="1"/>
        <v>50</v>
      </c>
      <c r="U46" s="53">
        <v>108</v>
      </c>
      <c r="V46" s="16">
        <f t="shared" si="2"/>
        <v>5400</v>
      </c>
      <c r="W46" s="53">
        <v>2</v>
      </c>
      <c r="X46" s="53" t="s">
        <v>46</v>
      </c>
      <c r="Y46" s="53" t="s">
        <v>84</v>
      </c>
      <c r="Z46" s="53" t="s">
        <v>90</v>
      </c>
      <c r="AA46" s="53" t="s">
        <v>78</v>
      </c>
      <c r="AB46" s="53" t="s">
        <v>241</v>
      </c>
    </row>
    <row r="47" spans="1:28" x14ac:dyDescent="0.15">
      <c r="A47" s="53" t="s">
        <v>34</v>
      </c>
      <c r="B47" s="53" t="s">
        <v>237</v>
      </c>
      <c r="C47" s="53">
        <v>2019</v>
      </c>
      <c r="D47" s="176" t="s">
        <v>361</v>
      </c>
      <c r="E47" s="53" t="s">
        <v>378</v>
      </c>
      <c r="F47" s="53" t="s">
        <v>379</v>
      </c>
      <c r="G47" s="53" t="s">
        <v>36</v>
      </c>
      <c r="H47" s="53" t="s">
        <v>164</v>
      </c>
      <c r="I47" s="53" t="s">
        <v>159</v>
      </c>
      <c r="J47" s="53" t="s">
        <v>38</v>
      </c>
      <c r="K47" s="53" t="s">
        <v>161</v>
      </c>
      <c r="L47" s="53">
        <v>1</v>
      </c>
      <c r="N47" s="53">
        <v>4</v>
      </c>
      <c r="O47" s="53">
        <v>0.2</v>
      </c>
      <c r="P47" s="53">
        <v>0.2</v>
      </c>
      <c r="Q47" s="74">
        <f t="shared" si="0"/>
        <v>0.2</v>
      </c>
      <c r="R47" s="53">
        <v>14.1</v>
      </c>
      <c r="S47" s="53">
        <v>14.1</v>
      </c>
      <c r="T47" s="16">
        <f t="shared" si="1"/>
        <v>50</v>
      </c>
      <c r="U47" s="53">
        <v>321</v>
      </c>
      <c r="V47" s="16">
        <f t="shared" si="2"/>
        <v>4012.5</v>
      </c>
      <c r="W47" s="53">
        <v>2</v>
      </c>
      <c r="X47" s="53" t="s">
        <v>46</v>
      </c>
      <c r="Y47" s="53" t="s">
        <v>84</v>
      </c>
      <c r="Z47" s="53" t="s">
        <v>90</v>
      </c>
      <c r="AA47" s="53" t="s">
        <v>78</v>
      </c>
      <c r="AB47" s="53" t="s">
        <v>241</v>
      </c>
    </row>
    <row r="48" spans="1:28" x14ac:dyDescent="0.15">
      <c r="A48" s="53" t="s">
        <v>34</v>
      </c>
      <c r="B48" s="53" t="s">
        <v>237</v>
      </c>
      <c r="C48" s="53">
        <v>2019</v>
      </c>
      <c r="D48" s="176" t="s">
        <v>361</v>
      </c>
      <c r="E48" s="53" t="s">
        <v>378</v>
      </c>
      <c r="F48" s="53" t="s">
        <v>379</v>
      </c>
      <c r="G48" s="53" t="s">
        <v>36</v>
      </c>
      <c r="H48" s="53" t="s">
        <v>164</v>
      </c>
      <c r="I48" s="53" t="s">
        <v>159</v>
      </c>
      <c r="J48" s="53" t="s">
        <v>38</v>
      </c>
      <c r="K48" s="53" t="s">
        <v>161</v>
      </c>
      <c r="L48" s="53">
        <v>2</v>
      </c>
      <c r="N48" s="53">
        <v>4</v>
      </c>
      <c r="O48" s="53">
        <v>0.45</v>
      </c>
      <c r="P48" s="53">
        <v>0.45</v>
      </c>
      <c r="Q48" s="74">
        <f t="shared" si="0"/>
        <v>0.45</v>
      </c>
      <c r="R48" s="53">
        <v>14</v>
      </c>
      <c r="S48" s="53">
        <v>14</v>
      </c>
      <c r="T48" s="16">
        <f t="shared" si="1"/>
        <v>50</v>
      </c>
      <c r="U48" s="53">
        <v>321</v>
      </c>
      <c r="V48" s="16">
        <f t="shared" si="2"/>
        <v>4012.5</v>
      </c>
      <c r="W48" s="53">
        <v>2</v>
      </c>
      <c r="X48" s="53" t="s">
        <v>46</v>
      </c>
      <c r="Y48" s="53" t="s">
        <v>84</v>
      </c>
      <c r="Z48" s="53" t="s">
        <v>90</v>
      </c>
      <c r="AA48" s="53" t="s">
        <v>78</v>
      </c>
      <c r="AB48" s="53" t="s">
        <v>241</v>
      </c>
    </row>
    <row r="49" spans="1:28" x14ac:dyDescent="0.15">
      <c r="A49" s="53" t="s">
        <v>34</v>
      </c>
      <c r="B49" s="53" t="s">
        <v>237</v>
      </c>
      <c r="C49" s="53">
        <v>2019</v>
      </c>
      <c r="D49" s="176" t="s">
        <v>361</v>
      </c>
      <c r="E49" s="53" t="s">
        <v>378</v>
      </c>
      <c r="F49" s="53" t="s">
        <v>379</v>
      </c>
      <c r="G49" s="53" t="s">
        <v>36</v>
      </c>
      <c r="H49" s="53" t="s">
        <v>164</v>
      </c>
      <c r="I49" s="53" t="s">
        <v>159</v>
      </c>
      <c r="J49" s="53" t="s">
        <v>38</v>
      </c>
      <c r="K49" s="53" t="s">
        <v>161</v>
      </c>
      <c r="L49" s="53">
        <v>3</v>
      </c>
      <c r="N49" s="53">
        <v>4</v>
      </c>
      <c r="O49" s="53">
        <v>0.55000000000000004</v>
      </c>
      <c r="P49" s="53">
        <v>0.5</v>
      </c>
      <c r="Q49" s="74">
        <f t="shared" si="0"/>
        <v>0.52500000000000002</v>
      </c>
      <c r="R49" s="53">
        <v>13.9</v>
      </c>
      <c r="S49" s="53">
        <v>13.9</v>
      </c>
      <c r="T49" s="16">
        <f t="shared" si="1"/>
        <v>50</v>
      </c>
      <c r="U49" s="53">
        <v>321</v>
      </c>
      <c r="V49" s="16">
        <f t="shared" si="2"/>
        <v>4012.5</v>
      </c>
      <c r="W49" s="53">
        <v>2</v>
      </c>
      <c r="X49" s="53" t="s">
        <v>46</v>
      </c>
      <c r="Y49" s="53" t="s">
        <v>84</v>
      </c>
      <c r="Z49" s="53" t="s">
        <v>90</v>
      </c>
      <c r="AA49" s="53" t="s">
        <v>78</v>
      </c>
      <c r="AB49" s="53" t="s">
        <v>241</v>
      </c>
    </row>
    <row r="50" spans="1:28" x14ac:dyDescent="0.15">
      <c r="A50" s="53" t="s">
        <v>34</v>
      </c>
      <c r="B50" s="53" t="s">
        <v>237</v>
      </c>
      <c r="C50" s="53">
        <v>2019</v>
      </c>
      <c r="D50" s="176" t="s">
        <v>361</v>
      </c>
      <c r="E50" s="53" t="s">
        <v>367</v>
      </c>
      <c r="F50" s="53" t="s">
        <v>377</v>
      </c>
      <c r="G50" s="53" t="s">
        <v>36</v>
      </c>
      <c r="H50" s="53" t="s">
        <v>164</v>
      </c>
      <c r="I50" s="53" t="s">
        <v>159</v>
      </c>
      <c r="J50" s="53" t="s">
        <v>38</v>
      </c>
      <c r="K50" s="53" t="s">
        <v>161</v>
      </c>
      <c r="L50" s="53">
        <v>1</v>
      </c>
      <c r="N50" s="53">
        <v>1</v>
      </c>
      <c r="O50" s="53">
        <v>0.2</v>
      </c>
      <c r="P50" s="53">
        <v>0.2</v>
      </c>
      <c r="Q50" s="74">
        <f t="shared" si="0"/>
        <v>0.2</v>
      </c>
      <c r="R50" s="53">
        <v>13.9</v>
      </c>
      <c r="S50" s="53">
        <v>110</v>
      </c>
      <c r="T50" s="16">
        <f t="shared" si="1"/>
        <v>33</v>
      </c>
      <c r="U50" s="53">
        <v>105</v>
      </c>
      <c r="V50" s="16">
        <f t="shared" si="2"/>
        <v>3465</v>
      </c>
      <c r="W50" s="53">
        <v>2</v>
      </c>
      <c r="X50" s="53" t="s">
        <v>46</v>
      </c>
      <c r="Y50" s="53" t="s">
        <v>84</v>
      </c>
      <c r="Z50" s="53" t="s">
        <v>78</v>
      </c>
      <c r="AA50" s="53" t="s">
        <v>90</v>
      </c>
      <c r="AB50" s="53" t="s">
        <v>241</v>
      </c>
    </row>
    <row r="51" spans="1:28" x14ac:dyDescent="0.15">
      <c r="A51" s="53" t="s">
        <v>34</v>
      </c>
      <c r="B51" s="53" t="s">
        <v>237</v>
      </c>
      <c r="C51" s="53">
        <v>2019</v>
      </c>
      <c r="D51" s="176" t="s">
        <v>361</v>
      </c>
      <c r="E51" s="53" t="s">
        <v>367</v>
      </c>
      <c r="F51" s="53" t="s">
        <v>377</v>
      </c>
      <c r="G51" s="53" t="s">
        <v>36</v>
      </c>
      <c r="H51" s="53" t="s">
        <v>164</v>
      </c>
      <c r="I51" s="53" t="s">
        <v>159</v>
      </c>
      <c r="J51" s="53" t="s">
        <v>38</v>
      </c>
      <c r="K51" s="53" t="s">
        <v>161</v>
      </c>
      <c r="L51" s="53">
        <v>2</v>
      </c>
      <c r="N51" s="53">
        <v>1</v>
      </c>
      <c r="O51" s="53">
        <v>0.2</v>
      </c>
      <c r="P51" s="53">
        <v>0.2</v>
      </c>
      <c r="Q51" s="74">
        <f t="shared" si="0"/>
        <v>0.2</v>
      </c>
      <c r="R51" s="53">
        <v>14.1</v>
      </c>
      <c r="S51" s="53">
        <v>132</v>
      </c>
      <c r="T51" s="16">
        <f t="shared" si="1"/>
        <v>30</v>
      </c>
      <c r="U51" s="53">
        <v>105</v>
      </c>
      <c r="V51" s="16">
        <f t="shared" si="2"/>
        <v>3150</v>
      </c>
      <c r="W51" s="53">
        <v>2</v>
      </c>
      <c r="X51" s="53" t="s">
        <v>46</v>
      </c>
      <c r="Y51" s="53" t="s">
        <v>84</v>
      </c>
      <c r="Z51" s="53" t="s">
        <v>78</v>
      </c>
      <c r="AA51" s="53" t="s">
        <v>90</v>
      </c>
      <c r="AB51" s="53" t="s">
        <v>241</v>
      </c>
    </row>
    <row r="52" spans="1:28" x14ac:dyDescent="0.15">
      <c r="A52" s="53" t="s">
        <v>34</v>
      </c>
      <c r="B52" s="53" t="s">
        <v>237</v>
      </c>
      <c r="C52" s="53">
        <v>2019</v>
      </c>
      <c r="D52" s="176" t="s">
        <v>361</v>
      </c>
      <c r="E52" s="53" t="s">
        <v>367</v>
      </c>
      <c r="F52" s="53" t="s">
        <v>377</v>
      </c>
      <c r="G52" s="53" t="s">
        <v>36</v>
      </c>
      <c r="H52" s="53" t="s">
        <v>164</v>
      </c>
      <c r="I52" s="53" t="s">
        <v>159</v>
      </c>
      <c r="J52" s="53" t="s">
        <v>38</v>
      </c>
      <c r="K52" s="53" t="s">
        <v>161</v>
      </c>
      <c r="L52" s="53">
        <v>3</v>
      </c>
      <c r="N52" s="53">
        <v>1</v>
      </c>
      <c r="O52" s="53">
        <v>0.7</v>
      </c>
      <c r="P52" s="53">
        <v>0.8</v>
      </c>
      <c r="Q52" s="74">
        <f t="shared" si="0"/>
        <v>0.75</v>
      </c>
      <c r="R52" s="53">
        <v>13.6</v>
      </c>
      <c r="S52" s="53">
        <v>130</v>
      </c>
      <c r="T52" s="16">
        <f t="shared" si="1"/>
        <v>30</v>
      </c>
      <c r="U52" s="53">
        <v>105</v>
      </c>
      <c r="V52" s="16">
        <f t="shared" si="2"/>
        <v>3150</v>
      </c>
      <c r="W52" s="53">
        <v>2</v>
      </c>
      <c r="X52" s="53" t="s">
        <v>46</v>
      </c>
      <c r="Y52" s="53" t="s">
        <v>84</v>
      </c>
      <c r="Z52" s="53" t="s">
        <v>78</v>
      </c>
      <c r="AA52" s="53" t="s">
        <v>90</v>
      </c>
      <c r="AB52" s="53" t="s">
        <v>241</v>
      </c>
    </row>
    <row r="53" spans="1:28" x14ac:dyDescent="0.15">
      <c r="A53" s="53" t="s">
        <v>34</v>
      </c>
      <c r="B53" s="53" t="s">
        <v>237</v>
      </c>
      <c r="C53" s="53">
        <v>2019</v>
      </c>
      <c r="D53" s="176" t="s">
        <v>361</v>
      </c>
      <c r="E53" s="53" t="s">
        <v>367</v>
      </c>
      <c r="F53" s="53" t="s">
        <v>377</v>
      </c>
      <c r="G53" s="53" t="s">
        <v>36</v>
      </c>
      <c r="H53" s="53" t="s">
        <v>164</v>
      </c>
      <c r="I53" s="53" t="s">
        <v>159</v>
      </c>
      <c r="J53" s="53" t="s">
        <v>38</v>
      </c>
      <c r="K53" s="53" t="s">
        <v>161</v>
      </c>
      <c r="L53" s="53">
        <v>1</v>
      </c>
      <c r="N53" s="53">
        <v>6</v>
      </c>
      <c r="O53" s="53">
        <v>0.45</v>
      </c>
      <c r="P53" s="53">
        <v>0.7</v>
      </c>
      <c r="Q53" s="74">
        <f t="shared" si="0"/>
        <v>0.57499999999999996</v>
      </c>
      <c r="R53" s="53">
        <v>13.5</v>
      </c>
      <c r="S53" s="53">
        <v>98</v>
      </c>
      <c r="T53" s="16">
        <f t="shared" si="1"/>
        <v>36</v>
      </c>
      <c r="U53" s="53">
        <v>429</v>
      </c>
      <c r="V53" s="16">
        <f t="shared" si="2"/>
        <v>2574</v>
      </c>
      <c r="W53" s="53">
        <v>2</v>
      </c>
      <c r="X53" s="53" t="s">
        <v>46</v>
      </c>
      <c r="Y53" s="53" t="s">
        <v>84</v>
      </c>
      <c r="Z53" s="53" t="s">
        <v>78</v>
      </c>
      <c r="AA53" s="53" t="s">
        <v>90</v>
      </c>
      <c r="AB53" s="53" t="s">
        <v>241</v>
      </c>
    </row>
    <row r="54" spans="1:28" x14ac:dyDescent="0.15">
      <c r="A54" s="53" t="s">
        <v>34</v>
      </c>
      <c r="B54" s="53" t="s">
        <v>237</v>
      </c>
      <c r="C54" s="53">
        <v>2019</v>
      </c>
      <c r="D54" s="176" t="s">
        <v>361</v>
      </c>
      <c r="E54" s="53" t="s">
        <v>367</v>
      </c>
      <c r="F54" s="53" t="s">
        <v>377</v>
      </c>
      <c r="G54" s="53" t="s">
        <v>36</v>
      </c>
      <c r="H54" s="53" t="s">
        <v>164</v>
      </c>
      <c r="I54" s="53" t="s">
        <v>159</v>
      </c>
      <c r="J54" s="53" t="s">
        <v>38</v>
      </c>
      <c r="K54" s="53" t="s">
        <v>161</v>
      </c>
      <c r="L54" s="53">
        <v>2</v>
      </c>
      <c r="N54" s="53">
        <v>6</v>
      </c>
      <c r="O54" s="53">
        <v>0.2</v>
      </c>
      <c r="P54" s="53">
        <v>0.2</v>
      </c>
      <c r="Q54" s="74">
        <f t="shared" si="0"/>
        <v>0.2</v>
      </c>
      <c r="R54" s="53">
        <v>13.8</v>
      </c>
      <c r="S54" s="53">
        <v>106</v>
      </c>
      <c r="T54" s="16">
        <f t="shared" si="1"/>
        <v>33</v>
      </c>
      <c r="U54" s="53">
        <v>429</v>
      </c>
      <c r="V54" s="16">
        <f t="shared" si="2"/>
        <v>2359.5</v>
      </c>
      <c r="W54" s="53">
        <v>2</v>
      </c>
      <c r="X54" s="53" t="s">
        <v>46</v>
      </c>
      <c r="Y54" s="53" t="s">
        <v>84</v>
      </c>
      <c r="Z54" s="53" t="s">
        <v>78</v>
      </c>
      <c r="AA54" s="53" t="s">
        <v>90</v>
      </c>
      <c r="AB54" s="53" t="s">
        <v>241</v>
      </c>
    </row>
    <row r="55" spans="1:28" x14ac:dyDescent="0.15">
      <c r="A55" s="53" t="s">
        <v>34</v>
      </c>
      <c r="B55" s="53" t="s">
        <v>237</v>
      </c>
      <c r="C55" s="53">
        <v>2019</v>
      </c>
      <c r="D55" s="176" t="s">
        <v>361</v>
      </c>
      <c r="E55" s="53" t="s">
        <v>367</v>
      </c>
      <c r="F55" s="53" t="s">
        <v>377</v>
      </c>
      <c r="G55" s="53" t="s">
        <v>36</v>
      </c>
      <c r="H55" s="53" t="s">
        <v>164</v>
      </c>
      <c r="I55" s="53" t="s">
        <v>159</v>
      </c>
      <c r="J55" s="53" t="s">
        <v>38</v>
      </c>
      <c r="K55" s="53" t="s">
        <v>161</v>
      </c>
      <c r="L55" s="53">
        <v>3</v>
      </c>
      <c r="N55" s="53">
        <v>6</v>
      </c>
      <c r="O55" s="53">
        <v>0.2</v>
      </c>
      <c r="P55" s="53">
        <v>0.2</v>
      </c>
      <c r="Q55" s="74">
        <f t="shared" si="0"/>
        <v>0.2</v>
      </c>
      <c r="R55" s="53">
        <v>13.8</v>
      </c>
      <c r="S55" s="53">
        <v>97</v>
      </c>
      <c r="T55" s="16">
        <f t="shared" si="1"/>
        <v>36</v>
      </c>
      <c r="U55" s="53">
        <v>429</v>
      </c>
      <c r="V55" s="16">
        <f t="shared" si="2"/>
        <v>2574</v>
      </c>
      <c r="W55" s="53">
        <v>2</v>
      </c>
      <c r="X55" s="53" t="s">
        <v>46</v>
      </c>
      <c r="Y55" s="53" t="s">
        <v>84</v>
      </c>
      <c r="Z55" s="53" t="s">
        <v>78</v>
      </c>
      <c r="AA55" s="53" t="s">
        <v>90</v>
      </c>
      <c r="AB55" s="53" t="s">
        <v>241</v>
      </c>
    </row>
    <row r="56" spans="1:28" x14ac:dyDescent="0.15">
      <c r="A56" s="53" t="s">
        <v>34</v>
      </c>
      <c r="B56" s="53" t="s">
        <v>237</v>
      </c>
      <c r="C56" s="53">
        <v>2019</v>
      </c>
      <c r="D56" s="176" t="s">
        <v>361</v>
      </c>
      <c r="E56" s="53" t="s">
        <v>384</v>
      </c>
      <c r="F56" s="53" t="s">
        <v>385</v>
      </c>
      <c r="G56" s="53" t="s">
        <v>36</v>
      </c>
      <c r="H56" s="53" t="s">
        <v>164</v>
      </c>
      <c r="I56" s="53" t="s">
        <v>159</v>
      </c>
      <c r="J56" s="53" t="s">
        <v>38</v>
      </c>
      <c r="K56" s="53" t="s">
        <v>161</v>
      </c>
      <c r="L56" s="53">
        <v>1</v>
      </c>
      <c r="N56" s="53">
        <v>1</v>
      </c>
      <c r="O56" s="53">
        <v>0.7</v>
      </c>
      <c r="P56" s="53">
        <v>0.7</v>
      </c>
      <c r="Q56" s="74">
        <f t="shared" si="0"/>
        <v>0.7</v>
      </c>
      <c r="R56" s="53">
        <v>13.5</v>
      </c>
      <c r="S56" s="53">
        <v>120</v>
      </c>
      <c r="T56" s="16">
        <f t="shared" si="1"/>
        <v>30</v>
      </c>
      <c r="U56" s="53">
        <v>127</v>
      </c>
      <c r="V56" s="16">
        <f t="shared" si="2"/>
        <v>3810</v>
      </c>
      <c r="W56" s="53">
        <v>1</v>
      </c>
      <c r="X56" s="53" t="s">
        <v>46</v>
      </c>
      <c r="Y56" s="53" t="s">
        <v>84</v>
      </c>
      <c r="Z56" s="53" t="s">
        <v>90</v>
      </c>
      <c r="AA56" s="53" t="s">
        <v>55</v>
      </c>
      <c r="AB56" s="53" t="s">
        <v>241</v>
      </c>
    </row>
    <row r="57" spans="1:28" x14ac:dyDescent="0.15">
      <c r="A57" s="53" t="s">
        <v>34</v>
      </c>
      <c r="B57" s="53" t="s">
        <v>237</v>
      </c>
      <c r="C57" s="53">
        <v>2019</v>
      </c>
      <c r="D57" s="176" t="s">
        <v>361</v>
      </c>
      <c r="E57" s="53" t="s">
        <v>384</v>
      </c>
      <c r="F57" s="53" t="s">
        <v>385</v>
      </c>
      <c r="G57" s="53" t="s">
        <v>36</v>
      </c>
      <c r="H57" s="53" t="s">
        <v>164</v>
      </c>
      <c r="I57" s="53" t="s">
        <v>159</v>
      </c>
      <c r="J57" s="53" t="s">
        <v>38</v>
      </c>
      <c r="K57" s="53" t="s">
        <v>161</v>
      </c>
      <c r="L57" s="53">
        <v>2</v>
      </c>
      <c r="N57" s="53">
        <v>1</v>
      </c>
      <c r="O57" s="53">
        <v>0.75</v>
      </c>
      <c r="P57" s="53">
        <v>0.6</v>
      </c>
      <c r="Q57" s="74">
        <f t="shared" si="0"/>
        <v>0.67500000000000004</v>
      </c>
      <c r="R57" s="53">
        <v>14.3</v>
      </c>
      <c r="S57" s="53">
        <v>120</v>
      </c>
      <c r="T57" s="16">
        <f t="shared" si="1"/>
        <v>30</v>
      </c>
      <c r="U57" s="53">
        <v>127</v>
      </c>
      <c r="V57" s="16">
        <f t="shared" si="2"/>
        <v>3810</v>
      </c>
      <c r="W57" s="53">
        <v>1</v>
      </c>
      <c r="X57" s="53" t="s">
        <v>46</v>
      </c>
      <c r="Y57" s="53" t="s">
        <v>84</v>
      </c>
      <c r="Z57" s="53" t="s">
        <v>90</v>
      </c>
      <c r="AA57" s="53" t="s">
        <v>55</v>
      </c>
      <c r="AB57" s="53" t="s">
        <v>241</v>
      </c>
    </row>
    <row r="58" spans="1:28" x14ac:dyDescent="0.15">
      <c r="A58" s="53" t="s">
        <v>34</v>
      </c>
      <c r="B58" s="53" t="s">
        <v>237</v>
      </c>
      <c r="C58" s="53">
        <v>2019</v>
      </c>
      <c r="D58" s="176" t="s">
        <v>361</v>
      </c>
      <c r="E58" s="53" t="s">
        <v>384</v>
      </c>
      <c r="F58" s="53" t="s">
        <v>385</v>
      </c>
      <c r="G58" s="53" t="s">
        <v>36</v>
      </c>
      <c r="H58" s="53" t="s">
        <v>164</v>
      </c>
      <c r="I58" s="53" t="s">
        <v>159</v>
      </c>
      <c r="J58" s="53" t="s">
        <v>38</v>
      </c>
      <c r="K58" s="53" t="s">
        <v>161</v>
      </c>
      <c r="L58" s="53">
        <v>3</v>
      </c>
      <c r="N58" s="53">
        <v>1</v>
      </c>
      <c r="O58" s="53">
        <v>0.65</v>
      </c>
      <c r="P58" s="53">
        <v>0.7</v>
      </c>
      <c r="Q58" s="74">
        <f t="shared" si="0"/>
        <v>0.67500000000000004</v>
      </c>
      <c r="R58" s="53">
        <v>13.9</v>
      </c>
      <c r="S58" s="53">
        <v>120</v>
      </c>
      <c r="T58" s="16">
        <f t="shared" si="1"/>
        <v>30</v>
      </c>
      <c r="U58" s="53">
        <v>127</v>
      </c>
      <c r="V58" s="16">
        <f t="shared" si="2"/>
        <v>3810</v>
      </c>
      <c r="W58" s="53">
        <v>1</v>
      </c>
      <c r="X58" s="53" t="s">
        <v>46</v>
      </c>
      <c r="Y58" s="53" t="s">
        <v>84</v>
      </c>
      <c r="Z58" s="53" t="s">
        <v>90</v>
      </c>
      <c r="AA58" s="53" t="s">
        <v>55</v>
      </c>
      <c r="AB58" s="53" t="s">
        <v>241</v>
      </c>
    </row>
    <row r="59" spans="1:28" x14ac:dyDescent="0.15">
      <c r="A59" s="53" t="s">
        <v>34</v>
      </c>
      <c r="B59" s="53" t="s">
        <v>237</v>
      </c>
      <c r="C59" s="53">
        <v>2019</v>
      </c>
      <c r="D59" s="176" t="s">
        <v>361</v>
      </c>
      <c r="E59" s="53" t="s">
        <v>386</v>
      </c>
      <c r="F59" s="53" t="s">
        <v>387</v>
      </c>
      <c r="G59" s="53" t="s">
        <v>36</v>
      </c>
      <c r="H59" s="53" t="s">
        <v>164</v>
      </c>
      <c r="I59" s="53" t="s">
        <v>159</v>
      </c>
      <c r="J59" s="53" t="s">
        <v>38</v>
      </c>
      <c r="K59" s="53" t="s">
        <v>161</v>
      </c>
      <c r="L59" s="53">
        <v>1</v>
      </c>
      <c r="N59" s="53">
        <v>1</v>
      </c>
      <c r="O59" s="53">
        <v>0.75</v>
      </c>
      <c r="P59" s="53">
        <v>0.75</v>
      </c>
      <c r="Q59" s="74">
        <f t="shared" si="0"/>
        <v>0.75</v>
      </c>
      <c r="R59" s="53">
        <v>13.6</v>
      </c>
      <c r="S59" s="53">
        <v>110</v>
      </c>
      <c r="T59" s="16">
        <f t="shared" si="1"/>
        <v>33</v>
      </c>
      <c r="U59" s="53">
        <v>105</v>
      </c>
      <c r="V59" s="16">
        <f t="shared" si="2"/>
        <v>3465</v>
      </c>
      <c r="W59" s="53">
        <v>4</v>
      </c>
      <c r="X59" s="53" t="s">
        <v>46</v>
      </c>
      <c r="Y59" s="53" t="s">
        <v>84</v>
      </c>
      <c r="Z59" s="53" t="s">
        <v>90</v>
      </c>
      <c r="AA59" s="53" t="s">
        <v>78</v>
      </c>
      <c r="AB59" s="53" t="s">
        <v>241</v>
      </c>
    </row>
    <row r="60" spans="1:28" x14ac:dyDescent="0.15">
      <c r="A60" s="53" t="s">
        <v>34</v>
      </c>
      <c r="B60" s="53" t="s">
        <v>237</v>
      </c>
      <c r="C60" s="53">
        <v>2019</v>
      </c>
      <c r="D60" s="176" t="s">
        <v>361</v>
      </c>
      <c r="E60" s="53" t="s">
        <v>386</v>
      </c>
      <c r="F60" s="53" t="s">
        <v>387</v>
      </c>
      <c r="G60" s="53" t="s">
        <v>36</v>
      </c>
      <c r="H60" s="53" t="s">
        <v>164</v>
      </c>
      <c r="I60" s="53" t="s">
        <v>159</v>
      </c>
      <c r="J60" s="53" t="s">
        <v>38</v>
      </c>
      <c r="K60" s="53" t="s">
        <v>161</v>
      </c>
      <c r="L60" s="53">
        <v>2</v>
      </c>
      <c r="N60" s="53">
        <v>1</v>
      </c>
      <c r="O60" s="53">
        <v>0.2</v>
      </c>
      <c r="P60" s="53">
        <v>0.2</v>
      </c>
      <c r="Q60" s="74">
        <f t="shared" si="0"/>
        <v>0.2</v>
      </c>
      <c r="R60" s="53">
        <v>13.8</v>
      </c>
      <c r="S60" s="53">
        <v>114</v>
      </c>
      <c r="T60" s="16">
        <f t="shared" si="1"/>
        <v>30</v>
      </c>
      <c r="U60" s="53">
        <v>105</v>
      </c>
      <c r="V60" s="16">
        <f t="shared" si="2"/>
        <v>3150</v>
      </c>
      <c r="W60" s="53">
        <v>4</v>
      </c>
      <c r="X60" s="53" t="s">
        <v>46</v>
      </c>
      <c r="Y60" s="53" t="s">
        <v>84</v>
      </c>
      <c r="Z60" s="53" t="s">
        <v>90</v>
      </c>
      <c r="AA60" s="53" t="s">
        <v>78</v>
      </c>
      <c r="AB60" s="53" t="s">
        <v>241</v>
      </c>
    </row>
    <row r="61" spans="1:28" x14ac:dyDescent="0.15">
      <c r="A61" s="53" t="s">
        <v>34</v>
      </c>
      <c r="B61" s="53" t="s">
        <v>237</v>
      </c>
      <c r="C61" s="53">
        <v>2019</v>
      </c>
      <c r="D61" s="176" t="s">
        <v>361</v>
      </c>
      <c r="E61" s="53" t="s">
        <v>386</v>
      </c>
      <c r="F61" s="53" t="s">
        <v>387</v>
      </c>
      <c r="G61" s="53" t="s">
        <v>36</v>
      </c>
      <c r="H61" s="53" t="s">
        <v>164</v>
      </c>
      <c r="I61" s="53" t="s">
        <v>159</v>
      </c>
      <c r="J61" s="53" t="s">
        <v>38</v>
      </c>
      <c r="K61" s="53" t="s">
        <v>161</v>
      </c>
      <c r="L61" s="53">
        <v>3</v>
      </c>
      <c r="N61" s="53">
        <v>1</v>
      </c>
      <c r="O61" s="53">
        <v>0.6</v>
      </c>
      <c r="P61" s="53">
        <v>0.45</v>
      </c>
      <c r="Q61" s="74">
        <f t="shared" si="0"/>
        <v>0.52500000000000002</v>
      </c>
      <c r="R61" s="53">
        <v>14.1</v>
      </c>
      <c r="S61" s="53">
        <v>116</v>
      </c>
      <c r="T61" s="16">
        <f t="shared" si="1"/>
        <v>30</v>
      </c>
      <c r="U61" s="53">
        <v>105</v>
      </c>
      <c r="V61" s="16">
        <f t="shared" si="2"/>
        <v>3150</v>
      </c>
      <c r="W61" s="53">
        <v>4</v>
      </c>
      <c r="X61" s="53" t="s">
        <v>46</v>
      </c>
      <c r="Y61" s="53" t="s">
        <v>84</v>
      </c>
      <c r="Z61" s="53" t="s">
        <v>90</v>
      </c>
      <c r="AA61" s="53" t="s">
        <v>78</v>
      </c>
      <c r="AB61" s="53" t="s">
        <v>241</v>
      </c>
    </row>
    <row r="62" spans="1:28" x14ac:dyDescent="0.15">
      <c r="A62" s="53" t="s">
        <v>34</v>
      </c>
      <c r="B62" s="53" t="s">
        <v>237</v>
      </c>
      <c r="C62" s="53">
        <v>2019</v>
      </c>
      <c r="D62" s="176" t="s">
        <v>361</v>
      </c>
      <c r="E62" s="53" t="s">
        <v>386</v>
      </c>
      <c r="F62" s="53" t="s">
        <v>387</v>
      </c>
      <c r="G62" s="53" t="s">
        <v>36</v>
      </c>
      <c r="H62" s="53" t="s">
        <v>164</v>
      </c>
      <c r="I62" s="53" t="s">
        <v>159</v>
      </c>
      <c r="J62" s="53" t="s">
        <v>38</v>
      </c>
      <c r="K62" s="53" t="s">
        <v>161</v>
      </c>
      <c r="L62" s="53">
        <v>1</v>
      </c>
      <c r="N62" s="53">
        <v>5</v>
      </c>
      <c r="O62" s="53">
        <v>0.75</v>
      </c>
      <c r="P62" s="53">
        <v>0.9</v>
      </c>
      <c r="Q62" s="74">
        <f t="shared" si="0"/>
        <v>0.82499999999999996</v>
      </c>
      <c r="R62" s="53">
        <v>13.5</v>
      </c>
      <c r="S62" s="53">
        <v>94</v>
      </c>
      <c r="T62" s="16">
        <f t="shared" si="1"/>
        <v>36</v>
      </c>
      <c r="U62" s="53">
        <v>410</v>
      </c>
      <c r="V62" s="16">
        <f t="shared" si="2"/>
        <v>2952</v>
      </c>
      <c r="W62" s="53">
        <v>4</v>
      </c>
      <c r="X62" s="53" t="s">
        <v>46</v>
      </c>
      <c r="Y62" s="53" t="s">
        <v>84</v>
      </c>
      <c r="Z62" s="53" t="s">
        <v>90</v>
      </c>
      <c r="AA62" s="53" t="s">
        <v>78</v>
      </c>
      <c r="AB62" s="53" t="s">
        <v>241</v>
      </c>
    </row>
    <row r="63" spans="1:28" x14ac:dyDescent="0.15">
      <c r="A63" s="53" t="s">
        <v>34</v>
      </c>
      <c r="B63" s="53" t="s">
        <v>237</v>
      </c>
      <c r="C63" s="53">
        <v>2019</v>
      </c>
      <c r="D63" s="176" t="s">
        <v>361</v>
      </c>
      <c r="E63" s="53" t="s">
        <v>386</v>
      </c>
      <c r="F63" s="53" t="s">
        <v>387</v>
      </c>
      <c r="G63" s="53" t="s">
        <v>36</v>
      </c>
      <c r="H63" s="53" t="s">
        <v>164</v>
      </c>
      <c r="I63" s="53" t="s">
        <v>159</v>
      </c>
      <c r="J63" s="53" t="s">
        <v>38</v>
      </c>
      <c r="K63" s="53" t="s">
        <v>161</v>
      </c>
      <c r="L63" s="53">
        <v>2</v>
      </c>
      <c r="N63" s="53">
        <v>5</v>
      </c>
      <c r="O63" s="53">
        <v>0.75</v>
      </c>
      <c r="P63" s="53">
        <v>0.65</v>
      </c>
      <c r="Q63" s="74">
        <f t="shared" si="0"/>
        <v>0.7</v>
      </c>
      <c r="R63" s="53">
        <v>15.2</v>
      </c>
      <c r="S63" s="53">
        <v>100</v>
      </c>
      <c r="T63" s="16">
        <f t="shared" si="1"/>
        <v>33</v>
      </c>
      <c r="U63" s="53">
        <v>410</v>
      </c>
      <c r="V63" s="16">
        <f t="shared" si="2"/>
        <v>2706</v>
      </c>
      <c r="W63" s="53">
        <v>4</v>
      </c>
      <c r="X63" s="53" t="s">
        <v>46</v>
      </c>
      <c r="Y63" s="53" t="s">
        <v>84</v>
      </c>
      <c r="Z63" s="53" t="s">
        <v>90</v>
      </c>
      <c r="AA63" s="53" t="s">
        <v>78</v>
      </c>
      <c r="AB63" s="53" t="s">
        <v>241</v>
      </c>
    </row>
    <row r="64" spans="1:28" x14ac:dyDescent="0.15">
      <c r="A64" s="53" t="s">
        <v>34</v>
      </c>
      <c r="B64" s="53" t="s">
        <v>237</v>
      </c>
      <c r="C64" s="53">
        <v>2019</v>
      </c>
      <c r="D64" s="176" t="s">
        <v>361</v>
      </c>
      <c r="E64" s="53" t="s">
        <v>386</v>
      </c>
      <c r="F64" s="53" t="s">
        <v>387</v>
      </c>
      <c r="G64" s="53" t="s">
        <v>36</v>
      </c>
      <c r="H64" s="53" t="s">
        <v>164</v>
      </c>
      <c r="I64" s="53" t="s">
        <v>159</v>
      </c>
      <c r="J64" s="53" t="s">
        <v>38</v>
      </c>
      <c r="K64" s="53" t="s">
        <v>161</v>
      </c>
      <c r="L64" s="53">
        <v>3</v>
      </c>
      <c r="N64" s="53">
        <v>5</v>
      </c>
      <c r="O64" s="53">
        <v>0.75</v>
      </c>
      <c r="P64" s="53">
        <v>0.8</v>
      </c>
      <c r="Q64" s="74">
        <f t="shared" si="0"/>
        <v>0.77500000000000002</v>
      </c>
      <c r="R64" s="53">
        <v>14.6</v>
      </c>
      <c r="S64" s="53">
        <v>94</v>
      </c>
      <c r="T64" s="16">
        <f t="shared" si="1"/>
        <v>36</v>
      </c>
      <c r="U64" s="53">
        <v>410</v>
      </c>
      <c r="V64" s="16">
        <f t="shared" si="2"/>
        <v>2952</v>
      </c>
      <c r="W64" s="53">
        <v>4</v>
      </c>
      <c r="X64" s="53" t="s">
        <v>46</v>
      </c>
      <c r="Y64" s="53" t="s">
        <v>84</v>
      </c>
      <c r="Z64" s="53" t="s">
        <v>90</v>
      </c>
      <c r="AA64" s="53" t="s">
        <v>78</v>
      </c>
      <c r="AB64" s="53" t="s">
        <v>241</v>
      </c>
    </row>
    <row r="65" spans="1:28" x14ac:dyDescent="0.15">
      <c r="A65" s="53" t="s">
        <v>34</v>
      </c>
      <c r="B65" s="53" t="s">
        <v>237</v>
      </c>
      <c r="C65" s="53">
        <v>2019</v>
      </c>
      <c r="D65" s="176" t="s">
        <v>361</v>
      </c>
      <c r="E65" s="53" t="s">
        <v>274</v>
      </c>
      <c r="F65" s="53" t="s">
        <v>388</v>
      </c>
      <c r="G65" s="53" t="s">
        <v>36</v>
      </c>
      <c r="H65" s="53" t="s">
        <v>164</v>
      </c>
      <c r="I65" s="53" t="s">
        <v>159</v>
      </c>
      <c r="J65" s="53" t="s">
        <v>38</v>
      </c>
      <c r="K65" s="53" t="s">
        <v>161</v>
      </c>
      <c r="L65" s="53">
        <v>1</v>
      </c>
      <c r="N65" s="53">
        <v>6</v>
      </c>
      <c r="O65" s="53">
        <v>0.5</v>
      </c>
      <c r="P65" s="53">
        <v>0.5</v>
      </c>
      <c r="Q65" s="74">
        <f t="shared" si="0"/>
        <v>0.5</v>
      </c>
      <c r="R65" s="53">
        <v>12.7</v>
      </c>
      <c r="S65" s="53">
        <v>87</v>
      </c>
      <c r="T65" s="16">
        <f t="shared" si="1"/>
        <v>36</v>
      </c>
      <c r="U65" s="53">
        <v>429</v>
      </c>
      <c r="V65" s="16">
        <f t="shared" si="2"/>
        <v>2574</v>
      </c>
      <c r="W65" s="53">
        <v>2</v>
      </c>
      <c r="X65" s="53" t="s">
        <v>46</v>
      </c>
      <c r="Y65" s="53" t="s">
        <v>84</v>
      </c>
      <c r="Z65" s="53" t="s">
        <v>90</v>
      </c>
      <c r="AA65" s="53" t="s">
        <v>69</v>
      </c>
      <c r="AB65" s="53" t="s">
        <v>241</v>
      </c>
    </row>
    <row r="66" spans="1:28" x14ac:dyDescent="0.15">
      <c r="A66" s="53" t="s">
        <v>34</v>
      </c>
      <c r="B66" s="53" t="s">
        <v>237</v>
      </c>
      <c r="C66" s="53">
        <v>2019</v>
      </c>
      <c r="D66" s="176" t="s">
        <v>361</v>
      </c>
      <c r="E66" s="53" t="s">
        <v>274</v>
      </c>
      <c r="F66" s="53" t="s">
        <v>388</v>
      </c>
      <c r="G66" s="53" t="s">
        <v>36</v>
      </c>
      <c r="H66" s="53" t="s">
        <v>164</v>
      </c>
      <c r="I66" s="53" t="s">
        <v>159</v>
      </c>
      <c r="J66" s="53" t="s">
        <v>38</v>
      </c>
      <c r="K66" s="53" t="s">
        <v>161</v>
      </c>
      <c r="L66" s="53">
        <v>2</v>
      </c>
      <c r="N66" s="53">
        <v>6</v>
      </c>
      <c r="O66" s="53">
        <v>0.45</v>
      </c>
      <c r="P66" s="53">
        <v>0.5</v>
      </c>
      <c r="Q66" s="74">
        <f t="shared" ref="Q66:Q67" si="5">IF(OR(O66="",P66=""),"",AVERAGE(O66,P66))</f>
        <v>0.47499999999999998</v>
      </c>
      <c r="R66" s="53">
        <v>12.8</v>
      </c>
      <c r="S66" s="53">
        <v>90</v>
      </c>
      <c r="T66" s="16">
        <f t="shared" ref="T66:T67" si="6">IF(H66="","",IF(OR(H66="GREEN",H66="GK"),IF(S66&gt;=$AX$2,VLOOKUP(S66,$AX$2:$AY$9,2,1),""),IF(S66&gt;=$AZ$2,VLOOKUP(S66,$AZ$2:$BA$9,2,1),"")))</f>
        <v>36</v>
      </c>
      <c r="U66" s="53">
        <v>429</v>
      </c>
      <c r="V66" s="16">
        <f t="shared" ref="V66:V67" si="7">IF(OR(N66="",U66="",T66=""),"",U66/N66*T66)</f>
        <v>2574</v>
      </c>
      <c r="W66" s="53">
        <v>2</v>
      </c>
      <c r="X66" s="53" t="s">
        <v>46</v>
      </c>
      <c r="Y66" s="53" t="s">
        <v>84</v>
      </c>
      <c r="Z66" s="53" t="s">
        <v>90</v>
      </c>
      <c r="AA66" s="53" t="s">
        <v>69</v>
      </c>
      <c r="AB66" s="53" t="s">
        <v>241</v>
      </c>
    </row>
    <row r="67" spans="1:28" x14ac:dyDescent="0.15">
      <c r="A67" s="53" t="s">
        <v>34</v>
      </c>
      <c r="B67" s="53" t="s">
        <v>237</v>
      </c>
      <c r="C67" s="53">
        <v>2019</v>
      </c>
      <c r="D67" s="176" t="s">
        <v>361</v>
      </c>
      <c r="E67" s="53" t="s">
        <v>274</v>
      </c>
      <c r="F67" s="53" t="s">
        <v>388</v>
      </c>
      <c r="G67" s="53" t="s">
        <v>36</v>
      </c>
      <c r="H67" s="53" t="s">
        <v>164</v>
      </c>
      <c r="I67" s="53" t="s">
        <v>159</v>
      </c>
      <c r="J67" s="53" t="s">
        <v>38</v>
      </c>
      <c r="K67" s="53" t="s">
        <v>161</v>
      </c>
      <c r="L67" s="53">
        <v>3</v>
      </c>
      <c r="N67" s="53">
        <v>6</v>
      </c>
      <c r="O67" s="53">
        <v>0.55000000000000004</v>
      </c>
      <c r="P67" s="53">
        <v>0.7</v>
      </c>
      <c r="Q67" s="74">
        <f t="shared" si="5"/>
        <v>0.625</v>
      </c>
      <c r="R67" s="53">
        <v>14.6</v>
      </c>
      <c r="S67" s="53">
        <v>86</v>
      </c>
      <c r="T67" s="16">
        <f t="shared" si="6"/>
        <v>36</v>
      </c>
      <c r="U67" s="53">
        <v>429</v>
      </c>
      <c r="V67" s="16">
        <f t="shared" si="7"/>
        <v>2574</v>
      </c>
      <c r="W67" s="53">
        <v>2</v>
      </c>
      <c r="X67" s="53" t="s">
        <v>46</v>
      </c>
      <c r="Y67" s="53" t="s">
        <v>84</v>
      </c>
      <c r="Z67" s="53" t="s">
        <v>90</v>
      </c>
      <c r="AA67" s="53" t="s">
        <v>69</v>
      </c>
      <c r="AB67" s="53" t="s">
        <v>241</v>
      </c>
    </row>
    <row r="68" spans="1:28" x14ac:dyDescent="0.15">
      <c r="D68" s="176"/>
      <c r="Q68" s="74"/>
    </row>
    <row r="69" spans="1:28" x14ac:dyDescent="0.15">
      <c r="D69" s="176"/>
      <c r="Q69" s="74"/>
    </row>
    <row r="70" spans="1:28" x14ac:dyDescent="0.15">
      <c r="D70" s="176"/>
      <c r="Q70" s="74"/>
    </row>
    <row r="71" spans="1:28" x14ac:dyDescent="0.15">
      <c r="D71" s="176"/>
      <c r="Q71" s="74"/>
    </row>
    <row r="72" spans="1:28" x14ac:dyDescent="0.15">
      <c r="D72" s="176"/>
      <c r="Q72" s="74"/>
    </row>
    <row r="73" spans="1:28" x14ac:dyDescent="0.15">
      <c r="D73" s="176"/>
      <c r="Q73" s="74"/>
    </row>
    <row r="74" spans="1:28" x14ac:dyDescent="0.15">
      <c r="D74" s="176"/>
      <c r="Q74" s="74"/>
    </row>
    <row r="75" spans="1:28" x14ac:dyDescent="0.15">
      <c r="D75" s="176"/>
      <c r="Q75" s="74"/>
    </row>
    <row r="76" spans="1:28" x14ac:dyDescent="0.15">
      <c r="D76" s="176"/>
      <c r="Q76" s="74"/>
    </row>
    <row r="77" spans="1:28" x14ac:dyDescent="0.15">
      <c r="D77" s="176"/>
      <c r="Q77" s="74"/>
    </row>
    <row r="78" spans="1:28" x14ac:dyDescent="0.15">
      <c r="D78" s="176"/>
      <c r="Q78" s="74"/>
    </row>
    <row r="79" spans="1:28" x14ac:dyDescent="0.15">
      <c r="D79" s="176"/>
      <c r="Q79" s="74"/>
    </row>
    <row r="80" spans="1:28" x14ac:dyDescent="0.15">
      <c r="D80" s="176"/>
      <c r="Q80" s="74"/>
    </row>
    <row r="81" spans="4:4" x14ac:dyDescent="0.15">
      <c r="D81" s="176"/>
    </row>
    <row r="82" spans="4:4" x14ac:dyDescent="0.15">
      <c r="D82" s="176"/>
    </row>
    <row r="83" spans="4:4" x14ac:dyDescent="0.15">
      <c r="D83" s="176"/>
    </row>
    <row r="84" spans="4:4" x14ac:dyDescent="0.15">
      <c r="D84" s="176"/>
    </row>
    <row r="85" spans="4:4" x14ac:dyDescent="0.15">
      <c r="D85" s="176"/>
    </row>
    <row r="86" spans="4:4" x14ac:dyDescent="0.15">
      <c r="D86" s="176"/>
    </row>
    <row r="87" spans="4:4" x14ac:dyDescent="0.15">
      <c r="D87" s="176"/>
    </row>
    <row r="88" spans="4:4" x14ac:dyDescent="0.15">
      <c r="D88" s="176"/>
    </row>
    <row r="89" spans="4:4" x14ac:dyDescent="0.15">
      <c r="D89" s="176"/>
    </row>
    <row r="90" spans="4:4" x14ac:dyDescent="0.15">
      <c r="D90" s="176"/>
    </row>
    <row r="91" spans="4:4" x14ac:dyDescent="0.15">
      <c r="D91" s="176"/>
    </row>
    <row r="92" spans="4:4" x14ac:dyDescent="0.15">
      <c r="D92" s="176"/>
    </row>
    <row r="93" spans="4:4" x14ac:dyDescent="0.15">
      <c r="D93" s="176"/>
    </row>
    <row r="94" spans="4:4" x14ac:dyDescent="0.15">
      <c r="D94" s="176"/>
    </row>
    <row r="95" spans="4:4" x14ac:dyDescent="0.15">
      <c r="D95" s="176"/>
    </row>
    <row r="96" spans="4:4" x14ac:dyDescent="0.15">
      <c r="D96" s="176"/>
    </row>
    <row r="97" spans="4:4" x14ac:dyDescent="0.15">
      <c r="D97" s="176"/>
    </row>
    <row r="98" spans="4:4" x14ac:dyDescent="0.15">
      <c r="D98" s="176"/>
    </row>
    <row r="99" spans="4:4" x14ac:dyDescent="0.15">
      <c r="D99" s="176"/>
    </row>
    <row r="100" spans="4:4" x14ac:dyDescent="0.15">
      <c r="D100" s="176"/>
    </row>
    <row r="101" spans="4:4" x14ac:dyDescent="0.15">
      <c r="D101" s="176"/>
    </row>
    <row r="102" spans="4:4" x14ac:dyDescent="0.15">
      <c r="D102" s="176"/>
    </row>
    <row r="103" spans="4:4" x14ac:dyDescent="0.15">
      <c r="D103" s="176"/>
    </row>
    <row r="104" spans="4:4" x14ac:dyDescent="0.15">
      <c r="D104" s="176"/>
    </row>
    <row r="105" spans="4:4" x14ac:dyDescent="0.15">
      <c r="D105" s="176"/>
    </row>
    <row r="106" spans="4:4" x14ac:dyDescent="0.15">
      <c r="D106" s="176"/>
    </row>
    <row r="107" spans="4:4" x14ac:dyDescent="0.15">
      <c r="D107" s="176"/>
    </row>
    <row r="108" spans="4:4" x14ac:dyDescent="0.15">
      <c r="D108" s="176"/>
    </row>
    <row r="109" spans="4:4" x14ac:dyDescent="0.15">
      <c r="D109" s="176"/>
    </row>
    <row r="110" spans="4:4" x14ac:dyDescent="0.15">
      <c r="D110" s="176"/>
    </row>
    <row r="111" spans="4:4" x14ac:dyDescent="0.15">
      <c r="D111" s="176"/>
    </row>
    <row r="112" spans="4:4"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sheetData>
  <autoFilter ref="A1:BA146" xr:uid="{00000000-0009-0000-0000-000000000000}"/>
  <phoneticPr fontId="3"/>
  <dataValidations count="12">
    <dataValidation type="decimal" allowBlank="1" showInputMessage="1" showErrorMessage="1" error="硬度を正しく入力して下さい。" sqref="O2:P49 O59:P466" xr:uid="{D24CEE89-9AEB-46E5-A025-2F572731F595}">
      <formula1>0</formula1>
      <formula2>7</formula2>
    </dataValidation>
    <dataValidation type="list" allowBlank="1" showInputMessage="1" showErrorMessage="1" sqref="F2:F466" xr:uid="{D687B035-9488-4BF5-B43E-32B5BA905BAE}">
      <formula1>$AH$2:$AH$11</formula1>
    </dataValidation>
    <dataValidation type="list" allowBlank="1" showInputMessage="1" showErrorMessage="1" sqref="E2:E466" xr:uid="{5F4B60D1-D66E-4EE5-A81A-DE68550B981E}">
      <formula1>$AG$2:$AG$11</formula1>
    </dataValidation>
    <dataValidation type="list" allowBlank="1" showInputMessage="1" showErrorMessage="1" sqref="K2:K778" xr:uid="{8BFC8F49-97D2-4F6E-B534-2368AC2B8DD7}">
      <formula1>$AR$2:$AR$23</formula1>
    </dataValidation>
    <dataValidation operator="equal" allowBlank="1" showInputMessage="1" showErrorMessage="1" sqref="B2:B146" xr:uid="{F1E4380B-80DD-47E6-9872-E0ED3E355458}"/>
    <dataValidation type="list" allowBlank="1" showInputMessage="1" showErrorMessage="1" sqref="A2:A465" xr:uid="{CADC073E-F368-4268-A919-6AF508A6E4E8}">
      <formula1>$AE$2:$AE$19</formula1>
    </dataValidation>
    <dataValidation type="list" allowBlank="1" showInputMessage="1" showErrorMessage="1" sqref="Y2:AA466" xr:uid="{8B1F8BA4-CA9B-46E9-9658-CEDC68E1DED8}">
      <formula1>$AV$2:$AV$21</formula1>
    </dataValidation>
    <dataValidation type="list" allowBlank="1" showInputMessage="1" showErrorMessage="1" sqref="H2:H466" xr:uid="{CAE1216D-1FF1-4944-900B-62398F3A96C8}">
      <formula1>$AL$2:$AL$8</formula1>
    </dataValidation>
    <dataValidation type="list" allowBlank="1" showInputMessage="1" showErrorMessage="1" sqref="X2:X466" xr:uid="{A7F7AEFB-3D19-4138-A015-A2A9690984D6}">
      <formula1>$AT$2:$AT$3</formula1>
    </dataValidation>
    <dataValidation type="list" allowBlank="1" showInputMessage="1" showErrorMessage="1" sqref="G2:G466" xr:uid="{011AF983-F73E-4B74-9BEC-C3EFB11BECA8}">
      <formula1>$AJ$2:$AJ$4</formula1>
    </dataValidation>
    <dataValidation type="list" allowBlank="1" showInputMessage="1" showErrorMessage="1" sqref="I2:I466" xr:uid="{481F6999-491B-45A6-8410-AC38B8A17C55}">
      <formula1>$AN$5:$AN$6</formula1>
    </dataValidation>
    <dataValidation type="list" allowBlank="1" showInputMessage="1" showErrorMessage="1" sqref="J2:J466" xr:uid="{576B1D66-AC74-4877-8B39-6388FFE8A003}">
      <formula1>$AP$2:$AP$24</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77ACE6-D210-4C8E-BB31-66468C1226E2}"/>
</file>

<file path=customXml/itemProps2.xml><?xml version="1.0" encoding="utf-8"?>
<ds:datastoreItem xmlns:ds="http://schemas.openxmlformats.org/officeDocument/2006/customXml" ds:itemID="{B3FEB925-B9FD-413F-AF8A-1F706E69D5DB}"/>
</file>

<file path=customXml/itemProps3.xml><?xml version="1.0" encoding="utf-8"?>
<ds:datastoreItem xmlns:ds="http://schemas.openxmlformats.org/officeDocument/2006/customXml" ds:itemID="{D9B40197-A468-4AA5-8543-C49679BE44B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2019-12-06T08:59:55Z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