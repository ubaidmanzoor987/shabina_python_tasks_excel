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01"/>
  <workbookPr defaultThemeVersion="124226"/>
  <mc:AlternateContent xmlns:mc="http://schemas.openxmlformats.org/markup-compatibility/2006">
    <mc:Choice Requires="x15">
      <x15ac:absPath xmlns:x15ac="http://schemas.microsoft.com/office/spreadsheetml/2010/11/ac" url="\\192.168.11.200\000_全国共有\2-Zespri\品質調査\2019\32週\"/>
    </mc:Choice>
  </mc:AlternateContent>
  <xr:revisionPtr revIDLastSave="0" documentId="13_ncr:1_{36C9A062-97F9-428B-BDCA-4DA3EF264EAA}" xr6:coauthVersionLast="43" xr6:coauthVersionMax="43" xr10:uidLastSave="{00000000-0000-0000-0000-000000000000}"/>
  <bookViews>
    <workbookView xWindow="-120" yWindow="-120" windowWidth="29040" windowHeight="15840" xr2:uid="{00000000-000D-0000-FFFF-FFFF00000000}"/>
  </bookViews>
  <sheets>
    <sheet name="sapporo" sheetId="17" r:id="rId1"/>
    <sheet name="miyagi" sheetId="18" r:id="rId2"/>
    <sheet name="nagoya" sheetId="19" r:id="rId3"/>
    <sheet name="osaka" sheetId="20" r:id="rId4"/>
    <sheet name="hiroshima" sheetId="21" r:id="rId5"/>
    <sheet name="fukuoka" sheetId="23" r:id="rId6"/>
    <sheet name="tokyo-east(ota)" sheetId="22" r:id="rId7"/>
    <sheet name="tokyo-west(kato)" sheetId="24" r:id="rId8"/>
  </sheets>
  <definedNames>
    <definedName name="_xlnm._FilterDatabase" localSheetId="5" hidden="1">fukuoka!$A$1:$BA$145</definedName>
    <definedName name="_xlnm._FilterDatabase" localSheetId="4" hidden="1">hiroshima!$A$1:$BA$1</definedName>
    <definedName name="_xlnm._FilterDatabase" localSheetId="1" hidden="1">miyagi!$A$1:$BA$387</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'tokyo-west(kato)'!$A$1:$BA$119</definedName>
    <definedName name="aaa" localSheetId="0">#REF!</definedName>
    <definedName name="aaa">#REF!</definedName>
    <definedName name="Brand" localSheetId="0">#REF!</definedName>
    <definedName name="Brand">#REF!</definedName>
    <definedName name="District" localSheetId="0">#REF!</definedName>
    <definedName name="District">#REF!</definedName>
    <definedName name="Fruit" localSheetId="0">#REF!</definedName>
    <definedName name="Fruit">#REF!</definedName>
    <definedName name="GoldSIZE" localSheetId="0">#REF!</definedName>
    <definedName name="GoldSIZE">#REF!</definedName>
    <definedName name="GreenSIZE" localSheetId="0">#REF!</definedName>
    <definedName name="GreenSIZE">#REF!</definedName>
    <definedName name="GrowingMethod" localSheetId="0">#REF!</definedName>
    <definedName name="GrowingMethod">#REF!</definedName>
    <definedName name="hiroshima">#REF!</definedName>
    <definedName name="kk">#REF!</definedName>
    <definedName name="ｌｌｌｌｌ">#REF!</definedName>
    <definedName name="miyagi">#REF!</definedName>
    <definedName name="miyagi2">#REF!</definedName>
    <definedName name="Origin" localSheetId="0">#REF!</definedName>
    <definedName name="Origin">#REF!</definedName>
    <definedName name="Shelf" localSheetId="0">#REF!</definedName>
    <definedName name="Shelf">#REF!</definedName>
    <definedName name="Shop" localSheetId="0">#REF!</definedName>
    <definedName name="Shop">#REF!</definedName>
    <definedName name="ShopName1" localSheetId="0">#REF!</definedName>
    <definedName name="ShopName1">#REF!</definedName>
    <definedName name="ShopName2" localSheetId="0">#REF!</definedName>
    <definedName name="ShopName2">#REF!</definedName>
    <definedName name="Variety" localSheetId="0">#REF!</definedName>
    <definedName name="Variety">#REF!</definedName>
    <definedName name="yaginuma">#REF!</definedName>
    <definedName name="検索店舗名" localSheetId="0">#REF!</definedName>
    <definedName name="検索店舗名">#REF!</definedName>
    <definedName name="栽培方法">#REF!</definedName>
    <definedName name="販売ユニット個数" localSheetId="0">#REF!</definedName>
    <definedName name="販売ユニット個数">#REF!</definedName>
  </definedNames>
  <calcPr calcId="18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V119" i="24" l="1"/>
  <c r="T119" i="24"/>
  <c r="T118" i="24"/>
  <c r="V118" i="24" s="1"/>
  <c r="Q118" i="24"/>
  <c r="T117" i="24"/>
  <c r="V117" i="24" s="1"/>
  <c r="Q117" i="24"/>
  <c r="V116" i="24"/>
  <c r="T116" i="24"/>
  <c r="Q116" i="24"/>
  <c r="T115" i="24"/>
  <c r="V115" i="24" s="1"/>
  <c r="Q115" i="24"/>
  <c r="T114" i="24"/>
  <c r="V114" i="24" s="1"/>
  <c r="Q114" i="24"/>
  <c r="T113" i="24"/>
  <c r="V113" i="24" s="1"/>
  <c r="Q113" i="24"/>
  <c r="V112" i="24"/>
  <c r="T112" i="24"/>
  <c r="Q112" i="24"/>
  <c r="T111" i="24"/>
  <c r="V111" i="24" s="1"/>
  <c r="Q111" i="24"/>
  <c r="T110" i="24"/>
  <c r="V110" i="24" s="1"/>
  <c r="Q110" i="24"/>
  <c r="T109" i="24"/>
  <c r="V109" i="24" s="1"/>
  <c r="Q109" i="24"/>
  <c r="T108" i="24"/>
  <c r="V108" i="24" s="1"/>
  <c r="Q108" i="24"/>
  <c r="T107" i="24"/>
  <c r="V107" i="24" s="1"/>
  <c r="Q107" i="24"/>
  <c r="T106" i="24"/>
  <c r="V106" i="24" s="1"/>
  <c r="Q106" i="24"/>
  <c r="T105" i="24"/>
  <c r="V105" i="24" s="1"/>
  <c r="Q105" i="24"/>
  <c r="T104" i="24"/>
  <c r="V104" i="24" s="1"/>
  <c r="Q104" i="24"/>
  <c r="T103" i="24"/>
  <c r="V103" i="24" s="1"/>
  <c r="Q103" i="24"/>
  <c r="T102" i="24"/>
  <c r="V102" i="24" s="1"/>
  <c r="Q102" i="24"/>
  <c r="T101" i="24"/>
  <c r="V101" i="24" s="1"/>
  <c r="Q101" i="24"/>
  <c r="T100" i="24"/>
  <c r="V100" i="24" s="1"/>
  <c r="Q100" i="24"/>
  <c r="T99" i="24"/>
  <c r="V99" i="24" s="1"/>
  <c r="Q99" i="24"/>
  <c r="T98" i="24"/>
  <c r="V98" i="24" s="1"/>
  <c r="Q98" i="24"/>
  <c r="T97" i="24"/>
  <c r="V97" i="24" s="1"/>
  <c r="Q97" i="24"/>
  <c r="T96" i="24"/>
  <c r="V96" i="24" s="1"/>
  <c r="Q96" i="24"/>
  <c r="T95" i="24"/>
  <c r="V95" i="24" s="1"/>
  <c r="Q95" i="24"/>
  <c r="T94" i="24"/>
  <c r="V94" i="24" s="1"/>
  <c r="Q94" i="24"/>
  <c r="T93" i="24"/>
  <c r="V93" i="24" s="1"/>
  <c r="Q93" i="24"/>
  <c r="T92" i="24"/>
  <c r="V92" i="24" s="1"/>
  <c r="Q92" i="24"/>
  <c r="T91" i="24"/>
  <c r="V91" i="24" s="1"/>
  <c r="Q91" i="24"/>
  <c r="T90" i="24"/>
  <c r="V90" i="24" s="1"/>
  <c r="Q90" i="24"/>
  <c r="T89" i="24"/>
  <c r="V89" i="24" s="1"/>
  <c r="Q89" i="24"/>
  <c r="T88" i="24"/>
  <c r="V88" i="24" s="1"/>
  <c r="Q88" i="24"/>
  <c r="T87" i="24"/>
  <c r="V87" i="24" s="1"/>
  <c r="Q87" i="24"/>
  <c r="T86" i="24"/>
  <c r="V86" i="24" s="1"/>
  <c r="Q86" i="24"/>
  <c r="T85" i="24"/>
  <c r="V85" i="24" s="1"/>
  <c r="Q85" i="24"/>
  <c r="T84" i="24"/>
  <c r="V84" i="24" s="1"/>
  <c r="Q84" i="24"/>
  <c r="T83" i="24"/>
  <c r="V83" i="24" s="1"/>
  <c r="Q83" i="24"/>
  <c r="T82" i="24"/>
  <c r="V82" i="24" s="1"/>
  <c r="Q82" i="24"/>
  <c r="T81" i="24"/>
  <c r="V81" i="24" s="1"/>
  <c r="Q81" i="24"/>
  <c r="T80" i="24"/>
  <c r="V80" i="24" s="1"/>
  <c r="Q80" i="24"/>
  <c r="T79" i="24"/>
  <c r="V79" i="24" s="1"/>
  <c r="Q79" i="24"/>
  <c r="T78" i="24"/>
  <c r="V78" i="24" s="1"/>
  <c r="Q78" i="24"/>
  <c r="T77" i="24"/>
  <c r="V77" i="24" s="1"/>
  <c r="Q77" i="24"/>
  <c r="T76" i="24"/>
  <c r="V76" i="24" s="1"/>
  <c r="Q76" i="24"/>
  <c r="T75" i="24"/>
  <c r="V75" i="24" s="1"/>
  <c r="Q75" i="24"/>
  <c r="T74" i="24"/>
  <c r="V74" i="24" s="1"/>
  <c r="Q74" i="24"/>
  <c r="T73" i="24"/>
  <c r="V73" i="24" s="1"/>
  <c r="Q73" i="24"/>
  <c r="T72" i="24"/>
  <c r="V72" i="24" s="1"/>
  <c r="Q72" i="24"/>
  <c r="T71" i="24"/>
  <c r="V71" i="24" s="1"/>
  <c r="Q71" i="24"/>
  <c r="T70" i="24"/>
  <c r="V70" i="24" s="1"/>
  <c r="Q70" i="24"/>
  <c r="T69" i="24"/>
  <c r="V69" i="24" s="1"/>
  <c r="Q69" i="24"/>
  <c r="T68" i="24"/>
  <c r="V68" i="24" s="1"/>
  <c r="Q68" i="24"/>
  <c r="T67" i="24"/>
  <c r="V67" i="24" s="1"/>
  <c r="Q67" i="24"/>
  <c r="T66" i="24"/>
  <c r="V66" i="24" s="1"/>
  <c r="Q66" i="24"/>
  <c r="T65" i="24"/>
  <c r="V65" i="24" s="1"/>
  <c r="Q65" i="24"/>
  <c r="T64" i="24"/>
  <c r="V64" i="24" s="1"/>
  <c r="Q64" i="24"/>
  <c r="T63" i="24"/>
  <c r="V63" i="24" s="1"/>
  <c r="Q63" i="24"/>
  <c r="T62" i="24"/>
  <c r="V62" i="24" s="1"/>
  <c r="Q62" i="24"/>
  <c r="T61" i="24"/>
  <c r="V61" i="24" s="1"/>
  <c r="Q61" i="24"/>
  <c r="T60" i="24"/>
  <c r="V60" i="24" s="1"/>
  <c r="Q60" i="24"/>
  <c r="T59" i="24"/>
  <c r="V59" i="24" s="1"/>
  <c r="Q59" i="24"/>
  <c r="T58" i="24"/>
  <c r="V58" i="24" s="1"/>
  <c r="Q58" i="24"/>
  <c r="T57" i="24"/>
  <c r="V57" i="24" s="1"/>
  <c r="Q57" i="24"/>
  <c r="T56" i="24"/>
  <c r="V56" i="24" s="1"/>
  <c r="Q56" i="24"/>
  <c r="T55" i="24"/>
  <c r="V55" i="24" s="1"/>
  <c r="Q55" i="24"/>
  <c r="T54" i="24"/>
  <c r="V54" i="24" s="1"/>
  <c r="Q54" i="24"/>
  <c r="T53" i="24"/>
  <c r="V53" i="24" s="1"/>
  <c r="Q53" i="24"/>
  <c r="T52" i="24"/>
  <c r="V52" i="24" s="1"/>
  <c r="Q52" i="24"/>
  <c r="T51" i="24"/>
  <c r="V51" i="24" s="1"/>
  <c r="Q51" i="24"/>
  <c r="T50" i="24"/>
  <c r="V50" i="24" s="1"/>
  <c r="Q50" i="24"/>
  <c r="T49" i="24"/>
  <c r="V49" i="24" s="1"/>
  <c r="Q49" i="24"/>
  <c r="T48" i="24"/>
  <c r="V48" i="24" s="1"/>
  <c r="Q48" i="24"/>
  <c r="T47" i="24"/>
  <c r="V47" i="24" s="1"/>
  <c r="Q47" i="24"/>
  <c r="T46" i="24"/>
  <c r="V46" i="24" s="1"/>
  <c r="Q46" i="24"/>
  <c r="T45" i="24"/>
  <c r="V45" i="24" s="1"/>
  <c r="Q45" i="24"/>
  <c r="T44" i="24"/>
  <c r="V44" i="24" s="1"/>
  <c r="Q44" i="24"/>
  <c r="T43" i="24"/>
  <c r="V43" i="24" s="1"/>
  <c r="Q43" i="24"/>
  <c r="T42" i="24"/>
  <c r="V42" i="24" s="1"/>
  <c r="Q42" i="24"/>
  <c r="T41" i="24"/>
  <c r="V41" i="24" s="1"/>
  <c r="Q41" i="24"/>
  <c r="T40" i="24"/>
  <c r="V40" i="24" s="1"/>
  <c r="Q40" i="24"/>
  <c r="T39" i="24"/>
  <c r="V39" i="24" s="1"/>
  <c r="Q39" i="24"/>
  <c r="T38" i="24"/>
  <c r="V38" i="24" s="1"/>
  <c r="Q38" i="24"/>
  <c r="T37" i="24"/>
  <c r="V37" i="24" s="1"/>
  <c r="Q37" i="24"/>
  <c r="T36" i="24"/>
  <c r="V36" i="24" s="1"/>
  <c r="Q36" i="24"/>
  <c r="T35" i="24"/>
  <c r="V35" i="24" s="1"/>
  <c r="Q35" i="24"/>
  <c r="T34" i="24"/>
  <c r="V34" i="24" s="1"/>
  <c r="Q34" i="24"/>
  <c r="T33" i="24"/>
  <c r="V33" i="24" s="1"/>
  <c r="Q33" i="24"/>
  <c r="T32" i="24"/>
  <c r="V32" i="24" s="1"/>
  <c r="Q32" i="24"/>
  <c r="T31" i="24"/>
  <c r="V31" i="24" s="1"/>
  <c r="Q31" i="24"/>
  <c r="T30" i="24"/>
  <c r="V30" i="24" s="1"/>
  <c r="Q30" i="24"/>
  <c r="T29" i="24"/>
  <c r="V29" i="24" s="1"/>
  <c r="Q29" i="24"/>
  <c r="T28" i="24"/>
  <c r="V28" i="24" s="1"/>
  <c r="Q28" i="24"/>
  <c r="T27" i="24"/>
  <c r="V27" i="24" s="1"/>
  <c r="Q27" i="24"/>
  <c r="T26" i="24"/>
  <c r="V26" i="24" s="1"/>
  <c r="Q26" i="24"/>
  <c r="T25" i="24"/>
  <c r="V25" i="24" s="1"/>
  <c r="Q25" i="24"/>
  <c r="T24" i="24"/>
  <c r="V24" i="24" s="1"/>
  <c r="Q24" i="24"/>
  <c r="T23" i="24"/>
  <c r="V23" i="24" s="1"/>
  <c r="Q23" i="24"/>
  <c r="T22" i="24"/>
  <c r="V22" i="24" s="1"/>
  <c r="Q22" i="24"/>
  <c r="T21" i="24"/>
  <c r="V21" i="24" s="1"/>
  <c r="Q21" i="24"/>
  <c r="T20" i="24"/>
  <c r="V20" i="24" s="1"/>
  <c r="Q20" i="24"/>
  <c r="T19" i="24"/>
  <c r="V19" i="24" s="1"/>
  <c r="Q19" i="24"/>
  <c r="T18" i="24"/>
  <c r="V18" i="24" s="1"/>
  <c r="Q18" i="24"/>
  <c r="T17" i="24"/>
  <c r="V17" i="24" s="1"/>
  <c r="Q17" i="24"/>
  <c r="T16" i="24"/>
  <c r="V16" i="24" s="1"/>
  <c r="Q16" i="24"/>
  <c r="T15" i="24"/>
  <c r="V15" i="24" s="1"/>
  <c r="Q15" i="24"/>
  <c r="T14" i="24"/>
  <c r="V14" i="24" s="1"/>
  <c r="Q14" i="24"/>
  <c r="T13" i="24"/>
  <c r="V13" i="24" s="1"/>
  <c r="Q13" i="24"/>
  <c r="T12" i="24"/>
  <c r="V12" i="24" s="1"/>
  <c r="Q12" i="24"/>
  <c r="T11" i="24"/>
  <c r="V11" i="24" s="1"/>
  <c r="Q11" i="24"/>
  <c r="T10" i="24"/>
  <c r="V10" i="24" s="1"/>
  <c r="Q10" i="24"/>
  <c r="T9" i="24"/>
  <c r="V9" i="24" s="1"/>
  <c r="Q9" i="24"/>
  <c r="T8" i="24"/>
  <c r="V8" i="24" s="1"/>
  <c r="Q8" i="24"/>
  <c r="T7" i="24"/>
  <c r="V7" i="24" s="1"/>
  <c r="Q7" i="24"/>
  <c r="T6" i="24"/>
  <c r="V6" i="24" s="1"/>
  <c r="Q6" i="24"/>
  <c r="T5" i="24"/>
  <c r="V5" i="24" s="1"/>
  <c r="Q5" i="24"/>
  <c r="T4" i="24"/>
  <c r="V4" i="24" s="1"/>
  <c r="Q4" i="24"/>
  <c r="T3" i="24"/>
  <c r="V3" i="24" s="1"/>
  <c r="Q3" i="24"/>
  <c r="T2" i="24"/>
  <c r="V2" i="24" s="1"/>
  <c r="Q2" i="24"/>
  <c r="V145" i="23" l="1"/>
  <c r="T145" i="23"/>
  <c r="Q145" i="23"/>
  <c r="V144" i="23"/>
  <c r="T144" i="23"/>
  <c r="Q144" i="23"/>
  <c r="V143" i="23"/>
  <c r="T143" i="23"/>
  <c r="Q143" i="23"/>
  <c r="V142" i="23"/>
  <c r="T142" i="23"/>
  <c r="Q142" i="23"/>
  <c r="V141" i="23"/>
  <c r="T141" i="23"/>
  <c r="Q141" i="23"/>
  <c r="V140" i="23"/>
  <c r="T140" i="23"/>
  <c r="Q140" i="23"/>
  <c r="V139" i="23"/>
  <c r="T139" i="23"/>
  <c r="Q139" i="23"/>
  <c r="V138" i="23"/>
  <c r="T138" i="23"/>
  <c r="Q138" i="23"/>
  <c r="V137" i="23"/>
  <c r="T137" i="23"/>
  <c r="Q137" i="23"/>
  <c r="V136" i="23"/>
  <c r="T136" i="23"/>
  <c r="Q136" i="23"/>
  <c r="V135" i="23"/>
  <c r="T135" i="23"/>
  <c r="Q135" i="23"/>
  <c r="V134" i="23"/>
  <c r="T134" i="23"/>
  <c r="Q134" i="23"/>
  <c r="V133" i="23"/>
  <c r="T133" i="23"/>
  <c r="Q133" i="23"/>
  <c r="V132" i="23"/>
  <c r="T132" i="23"/>
  <c r="Q132" i="23"/>
  <c r="V131" i="23"/>
  <c r="T131" i="23"/>
  <c r="Q131" i="23"/>
  <c r="V130" i="23"/>
  <c r="T130" i="23"/>
  <c r="Q130" i="23"/>
  <c r="V129" i="23"/>
  <c r="T129" i="23"/>
  <c r="Q129" i="23"/>
  <c r="V128" i="23"/>
  <c r="T128" i="23"/>
  <c r="Q128" i="23"/>
  <c r="V127" i="23"/>
  <c r="T127" i="23"/>
  <c r="Q127" i="23"/>
  <c r="V126" i="23"/>
  <c r="T126" i="23"/>
  <c r="Q126" i="23"/>
  <c r="V125" i="23"/>
  <c r="T125" i="23"/>
  <c r="Q125" i="23"/>
  <c r="V124" i="23"/>
  <c r="T124" i="23"/>
  <c r="Q124" i="23"/>
  <c r="V123" i="23"/>
  <c r="T123" i="23"/>
  <c r="Q123" i="23"/>
  <c r="V122" i="23"/>
  <c r="T122" i="23"/>
  <c r="Q122" i="23"/>
  <c r="V121" i="23"/>
  <c r="T121" i="23"/>
  <c r="Q121" i="23"/>
  <c r="V120" i="23"/>
  <c r="T120" i="23"/>
  <c r="Q120" i="23"/>
  <c r="V119" i="23"/>
  <c r="T119" i="23"/>
  <c r="Q119" i="23"/>
  <c r="V118" i="23"/>
  <c r="T118" i="23"/>
  <c r="Q118" i="23"/>
  <c r="V117" i="23"/>
  <c r="T117" i="23"/>
  <c r="Q117" i="23"/>
  <c r="V116" i="23"/>
  <c r="T116" i="23"/>
  <c r="Q116" i="23"/>
  <c r="V115" i="23"/>
  <c r="T115" i="23"/>
  <c r="Q115" i="23"/>
  <c r="V114" i="23"/>
  <c r="T114" i="23"/>
  <c r="Q114" i="23"/>
  <c r="V113" i="23"/>
  <c r="T113" i="23"/>
  <c r="Q113" i="23"/>
  <c r="V112" i="23"/>
  <c r="T112" i="23"/>
  <c r="Q112" i="23"/>
  <c r="V111" i="23"/>
  <c r="T111" i="23"/>
  <c r="Q111" i="23"/>
  <c r="V110" i="23"/>
  <c r="T110" i="23"/>
  <c r="Q110" i="23"/>
  <c r="V109" i="23"/>
  <c r="T109" i="23"/>
  <c r="Q109" i="23"/>
  <c r="V108" i="23"/>
  <c r="T108" i="23"/>
  <c r="Q108" i="23"/>
  <c r="V107" i="23"/>
  <c r="T107" i="23"/>
  <c r="Q107" i="23"/>
  <c r="V106" i="23"/>
  <c r="T106" i="23"/>
  <c r="Q106" i="23"/>
  <c r="V105" i="23"/>
  <c r="T105" i="23"/>
  <c r="Q105" i="23"/>
  <c r="V104" i="23"/>
  <c r="T104" i="23"/>
  <c r="Q104" i="23"/>
  <c r="V103" i="23"/>
  <c r="T103" i="23"/>
  <c r="Q103" i="23"/>
  <c r="V102" i="23"/>
  <c r="T102" i="23"/>
  <c r="Q102" i="23"/>
  <c r="V101" i="23"/>
  <c r="T101" i="23"/>
  <c r="Q101" i="23"/>
  <c r="V100" i="23"/>
  <c r="T100" i="23"/>
  <c r="Q100" i="23"/>
  <c r="V99" i="23"/>
  <c r="T99" i="23"/>
  <c r="Q99" i="23"/>
  <c r="V98" i="23"/>
  <c r="T98" i="23"/>
  <c r="Q98" i="23"/>
  <c r="V97" i="23"/>
  <c r="T97" i="23"/>
  <c r="Q97" i="23"/>
  <c r="V96" i="23"/>
  <c r="T96" i="23"/>
  <c r="Q96" i="23"/>
  <c r="V95" i="23"/>
  <c r="T95" i="23"/>
  <c r="Q95" i="23"/>
  <c r="V94" i="23"/>
  <c r="T94" i="23"/>
  <c r="Q94" i="23"/>
  <c r="V58" i="23"/>
  <c r="T58" i="23"/>
  <c r="Q58" i="23"/>
  <c r="V57" i="23"/>
  <c r="T57" i="23"/>
  <c r="Q57" i="23"/>
  <c r="V56" i="23"/>
  <c r="T56" i="23"/>
  <c r="Q56" i="23"/>
  <c r="V55" i="23"/>
  <c r="T55" i="23"/>
  <c r="Q55" i="23"/>
  <c r="V54" i="23"/>
  <c r="T54" i="23"/>
  <c r="Q54" i="23"/>
  <c r="V53" i="23"/>
  <c r="T53" i="23"/>
  <c r="Q53" i="23"/>
  <c r="V52" i="23"/>
  <c r="T52" i="23"/>
  <c r="Q52" i="23"/>
  <c r="V51" i="23"/>
  <c r="T51" i="23"/>
  <c r="Q51" i="23"/>
  <c r="V50" i="23"/>
  <c r="T50" i="23"/>
  <c r="Q50" i="23"/>
  <c r="V49" i="23"/>
  <c r="T49" i="23"/>
  <c r="Q49" i="23"/>
  <c r="V48" i="23"/>
  <c r="T48" i="23"/>
  <c r="Q48" i="23"/>
  <c r="V47" i="23"/>
  <c r="T47" i="23"/>
  <c r="Q47" i="23"/>
  <c r="V46" i="23"/>
  <c r="T46" i="23"/>
  <c r="Q46" i="23"/>
  <c r="V45" i="23"/>
  <c r="T45" i="23"/>
  <c r="Q45" i="23"/>
  <c r="V44" i="23"/>
  <c r="T44" i="23"/>
  <c r="Q44" i="23"/>
  <c r="V43" i="23"/>
  <c r="T43" i="23"/>
  <c r="Q43" i="23"/>
  <c r="V42" i="23"/>
  <c r="T42" i="23"/>
  <c r="Q42" i="23"/>
  <c r="V41" i="23"/>
  <c r="T41" i="23"/>
  <c r="Q41" i="23"/>
  <c r="V40" i="23"/>
  <c r="T40" i="23"/>
  <c r="Q40" i="23"/>
  <c r="V39" i="23"/>
  <c r="T39" i="23"/>
  <c r="Q39" i="23"/>
  <c r="V38" i="23"/>
  <c r="T38" i="23"/>
  <c r="Q38" i="23"/>
  <c r="V37" i="23"/>
  <c r="T37" i="23"/>
  <c r="Q37" i="23"/>
  <c r="V36" i="23"/>
  <c r="T36" i="23"/>
  <c r="Q36" i="23"/>
  <c r="V35" i="23"/>
  <c r="T35" i="23"/>
  <c r="Q35" i="23"/>
  <c r="V34" i="23"/>
  <c r="T34" i="23"/>
  <c r="Q34" i="23"/>
  <c r="V33" i="23"/>
  <c r="T33" i="23"/>
  <c r="Q33" i="23"/>
  <c r="V32" i="23"/>
  <c r="T32" i="23"/>
  <c r="Q32" i="23"/>
  <c r="V31" i="23"/>
  <c r="T31" i="23"/>
  <c r="Q31" i="23"/>
  <c r="V30" i="23"/>
  <c r="T30" i="23"/>
  <c r="Q30" i="23"/>
  <c r="V29" i="23"/>
  <c r="T29" i="23"/>
  <c r="Q29" i="23"/>
  <c r="V28" i="23"/>
  <c r="T28" i="23"/>
  <c r="Q28" i="23"/>
  <c r="V27" i="23"/>
  <c r="T27" i="23"/>
  <c r="Q27" i="23"/>
  <c r="V26" i="23"/>
  <c r="T26" i="23"/>
  <c r="Q26" i="23"/>
  <c r="V25" i="23"/>
  <c r="T25" i="23"/>
  <c r="Q25" i="23"/>
  <c r="V24" i="23"/>
  <c r="T24" i="23"/>
  <c r="Q24" i="23"/>
  <c r="V23" i="23"/>
  <c r="T23" i="23"/>
  <c r="Q23" i="23"/>
  <c r="V22" i="23"/>
  <c r="T22" i="23"/>
  <c r="Q22" i="23"/>
  <c r="V21" i="23"/>
  <c r="T21" i="23"/>
  <c r="Q21" i="23"/>
  <c r="V20" i="23"/>
  <c r="T20" i="23"/>
  <c r="Q20" i="23"/>
  <c r="V19" i="23"/>
  <c r="T19" i="23"/>
  <c r="Q19" i="23"/>
  <c r="V18" i="23"/>
  <c r="T18" i="23"/>
  <c r="Q18" i="23"/>
  <c r="V17" i="23"/>
  <c r="T17" i="23"/>
  <c r="Q17" i="23"/>
  <c r="V16" i="23"/>
  <c r="T16" i="23"/>
  <c r="Q16" i="23"/>
  <c r="V15" i="23"/>
  <c r="T15" i="23"/>
  <c r="Q15" i="23"/>
  <c r="V14" i="23"/>
  <c r="T14" i="23"/>
  <c r="Q14" i="23"/>
  <c r="V13" i="23"/>
  <c r="T13" i="23"/>
  <c r="Q13" i="23"/>
  <c r="V12" i="23"/>
  <c r="T12" i="23"/>
  <c r="Q12" i="23"/>
  <c r="V11" i="23"/>
  <c r="T11" i="23"/>
  <c r="Q11" i="23"/>
  <c r="V10" i="23"/>
  <c r="T10" i="23"/>
  <c r="Q10" i="23"/>
  <c r="V9" i="23"/>
  <c r="T9" i="23"/>
  <c r="Q9" i="23"/>
  <c r="V8" i="23"/>
  <c r="T8" i="23"/>
  <c r="Q8" i="23"/>
  <c r="V7" i="23"/>
  <c r="T7" i="23"/>
  <c r="Q7" i="23"/>
  <c r="V6" i="23"/>
  <c r="T6" i="23"/>
  <c r="Q6" i="23"/>
  <c r="V5" i="23"/>
  <c r="T5" i="23"/>
  <c r="Q5" i="23"/>
  <c r="V4" i="23"/>
  <c r="T4" i="23"/>
  <c r="Q4" i="23"/>
  <c r="V3" i="23"/>
  <c r="T3" i="23"/>
  <c r="Q3" i="23"/>
  <c r="V2" i="23"/>
  <c r="T2" i="23"/>
  <c r="Q2" i="23"/>
  <c r="T91" i="22" l="1"/>
  <c r="V91" i="22" s="1"/>
  <c r="Q91" i="22"/>
  <c r="T90" i="22"/>
  <c r="V90" i="22" s="1"/>
  <c r="Q90" i="22"/>
  <c r="T89" i="22"/>
  <c r="V89" i="22" s="1"/>
  <c r="Q89" i="22"/>
  <c r="T88" i="22"/>
  <c r="V88" i="22" s="1"/>
  <c r="Q88" i="22"/>
  <c r="T87" i="22"/>
  <c r="V87" i="22" s="1"/>
  <c r="Q87" i="22"/>
  <c r="T86" i="22"/>
  <c r="V86" i="22" s="1"/>
  <c r="Q86" i="22"/>
  <c r="T85" i="22"/>
  <c r="V85" i="22" s="1"/>
  <c r="Q85" i="22"/>
  <c r="T84" i="22"/>
  <c r="V84" i="22" s="1"/>
  <c r="Q84" i="22"/>
  <c r="T83" i="22"/>
  <c r="V83" i="22" s="1"/>
  <c r="Q83" i="22"/>
  <c r="T82" i="22"/>
  <c r="V82" i="22" s="1"/>
  <c r="Q82" i="22"/>
  <c r="T81" i="22"/>
  <c r="V81" i="22" s="1"/>
  <c r="Q81" i="22"/>
  <c r="T80" i="22"/>
  <c r="V80" i="22" s="1"/>
  <c r="Q80" i="22"/>
  <c r="T79" i="22"/>
  <c r="V79" i="22" s="1"/>
  <c r="Q79" i="22"/>
  <c r="T78" i="22"/>
  <c r="V78" i="22" s="1"/>
  <c r="Q78" i="22"/>
  <c r="T77" i="22"/>
  <c r="V77" i="22" s="1"/>
  <c r="Q77" i="22"/>
  <c r="T76" i="22"/>
  <c r="V76" i="22" s="1"/>
  <c r="Q76" i="22"/>
  <c r="T75" i="22"/>
  <c r="V75" i="22" s="1"/>
  <c r="Q75" i="22"/>
  <c r="T74" i="22"/>
  <c r="V74" i="22" s="1"/>
  <c r="Q74" i="22"/>
  <c r="T73" i="22"/>
  <c r="V73" i="22" s="1"/>
  <c r="Q73" i="22"/>
  <c r="T72" i="22"/>
  <c r="V72" i="22" s="1"/>
  <c r="Q72" i="22"/>
  <c r="T71" i="22"/>
  <c r="V71" i="22" s="1"/>
  <c r="Q71" i="22"/>
  <c r="T70" i="22"/>
  <c r="V70" i="22" s="1"/>
  <c r="Q70" i="22"/>
  <c r="T69" i="22"/>
  <c r="V69" i="22" s="1"/>
  <c r="Q69" i="22"/>
  <c r="T68" i="22"/>
  <c r="V68" i="22" s="1"/>
  <c r="Q68" i="22"/>
  <c r="T67" i="22"/>
  <c r="V67" i="22" s="1"/>
  <c r="Q67" i="22"/>
  <c r="T66" i="22"/>
  <c r="V66" i="22" s="1"/>
  <c r="Q66" i="22"/>
  <c r="T65" i="22"/>
  <c r="V65" i="22" s="1"/>
  <c r="Q65" i="22"/>
  <c r="T64" i="22"/>
  <c r="V64" i="22" s="1"/>
  <c r="Q64" i="22"/>
  <c r="T63" i="22"/>
  <c r="V63" i="22" s="1"/>
  <c r="Q63" i="22"/>
  <c r="T62" i="22"/>
  <c r="V62" i="22" s="1"/>
  <c r="Q62" i="22"/>
  <c r="T61" i="22"/>
  <c r="V61" i="22" s="1"/>
  <c r="Q61" i="22"/>
  <c r="T60" i="22"/>
  <c r="V60" i="22" s="1"/>
  <c r="Q60" i="22"/>
  <c r="T59" i="22"/>
  <c r="V59" i="22" s="1"/>
  <c r="Q59" i="22"/>
  <c r="T58" i="22"/>
  <c r="V58" i="22" s="1"/>
  <c r="Q58" i="22"/>
  <c r="T57" i="22"/>
  <c r="V57" i="22" s="1"/>
  <c r="Q57" i="22"/>
  <c r="T56" i="22"/>
  <c r="V56" i="22" s="1"/>
  <c r="Q56" i="22"/>
  <c r="T55" i="22"/>
  <c r="V55" i="22" s="1"/>
  <c r="Q55" i="22"/>
  <c r="T54" i="22"/>
  <c r="V54" i="22" s="1"/>
  <c r="Q54" i="22"/>
  <c r="T53" i="22"/>
  <c r="V53" i="22" s="1"/>
  <c r="Q53" i="22"/>
  <c r="T52" i="22"/>
  <c r="V52" i="22" s="1"/>
  <c r="Q52" i="22"/>
  <c r="T51" i="22"/>
  <c r="V51" i="22" s="1"/>
  <c r="Q51" i="22"/>
  <c r="T50" i="22"/>
  <c r="V50" i="22" s="1"/>
  <c r="Q50" i="22"/>
  <c r="T49" i="22"/>
  <c r="V49" i="22" s="1"/>
  <c r="Q49" i="22"/>
  <c r="T48" i="22"/>
  <c r="V48" i="22" s="1"/>
  <c r="Q48" i="22"/>
  <c r="T47" i="22"/>
  <c r="V47" i="22" s="1"/>
  <c r="Q47" i="22"/>
  <c r="T46" i="22"/>
  <c r="V46" i="22" s="1"/>
  <c r="Q46" i="22"/>
  <c r="T45" i="22"/>
  <c r="V45" i="22" s="1"/>
  <c r="Q45" i="22"/>
  <c r="T44" i="22"/>
  <c r="V44" i="22" s="1"/>
  <c r="Q44" i="22"/>
  <c r="T43" i="22"/>
  <c r="V43" i="22" s="1"/>
  <c r="Q43" i="22"/>
  <c r="T42" i="22"/>
  <c r="V42" i="22" s="1"/>
  <c r="Q42" i="22"/>
  <c r="T41" i="22"/>
  <c r="V41" i="22" s="1"/>
  <c r="Q41" i="22"/>
  <c r="T40" i="22"/>
  <c r="V40" i="22" s="1"/>
  <c r="Q40" i="22"/>
  <c r="T39" i="22"/>
  <c r="V39" i="22" s="1"/>
  <c r="Q39" i="22"/>
  <c r="T38" i="22"/>
  <c r="V38" i="22" s="1"/>
  <c r="Q38" i="22"/>
  <c r="T37" i="22"/>
  <c r="V37" i="22" s="1"/>
  <c r="Q37" i="22"/>
  <c r="T36" i="22"/>
  <c r="V36" i="22" s="1"/>
  <c r="Q36" i="22"/>
  <c r="T35" i="22"/>
  <c r="V35" i="22" s="1"/>
  <c r="Q35" i="22"/>
  <c r="T34" i="22"/>
  <c r="V34" i="22" s="1"/>
  <c r="Q34" i="22"/>
  <c r="T33" i="22"/>
  <c r="V33" i="22" s="1"/>
  <c r="Q33" i="22"/>
  <c r="T32" i="22"/>
  <c r="V32" i="22" s="1"/>
  <c r="Q32" i="22"/>
  <c r="T31" i="22"/>
  <c r="V31" i="22" s="1"/>
  <c r="Q31" i="22"/>
  <c r="T30" i="22"/>
  <c r="V30" i="22" s="1"/>
  <c r="Q30" i="22"/>
  <c r="T29" i="22"/>
  <c r="V29" i="22" s="1"/>
  <c r="Q29" i="22"/>
  <c r="T28" i="22"/>
  <c r="V28" i="22" s="1"/>
  <c r="Q28" i="22"/>
  <c r="T27" i="22"/>
  <c r="V27" i="22" s="1"/>
  <c r="Q27" i="22"/>
  <c r="T26" i="22"/>
  <c r="V26" i="22" s="1"/>
  <c r="Q26" i="22"/>
  <c r="T25" i="22"/>
  <c r="V25" i="22" s="1"/>
  <c r="Q25" i="22"/>
  <c r="T24" i="22"/>
  <c r="V24" i="22" s="1"/>
  <c r="Q24" i="22"/>
  <c r="T23" i="22"/>
  <c r="V23" i="22" s="1"/>
  <c r="Q23" i="22"/>
  <c r="T22" i="22"/>
  <c r="V22" i="22" s="1"/>
  <c r="Q22" i="22"/>
  <c r="T21" i="22"/>
  <c r="V21" i="22" s="1"/>
  <c r="Q21" i="22"/>
  <c r="T20" i="22"/>
  <c r="V20" i="22" s="1"/>
  <c r="Q20" i="22"/>
  <c r="T19" i="22"/>
  <c r="V19" i="22" s="1"/>
  <c r="Q19" i="22"/>
  <c r="T18" i="22"/>
  <c r="V18" i="22" s="1"/>
  <c r="Q18" i="22"/>
  <c r="T17" i="22"/>
  <c r="V17" i="22" s="1"/>
  <c r="Q17" i="22"/>
  <c r="T16" i="22"/>
  <c r="V16" i="22" s="1"/>
  <c r="Q16" i="22"/>
  <c r="T15" i="22"/>
  <c r="V15" i="22" s="1"/>
  <c r="Q15" i="22"/>
  <c r="T14" i="22"/>
  <c r="V14" i="22" s="1"/>
  <c r="Q14" i="22"/>
  <c r="T13" i="22"/>
  <c r="V13" i="22" s="1"/>
  <c r="Q13" i="22"/>
  <c r="T12" i="22"/>
  <c r="V12" i="22" s="1"/>
  <c r="Q12" i="22"/>
  <c r="T11" i="22"/>
  <c r="V11" i="22" s="1"/>
  <c r="Q11" i="22"/>
  <c r="T10" i="22"/>
  <c r="V10" i="22" s="1"/>
  <c r="Q10" i="22"/>
  <c r="T9" i="22"/>
  <c r="V9" i="22" s="1"/>
  <c r="Q9" i="22"/>
  <c r="T8" i="22"/>
  <c r="V8" i="22" s="1"/>
  <c r="Q8" i="22"/>
  <c r="T7" i="22"/>
  <c r="V7" i="22" s="1"/>
  <c r="Q7" i="22"/>
  <c r="T6" i="22"/>
  <c r="V6" i="22" s="1"/>
  <c r="Q6" i="22"/>
  <c r="T5" i="22"/>
  <c r="V5" i="22" s="1"/>
  <c r="Q5" i="22"/>
  <c r="T4" i="22"/>
  <c r="V4" i="22" s="1"/>
  <c r="Q4" i="22"/>
  <c r="T3" i="22"/>
  <c r="V3" i="22" s="1"/>
  <c r="Q3" i="22"/>
  <c r="T2" i="22"/>
  <c r="V2" i="22" s="1"/>
  <c r="Q2" i="22"/>
  <c r="T73" i="21" l="1"/>
  <c r="V73" i="21" s="1"/>
  <c r="Q73" i="21"/>
  <c r="T72" i="21"/>
  <c r="V72" i="21" s="1"/>
  <c r="Q72" i="21"/>
  <c r="T71" i="21"/>
  <c r="V71" i="21" s="1"/>
  <c r="Q71" i="21"/>
  <c r="T67" i="21"/>
  <c r="V67" i="21" s="1"/>
  <c r="Q67" i="21"/>
  <c r="T66" i="21"/>
  <c r="V66" i="21" s="1"/>
  <c r="Q66" i="21"/>
  <c r="T65" i="21"/>
  <c r="V65" i="21" s="1"/>
  <c r="Q65" i="21"/>
  <c r="T64" i="21"/>
  <c r="V64" i="21" s="1"/>
  <c r="Q64" i="21"/>
  <c r="T63" i="21"/>
  <c r="V63" i="21" s="1"/>
  <c r="Q63" i="21"/>
  <c r="T62" i="21"/>
  <c r="V62" i="21" s="1"/>
  <c r="Q62" i="21"/>
  <c r="T61" i="21"/>
  <c r="V61" i="21" s="1"/>
  <c r="Q61" i="21"/>
  <c r="T60" i="21"/>
  <c r="V60" i="21" s="1"/>
  <c r="Q60" i="21"/>
  <c r="T59" i="21"/>
  <c r="V59" i="21" s="1"/>
  <c r="Q59" i="21"/>
  <c r="T58" i="21"/>
  <c r="V58" i="21" s="1"/>
  <c r="Q58" i="21"/>
  <c r="T57" i="21"/>
  <c r="V57" i="21" s="1"/>
  <c r="Q57" i="21"/>
  <c r="T56" i="21"/>
  <c r="V56" i="21" s="1"/>
  <c r="Q56" i="21"/>
  <c r="T55" i="21"/>
  <c r="V55" i="21" s="1"/>
  <c r="Q55" i="21"/>
  <c r="T54" i="21"/>
  <c r="V54" i="21" s="1"/>
  <c r="Q54" i="21"/>
  <c r="T53" i="21"/>
  <c r="V53" i="21" s="1"/>
  <c r="Q53" i="21"/>
  <c r="T52" i="21"/>
  <c r="V52" i="21" s="1"/>
  <c r="Q52" i="21"/>
  <c r="T51" i="21"/>
  <c r="V51" i="21" s="1"/>
  <c r="Q51" i="21"/>
  <c r="T50" i="21"/>
  <c r="V50" i="21" s="1"/>
  <c r="Q50" i="21"/>
  <c r="T49" i="21"/>
  <c r="V49" i="21" s="1"/>
  <c r="Q49" i="21"/>
  <c r="T48" i="21"/>
  <c r="V48" i="21" s="1"/>
  <c r="Q48" i="21"/>
  <c r="T47" i="21"/>
  <c r="V47" i="21" s="1"/>
  <c r="Q47" i="21"/>
  <c r="T46" i="21"/>
  <c r="V46" i="21" s="1"/>
  <c r="Q46" i="21"/>
  <c r="T45" i="21"/>
  <c r="V45" i="21" s="1"/>
  <c r="Q45" i="21"/>
  <c r="T44" i="21"/>
  <c r="V44" i="21" s="1"/>
  <c r="Q44" i="21"/>
  <c r="T43" i="21"/>
  <c r="V43" i="21" s="1"/>
  <c r="Q43" i="21"/>
  <c r="T42" i="21"/>
  <c r="V42" i="21" s="1"/>
  <c r="Q42" i="21"/>
  <c r="T41" i="21"/>
  <c r="V41" i="21" s="1"/>
  <c r="Q41" i="21"/>
  <c r="T40" i="21"/>
  <c r="V40" i="21" s="1"/>
  <c r="Q40" i="21"/>
  <c r="T39" i="21"/>
  <c r="V39" i="21" s="1"/>
  <c r="Q39" i="21"/>
  <c r="T38" i="21"/>
  <c r="V38" i="21" s="1"/>
  <c r="Q38" i="21"/>
  <c r="T37" i="21"/>
  <c r="V37" i="21" s="1"/>
  <c r="Q37" i="21"/>
  <c r="T36" i="21"/>
  <c r="V36" i="21" s="1"/>
  <c r="Q36" i="21"/>
  <c r="T35" i="21"/>
  <c r="V35" i="21" s="1"/>
  <c r="Q35" i="21"/>
  <c r="T34" i="21"/>
  <c r="V34" i="21" s="1"/>
  <c r="Q34" i="21"/>
  <c r="T33" i="21"/>
  <c r="V33" i="21" s="1"/>
  <c r="Q33" i="21"/>
  <c r="T32" i="21"/>
  <c r="V32" i="21" s="1"/>
  <c r="Q32" i="21"/>
  <c r="T31" i="21"/>
  <c r="V31" i="21" s="1"/>
  <c r="Q31" i="21"/>
  <c r="T30" i="21"/>
  <c r="V30" i="21" s="1"/>
  <c r="Q30" i="21"/>
  <c r="T29" i="21"/>
  <c r="V29" i="21" s="1"/>
  <c r="Q29" i="21"/>
  <c r="T28" i="21"/>
  <c r="V28" i="21" s="1"/>
  <c r="Q28" i="21"/>
  <c r="T27" i="21"/>
  <c r="V27" i="21" s="1"/>
  <c r="Q27" i="21"/>
  <c r="T26" i="21"/>
  <c r="V26" i="21" s="1"/>
  <c r="Q26" i="21"/>
  <c r="T25" i="21"/>
  <c r="V25" i="21" s="1"/>
  <c r="Q25" i="21"/>
  <c r="T24" i="21"/>
  <c r="V24" i="21" s="1"/>
  <c r="Q24" i="21"/>
  <c r="T23" i="21"/>
  <c r="V23" i="21" s="1"/>
  <c r="Q23" i="21"/>
  <c r="T22" i="21"/>
  <c r="V22" i="21" s="1"/>
  <c r="Q22" i="21"/>
  <c r="T21" i="21"/>
  <c r="V21" i="21" s="1"/>
  <c r="Q21" i="21"/>
  <c r="T20" i="21"/>
  <c r="V20" i="21" s="1"/>
  <c r="Q20" i="21"/>
  <c r="T19" i="21"/>
  <c r="V19" i="21" s="1"/>
  <c r="Q19" i="21"/>
  <c r="T18" i="21"/>
  <c r="V18" i="21" s="1"/>
  <c r="Q18" i="21"/>
  <c r="T17" i="21"/>
  <c r="V17" i="21" s="1"/>
  <c r="Q17" i="21"/>
  <c r="T16" i="21"/>
  <c r="V16" i="21" s="1"/>
  <c r="Q16" i="21"/>
  <c r="T15" i="21"/>
  <c r="V15" i="21" s="1"/>
  <c r="Q15" i="21"/>
  <c r="T14" i="21"/>
  <c r="V14" i="21" s="1"/>
  <c r="Q14" i="21"/>
  <c r="T13" i="21"/>
  <c r="V13" i="21" s="1"/>
  <c r="Q13" i="21"/>
  <c r="T12" i="21"/>
  <c r="V12" i="21" s="1"/>
  <c r="Q12" i="21"/>
  <c r="T11" i="21"/>
  <c r="V11" i="21" s="1"/>
  <c r="Q11" i="21"/>
  <c r="T10" i="21"/>
  <c r="V10" i="21" s="1"/>
  <c r="Q10" i="21"/>
  <c r="T9" i="21"/>
  <c r="V9" i="21" s="1"/>
  <c r="Q9" i="21"/>
  <c r="T8" i="21"/>
  <c r="V8" i="21" s="1"/>
  <c r="Q8" i="21"/>
  <c r="T7" i="21"/>
  <c r="V7" i="21" s="1"/>
  <c r="Q7" i="21"/>
  <c r="T6" i="21"/>
  <c r="V6" i="21" s="1"/>
  <c r="Q6" i="21"/>
  <c r="T5" i="21"/>
  <c r="V5" i="21" s="1"/>
  <c r="Q5" i="21"/>
  <c r="T4" i="21"/>
  <c r="V4" i="21" s="1"/>
  <c r="Q4" i="21"/>
  <c r="T3" i="21"/>
  <c r="V3" i="21" s="1"/>
  <c r="Q3" i="21"/>
  <c r="T2" i="21"/>
  <c r="V2" i="21" s="1"/>
  <c r="Q2" i="21"/>
  <c r="T85" i="20" l="1"/>
  <c r="V85" i="20" s="1"/>
  <c r="Q85" i="20"/>
  <c r="T84" i="20"/>
  <c r="V84" i="20" s="1"/>
  <c r="Q84" i="20"/>
  <c r="T83" i="20"/>
  <c r="V83" i="20" s="1"/>
  <c r="Q83" i="20"/>
  <c r="T82" i="20"/>
  <c r="V82" i="20" s="1"/>
  <c r="Q82" i="20"/>
  <c r="T81" i="20"/>
  <c r="V81" i="20" s="1"/>
  <c r="Q81" i="20"/>
  <c r="T80" i="20"/>
  <c r="V80" i="20" s="1"/>
  <c r="Q80" i="20"/>
  <c r="T79" i="20"/>
  <c r="V79" i="20" s="1"/>
  <c r="Q79" i="20"/>
  <c r="T78" i="20"/>
  <c r="V78" i="20" s="1"/>
  <c r="Q78" i="20"/>
  <c r="T77" i="20"/>
  <c r="V77" i="20" s="1"/>
  <c r="Q77" i="20"/>
  <c r="T76" i="20"/>
  <c r="V76" i="20" s="1"/>
  <c r="Q76" i="20"/>
  <c r="T75" i="20"/>
  <c r="V75" i="20" s="1"/>
  <c r="Q75" i="20"/>
  <c r="T74" i="20"/>
  <c r="V74" i="20" s="1"/>
  <c r="Q74" i="20"/>
  <c r="T73" i="20"/>
  <c r="V73" i="20" s="1"/>
  <c r="Q73" i="20"/>
  <c r="T72" i="20"/>
  <c r="V72" i="20" s="1"/>
  <c r="Q72" i="20"/>
  <c r="T71" i="20"/>
  <c r="V71" i="20" s="1"/>
  <c r="Q71" i="20"/>
  <c r="T70" i="20"/>
  <c r="V70" i="20" s="1"/>
  <c r="Q70" i="20"/>
  <c r="T69" i="20"/>
  <c r="V69" i="20" s="1"/>
  <c r="Q69" i="20"/>
  <c r="T68" i="20"/>
  <c r="V68" i="20" s="1"/>
  <c r="Q68" i="20"/>
  <c r="T67" i="20"/>
  <c r="V67" i="20" s="1"/>
  <c r="Q67" i="20"/>
  <c r="T66" i="20"/>
  <c r="V66" i="20" s="1"/>
  <c r="Q66" i="20"/>
  <c r="T65" i="20"/>
  <c r="V65" i="20" s="1"/>
  <c r="Q65" i="20"/>
  <c r="T64" i="20"/>
  <c r="V64" i="20" s="1"/>
  <c r="Q64" i="20"/>
  <c r="T63" i="20"/>
  <c r="V63" i="20" s="1"/>
  <c r="Q63" i="20"/>
  <c r="T62" i="20"/>
  <c r="V62" i="20" s="1"/>
  <c r="Q62" i="20"/>
  <c r="T61" i="20"/>
  <c r="V61" i="20" s="1"/>
  <c r="Q61" i="20"/>
  <c r="T60" i="20"/>
  <c r="V60" i="20" s="1"/>
  <c r="Q60" i="20"/>
  <c r="T59" i="20"/>
  <c r="V59" i="20" s="1"/>
  <c r="Q59" i="20"/>
  <c r="T58" i="20"/>
  <c r="V58" i="20" s="1"/>
  <c r="Q58" i="20"/>
  <c r="T57" i="20"/>
  <c r="V57" i="20" s="1"/>
  <c r="Q57" i="20"/>
  <c r="T56" i="20"/>
  <c r="V56" i="20" s="1"/>
  <c r="Q56" i="20"/>
  <c r="T55" i="20"/>
  <c r="V55" i="20" s="1"/>
  <c r="Q55" i="20"/>
  <c r="T54" i="20"/>
  <c r="V54" i="20" s="1"/>
  <c r="Q54" i="20"/>
  <c r="T53" i="20"/>
  <c r="V53" i="20" s="1"/>
  <c r="Q53" i="20"/>
  <c r="T52" i="20"/>
  <c r="V52" i="20" s="1"/>
  <c r="Q52" i="20"/>
  <c r="T51" i="20"/>
  <c r="V51" i="20" s="1"/>
  <c r="Q51" i="20"/>
  <c r="T50" i="20"/>
  <c r="V50" i="20" s="1"/>
  <c r="Q50" i="20"/>
  <c r="T49" i="20"/>
  <c r="V49" i="20" s="1"/>
  <c r="Q49" i="20"/>
  <c r="T48" i="20"/>
  <c r="V48" i="20" s="1"/>
  <c r="Q48" i="20"/>
  <c r="T47" i="20"/>
  <c r="V47" i="20" s="1"/>
  <c r="Q47" i="20"/>
  <c r="T46" i="20"/>
  <c r="V46" i="20" s="1"/>
  <c r="Q46" i="20"/>
  <c r="T45" i="20"/>
  <c r="V45" i="20" s="1"/>
  <c r="Q45" i="20"/>
  <c r="T44" i="20"/>
  <c r="V44" i="20" s="1"/>
  <c r="Q44" i="20"/>
  <c r="T43" i="20"/>
  <c r="V43" i="20" s="1"/>
  <c r="Q43" i="20"/>
  <c r="T42" i="20"/>
  <c r="V42" i="20" s="1"/>
  <c r="Q42" i="20"/>
  <c r="T41" i="20"/>
  <c r="V41" i="20" s="1"/>
  <c r="Q41" i="20"/>
  <c r="T40" i="20"/>
  <c r="V40" i="20" s="1"/>
  <c r="Q40" i="20"/>
  <c r="T39" i="20"/>
  <c r="V39" i="20" s="1"/>
  <c r="Q39" i="20"/>
  <c r="T38" i="20"/>
  <c r="V38" i="20" s="1"/>
  <c r="Q38" i="20"/>
  <c r="T37" i="20"/>
  <c r="V37" i="20" s="1"/>
  <c r="Q37" i="20"/>
  <c r="T36" i="20"/>
  <c r="V36" i="20" s="1"/>
  <c r="Q36" i="20"/>
  <c r="T35" i="20"/>
  <c r="V35" i="20" s="1"/>
  <c r="Q35" i="20"/>
  <c r="T34" i="20"/>
  <c r="V34" i="20" s="1"/>
  <c r="Q34" i="20"/>
  <c r="T33" i="20"/>
  <c r="V33" i="20" s="1"/>
  <c r="Q33" i="20"/>
  <c r="T32" i="20"/>
  <c r="V32" i="20" s="1"/>
  <c r="Q32" i="20"/>
  <c r="T31" i="20"/>
  <c r="V31" i="20" s="1"/>
  <c r="Q31" i="20"/>
  <c r="T30" i="20"/>
  <c r="V30" i="20" s="1"/>
  <c r="Q30" i="20"/>
  <c r="T29" i="20"/>
  <c r="V29" i="20" s="1"/>
  <c r="Q29" i="20"/>
  <c r="T28" i="20"/>
  <c r="V28" i="20" s="1"/>
  <c r="Q28" i="20"/>
  <c r="T27" i="20"/>
  <c r="V27" i="20" s="1"/>
  <c r="Q27" i="20"/>
  <c r="T26" i="20"/>
  <c r="V26" i="20" s="1"/>
  <c r="Q26" i="20"/>
  <c r="T25" i="20"/>
  <c r="V25" i="20" s="1"/>
  <c r="Q25" i="20"/>
  <c r="T24" i="20"/>
  <c r="V24" i="20" s="1"/>
  <c r="Q24" i="20"/>
  <c r="T23" i="20"/>
  <c r="V23" i="20" s="1"/>
  <c r="Q23" i="20"/>
  <c r="T22" i="20"/>
  <c r="V22" i="20" s="1"/>
  <c r="Q22" i="20"/>
  <c r="T21" i="20"/>
  <c r="V21" i="20" s="1"/>
  <c r="Q21" i="20"/>
  <c r="T20" i="20"/>
  <c r="V20" i="20" s="1"/>
  <c r="Q20" i="20"/>
  <c r="T19" i="20"/>
  <c r="V19" i="20" s="1"/>
  <c r="Q19" i="20"/>
  <c r="T18" i="20"/>
  <c r="V18" i="20" s="1"/>
  <c r="Q18" i="20"/>
  <c r="T17" i="20"/>
  <c r="V17" i="20" s="1"/>
  <c r="Q17" i="20"/>
  <c r="T16" i="20"/>
  <c r="V16" i="20" s="1"/>
  <c r="Q16" i="20"/>
  <c r="T15" i="20"/>
  <c r="V15" i="20" s="1"/>
  <c r="Q15" i="20"/>
  <c r="T14" i="20"/>
  <c r="V14" i="20" s="1"/>
  <c r="Q14" i="20"/>
  <c r="T13" i="20"/>
  <c r="V13" i="20" s="1"/>
  <c r="Q13" i="20"/>
  <c r="T12" i="20"/>
  <c r="V12" i="20" s="1"/>
  <c r="Q12" i="20"/>
  <c r="T11" i="20"/>
  <c r="V11" i="20" s="1"/>
  <c r="Q11" i="20"/>
  <c r="T10" i="20"/>
  <c r="V10" i="20" s="1"/>
  <c r="Q10" i="20"/>
  <c r="T9" i="20"/>
  <c r="V9" i="20" s="1"/>
  <c r="Q9" i="20"/>
  <c r="T8" i="20"/>
  <c r="V8" i="20" s="1"/>
  <c r="Q8" i="20"/>
  <c r="T7" i="20"/>
  <c r="V7" i="20" s="1"/>
  <c r="Q7" i="20"/>
  <c r="T6" i="20"/>
  <c r="V6" i="20" s="1"/>
  <c r="Q6" i="20"/>
  <c r="T5" i="20"/>
  <c r="V5" i="20" s="1"/>
  <c r="Q5" i="20"/>
  <c r="T4" i="20"/>
  <c r="V4" i="20" s="1"/>
  <c r="Q4" i="20"/>
  <c r="T3" i="20"/>
  <c r="V3" i="20" s="1"/>
  <c r="Q3" i="20"/>
  <c r="T2" i="20"/>
  <c r="V2" i="20" s="1"/>
  <c r="Q2" i="20"/>
  <c r="T58" i="19"/>
  <c r="V58" i="19" s="1"/>
  <c r="Q58" i="19"/>
  <c r="T57" i="19"/>
  <c r="V57" i="19" s="1"/>
  <c r="Q57" i="19"/>
  <c r="T56" i="19"/>
  <c r="V56" i="19" s="1"/>
  <c r="Q56" i="19"/>
  <c r="T55" i="19"/>
  <c r="V55" i="19" s="1"/>
  <c r="Q55" i="19"/>
  <c r="T54" i="19"/>
  <c r="V54" i="19" s="1"/>
  <c r="Q54" i="19"/>
  <c r="T53" i="19"/>
  <c r="V53" i="19" s="1"/>
  <c r="Q53" i="19"/>
  <c r="T52" i="19"/>
  <c r="V52" i="19" s="1"/>
  <c r="Q52" i="19"/>
  <c r="T51" i="19"/>
  <c r="V51" i="19" s="1"/>
  <c r="Q51" i="19"/>
  <c r="T50" i="19"/>
  <c r="V50" i="19" s="1"/>
  <c r="Q50" i="19"/>
  <c r="T49" i="19"/>
  <c r="V49" i="19" s="1"/>
  <c r="Q49" i="19"/>
  <c r="T48" i="19"/>
  <c r="V48" i="19" s="1"/>
  <c r="Q48" i="19"/>
  <c r="T47" i="19"/>
  <c r="V47" i="19" s="1"/>
  <c r="Q47" i="19"/>
  <c r="T46" i="19"/>
  <c r="V46" i="19" s="1"/>
  <c r="Q46" i="19"/>
  <c r="T45" i="19"/>
  <c r="V45" i="19" s="1"/>
  <c r="Q45" i="19"/>
  <c r="T44" i="19"/>
  <c r="V44" i="19" s="1"/>
  <c r="Q44" i="19"/>
  <c r="T43" i="19"/>
  <c r="V43" i="19" s="1"/>
  <c r="Q43" i="19"/>
  <c r="T42" i="19"/>
  <c r="V42" i="19" s="1"/>
  <c r="Q42" i="19"/>
  <c r="T41" i="19"/>
  <c r="V41" i="19" s="1"/>
  <c r="Q41" i="19"/>
  <c r="T40" i="19"/>
  <c r="V40" i="19" s="1"/>
  <c r="Q40" i="19"/>
  <c r="T39" i="19"/>
  <c r="V39" i="19" s="1"/>
  <c r="Q39" i="19"/>
  <c r="T38" i="19"/>
  <c r="V38" i="19" s="1"/>
  <c r="Q38" i="19"/>
  <c r="T37" i="19"/>
  <c r="V37" i="19" s="1"/>
  <c r="Q37" i="19"/>
  <c r="T36" i="19"/>
  <c r="V36" i="19" s="1"/>
  <c r="Q36" i="19"/>
  <c r="T35" i="19"/>
  <c r="V35" i="19" s="1"/>
  <c r="Q35" i="19"/>
  <c r="T34" i="19"/>
  <c r="V34" i="19" s="1"/>
  <c r="Q34" i="19"/>
  <c r="T33" i="19"/>
  <c r="V33" i="19" s="1"/>
  <c r="Q33" i="19"/>
  <c r="T32" i="19"/>
  <c r="V32" i="19" s="1"/>
  <c r="Q32" i="19"/>
  <c r="T31" i="19"/>
  <c r="V31" i="19" s="1"/>
  <c r="Q31" i="19"/>
  <c r="T30" i="19"/>
  <c r="V30" i="19" s="1"/>
  <c r="Q30" i="19"/>
  <c r="T29" i="19"/>
  <c r="V29" i="19" s="1"/>
  <c r="Q29" i="19"/>
  <c r="T28" i="19"/>
  <c r="V28" i="19" s="1"/>
  <c r="Q28" i="19"/>
  <c r="T27" i="19"/>
  <c r="V27" i="19" s="1"/>
  <c r="Q27" i="19"/>
  <c r="T26" i="19"/>
  <c r="V26" i="19" s="1"/>
  <c r="Q26" i="19"/>
  <c r="T25" i="19"/>
  <c r="V25" i="19" s="1"/>
  <c r="Q25" i="19"/>
  <c r="T24" i="19"/>
  <c r="V24" i="19" s="1"/>
  <c r="Q24" i="19"/>
  <c r="T23" i="19"/>
  <c r="V23" i="19" s="1"/>
  <c r="Q23" i="19"/>
  <c r="T22" i="19"/>
  <c r="V22" i="19" s="1"/>
  <c r="Q22" i="19"/>
  <c r="T21" i="19"/>
  <c r="V21" i="19" s="1"/>
  <c r="Q21" i="19"/>
  <c r="T20" i="19"/>
  <c r="V20" i="19" s="1"/>
  <c r="Q20" i="19"/>
  <c r="T19" i="19"/>
  <c r="V19" i="19" s="1"/>
  <c r="Q19" i="19"/>
  <c r="T18" i="19"/>
  <c r="V18" i="19" s="1"/>
  <c r="Q18" i="19"/>
  <c r="T17" i="19"/>
  <c r="V17" i="19" s="1"/>
  <c r="Q17" i="19"/>
  <c r="T16" i="19"/>
  <c r="V16" i="19" s="1"/>
  <c r="Q16" i="19"/>
  <c r="T15" i="19"/>
  <c r="V15" i="19" s="1"/>
  <c r="Q15" i="19"/>
  <c r="T14" i="19"/>
  <c r="V14" i="19" s="1"/>
  <c r="Q14" i="19"/>
  <c r="T13" i="19"/>
  <c r="V13" i="19" s="1"/>
  <c r="Q13" i="19"/>
  <c r="T12" i="19"/>
  <c r="V12" i="19" s="1"/>
  <c r="Q12" i="19"/>
  <c r="T11" i="19"/>
  <c r="V11" i="19" s="1"/>
  <c r="Q11" i="19"/>
  <c r="T10" i="19"/>
  <c r="V10" i="19" s="1"/>
  <c r="Q10" i="19"/>
  <c r="T9" i="19"/>
  <c r="V9" i="19" s="1"/>
  <c r="Q9" i="19"/>
  <c r="T8" i="19"/>
  <c r="V8" i="19" s="1"/>
  <c r="Q8" i="19"/>
  <c r="T7" i="19"/>
  <c r="V7" i="19" s="1"/>
  <c r="Q7" i="19"/>
  <c r="T6" i="19"/>
  <c r="V6" i="19" s="1"/>
  <c r="Q6" i="19"/>
  <c r="T5" i="19"/>
  <c r="V5" i="19" s="1"/>
  <c r="Q5" i="19"/>
  <c r="T4" i="19"/>
  <c r="V4" i="19" s="1"/>
  <c r="Q4" i="19"/>
  <c r="T3" i="19"/>
  <c r="V3" i="19" s="1"/>
  <c r="Q3" i="19"/>
  <c r="T2" i="19"/>
  <c r="V2" i="19" s="1"/>
  <c r="Q2" i="19"/>
  <c r="T387" i="18" l="1"/>
  <c r="T386" i="18"/>
  <c r="T385" i="18"/>
  <c r="T384" i="18"/>
  <c r="T383" i="18"/>
  <c r="T382" i="18"/>
  <c r="T381" i="18"/>
  <c r="T380" i="18"/>
  <c r="T379" i="18"/>
  <c r="T378" i="18"/>
  <c r="T377" i="18"/>
  <c r="T376" i="18"/>
  <c r="T375" i="18"/>
  <c r="T374" i="18"/>
  <c r="T373" i="18"/>
  <c r="T372" i="18"/>
  <c r="T371" i="18"/>
  <c r="T370" i="18"/>
  <c r="T369" i="18"/>
  <c r="T368" i="18"/>
  <c r="T367" i="18"/>
  <c r="V367" i="18" s="1"/>
  <c r="V366" i="18"/>
  <c r="T366" i="18"/>
  <c r="T365" i="18"/>
  <c r="V365" i="18" s="1"/>
  <c r="T364" i="18"/>
  <c r="V364" i="18" s="1"/>
  <c r="T363" i="18"/>
  <c r="V363" i="18" s="1"/>
  <c r="T362" i="18"/>
  <c r="V362" i="18" s="1"/>
  <c r="T361" i="18"/>
  <c r="V361" i="18" s="1"/>
  <c r="V360" i="18"/>
  <c r="T360" i="18"/>
  <c r="T359" i="18"/>
  <c r="V359" i="18" s="1"/>
  <c r="Q359" i="18"/>
  <c r="T358" i="18"/>
  <c r="V358" i="18" s="1"/>
  <c r="Q358" i="18"/>
  <c r="T357" i="18"/>
  <c r="V357" i="18" s="1"/>
  <c r="Q357" i="18"/>
  <c r="T356" i="18"/>
  <c r="V356" i="18" s="1"/>
  <c r="Q356" i="18"/>
  <c r="T355" i="18"/>
  <c r="V355" i="18" s="1"/>
  <c r="Q355" i="18"/>
  <c r="T354" i="18"/>
  <c r="V354" i="18" s="1"/>
  <c r="Q354" i="18"/>
  <c r="T353" i="18"/>
  <c r="V353" i="18" s="1"/>
  <c r="Q353" i="18"/>
  <c r="T352" i="18"/>
  <c r="V352" i="18" s="1"/>
  <c r="Q352" i="18"/>
  <c r="T351" i="18"/>
  <c r="V351" i="18" s="1"/>
  <c r="Q351" i="18"/>
  <c r="T350" i="18"/>
  <c r="V350" i="18" s="1"/>
  <c r="Q350" i="18"/>
  <c r="T349" i="18"/>
  <c r="V349" i="18" s="1"/>
  <c r="Q349" i="18"/>
  <c r="T348" i="18"/>
  <c r="V348" i="18" s="1"/>
  <c r="Q348" i="18"/>
  <c r="T347" i="18"/>
  <c r="V347" i="18" s="1"/>
  <c r="Q347" i="18"/>
  <c r="T346" i="18"/>
  <c r="V346" i="18" s="1"/>
  <c r="Q346" i="18"/>
  <c r="T345" i="18"/>
  <c r="V345" i="18" s="1"/>
  <c r="Q345" i="18"/>
  <c r="T344" i="18"/>
  <c r="V344" i="18" s="1"/>
  <c r="Q344" i="18"/>
  <c r="T343" i="18"/>
  <c r="V343" i="18" s="1"/>
  <c r="Q343" i="18"/>
  <c r="T342" i="18"/>
  <c r="V342" i="18" s="1"/>
  <c r="Q342" i="18"/>
  <c r="T341" i="18"/>
  <c r="V341" i="18" s="1"/>
  <c r="Q341" i="18"/>
  <c r="T340" i="18"/>
  <c r="V340" i="18" s="1"/>
  <c r="Q340" i="18"/>
  <c r="T339" i="18"/>
  <c r="V339" i="18" s="1"/>
  <c r="Q339" i="18"/>
  <c r="T338" i="18"/>
  <c r="V338" i="18" s="1"/>
  <c r="Q338" i="18"/>
  <c r="T337" i="18"/>
  <c r="V337" i="18" s="1"/>
  <c r="Q337" i="18"/>
  <c r="T336" i="18"/>
  <c r="V336" i="18" s="1"/>
  <c r="Q336" i="18"/>
  <c r="T335" i="18"/>
  <c r="V335" i="18" s="1"/>
  <c r="Q335" i="18"/>
  <c r="T334" i="18"/>
  <c r="V334" i="18" s="1"/>
  <c r="Q334" i="18"/>
  <c r="T333" i="18"/>
  <c r="V333" i="18" s="1"/>
  <c r="Q333" i="18"/>
  <c r="T332" i="18"/>
  <c r="V332" i="18" s="1"/>
  <c r="Q332" i="18"/>
  <c r="T331" i="18"/>
  <c r="V331" i="18" s="1"/>
  <c r="Q331" i="18"/>
  <c r="T330" i="18"/>
  <c r="V330" i="18" s="1"/>
  <c r="Q330" i="18"/>
  <c r="T329" i="18"/>
  <c r="V329" i="18" s="1"/>
  <c r="Q329" i="18"/>
  <c r="T328" i="18"/>
  <c r="V328" i="18" s="1"/>
  <c r="Q328" i="18"/>
  <c r="T327" i="18"/>
  <c r="V327" i="18" s="1"/>
  <c r="Q327" i="18"/>
  <c r="T326" i="18"/>
  <c r="V326" i="18" s="1"/>
  <c r="Q326" i="18"/>
  <c r="T325" i="18"/>
  <c r="V325" i="18" s="1"/>
  <c r="Q325" i="18"/>
  <c r="T324" i="18"/>
  <c r="V324" i="18" s="1"/>
  <c r="Q324" i="18"/>
  <c r="T323" i="18"/>
  <c r="V323" i="18" s="1"/>
  <c r="Q323" i="18"/>
  <c r="T322" i="18"/>
  <c r="V322" i="18" s="1"/>
  <c r="Q322" i="18"/>
  <c r="T321" i="18"/>
  <c r="V321" i="18" s="1"/>
  <c r="Q321" i="18"/>
  <c r="T320" i="18"/>
  <c r="V320" i="18" s="1"/>
  <c r="Q320" i="18"/>
  <c r="T319" i="18"/>
  <c r="V319" i="18" s="1"/>
  <c r="Q319" i="18"/>
  <c r="T318" i="18"/>
  <c r="V318" i="18" s="1"/>
  <c r="Q318" i="18"/>
  <c r="T317" i="18"/>
  <c r="V317" i="18" s="1"/>
  <c r="Q317" i="18"/>
  <c r="T316" i="18"/>
  <c r="V316" i="18" s="1"/>
  <c r="Q316" i="18"/>
  <c r="T315" i="18"/>
  <c r="V315" i="18" s="1"/>
  <c r="Q315" i="18"/>
  <c r="T314" i="18"/>
  <c r="V314" i="18" s="1"/>
  <c r="Q314" i="18"/>
  <c r="T313" i="18"/>
  <c r="V313" i="18" s="1"/>
  <c r="Q313" i="18"/>
  <c r="T312" i="18"/>
  <c r="V312" i="18" s="1"/>
  <c r="Q312" i="18"/>
  <c r="T311" i="18"/>
  <c r="V311" i="18" s="1"/>
  <c r="Q311" i="18"/>
  <c r="T310" i="18"/>
  <c r="V310" i="18" s="1"/>
  <c r="Q310" i="18"/>
  <c r="T309" i="18"/>
  <c r="V309" i="18" s="1"/>
  <c r="Q309" i="18"/>
  <c r="T308" i="18"/>
  <c r="V308" i="18" s="1"/>
  <c r="Q308" i="18"/>
  <c r="T307" i="18"/>
  <c r="V307" i="18" s="1"/>
  <c r="Q307" i="18"/>
  <c r="T306" i="18"/>
  <c r="V306" i="18" s="1"/>
  <c r="Q306" i="18"/>
  <c r="T305" i="18"/>
  <c r="V305" i="18" s="1"/>
  <c r="Q305" i="18"/>
  <c r="T304" i="18"/>
  <c r="V304" i="18" s="1"/>
  <c r="Q304" i="18"/>
  <c r="T303" i="18"/>
  <c r="V303" i="18" s="1"/>
  <c r="Q303" i="18"/>
  <c r="T302" i="18"/>
  <c r="V302" i="18" s="1"/>
  <c r="Q302" i="18"/>
  <c r="T301" i="18"/>
  <c r="V301" i="18" s="1"/>
  <c r="Q301" i="18"/>
  <c r="T300" i="18"/>
  <c r="V300" i="18" s="1"/>
  <c r="Q300" i="18"/>
  <c r="T299" i="18"/>
  <c r="V299" i="18" s="1"/>
  <c r="Q299" i="18"/>
  <c r="T298" i="18"/>
  <c r="V298" i="18" s="1"/>
  <c r="Q298" i="18"/>
  <c r="T297" i="18"/>
  <c r="V297" i="18" s="1"/>
  <c r="Q297" i="18"/>
  <c r="T296" i="18"/>
  <c r="V296" i="18" s="1"/>
  <c r="Q296" i="18"/>
  <c r="T295" i="18"/>
  <c r="V295" i="18" s="1"/>
  <c r="Q295" i="18"/>
  <c r="T294" i="18"/>
  <c r="V294" i="18" s="1"/>
  <c r="Q294" i="18"/>
  <c r="T293" i="18"/>
  <c r="V293" i="18" s="1"/>
  <c r="Q293" i="18"/>
  <c r="T292" i="18"/>
  <c r="V292" i="18" s="1"/>
  <c r="Q292" i="18"/>
  <c r="T291" i="18"/>
  <c r="V291" i="18" s="1"/>
  <c r="Q291" i="18"/>
  <c r="T290" i="18"/>
  <c r="V290" i="18" s="1"/>
  <c r="Q290" i="18"/>
  <c r="T289" i="18"/>
  <c r="V289" i="18" s="1"/>
  <c r="Q289" i="18"/>
  <c r="T288" i="18"/>
  <c r="V288" i="18" s="1"/>
  <c r="Q288" i="18"/>
  <c r="T287" i="18"/>
  <c r="V287" i="18" s="1"/>
  <c r="Q287" i="18"/>
  <c r="T286" i="18"/>
  <c r="V286" i="18" s="1"/>
  <c r="Q286" i="18"/>
  <c r="T285" i="18"/>
  <c r="V285" i="18" s="1"/>
  <c r="Q285" i="18"/>
  <c r="T284" i="18"/>
  <c r="V284" i="18" s="1"/>
  <c r="Q284" i="18"/>
  <c r="T283" i="18"/>
  <c r="V283" i="18" s="1"/>
  <c r="Q283" i="18"/>
  <c r="T282" i="18"/>
  <c r="V282" i="18" s="1"/>
  <c r="Q282" i="18"/>
  <c r="T281" i="18"/>
  <c r="V281" i="18" s="1"/>
  <c r="Q281" i="18"/>
  <c r="T280" i="18"/>
  <c r="V280" i="18" s="1"/>
  <c r="Q280" i="18"/>
  <c r="T279" i="18"/>
  <c r="V279" i="18" s="1"/>
  <c r="Q279" i="18"/>
  <c r="T278" i="18"/>
  <c r="V278" i="18" s="1"/>
  <c r="Q278" i="18"/>
  <c r="T277" i="18"/>
  <c r="V277" i="18" s="1"/>
  <c r="Q277" i="18"/>
  <c r="T276" i="18"/>
  <c r="V276" i="18" s="1"/>
  <c r="Q276" i="18"/>
  <c r="T275" i="18"/>
  <c r="V275" i="18" s="1"/>
  <c r="Q275" i="18"/>
  <c r="T274" i="18"/>
  <c r="V274" i="18" s="1"/>
  <c r="Q274" i="18"/>
  <c r="T273" i="18"/>
  <c r="V273" i="18" s="1"/>
  <c r="Q273" i="18"/>
  <c r="T272" i="18"/>
  <c r="V272" i="18" s="1"/>
  <c r="Q272" i="18"/>
  <c r="T271" i="18"/>
  <c r="V271" i="18" s="1"/>
  <c r="Q271" i="18"/>
  <c r="T270" i="18"/>
  <c r="V270" i="18" s="1"/>
  <c r="Q270" i="18"/>
  <c r="T269" i="18"/>
  <c r="V269" i="18" s="1"/>
  <c r="Q269" i="18"/>
  <c r="T268" i="18"/>
  <c r="V268" i="18" s="1"/>
  <c r="Q268" i="18"/>
  <c r="T267" i="18"/>
  <c r="V267" i="18" s="1"/>
  <c r="Q267" i="18"/>
  <c r="T266" i="18"/>
  <c r="V266" i="18" s="1"/>
  <c r="Q266" i="18"/>
  <c r="T265" i="18"/>
  <c r="V265" i="18" s="1"/>
  <c r="Q265" i="18"/>
  <c r="T264" i="18"/>
  <c r="V264" i="18" s="1"/>
  <c r="Q264" i="18"/>
  <c r="T263" i="18"/>
  <c r="V263" i="18" s="1"/>
  <c r="Q263" i="18"/>
  <c r="T262" i="18"/>
  <c r="V262" i="18" s="1"/>
  <c r="Q262" i="18"/>
  <c r="T261" i="18"/>
  <c r="V261" i="18" s="1"/>
  <c r="Q261" i="18"/>
  <c r="T260" i="18"/>
  <c r="V260" i="18" s="1"/>
  <c r="Q260" i="18"/>
  <c r="T259" i="18"/>
  <c r="V259" i="18" s="1"/>
  <c r="Q259" i="18"/>
  <c r="T258" i="18"/>
  <c r="V258" i="18" s="1"/>
  <c r="Q258" i="18"/>
  <c r="T257" i="18"/>
  <c r="V257" i="18" s="1"/>
  <c r="Q257" i="18"/>
  <c r="T256" i="18"/>
  <c r="V256" i="18" s="1"/>
  <c r="Q256" i="18"/>
  <c r="T255" i="18"/>
  <c r="V255" i="18" s="1"/>
  <c r="Q255" i="18"/>
  <c r="T254" i="18"/>
  <c r="V254" i="18" s="1"/>
  <c r="Q254" i="18"/>
  <c r="T253" i="18"/>
  <c r="V253" i="18" s="1"/>
  <c r="Q253" i="18"/>
  <c r="T252" i="18"/>
  <c r="V252" i="18" s="1"/>
  <c r="Q252" i="18"/>
  <c r="T251" i="18"/>
  <c r="V251" i="18" s="1"/>
  <c r="Q251" i="18"/>
  <c r="T250" i="18"/>
  <c r="V250" i="18" s="1"/>
  <c r="Q250" i="18"/>
  <c r="T249" i="18"/>
  <c r="V249" i="18" s="1"/>
  <c r="Q249" i="18"/>
  <c r="T248" i="18"/>
  <c r="V248" i="18" s="1"/>
  <c r="Q248" i="18"/>
  <c r="T247" i="18"/>
  <c r="V247" i="18" s="1"/>
  <c r="Q247" i="18"/>
  <c r="T246" i="18"/>
  <c r="V246" i="18" s="1"/>
  <c r="Q246" i="18"/>
  <c r="T245" i="18"/>
  <c r="V245" i="18" s="1"/>
  <c r="Q245" i="18"/>
  <c r="T244" i="18"/>
  <c r="V244" i="18" s="1"/>
  <c r="Q244" i="18"/>
  <c r="T243" i="18"/>
  <c r="V243" i="18" s="1"/>
  <c r="Q243" i="18"/>
  <c r="T242" i="18"/>
  <c r="V242" i="18" s="1"/>
  <c r="Q242" i="18"/>
  <c r="T241" i="18"/>
  <c r="V241" i="18" s="1"/>
  <c r="Q241" i="18"/>
  <c r="T240" i="18"/>
  <c r="V240" i="18" s="1"/>
  <c r="Q240" i="18"/>
  <c r="T239" i="18"/>
  <c r="V239" i="18" s="1"/>
  <c r="Q239" i="18"/>
  <c r="T238" i="18"/>
  <c r="V238" i="18" s="1"/>
  <c r="Q238" i="18"/>
  <c r="T237" i="18"/>
  <c r="V237" i="18" s="1"/>
  <c r="Q237" i="18"/>
  <c r="T236" i="18"/>
  <c r="V236" i="18" s="1"/>
  <c r="Q236" i="18"/>
  <c r="T235" i="18"/>
  <c r="V235" i="18" s="1"/>
  <c r="Q235" i="18"/>
  <c r="T234" i="18"/>
  <c r="V234" i="18" s="1"/>
  <c r="Q234" i="18"/>
  <c r="T233" i="18"/>
  <c r="V233" i="18" s="1"/>
  <c r="Q233" i="18"/>
  <c r="T232" i="18"/>
  <c r="V232" i="18" s="1"/>
  <c r="Q232" i="18"/>
  <c r="T231" i="18"/>
  <c r="V231" i="18" s="1"/>
  <c r="Q231" i="18"/>
  <c r="T230" i="18"/>
  <c r="V230" i="18" s="1"/>
  <c r="Q230" i="18"/>
  <c r="T229" i="18"/>
  <c r="V229" i="18" s="1"/>
  <c r="Q229" i="18"/>
  <c r="T228" i="18"/>
  <c r="V228" i="18" s="1"/>
  <c r="Q228" i="18"/>
  <c r="T227" i="18"/>
  <c r="V227" i="18" s="1"/>
  <c r="Q227" i="18"/>
  <c r="T226" i="18"/>
  <c r="V226" i="18" s="1"/>
  <c r="Q226" i="18"/>
  <c r="T225" i="18"/>
  <c r="V225" i="18" s="1"/>
  <c r="Q225" i="18"/>
  <c r="T224" i="18"/>
  <c r="V224" i="18" s="1"/>
  <c r="Q224" i="18"/>
  <c r="T223" i="18"/>
  <c r="V223" i="18" s="1"/>
  <c r="Q223" i="18"/>
  <c r="T222" i="18"/>
  <c r="V222" i="18" s="1"/>
  <c r="Q222" i="18"/>
  <c r="T221" i="18"/>
  <c r="V221" i="18" s="1"/>
  <c r="Q221" i="18"/>
  <c r="T220" i="18"/>
  <c r="V220" i="18" s="1"/>
  <c r="Q220" i="18"/>
  <c r="T219" i="18"/>
  <c r="V219" i="18" s="1"/>
  <c r="Q219" i="18"/>
  <c r="T218" i="18"/>
  <c r="V218" i="18" s="1"/>
  <c r="Q218" i="18"/>
  <c r="T217" i="18"/>
  <c r="V217" i="18" s="1"/>
  <c r="Q217" i="18"/>
  <c r="T216" i="18"/>
  <c r="V216" i="18" s="1"/>
  <c r="Q216" i="18"/>
  <c r="T215" i="18"/>
  <c r="V215" i="18" s="1"/>
  <c r="Q215" i="18"/>
  <c r="T214" i="18"/>
  <c r="V214" i="18" s="1"/>
  <c r="Q214" i="18"/>
  <c r="T213" i="18"/>
  <c r="V213" i="18" s="1"/>
  <c r="Q213" i="18"/>
  <c r="T212" i="18"/>
  <c r="V212" i="18" s="1"/>
  <c r="Q212" i="18"/>
  <c r="T211" i="18"/>
  <c r="V211" i="18" s="1"/>
  <c r="Q211" i="18"/>
  <c r="T210" i="18"/>
  <c r="V210" i="18" s="1"/>
  <c r="Q210" i="18"/>
  <c r="T209" i="18"/>
  <c r="V209" i="18" s="1"/>
  <c r="Q209" i="18"/>
  <c r="T208" i="18"/>
  <c r="V208" i="18" s="1"/>
  <c r="Q208" i="18"/>
  <c r="T207" i="18"/>
  <c r="V207" i="18" s="1"/>
  <c r="Q207" i="18"/>
  <c r="T206" i="18"/>
  <c r="V206" i="18" s="1"/>
  <c r="Q206" i="18"/>
  <c r="T205" i="18"/>
  <c r="V205" i="18" s="1"/>
  <c r="Q205" i="18"/>
  <c r="T204" i="18"/>
  <c r="V204" i="18" s="1"/>
  <c r="Q204" i="18"/>
  <c r="T203" i="18"/>
  <c r="V203" i="18" s="1"/>
  <c r="Q203" i="18"/>
  <c r="T202" i="18"/>
  <c r="V202" i="18" s="1"/>
  <c r="Q202" i="18"/>
  <c r="T201" i="18"/>
  <c r="V201" i="18" s="1"/>
  <c r="Q201" i="18"/>
  <c r="T200" i="18"/>
  <c r="V200" i="18" s="1"/>
  <c r="Q200" i="18"/>
  <c r="T199" i="18"/>
  <c r="V199" i="18" s="1"/>
  <c r="Q199" i="18"/>
  <c r="T198" i="18"/>
  <c r="V198" i="18" s="1"/>
  <c r="Q198" i="18"/>
  <c r="T197" i="18"/>
  <c r="V197" i="18" s="1"/>
  <c r="Q197" i="18"/>
  <c r="T196" i="18"/>
  <c r="V196" i="18" s="1"/>
  <c r="Q196" i="18"/>
  <c r="T195" i="18"/>
  <c r="V195" i="18" s="1"/>
  <c r="Q195" i="18"/>
  <c r="T194" i="18"/>
  <c r="V194" i="18" s="1"/>
  <c r="Q194" i="18"/>
  <c r="T193" i="18"/>
  <c r="V193" i="18" s="1"/>
  <c r="Q193" i="18"/>
  <c r="T192" i="18"/>
  <c r="V192" i="18" s="1"/>
  <c r="Q192" i="18"/>
  <c r="T191" i="18"/>
  <c r="V191" i="18" s="1"/>
  <c r="Q191" i="18"/>
  <c r="T190" i="18"/>
  <c r="V190" i="18" s="1"/>
  <c r="Q190" i="18"/>
  <c r="T189" i="18"/>
  <c r="V189" i="18" s="1"/>
  <c r="Q189" i="18"/>
  <c r="T188" i="18"/>
  <c r="V188" i="18" s="1"/>
  <c r="Q188" i="18"/>
  <c r="T187" i="18"/>
  <c r="V187" i="18" s="1"/>
  <c r="Q187" i="18"/>
  <c r="T186" i="18"/>
  <c r="V186" i="18" s="1"/>
  <c r="Q186" i="18"/>
  <c r="T185" i="18"/>
  <c r="V185" i="18" s="1"/>
  <c r="Q185" i="18"/>
  <c r="T184" i="18"/>
  <c r="V184" i="18" s="1"/>
  <c r="Q184" i="18"/>
  <c r="T183" i="18"/>
  <c r="V183" i="18" s="1"/>
  <c r="Q183" i="18"/>
  <c r="T182" i="18"/>
  <c r="V182" i="18" s="1"/>
  <c r="Q182" i="18"/>
  <c r="T181" i="18"/>
  <c r="V181" i="18" s="1"/>
  <c r="Q181" i="18"/>
  <c r="T180" i="18"/>
  <c r="V180" i="18" s="1"/>
  <c r="Q180" i="18"/>
  <c r="T179" i="18"/>
  <c r="V179" i="18" s="1"/>
  <c r="Q179" i="18"/>
  <c r="T178" i="18"/>
  <c r="V178" i="18" s="1"/>
  <c r="Q178" i="18"/>
  <c r="T177" i="18"/>
  <c r="V177" i="18" s="1"/>
  <c r="Q177" i="18"/>
  <c r="T176" i="18"/>
  <c r="V176" i="18" s="1"/>
  <c r="Q176" i="18"/>
  <c r="T175" i="18"/>
  <c r="V175" i="18" s="1"/>
  <c r="Q175" i="18"/>
  <c r="T174" i="18"/>
  <c r="V174" i="18" s="1"/>
  <c r="Q174" i="18"/>
  <c r="T173" i="18"/>
  <c r="V173" i="18" s="1"/>
  <c r="Q173" i="18"/>
  <c r="T172" i="18"/>
  <c r="V172" i="18" s="1"/>
  <c r="Q172" i="18"/>
  <c r="T171" i="18"/>
  <c r="V171" i="18" s="1"/>
  <c r="Q171" i="18"/>
  <c r="T170" i="18"/>
  <c r="V170" i="18" s="1"/>
  <c r="Q170" i="18"/>
  <c r="T169" i="18"/>
  <c r="V169" i="18" s="1"/>
  <c r="Q169" i="18"/>
  <c r="T168" i="18"/>
  <c r="V168" i="18" s="1"/>
  <c r="Q168" i="18"/>
  <c r="T167" i="18"/>
  <c r="V167" i="18" s="1"/>
  <c r="Q167" i="18"/>
  <c r="T166" i="18"/>
  <c r="V166" i="18" s="1"/>
  <c r="Q166" i="18"/>
  <c r="T165" i="18"/>
  <c r="V165" i="18" s="1"/>
  <c r="Q165" i="18"/>
  <c r="T164" i="18"/>
  <c r="V164" i="18" s="1"/>
  <c r="Q164" i="18"/>
  <c r="T163" i="18"/>
  <c r="V163" i="18" s="1"/>
  <c r="Q163" i="18"/>
  <c r="T162" i="18"/>
  <c r="V162" i="18" s="1"/>
  <c r="Q162" i="18"/>
  <c r="T161" i="18"/>
  <c r="V161" i="18" s="1"/>
  <c r="Q161" i="18"/>
  <c r="T160" i="18"/>
  <c r="V160" i="18" s="1"/>
  <c r="Q160" i="18"/>
  <c r="T159" i="18"/>
  <c r="V159" i="18" s="1"/>
  <c r="Q159" i="18"/>
  <c r="T158" i="18"/>
  <c r="V158" i="18" s="1"/>
  <c r="Q158" i="18"/>
  <c r="T148" i="18"/>
  <c r="V148" i="18" s="1"/>
  <c r="Q148" i="18"/>
  <c r="T147" i="18"/>
  <c r="V147" i="18" s="1"/>
  <c r="Q147" i="18"/>
  <c r="T146" i="18"/>
  <c r="V146" i="18" s="1"/>
  <c r="Q146" i="18"/>
  <c r="T145" i="18"/>
  <c r="V145" i="18" s="1"/>
  <c r="Q145" i="18"/>
  <c r="T144" i="18"/>
  <c r="V144" i="18" s="1"/>
  <c r="Q144" i="18"/>
  <c r="T143" i="18"/>
  <c r="V143" i="18" s="1"/>
  <c r="Q143" i="18"/>
  <c r="T142" i="18"/>
  <c r="V142" i="18" s="1"/>
  <c r="Q142" i="18"/>
  <c r="T141" i="18"/>
  <c r="V141" i="18" s="1"/>
  <c r="Q141" i="18"/>
  <c r="T140" i="18"/>
  <c r="V140" i="18" s="1"/>
  <c r="Q140" i="18"/>
  <c r="T139" i="18"/>
  <c r="V139" i="18" s="1"/>
  <c r="Q139" i="18"/>
  <c r="T138" i="18"/>
  <c r="V138" i="18" s="1"/>
  <c r="Q138" i="18"/>
  <c r="T137" i="18"/>
  <c r="V137" i="18" s="1"/>
  <c r="Q137" i="18"/>
  <c r="T136" i="18"/>
  <c r="V136" i="18" s="1"/>
  <c r="Q136" i="18"/>
  <c r="T135" i="18"/>
  <c r="V135" i="18" s="1"/>
  <c r="Q135" i="18"/>
  <c r="T134" i="18"/>
  <c r="V134" i="18" s="1"/>
  <c r="Q134" i="18"/>
  <c r="T133" i="18"/>
  <c r="V133" i="18" s="1"/>
  <c r="Q133" i="18"/>
  <c r="T132" i="18"/>
  <c r="V132" i="18" s="1"/>
  <c r="Q132" i="18"/>
  <c r="T131" i="18"/>
  <c r="V131" i="18" s="1"/>
  <c r="Q131" i="18"/>
  <c r="T130" i="18"/>
  <c r="V130" i="18" s="1"/>
  <c r="Q130" i="18"/>
  <c r="T129" i="18"/>
  <c r="V129" i="18" s="1"/>
  <c r="Q129" i="18"/>
  <c r="T128" i="18"/>
  <c r="V128" i="18" s="1"/>
  <c r="Q128" i="18"/>
  <c r="T127" i="18"/>
  <c r="V127" i="18" s="1"/>
  <c r="Q127" i="18"/>
  <c r="T126" i="18"/>
  <c r="V126" i="18" s="1"/>
  <c r="Q126" i="18"/>
  <c r="T125" i="18"/>
  <c r="V125" i="18" s="1"/>
  <c r="Q125" i="18"/>
  <c r="T124" i="18"/>
  <c r="Q124" i="18"/>
  <c r="T123" i="18"/>
  <c r="Q123" i="18"/>
  <c r="V122" i="18"/>
  <c r="T122" i="18"/>
  <c r="Q122" i="18"/>
  <c r="T121" i="18"/>
  <c r="Q121" i="18"/>
  <c r="T120" i="18"/>
  <c r="Q120" i="18"/>
  <c r="T119" i="18"/>
  <c r="Q119" i="18"/>
  <c r="T118" i="18"/>
  <c r="Q118" i="18"/>
  <c r="T117" i="18"/>
  <c r="Q117" i="18"/>
  <c r="T116" i="18"/>
  <c r="Q116" i="18"/>
  <c r="T115" i="18"/>
  <c r="Q115" i="18"/>
  <c r="T114" i="18"/>
  <c r="Q114" i="18"/>
  <c r="T113" i="18"/>
  <c r="Q113" i="18"/>
  <c r="T112" i="18"/>
  <c r="Q112" i="18"/>
  <c r="T111" i="18"/>
  <c r="Q111" i="18"/>
  <c r="T110" i="18"/>
  <c r="Q110" i="18"/>
  <c r="T109" i="18"/>
  <c r="Q109" i="18"/>
  <c r="T108" i="18"/>
  <c r="Q108" i="18"/>
  <c r="T107" i="18"/>
  <c r="Q107" i="18"/>
  <c r="T106" i="18"/>
  <c r="Q106" i="18"/>
  <c r="T105" i="18"/>
  <c r="Q105" i="18"/>
  <c r="T104" i="18"/>
  <c r="Q104" i="18"/>
  <c r="T103" i="18"/>
  <c r="V103" i="18" s="1"/>
  <c r="Q103" i="18"/>
  <c r="T102" i="18"/>
  <c r="V102" i="18" s="1"/>
  <c r="Q102" i="18"/>
  <c r="T101" i="18"/>
  <c r="V101" i="18" s="1"/>
  <c r="Q101" i="18"/>
  <c r="V100" i="18"/>
  <c r="T100" i="18"/>
  <c r="Q100" i="18"/>
  <c r="T99" i="18"/>
  <c r="V99" i="18" s="1"/>
  <c r="Q99" i="18"/>
  <c r="T98" i="18"/>
  <c r="V98" i="18" s="1"/>
  <c r="Q98" i="18"/>
  <c r="T97" i="18"/>
  <c r="V97" i="18" s="1"/>
  <c r="Q97" i="18"/>
  <c r="V96" i="18"/>
  <c r="T96" i="18"/>
  <c r="Q96" i="18"/>
  <c r="T95" i="18"/>
  <c r="V95" i="18" s="1"/>
  <c r="Q95" i="18"/>
  <c r="T94" i="18"/>
  <c r="V94" i="18" s="1"/>
  <c r="Q94" i="18"/>
  <c r="T93" i="18"/>
  <c r="V93" i="18" s="1"/>
  <c r="Q93" i="18"/>
  <c r="V92" i="18"/>
  <c r="T92" i="18"/>
  <c r="Q92" i="18"/>
  <c r="T91" i="18"/>
  <c r="V91" i="18" s="1"/>
  <c r="Q91" i="18"/>
  <c r="T90" i="18"/>
  <c r="V90" i="18" s="1"/>
  <c r="Q90" i="18"/>
  <c r="T89" i="18"/>
  <c r="V89" i="18" s="1"/>
  <c r="Q89" i="18"/>
  <c r="V88" i="18"/>
  <c r="T88" i="18"/>
  <c r="Q88" i="18"/>
  <c r="T87" i="18"/>
  <c r="V87" i="18" s="1"/>
  <c r="Q87" i="18"/>
  <c r="T86" i="18"/>
  <c r="V86" i="18" s="1"/>
  <c r="Q86" i="18"/>
  <c r="T85" i="18"/>
  <c r="V85" i="18" s="1"/>
  <c r="Q85" i="18"/>
  <c r="V84" i="18"/>
  <c r="T84" i="18"/>
  <c r="Q84" i="18"/>
  <c r="T83" i="18"/>
  <c r="V83" i="18" s="1"/>
  <c r="Q83" i="18"/>
  <c r="T82" i="18"/>
  <c r="V82" i="18" s="1"/>
  <c r="Q82" i="18"/>
  <c r="T81" i="18"/>
  <c r="V81" i="18" s="1"/>
  <c r="Q81" i="18"/>
  <c r="V80" i="18"/>
  <c r="T80" i="18"/>
  <c r="Q80" i="18"/>
  <c r="T79" i="18"/>
  <c r="V79" i="18" s="1"/>
  <c r="Q79" i="18"/>
  <c r="T78" i="18"/>
  <c r="V78" i="18" s="1"/>
  <c r="Q78" i="18"/>
  <c r="T77" i="18"/>
  <c r="V77" i="18" s="1"/>
  <c r="Q77" i="18"/>
  <c r="V76" i="18"/>
  <c r="T76" i="18"/>
  <c r="Q76" i="18"/>
  <c r="T75" i="18"/>
  <c r="V75" i="18" s="1"/>
  <c r="Q75" i="18"/>
  <c r="T74" i="18"/>
  <c r="V74" i="18" s="1"/>
  <c r="Q74" i="18"/>
  <c r="T73" i="18"/>
  <c r="V73" i="18" s="1"/>
  <c r="Q73" i="18"/>
  <c r="V72" i="18"/>
  <c r="T72" i="18"/>
  <c r="Q72" i="18"/>
  <c r="T71" i="18"/>
  <c r="V71" i="18" s="1"/>
  <c r="Q71" i="18"/>
  <c r="T70" i="18"/>
  <c r="V70" i="18" s="1"/>
  <c r="Q70" i="18"/>
  <c r="T69" i="18"/>
  <c r="V69" i="18" s="1"/>
  <c r="Q69" i="18"/>
  <c r="V68" i="18"/>
  <c r="T68" i="18"/>
  <c r="Q68" i="18"/>
  <c r="T67" i="18"/>
  <c r="V67" i="18" s="1"/>
  <c r="Q67" i="18"/>
  <c r="T66" i="18"/>
  <c r="V66" i="18" s="1"/>
  <c r="Q66" i="18"/>
  <c r="T65" i="18"/>
  <c r="V65" i="18" s="1"/>
  <c r="Q65" i="18"/>
  <c r="V64" i="18"/>
  <c r="T64" i="18"/>
  <c r="Q64" i="18"/>
  <c r="T63" i="18"/>
  <c r="V63" i="18" s="1"/>
  <c r="Q63" i="18"/>
  <c r="T62" i="18"/>
  <c r="V62" i="18" s="1"/>
  <c r="Q62" i="18"/>
  <c r="T61" i="18"/>
  <c r="V61" i="18" s="1"/>
  <c r="Q61" i="18"/>
  <c r="V60" i="18"/>
  <c r="T60" i="18"/>
  <c r="Q60" i="18"/>
  <c r="T59" i="18"/>
  <c r="V59" i="18" s="1"/>
  <c r="Q59" i="18"/>
  <c r="T58" i="18"/>
  <c r="V58" i="18" s="1"/>
  <c r="Q58" i="18"/>
  <c r="T57" i="18"/>
  <c r="V57" i="18" s="1"/>
  <c r="Q57" i="18"/>
  <c r="V56" i="18"/>
  <c r="T56" i="18"/>
  <c r="Q56" i="18"/>
  <c r="T55" i="18"/>
  <c r="V55" i="18" s="1"/>
  <c r="Q55" i="18"/>
  <c r="T54" i="18"/>
  <c r="V54" i="18" s="1"/>
  <c r="Q54" i="18"/>
  <c r="T53" i="18"/>
  <c r="V53" i="18" s="1"/>
  <c r="Q53" i="18"/>
  <c r="V52" i="18"/>
  <c r="T52" i="18"/>
  <c r="Q52" i="18"/>
  <c r="T51" i="18"/>
  <c r="V51" i="18" s="1"/>
  <c r="Q51" i="18"/>
  <c r="T50" i="18"/>
  <c r="V50" i="18" s="1"/>
  <c r="Q50" i="18"/>
  <c r="T49" i="18"/>
  <c r="V49" i="18" s="1"/>
  <c r="Q49" i="18"/>
  <c r="V48" i="18"/>
  <c r="T48" i="18"/>
  <c r="Q48" i="18"/>
  <c r="T47" i="18"/>
  <c r="V47" i="18" s="1"/>
  <c r="Q47" i="18"/>
  <c r="T46" i="18"/>
  <c r="V46" i="18" s="1"/>
  <c r="Q46" i="18"/>
  <c r="T45" i="18"/>
  <c r="V45" i="18" s="1"/>
  <c r="Q45" i="18"/>
  <c r="V44" i="18"/>
  <c r="T44" i="18"/>
  <c r="Q44" i="18"/>
  <c r="T43" i="18"/>
  <c r="V43" i="18" s="1"/>
  <c r="Q43" i="18"/>
  <c r="T42" i="18"/>
  <c r="V42" i="18" s="1"/>
  <c r="Q42" i="18"/>
  <c r="T41" i="18"/>
  <c r="V41" i="18" s="1"/>
  <c r="Q41" i="18"/>
  <c r="V40" i="18"/>
  <c r="T40" i="18"/>
  <c r="Q40" i="18"/>
  <c r="T39" i="18"/>
  <c r="V39" i="18" s="1"/>
  <c r="Q39" i="18"/>
  <c r="T38" i="18"/>
  <c r="V38" i="18" s="1"/>
  <c r="Q38" i="18"/>
  <c r="T37" i="18"/>
  <c r="V37" i="18" s="1"/>
  <c r="Q37" i="18"/>
  <c r="V36" i="18"/>
  <c r="T36" i="18"/>
  <c r="Q36" i="18"/>
  <c r="T35" i="18"/>
  <c r="V35" i="18" s="1"/>
  <c r="Q35" i="18"/>
  <c r="T34" i="18"/>
  <c r="V34" i="18" s="1"/>
  <c r="Q34" i="18"/>
  <c r="T33" i="18"/>
  <c r="V33" i="18" s="1"/>
  <c r="Q33" i="18"/>
  <c r="V32" i="18"/>
  <c r="T32" i="18"/>
  <c r="Q32" i="18"/>
  <c r="T31" i="18"/>
  <c r="V31" i="18" s="1"/>
  <c r="Q31" i="18"/>
  <c r="T30" i="18"/>
  <c r="V30" i="18" s="1"/>
  <c r="Q30" i="18"/>
  <c r="T29" i="18"/>
  <c r="V29" i="18" s="1"/>
  <c r="Q29" i="18"/>
  <c r="V28" i="18"/>
  <c r="T28" i="18"/>
  <c r="Q28" i="18"/>
  <c r="T27" i="18"/>
  <c r="V27" i="18" s="1"/>
  <c r="Q27" i="18"/>
  <c r="T26" i="18"/>
  <c r="V26" i="18" s="1"/>
  <c r="Q26" i="18"/>
  <c r="T25" i="18"/>
  <c r="V25" i="18" s="1"/>
  <c r="Q25" i="18"/>
  <c r="V24" i="18"/>
  <c r="T24" i="18"/>
  <c r="Q24" i="18"/>
  <c r="T23" i="18"/>
  <c r="V23" i="18" s="1"/>
  <c r="Q23" i="18"/>
  <c r="T22" i="18"/>
  <c r="V22" i="18" s="1"/>
  <c r="Q22" i="18"/>
  <c r="T21" i="18"/>
  <c r="V21" i="18" s="1"/>
  <c r="Q21" i="18"/>
  <c r="V20" i="18"/>
  <c r="T20" i="18"/>
  <c r="Q20" i="18"/>
  <c r="T19" i="18"/>
  <c r="V19" i="18" s="1"/>
  <c r="Q19" i="18"/>
  <c r="T18" i="18"/>
  <c r="V18" i="18" s="1"/>
  <c r="Q18" i="18"/>
  <c r="T17" i="18"/>
  <c r="V17" i="18" s="1"/>
  <c r="Q17" i="18"/>
  <c r="V16" i="18"/>
  <c r="T16" i="18"/>
  <c r="Q16" i="18"/>
  <c r="T15" i="18"/>
  <c r="V15" i="18" s="1"/>
  <c r="Q15" i="18"/>
  <c r="T14" i="18"/>
  <c r="V14" i="18" s="1"/>
  <c r="Q14" i="18"/>
  <c r="T13" i="18"/>
  <c r="V13" i="18" s="1"/>
  <c r="Q13" i="18"/>
  <c r="V12" i="18"/>
  <c r="T12" i="18"/>
  <c r="Q12" i="18"/>
  <c r="T11" i="18"/>
  <c r="V11" i="18" s="1"/>
  <c r="Q11" i="18"/>
  <c r="T10" i="18"/>
  <c r="V10" i="18" s="1"/>
  <c r="Q10" i="18"/>
  <c r="T9" i="18"/>
  <c r="V9" i="18" s="1"/>
  <c r="Q9" i="18"/>
  <c r="V8" i="18"/>
  <c r="T8" i="18"/>
  <c r="Q8" i="18"/>
  <c r="T7" i="18"/>
  <c r="V7" i="18" s="1"/>
  <c r="Q7" i="18"/>
  <c r="T6" i="18"/>
  <c r="V6" i="18" s="1"/>
  <c r="Q6" i="18"/>
  <c r="T5" i="18"/>
  <c r="V5" i="18" s="1"/>
  <c r="Q5" i="18"/>
  <c r="V4" i="18"/>
  <c r="T4" i="18"/>
  <c r="Q4" i="18"/>
  <c r="T3" i="18"/>
  <c r="V3" i="18" s="1"/>
  <c r="Q3" i="18"/>
  <c r="T2" i="18"/>
  <c r="V2" i="18" s="1"/>
  <c r="Q2" i="18"/>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<sst xmlns="http://schemas.openxmlformats.org/spreadsheetml/2006/main" count="10699" uniqueCount="389">
  <si>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</si>
  <si>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</si>
  <si>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</si>
  <si>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</si>
  <si>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</si>
  <si>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</si>
  <si>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</si>
  <si>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</si>
  <si>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</si>
  <si>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</si>
  <si>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</si>
  <si>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</si>
  <si>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</si>
  <si>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</si>
  <si>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</si>
  <si>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</si>
  <si>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</si>
  <si>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</si>
  <si>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</si>
  <si>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</si>
  <si>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</si>
  <si>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</si>
  <si>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</si>
  <si>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</si>
  <si>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</si>
  <si>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</si>
  <si>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</si>
  <si>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</si>
  <si>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</si>
  <si>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</si>
  <si>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</si>
  <si>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</si>
  <si>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</si>
  <si>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</si>
  <si>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</si>
  <si>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</si>
  <si>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</si>
  <si>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</si>
  <si>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</si>
  <si>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</si>
  <si>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</si>
  <si>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</si>
  <si>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</si>
  <si>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</si>
  <si>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</si>
  <si>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</si>
  <si>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</si>
  <si>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</si>
  <si>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</si>
  <si>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</si>
  <si>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</si>
  <si>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</si>
  <si>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</si>
  <si>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</si>
  <si>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</si>
  <si>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</si>
  <si>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</si>
  <si>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</si>
  <si>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</si>
  <si>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</si>
  <si>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</si>
  <si>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</si>
  <si>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</si>
  <si>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</si>
  <si>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</si>
  <si>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</si>
  <si>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</si>
  <si>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</si>
  <si>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</si>
  <si>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</si>
  <si>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</si>
  <si>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</si>
  <si>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</si>
  <si>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</si>
  <si>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</si>
  <si>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</si>
  <si>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</si>
  <si>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</si>
  <si>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</si>
  <si>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</si>
  <si>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</si>
  <si>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</si>
  <si>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</si>
  <si>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</si>
  <si>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</si>
  <si>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</si>
  <si>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</si>
  <si>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</si>
  <si>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</si>
  <si>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</si>
  <si>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</si>
  <si>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</si>
  <si>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</si>
  <si>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</si>
  <si>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</si>
  <si>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</si>
  <si>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</si>
  <si>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</si>
  <si>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</si>
  <si>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</si>
  <si>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</si>
  <si>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</si>
  <si>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</si>
  <si>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</si>
  <si>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</si>
  <si>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</si>
  <si>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</si>
  <si>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</si>
  <si>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</si>
  <si>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</si>
  <si>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</si>
  <si>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</si>
  <si>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</si>
  <si>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</si>
  <si>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</si>
  <si>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</si>
  <si>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</si>
  <si>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</si>
  <si>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</si>
  <si>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</si>
  <si>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</si>
  <si>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</si>
  <si>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</si>
  <si>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</si>
  <si>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</si>
  <si>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</si>
  <si>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</si>
  <si>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</si>
  <si>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</si>
  <si>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</si>
  <si>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</si>
  <si>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</si>
  <si>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</si>
  <si>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</si>
  <si>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</si>
  <si>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</si>
  <si>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</si>
  <si>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</si>
  <si>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</si>
  <si>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</si>
  <si>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</si>
  <si>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</si>
  <si>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</si>
  <si>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</si>
  <si>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</si>
  <si>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</si>
  <si>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</si>
  <si>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</si>
  <si>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</si>
  <si>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</si>
  <si>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</si>
  <si>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</si>
  <si>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</si>
  <si>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宮崎</t>
    <rPh sb="0" eb="2">
      <t>ミヤザキ</t>
    </rPh>
    <phoneticPr fontId="3"/>
  </si>
  <si>
    <t>マックスバリュ</t>
    <phoneticPr fontId="3"/>
  </si>
  <si>
    <t>北40条</t>
    <phoneticPr fontId="3"/>
  </si>
  <si>
    <t>北海道</t>
    <rPh sb="0" eb="3">
      <t>ホッカイドウ</t>
    </rPh>
    <phoneticPr fontId="3"/>
  </si>
  <si>
    <t>JP</t>
  </si>
  <si>
    <t>JPY</t>
  </si>
  <si>
    <t>CK</t>
  </si>
  <si>
    <t>GA</t>
  </si>
  <si>
    <t>ﾆｭｰｼﾞｰﾗﾝﾄﾞ</t>
  </si>
  <si>
    <t>マックスバリュ</t>
  </si>
  <si>
    <t>北40条</t>
  </si>
  <si>
    <t>HW</t>
  </si>
  <si>
    <t>OB</t>
  </si>
  <si>
    <t>06.08.2019</t>
  </si>
  <si>
    <t>06.08.2019</t>
    <phoneticPr fontId="3"/>
  </si>
  <si>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</si>
  <si>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</si>
  <si>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</si>
  <si>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</si>
  <si>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</si>
  <si>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</si>
  <si>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</si>
  <si>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</si>
  <si>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</si>
  <si>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</si>
  <si>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</si>
  <si>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</si>
  <si>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t xml:space="preserve">Green
Other
</t>
    </r>
    <r>
      <rPr>
        <b/>
        <sz val="8"/>
        <rFont val="ＭＳ Ｐゴシック"/>
        <family val="3"/>
        <charset val="128"/>
      </rPr>
      <t>最低重量</t>
    </r>
  </si>
  <si>
    <t>Green
Other
SIZE</t>
  </si>
  <si>
    <r>
      <t xml:space="preserve">Gold
</t>
    </r>
    <r>
      <rPr>
        <b/>
        <sz val="8"/>
        <rFont val="ＭＳ Ｐゴシック"/>
        <family val="3"/>
        <charset val="128"/>
      </rPr>
      <t>最低重量</t>
    </r>
  </si>
  <si>
    <t>Gold
SIZE</t>
  </si>
  <si>
    <t>07.08.2019</t>
  </si>
  <si>
    <t>利府店</t>
  </si>
  <si>
    <t>その他グリーン</t>
  </si>
  <si>
    <t>みやぎ生協</t>
  </si>
  <si>
    <t>その他ゴールド</t>
  </si>
  <si>
    <t>杉の入店</t>
  </si>
  <si>
    <t>その他レッド</t>
  </si>
  <si>
    <t>減農薬栽培</t>
  </si>
  <si>
    <t>D'lish</t>
  </si>
  <si>
    <t>中国</t>
  </si>
  <si>
    <t>ウジエ</t>
  </si>
  <si>
    <t>Del Monte</t>
  </si>
  <si>
    <t>塩釜店</t>
  </si>
  <si>
    <t>GK</t>
  </si>
  <si>
    <t>ザ・ビッグ</t>
  </si>
  <si>
    <t>HE</t>
  </si>
  <si>
    <t>長野</t>
  </si>
  <si>
    <t>ヤマザワ</t>
  </si>
  <si>
    <t>多賀城店</t>
  </si>
  <si>
    <t>岩手</t>
  </si>
  <si>
    <t>ヨークベニマル</t>
  </si>
  <si>
    <t>塩釜北浜店</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</si>
  <si>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</si>
  <si>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</si>
  <si>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</si>
  <si>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</si>
  <si>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</si>
  <si>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</si>
  <si>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</si>
  <si>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</si>
  <si>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</si>
  <si>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</si>
  <si>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</si>
  <si>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</si>
  <si>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</si>
  <si>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</si>
  <si>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</si>
  <si>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</si>
  <si>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</si>
  <si>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</si>
  <si>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</si>
  <si>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</si>
  <si>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</si>
  <si>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</si>
  <si>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</si>
  <si>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</si>
  <si>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</si>
  <si>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</si>
  <si>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t>JP</t>
    <phoneticPr fontId="3"/>
  </si>
  <si>
    <t>10.08.2019</t>
    <phoneticPr fontId="3"/>
  </si>
  <si>
    <t>旬楽膳</t>
    <rPh sb="0" eb="1">
      <t>シュン</t>
    </rPh>
    <rPh sb="1" eb="2">
      <t>ラク</t>
    </rPh>
    <rPh sb="2" eb="3">
      <t>ゼン</t>
    </rPh>
    <phoneticPr fontId="4"/>
  </si>
  <si>
    <t>日進店</t>
    <rPh sb="0" eb="2">
      <t>ニッシン</t>
    </rPh>
    <rPh sb="2" eb="3">
      <t>ミセ</t>
    </rPh>
    <phoneticPr fontId="4"/>
  </si>
  <si>
    <t>JPY</t>
    <phoneticPr fontId="3"/>
  </si>
  <si>
    <t>フェルナ</t>
    <phoneticPr fontId="3"/>
  </si>
  <si>
    <t>段の上店</t>
    <rPh sb="0" eb="1">
      <t>ダン</t>
    </rPh>
    <rPh sb="2" eb="3">
      <t>ウエ</t>
    </rPh>
    <rPh sb="3" eb="4">
      <t>テン</t>
    </rPh>
    <phoneticPr fontId="3"/>
  </si>
  <si>
    <t>アオキスーパー</t>
    <phoneticPr fontId="4"/>
  </si>
  <si>
    <t>ピアゴ</t>
    <phoneticPr fontId="4"/>
  </si>
  <si>
    <t>長久手南店</t>
    <phoneticPr fontId="4"/>
  </si>
  <si>
    <t>その他レッド</t>
    <rPh sb="2" eb="3">
      <t>タ</t>
    </rPh>
    <phoneticPr fontId="4"/>
  </si>
  <si>
    <t>カネスエ</t>
    <phoneticPr fontId="4"/>
  </si>
  <si>
    <t>長久手店</t>
    <phoneticPr fontId="4"/>
  </si>
  <si>
    <t>Del Monte</t>
    <phoneticPr fontId="4"/>
  </si>
  <si>
    <t>アピタ</t>
    <phoneticPr fontId="4"/>
  </si>
  <si>
    <t>マックスバリュ</t>
    <phoneticPr fontId="4"/>
  </si>
  <si>
    <t>藤が丘店</t>
    <rPh sb="0" eb="1">
      <t>フジ</t>
    </rPh>
    <rPh sb="2" eb="3">
      <t>オカ</t>
    </rPh>
    <rPh sb="3" eb="4">
      <t>ミセ</t>
    </rPh>
    <phoneticPr fontId="4"/>
  </si>
  <si>
    <t>アオキスーパー</t>
  </si>
  <si>
    <t>カネトク</t>
    <phoneticPr fontId="4"/>
  </si>
  <si>
    <t>長久手店</t>
  </si>
  <si>
    <t>ピアゴ</t>
  </si>
  <si>
    <t>長久手南店</t>
  </si>
  <si>
    <t>ラフランス</t>
    <phoneticPr fontId="4"/>
  </si>
  <si>
    <t>カネスエ</t>
  </si>
  <si>
    <t>カネトク</t>
  </si>
  <si>
    <t>フェルナ</t>
  </si>
  <si>
    <t>アピタ</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</si>
  <si>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</si>
  <si>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</si>
  <si>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09.08.2019</t>
  </si>
  <si>
    <t>コノミヤ</t>
  </si>
  <si>
    <t>深井店</t>
  </si>
  <si>
    <t>上野芝店</t>
  </si>
  <si>
    <t>デイリーカナート</t>
  </si>
  <si>
    <t>向ヶ丘店</t>
  </si>
  <si>
    <t>松源</t>
  </si>
  <si>
    <t>北条店</t>
  </si>
  <si>
    <t>ライフ</t>
  </si>
  <si>
    <t>キンショー</t>
  </si>
  <si>
    <t>東湊店</t>
  </si>
  <si>
    <t>万代</t>
  </si>
  <si>
    <t>イズミヤ</t>
  </si>
  <si>
    <t>泉北店</t>
  </si>
  <si>
    <t>ダイエーグルメシティ</t>
  </si>
  <si>
    <t>津久野店</t>
  </si>
  <si>
    <t>キラキラ</t>
  </si>
  <si>
    <t>グリーンアイ</t>
  </si>
  <si>
    <t>ＪＡ大阪</t>
  </si>
  <si>
    <t>県名</t>
    <phoneticPr fontId="3"/>
  </si>
  <si>
    <t>チェーン名</t>
    <phoneticPr fontId="3"/>
  </si>
  <si>
    <t>品種</t>
    <phoneticPr fontId="3"/>
  </si>
  <si>
    <t>07.08.2019</t>
    <phoneticPr fontId="3"/>
  </si>
  <si>
    <t>福や</t>
  </si>
  <si>
    <t>鉄砲町店</t>
    <rPh sb="3" eb="4">
      <t>テン</t>
    </rPh>
    <phoneticPr fontId="3"/>
  </si>
  <si>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</si>
  <si>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</si>
  <si>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</si>
  <si>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</si>
  <si>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</si>
  <si>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</si>
  <si>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</si>
  <si>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</si>
  <si>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</si>
  <si>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</si>
  <si>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</si>
  <si>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</si>
  <si>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</si>
  <si>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</si>
  <si>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</si>
  <si>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</si>
  <si>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バナナ</t>
    <phoneticPr fontId="4"/>
  </si>
  <si>
    <t>パパイヤ</t>
    <phoneticPr fontId="4"/>
  </si>
  <si>
    <t>びわ</t>
    <phoneticPr fontId="4"/>
  </si>
  <si>
    <t>メロン</t>
    <phoneticPr fontId="4"/>
  </si>
  <si>
    <t>桃</t>
    <phoneticPr fontId="4"/>
  </si>
  <si>
    <t>ブドウ</t>
    <phoneticPr fontId="4"/>
  </si>
  <si>
    <t>りんご</t>
    <phoneticPr fontId="4"/>
  </si>
  <si>
    <t>みかん</t>
    <phoneticPr fontId="4"/>
  </si>
  <si>
    <t>マンゴー</t>
    <phoneticPr fontId="3"/>
  </si>
  <si>
    <t>桃</t>
    <phoneticPr fontId="3"/>
  </si>
  <si>
    <t>店舗名</t>
    <phoneticPr fontId="3"/>
  </si>
  <si>
    <t>08.08.2019</t>
    <phoneticPr fontId="3"/>
  </si>
  <si>
    <t>サミット</t>
  </si>
  <si>
    <t>久が原食品館</t>
  </si>
  <si>
    <t>08.08.2019</t>
  </si>
  <si>
    <t>東急ストア</t>
  </si>
  <si>
    <t>蒲田</t>
  </si>
  <si>
    <t>マルエツ</t>
  </si>
  <si>
    <t>大森西</t>
  </si>
  <si>
    <t>大森</t>
  </si>
  <si>
    <t>カドヤ</t>
  </si>
  <si>
    <t>大井町</t>
  </si>
  <si>
    <t>品川シーサイド</t>
  </si>
  <si>
    <t>大崎ニューシティ</t>
  </si>
  <si>
    <t>販売
ユニット
個数</t>
    <phoneticPr fontId="4"/>
  </si>
  <si>
    <t>U/P JPY</t>
    <phoneticPr fontId="4"/>
  </si>
  <si>
    <t>マルショク</t>
    <phoneticPr fontId="3"/>
  </si>
  <si>
    <t>野間大池</t>
    <rPh sb="0" eb="2">
      <t>ノマ</t>
    </rPh>
    <rPh sb="2" eb="4">
      <t>オオイケ</t>
    </rPh>
    <phoneticPr fontId="3"/>
  </si>
  <si>
    <t>りんご</t>
    <phoneticPr fontId="3"/>
  </si>
  <si>
    <t>JPY</t>
    <phoneticPr fontId="4"/>
  </si>
  <si>
    <t>サニー</t>
  </si>
  <si>
    <t>野間</t>
    <rPh sb="0" eb="2">
      <t>ノマ</t>
    </rPh>
    <phoneticPr fontId="3"/>
  </si>
  <si>
    <t>一般栽培</t>
    <phoneticPr fontId="4"/>
  </si>
  <si>
    <t>マルショク</t>
  </si>
  <si>
    <t>バナナ</t>
    <phoneticPr fontId="3"/>
  </si>
  <si>
    <t>CK</t>
    <phoneticPr fontId="3"/>
  </si>
  <si>
    <t>マミーズ</t>
  </si>
  <si>
    <t>美野島</t>
    <rPh sb="0" eb="1">
      <t>ミ</t>
    </rPh>
    <rPh sb="1" eb="2">
      <t>ノ</t>
    </rPh>
    <rPh sb="2" eb="3">
      <t>シマ</t>
    </rPh>
    <phoneticPr fontId="3"/>
  </si>
  <si>
    <t>福岡</t>
    <rPh sb="0" eb="2">
      <t>フクオカ</t>
    </rPh>
    <phoneticPr fontId="4"/>
  </si>
  <si>
    <t>西鉄ストア</t>
    <rPh sb="0" eb="2">
      <t>ニシテツ</t>
    </rPh>
    <phoneticPr fontId="3"/>
  </si>
  <si>
    <t>高宮</t>
    <rPh sb="0" eb="2">
      <t>タカミヤ</t>
    </rPh>
    <phoneticPr fontId="3"/>
  </si>
  <si>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</si>
  <si>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</si>
  <si>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</si>
  <si>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</si>
  <si>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</si>
  <si>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</si>
  <si>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</si>
  <si>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大橋</t>
    <rPh sb="0" eb="2">
      <t>オオハシ</t>
    </rPh>
    <phoneticPr fontId="3"/>
  </si>
  <si>
    <t>ダイキョーバリュー</t>
  </si>
  <si>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</si>
  <si>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</si>
  <si>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</si>
  <si>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</si>
  <si>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</si>
  <si>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</si>
  <si>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</si>
  <si>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</si>
  <si>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</si>
  <si>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</si>
  <si>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</si>
  <si>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</si>
  <si>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</si>
  <si>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</si>
  <si>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</si>
  <si>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</si>
  <si>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</si>
  <si>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</si>
  <si>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２番人気
果実</t>
    <phoneticPr fontId="3"/>
  </si>
  <si>
    <t>ビッグ・エー</t>
  </si>
  <si>
    <t>江戸川本一色店</t>
  </si>
  <si>
    <t>松江店</t>
  </si>
  <si>
    <t>マックスバリュエクスプレス</t>
  </si>
  <si>
    <t>松島店</t>
    <rPh sb="1" eb="2">
      <t>シマ</t>
    </rPh>
    <phoneticPr fontId="3"/>
  </si>
  <si>
    <t>ヤマイチ</t>
  </si>
  <si>
    <t>中央店</t>
    <rPh sb="0" eb="2">
      <t>チュウオウ</t>
    </rPh>
    <phoneticPr fontId="3"/>
  </si>
  <si>
    <t>コモディイイダ</t>
  </si>
  <si>
    <t>西瑞江店</t>
  </si>
  <si>
    <t>いなげや</t>
  </si>
  <si>
    <t>江戸川春江店</t>
  </si>
  <si>
    <t>鹿骨店</t>
  </si>
  <si>
    <t>東武ストア</t>
  </si>
  <si>
    <t>新小岩店</t>
  </si>
  <si>
    <t>サミットストア</t>
  </si>
  <si>
    <t>江戸川区役所前店</t>
    <rPh sb="0" eb="6">
      <t>エドガワクヤクショ</t>
    </rPh>
    <rPh sb="6" eb="7">
      <t>マエ</t>
    </rPh>
    <rPh sb="7" eb="8">
      <t>ミセ</t>
    </rPh>
    <phoneticPr fontId="3"/>
  </si>
  <si>
    <t>江戸川中央店</t>
  </si>
  <si>
    <t>糖度</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</si>
</sst>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19"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color theme="1"/>
      <name val="ＭＳ Ｐゴシック"/>
      <family val="2"/>
      <scheme val="minor"/>
    </font>
    <font>
      <sz val="11"/>
      <name val="ＭＳ Ｐゴシック"/>
      <family val="3"/>
      <charset val="128"/>
      <scheme val="minor"/>
    </font>
    <font>
      <sz val="10"/>
      <name val="ＭＳ ゴシック"/>
      <family val="3"/>
      <charset val="128"/>
    </font>
    <font>
      <sz val="11"/>
      <color indexed="8"/>
      <name val="ＭＳ Ｐゴシック"/>
      <family val="3"/>
      <charset val="128"/>
    </font>
    <font>
      <sz val="11"/>
      <name val="ＭＳ Ｐゴシック"/>
      <family val="2"/>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auto="1"/>
      </left>
      <right/>
      <top/>
      <bottom/>
      <diagonal/>
    </border>
    <border>
      <left style="hair">
        <color auto="1"/>
      </left>
      <right style="thin">
        <color auto="1"/>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s>
  <cellStyleXfs count="9">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xf numFmtId="0" fontId="14" fillId="0" borderId="0"/>
  </cellStyleXfs>
  <cellXfs count="180">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0" fontId="1" fillId="0" borderId="0" xfId="1"/>
    <xf numFmtId="0" fontId="1" fillId="0" borderId="0" xfId="1" applyFill="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3" borderId="3" xfId="1" applyNumberFormat="1" applyFont="1" applyFill="1" applyBorder="1" applyAlignment="1">
      <alignment horizontal="center" vertical="center" wrapText="1"/>
    </xf>
    <xf numFmtId="49" fontId="5" fillId="0" borderId="3" xfId="1" applyNumberFormat="1" applyFont="1" applyBorder="1" applyAlignment="1">
      <alignment horizontal="center" vertical="center" wrapText="1"/>
    </xf>
    <xf numFmtId="0" fontId="2" fillId="3" borderId="3" xfId="1" applyFont="1" applyFill="1" applyBorder="1" applyAlignment="1">
      <alignment horizontal="center" vertical="center" wrapText="1"/>
    </xf>
    <xf numFmtId="49" fontId="8" fillId="0" borderId="6" xfId="1" applyNumberFormat="1" applyFont="1" applyBorder="1" applyAlignment="1">
      <alignment horizontal="center" vertical="center" wrapText="1"/>
    </xf>
    <xf numFmtId="49" fontId="7" fillId="0" borderId="0" xfId="1" applyNumberFormat="1" applyFont="1" applyAlignment="1">
      <alignment horizontal="center" vertical="center" wrapText="1"/>
    </xf>
    <xf numFmtId="0" fontId="1" fillId="0" borderId="0" xfId="1" applyAlignment="1">
      <alignment horizontal="center"/>
    </xf>
    <xf numFmtId="14" fontId="15" fillId="0" borderId="0" xfId="1" applyNumberFormat="1" applyFont="1" applyAlignment="1">
      <alignment horizontal="right"/>
    </xf>
    <xf numFmtId="0" fontId="10" fillId="0" borderId="7" xfId="1" applyFont="1" applyBorder="1"/>
    <xf numFmtId="0" fontId="16" fillId="0" borderId="22" xfId="2" applyFont="1" applyBorder="1" applyAlignment="1">
      <alignment horizontal="center" vertical="center"/>
    </xf>
    <xf numFmtId="0" fontId="16" fillId="0" borderId="23" xfId="2" applyFont="1" applyBorder="1" applyAlignment="1">
      <alignment horizontal="center" vertical="center"/>
    </xf>
    <xf numFmtId="0" fontId="1" fillId="0" borderId="8"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6" fillId="0" borderId="12" xfId="2" applyFont="1" applyBorder="1" applyAlignment="1">
      <alignment horizontal="center" vertical="center"/>
    </xf>
    <xf numFmtId="178" fontId="1" fillId="3" borderId="0" xfId="1" applyNumberFormat="1" applyFill="1"/>
    <xf numFmtId="0" fontId="1" fillId="0" borderId="18" xfId="1" applyBorder="1"/>
    <xf numFmtId="0" fontId="15" fillId="0" borderId="0" xfId="1" applyFont="1"/>
    <xf numFmtId="178" fontId="1" fillId="2" borderId="0" xfId="1" applyNumberFormat="1" applyFill="1"/>
    <xf numFmtId="0" fontId="15" fillId="0" borderId="0" xfId="2" applyFont="1">
      <alignment vertical="center"/>
    </xf>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49" fontId="7" fillId="0" borderId="5" xfId="1" applyNumberFormat="1" applyFont="1" applyBorder="1" applyAlignment="1">
      <alignment horizontal="center" vertical="center" wrapText="1"/>
    </xf>
    <xf numFmtId="14" fontId="17" fillId="0" borderId="0" xfId="1" applyNumberFormat="1" applyFont="1"/>
    <xf numFmtId="0" fontId="1" fillId="0" borderId="12" xfId="1" applyBorder="1" applyAlignment="1">
      <alignment shrinkToFit="1"/>
    </xf>
    <xf numFmtId="0" fontId="17"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0" fontId="1" fillId="0" borderId="0" xfId="5" applyAlignment="1"/>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Alignment="1"/>
    <xf numFmtId="177" fontId="1" fillId="2" borderId="0" xfId="5" applyNumberFormat="1" applyFill="1" applyAlignment="1"/>
    <xf numFmtId="0" fontId="1" fillId="2" borderId="0" xfId="5"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14" fontId="0" fillId="0" borderId="0" xfId="5" applyNumberFormat="1" applyFont="1" applyAlignment="1"/>
    <xf numFmtId="49" fontId="2" fillId="0" borderId="1" xfId="1" applyNumberFormat="1" applyFont="1" applyBorder="1" applyAlignment="1">
      <alignment horizontal="center" vertical="center" wrapText="1"/>
    </xf>
    <xf numFmtId="49" fontId="2" fillId="0" borderId="4" xfId="1" applyNumberFormat="1" applyFont="1" applyBorder="1" applyAlignment="1">
      <alignment horizontal="center" vertical="center" wrapText="1"/>
    </xf>
    <xf numFmtId="49" fontId="7" fillId="0" borderId="6" xfId="1" applyNumberFormat="1" applyFont="1" applyBorder="1" applyAlignment="1">
      <alignment horizontal="center" vertical="center" wrapText="1"/>
    </xf>
    <xf numFmtId="0" fontId="10" fillId="0" borderId="24" xfId="1" applyFont="1" applyBorder="1" applyAlignment="1">
      <alignment horizontal="left" wrapText="1"/>
    </xf>
    <xf numFmtId="0" fontId="1" fillId="4" borderId="0" xfId="1" applyFill="1"/>
    <xf numFmtId="14" fontId="1" fillId="4" borderId="0" xfId="1" applyNumberFormat="1" applyFill="1"/>
    <xf numFmtId="1" fontId="1" fillId="2" borderId="0" xfId="1" applyNumberFormat="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6" xfId="1" applyFont="1" applyBorder="1"/>
    <xf numFmtId="0" fontId="0" fillId="0" borderId="12" xfId="1" applyFont="1" applyBorder="1"/>
    <xf numFmtId="0" fontId="0" fillId="0" borderId="17" xfId="1" applyFont="1" applyBorder="1"/>
    <xf numFmtId="49" fontId="2" fillId="5" borderId="25" xfId="1" applyNumberFormat="1" applyFont="1" applyFill="1" applyBorder="1" applyAlignment="1">
      <alignment horizontal="center" vertical="center" wrapText="1"/>
    </xf>
    <xf numFmtId="49" fontId="7" fillId="4" borderId="0" xfId="1" applyNumberFormat="1" applyFont="1" applyFill="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6" xfId="1" applyFill="1" applyBorder="1"/>
    <xf numFmtId="14" fontId="0" fillId="4" borderId="27" xfId="1" applyNumberFormat="1" applyFont="1" applyFill="1" applyBorder="1"/>
    <xf numFmtId="0" fontId="1" fillId="4" borderId="28" xfId="1" applyFill="1" applyBorder="1"/>
    <xf numFmtId="0" fontId="1" fillId="4" borderId="29" xfId="1" applyFill="1" applyBorder="1"/>
    <xf numFmtId="0" fontId="1" fillId="4" borderId="30" xfId="1" applyFill="1" applyBorder="1"/>
    <xf numFmtId="0" fontId="1" fillId="4" borderId="31" xfId="1" applyFill="1" applyBorder="1"/>
    <xf numFmtId="0" fontId="1" fillId="4" borderId="32" xfId="1" applyFill="1" applyBorder="1"/>
    <xf numFmtId="178" fontId="1" fillId="3" borderId="29" xfId="1" applyNumberFormat="1" applyFill="1" applyBorder="1"/>
    <xf numFmtId="0" fontId="1" fillId="4" borderId="33" xfId="1" applyFill="1" applyBorder="1"/>
    <xf numFmtId="0" fontId="1" fillId="3" borderId="30" xfId="1" applyFill="1" applyBorder="1"/>
    <xf numFmtId="0" fontId="1" fillId="4" borderId="34" xfId="1" applyFill="1" applyBorder="1"/>
    <xf numFmtId="0" fontId="1" fillId="4" borderId="35" xfId="1" applyFill="1" applyBorder="1"/>
    <xf numFmtId="0" fontId="1" fillId="4" borderId="36" xfId="1" applyFill="1" applyBorder="1"/>
    <xf numFmtId="0" fontId="1" fillId="0" borderId="36" xfId="1" applyBorder="1"/>
    <xf numFmtId="14" fontId="0" fillId="4" borderId="37" xfId="1" applyNumberFormat="1" applyFont="1" applyFill="1" applyBorder="1"/>
    <xf numFmtId="0" fontId="1" fillId="4" borderId="38" xfId="1" applyFill="1" applyBorder="1"/>
    <xf numFmtId="178" fontId="1" fillId="3" borderId="39" xfId="1" applyNumberFormat="1" applyFill="1" applyBorder="1"/>
    <xf numFmtId="0" fontId="1" fillId="0" borderId="40" xfId="1" applyBorder="1"/>
    <xf numFmtId="0" fontId="1" fillId="0" borderId="41" xfId="1" applyBorder="1"/>
    <xf numFmtId="0" fontId="1" fillId="0" borderId="42" xfId="1" applyBorder="1"/>
    <xf numFmtId="0" fontId="1" fillId="4" borderId="43" xfId="1" applyFill="1" applyBorder="1"/>
    <xf numFmtId="0" fontId="1" fillId="4" borderId="12" xfId="1" applyFill="1" applyBorder="1"/>
    <xf numFmtId="0" fontId="1" fillId="0" borderId="44" xfId="1" applyBorder="1"/>
    <xf numFmtId="0" fontId="1" fillId="4" borderId="41" xfId="1" applyFill="1" applyBorder="1"/>
    <xf numFmtId="0" fontId="1" fillId="4" borderId="16" xfId="1" applyFill="1" applyBorder="1"/>
    <xf numFmtId="0" fontId="1" fillId="4" borderId="17" xfId="1" applyFill="1" applyBorder="1"/>
    <xf numFmtId="0" fontId="1" fillId="0" borderId="43" xfId="1" applyBorder="1"/>
    <xf numFmtId="0" fontId="1" fillId="0" borderId="35" xfId="1" applyBorder="1"/>
    <xf numFmtId="14" fontId="0" fillId="0" borderId="0" xfId="1" applyNumberFormat="1" applyFont="1"/>
    <xf numFmtId="14" fontId="17" fillId="0" borderId="0" xfId="1" applyNumberFormat="1" applyFont="1" applyAlignment="1">
      <alignment horizontal="center"/>
    </xf>
    <xf numFmtId="0" fontId="18" fillId="0" borderId="1" xfId="0" applyFont="1" applyBorder="1">
      <alignment vertical="center"/>
    </xf>
    <xf numFmtId="0" fontId="15" fillId="0" borderId="4" xfId="0" applyFont="1" applyBorder="1">
      <alignment vertical="center"/>
    </xf>
    <xf numFmtId="0" fontId="15" fillId="0" borderId="1" xfId="0" applyFont="1" applyBorder="1">
      <alignment vertical="center"/>
    </xf>
    <xf numFmtId="0" fontId="15" fillId="0" borderId="6" xfId="0" applyFont="1" applyBorder="1">
      <alignment vertical="center"/>
    </xf>
    <xf numFmtId="49" fontId="8" fillId="0" borderId="24"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cellXfs>
  <cellStyles count="9">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 name="標準 5" xfId="8" xr:uid="{00000000-0005-0000-0000-000008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20"/>
  <sheetViews>
    <sheetView tabSelected="1" topLeftCell="A19" zoomScale="70" zoomScaleNormal="70" workbookViewId="0">
      <selection activeCell="S68" sqref="S68"/>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156</v>
      </c>
      <c r="B2" s="15" t="s">
        <v>157</v>
      </c>
      <c r="C2" s="15">
        <v>2019</v>
      </c>
      <c r="D2" s="50" t="s">
        <v>167</v>
      </c>
      <c r="E2" s="15" t="s">
        <v>141</v>
      </c>
      <c r="F2" s="15" t="s">
        <v>149</v>
      </c>
      <c r="G2" s="15" t="s">
        <v>36</v>
      </c>
      <c r="H2" s="15" t="s">
        <v>164</v>
      </c>
      <c r="I2" s="15" t="s">
        <v>159</v>
      </c>
      <c r="J2" s="15" t="s">
        <v>38</v>
      </c>
      <c r="K2" s="7" t="s">
        <v>161</v>
      </c>
      <c r="L2" s="7">
        <v>1</v>
      </c>
      <c r="N2" s="47">
        <v>1</v>
      </c>
      <c r="O2" s="15">
        <v>0.75</v>
      </c>
      <c r="P2" s="15">
        <v>0.75</v>
      </c>
      <c r="Q2" s="51">
        <f t="shared" ref="Q2:Q65" si="0">IF(OR(O2="",P2=""),"",AVERAGE(O2,P2))</f>
        <v>0.75</v>
      </c>
      <c r="R2" s="15">
        <v>13.2</v>
      </c>
      <c r="S2" s="15">
        <v>120</v>
      </c>
      <c r="T2" s="38">
        <f t="shared" ref="T2:T59" si="1">IF(H2="","",IF(OR(H2="GREEN",H2="GK"),IF(S2&gt;=$AX$2,VLOOKUP(S2,$AX$2:$AY$12,2,1),""),IF(S2&gt;=$AZ$2,VLOOKUP(S2,$AZ$2:$BA$12,2,1),"")))</f>
        <v>30</v>
      </c>
      <c r="U2" s="15">
        <v>105</v>
      </c>
      <c r="V2" s="38">
        <f t="shared" ref="V2:V65" si="2">IF(OR(N2="",U2="",T2=""),"",U2/N2*T2)</f>
        <v>3150</v>
      </c>
      <c r="W2" s="15">
        <v>4</v>
      </c>
      <c r="X2" s="15" t="s">
        <v>46</v>
      </c>
      <c r="Y2" s="15" t="s">
        <v>88</v>
      </c>
      <c r="Z2" s="15" t="s">
        <v>97</v>
      </c>
      <c r="AA2" s="15" t="s">
        <v>86</v>
      </c>
      <c r="AB2" s="39" t="s">
        <v>158</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156</v>
      </c>
      <c r="B3" s="15" t="s">
        <v>157</v>
      </c>
      <c r="C3" s="15">
        <v>2019</v>
      </c>
      <c r="D3" s="37" t="s">
        <v>166</v>
      </c>
      <c r="E3" s="15" t="s">
        <v>141</v>
      </c>
      <c r="F3" s="7" t="s">
        <v>149</v>
      </c>
      <c r="G3" s="7" t="s">
        <v>36</v>
      </c>
      <c r="H3" s="15" t="s">
        <v>164</v>
      </c>
      <c r="I3" s="7" t="s">
        <v>159</v>
      </c>
      <c r="J3" s="15" t="s">
        <v>38</v>
      </c>
      <c r="K3" s="7" t="s">
        <v>161</v>
      </c>
      <c r="L3" s="7">
        <v>2</v>
      </c>
      <c r="N3" s="7">
        <v>1</v>
      </c>
      <c r="O3" s="34">
        <v>0.8</v>
      </c>
      <c r="P3" s="7">
        <v>0.8</v>
      </c>
      <c r="Q3" s="52">
        <f t="shared" si="0"/>
        <v>0.8</v>
      </c>
      <c r="R3" s="7">
        <v>15.4</v>
      </c>
      <c r="S3" s="7">
        <v>104</v>
      </c>
      <c r="T3" s="16">
        <f t="shared" si="1"/>
        <v>33</v>
      </c>
      <c r="U3" s="15">
        <v>105</v>
      </c>
      <c r="V3" s="16">
        <f t="shared" si="2"/>
        <v>3465</v>
      </c>
      <c r="W3" s="15">
        <v>4</v>
      </c>
      <c r="X3" s="15" t="s">
        <v>46</v>
      </c>
      <c r="Y3" s="15" t="s">
        <v>88</v>
      </c>
      <c r="Z3" s="15" t="s">
        <v>97</v>
      </c>
      <c r="AA3" s="15" t="s">
        <v>86</v>
      </c>
      <c r="AB3" s="39" t="s">
        <v>158</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156</v>
      </c>
      <c r="B4" s="15" t="s">
        <v>157</v>
      </c>
      <c r="C4" s="15">
        <v>2019</v>
      </c>
      <c r="D4" s="37" t="s">
        <v>166</v>
      </c>
      <c r="E4" s="15" t="s">
        <v>141</v>
      </c>
      <c r="F4" s="7" t="s">
        <v>149</v>
      </c>
      <c r="G4" s="7" t="s">
        <v>36</v>
      </c>
      <c r="H4" s="15" t="s">
        <v>164</v>
      </c>
      <c r="I4" s="7" t="s">
        <v>159</v>
      </c>
      <c r="J4" s="15" t="s">
        <v>38</v>
      </c>
      <c r="K4" s="7" t="s">
        <v>161</v>
      </c>
      <c r="L4" s="7">
        <v>3</v>
      </c>
      <c r="N4" s="7">
        <v>1</v>
      </c>
      <c r="O4" s="7">
        <v>0.85</v>
      </c>
      <c r="P4" s="7">
        <v>0.9</v>
      </c>
      <c r="Q4" s="52">
        <f t="shared" si="0"/>
        <v>0.875</v>
      </c>
      <c r="R4" s="7">
        <v>13.2</v>
      </c>
      <c r="S4" s="7">
        <v>119</v>
      </c>
      <c r="T4" s="16">
        <f t="shared" si="1"/>
        <v>30</v>
      </c>
      <c r="U4" s="15">
        <v>105</v>
      </c>
      <c r="V4" s="16">
        <f t="shared" si="2"/>
        <v>3150</v>
      </c>
      <c r="W4" s="15">
        <v>4</v>
      </c>
      <c r="X4" s="15" t="s">
        <v>46</v>
      </c>
      <c r="Y4" s="54" t="s">
        <v>88</v>
      </c>
      <c r="Z4" s="54" t="s">
        <v>97</v>
      </c>
      <c r="AA4" s="54" t="s">
        <v>86</v>
      </c>
      <c r="AB4" s="39" t="s">
        <v>158</v>
      </c>
      <c r="AE4" s="22" t="s">
        <v>34</v>
      </c>
      <c r="AG4" s="49" t="s">
        <v>154</v>
      </c>
      <c r="AH4" s="49" t="s">
        <v>155</v>
      </c>
      <c r="AJ4" s="27" t="s">
        <v>48</v>
      </c>
      <c r="AL4" s="27" t="s">
        <v>129</v>
      </c>
      <c r="AN4" s="28" t="s">
        <v>49</v>
      </c>
      <c r="AP4" s="23" t="s">
        <v>93</v>
      </c>
      <c r="AR4" s="41" t="s">
        <v>121</v>
      </c>
      <c r="AT4" s="28"/>
      <c r="AV4" s="23" t="s">
        <v>50</v>
      </c>
      <c r="AX4" s="24">
        <v>75</v>
      </c>
      <c r="AY4" s="25">
        <v>42</v>
      </c>
      <c r="AZ4" s="25">
        <v>76</v>
      </c>
      <c r="BA4" s="26">
        <v>39</v>
      </c>
    </row>
    <row r="5" spans="1:53" x14ac:dyDescent="0.15">
      <c r="A5" s="15" t="s">
        <v>156</v>
      </c>
      <c r="B5" s="15" t="s">
        <v>157</v>
      </c>
      <c r="C5" s="15">
        <v>2019</v>
      </c>
      <c r="D5" s="37" t="s">
        <v>166</v>
      </c>
      <c r="E5" s="15" t="s">
        <v>141</v>
      </c>
      <c r="F5" s="15" t="s">
        <v>149</v>
      </c>
      <c r="G5" s="7" t="s">
        <v>36</v>
      </c>
      <c r="H5" s="54" t="s">
        <v>164</v>
      </c>
      <c r="I5" s="7" t="s">
        <v>165</v>
      </c>
      <c r="J5" s="15" t="s">
        <v>38</v>
      </c>
      <c r="K5" s="7" t="s">
        <v>161</v>
      </c>
      <c r="L5" s="7">
        <v>1</v>
      </c>
      <c r="N5" s="7">
        <v>4</v>
      </c>
      <c r="O5" s="7">
        <v>0.6</v>
      </c>
      <c r="P5" s="7">
        <v>0.5</v>
      </c>
      <c r="Q5" s="52">
        <f t="shared" si="0"/>
        <v>0.55000000000000004</v>
      </c>
      <c r="R5" s="7">
        <v>14.3</v>
      </c>
      <c r="S5" s="7">
        <v>81</v>
      </c>
      <c r="T5" s="16">
        <f t="shared" si="1"/>
        <v>39</v>
      </c>
      <c r="U5" s="15">
        <v>426</v>
      </c>
      <c r="V5" s="16">
        <f t="shared" si="2"/>
        <v>4153.5</v>
      </c>
      <c r="W5" s="15">
        <v>2</v>
      </c>
      <c r="X5" s="15" t="s">
        <v>46</v>
      </c>
      <c r="Y5" s="54" t="s">
        <v>88</v>
      </c>
      <c r="Z5" s="54" t="s">
        <v>97</v>
      </c>
      <c r="AA5" s="54" t="s">
        <v>86</v>
      </c>
      <c r="AB5" s="39" t="s">
        <v>158</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156</v>
      </c>
      <c r="B6" s="15" t="s">
        <v>157</v>
      </c>
      <c r="C6" s="15">
        <v>2019</v>
      </c>
      <c r="D6" s="37" t="s">
        <v>166</v>
      </c>
      <c r="E6" s="15" t="s">
        <v>141</v>
      </c>
      <c r="F6" s="7" t="s">
        <v>149</v>
      </c>
      <c r="G6" s="7" t="s">
        <v>36</v>
      </c>
      <c r="H6" s="54" t="s">
        <v>164</v>
      </c>
      <c r="I6" s="53" t="s">
        <v>165</v>
      </c>
      <c r="J6" s="15" t="s">
        <v>38</v>
      </c>
      <c r="K6" s="7" t="s">
        <v>161</v>
      </c>
      <c r="L6" s="7">
        <v>2</v>
      </c>
      <c r="N6" s="7">
        <v>4</v>
      </c>
      <c r="O6" s="7">
        <v>0.55000000000000004</v>
      </c>
      <c r="P6" s="7">
        <v>0.5</v>
      </c>
      <c r="Q6" s="52">
        <f t="shared" si="0"/>
        <v>0.52500000000000002</v>
      </c>
      <c r="R6" s="7">
        <v>11.9</v>
      </c>
      <c r="S6" s="7">
        <v>85</v>
      </c>
      <c r="T6" s="16">
        <f t="shared" si="1"/>
        <v>36</v>
      </c>
      <c r="U6" s="15">
        <v>426</v>
      </c>
      <c r="V6" s="16">
        <f t="shared" si="2"/>
        <v>3834</v>
      </c>
      <c r="W6" s="15">
        <v>2</v>
      </c>
      <c r="X6" s="15" t="s">
        <v>46</v>
      </c>
      <c r="Y6" s="54" t="s">
        <v>88</v>
      </c>
      <c r="Z6" s="54" t="s">
        <v>97</v>
      </c>
      <c r="AA6" s="54" t="s">
        <v>86</v>
      </c>
      <c r="AB6" s="39" t="s">
        <v>158</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156</v>
      </c>
      <c r="B7" s="15" t="s">
        <v>157</v>
      </c>
      <c r="C7" s="15">
        <v>2019</v>
      </c>
      <c r="D7" s="37" t="s">
        <v>166</v>
      </c>
      <c r="E7" s="15" t="s">
        <v>141</v>
      </c>
      <c r="F7" s="7" t="s">
        <v>149</v>
      </c>
      <c r="G7" s="7" t="s">
        <v>36</v>
      </c>
      <c r="H7" s="54" t="s">
        <v>164</v>
      </c>
      <c r="I7" s="53" t="s">
        <v>165</v>
      </c>
      <c r="J7" s="15" t="s">
        <v>38</v>
      </c>
      <c r="K7" s="7" t="s">
        <v>161</v>
      </c>
      <c r="L7" s="7">
        <v>3</v>
      </c>
      <c r="N7" s="7">
        <v>4</v>
      </c>
      <c r="O7" s="7">
        <v>0.5</v>
      </c>
      <c r="P7" s="7">
        <v>0.55000000000000004</v>
      </c>
      <c r="Q7" s="52">
        <f t="shared" si="0"/>
        <v>0.52500000000000002</v>
      </c>
      <c r="R7" s="34">
        <v>12.9</v>
      </c>
      <c r="S7" s="7">
        <v>89</v>
      </c>
      <c r="T7" s="16">
        <f t="shared" si="1"/>
        <v>36</v>
      </c>
      <c r="U7" s="15">
        <v>426</v>
      </c>
      <c r="V7" s="16">
        <f t="shared" si="2"/>
        <v>3834</v>
      </c>
      <c r="W7" s="15">
        <v>2</v>
      </c>
      <c r="X7" s="15" t="s">
        <v>46</v>
      </c>
      <c r="Y7" s="54" t="s">
        <v>88</v>
      </c>
      <c r="Z7" s="54" t="s">
        <v>97</v>
      </c>
      <c r="AA7" s="54" t="s">
        <v>86</v>
      </c>
      <c r="AB7" s="39" t="s">
        <v>158</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156</v>
      </c>
      <c r="B8" s="15" t="s">
        <v>157</v>
      </c>
      <c r="C8" s="15">
        <v>2019</v>
      </c>
      <c r="D8" s="37" t="s">
        <v>166</v>
      </c>
      <c r="E8" s="15" t="s">
        <v>141</v>
      </c>
      <c r="F8" s="7" t="s">
        <v>149</v>
      </c>
      <c r="G8" s="7" t="s">
        <v>36</v>
      </c>
      <c r="H8" s="15" t="s">
        <v>160</v>
      </c>
      <c r="I8" s="7" t="s">
        <v>159</v>
      </c>
      <c r="J8" s="15" t="s">
        <v>38</v>
      </c>
      <c r="K8" s="7" t="s">
        <v>161</v>
      </c>
      <c r="L8" s="7">
        <v>1</v>
      </c>
      <c r="N8" s="7">
        <v>1</v>
      </c>
      <c r="O8" s="7">
        <v>0.7</v>
      </c>
      <c r="P8" s="7">
        <v>0.7</v>
      </c>
      <c r="Q8" s="52">
        <f t="shared" si="0"/>
        <v>0.7</v>
      </c>
      <c r="R8" s="34">
        <v>14.8</v>
      </c>
      <c r="S8" s="7">
        <v>129</v>
      </c>
      <c r="T8" s="16">
        <f t="shared" si="1"/>
        <v>25</v>
      </c>
      <c r="U8" s="15">
        <v>135</v>
      </c>
      <c r="V8" s="16">
        <f t="shared" si="2"/>
        <v>3375</v>
      </c>
      <c r="W8" s="15">
        <v>6</v>
      </c>
      <c r="X8" s="15" t="s">
        <v>46</v>
      </c>
      <c r="Y8" s="54" t="s">
        <v>88</v>
      </c>
      <c r="Z8" s="54" t="s">
        <v>97</v>
      </c>
      <c r="AA8" s="54" t="s">
        <v>86</v>
      </c>
      <c r="AB8" s="39" t="s">
        <v>158</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156</v>
      </c>
      <c r="B9" s="15" t="s">
        <v>157</v>
      </c>
      <c r="C9" s="15">
        <v>2019</v>
      </c>
      <c r="D9" s="37" t="s">
        <v>166</v>
      </c>
      <c r="E9" s="15" t="s">
        <v>141</v>
      </c>
      <c r="F9" s="7" t="s">
        <v>149</v>
      </c>
      <c r="G9" s="7" t="s">
        <v>36</v>
      </c>
      <c r="H9" s="54" t="s">
        <v>160</v>
      </c>
      <c r="I9" s="7" t="s">
        <v>159</v>
      </c>
      <c r="J9" s="15" t="s">
        <v>38</v>
      </c>
      <c r="K9" s="7" t="s">
        <v>161</v>
      </c>
      <c r="L9" s="7">
        <v>2</v>
      </c>
      <c r="N9" s="7">
        <v>1</v>
      </c>
      <c r="O9" s="7">
        <v>0.8</v>
      </c>
      <c r="P9" s="7">
        <v>0.95</v>
      </c>
      <c r="Q9" s="52">
        <f t="shared" si="0"/>
        <v>0.875</v>
      </c>
      <c r="R9" s="7">
        <v>13</v>
      </c>
      <c r="S9" s="7">
        <v>137</v>
      </c>
      <c r="T9" s="16">
        <f t="shared" si="1"/>
        <v>25</v>
      </c>
      <c r="U9" s="15">
        <v>135</v>
      </c>
      <c r="V9" s="16">
        <f t="shared" si="2"/>
        <v>3375</v>
      </c>
      <c r="W9" s="15">
        <v>6</v>
      </c>
      <c r="X9" s="15" t="s">
        <v>46</v>
      </c>
      <c r="Y9" s="54" t="s">
        <v>88</v>
      </c>
      <c r="Z9" s="54" t="s">
        <v>97</v>
      </c>
      <c r="AA9" s="54" t="s">
        <v>86</v>
      </c>
      <c r="AB9" s="39" t="s">
        <v>158</v>
      </c>
      <c r="AE9" s="22" t="s">
        <v>98</v>
      </c>
      <c r="AG9" s="49" t="s">
        <v>133</v>
      </c>
      <c r="AH9" s="49" t="s">
        <v>150</v>
      </c>
      <c r="AL9" s="34"/>
      <c r="AP9" s="23" t="s">
        <v>95</v>
      </c>
      <c r="AR9" s="30" t="s">
        <v>89</v>
      </c>
      <c r="AV9" s="23" t="s">
        <v>102</v>
      </c>
      <c r="AX9" s="24">
        <v>128</v>
      </c>
      <c r="AY9" s="25">
        <v>27</v>
      </c>
      <c r="AZ9" s="25">
        <v>129</v>
      </c>
      <c r="BA9" s="26">
        <v>25</v>
      </c>
    </row>
    <row r="10" spans="1:53" x14ac:dyDescent="0.15">
      <c r="A10" s="15" t="s">
        <v>156</v>
      </c>
      <c r="B10" s="15" t="s">
        <v>157</v>
      </c>
      <c r="C10" s="15">
        <v>2019</v>
      </c>
      <c r="D10" s="37" t="s">
        <v>166</v>
      </c>
      <c r="E10" s="15" t="s">
        <v>141</v>
      </c>
      <c r="F10" s="7" t="s">
        <v>149</v>
      </c>
      <c r="G10" s="7" t="s">
        <v>36</v>
      </c>
      <c r="H10" s="54" t="s">
        <v>160</v>
      </c>
      <c r="I10" s="7" t="s">
        <v>159</v>
      </c>
      <c r="J10" s="15" t="s">
        <v>38</v>
      </c>
      <c r="K10" s="7" t="s">
        <v>161</v>
      </c>
      <c r="L10" s="7">
        <v>3</v>
      </c>
      <c r="N10" s="7">
        <v>1</v>
      </c>
      <c r="O10" s="7">
        <v>0.65</v>
      </c>
      <c r="P10" s="7">
        <v>0.75</v>
      </c>
      <c r="Q10" s="52">
        <f t="shared" si="0"/>
        <v>0.7</v>
      </c>
      <c r="R10" s="7">
        <v>14.5</v>
      </c>
      <c r="S10" s="7">
        <v>133</v>
      </c>
      <c r="T10" s="16">
        <f t="shared" si="1"/>
        <v>25</v>
      </c>
      <c r="U10" s="15">
        <v>135</v>
      </c>
      <c r="V10" s="16">
        <f t="shared" si="2"/>
        <v>3375</v>
      </c>
      <c r="W10" s="15">
        <v>6</v>
      </c>
      <c r="X10" s="15" t="s">
        <v>46</v>
      </c>
      <c r="Y10" s="54" t="s">
        <v>88</v>
      </c>
      <c r="Z10" s="54" t="s">
        <v>97</v>
      </c>
      <c r="AA10" s="54" t="s">
        <v>86</v>
      </c>
      <c r="AB10" s="39" t="s">
        <v>158</v>
      </c>
      <c r="AE10" s="22" t="s">
        <v>103</v>
      </c>
      <c r="AG10" s="49" t="s">
        <v>142</v>
      </c>
      <c r="AH10" s="49" t="s">
        <v>151</v>
      </c>
      <c r="AP10" s="23" t="s">
        <v>100</v>
      </c>
      <c r="AR10" s="30" t="s">
        <v>123</v>
      </c>
      <c r="AV10" s="23" t="s">
        <v>106</v>
      </c>
      <c r="AX10" s="24">
        <v>138</v>
      </c>
      <c r="AY10" s="25">
        <v>25</v>
      </c>
      <c r="AZ10" s="25">
        <v>138</v>
      </c>
      <c r="BA10" s="26">
        <v>22</v>
      </c>
    </row>
    <row r="11" spans="1:53" x14ac:dyDescent="0.15">
      <c r="A11" s="15" t="s">
        <v>156</v>
      </c>
      <c r="B11" s="15" t="s">
        <v>157</v>
      </c>
      <c r="C11" s="15">
        <v>2019</v>
      </c>
      <c r="D11" s="37" t="s">
        <v>166</v>
      </c>
      <c r="E11" s="15" t="s">
        <v>141</v>
      </c>
      <c r="F11" s="7" t="s">
        <v>149</v>
      </c>
      <c r="G11" s="7" t="s">
        <v>36</v>
      </c>
      <c r="H11" s="15" t="s">
        <v>160</v>
      </c>
      <c r="I11" s="7" t="s">
        <v>165</v>
      </c>
      <c r="J11" s="15" t="s">
        <v>38</v>
      </c>
      <c r="K11" s="7" t="s">
        <v>161</v>
      </c>
      <c r="L11" s="7">
        <v>1</v>
      </c>
      <c r="N11" s="7">
        <v>4</v>
      </c>
      <c r="O11" s="7">
        <v>0.65</v>
      </c>
      <c r="P11" s="7">
        <v>0.6</v>
      </c>
      <c r="Q11" s="52">
        <f t="shared" si="0"/>
        <v>0.625</v>
      </c>
      <c r="R11" s="7">
        <v>15.1</v>
      </c>
      <c r="S11" s="7">
        <v>94</v>
      </c>
      <c r="T11" s="16">
        <f t="shared" si="1"/>
        <v>36</v>
      </c>
      <c r="U11" s="7">
        <v>534</v>
      </c>
      <c r="V11" s="16">
        <f t="shared" si="2"/>
        <v>4806</v>
      </c>
      <c r="W11" s="7">
        <v>2</v>
      </c>
      <c r="X11" s="15" t="s">
        <v>46</v>
      </c>
      <c r="Y11" s="54" t="s">
        <v>88</v>
      </c>
      <c r="Z11" s="54" t="s">
        <v>97</v>
      </c>
      <c r="AA11" s="54" t="s">
        <v>86</v>
      </c>
      <c r="AB11" s="39" t="s">
        <v>158</v>
      </c>
      <c r="AE11" s="22" t="s">
        <v>65</v>
      </c>
      <c r="AG11" s="49" t="s">
        <v>143</v>
      </c>
      <c r="AH11" s="49" t="s">
        <v>152</v>
      </c>
      <c r="AP11" s="23" t="s">
        <v>104</v>
      </c>
      <c r="AR11" s="30" t="s">
        <v>87</v>
      </c>
      <c r="AV11" s="23" t="s">
        <v>69</v>
      </c>
      <c r="AX11" s="24">
        <v>151</v>
      </c>
      <c r="AY11" s="25">
        <v>22</v>
      </c>
      <c r="AZ11" s="25">
        <v>152</v>
      </c>
      <c r="BA11" s="26">
        <v>18</v>
      </c>
    </row>
    <row r="12" spans="1:53" x14ac:dyDescent="0.15">
      <c r="A12" s="15" t="s">
        <v>156</v>
      </c>
      <c r="B12" s="15" t="s">
        <v>157</v>
      </c>
      <c r="C12" s="15">
        <v>2019</v>
      </c>
      <c r="D12" s="37" t="s">
        <v>166</v>
      </c>
      <c r="E12" s="15" t="s">
        <v>141</v>
      </c>
      <c r="F12" s="7" t="s">
        <v>149</v>
      </c>
      <c r="G12" s="7" t="s">
        <v>36</v>
      </c>
      <c r="H12" s="54" t="s">
        <v>160</v>
      </c>
      <c r="I12" s="53" t="s">
        <v>165</v>
      </c>
      <c r="J12" s="15" t="s">
        <v>38</v>
      </c>
      <c r="K12" s="7" t="s">
        <v>161</v>
      </c>
      <c r="L12" s="7">
        <v>2</v>
      </c>
      <c r="N12" s="7">
        <v>4</v>
      </c>
      <c r="O12" s="7">
        <v>0.7</v>
      </c>
      <c r="P12" s="7">
        <v>0.8</v>
      </c>
      <c r="Q12" s="52">
        <f t="shared" si="0"/>
        <v>0.75</v>
      </c>
      <c r="R12" s="34">
        <v>14.2</v>
      </c>
      <c r="S12" s="7">
        <v>95</v>
      </c>
      <c r="T12" s="16">
        <f t="shared" si="1"/>
        <v>36</v>
      </c>
      <c r="U12" s="7">
        <v>534</v>
      </c>
      <c r="V12" s="16">
        <f t="shared" si="2"/>
        <v>4806</v>
      </c>
      <c r="W12" s="7">
        <v>2</v>
      </c>
      <c r="X12" s="15" t="s">
        <v>46</v>
      </c>
      <c r="Y12" s="54" t="s">
        <v>88</v>
      </c>
      <c r="Z12" s="54" t="s">
        <v>97</v>
      </c>
      <c r="AA12" s="54" t="s">
        <v>86</v>
      </c>
      <c r="AB12" s="39" t="s">
        <v>158</v>
      </c>
      <c r="AE12" s="22" t="s">
        <v>70</v>
      </c>
      <c r="AG12" s="40"/>
      <c r="AH12" s="40"/>
      <c r="AP12" s="23" t="s">
        <v>67</v>
      </c>
      <c r="AR12" s="30" t="s">
        <v>124</v>
      </c>
      <c r="AV12" s="23" t="s">
        <v>72</v>
      </c>
      <c r="AX12" s="31">
        <v>180</v>
      </c>
      <c r="AY12" s="32">
        <v>18</v>
      </c>
      <c r="AZ12" s="32">
        <v>181</v>
      </c>
      <c r="BA12" s="33">
        <v>16</v>
      </c>
    </row>
    <row r="13" spans="1:53" x14ac:dyDescent="0.15">
      <c r="A13" s="15" t="s">
        <v>156</v>
      </c>
      <c r="B13" s="15" t="s">
        <v>157</v>
      </c>
      <c r="C13" s="15">
        <v>2019</v>
      </c>
      <c r="D13" s="37" t="s">
        <v>166</v>
      </c>
      <c r="E13" s="15" t="s">
        <v>141</v>
      </c>
      <c r="F13" s="7" t="s">
        <v>149</v>
      </c>
      <c r="G13" s="7" t="s">
        <v>36</v>
      </c>
      <c r="H13" s="54" t="s">
        <v>160</v>
      </c>
      <c r="I13" s="53" t="s">
        <v>165</v>
      </c>
      <c r="J13" s="15" t="s">
        <v>38</v>
      </c>
      <c r="K13" s="7" t="s">
        <v>161</v>
      </c>
      <c r="L13" s="7">
        <v>3</v>
      </c>
      <c r="N13" s="7">
        <v>4</v>
      </c>
      <c r="O13" s="7">
        <v>0.65</v>
      </c>
      <c r="P13" s="7">
        <v>0.8</v>
      </c>
      <c r="Q13" s="52">
        <f t="shared" si="0"/>
        <v>0.72500000000000009</v>
      </c>
      <c r="R13" s="7">
        <v>14.8</v>
      </c>
      <c r="S13" s="7">
        <v>103</v>
      </c>
      <c r="T13" s="16">
        <f t="shared" si="1"/>
        <v>33</v>
      </c>
      <c r="U13" s="7">
        <v>534</v>
      </c>
      <c r="V13" s="16">
        <f t="shared" si="2"/>
        <v>4405.5</v>
      </c>
      <c r="W13" s="7">
        <v>2</v>
      </c>
      <c r="X13" s="15" t="s">
        <v>46</v>
      </c>
      <c r="Y13" s="54" t="s">
        <v>88</v>
      </c>
      <c r="Z13" s="54" t="s">
        <v>97</v>
      </c>
      <c r="AA13" s="54" t="s">
        <v>86</v>
      </c>
      <c r="AB13" s="39" t="s">
        <v>158</v>
      </c>
      <c r="AE13" s="22" t="s">
        <v>73</v>
      </c>
      <c r="AG13" s="23"/>
      <c r="AH13" s="23"/>
      <c r="AP13" s="23" t="s">
        <v>71</v>
      </c>
      <c r="AR13" s="30" t="s">
        <v>103</v>
      </c>
      <c r="AV13" s="23" t="s">
        <v>75</v>
      </c>
    </row>
    <row r="14" spans="1:53" x14ac:dyDescent="0.15">
      <c r="A14" s="15" t="s">
        <v>156</v>
      </c>
      <c r="B14" s="15" t="s">
        <v>157</v>
      </c>
      <c r="C14" s="15">
        <v>2019</v>
      </c>
      <c r="D14" s="37" t="s">
        <v>166</v>
      </c>
      <c r="E14" s="15" t="s">
        <v>133</v>
      </c>
      <c r="F14" s="7" t="s">
        <v>150</v>
      </c>
      <c r="G14" s="7" t="s">
        <v>36</v>
      </c>
      <c r="H14" s="15" t="s">
        <v>164</v>
      </c>
      <c r="I14" s="7" t="s">
        <v>159</v>
      </c>
      <c r="J14" s="15" t="s">
        <v>38</v>
      </c>
      <c r="K14" s="7" t="s">
        <v>161</v>
      </c>
      <c r="L14" s="7">
        <v>1</v>
      </c>
      <c r="N14" s="53">
        <v>1</v>
      </c>
      <c r="O14" s="7">
        <v>0.7</v>
      </c>
      <c r="P14" s="7">
        <v>0.8</v>
      </c>
      <c r="Q14" s="52">
        <f t="shared" si="0"/>
        <v>0.75</v>
      </c>
      <c r="R14" s="7">
        <v>13.9</v>
      </c>
      <c r="S14" s="7">
        <v>121</v>
      </c>
      <c r="T14" s="16">
        <f t="shared" si="1"/>
        <v>27</v>
      </c>
      <c r="U14" s="7">
        <v>98</v>
      </c>
      <c r="V14" s="16">
        <f t="shared" si="2"/>
        <v>2646</v>
      </c>
      <c r="W14" s="7">
        <v>10</v>
      </c>
      <c r="X14" s="15" t="s">
        <v>46</v>
      </c>
      <c r="Y14" s="54" t="s">
        <v>86</v>
      </c>
      <c r="Z14" s="54" t="s">
        <v>97</v>
      </c>
      <c r="AA14" s="54" t="s">
        <v>55</v>
      </c>
      <c r="AB14" s="39" t="s">
        <v>158</v>
      </c>
      <c r="AE14" s="22" t="s">
        <v>76</v>
      </c>
      <c r="AG14" s="23"/>
      <c r="AH14" s="23"/>
      <c r="AP14" s="23" t="s">
        <v>74</v>
      </c>
      <c r="AR14" s="30" t="s">
        <v>125</v>
      </c>
      <c r="AV14" s="23" t="s">
        <v>78</v>
      </c>
    </row>
    <row r="15" spans="1:53" x14ac:dyDescent="0.15">
      <c r="A15" s="15" t="s">
        <v>156</v>
      </c>
      <c r="B15" s="15" t="s">
        <v>157</v>
      </c>
      <c r="C15" s="15">
        <v>2019</v>
      </c>
      <c r="D15" s="37" t="s">
        <v>166</v>
      </c>
      <c r="E15" s="15" t="s">
        <v>133</v>
      </c>
      <c r="F15" s="7" t="s">
        <v>150</v>
      </c>
      <c r="G15" s="7" t="s">
        <v>36</v>
      </c>
      <c r="H15" s="15" t="s">
        <v>164</v>
      </c>
      <c r="I15" s="7" t="s">
        <v>159</v>
      </c>
      <c r="J15" s="15" t="s">
        <v>38</v>
      </c>
      <c r="K15" s="7" t="s">
        <v>161</v>
      </c>
      <c r="L15" s="7">
        <v>2</v>
      </c>
      <c r="N15" s="53">
        <v>1</v>
      </c>
      <c r="O15" s="7">
        <v>0.8</v>
      </c>
      <c r="P15" s="7">
        <v>0.9</v>
      </c>
      <c r="Q15" s="52">
        <f t="shared" si="0"/>
        <v>0.85000000000000009</v>
      </c>
      <c r="R15" s="7">
        <v>13.8</v>
      </c>
      <c r="S15" s="7">
        <v>123</v>
      </c>
      <c r="T15" s="16">
        <f t="shared" si="1"/>
        <v>27</v>
      </c>
      <c r="U15" s="7">
        <v>98</v>
      </c>
      <c r="V15" s="16">
        <f t="shared" si="2"/>
        <v>2646</v>
      </c>
      <c r="W15" s="7">
        <v>10</v>
      </c>
      <c r="X15" s="15" t="s">
        <v>46</v>
      </c>
      <c r="Y15" s="54" t="s">
        <v>86</v>
      </c>
      <c r="Z15" s="54" t="s">
        <v>97</v>
      </c>
      <c r="AA15" s="54" t="s">
        <v>55</v>
      </c>
      <c r="AB15" s="39" t="s">
        <v>158</v>
      </c>
      <c r="AE15" s="22" t="s">
        <v>79</v>
      </c>
      <c r="AG15" s="23"/>
      <c r="AH15" s="23"/>
      <c r="AP15" s="23" t="s">
        <v>77</v>
      </c>
      <c r="AR15" s="30" t="s">
        <v>94</v>
      </c>
      <c r="AV15" s="23" t="s">
        <v>107</v>
      </c>
    </row>
    <row r="16" spans="1:53" x14ac:dyDescent="0.15">
      <c r="A16" s="15" t="s">
        <v>156</v>
      </c>
      <c r="B16" s="15" t="s">
        <v>157</v>
      </c>
      <c r="C16" s="15">
        <v>2019</v>
      </c>
      <c r="D16" s="37" t="s">
        <v>166</v>
      </c>
      <c r="E16" s="15" t="s">
        <v>133</v>
      </c>
      <c r="F16" s="7" t="s">
        <v>150</v>
      </c>
      <c r="G16" s="7" t="s">
        <v>36</v>
      </c>
      <c r="H16" s="15" t="s">
        <v>164</v>
      </c>
      <c r="I16" s="7" t="s">
        <v>159</v>
      </c>
      <c r="J16" s="15" t="s">
        <v>38</v>
      </c>
      <c r="K16" s="7" t="s">
        <v>161</v>
      </c>
      <c r="L16" s="7">
        <v>3</v>
      </c>
      <c r="N16" s="53">
        <v>1</v>
      </c>
      <c r="O16" s="7">
        <v>0.55000000000000004</v>
      </c>
      <c r="P16" s="7">
        <v>0.55000000000000004</v>
      </c>
      <c r="Q16" s="52">
        <f t="shared" si="0"/>
        <v>0.55000000000000004</v>
      </c>
      <c r="R16" s="7">
        <v>13.7</v>
      </c>
      <c r="S16" s="7">
        <v>117</v>
      </c>
      <c r="T16" s="16">
        <f t="shared" si="1"/>
        <v>30</v>
      </c>
      <c r="U16" s="7">
        <v>98</v>
      </c>
      <c r="V16" s="16">
        <f t="shared" si="2"/>
        <v>2940</v>
      </c>
      <c r="W16" s="7">
        <v>10</v>
      </c>
      <c r="X16" s="15" t="s">
        <v>46</v>
      </c>
      <c r="Y16" s="54" t="s">
        <v>86</v>
      </c>
      <c r="Z16" s="54" t="s">
        <v>97</v>
      </c>
      <c r="AA16" s="54" t="s">
        <v>55</v>
      </c>
      <c r="AB16" s="39" t="s">
        <v>158</v>
      </c>
      <c r="AE16" s="22" t="s">
        <v>82</v>
      </c>
      <c r="AG16" s="28"/>
      <c r="AH16" s="28"/>
      <c r="AP16" s="23" t="s">
        <v>80</v>
      </c>
      <c r="AR16" s="41" t="s">
        <v>63</v>
      </c>
      <c r="AV16" s="23" t="s">
        <v>84</v>
      </c>
    </row>
    <row r="17" spans="1:48" x14ac:dyDescent="0.15">
      <c r="A17" s="15" t="s">
        <v>156</v>
      </c>
      <c r="B17" s="15" t="s">
        <v>157</v>
      </c>
      <c r="C17" s="15">
        <v>2019</v>
      </c>
      <c r="D17" s="37" t="s">
        <v>166</v>
      </c>
      <c r="E17" s="15" t="s">
        <v>133</v>
      </c>
      <c r="F17" s="7" t="s">
        <v>150</v>
      </c>
      <c r="G17" s="7" t="s">
        <v>36</v>
      </c>
      <c r="H17" s="15" t="s">
        <v>160</v>
      </c>
      <c r="I17" s="7" t="s">
        <v>159</v>
      </c>
      <c r="J17" s="15" t="s">
        <v>38</v>
      </c>
      <c r="K17" s="7" t="s">
        <v>161</v>
      </c>
      <c r="L17" s="7">
        <v>1</v>
      </c>
      <c r="N17" s="7">
        <v>1</v>
      </c>
      <c r="O17" s="7">
        <v>1.1499999999999999</v>
      </c>
      <c r="P17" s="7">
        <v>1.05</v>
      </c>
      <c r="Q17" s="52">
        <f t="shared" si="0"/>
        <v>1.1000000000000001</v>
      </c>
      <c r="R17" s="7">
        <v>14.8</v>
      </c>
      <c r="S17" s="7">
        <v>119</v>
      </c>
      <c r="T17" s="16">
        <f t="shared" si="1"/>
        <v>30</v>
      </c>
      <c r="U17" s="7">
        <v>98</v>
      </c>
      <c r="V17" s="16">
        <f t="shared" si="2"/>
        <v>2940</v>
      </c>
      <c r="W17" s="7">
        <v>10</v>
      </c>
      <c r="X17" s="15" t="s">
        <v>46</v>
      </c>
      <c r="Y17" s="54" t="s">
        <v>86</v>
      </c>
      <c r="Z17" s="54" t="s">
        <v>97</v>
      </c>
      <c r="AA17" s="54" t="s">
        <v>55</v>
      </c>
      <c r="AB17" s="39" t="s">
        <v>158</v>
      </c>
      <c r="AE17" s="22" t="s">
        <v>85</v>
      </c>
      <c r="AP17" s="43" t="s">
        <v>110</v>
      </c>
      <c r="AR17" s="41" t="s">
        <v>96</v>
      </c>
      <c r="AV17" s="23" t="s">
        <v>86</v>
      </c>
    </row>
    <row r="18" spans="1:48" x14ac:dyDescent="0.15">
      <c r="A18" s="15" t="s">
        <v>156</v>
      </c>
      <c r="B18" s="15" t="s">
        <v>157</v>
      </c>
      <c r="C18" s="15">
        <v>2019</v>
      </c>
      <c r="D18" s="37" t="s">
        <v>166</v>
      </c>
      <c r="E18" s="15" t="s">
        <v>133</v>
      </c>
      <c r="F18" s="7" t="s">
        <v>150</v>
      </c>
      <c r="G18" s="7" t="s">
        <v>36</v>
      </c>
      <c r="H18" s="15" t="s">
        <v>160</v>
      </c>
      <c r="I18" s="7" t="s">
        <v>159</v>
      </c>
      <c r="J18" s="15" t="s">
        <v>38</v>
      </c>
      <c r="K18" s="7" t="s">
        <v>161</v>
      </c>
      <c r="L18" s="7">
        <v>2</v>
      </c>
      <c r="N18" s="7">
        <v>1</v>
      </c>
      <c r="O18" s="7">
        <v>1.1000000000000001</v>
      </c>
      <c r="P18" s="7">
        <v>1</v>
      </c>
      <c r="Q18" s="52">
        <f t="shared" si="0"/>
        <v>1.05</v>
      </c>
      <c r="R18" s="7">
        <v>16.2</v>
      </c>
      <c r="S18" s="7">
        <v>124</v>
      </c>
      <c r="T18" s="16">
        <f t="shared" si="1"/>
        <v>27</v>
      </c>
      <c r="U18" s="7">
        <v>98</v>
      </c>
      <c r="V18" s="16">
        <f t="shared" si="2"/>
        <v>2646</v>
      </c>
      <c r="W18" s="7">
        <v>10</v>
      </c>
      <c r="X18" s="15" t="s">
        <v>46</v>
      </c>
      <c r="Y18" s="54" t="s">
        <v>86</v>
      </c>
      <c r="Z18" s="54" t="s">
        <v>97</v>
      </c>
      <c r="AA18" s="54" t="s">
        <v>55</v>
      </c>
      <c r="AB18" s="39" t="s">
        <v>158</v>
      </c>
      <c r="AE18" s="22" t="s">
        <v>87</v>
      </c>
      <c r="AP18" s="43" t="s">
        <v>111</v>
      </c>
      <c r="AR18" s="41" t="s">
        <v>101</v>
      </c>
      <c r="AV18" s="23" t="s">
        <v>88</v>
      </c>
    </row>
    <row r="19" spans="1:48" x14ac:dyDescent="0.15">
      <c r="A19" s="15" t="s">
        <v>156</v>
      </c>
      <c r="B19" s="15" t="s">
        <v>157</v>
      </c>
      <c r="C19" s="15">
        <v>2019</v>
      </c>
      <c r="D19" s="37" t="s">
        <v>166</v>
      </c>
      <c r="E19" s="15" t="s">
        <v>133</v>
      </c>
      <c r="F19" s="7" t="s">
        <v>150</v>
      </c>
      <c r="G19" s="7" t="s">
        <v>36</v>
      </c>
      <c r="H19" s="15" t="s">
        <v>160</v>
      </c>
      <c r="I19" s="7" t="s">
        <v>159</v>
      </c>
      <c r="J19" s="15" t="s">
        <v>38</v>
      </c>
      <c r="K19" s="7" t="s">
        <v>161</v>
      </c>
      <c r="L19" s="7">
        <v>3</v>
      </c>
      <c r="N19" s="7">
        <v>1</v>
      </c>
      <c r="O19" s="7">
        <v>0.9</v>
      </c>
      <c r="P19" s="7">
        <v>0.85</v>
      </c>
      <c r="Q19" s="52">
        <f t="shared" si="0"/>
        <v>0.875</v>
      </c>
      <c r="R19" s="7">
        <v>15</v>
      </c>
      <c r="S19" s="7">
        <v>118</v>
      </c>
      <c r="T19" s="16">
        <f t="shared" si="1"/>
        <v>30</v>
      </c>
      <c r="U19" s="7">
        <v>98</v>
      </c>
      <c r="V19" s="16">
        <f t="shared" si="2"/>
        <v>2940</v>
      </c>
      <c r="W19" s="7">
        <v>10</v>
      </c>
      <c r="X19" s="15" t="s">
        <v>46</v>
      </c>
      <c r="Y19" s="54" t="s">
        <v>86</v>
      </c>
      <c r="Z19" s="54" t="s">
        <v>97</v>
      </c>
      <c r="AA19" s="54" t="s">
        <v>55</v>
      </c>
      <c r="AB19" s="39" t="s">
        <v>158</v>
      </c>
      <c r="AE19" s="35" t="s">
        <v>89</v>
      </c>
      <c r="AP19" s="43" t="s">
        <v>112</v>
      </c>
      <c r="AR19" s="30" t="s">
        <v>126</v>
      </c>
      <c r="AV19" s="23" t="s">
        <v>90</v>
      </c>
    </row>
    <row r="20" spans="1:48" x14ac:dyDescent="0.15">
      <c r="A20" s="15" t="s">
        <v>156</v>
      </c>
      <c r="B20" s="15" t="s">
        <v>157</v>
      </c>
      <c r="C20" s="15">
        <v>2019</v>
      </c>
      <c r="D20" s="37" t="s">
        <v>166</v>
      </c>
      <c r="E20" s="15" t="s">
        <v>142</v>
      </c>
      <c r="F20" s="7" t="s">
        <v>151</v>
      </c>
      <c r="G20" s="7" t="s">
        <v>36</v>
      </c>
      <c r="H20" s="15" t="s">
        <v>164</v>
      </c>
      <c r="I20" s="7" t="s">
        <v>159</v>
      </c>
      <c r="J20" s="15" t="s">
        <v>38</v>
      </c>
      <c r="K20" s="7" t="s">
        <v>161</v>
      </c>
      <c r="L20" s="7">
        <v>1</v>
      </c>
      <c r="N20" s="7">
        <v>1</v>
      </c>
      <c r="O20" s="7">
        <v>0.65</v>
      </c>
      <c r="P20" s="34">
        <v>0.55000000000000004</v>
      </c>
      <c r="Q20" s="52">
        <f t="shared" si="0"/>
        <v>0.60000000000000009</v>
      </c>
      <c r="R20" s="7">
        <v>14.9</v>
      </c>
      <c r="S20" s="7">
        <v>122</v>
      </c>
      <c r="T20" s="16">
        <f t="shared" si="1"/>
        <v>27</v>
      </c>
      <c r="U20" s="7">
        <v>138</v>
      </c>
      <c r="V20" s="16">
        <f t="shared" si="2"/>
        <v>3726</v>
      </c>
      <c r="W20" s="7">
        <v>4</v>
      </c>
      <c r="X20" s="15" t="s">
        <v>46</v>
      </c>
      <c r="Y20" s="54" t="s">
        <v>86</v>
      </c>
      <c r="Z20" s="54" t="s">
        <v>88</v>
      </c>
      <c r="AA20" s="54" t="s">
        <v>55</v>
      </c>
      <c r="AB20" s="39" t="s">
        <v>158</v>
      </c>
      <c r="AE20" s="22"/>
      <c r="AP20" s="43" t="s">
        <v>113</v>
      </c>
      <c r="AR20" s="41" t="s">
        <v>105</v>
      </c>
      <c r="AV20" s="27" t="s">
        <v>135</v>
      </c>
    </row>
    <row r="21" spans="1:48" x14ac:dyDescent="0.15">
      <c r="A21" s="15" t="s">
        <v>156</v>
      </c>
      <c r="B21" s="15" t="s">
        <v>157</v>
      </c>
      <c r="C21" s="15">
        <v>2019</v>
      </c>
      <c r="D21" s="37" t="s">
        <v>166</v>
      </c>
      <c r="E21" s="15" t="s">
        <v>142</v>
      </c>
      <c r="F21" s="7" t="s">
        <v>151</v>
      </c>
      <c r="G21" s="7" t="s">
        <v>36</v>
      </c>
      <c r="H21" s="15" t="s">
        <v>164</v>
      </c>
      <c r="I21" s="7" t="s">
        <v>159</v>
      </c>
      <c r="J21" s="15" t="s">
        <v>38</v>
      </c>
      <c r="K21" s="7" t="s">
        <v>161</v>
      </c>
      <c r="L21" s="7">
        <v>2</v>
      </c>
      <c r="N21" s="7">
        <v>1</v>
      </c>
      <c r="O21" s="7">
        <v>0.7</v>
      </c>
      <c r="P21" s="7">
        <v>0.7</v>
      </c>
      <c r="Q21" s="52">
        <f t="shared" si="0"/>
        <v>0.7</v>
      </c>
      <c r="R21" s="7">
        <v>15.5</v>
      </c>
      <c r="S21" s="7">
        <v>120</v>
      </c>
      <c r="T21" s="16">
        <f t="shared" si="1"/>
        <v>30</v>
      </c>
      <c r="U21" s="7">
        <v>138</v>
      </c>
      <c r="V21" s="16">
        <f t="shared" si="2"/>
        <v>4140</v>
      </c>
      <c r="W21" s="7">
        <v>4</v>
      </c>
      <c r="X21" s="15" t="s">
        <v>46</v>
      </c>
      <c r="Y21" s="54" t="s">
        <v>86</v>
      </c>
      <c r="Z21" s="54" t="s">
        <v>88</v>
      </c>
      <c r="AA21" s="54" t="s">
        <v>55</v>
      </c>
      <c r="AB21" s="39" t="s">
        <v>158</v>
      </c>
      <c r="AE21" s="22"/>
      <c r="AP21" s="43" t="s">
        <v>114</v>
      </c>
      <c r="AR21" s="41" t="s">
        <v>68</v>
      </c>
      <c r="AV21" s="27" t="s">
        <v>136</v>
      </c>
    </row>
    <row r="22" spans="1:48" x14ac:dyDescent="0.15">
      <c r="A22" s="15" t="s">
        <v>156</v>
      </c>
      <c r="B22" s="15" t="s">
        <v>157</v>
      </c>
      <c r="C22" s="15">
        <v>2019</v>
      </c>
      <c r="D22" s="37" t="s">
        <v>166</v>
      </c>
      <c r="E22" s="15" t="s">
        <v>142</v>
      </c>
      <c r="F22" s="7" t="s">
        <v>151</v>
      </c>
      <c r="G22" s="7" t="s">
        <v>36</v>
      </c>
      <c r="H22" s="15" t="s">
        <v>164</v>
      </c>
      <c r="I22" s="7" t="s">
        <v>159</v>
      </c>
      <c r="J22" s="15" t="s">
        <v>38</v>
      </c>
      <c r="K22" s="7" t="s">
        <v>161</v>
      </c>
      <c r="L22" s="7">
        <v>3</v>
      </c>
      <c r="N22" s="7">
        <v>1</v>
      </c>
      <c r="O22" s="34">
        <v>0.8</v>
      </c>
      <c r="P22" s="7">
        <v>0.75</v>
      </c>
      <c r="Q22" s="52">
        <f t="shared" si="0"/>
        <v>0.77500000000000002</v>
      </c>
      <c r="R22" s="7">
        <v>12.5</v>
      </c>
      <c r="S22" s="7">
        <v>122</v>
      </c>
      <c r="T22" s="16">
        <f t="shared" si="1"/>
        <v>27</v>
      </c>
      <c r="U22" s="7">
        <v>138</v>
      </c>
      <c r="V22" s="16">
        <f t="shared" si="2"/>
        <v>3726</v>
      </c>
      <c r="W22" s="7">
        <v>4</v>
      </c>
      <c r="X22" s="15" t="s">
        <v>46</v>
      </c>
      <c r="Y22" s="54" t="s">
        <v>86</v>
      </c>
      <c r="Z22" s="54" t="s">
        <v>88</v>
      </c>
      <c r="AA22" s="54" t="s">
        <v>55</v>
      </c>
      <c r="AB22" s="39" t="s">
        <v>158</v>
      </c>
      <c r="AE22" s="35"/>
      <c r="AP22" s="43" t="s">
        <v>115</v>
      </c>
      <c r="AR22" s="41" t="s">
        <v>83</v>
      </c>
      <c r="AV22" s="27"/>
    </row>
    <row r="23" spans="1:48" x14ac:dyDescent="0.15">
      <c r="A23" s="15" t="s">
        <v>156</v>
      </c>
      <c r="B23" s="15" t="s">
        <v>157</v>
      </c>
      <c r="C23" s="15">
        <v>2019</v>
      </c>
      <c r="D23" s="37" t="s">
        <v>166</v>
      </c>
      <c r="E23" s="7" t="s">
        <v>142</v>
      </c>
      <c r="F23" s="7" t="s">
        <v>151</v>
      </c>
      <c r="G23" s="7" t="s">
        <v>36</v>
      </c>
      <c r="H23" s="15" t="s">
        <v>160</v>
      </c>
      <c r="I23" s="7" t="s">
        <v>159</v>
      </c>
      <c r="J23" s="15" t="s">
        <v>38</v>
      </c>
      <c r="K23" s="7" t="s">
        <v>161</v>
      </c>
      <c r="L23" s="7">
        <v>1</v>
      </c>
      <c r="N23" s="7">
        <v>1</v>
      </c>
      <c r="O23" s="34">
        <v>0.5</v>
      </c>
      <c r="P23" s="7">
        <v>0.5</v>
      </c>
      <c r="Q23" s="52">
        <f t="shared" si="0"/>
        <v>0.5</v>
      </c>
      <c r="R23" s="7">
        <v>13.3</v>
      </c>
      <c r="S23" s="7">
        <v>126</v>
      </c>
      <c r="T23" s="16">
        <f t="shared" si="1"/>
        <v>27</v>
      </c>
      <c r="U23" s="7">
        <v>149</v>
      </c>
      <c r="V23" s="16">
        <f t="shared" si="2"/>
        <v>4023</v>
      </c>
      <c r="W23" s="7">
        <v>6</v>
      </c>
      <c r="X23" s="15" t="s">
        <v>46</v>
      </c>
      <c r="Y23" s="54" t="s">
        <v>86</v>
      </c>
      <c r="Z23" s="54" t="s">
        <v>88</v>
      </c>
      <c r="AA23" s="54" t="s">
        <v>55</v>
      </c>
      <c r="AB23" s="39" t="s">
        <v>158</v>
      </c>
      <c r="AE23" s="22"/>
      <c r="AP23" s="43" t="s">
        <v>137</v>
      </c>
      <c r="AR23" s="41" t="s">
        <v>61</v>
      </c>
      <c r="AV23" s="27"/>
    </row>
    <row r="24" spans="1:48" x14ac:dyDescent="0.15">
      <c r="A24" s="15" t="s">
        <v>156</v>
      </c>
      <c r="B24" s="15" t="s">
        <v>157</v>
      </c>
      <c r="C24" s="15">
        <v>2019</v>
      </c>
      <c r="D24" s="37" t="s">
        <v>166</v>
      </c>
      <c r="E24" s="7" t="s">
        <v>142</v>
      </c>
      <c r="F24" s="7" t="s">
        <v>151</v>
      </c>
      <c r="G24" s="7" t="s">
        <v>36</v>
      </c>
      <c r="H24" s="15" t="s">
        <v>160</v>
      </c>
      <c r="I24" s="7" t="s">
        <v>159</v>
      </c>
      <c r="J24" s="15" t="s">
        <v>38</v>
      </c>
      <c r="K24" s="7" t="s">
        <v>161</v>
      </c>
      <c r="L24" s="7">
        <v>2</v>
      </c>
      <c r="N24" s="7">
        <v>1</v>
      </c>
      <c r="O24" s="7">
        <v>0.65</v>
      </c>
      <c r="P24" s="7">
        <v>0.75</v>
      </c>
      <c r="Q24" s="52">
        <f t="shared" si="0"/>
        <v>0.7</v>
      </c>
      <c r="R24" s="7">
        <v>15.3</v>
      </c>
      <c r="S24" s="7">
        <v>128</v>
      </c>
      <c r="T24" s="16">
        <f t="shared" si="1"/>
        <v>27</v>
      </c>
      <c r="U24" s="7">
        <v>149</v>
      </c>
      <c r="V24" s="16">
        <f t="shared" si="2"/>
        <v>4023</v>
      </c>
      <c r="W24" s="7">
        <v>6</v>
      </c>
      <c r="X24" s="15" t="s">
        <v>46</v>
      </c>
      <c r="Y24" s="54" t="s">
        <v>86</v>
      </c>
      <c r="Z24" s="54" t="s">
        <v>88</v>
      </c>
      <c r="AA24" s="54" t="s">
        <v>55</v>
      </c>
      <c r="AB24" s="39" t="s">
        <v>158</v>
      </c>
      <c r="AE24" s="22"/>
      <c r="AP24" s="43" t="s">
        <v>138</v>
      </c>
      <c r="AR24" s="41" t="s">
        <v>91</v>
      </c>
      <c r="AV24" s="27"/>
    </row>
    <row r="25" spans="1:48" x14ac:dyDescent="0.15">
      <c r="A25" s="15" t="s">
        <v>156</v>
      </c>
      <c r="B25" s="15" t="s">
        <v>157</v>
      </c>
      <c r="C25" s="15">
        <v>2019</v>
      </c>
      <c r="D25" s="37" t="s">
        <v>166</v>
      </c>
      <c r="E25" s="7" t="s">
        <v>142</v>
      </c>
      <c r="F25" s="7" t="s">
        <v>151</v>
      </c>
      <c r="G25" s="7" t="s">
        <v>36</v>
      </c>
      <c r="H25" s="15" t="s">
        <v>160</v>
      </c>
      <c r="I25" s="7" t="s">
        <v>159</v>
      </c>
      <c r="J25" s="15" t="s">
        <v>38</v>
      </c>
      <c r="K25" s="7" t="s">
        <v>161</v>
      </c>
      <c r="L25" s="7">
        <v>3</v>
      </c>
      <c r="N25" s="7">
        <v>1</v>
      </c>
      <c r="O25" s="7">
        <v>0.65</v>
      </c>
      <c r="P25" s="7">
        <v>0.65</v>
      </c>
      <c r="Q25" s="52">
        <f t="shared" si="0"/>
        <v>0.65</v>
      </c>
      <c r="R25" s="7">
        <v>13.2</v>
      </c>
      <c r="S25" s="7">
        <v>129</v>
      </c>
      <c r="T25" s="16">
        <f t="shared" si="1"/>
        <v>25</v>
      </c>
      <c r="U25" s="7">
        <v>149</v>
      </c>
      <c r="V25" s="16">
        <f t="shared" si="2"/>
        <v>3725</v>
      </c>
      <c r="W25" s="7">
        <v>6</v>
      </c>
      <c r="X25" s="15" t="s">
        <v>46</v>
      </c>
      <c r="Y25" s="54" t="s">
        <v>86</v>
      </c>
      <c r="Z25" s="54" t="s">
        <v>88</v>
      </c>
      <c r="AA25" s="54" t="s">
        <v>55</v>
      </c>
      <c r="AB25" s="39" t="s">
        <v>158</v>
      </c>
      <c r="AE25" s="35"/>
      <c r="AP25" s="43" t="s">
        <v>116</v>
      </c>
      <c r="AR25" s="42" t="s">
        <v>92</v>
      </c>
      <c r="AV25" s="27"/>
    </row>
    <row r="26" spans="1:48" x14ac:dyDescent="0.15">
      <c r="A26" s="15" t="s">
        <v>156</v>
      </c>
      <c r="B26" s="15" t="s">
        <v>157</v>
      </c>
      <c r="C26" s="15">
        <v>2019</v>
      </c>
      <c r="D26" s="37" t="s">
        <v>166</v>
      </c>
      <c r="E26" s="7" t="s">
        <v>143</v>
      </c>
      <c r="F26" s="7" t="s">
        <v>152</v>
      </c>
      <c r="G26" s="7" t="s">
        <v>36</v>
      </c>
      <c r="H26" s="15" t="s">
        <v>164</v>
      </c>
      <c r="I26" s="7" t="s">
        <v>159</v>
      </c>
      <c r="J26" s="15" t="s">
        <v>38</v>
      </c>
      <c r="K26" s="7" t="s">
        <v>161</v>
      </c>
      <c r="L26" s="7">
        <v>1</v>
      </c>
      <c r="N26" s="53">
        <v>1</v>
      </c>
      <c r="O26" s="7">
        <v>0.9</v>
      </c>
      <c r="P26" s="7">
        <v>0.9</v>
      </c>
      <c r="Q26" s="52">
        <f t="shared" si="0"/>
        <v>0.9</v>
      </c>
      <c r="R26" s="7">
        <v>14.8</v>
      </c>
      <c r="S26" s="7">
        <v>113</v>
      </c>
      <c r="T26" s="16">
        <f t="shared" si="1"/>
        <v>30</v>
      </c>
      <c r="U26" s="7">
        <v>105</v>
      </c>
      <c r="V26" s="16">
        <f t="shared" si="2"/>
        <v>3150</v>
      </c>
      <c r="W26" s="7">
        <v>2</v>
      </c>
      <c r="X26" s="15" t="s">
        <v>39</v>
      </c>
      <c r="Y26" s="54" t="s">
        <v>78</v>
      </c>
      <c r="Z26" s="54" t="s">
        <v>86</v>
      </c>
      <c r="AA26" s="54" t="s">
        <v>88</v>
      </c>
      <c r="AB26" s="39" t="s">
        <v>158</v>
      </c>
      <c r="AE26" s="35"/>
      <c r="AP26" s="43" t="s">
        <v>117</v>
      </c>
      <c r="AR26" s="23" t="s">
        <v>153</v>
      </c>
      <c r="AV26" s="28"/>
    </row>
    <row r="27" spans="1:48" x14ac:dyDescent="0.15">
      <c r="A27" s="15" t="s">
        <v>156</v>
      </c>
      <c r="B27" s="15" t="s">
        <v>157</v>
      </c>
      <c r="C27" s="15">
        <v>2019</v>
      </c>
      <c r="D27" s="37" t="s">
        <v>166</v>
      </c>
      <c r="E27" s="7" t="s">
        <v>143</v>
      </c>
      <c r="F27" s="7" t="s">
        <v>152</v>
      </c>
      <c r="G27" s="7" t="s">
        <v>36</v>
      </c>
      <c r="H27" s="54" t="s">
        <v>164</v>
      </c>
      <c r="I27" s="7" t="s">
        <v>159</v>
      </c>
      <c r="J27" s="15" t="s">
        <v>38</v>
      </c>
      <c r="K27" s="7" t="s">
        <v>161</v>
      </c>
      <c r="L27" s="7">
        <v>2</v>
      </c>
      <c r="N27" s="53">
        <v>1</v>
      </c>
      <c r="O27" s="7">
        <v>0.65</v>
      </c>
      <c r="P27" s="7">
        <v>0.8</v>
      </c>
      <c r="Q27" s="52">
        <f t="shared" si="0"/>
        <v>0.72500000000000009</v>
      </c>
      <c r="R27" s="7">
        <v>15</v>
      </c>
      <c r="S27" s="7">
        <v>124</v>
      </c>
      <c r="T27" s="16">
        <f t="shared" si="1"/>
        <v>27</v>
      </c>
      <c r="U27" s="7">
        <v>105</v>
      </c>
      <c r="V27" s="16">
        <f t="shared" si="2"/>
        <v>2835</v>
      </c>
      <c r="W27" s="7">
        <v>2</v>
      </c>
      <c r="X27" s="54" t="s">
        <v>39</v>
      </c>
      <c r="Y27" s="54" t="s">
        <v>78</v>
      </c>
      <c r="Z27" s="54" t="s">
        <v>86</v>
      </c>
      <c r="AA27" s="54" t="s">
        <v>88</v>
      </c>
      <c r="AB27" s="39" t="s">
        <v>158</v>
      </c>
      <c r="AE27" s="28"/>
      <c r="AP27" s="43" t="s">
        <v>118</v>
      </c>
      <c r="AR27" s="23"/>
    </row>
    <row r="28" spans="1:48" x14ac:dyDescent="0.15">
      <c r="A28" s="15" t="s">
        <v>156</v>
      </c>
      <c r="B28" s="15" t="s">
        <v>157</v>
      </c>
      <c r="C28" s="15">
        <v>2019</v>
      </c>
      <c r="D28" s="37" t="s">
        <v>166</v>
      </c>
      <c r="E28" s="7" t="s">
        <v>143</v>
      </c>
      <c r="F28" s="7" t="s">
        <v>152</v>
      </c>
      <c r="G28" s="7" t="s">
        <v>36</v>
      </c>
      <c r="H28" s="54" t="s">
        <v>164</v>
      </c>
      <c r="I28" s="7" t="s">
        <v>159</v>
      </c>
      <c r="J28" s="15" t="s">
        <v>38</v>
      </c>
      <c r="K28" s="7" t="s">
        <v>161</v>
      </c>
      <c r="L28" s="7">
        <v>3</v>
      </c>
      <c r="N28" s="53">
        <v>1</v>
      </c>
      <c r="O28" s="7">
        <v>0.95</v>
      </c>
      <c r="P28" s="7">
        <v>0.85</v>
      </c>
      <c r="Q28" s="52">
        <f t="shared" si="0"/>
        <v>0.89999999999999991</v>
      </c>
      <c r="R28" s="7">
        <v>13.6</v>
      </c>
      <c r="S28" s="7">
        <v>118</v>
      </c>
      <c r="T28" s="16">
        <f t="shared" si="1"/>
        <v>30</v>
      </c>
      <c r="U28" s="7">
        <v>105</v>
      </c>
      <c r="V28" s="16">
        <f t="shared" si="2"/>
        <v>3150</v>
      </c>
      <c r="W28" s="7">
        <v>2</v>
      </c>
      <c r="X28" s="54" t="s">
        <v>39</v>
      </c>
      <c r="Y28" s="54" t="s">
        <v>78</v>
      </c>
      <c r="Z28" s="54" t="s">
        <v>86</v>
      </c>
      <c r="AA28" s="54" t="s">
        <v>88</v>
      </c>
      <c r="AB28" s="39" t="s">
        <v>158</v>
      </c>
      <c r="AP28" s="27"/>
      <c r="AR28" s="23"/>
    </row>
    <row r="29" spans="1:48" x14ac:dyDescent="0.15">
      <c r="A29" s="15" t="s">
        <v>156</v>
      </c>
      <c r="B29" s="15" t="s">
        <v>157</v>
      </c>
      <c r="C29" s="15">
        <v>2019</v>
      </c>
      <c r="D29" s="37" t="s">
        <v>166</v>
      </c>
      <c r="E29" s="7" t="s">
        <v>143</v>
      </c>
      <c r="F29" s="7" t="s">
        <v>152</v>
      </c>
      <c r="G29" s="7" t="s">
        <v>36</v>
      </c>
      <c r="H29" s="54" t="s">
        <v>160</v>
      </c>
      <c r="I29" s="7" t="s">
        <v>159</v>
      </c>
      <c r="J29" s="15" t="s">
        <v>38</v>
      </c>
      <c r="K29" s="7" t="s">
        <v>161</v>
      </c>
      <c r="L29" s="7">
        <v>1</v>
      </c>
      <c r="N29" s="53">
        <v>1</v>
      </c>
      <c r="O29" s="7">
        <v>0.65</v>
      </c>
      <c r="P29" s="7">
        <v>0.7</v>
      </c>
      <c r="Q29" s="52">
        <f t="shared" si="0"/>
        <v>0.67500000000000004</v>
      </c>
      <c r="R29" s="7">
        <v>19.7</v>
      </c>
      <c r="S29" s="7">
        <v>116</v>
      </c>
      <c r="T29" s="16">
        <f t="shared" si="1"/>
        <v>30</v>
      </c>
      <c r="U29" s="7">
        <v>138</v>
      </c>
      <c r="V29" s="16">
        <f t="shared" si="2"/>
        <v>4140</v>
      </c>
      <c r="W29" s="7">
        <v>2</v>
      </c>
      <c r="X29" s="54" t="s">
        <v>39</v>
      </c>
      <c r="Y29" s="54" t="s">
        <v>78</v>
      </c>
      <c r="Z29" s="54" t="s">
        <v>86</v>
      </c>
      <c r="AA29" s="54" t="s">
        <v>88</v>
      </c>
      <c r="AB29" s="39" t="s">
        <v>158</v>
      </c>
      <c r="AP29" s="27"/>
      <c r="AR29" s="27"/>
      <c r="AV29" s="28"/>
    </row>
    <row r="30" spans="1:48" x14ac:dyDescent="0.15">
      <c r="A30" s="15" t="s">
        <v>156</v>
      </c>
      <c r="B30" s="15" t="s">
        <v>157</v>
      </c>
      <c r="C30" s="15">
        <v>2019</v>
      </c>
      <c r="D30" s="37" t="s">
        <v>166</v>
      </c>
      <c r="E30" s="7" t="s">
        <v>143</v>
      </c>
      <c r="F30" s="7" t="s">
        <v>152</v>
      </c>
      <c r="G30" s="7" t="s">
        <v>36</v>
      </c>
      <c r="H30" s="54" t="s">
        <v>160</v>
      </c>
      <c r="I30" s="53" t="s">
        <v>159</v>
      </c>
      <c r="J30" s="15" t="s">
        <v>38</v>
      </c>
      <c r="K30" s="7" t="s">
        <v>161</v>
      </c>
      <c r="L30" s="7">
        <v>2</v>
      </c>
      <c r="N30" s="7">
        <v>1</v>
      </c>
      <c r="O30" s="7">
        <v>0.65</v>
      </c>
      <c r="P30" s="7">
        <v>0.7</v>
      </c>
      <c r="Q30" s="52">
        <f t="shared" si="0"/>
        <v>0.67500000000000004</v>
      </c>
      <c r="R30" s="7">
        <v>16.399999999999999</v>
      </c>
      <c r="S30" s="7">
        <v>114</v>
      </c>
      <c r="T30" s="16">
        <f t="shared" si="1"/>
        <v>30</v>
      </c>
      <c r="U30" s="7">
        <v>138</v>
      </c>
      <c r="V30" s="16">
        <f t="shared" si="2"/>
        <v>4140</v>
      </c>
      <c r="W30" s="7">
        <v>2</v>
      </c>
      <c r="X30" s="54" t="s">
        <v>39</v>
      </c>
      <c r="Y30" s="54" t="s">
        <v>78</v>
      </c>
      <c r="Z30" s="54" t="s">
        <v>86</v>
      </c>
      <c r="AA30" s="54" t="s">
        <v>88</v>
      </c>
      <c r="AB30" s="39" t="s">
        <v>158</v>
      </c>
      <c r="AP30" s="27"/>
      <c r="AR30" s="27"/>
    </row>
    <row r="31" spans="1:48" x14ac:dyDescent="0.15">
      <c r="A31" s="15" t="s">
        <v>156</v>
      </c>
      <c r="B31" s="15" t="s">
        <v>157</v>
      </c>
      <c r="C31" s="15">
        <v>2019</v>
      </c>
      <c r="D31" s="37" t="s">
        <v>166</v>
      </c>
      <c r="E31" s="7" t="s">
        <v>143</v>
      </c>
      <c r="F31" s="7" t="s">
        <v>152</v>
      </c>
      <c r="G31" s="7" t="s">
        <v>36</v>
      </c>
      <c r="H31" s="54" t="s">
        <v>160</v>
      </c>
      <c r="I31" s="53" t="s">
        <v>159</v>
      </c>
      <c r="J31" s="15" t="s">
        <v>38</v>
      </c>
      <c r="K31" s="7" t="s">
        <v>161</v>
      </c>
      <c r="L31" s="7">
        <v>3</v>
      </c>
      <c r="N31" s="7">
        <v>1</v>
      </c>
      <c r="O31" s="7">
        <v>0.75</v>
      </c>
      <c r="P31" s="7">
        <v>0.7</v>
      </c>
      <c r="Q31" s="52">
        <f t="shared" si="0"/>
        <v>0.72499999999999998</v>
      </c>
      <c r="R31" s="7">
        <v>15.1</v>
      </c>
      <c r="S31" s="7">
        <v>116</v>
      </c>
      <c r="T31" s="16">
        <f t="shared" si="1"/>
        <v>30</v>
      </c>
      <c r="U31" s="7">
        <v>138</v>
      </c>
      <c r="V31" s="16">
        <f t="shared" si="2"/>
        <v>4140</v>
      </c>
      <c r="W31" s="7">
        <v>2</v>
      </c>
      <c r="X31" s="54" t="s">
        <v>39</v>
      </c>
      <c r="Y31" s="54" t="s">
        <v>78</v>
      </c>
      <c r="Z31" s="54" t="s">
        <v>86</v>
      </c>
      <c r="AA31" s="54" t="s">
        <v>88</v>
      </c>
      <c r="AB31" s="39" t="s">
        <v>158</v>
      </c>
      <c r="AP31" s="27"/>
      <c r="AR31" s="27"/>
    </row>
    <row r="32" spans="1:48" x14ac:dyDescent="0.15">
      <c r="A32" s="15" t="s">
        <v>156</v>
      </c>
      <c r="B32" s="15" t="s">
        <v>157</v>
      </c>
      <c r="C32" s="15">
        <v>2019</v>
      </c>
      <c r="D32" s="37" t="s">
        <v>166</v>
      </c>
      <c r="E32" s="7" t="s">
        <v>131</v>
      </c>
      <c r="F32" s="7" t="s">
        <v>144</v>
      </c>
      <c r="G32" s="7" t="s">
        <v>36</v>
      </c>
      <c r="H32" s="15" t="s">
        <v>164</v>
      </c>
      <c r="I32" s="7" t="s">
        <v>159</v>
      </c>
      <c r="J32" s="15" t="s">
        <v>38</v>
      </c>
      <c r="K32" s="7" t="s">
        <v>161</v>
      </c>
      <c r="L32" s="7">
        <v>1</v>
      </c>
      <c r="N32" s="7">
        <v>1</v>
      </c>
      <c r="O32" s="7">
        <v>0.75</v>
      </c>
      <c r="P32" s="7">
        <v>0.85</v>
      </c>
      <c r="Q32" s="52">
        <f t="shared" si="0"/>
        <v>0.8</v>
      </c>
      <c r="R32" s="7">
        <v>15.6</v>
      </c>
      <c r="S32" s="7">
        <v>113</v>
      </c>
      <c r="T32" s="16">
        <f t="shared" si="1"/>
        <v>30</v>
      </c>
      <c r="U32" s="7">
        <v>59</v>
      </c>
      <c r="V32" s="16">
        <f t="shared" si="2"/>
        <v>1770</v>
      </c>
      <c r="W32" s="7">
        <v>4</v>
      </c>
      <c r="X32" s="15" t="s">
        <v>46</v>
      </c>
      <c r="Y32" s="54" t="s">
        <v>88</v>
      </c>
      <c r="Z32" s="54" t="s">
        <v>97</v>
      </c>
      <c r="AA32" s="54" t="s">
        <v>55</v>
      </c>
      <c r="AB32" s="39" t="s">
        <v>158</v>
      </c>
      <c r="AP32" s="28"/>
      <c r="AR32" s="28"/>
    </row>
    <row r="33" spans="1:44" x14ac:dyDescent="0.15">
      <c r="A33" s="15" t="s">
        <v>156</v>
      </c>
      <c r="B33" s="15" t="s">
        <v>157</v>
      </c>
      <c r="C33" s="15">
        <v>2019</v>
      </c>
      <c r="D33" s="37" t="s">
        <v>166</v>
      </c>
      <c r="E33" s="7" t="s">
        <v>131</v>
      </c>
      <c r="F33" s="7" t="s">
        <v>144</v>
      </c>
      <c r="G33" s="7" t="s">
        <v>36</v>
      </c>
      <c r="H33" s="15" t="s">
        <v>164</v>
      </c>
      <c r="I33" s="53" t="s">
        <v>159</v>
      </c>
      <c r="J33" s="15" t="s">
        <v>38</v>
      </c>
      <c r="K33" s="7" t="s">
        <v>161</v>
      </c>
      <c r="L33" s="7">
        <v>2</v>
      </c>
      <c r="N33" s="7">
        <v>1</v>
      </c>
      <c r="O33" s="7">
        <v>1</v>
      </c>
      <c r="P33" s="7">
        <v>0.9</v>
      </c>
      <c r="Q33" s="52">
        <f t="shared" si="0"/>
        <v>0.95</v>
      </c>
      <c r="R33" s="7">
        <v>15.7</v>
      </c>
      <c r="S33" s="7">
        <v>116</v>
      </c>
      <c r="T33" s="16">
        <f t="shared" si="1"/>
        <v>30</v>
      </c>
      <c r="U33" s="7">
        <v>59</v>
      </c>
      <c r="V33" s="16">
        <f t="shared" si="2"/>
        <v>1770</v>
      </c>
      <c r="W33" s="7">
        <v>4</v>
      </c>
      <c r="X33" s="15" t="s">
        <v>46</v>
      </c>
      <c r="Y33" s="54" t="s">
        <v>88</v>
      </c>
      <c r="Z33" s="54" t="s">
        <v>97</v>
      </c>
      <c r="AA33" s="54" t="s">
        <v>55</v>
      </c>
      <c r="AB33" s="39" t="s">
        <v>158</v>
      </c>
    </row>
    <row r="34" spans="1:44" x14ac:dyDescent="0.15">
      <c r="A34" s="15" t="s">
        <v>156</v>
      </c>
      <c r="B34" s="15" t="s">
        <v>157</v>
      </c>
      <c r="C34" s="15">
        <v>2019</v>
      </c>
      <c r="D34" s="37" t="s">
        <v>166</v>
      </c>
      <c r="E34" s="7" t="s">
        <v>131</v>
      </c>
      <c r="F34" s="7" t="s">
        <v>144</v>
      </c>
      <c r="G34" s="7" t="s">
        <v>36</v>
      </c>
      <c r="H34" s="15" t="s">
        <v>164</v>
      </c>
      <c r="I34" s="53" t="s">
        <v>159</v>
      </c>
      <c r="J34" s="15" t="s">
        <v>38</v>
      </c>
      <c r="K34" s="7" t="s">
        <v>161</v>
      </c>
      <c r="L34" s="7">
        <v>3</v>
      </c>
      <c r="N34" s="7">
        <v>1</v>
      </c>
      <c r="O34" s="7">
        <v>0.75</v>
      </c>
      <c r="P34" s="7">
        <v>0.6</v>
      </c>
      <c r="Q34" s="52">
        <f t="shared" si="0"/>
        <v>0.67500000000000004</v>
      </c>
      <c r="R34" s="7">
        <v>14.1</v>
      </c>
      <c r="S34" s="7">
        <v>109</v>
      </c>
      <c r="T34" s="16">
        <f t="shared" si="1"/>
        <v>33</v>
      </c>
      <c r="U34" s="7">
        <v>59</v>
      </c>
      <c r="V34" s="16">
        <f t="shared" si="2"/>
        <v>1947</v>
      </c>
      <c r="W34" s="7">
        <v>4</v>
      </c>
      <c r="X34" s="15" t="s">
        <v>46</v>
      </c>
      <c r="Y34" s="54" t="s">
        <v>88</v>
      </c>
      <c r="Z34" s="54" t="s">
        <v>97</v>
      </c>
      <c r="AA34" s="54" t="s">
        <v>55</v>
      </c>
      <c r="AB34" s="39" t="s">
        <v>158</v>
      </c>
    </row>
    <row r="35" spans="1:44" x14ac:dyDescent="0.15">
      <c r="A35" s="15" t="s">
        <v>156</v>
      </c>
      <c r="B35" s="15" t="s">
        <v>157</v>
      </c>
      <c r="C35" s="15">
        <v>2019</v>
      </c>
      <c r="D35" s="37" t="s">
        <v>166</v>
      </c>
      <c r="E35" s="7" t="s">
        <v>131</v>
      </c>
      <c r="F35" s="7" t="s">
        <v>144</v>
      </c>
      <c r="G35" s="7" t="s">
        <v>36</v>
      </c>
      <c r="H35" s="15" t="s">
        <v>160</v>
      </c>
      <c r="I35" s="7" t="s">
        <v>159</v>
      </c>
      <c r="J35" s="15" t="s">
        <v>38</v>
      </c>
      <c r="K35" s="7" t="s">
        <v>161</v>
      </c>
      <c r="L35" s="7">
        <v>1</v>
      </c>
      <c r="N35" s="7">
        <v>1</v>
      </c>
      <c r="O35" s="7">
        <v>0.8</v>
      </c>
      <c r="P35" s="7">
        <v>0.75</v>
      </c>
      <c r="Q35" s="52">
        <f t="shared" si="0"/>
        <v>0.77500000000000002</v>
      </c>
      <c r="R35" s="7">
        <v>18.399999999999999</v>
      </c>
      <c r="S35" s="7">
        <v>125</v>
      </c>
      <c r="T35" s="16">
        <f t="shared" si="1"/>
        <v>27</v>
      </c>
      <c r="U35" s="7">
        <v>107</v>
      </c>
      <c r="V35" s="16">
        <f t="shared" si="2"/>
        <v>2889</v>
      </c>
      <c r="W35" s="7">
        <v>5</v>
      </c>
      <c r="X35" s="15" t="s">
        <v>46</v>
      </c>
      <c r="Y35" s="54" t="s">
        <v>88</v>
      </c>
      <c r="Z35" s="54" t="s">
        <v>97</v>
      </c>
      <c r="AA35" s="54" t="s">
        <v>55</v>
      </c>
      <c r="AB35" s="39" t="s">
        <v>158</v>
      </c>
      <c r="AP35" s="28"/>
      <c r="AR35" s="28"/>
    </row>
    <row r="36" spans="1:44" x14ac:dyDescent="0.15">
      <c r="A36" s="15" t="s">
        <v>156</v>
      </c>
      <c r="B36" s="15" t="s">
        <v>157</v>
      </c>
      <c r="C36" s="15">
        <v>2019</v>
      </c>
      <c r="D36" s="37" t="s">
        <v>166</v>
      </c>
      <c r="E36" s="7" t="s">
        <v>131</v>
      </c>
      <c r="F36" s="7" t="s">
        <v>144</v>
      </c>
      <c r="G36" s="7" t="s">
        <v>36</v>
      </c>
      <c r="H36" s="54" t="s">
        <v>160</v>
      </c>
      <c r="I36" s="7" t="s">
        <v>159</v>
      </c>
      <c r="J36" s="15" t="s">
        <v>38</v>
      </c>
      <c r="K36" s="7" t="s">
        <v>161</v>
      </c>
      <c r="L36" s="7">
        <v>2</v>
      </c>
      <c r="N36" s="7">
        <v>1</v>
      </c>
      <c r="O36" s="7">
        <v>0.75</v>
      </c>
      <c r="P36" s="7">
        <v>0.9</v>
      </c>
      <c r="Q36" s="52">
        <f t="shared" si="0"/>
        <v>0.82499999999999996</v>
      </c>
      <c r="R36" s="7">
        <v>19.399999999999999</v>
      </c>
      <c r="S36" s="7">
        <v>119</v>
      </c>
      <c r="T36" s="16">
        <f t="shared" si="1"/>
        <v>30</v>
      </c>
      <c r="U36" s="7">
        <v>107</v>
      </c>
      <c r="V36" s="16">
        <f t="shared" si="2"/>
        <v>3210</v>
      </c>
      <c r="W36" s="7">
        <v>5</v>
      </c>
      <c r="X36" s="15" t="s">
        <v>46</v>
      </c>
      <c r="Y36" s="54" t="s">
        <v>88</v>
      </c>
      <c r="Z36" s="54" t="s">
        <v>97</v>
      </c>
      <c r="AA36" s="54" t="s">
        <v>55</v>
      </c>
      <c r="AB36" s="39" t="s">
        <v>158</v>
      </c>
    </row>
    <row r="37" spans="1:44" x14ac:dyDescent="0.15">
      <c r="A37" s="15" t="s">
        <v>156</v>
      </c>
      <c r="B37" s="15" t="s">
        <v>157</v>
      </c>
      <c r="C37" s="15">
        <v>2019</v>
      </c>
      <c r="D37" s="37" t="s">
        <v>166</v>
      </c>
      <c r="E37" s="7" t="s">
        <v>131</v>
      </c>
      <c r="F37" s="7" t="s">
        <v>144</v>
      </c>
      <c r="G37" s="7" t="s">
        <v>36</v>
      </c>
      <c r="H37" s="54" t="s">
        <v>160</v>
      </c>
      <c r="I37" s="7" t="s">
        <v>159</v>
      </c>
      <c r="J37" s="15" t="s">
        <v>38</v>
      </c>
      <c r="K37" s="7" t="s">
        <v>161</v>
      </c>
      <c r="L37" s="7">
        <v>3</v>
      </c>
      <c r="N37" s="7">
        <v>1</v>
      </c>
      <c r="O37" s="34">
        <v>0.5</v>
      </c>
      <c r="P37" s="34">
        <v>0.6</v>
      </c>
      <c r="Q37" s="52">
        <f t="shared" si="0"/>
        <v>0.55000000000000004</v>
      </c>
      <c r="R37" s="7">
        <v>13.8</v>
      </c>
      <c r="S37" s="7">
        <v>121</v>
      </c>
      <c r="T37" s="16">
        <f t="shared" si="1"/>
        <v>27</v>
      </c>
      <c r="U37" s="7">
        <v>107</v>
      </c>
      <c r="V37" s="16">
        <f t="shared" si="2"/>
        <v>2889</v>
      </c>
      <c r="W37" s="7">
        <v>5</v>
      </c>
      <c r="X37" s="15" t="s">
        <v>46</v>
      </c>
      <c r="Y37" s="54" t="s">
        <v>88</v>
      </c>
      <c r="Z37" s="54" t="s">
        <v>97</v>
      </c>
      <c r="AA37" s="54" t="s">
        <v>55</v>
      </c>
      <c r="AB37" s="39" t="s">
        <v>158</v>
      </c>
    </row>
    <row r="38" spans="1:44" x14ac:dyDescent="0.15">
      <c r="A38" s="15" t="s">
        <v>156</v>
      </c>
      <c r="B38" s="15" t="s">
        <v>157</v>
      </c>
      <c r="C38" s="15">
        <v>2019</v>
      </c>
      <c r="D38" s="37" t="s">
        <v>166</v>
      </c>
      <c r="E38" s="7" t="s">
        <v>139</v>
      </c>
      <c r="F38" s="7" t="s">
        <v>145</v>
      </c>
      <c r="G38" s="7" t="s">
        <v>36</v>
      </c>
      <c r="H38" s="15" t="s">
        <v>164</v>
      </c>
      <c r="I38" s="7" t="s">
        <v>159</v>
      </c>
      <c r="J38" s="15" t="s">
        <v>38</v>
      </c>
      <c r="K38" s="7" t="s">
        <v>161</v>
      </c>
      <c r="L38" s="7">
        <v>1</v>
      </c>
      <c r="N38" s="53">
        <v>1</v>
      </c>
      <c r="O38" s="34">
        <v>0.5</v>
      </c>
      <c r="P38" s="34">
        <v>0.5</v>
      </c>
      <c r="Q38" s="52">
        <f t="shared" si="0"/>
        <v>0.5</v>
      </c>
      <c r="R38" s="7">
        <v>15.5</v>
      </c>
      <c r="S38" s="7">
        <v>115</v>
      </c>
      <c r="T38" s="16">
        <f t="shared" si="1"/>
        <v>30</v>
      </c>
      <c r="U38" s="7">
        <v>100</v>
      </c>
      <c r="V38" s="16">
        <f t="shared" si="2"/>
        <v>3000</v>
      </c>
      <c r="W38" s="7">
        <v>11</v>
      </c>
      <c r="X38" s="15" t="s">
        <v>46</v>
      </c>
      <c r="Y38" s="54" t="s">
        <v>97</v>
      </c>
      <c r="Z38" s="54" t="s">
        <v>88</v>
      </c>
      <c r="AA38" s="54" t="s">
        <v>55</v>
      </c>
      <c r="AB38" s="39" t="s">
        <v>158</v>
      </c>
    </row>
    <row r="39" spans="1:44" x14ac:dyDescent="0.15">
      <c r="A39" s="15" t="s">
        <v>156</v>
      </c>
      <c r="B39" s="15" t="s">
        <v>157</v>
      </c>
      <c r="C39" s="15">
        <v>2019</v>
      </c>
      <c r="D39" s="37" t="s">
        <v>166</v>
      </c>
      <c r="E39" s="7" t="s">
        <v>139</v>
      </c>
      <c r="F39" s="7" t="s">
        <v>145</v>
      </c>
      <c r="G39" s="7" t="s">
        <v>36</v>
      </c>
      <c r="H39" s="54" t="s">
        <v>164</v>
      </c>
      <c r="I39" s="7" t="s">
        <v>159</v>
      </c>
      <c r="J39" s="15" t="s">
        <v>38</v>
      </c>
      <c r="K39" s="7" t="s">
        <v>161</v>
      </c>
      <c r="L39" s="7">
        <v>2</v>
      </c>
      <c r="N39" s="53">
        <v>1</v>
      </c>
      <c r="O39" s="7">
        <v>0.65</v>
      </c>
      <c r="P39" s="7">
        <v>0.5</v>
      </c>
      <c r="Q39" s="52">
        <f t="shared" si="0"/>
        <v>0.57499999999999996</v>
      </c>
      <c r="R39" s="34">
        <v>14.1</v>
      </c>
      <c r="S39" s="7">
        <v>114</v>
      </c>
      <c r="T39" s="16">
        <f t="shared" si="1"/>
        <v>30</v>
      </c>
      <c r="U39" s="7">
        <v>100</v>
      </c>
      <c r="V39" s="16">
        <f t="shared" si="2"/>
        <v>3000</v>
      </c>
      <c r="W39" s="7">
        <v>11</v>
      </c>
      <c r="X39" s="15" t="s">
        <v>46</v>
      </c>
      <c r="Y39" s="54" t="s">
        <v>97</v>
      </c>
      <c r="Z39" s="54" t="s">
        <v>88</v>
      </c>
      <c r="AA39" s="54" t="s">
        <v>55</v>
      </c>
      <c r="AB39" s="39" t="s">
        <v>158</v>
      </c>
    </row>
    <row r="40" spans="1:44" x14ac:dyDescent="0.15">
      <c r="A40" s="15" t="s">
        <v>156</v>
      </c>
      <c r="B40" s="15" t="s">
        <v>157</v>
      </c>
      <c r="C40" s="15">
        <v>2019</v>
      </c>
      <c r="D40" s="37" t="s">
        <v>166</v>
      </c>
      <c r="E40" s="7" t="s">
        <v>139</v>
      </c>
      <c r="F40" s="7" t="s">
        <v>145</v>
      </c>
      <c r="G40" s="7" t="s">
        <v>36</v>
      </c>
      <c r="H40" s="54" t="s">
        <v>164</v>
      </c>
      <c r="I40" s="7" t="s">
        <v>159</v>
      </c>
      <c r="J40" s="15" t="s">
        <v>38</v>
      </c>
      <c r="K40" s="7" t="s">
        <v>161</v>
      </c>
      <c r="L40" s="7">
        <v>3</v>
      </c>
      <c r="N40" s="53">
        <v>1</v>
      </c>
      <c r="O40" s="7">
        <v>0.75</v>
      </c>
      <c r="P40" s="7">
        <v>0.85</v>
      </c>
      <c r="Q40" s="52">
        <f t="shared" si="0"/>
        <v>0.8</v>
      </c>
      <c r="R40" s="7">
        <v>14.2</v>
      </c>
      <c r="S40" s="7">
        <v>115</v>
      </c>
      <c r="T40" s="16">
        <f t="shared" si="1"/>
        <v>30</v>
      </c>
      <c r="U40" s="7">
        <v>100</v>
      </c>
      <c r="V40" s="16">
        <f t="shared" si="2"/>
        <v>3000</v>
      </c>
      <c r="W40" s="7">
        <v>11</v>
      </c>
      <c r="X40" s="15" t="s">
        <v>46</v>
      </c>
      <c r="Y40" s="54" t="s">
        <v>97</v>
      </c>
      <c r="Z40" s="54" t="s">
        <v>88</v>
      </c>
      <c r="AA40" s="54" t="s">
        <v>55</v>
      </c>
      <c r="AB40" s="39" t="s">
        <v>158</v>
      </c>
    </row>
    <row r="41" spans="1:44" ht="12.75" customHeight="1" x14ac:dyDescent="0.15">
      <c r="A41" s="15" t="s">
        <v>156</v>
      </c>
      <c r="B41" s="15" t="s">
        <v>157</v>
      </c>
      <c r="C41" s="15">
        <v>2019</v>
      </c>
      <c r="D41" s="37" t="s">
        <v>166</v>
      </c>
      <c r="E41" s="7" t="s">
        <v>139</v>
      </c>
      <c r="F41" s="7" t="s">
        <v>145</v>
      </c>
      <c r="G41" s="7" t="s">
        <v>36</v>
      </c>
      <c r="H41" s="15" t="s">
        <v>160</v>
      </c>
      <c r="I41" s="7" t="s">
        <v>159</v>
      </c>
      <c r="J41" s="15" t="s">
        <v>38</v>
      </c>
      <c r="K41" s="7" t="s">
        <v>161</v>
      </c>
      <c r="L41" s="7">
        <v>1</v>
      </c>
      <c r="N41" s="7">
        <v>1</v>
      </c>
      <c r="O41" s="7">
        <v>0.5</v>
      </c>
      <c r="P41" s="7">
        <v>0.5</v>
      </c>
      <c r="Q41" s="52">
        <f t="shared" si="0"/>
        <v>0.5</v>
      </c>
      <c r="R41" s="7">
        <v>14.1</v>
      </c>
      <c r="S41" s="7">
        <v>124</v>
      </c>
      <c r="T41" s="16">
        <f t="shared" si="1"/>
        <v>27</v>
      </c>
      <c r="U41" s="7">
        <v>100</v>
      </c>
      <c r="V41" s="16">
        <f t="shared" si="2"/>
        <v>2700</v>
      </c>
      <c r="W41" s="7">
        <v>12</v>
      </c>
      <c r="X41" s="15" t="s">
        <v>46</v>
      </c>
      <c r="Y41" s="54" t="s">
        <v>97</v>
      </c>
      <c r="Z41" s="54" t="s">
        <v>88</v>
      </c>
      <c r="AA41" s="54" t="s">
        <v>55</v>
      </c>
      <c r="AB41" s="39" t="s">
        <v>158</v>
      </c>
    </row>
    <row r="42" spans="1:44" x14ac:dyDescent="0.15">
      <c r="A42" s="15" t="s">
        <v>156</v>
      </c>
      <c r="B42" s="15" t="s">
        <v>157</v>
      </c>
      <c r="C42" s="15">
        <v>2019</v>
      </c>
      <c r="D42" s="37" t="s">
        <v>166</v>
      </c>
      <c r="E42" s="7" t="s">
        <v>139</v>
      </c>
      <c r="F42" s="7" t="s">
        <v>145</v>
      </c>
      <c r="G42" s="7" t="s">
        <v>36</v>
      </c>
      <c r="H42" s="54" t="s">
        <v>160</v>
      </c>
      <c r="I42" s="7" t="s">
        <v>159</v>
      </c>
      <c r="J42" s="15" t="s">
        <v>38</v>
      </c>
      <c r="K42" s="7" t="s">
        <v>161</v>
      </c>
      <c r="L42" s="7">
        <v>2</v>
      </c>
      <c r="N42" s="7">
        <v>1</v>
      </c>
      <c r="O42" s="7">
        <v>0.5</v>
      </c>
      <c r="P42" s="7">
        <v>0.6</v>
      </c>
      <c r="Q42" s="52">
        <f t="shared" si="0"/>
        <v>0.55000000000000004</v>
      </c>
      <c r="R42" s="7">
        <v>20.7</v>
      </c>
      <c r="S42" s="7">
        <v>121</v>
      </c>
      <c r="T42" s="16">
        <f t="shared" si="1"/>
        <v>27</v>
      </c>
      <c r="U42" s="7">
        <v>100</v>
      </c>
      <c r="V42" s="16">
        <f t="shared" si="2"/>
        <v>2700</v>
      </c>
      <c r="W42" s="7">
        <v>12</v>
      </c>
      <c r="X42" s="15" t="s">
        <v>46</v>
      </c>
      <c r="Y42" s="54" t="s">
        <v>97</v>
      </c>
      <c r="Z42" s="54" t="s">
        <v>88</v>
      </c>
      <c r="AA42" s="54" t="s">
        <v>55</v>
      </c>
      <c r="AB42" s="39" t="s">
        <v>158</v>
      </c>
    </row>
    <row r="43" spans="1:44" x14ac:dyDescent="0.15">
      <c r="A43" s="15" t="s">
        <v>156</v>
      </c>
      <c r="B43" s="15" t="s">
        <v>157</v>
      </c>
      <c r="C43" s="15">
        <v>2019</v>
      </c>
      <c r="D43" s="37" t="s">
        <v>166</v>
      </c>
      <c r="E43" s="7" t="s">
        <v>139</v>
      </c>
      <c r="F43" s="7" t="s">
        <v>145</v>
      </c>
      <c r="G43" s="7" t="s">
        <v>36</v>
      </c>
      <c r="H43" s="54" t="s">
        <v>160</v>
      </c>
      <c r="I43" s="7" t="s">
        <v>159</v>
      </c>
      <c r="J43" s="15" t="s">
        <v>38</v>
      </c>
      <c r="K43" s="7" t="s">
        <v>161</v>
      </c>
      <c r="L43" s="7">
        <v>3</v>
      </c>
      <c r="N43" s="7">
        <v>1</v>
      </c>
      <c r="O43" s="7">
        <v>0.6</v>
      </c>
      <c r="P43" s="7">
        <v>0.6</v>
      </c>
      <c r="Q43" s="52">
        <f t="shared" si="0"/>
        <v>0.6</v>
      </c>
      <c r="R43" s="7">
        <v>19.600000000000001</v>
      </c>
      <c r="S43" s="7">
        <v>120</v>
      </c>
      <c r="T43" s="16">
        <f t="shared" si="1"/>
        <v>30</v>
      </c>
      <c r="U43" s="7">
        <v>100</v>
      </c>
      <c r="V43" s="16">
        <f t="shared" si="2"/>
        <v>3000</v>
      </c>
      <c r="W43" s="7">
        <v>12</v>
      </c>
      <c r="X43" s="15" t="s">
        <v>46</v>
      </c>
      <c r="Y43" s="54" t="s">
        <v>97</v>
      </c>
      <c r="Z43" s="54" t="s">
        <v>88</v>
      </c>
      <c r="AA43" s="54" t="s">
        <v>55</v>
      </c>
      <c r="AB43" s="39" t="s">
        <v>158</v>
      </c>
    </row>
    <row r="44" spans="1:44" x14ac:dyDescent="0.15">
      <c r="A44" s="15" t="s">
        <v>156</v>
      </c>
      <c r="B44" s="15" t="s">
        <v>157</v>
      </c>
      <c r="C44" s="15">
        <v>2019</v>
      </c>
      <c r="D44" s="37" t="s">
        <v>166</v>
      </c>
      <c r="E44" s="7" t="s">
        <v>162</v>
      </c>
      <c r="F44" s="7" t="s">
        <v>163</v>
      </c>
      <c r="G44" s="7" t="s">
        <v>36</v>
      </c>
      <c r="H44" s="15" t="s">
        <v>164</v>
      </c>
      <c r="I44" s="7" t="s">
        <v>159</v>
      </c>
      <c r="J44" s="15" t="s">
        <v>38</v>
      </c>
      <c r="K44" s="7" t="s">
        <v>161</v>
      </c>
      <c r="L44" s="7">
        <v>1</v>
      </c>
      <c r="N44" s="7">
        <v>1</v>
      </c>
      <c r="O44" s="7">
        <v>0.7</v>
      </c>
      <c r="P44" s="7">
        <v>0.75</v>
      </c>
      <c r="Q44" s="52">
        <f t="shared" si="0"/>
        <v>0.72499999999999998</v>
      </c>
      <c r="R44" s="7">
        <v>16.100000000000001</v>
      </c>
      <c r="S44" s="7">
        <v>114</v>
      </c>
      <c r="T44" s="16">
        <f t="shared" si="1"/>
        <v>30</v>
      </c>
      <c r="U44" s="7">
        <v>85</v>
      </c>
      <c r="V44" s="16">
        <f t="shared" si="2"/>
        <v>2550</v>
      </c>
      <c r="W44" s="7">
        <v>2</v>
      </c>
      <c r="X44" s="15" t="s">
        <v>46</v>
      </c>
      <c r="Y44" s="54" t="s">
        <v>88</v>
      </c>
      <c r="Z44" s="54" t="s">
        <v>102</v>
      </c>
      <c r="AA44" s="54" t="s">
        <v>69</v>
      </c>
      <c r="AB44" s="39" t="s">
        <v>158</v>
      </c>
    </row>
    <row r="45" spans="1:44" x14ac:dyDescent="0.15">
      <c r="A45" s="15" t="s">
        <v>156</v>
      </c>
      <c r="B45" s="15" t="s">
        <v>157</v>
      </c>
      <c r="C45" s="15">
        <v>2019</v>
      </c>
      <c r="D45" s="37" t="s">
        <v>166</v>
      </c>
      <c r="E45" s="7" t="s">
        <v>162</v>
      </c>
      <c r="F45" s="7" t="s">
        <v>163</v>
      </c>
      <c r="G45" s="7" t="s">
        <v>36</v>
      </c>
      <c r="H45" s="15" t="s">
        <v>164</v>
      </c>
      <c r="I45" s="7" t="s">
        <v>159</v>
      </c>
      <c r="J45" s="15" t="s">
        <v>38</v>
      </c>
      <c r="K45" s="7" t="s">
        <v>161</v>
      </c>
      <c r="L45" s="7">
        <v>2</v>
      </c>
      <c r="N45" s="7">
        <v>1</v>
      </c>
      <c r="O45" s="7">
        <v>0.5</v>
      </c>
      <c r="P45" s="7">
        <v>0.6</v>
      </c>
      <c r="Q45" s="52">
        <f t="shared" si="0"/>
        <v>0.55000000000000004</v>
      </c>
      <c r="R45" s="7">
        <v>14.2</v>
      </c>
      <c r="S45" s="7">
        <v>121</v>
      </c>
      <c r="T45" s="16">
        <f t="shared" si="1"/>
        <v>27</v>
      </c>
      <c r="U45" s="7">
        <v>85</v>
      </c>
      <c r="V45" s="16">
        <f t="shared" si="2"/>
        <v>2295</v>
      </c>
      <c r="W45" s="7">
        <v>2</v>
      </c>
      <c r="X45" s="15" t="s">
        <v>46</v>
      </c>
      <c r="Y45" s="54" t="s">
        <v>88</v>
      </c>
      <c r="Z45" s="54" t="s">
        <v>102</v>
      </c>
      <c r="AA45" s="54" t="s">
        <v>69</v>
      </c>
      <c r="AB45" s="39" t="s">
        <v>158</v>
      </c>
    </row>
    <row r="46" spans="1:44" x14ac:dyDescent="0.15">
      <c r="A46" s="15" t="s">
        <v>156</v>
      </c>
      <c r="B46" s="15" t="s">
        <v>157</v>
      </c>
      <c r="C46" s="15">
        <v>2019</v>
      </c>
      <c r="D46" s="37" t="s">
        <v>166</v>
      </c>
      <c r="E46" s="7" t="s">
        <v>162</v>
      </c>
      <c r="F46" s="7" t="s">
        <v>163</v>
      </c>
      <c r="G46" s="7" t="s">
        <v>36</v>
      </c>
      <c r="H46" s="15" t="s">
        <v>164</v>
      </c>
      <c r="I46" s="7" t="s">
        <v>159</v>
      </c>
      <c r="J46" s="15" t="s">
        <v>38</v>
      </c>
      <c r="K46" s="7" t="s">
        <v>161</v>
      </c>
      <c r="L46" s="7">
        <v>3</v>
      </c>
      <c r="N46" s="7">
        <v>1</v>
      </c>
      <c r="O46" s="7">
        <v>0.5</v>
      </c>
      <c r="P46" s="34">
        <v>0.55000000000000004</v>
      </c>
      <c r="Q46" s="52">
        <f t="shared" si="0"/>
        <v>0.52500000000000002</v>
      </c>
      <c r="R46" s="7">
        <v>16.100000000000001</v>
      </c>
      <c r="S46" s="7">
        <v>125</v>
      </c>
      <c r="T46" s="16">
        <f t="shared" si="1"/>
        <v>27</v>
      </c>
      <c r="U46" s="7">
        <v>85</v>
      </c>
      <c r="V46" s="16">
        <f t="shared" si="2"/>
        <v>2295</v>
      </c>
      <c r="W46" s="7">
        <v>2</v>
      </c>
      <c r="X46" s="15" t="s">
        <v>46</v>
      </c>
      <c r="Y46" s="54" t="s">
        <v>88</v>
      </c>
      <c r="Z46" s="54" t="s">
        <v>102</v>
      </c>
      <c r="AA46" s="54" t="s">
        <v>69</v>
      </c>
      <c r="AB46" s="39" t="s">
        <v>158</v>
      </c>
    </row>
    <row r="47" spans="1:44" x14ac:dyDescent="0.15">
      <c r="A47" s="15" t="s">
        <v>156</v>
      </c>
      <c r="B47" s="15" t="s">
        <v>157</v>
      </c>
      <c r="C47" s="15">
        <v>2019</v>
      </c>
      <c r="D47" s="37" t="s">
        <v>166</v>
      </c>
      <c r="E47" s="7" t="s">
        <v>162</v>
      </c>
      <c r="F47" s="7" t="s">
        <v>163</v>
      </c>
      <c r="G47" s="7" t="s">
        <v>36</v>
      </c>
      <c r="H47" s="15" t="s">
        <v>160</v>
      </c>
      <c r="I47" s="7" t="s">
        <v>159</v>
      </c>
      <c r="J47" s="15" t="s">
        <v>38</v>
      </c>
      <c r="K47" s="7" t="s">
        <v>161</v>
      </c>
      <c r="L47" s="7">
        <v>1</v>
      </c>
      <c r="N47" s="7">
        <v>1</v>
      </c>
      <c r="O47" s="7">
        <v>0.6</v>
      </c>
      <c r="P47" s="7">
        <v>0.75</v>
      </c>
      <c r="Q47" s="52">
        <f t="shared" si="0"/>
        <v>0.67500000000000004</v>
      </c>
      <c r="R47" s="7">
        <v>20.5</v>
      </c>
      <c r="S47" s="7">
        <v>116</v>
      </c>
      <c r="T47" s="16">
        <f t="shared" si="1"/>
        <v>30</v>
      </c>
      <c r="U47" s="7">
        <v>98</v>
      </c>
      <c r="V47" s="16">
        <f t="shared" si="2"/>
        <v>2940</v>
      </c>
      <c r="W47" s="7">
        <v>5</v>
      </c>
      <c r="X47" s="15" t="s">
        <v>46</v>
      </c>
      <c r="Y47" s="54" t="s">
        <v>88</v>
      </c>
      <c r="Z47" s="54" t="s">
        <v>102</v>
      </c>
      <c r="AA47" s="54" t="s">
        <v>69</v>
      </c>
      <c r="AB47" s="39" t="s">
        <v>158</v>
      </c>
    </row>
    <row r="48" spans="1:44" x14ac:dyDescent="0.15">
      <c r="A48" s="15" t="s">
        <v>156</v>
      </c>
      <c r="B48" s="15" t="s">
        <v>157</v>
      </c>
      <c r="C48" s="15">
        <v>2019</v>
      </c>
      <c r="D48" s="37" t="s">
        <v>166</v>
      </c>
      <c r="E48" s="7" t="s">
        <v>162</v>
      </c>
      <c r="F48" s="7" t="s">
        <v>163</v>
      </c>
      <c r="G48" s="7" t="s">
        <v>36</v>
      </c>
      <c r="H48" s="15" t="s">
        <v>160</v>
      </c>
      <c r="I48" s="7" t="s">
        <v>159</v>
      </c>
      <c r="J48" s="15" t="s">
        <v>38</v>
      </c>
      <c r="K48" s="7" t="s">
        <v>161</v>
      </c>
      <c r="L48" s="7">
        <v>2</v>
      </c>
      <c r="N48" s="7">
        <v>1</v>
      </c>
      <c r="O48" s="7">
        <v>0.55000000000000004</v>
      </c>
      <c r="P48" s="7">
        <v>0.5</v>
      </c>
      <c r="Q48" s="52">
        <f t="shared" si="0"/>
        <v>0.52500000000000002</v>
      </c>
      <c r="R48" s="7">
        <v>15.1</v>
      </c>
      <c r="S48" s="7">
        <v>123</v>
      </c>
      <c r="T48" s="16">
        <f t="shared" si="1"/>
        <v>27</v>
      </c>
      <c r="U48" s="7">
        <v>98</v>
      </c>
      <c r="V48" s="16">
        <f t="shared" si="2"/>
        <v>2646</v>
      </c>
      <c r="W48" s="7">
        <v>5</v>
      </c>
      <c r="X48" s="15" t="s">
        <v>46</v>
      </c>
      <c r="Y48" s="54" t="s">
        <v>88</v>
      </c>
      <c r="Z48" s="54" t="s">
        <v>102</v>
      </c>
      <c r="AA48" s="54" t="s">
        <v>69</v>
      </c>
      <c r="AB48" s="39" t="s">
        <v>158</v>
      </c>
    </row>
    <row r="49" spans="1:29" x14ac:dyDescent="0.15">
      <c r="A49" s="15" t="s">
        <v>156</v>
      </c>
      <c r="B49" s="15" t="s">
        <v>157</v>
      </c>
      <c r="C49" s="15">
        <v>2019</v>
      </c>
      <c r="D49" s="37" t="s">
        <v>166</v>
      </c>
      <c r="E49" s="7" t="s">
        <v>162</v>
      </c>
      <c r="F49" s="7" t="s">
        <v>163</v>
      </c>
      <c r="G49" s="7" t="s">
        <v>36</v>
      </c>
      <c r="H49" s="15" t="s">
        <v>160</v>
      </c>
      <c r="I49" s="7" t="s">
        <v>159</v>
      </c>
      <c r="J49" s="15" t="s">
        <v>38</v>
      </c>
      <c r="K49" s="7" t="s">
        <v>161</v>
      </c>
      <c r="L49" s="7">
        <v>3</v>
      </c>
      <c r="N49" s="7">
        <v>1</v>
      </c>
      <c r="O49" s="7">
        <v>0.55000000000000004</v>
      </c>
      <c r="P49" s="34">
        <v>0.65</v>
      </c>
      <c r="Q49" s="52">
        <f t="shared" si="0"/>
        <v>0.60000000000000009</v>
      </c>
      <c r="R49" s="7">
        <v>19.399999999999999</v>
      </c>
      <c r="S49" s="7">
        <v>122</v>
      </c>
      <c r="T49" s="16">
        <f t="shared" si="1"/>
        <v>27</v>
      </c>
      <c r="U49" s="7">
        <v>98</v>
      </c>
      <c r="V49" s="16">
        <f t="shared" si="2"/>
        <v>2646</v>
      </c>
      <c r="W49" s="7">
        <v>5</v>
      </c>
      <c r="X49" s="15" t="s">
        <v>46</v>
      </c>
      <c r="Y49" s="54" t="s">
        <v>88</v>
      </c>
      <c r="Z49" s="54" t="s">
        <v>102</v>
      </c>
      <c r="AA49" s="54" t="s">
        <v>69</v>
      </c>
      <c r="AB49" s="39" t="s">
        <v>158</v>
      </c>
    </row>
    <row r="50" spans="1:29" x14ac:dyDescent="0.15">
      <c r="A50" s="15" t="s">
        <v>156</v>
      </c>
      <c r="B50" s="15" t="s">
        <v>157</v>
      </c>
      <c r="C50" s="15">
        <v>2019</v>
      </c>
      <c r="D50" s="37" t="s">
        <v>166</v>
      </c>
      <c r="E50" s="7" t="s">
        <v>130</v>
      </c>
      <c r="F50" s="7" t="s">
        <v>146</v>
      </c>
      <c r="G50" s="7" t="s">
        <v>36</v>
      </c>
      <c r="H50" s="15" t="s">
        <v>164</v>
      </c>
      <c r="I50" s="7" t="s">
        <v>159</v>
      </c>
      <c r="J50" s="15" t="s">
        <v>38</v>
      </c>
      <c r="K50" s="7" t="s">
        <v>161</v>
      </c>
      <c r="L50" s="7">
        <v>1</v>
      </c>
      <c r="N50" s="7">
        <v>1</v>
      </c>
      <c r="O50" s="7">
        <v>0.8</v>
      </c>
      <c r="P50" s="7">
        <v>0.75</v>
      </c>
      <c r="Q50" s="52">
        <f t="shared" si="0"/>
        <v>0.77500000000000002</v>
      </c>
      <c r="R50" s="7">
        <v>14.2</v>
      </c>
      <c r="S50" s="7">
        <v>122</v>
      </c>
      <c r="T50" s="16">
        <f t="shared" si="1"/>
        <v>27</v>
      </c>
      <c r="U50" s="7">
        <v>105</v>
      </c>
      <c r="V50" s="16">
        <f t="shared" si="2"/>
        <v>2835</v>
      </c>
      <c r="W50" s="7">
        <v>6</v>
      </c>
      <c r="X50" s="15" t="s">
        <v>46</v>
      </c>
      <c r="Y50" s="54" t="s">
        <v>86</v>
      </c>
      <c r="Z50" s="54" t="s">
        <v>97</v>
      </c>
      <c r="AA50" s="54" t="s">
        <v>88</v>
      </c>
      <c r="AB50" s="39" t="s">
        <v>158</v>
      </c>
    </row>
    <row r="51" spans="1:29" x14ac:dyDescent="0.15">
      <c r="A51" s="15" t="s">
        <v>156</v>
      </c>
      <c r="B51" s="15" t="s">
        <v>157</v>
      </c>
      <c r="C51" s="15">
        <v>2019</v>
      </c>
      <c r="D51" s="37" t="s">
        <v>166</v>
      </c>
      <c r="E51" s="7" t="s">
        <v>130</v>
      </c>
      <c r="F51" s="7" t="s">
        <v>146</v>
      </c>
      <c r="G51" s="7" t="s">
        <v>36</v>
      </c>
      <c r="H51" s="15" t="s">
        <v>164</v>
      </c>
      <c r="I51" s="7" t="s">
        <v>159</v>
      </c>
      <c r="J51" s="15" t="s">
        <v>38</v>
      </c>
      <c r="K51" s="7" t="s">
        <v>161</v>
      </c>
      <c r="L51" s="7">
        <v>2</v>
      </c>
      <c r="N51" s="7">
        <v>1</v>
      </c>
      <c r="O51" s="7">
        <v>0.75</v>
      </c>
      <c r="P51" s="7">
        <v>0.75</v>
      </c>
      <c r="Q51" s="52">
        <f t="shared" si="0"/>
        <v>0.75</v>
      </c>
      <c r="R51" s="7">
        <v>13.6</v>
      </c>
      <c r="S51" s="7">
        <v>117</v>
      </c>
      <c r="T51" s="16">
        <f t="shared" si="1"/>
        <v>30</v>
      </c>
      <c r="U51" s="7">
        <v>105</v>
      </c>
      <c r="V51" s="16">
        <f t="shared" si="2"/>
        <v>3150</v>
      </c>
      <c r="W51" s="7">
        <v>6</v>
      </c>
      <c r="X51" s="15" t="s">
        <v>46</v>
      </c>
      <c r="Y51" s="54" t="s">
        <v>86</v>
      </c>
      <c r="Z51" s="54" t="s">
        <v>97</v>
      </c>
      <c r="AA51" s="54" t="s">
        <v>88</v>
      </c>
      <c r="AB51" s="39" t="s">
        <v>158</v>
      </c>
    </row>
    <row r="52" spans="1:29" x14ac:dyDescent="0.15">
      <c r="A52" s="15" t="s">
        <v>156</v>
      </c>
      <c r="B52" s="15" t="s">
        <v>157</v>
      </c>
      <c r="C52" s="15">
        <v>2019</v>
      </c>
      <c r="D52" s="37" t="s">
        <v>166</v>
      </c>
      <c r="E52" s="7" t="s">
        <v>130</v>
      </c>
      <c r="F52" s="7" t="s">
        <v>146</v>
      </c>
      <c r="G52" s="7" t="s">
        <v>36</v>
      </c>
      <c r="H52" s="15" t="s">
        <v>164</v>
      </c>
      <c r="I52" s="7" t="s">
        <v>159</v>
      </c>
      <c r="J52" s="15" t="s">
        <v>38</v>
      </c>
      <c r="K52" s="7" t="s">
        <v>161</v>
      </c>
      <c r="L52" s="7">
        <v>3</v>
      </c>
      <c r="N52" s="7">
        <v>1</v>
      </c>
      <c r="O52" s="7">
        <v>0.5</v>
      </c>
      <c r="P52" s="7">
        <v>0.5</v>
      </c>
      <c r="Q52" s="52">
        <f t="shared" si="0"/>
        <v>0.5</v>
      </c>
      <c r="R52" s="7">
        <v>15</v>
      </c>
      <c r="S52" s="7">
        <v>116</v>
      </c>
      <c r="T52" s="16">
        <f t="shared" si="1"/>
        <v>30</v>
      </c>
      <c r="U52" s="7">
        <v>105</v>
      </c>
      <c r="V52" s="16">
        <f t="shared" si="2"/>
        <v>3150</v>
      </c>
      <c r="W52" s="7">
        <v>6</v>
      </c>
      <c r="X52" s="15" t="s">
        <v>46</v>
      </c>
      <c r="Y52" s="54" t="s">
        <v>86</v>
      </c>
      <c r="Z52" s="54" t="s">
        <v>97</v>
      </c>
      <c r="AA52" s="54" t="s">
        <v>88</v>
      </c>
      <c r="AB52" s="39" t="s">
        <v>158</v>
      </c>
    </row>
    <row r="53" spans="1:29" x14ac:dyDescent="0.15">
      <c r="A53" s="15" t="s">
        <v>156</v>
      </c>
      <c r="B53" s="15" t="s">
        <v>157</v>
      </c>
      <c r="C53" s="15">
        <v>2019</v>
      </c>
      <c r="D53" s="37" t="s">
        <v>166</v>
      </c>
      <c r="E53" s="7" t="s">
        <v>130</v>
      </c>
      <c r="F53" s="7" t="s">
        <v>146</v>
      </c>
      <c r="G53" s="7" t="s">
        <v>36</v>
      </c>
      <c r="H53" s="15" t="s">
        <v>160</v>
      </c>
      <c r="I53" s="7" t="s">
        <v>159</v>
      </c>
      <c r="J53" s="15" t="s">
        <v>38</v>
      </c>
      <c r="K53" s="7" t="s">
        <v>161</v>
      </c>
      <c r="L53" s="7">
        <v>1</v>
      </c>
      <c r="N53" s="7">
        <v>1</v>
      </c>
      <c r="O53" s="7">
        <v>0.55000000000000004</v>
      </c>
      <c r="P53" s="7">
        <v>0.7</v>
      </c>
      <c r="Q53" s="52">
        <f t="shared" si="0"/>
        <v>0.625</v>
      </c>
      <c r="R53" s="7">
        <v>20.100000000000001</v>
      </c>
      <c r="S53" s="7">
        <v>130</v>
      </c>
      <c r="T53" s="16">
        <f t="shared" si="1"/>
        <v>25</v>
      </c>
      <c r="U53" s="7">
        <v>135</v>
      </c>
      <c r="V53" s="16">
        <f t="shared" si="2"/>
        <v>3375</v>
      </c>
      <c r="W53" s="7">
        <v>5</v>
      </c>
      <c r="X53" s="15" t="s">
        <v>46</v>
      </c>
      <c r="Y53" s="54" t="s">
        <v>86</v>
      </c>
      <c r="Z53" s="54" t="s">
        <v>97</v>
      </c>
      <c r="AA53" s="54" t="s">
        <v>88</v>
      </c>
      <c r="AB53" s="39" t="s">
        <v>158</v>
      </c>
      <c r="AC53" s="36"/>
    </row>
    <row r="54" spans="1:29" x14ac:dyDescent="0.15">
      <c r="A54" s="15" t="s">
        <v>156</v>
      </c>
      <c r="B54" s="15" t="s">
        <v>157</v>
      </c>
      <c r="C54" s="15">
        <v>2019</v>
      </c>
      <c r="D54" s="37" t="s">
        <v>166</v>
      </c>
      <c r="E54" s="7" t="s">
        <v>130</v>
      </c>
      <c r="F54" s="7" t="s">
        <v>146</v>
      </c>
      <c r="G54" s="7" t="s">
        <v>36</v>
      </c>
      <c r="H54" s="15" t="s">
        <v>160</v>
      </c>
      <c r="I54" s="7" t="s">
        <v>159</v>
      </c>
      <c r="J54" s="15" t="s">
        <v>38</v>
      </c>
      <c r="K54" s="7" t="s">
        <v>161</v>
      </c>
      <c r="L54" s="7">
        <v>2</v>
      </c>
      <c r="N54" s="7">
        <v>1</v>
      </c>
      <c r="O54" s="7">
        <v>0.55000000000000004</v>
      </c>
      <c r="P54" s="7">
        <v>0.55000000000000004</v>
      </c>
      <c r="Q54" s="52">
        <f t="shared" si="0"/>
        <v>0.55000000000000004</v>
      </c>
      <c r="R54" s="7">
        <v>19.899999999999999</v>
      </c>
      <c r="S54" s="7">
        <v>127</v>
      </c>
      <c r="T54" s="16">
        <f t="shared" si="1"/>
        <v>27</v>
      </c>
      <c r="U54" s="7">
        <v>135</v>
      </c>
      <c r="V54" s="16">
        <f t="shared" si="2"/>
        <v>3645</v>
      </c>
      <c r="W54" s="7">
        <v>5</v>
      </c>
      <c r="X54" s="15" t="s">
        <v>46</v>
      </c>
      <c r="Y54" s="54" t="s">
        <v>86</v>
      </c>
      <c r="Z54" s="54" t="s">
        <v>97</v>
      </c>
      <c r="AA54" s="54" t="s">
        <v>88</v>
      </c>
      <c r="AB54" s="39" t="s">
        <v>158</v>
      </c>
      <c r="AC54" s="36"/>
    </row>
    <row r="55" spans="1:29" x14ac:dyDescent="0.15">
      <c r="A55" s="15" t="s">
        <v>156</v>
      </c>
      <c r="B55" s="15" t="s">
        <v>157</v>
      </c>
      <c r="C55" s="15">
        <v>2019</v>
      </c>
      <c r="D55" s="37" t="s">
        <v>166</v>
      </c>
      <c r="E55" s="7" t="s">
        <v>130</v>
      </c>
      <c r="F55" s="7" t="s">
        <v>146</v>
      </c>
      <c r="G55" s="7" t="s">
        <v>36</v>
      </c>
      <c r="H55" s="15" t="s">
        <v>160</v>
      </c>
      <c r="I55" s="7" t="s">
        <v>159</v>
      </c>
      <c r="J55" s="15" t="s">
        <v>38</v>
      </c>
      <c r="K55" s="7" t="s">
        <v>161</v>
      </c>
      <c r="L55" s="7">
        <v>3</v>
      </c>
      <c r="N55" s="7">
        <v>1</v>
      </c>
      <c r="O55" s="7">
        <v>0.9</v>
      </c>
      <c r="P55" s="7">
        <v>0.85</v>
      </c>
      <c r="Q55" s="52">
        <f t="shared" si="0"/>
        <v>0.875</v>
      </c>
      <c r="R55" s="7">
        <v>13.9</v>
      </c>
      <c r="S55" s="7">
        <v>129</v>
      </c>
      <c r="T55" s="16">
        <f t="shared" si="1"/>
        <v>25</v>
      </c>
      <c r="U55" s="7">
        <v>135</v>
      </c>
      <c r="V55" s="16">
        <f t="shared" si="2"/>
        <v>3375</v>
      </c>
      <c r="W55" s="7">
        <v>5</v>
      </c>
      <c r="X55" s="15" t="s">
        <v>46</v>
      </c>
      <c r="Y55" s="54" t="s">
        <v>86</v>
      </c>
      <c r="Z55" s="54" t="s">
        <v>97</v>
      </c>
      <c r="AA55" s="54" t="s">
        <v>88</v>
      </c>
      <c r="AB55" s="39" t="s">
        <v>158</v>
      </c>
      <c r="AC55" s="36"/>
    </row>
    <row r="56" spans="1:29" x14ac:dyDescent="0.15">
      <c r="A56" s="15" t="s">
        <v>156</v>
      </c>
      <c r="B56" s="15" t="s">
        <v>157</v>
      </c>
      <c r="C56" s="15">
        <v>2019</v>
      </c>
      <c r="D56" s="37" t="s">
        <v>166</v>
      </c>
      <c r="E56" s="7" t="s">
        <v>132</v>
      </c>
      <c r="F56" s="7" t="s">
        <v>147</v>
      </c>
      <c r="G56" s="7" t="s">
        <v>36</v>
      </c>
      <c r="H56" s="15" t="s">
        <v>164</v>
      </c>
      <c r="I56" s="7" t="s">
        <v>159</v>
      </c>
      <c r="J56" s="15" t="s">
        <v>38</v>
      </c>
      <c r="K56" s="7" t="s">
        <v>161</v>
      </c>
      <c r="L56" s="7">
        <v>1</v>
      </c>
      <c r="N56" s="7">
        <v>1</v>
      </c>
      <c r="O56" s="7">
        <v>0.5</v>
      </c>
      <c r="P56" s="7">
        <v>0.5</v>
      </c>
      <c r="Q56" s="52">
        <f t="shared" si="0"/>
        <v>0.5</v>
      </c>
      <c r="R56" s="7">
        <v>14.9</v>
      </c>
      <c r="S56" s="7">
        <v>133</v>
      </c>
      <c r="T56" s="16">
        <f t="shared" si="1"/>
        <v>25</v>
      </c>
      <c r="U56" s="7">
        <v>138</v>
      </c>
      <c r="V56" s="16">
        <f t="shared" si="2"/>
        <v>3450</v>
      </c>
      <c r="W56" s="7">
        <v>5</v>
      </c>
      <c r="X56" s="15" t="s">
        <v>46</v>
      </c>
      <c r="Y56" s="54" t="s">
        <v>97</v>
      </c>
      <c r="Z56" s="54" t="s">
        <v>88</v>
      </c>
      <c r="AA56" s="54" t="s">
        <v>78</v>
      </c>
      <c r="AB56" s="39" t="s">
        <v>158</v>
      </c>
    </row>
    <row r="57" spans="1:29" x14ac:dyDescent="0.15">
      <c r="A57" s="15" t="s">
        <v>156</v>
      </c>
      <c r="B57" s="15" t="s">
        <v>157</v>
      </c>
      <c r="C57" s="15">
        <v>2019</v>
      </c>
      <c r="D57" s="37" t="s">
        <v>166</v>
      </c>
      <c r="E57" s="7" t="s">
        <v>132</v>
      </c>
      <c r="F57" s="7" t="s">
        <v>147</v>
      </c>
      <c r="G57" s="7" t="s">
        <v>36</v>
      </c>
      <c r="H57" s="54" t="s">
        <v>164</v>
      </c>
      <c r="I57" s="7" t="s">
        <v>159</v>
      </c>
      <c r="J57" s="15" t="s">
        <v>38</v>
      </c>
      <c r="K57" s="7" t="s">
        <v>161</v>
      </c>
      <c r="L57" s="7">
        <v>2</v>
      </c>
      <c r="N57" s="7">
        <v>1</v>
      </c>
      <c r="O57" s="7">
        <v>0.5</v>
      </c>
      <c r="P57" s="7">
        <v>0.5</v>
      </c>
      <c r="Q57" s="52">
        <f t="shared" si="0"/>
        <v>0.5</v>
      </c>
      <c r="R57" s="7">
        <v>18</v>
      </c>
      <c r="S57" s="7">
        <v>126</v>
      </c>
      <c r="T57" s="16">
        <f t="shared" si="1"/>
        <v>27</v>
      </c>
      <c r="U57" s="7">
        <v>138</v>
      </c>
      <c r="V57" s="16">
        <f t="shared" si="2"/>
        <v>3726</v>
      </c>
      <c r="W57" s="7">
        <v>5</v>
      </c>
      <c r="X57" s="15" t="s">
        <v>46</v>
      </c>
      <c r="Y57" s="54" t="s">
        <v>97</v>
      </c>
      <c r="Z57" s="54" t="s">
        <v>88</v>
      </c>
      <c r="AA57" s="54" t="s">
        <v>78</v>
      </c>
      <c r="AB57" s="39" t="s">
        <v>158</v>
      </c>
    </row>
    <row r="58" spans="1:29" x14ac:dyDescent="0.15">
      <c r="A58" s="15" t="s">
        <v>156</v>
      </c>
      <c r="B58" s="15" t="s">
        <v>157</v>
      </c>
      <c r="C58" s="15">
        <v>2019</v>
      </c>
      <c r="D58" s="37" t="s">
        <v>166</v>
      </c>
      <c r="E58" s="7" t="s">
        <v>132</v>
      </c>
      <c r="F58" s="7" t="s">
        <v>147</v>
      </c>
      <c r="G58" s="7" t="s">
        <v>36</v>
      </c>
      <c r="H58" s="54" t="s">
        <v>164</v>
      </c>
      <c r="I58" s="7" t="s">
        <v>159</v>
      </c>
      <c r="J58" s="15" t="s">
        <v>38</v>
      </c>
      <c r="K58" s="7" t="s">
        <v>161</v>
      </c>
      <c r="L58" s="7">
        <v>3</v>
      </c>
      <c r="N58" s="7">
        <v>1</v>
      </c>
      <c r="O58" s="7">
        <v>0.5</v>
      </c>
      <c r="P58" s="7">
        <v>0.5</v>
      </c>
      <c r="Q58" s="52">
        <f t="shared" si="0"/>
        <v>0.5</v>
      </c>
      <c r="R58" s="7">
        <v>14.5</v>
      </c>
      <c r="S58" s="7">
        <v>135</v>
      </c>
      <c r="T58" s="16">
        <f t="shared" si="1"/>
        <v>25</v>
      </c>
      <c r="U58" s="7">
        <v>138</v>
      </c>
      <c r="V58" s="16">
        <f t="shared" si="2"/>
        <v>3450</v>
      </c>
      <c r="W58" s="7">
        <v>5</v>
      </c>
      <c r="X58" s="15" t="s">
        <v>46</v>
      </c>
      <c r="Y58" s="54" t="s">
        <v>97</v>
      </c>
      <c r="Z58" s="54" t="s">
        <v>88</v>
      </c>
      <c r="AA58" s="54" t="s">
        <v>78</v>
      </c>
      <c r="AB58" s="39" t="s">
        <v>158</v>
      </c>
    </row>
    <row r="59" spans="1:29" x14ac:dyDescent="0.15">
      <c r="A59" s="15" t="s">
        <v>156</v>
      </c>
      <c r="B59" s="15" t="s">
        <v>157</v>
      </c>
      <c r="C59" s="15">
        <v>2019</v>
      </c>
      <c r="D59" s="37" t="s">
        <v>166</v>
      </c>
      <c r="E59" s="7" t="s">
        <v>132</v>
      </c>
      <c r="F59" s="7" t="s">
        <v>147</v>
      </c>
      <c r="G59" s="7" t="s">
        <v>36</v>
      </c>
      <c r="H59" s="15" t="s">
        <v>160</v>
      </c>
      <c r="I59" s="7" t="s">
        <v>159</v>
      </c>
      <c r="J59" s="15" t="s">
        <v>38</v>
      </c>
      <c r="K59" s="7" t="s">
        <v>161</v>
      </c>
      <c r="L59" s="7">
        <v>1</v>
      </c>
      <c r="N59" s="7">
        <v>1</v>
      </c>
      <c r="O59" s="7">
        <v>0.6</v>
      </c>
      <c r="P59" s="7">
        <v>0.55000000000000004</v>
      </c>
      <c r="Q59" s="52">
        <f t="shared" si="0"/>
        <v>0.57499999999999996</v>
      </c>
      <c r="R59" s="7">
        <v>15.1</v>
      </c>
      <c r="S59" s="7">
        <v>138</v>
      </c>
      <c r="T59" s="16">
        <f t="shared" si="1"/>
        <v>22</v>
      </c>
      <c r="U59" s="7">
        <v>138</v>
      </c>
      <c r="V59" s="16">
        <f t="shared" si="2"/>
        <v>3036</v>
      </c>
      <c r="W59" s="7">
        <v>5</v>
      </c>
      <c r="X59" s="15" t="s">
        <v>46</v>
      </c>
      <c r="Y59" s="54" t="s">
        <v>97</v>
      </c>
      <c r="Z59" s="54" t="s">
        <v>88</v>
      </c>
      <c r="AA59" s="54" t="s">
        <v>78</v>
      </c>
      <c r="AB59" s="39" t="s">
        <v>158</v>
      </c>
    </row>
    <row r="60" spans="1:29" x14ac:dyDescent="0.15">
      <c r="A60" s="15" t="s">
        <v>156</v>
      </c>
      <c r="B60" s="15" t="s">
        <v>157</v>
      </c>
      <c r="C60" s="15">
        <v>2019</v>
      </c>
      <c r="D60" s="37" t="s">
        <v>166</v>
      </c>
      <c r="E60" s="7" t="s">
        <v>132</v>
      </c>
      <c r="F60" s="7" t="s">
        <v>147</v>
      </c>
      <c r="G60" s="7" t="s">
        <v>36</v>
      </c>
      <c r="H60" s="15" t="s">
        <v>160</v>
      </c>
      <c r="I60" s="7" t="s">
        <v>159</v>
      </c>
      <c r="J60" s="15" t="s">
        <v>38</v>
      </c>
      <c r="K60" s="7" t="s">
        <v>161</v>
      </c>
      <c r="L60" s="7">
        <v>2</v>
      </c>
      <c r="N60" s="7">
        <v>1</v>
      </c>
      <c r="O60" s="7">
        <v>0.5</v>
      </c>
      <c r="P60" s="7">
        <v>0.5</v>
      </c>
      <c r="Q60" s="52">
        <f t="shared" si="0"/>
        <v>0.5</v>
      </c>
      <c r="R60" s="7">
        <v>18.399999999999999</v>
      </c>
      <c r="S60" s="7">
        <v>127</v>
      </c>
      <c r="T60" s="16">
        <f>IF(H60="","",IF(OR(H60="GREEN",H60="GK"),IF(S60&gt;=$AX$2,VLOOKUP(S60,$AX$2:$AY$12,2,1),""),IF(S60&gt;=$AZ$2,VLOOKUP(S60,$AZ$2:$BA$12,2,1),"")))</f>
        <v>27</v>
      </c>
      <c r="U60" s="7">
        <v>138</v>
      </c>
      <c r="V60" s="16">
        <f t="shared" si="2"/>
        <v>3726</v>
      </c>
      <c r="W60" s="7">
        <v>5</v>
      </c>
      <c r="X60" s="15" t="s">
        <v>46</v>
      </c>
      <c r="Y60" s="54" t="s">
        <v>97</v>
      </c>
      <c r="Z60" s="54" t="s">
        <v>88</v>
      </c>
      <c r="AA60" s="54" t="s">
        <v>78</v>
      </c>
      <c r="AB60" s="39" t="s">
        <v>158</v>
      </c>
    </row>
    <row r="61" spans="1:29" x14ac:dyDescent="0.15">
      <c r="A61" s="15" t="s">
        <v>156</v>
      </c>
      <c r="B61" s="15" t="s">
        <v>157</v>
      </c>
      <c r="C61" s="15">
        <v>2019</v>
      </c>
      <c r="D61" s="37" t="s">
        <v>166</v>
      </c>
      <c r="E61" s="7" t="s">
        <v>132</v>
      </c>
      <c r="F61" s="7" t="s">
        <v>147</v>
      </c>
      <c r="G61" s="7" t="s">
        <v>36</v>
      </c>
      <c r="H61" s="15" t="s">
        <v>160</v>
      </c>
      <c r="I61" s="7" t="s">
        <v>159</v>
      </c>
      <c r="J61" s="15" t="s">
        <v>38</v>
      </c>
      <c r="K61" s="7" t="s">
        <v>161</v>
      </c>
      <c r="L61" s="7">
        <v>3</v>
      </c>
      <c r="N61" s="53">
        <v>1</v>
      </c>
      <c r="O61" s="7">
        <v>0.5</v>
      </c>
      <c r="P61" s="7">
        <v>0.5</v>
      </c>
      <c r="Q61" s="52">
        <f t="shared" si="0"/>
        <v>0.5</v>
      </c>
      <c r="R61" s="7">
        <v>18.7</v>
      </c>
      <c r="S61" s="7">
        <v>127</v>
      </c>
      <c r="T61" s="16">
        <f>IF(H61="","",IF(OR(H61="GREEN",H61="GK"),IF(S61&gt;=$AX$2,VLOOKUP(S61,$AX$2:$AY$12,2,1),""),IF(S61&gt;=$AZ$2,VLOOKUP(S61,$AZ$2:$BA$12,2,1),"")))</f>
        <v>27</v>
      </c>
      <c r="U61" s="7">
        <v>138</v>
      </c>
      <c r="V61" s="16">
        <f t="shared" si="2"/>
        <v>3726</v>
      </c>
      <c r="W61" s="7">
        <v>5</v>
      </c>
      <c r="X61" s="15" t="s">
        <v>46</v>
      </c>
      <c r="Y61" s="54" t="s">
        <v>97</v>
      </c>
      <c r="Z61" s="54" t="s">
        <v>88</v>
      </c>
      <c r="AA61" s="54" t="s">
        <v>78</v>
      </c>
      <c r="AB61" s="39" t="s">
        <v>158</v>
      </c>
    </row>
    <row r="62" spans="1:29" x14ac:dyDescent="0.15">
      <c r="A62" s="15" t="s">
        <v>156</v>
      </c>
      <c r="B62" s="15" t="s">
        <v>157</v>
      </c>
      <c r="C62" s="15">
        <v>2019</v>
      </c>
      <c r="D62" s="37" t="s">
        <v>166</v>
      </c>
      <c r="E62" s="7" t="s">
        <v>140</v>
      </c>
      <c r="F62" s="7" t="s">
        <v>148</v>
      </c>
      <c r="G62" s="7" t="s">
        <v>36</v>
      </c>
      <c r="H62" s="15" t="s">
        <v>164</v>
      </c>
      <c r="I62" s="7" t="s">
        <v>159</v>
      </c>
      <c r="J62" s="15" t="s">
        <v>38</v>
      </c>
      <c r="K62" s="7" t="s">
        <v>161</v>
      </c>
      <c r="L62" s="7">
        <v>1</v>
      </c>
      <c r="N62" s="53">
        <v>1</v>
      </c>
      <c r="O62" s="7">
        <v>0.7</v>
      </c>
      <c r="P62" s="7">
        <v>0.6</v>
      </c>
      <c r="Q62" s="52">
        <f t="shared" si="0"/>
        <v>0.64999999999999991</v>
      </c>
      <c r="R62" s="7">
        <v>13.2</v>
      </c>
      <c r="S62" s="7">
        <v>83</v>
      </c>
      <c r="T62" s="16">
        <f t="shared" ref="T62:T120" si="3">IF(H62="","",IF(OR(H62="GREEN",H62="GK"),IF(S62&gt;=$AX$2,VLOOKUP(S62,$AX$2:$AY$12,2,1),""),IF(S62&gt;=$AZ$2,VLOOKUP(S62,$AZ$2:$BA$12,2,1),"")))</f>
        <v>39</v>
      </c>
      <c r="U62" s="7">
        <v>84</v>
      </c>
      <c r="V62" s="16">
        <f t="shared" si="2"/>
        <v>3276</v>
      </c>
      <c r="W62" s="7">
        <v>3</v>
      </c>
      <c r="X62" s="54" t="s">
        <v>46</v>
      </c>
      <c r="Y62" s="54" t="s">
        <v>88</v>
      </c>
      <c r="Z62" s="54" t="s">
        <v>86</v>
      </c>
      <c r="AA62" s="54" t="s">
        <v>78</v>
      </c>
      <c r="AB62" s="39" t="s">
        <v>158</v>
      </c>
    </row>
    <row r="63" spans="1:29" x14ac:dyDescent="0.15">
      <c r="A63" s="15" t="s">
        <v>156</v>
      </c>
      <c r="B63" s="15" t="s">
        <v>157</v>
      </c>
      <c r="C63" s="15">
        <v>2019</v>
      </c>
      <c r="D63" s="37" t="s">
        <v>166</v>
      </c>
      <c r="E63" s="7" t="s">
        <v>140</v>
      </c>
      <c r="F63" s="7" t="s">
        <v>148</v>
      </c>
      <c r="G63" s="7" t="s">
        <v>36</v>
      </c>
      <c r="H63" s="15" t="s">
        <v>164</v>
      </c>
      <c r="I63" s="7" t="s">
        <v>159</v>
      </c>
      <c r="J63" s="15" t="s">
        <v>38</v>
      </c>
      <c r="K63" s="7" t="s">
        <v>161</v>
      </c>
      <c r="L63" s="7">
        <v>2</v>
      </c>
      <c r="N63" s="53">
        <v>1</v>
      </c>
      <c r="O63" s="7">
        <v>0.7</v>
      </c>
      <c r="P63" s="7">
        <v>0.85</v>
      </c>
      <c r="Q63" s="52">
        <f t="shared" si="0"/>
        <v>0.77499999999999991</v>
      </c>
      <c r="R63" s="7">
        <v>13.2</v>
      </c>
      <c r="S63" s="7">
        <v>83</v>
      </c>
      <c r="T63" s="16">
        <f t="shared" si="3"/>
        <v>39</v>
      </c>
      <c r="U63" s="7">
        <v>84</v>
      </c>
      <c r="V63" s="16">
        <f t="shared" si="2"/>
        <v>3276</v>
      </c>
      <c r="W63" s="7">
        <v>3</v>
      </c>
      <c r="X63" s="54" t="s">
        <v>46</v>
      </c>
      <c r="Y63" s="54" t="s">
        <v>88</v>
      </c>
      <c r="Z63" s="54" t="s">
        <v>86</v>
      </c>
      <c r="AA63" s="54" t="s">
        <v>78</v>
      </c>
      <c r="AB63" s="39" t="s">
        <v>158</v>
      </c>
    </row>
    <row r="64" spans="1:29" x14ac:dyDescent="0.15">
      <c r="A64" s="15" t="s">
        <v>156</v>
      </c>
      <c r="B64" s="15" t="s">
        <v>157</v>
      </c>
      <c r="C64" s="15">
        <v>2019</v>
      </c>
      <c r="D64" s="37" t="s">
        <v>166</v>
      </c>
      <c r="E64" s="7" t="s">
        <v>140</v>
      </c>
      <c r="F64" s="7" t="s">
        <v>148</v>
      </c>
      <c r="G64" s="7" t="s">
        <v>36</v>
      </c>
      <c r="H64" s="15" t="s">
        <v>164</v>
      </c>
      <c r="I64" s="7" t="s">
        <v>159</v>
      </c>
      <c r="J64" s="15" t="s">
        <v>38</v>
      </c>
      <c r="K64" s="7" t="s">
        <v>161</v>
      </c>
      <c r="L64" s="7">
        <v>3</v>
      </c>
      <c r="N64" s="53">
        <v>1</v>
      </c>
      <c r="O64" s="7">
        <v>0.65</v>
      </c>
      <c r="P64" s="7">
        <v>0.8</v>
      </c>
      <c r="Q64" s="52">
        <f t="shared" si="0"/>
        <v>0.72500000000000009</v>
      </c>
      <c r="R64" s="7">
        <v>13.1</v>
      </c>
      <c r="S64" s="7">
        <v>92</v>
      </c>
      <c r="T64" s="16">
        <f t="shared" si="3"/>
        <v>36</v>
      </c>
      <c r="U64" s="7">
        <v>84</v>
      </c>
      <c r="V64" s="16">
        <f t="shared" si="2"/>
        <v>3024</v>
      </c>
      <c r="W64" s="7">
        <v>3</v>
      </c>
      <c r="X64" s="54" t="s">
        <v>46</v>
      </c>
      <c r="Y64" s="54" t="s">
        <v>88</v>
      </c>
      <c r="Z64" s="54" t="s">
        <v>86</v>
      </c>
      <c r="AA64" s="54" t="s">
        <v>78</v>
      </c>
      <c r="AB64" s="39" t="s">
        <v>158</v>
      </c>
    </row>
    <row r="65" spans="1:28" x14ac:dyDescent="0.15">
      <c r="A65" s="15" t="s">
        <v>156</v>
      </c>
      <c r="B65" s="15" t="s">
        <v>157</v>
      </c>
      <c r="C65" s="15">
        <v>2019</v>
      </c>
      <c r="D65" s="37" t="s">
        <v>166</v>
      </c>
      <c r="E65" s="7" t="s">
        <v>140</v>
      </c>
      <c r="F65" s="7" t="s">
        <v>148</v>
      </c>
      <c r="G65" s="7" t="s">
        <v>36</v>
      </c>
      <c r="H65" s="15" t="s">
        <v>160</v>
      </c>
      <c r="I65" s="7" t="s">
        <v>159</v>
      </c>
      <c r="J65" s="15" t="s">
        <v>38</v>
      </c>
      <c r="K65" s="7" t="s">
        <v>161</v>
      </c>
      <c r="L65" s="7">
        <v>1</v>
      </c>
      <c r="N65" s="53">
        <v>1</v>
      </c>
      <c r="O65" s="7">
        <v>0.9</v>
      </c>
      <c r="P65" s="7">
        <v>0.75</v>
      </c>
      <c r="Q65" s="52">
        <f t="shared" si="0"/>
        <v>0.82499999999999996</v>
      </c>
      <c r="R65" s="7">
        <v>15</v>
      </c>
      <c r="S65" s="7">
        <v>106</v>
      </c>
      <c r="T65" s="16">
        <f t="shared" si="3"/>
        <v>33</v>
      </c>
      <c r="U65" s="7">
        <v>138</v>
      </c>
      <c r="V65" s="16">
        <f t="shared" si="2"/>
        <v>4554</v>
      </c>
      <c r="W65" s="7">
        <v>2</v>
      </c>
      <c r="X65" s="54" t="s">
        <v>46</v>
      </c>
      <c r="Y65" s="54" t="s">
        <v>88</v>
      </c>
      <c r="Z65" s="54" t="s">
        <v>86</v>
      </c>
      <c r="AA65" s="54" t="s">
        <v>78</v>
      </c>
      <c r="AB65" s="39" t="s">
        <v>158</v>
      </c>
    </row>
    <row r="66" spans="1:28" x14ac:dyDescent="0.15">
      <c r="A66" s="15" t="s">
        <v>156</v>
      </c>
      <c r="B66" s="15" t="s">
        <v>157</v>
      </c>
      <c r="C66" s="15">
        <v>2019</v>
      </c>
      <c r="D66" s="37" t="s">
        <v>166</v>
      </c>
      <c r="E66" s="7" t="s">
        <v>140</v>
      </c>
      <c r="F66" s="7" t="s">
        <v>148</v>
      </c>
      <c r="G66" s="7" t="s">
        <v>36</v>
      </c>
      <c r="H66" s="15" t="s">
        <v>160</v>
      </c>
      <c r="I66" s="7" t="s">
        <v>159</v>
      </c>
      <c r="J66" s="15" t="s">
        <v>38</v>
      </c>
      <c r="K66" s="7" t="s">
        <v>161</v>
      </c>
      <c r="L66" s="7">
        <v>2</v>
      </c>
      <c r="N66" s="7">
        <v>1</v>
      </c>
      <c r="O66" s="7">
        <v>0.75</v>
      </c>
      <c r="P66" s="7">
        <v>0.75</v>
      </c>
      <c r="Q66" s="52">
        <f t="shared" ref="Q66:Q77" si="4">IF(OR(O66="",P66=""),"",AVERAGE(O66,P66))</f>
        <v>0.75</v>
      </c>
      <c r="R66" s="7">
        <v>19.399999999999999</v>
      </c>
      <c r="S66" s="7">
        <v>104</v>
      </c>
      <c r="T66" s="16">
        <f t="shared" si="3"/>
        <v>33</v>
      </c>
      <c r="U66" s="7">
        <v>138</v>
      </c>
      <c r="V66" s="16">
        <f t="shared" ref="V66:V70" si="5">IF(OR(N66="",U66="",T66=""),"",U66/N66*T66)</f>
        <v>4554</v>
      </c>
      <c r="W66" s="7">
        <v>2</v>
      </c>
      <c r="X66" s="54" t="s">
        <v>46</v>
      </c>
      <c r="Y66" s="54" t="s">
        <v>88</v>
      </c>
      <c r="Z66" s="54" t="s">
        <v>86</v>
      </c>
      <c r="AA66" s="54" t="s">
        <v>78</v>
      </c>
      <c r="AB66" s="39" t="s">
        <v>158</v>
      </c>
    </row>
    <row r="67" spans="1:28" x14ac:dyDescent="0.15">
      <c r="A67" s="15" t="s">
        <v>156</v>
      </c>
      <c r="B67" s="15" t="s">
        <v>157</v>
      </c>
      <c r="C67" s="15">
        <v>2019</v>
      </c>
      <c r="D67" s="37" t="s">
        <v>166</v>
      </c>
      <c r="E67" s="7" t="s">
        <v>140</v>
      </c>
      <c r="F67" s="7" t="s">
        <v>148</v>
      </c>
      <c r="G67" s="7" t="s">
        <v>36</v>
      </c>
      <c r="H67" s="15" t="s">
        <v>160</v>
      </c>
      <c r="I67" s="7" t="s">
        <v>159</v>
      </c>
      <c r="J67" s="15" t="s">
        <v>38</v>
      </c>
      <c r="K67" s="7" t="s">
        <v>161</v>
      </c>
      <c r="L67" s="7">
        <v>3</v>
      </c>
      <c r="N67" s="7">
        <v>1</v>
      </c>
      <c r="O67" s="7">
        <v>0.75</v>
      </c>
      <c r="P67" s="7">
        <v>0.7</v>
      </c>
      <c r="Q67" s="52">
        <f t="shared" si="4"/>
        <v>0.72499999999999998</v>
      </c>
      <c r="R67" s="7">
        <v>15</v>
      </c>
      <c r="S67" s="7">
        <v>104</v>
      </c>
      <c r="T67" s="16">
        <f t="shared" si="3"/>
        <v>33</v>
      </c>
      <c r="U67" s="7">
        <v>138</v>
      </c>
      <c r="V67" s="16">
        <f t="shared" si="5"/>
        <v>4554</v>
      </c>
      <c r="W67" s="7">
        <v>2</v>
      </c>
      <c r="X67" s="54" t="s">
        <v>46</v>
      </c>
      <c r="Y67" s="54" t="s">
        <v>88</v>
      </c>
      <c r="Z67" s="54" t="s">
        <v>86</v>
      </c>
      <c r="AA67" s="54" t="s">
        <v>78</v>
      </c>
      <c r="AB67" s="39" t="s">
        <v>158</v>
      </c>
    </row>
    <row r="68" spans="1:28" x14ac:dyDescent="0.15">
      <c r="A68" s="15"/>
      <c r="B68" s="15"/>
      <c r="C68" s="15"/>
      <c r="D68" s="37"/>
      <c r="H68" s="15"/>
      <c r="J68" s="15"/>
      <c r="Q68" s="52" t="str">
        <f t="shared" si="4"/>
        <v/>
      </c>
      <c r="T68" s="16" t="str">
        <f t="shared" si="3"/>
        <v/>
      </c>
      <c r="V68" s="16" t="str">
        <f t="shared" si="5"/>
        <v/>
      </c>
      <c r="X68" s="54"/>
      <c r="Y68" s="54"/>
      <c r="Z68" s="54"/>
      <c r="AA68" s="54"/>
      <c r="AB68" s="39"/>
    </row>
    <row r="69" spans="1:28" x14ac:dyDescent="0.15">
      <c r="A69" s="15"/>
      <c r="B69" s="15"/>
      <c r="C69" s="15"/>
      <c r="D69" s="37"/>
      <c r="H69" s="54"/>
      <c r="J69" s="15"/>
      <c r="Q69" s="52" t="str">
        <f t="shared" si="4"/>
        <v/>
      </c>
      <c r="T69" s="16" t="str">
        <f t="shared" si="3"/>
        <v/>
      </c>
      <c r="V69" s="16" t="str">
        <f t="shared" si="5"/>
        <v/>
      </c>
      <c r="X69" s="54"/>
      <c r="Y69" s="54"/>
      <c r="Z69" s="54"/>
      <c r="AA69" s="54"/>
      <c r="AB69" s="39"/>
    </row>
    <row r="70" spans="1:28" x14ac:dyDescent="0.15">
      <c r="A70" s="15"/>
      <c r="B70" s="15"/>
      <c r="C70" s="15"/>
      <c r="D70" s="37"/>
      <c r="H70" s="54"/>
      <c r="J70" s="15"/>
      <c r="Q70" s="52" t="str">
        <f t="shared" si="4"/>
        <v/>
      </c>
      <c r="T70" s="16" t="str">
        <f t="shared" si="3"/>
        <v/>
      </c>
      <c r="V70" s="16" t="str">
        <f t="shared" si="5"/>
        <v/>
      </c>
      <c r="X70" s="54"/>
      <c r="Y70" s="54"/>
      <c r="Z70" s="54"/>
      <c r="AA70" s="54"/>
      <c r="AB70" s="39"/>
    </row>
    <row r="71" spans="1:28" x14ac:dyDescent="0.15">
      <c r="A71" s="15"/>
      <c r="B71" s="15"/>
      <c r="C71" s="15"/>
      <c r="D71" s="37"/>
      <c r="H71" s="15"/>
      <c r="J71" s="15"/>
      <c r="Q71" s="52" t="str">
        <f t="shared" si="4"/>
        <v/>
      </c>
      <c r="T71" s="16" t="str">
        <f t="shared" si="3"/>
        <v/>
      </c>
      <c r="V71" s="16" t="str">
        <f>IF(OR(N71="",U71="",T71=""),"",U71/N71*T71)</f>
        <v/>
      </c>
      <c r="X71" s="15"/>
      <c r="Y71" s="15"/>
      <c r="Z71" s="15"/>
      <c r="AA71" s="15"/>
      <c r="AB71" s="39"/>
    </row>
    <row r="72" spans="1:28" x14ac:dyDescent="0.15">
      <c r="A72" s="15"/>
      <c r="B72" s="15"/>
      <c r="C72" s="15"/>
      <c r="D72" s="37"/>
      <c r="H72" s="15"/>
      <c r="J72" s="15"/>
      <c r="Q72" s="52" t="str">
        <f t="shared" si="4"/>
        <v/>
      </c>
      <c r="T72" s="16" t="str">
        <f t="shared" si="3"/>
        <v/>
      </c>
      <c r="V72" s="16" t="str">
        <f t="shared" ref="V72:V74" si="6">IF(OR(N72="",U72="",T72=""),"",U72/N72*T72)</f>
        <v/>
      </c>
      <c r="X72" s="15"/>
      <c r="Y72" s="15"/>
      <c r="Z72" s="15"/>
      <c r="AA72" s="15"/>
      <c r="AB72" s="39"/>
    </row>
    <row r="73" spans="1:28" x14ac:dyDescent="0.15">
      <c r="A73" s="15"/>
      <c r="B73" s="15"/>
      <c r="C73" s="15"/>
      <c r="D73" s="37"/>
      <c r="H73" s="15"/>
      <c r="J73" s="15"/>
      <c r="Q73" s="52" t="str">
        <f t="shared" si="4"/>
        <v/>
      </c>
      <c r="T73" s="16" t="str">
        <f t="shared" si="3"/>
        <v/>
      </c>
      <c r="V73" s="16" t="str">
        <f>IF(OR(N73="",U73="",T73=""),"",U73/N73*T73)</f>
        <v/>
      </c>
      <c r="X73" s="15"/>
      <c r="Y73" s="15"/>
      <c r="Z73" s="15"/>
      <c r="AA73" s="15"/>
      <c r="AB73" s="39"/>
    </row>
    <row r="74" spans="1:28" x14ac:dyDescent="0.15">
      <c r="A74" s="15"/>
      <c r="B74" s="15"/>
      <c r="C74" s="15"/>
      <c r="D74" s="37"/>
      <c r="H74" s="15"/>
      <c r="J74" s="15"/>
      <c r="Q74" s="52" t="str">
        <f t="shared" si="4"/>
        <v/>
      </c>
      <c r="T74" s="16" t="str">
        <f t="shared" si="3"/>
        <v/>
      </c>
      <c r="V74" s="16" t="str">
        <f t="shared" si="6"/>
        <v/>
      </c>
      <c r="X74" s="15"/>
      <c r="Y74" s="15"/>
      <c r="Z74" s="15"/>
      <c r="AA74" s="15"/>
      <c r="AB74" s="39"/>
    </row>
    <row r="75" spans="1:28" x14ac:dyDescent="0.15">
      <c r="A75" s="15"/>
      <c r="B75" s="15"/>
      <c r="C75" s="15"/>
      <c r="D75" s="37"/>
      <c r="H75" s="15"/>
      <c r="J75" s="15"/>
      <c r="Q75" s="52" t="str">
        <f t="shared" si="4"/>
        <v/>
      </c>
      <c r="T75" s="16" t="str">
        <f t="shared" si="3"/>
        <v/>
      </c>
      <c r="V75" s="16" t="str">
        <f>IF(OR(N75="",U75="",T75=""),"",U75/N75*T75)</f>
        <v/>
      </c>
      <c r="X75" s="15"/>
      <c r="Y75" s="15"/>
      <c r="Z75" s="15"/>
      <c r="AA75" s="15"/>
      <c r="AB75" s="39"/>
    </row>
    <row r="76" spans="1:28" x14ac:dyDescent="0.15">
      <c r="A76" s="15"/>
      <c r="B76" s="15"/>
      <c r="C76" s="15"/>
      <c r="D76" s="37"/>
      <c r="H76" s="15"/>
      <c r="J76" s="15"/>
      <c r="Q76" s="52" t="str">
        <f t="shared" si="4"/>
        <v/>
      </c>
      <c r="T76" s="16" t="str">
        <f t="shared" si="3"/>
        <v/>
      </c>
      <c r="V76" s="16" t="str">
        <f>IF(OR(N76="",U76="",T76=""),"",U76/N76*T76)</f>
        <v/>
      </c>
      <c r="X76" s="15"/>
      <c r="Y76" s="15"/>
      <c r="Z76" s="15"/>
      <c r="AA76" s="15"/>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xr:uid="{00000000-0009-0000-0000-00000000000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00000000-0002-0000-0000-00000000000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00000000-0002-0000-0000-000001000000}"/>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xr:uid="{00000000-0002-0000-0000-000002000000}">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xr:uid="{00000000-0002-0000-0000-000003000000}">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00000000-0002-0000-0000-000004000000}">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00000000-0002-0000-0000-000005000000}">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00000000-0002-0000-0000-000006000000}">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00000000-0002-0000-0000-000007000000}">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00000000-0002-0000-0000-000008000000}">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00000000-0002-0000-0000-000009000000}">
      <formula1>$AV$2:$AV$20</formula1>
    </dataValidation>
    <dataValidation type="list" allowBlank="1" showInputMessage="1" showErrorMessage="1" sqref="H2:H497" xr:uid="{00000000-0002-0000-0000-00000A000000}">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00000000-0002-0000-0000-00000B000000}">
      <formula1>$AH$2:$AH$10</formula1>
    </dataValidation>
    <dataValidation type="list" allowBlank="1" showInputMessage="1" showErrorMessage="1" sqref="J2:J497" xr:uid="{00000000-0002-0000-0000-00000C000000}">
      <formula1>$AP$2:$AP$27</formula1>
    </dataValidation>
    <dataValidation type="list" allowBlank="1" showInputMessage="1" showErrorMessage="1" sqref="A3:A497" xr:uid="{00000000-0002-0000-0000-00000D000000}">
      <formula1>$AE$2:$AE$19</formula1>
    </dataValidation>
    <dataValidation type="list" allowBlank="1" showInputMessage="1" showErrorMessage="1" sqref="K127:K497" xr:uid="{00000000-0002-0000-0000-00000E000000}">
      <formula1>$AR$2:$AR$25</formula1>
    </dataValidation>
    <dataValidation type="list" allowBlank="1" showInputMessage="1" showErrorMessage="1" sqref="Y2:AA497" xr:uid="{00000000-0002-0000-0000-00000F000000}">
      <formula1>$AV$2:$AV$21</formula1>
    </dataValidation>
    <dataValidation type="decimal" allowBlank="1" showInputMessage="1" showErrorMessage="1" error="硬度を正しく入力して下さい。" sqref="O2:P497" xr:uid="{00000000-0002-0000-0000-000010000000}">
      <formula1>0</formula1>
      <formula2>7</formula2>
    </dataValidation>
    <dataValidation type="list" allowBlank="1" showInputMessage="1" showErrorMessage="1" sqref="F1:F1048576" xr:uid="{00000000-0002-0000-0000-000011000000}">
      <formula1>$AH$2:$AH$11</formula1>
    </dataValidation>
    <dataValidation type="list" allowBlank="1" showInputMessage="1" showErrorMessage="1" sqref="K2:K126" xr:uid="{00000000-0002-0000-0000-000012000000}">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B623D-C48E-4A23-9985-45A04C93E5EF}">
  <dimension ref="A1:BA387"/>
  <sheetViews>
    <sheetView topLeftCell="A70" zoomScale="70" zoomScaleNormal="70" workbookViewId="0">
      <selection activeCell="I153" sqref="I153"/>
    </sheetView>
  </sheetViews>
  <sheetFormatPr defaultColWidth="9" defaultRowHeight="13.5" x14ac:dyDescent="0.15"/>
  <cols>
    <col min="1" max="3" width="9" style="53"/>
    <col min="4" max="4" width="11" style="53" customWidth="1"/>
    <col min="5" max="5" width="10.875" style="53" customWidth="1"/>
    <col min="6" max="16" width="9" style="53"/>
    <col min="17" max="17" width="9" style="16"/>
    <col min="18" max="18" width="9" style="53"/>
    <col min="19" max="19" width="11.625" style="53" customWidth="1"/>
    <col min="20" max="20" width="9" style="16"/>
    <col min="21" max="21" width="9" style="53"/>
    <col min="22" max="22" width="9" style="16"/>
    <col min="23" max="32" width="9" style="53"/>
    <col min="33" max="33" width="14.375" style="53" customWidth="1"/>
    <col min="34" max="34" width="11.375" style="53" customWidth="1"/>
    <col min="35" max="16384" width="9" style="53"/>
  </cols>
  <sheetData>
    <row r="1" spans="1:53" ht="45" x14ac:dyDescent="0.15">
      <c r="A1" s="44" t="s">
        <v>0</v>
      </c>
      <c r="B1" s="55" t="s">
        <v>168</v>
      </c>
      <c r="C1" s="55" t="s">
        <v>169</v>
      </c>
      <c r="D1" s="56" t="s">
        <v>3</v>
      </c>
      <c r="E1" s="45" t="s">
        <v>4</v>
      </c>
      <c r="F1" s="45" t="s">
        <v>5</v>
      </c>
      <c r="G1" s="45" t="s">
        <v>6</v>
      </c>
      <c r="H1" s="45" t="s">
        <v>7</v>
      </c>
      <c r="I1" s="45" t="s">
        <v>8</v>
      </c>
      <c r="J1" s="45" t="s">
        <v>9</v>
      </c>
      <c r="K1" s="45" t="s">
        <v>10</v>
      </c>
      <c r="L1" s="56" t="s">
        <v>170</v>
      </c>
      <c r="M1" s="56" t="s">
        <v>171</v>
      </c>
      <c r="N1" s="56" t="s">
        <v>13</v>
      </c>
      <c r="O1" s="56" t="s">
        <v>172</v>
      </c>
      <c r="P1" s="56" t="s">
        <v>173</v>
      </c>
      <c r="Q1" s="57" t="s">
        <v>174</v>
      </c>
      <c r="R1" s="56" t="s">
        <v>175</v>
      </c>
      <c r="S1" s="56" t="s">
        <v>176</v>
      </c>
      <c r="T1" s="57" t="s">
        <v>19</v>
      </c>
      <c r="U1" s="58" t="s">
        <v>108</v>
      </c>
      <c r="V1" s="59" t="s">
        <v>20</v>
      </c>
      <c r="W1" s="56" t="s">
        <v>177</v>
      </c>
      <c r="X1" s="45" t="s">
        <v>22</v>
      </c>
      <c r="Y1" s="45" t="s">
        <v>23</v>
      </c>
      <c r="Z1" s="45" t="s">
        <v>24</v>
      </c>
      <c r="AA1" s="45" t="s">
        <v>25</v>
      </c>
      <c r="AB1" s="46" t="s">
        <v>178</v>
      </c>
      <c r="AE1" s="60" t="s">
        <v>0</v>
      </c>
      <c r="AF1" s="61"/>
      <c r="AG1" s="60" t="s">
        <v>4</v>
      </c>
      <c r="AH1" s="60" t="s">
        <v>5</v>
      </c>
      <c r="AI1" s="61"/>
      <c r="AJ1" s="60" t="s">
        <v>6</v>
      </c>
      <c r="AK1" s="61"/>
      <c r="AL1" s="10" t="s">
        <v>7</v>
      </c>
      <c r="AM1" s="61"/>
      <c r="AN1" s="10" t="s">
        <v>8</v>
      </c>
      <c r="AO1" s="61"/>
      <c r="AP1" s="10" t="s">
        <v>27</v>
      </c>
      <c r="AQ1" s="61"/>
      <c r="AR1" s="10" t="s">
        <v>10</v>
      </c>
      <c r="AS1" s="61"/>
      <c r="AT1" s="11" t="s">
        <v>179</v>
      </c>
      <c r="AU1" s="61"/>
      <c r="AV1" s="10" t="s">
        <v>29</v>
      </c>
      <c r="AX1" s="12" t="s">
        <v>180</v>
      </c>
      <c r="AY1" s="13" t="s">
        <v>181</v>
      </c>
      <c r="AZ1" s="13" t="s">
        <v>182</v>
      </c>
      <c r="BA1" s="14" t="s">
        <v>183</v>
      </c>
    </row>
    <row r="2" spans="1:53" x14ac:dyDescent="0.15">
      <c r="A2" s="53" t="s">
        <v>41</v>
      </c>
      <c r="B2" s="53" t="s">
        <v>157</v>
      </c>
      <c r="C2" s="62">
        <v>2019</v>
      </c>
      <c r="D2" s="63" t="s">
        <v>184</v>
      </c>
      <c r="E2" s="53" t="s">
        <v>133</v>
      </c>
      <c r="F2" s="53" t="s">
        <v>185</v>
      </c>
      <c r="G2" s="53" t="s">
        <v>42</v>
      </c>
      <c r="H2" s="53" t="s">
        <v>164</v>
      </c>
      <c r="I2" s="53" t="s">
        <v>159</v>
      </c>
      <c r="J2" s="53" t="s">
        <v>38</v>
      </c>
      <c r="K2" s="53" t="s">
        <v>161</v>
      </c>
      <c r="L2" s="53">
        <v>1</v>
      </c>
      <c r="N2" s="53">
        <v>1</v>
      </c>
      <c r="O2" s="53">
        <v>0.95</v>
      </c>
      <c r="P2" s="53">
        <v>1.05</v>
      </c>
      <c r="Q2" s="16">
        <f t="shared" ref="Q2:Q65" si="0">IF(OR(O2="",P2=""),"",AVERAGE(O2,P2))</f>
        <v>1</v>
      </c>
      <c r="R2" s="53">
        <v>13.2</v>
      </c>
      <c r="S2" s="53">
        <v>123</v>
      </c>
      <c r="T2" s="16">
        <f t="shared" ref="T2:T65" si="1">IF(H2="","",IF(OR(H2="GREEN",H2="GK"),IF(S2&gt;=$AX$2,VLOOKUP(S2,$AX$2:$AY$10,2,1),""),IF(S2&gt;=$AZ$2,VLOOKUP(S2,$AZ$2:$BA$10,2,1),"")))</f>
        <v>27</v>
      </c>
      <c r="U2" s="53">
        <v>105</v>
      </c>
      <c r="V2" s="16">
        <f t="shared" ref="V2:V65" si="2">IF(OR(N2="",U2="",T2=""),"",U2/N2*T2)</f>
        <v>2835</v>
      </c>
      <c r="W2" s="53">
        <v>4</v>
      </c>
      <c r="X2" s="53" t="s">
        <v>46</v>
      </c>
      <c r="Y2" s="53" t="s">
        <v>97</v>
      </c>
      <c r="Z2" s="53" t="s">
        <v>69</v>
      </c>
      <c r="AA2" s="53" t="s">
        <v>86</v>
      </c>
      <c r="AB2" s="53" t="s">
        <v>158</v>
      </c>
      <c r="AE2" s="64" t="s">
        <v>35</v>
      </c>
      <c r="AG2" s="65" t="s">
        <v>133</v>
      </c>
      <c r="AH2" s="66" t="s">
        <v>185</v>
      </c>
      <c r="AJ2" s="67" t="s">
        <v>36</v>
      </c>
      <c r="AL2" s="67" t="s">
        <v>186</v>
      </c>
      <c r="AN2" s="67" t="s">
        <v>37</v>
      </c>
      <c r="AP2" s="67" t="s">
        <v>38</v>
      </c>
      <c r="AR2" s="67" t="s">
        <v>161</v>
      </c>
      <c r="AT2" s="67" t="s">
        <v>39</v>
      </c>
      <c r="AV2" s="67" t="s">
        <v>40</v>
      </c>
      <c r="AX2" s="68">
        <v>1</v>
      </c>
      <c r="AY2" s="69">
        <v>50</v>
      </c>
      <c r="AZ2" s="69">
        <v>1</v>
      </c>
      <c r="BA2" s="70">
        <v>50</v>
      </c>
    </row>
    <row r="3" spans="1:53" x14ac:dyDescent="0.15">
      <c r="A3" s="53" t="s">
        <v>41</v>
      </c>
      <c r="B3" s="53" t="s">
        <v>157</v>
      </c>
      <c r="C3" s="62">
        <v>2019</v>
      </c>
      <c r="D3" s="63" t="s">
        <v>184</v>
      </c>
      <c r="E3" s="53" t="s">
        <v>133</v>
      </c>
      <c r="F3" s="53" t="s">
        <v>185</v>
      </c>
      <c r="G3" s="53" t="s">
        <v>42</v>
      </c>
      <c r="H3" s="53" t="s">
        <v>164</v>
      </c>
      <c r="I3" s="53" t="s">
        <v>159</v>
      </c>
      <c r="J3" s="53" t="s">
        <v>38</v>
      </c>
      <c r="K3" s="53" t="s">
        <v>161</v>
      </c>
      <c r="L3" s="53">
        <v>2</v>
      </c>
      <c r="N3" s="53">
        <v>1</v>
      </c>
      <c r="O3" s="53">
        <v>0.8</v>
      </c>
      <c r="P3" s="53">
        <v>0.9</v>
      </c>
      <c r="Q3" s="16">
        <f t="shared" si="0"/>
        <v>0.85000000000000009</v>
      </c>
      <c r="R3" s="53">
        <v>14</v>
      </c>
      <c r="S3" s="53">
        <v>124</v>
      </c>
      <c r="T3" s="16">
        <f t="shared" si="1"/>
        <v>27</v>
      </c>
      <c r="U3" s="53">
        <v>105</v>
      </c>
      <c r="V3" s="16">
        <f t="shared" si="2"/>
        <v>2835</v>
      </c>
      <c r="W3" s="53">
        <v>4</v>
      </c>
      <c r="X3" s="53" t="s">
        <v>46</v>
      </c>
      <c r="Y3" s="53" t="s">
        <v>97</v>
      </c>
      <c r="Z3" s="53" t="s">
        <v>69</v>
      </c>
      <c r="AA3" s="53" t="s">
        <v>86</v>
      </c>
      <c r="AB3" s="53" t="s">
        <v>158</v>
      </c>
      <c r="AE3" s="22" t="s">
        <v>41</v>
      </c>
      <c r="AG3" s="71" t="s">
        <v>187</v>
      </c>
      <c r="AH3" s="71" t="s">
        <v>185</v>
      </c>
      <c r="AJ3" s="23" t="s">
        <v>42</v>
      </c>
      <c r="AL3" s="23" t="s">
        <v>188</v>
      </c>
      <c r="AN3" s="23" t="s">
        <v>43</v>
      </c>
      <c r="AP3" s="23" t="s">
        <v>44</v>
      </c>
      <c r="AR3" s="23" t="s">
        <v>45</v>
      </c>
      <c r="AT3" s="23" t="s">
        <v>46</v>
      </c>
      <c r="AV3" s="23" t="s">
        <v>47</v>
      </c>
      <c r="AX3" s="24">
        <v>72</v>
      </c>
      <c r="AY3" s="25">
        <v>46</v>
      </c>
      <c r="AZ3" s="25">
        <v>71</v>
      </c>
      <c r="BA3" s="26">
        <v>42</v>
      </c>
    </row>
    <row r="4" spans="1:53" x14ac:dyDescent="0.15">
      <c r="A4" s="53" t="s">
        <v>41</v>
      </c>
      <c r="B4" s="53" t="s">
        <v>157</v>
      </c>
      <c r="C4" s="62">
        <v>2019</v>
      </c>
      <c r="D4" s="63" t="s">
        <v>184</v>
      </c>
      <c r="E4" s="53" t="s">
        <v>133</v>
      </c>
      <c r="F4" s="53" t="s">
        <v>185</v>
      </c>
      <c r="G4" s="53" t="s">
        <v>42</v>
      </c>
      <c r="H4" s="53" t="s">
        <v>164</v>
      </c>
      <c r="I4" s="53" t="s">
        <v>159</v>
      </c>
      <c r="J4" s="53" t="s">
        <v>38</v>
      </c>
      <c r="K4" s="53" t="s">
        <v>161</v>
      </c>
      <c r="L4" s="53">
        <v>3</v>
      </c>
      <c r="N4" s="53">
        <v>1</v>
      </c>
      <c r="O4" s="53">
        <v>0.65</v>
      </c>
      <c r="P4" s="53">
        <v>0.5</v>
      </c>
      <c r="Q4" s="16">
        <f t="shared" si="0"/>
        <v>0.57499999999999996</v>
      </c>
      <c r="R4" s="53">
        <v>13.5</v>
      </c>
      <c r="S4" s="53">
        <v>125</v>
      </c>
      <c r="T4" s="16">
        <f t="shared" si="1"/>
        <v>27</v>
      </c>
      <c r="U4" s="53">
        <v>105</v>
      </c>
      <c r="V4" s="16">
        <f t="shared" si="2"/>
        <v>2835</v>
      </c>
      <c r="W4" s="53">
        <v>4</v>
      </c>
      <c r="X4" s="53" t="s">
        <v>46</v>
      </c>
      <c r="Y4" s="53" t="s">
        <v>97</v>
      </c>
      <c r="Z4" s="53" t="s">
        <v>69</v>
      </c>
      <c r="AA4" s="53" t="s">
        <v>86</v>
      </c>
      <c r="AB4" s="53" t="s">
        <v>158</v>
      </c>
      <c r="AE4" s="22" t="s">
        <v>34</v>
      </c>
      <c r="AG4" s="71" t="s">
        <v>187</v>
      </c>
      <c r="AH4" s="71" t="s">
        <v>189</v>
      </c>
      <c r="AJ4" s="27" t="s">
        <v>48</v>
      </c>
      <c r="AL4" s="27" t="s">
        <v>190</v>
      </c>
      <c r="AN4" s="28" t="s">
        <v>191</v>
      </c>
      <c r="AP4" s="23" t="s">
        <v>192</v>
      </c>
      <c r="AR4" s="23" t="s">
        <v>193</v>
      </c>
      <c r="AT4" s="28"/>
      <c r="AV4" s="23" t="s">
        <v>50</v>
      </c>
      <c r="AX4" s="24">
        <v>75</v>
      </c>
      <c r="AY4" s="25">
        <v>42</v>
      </c>
      <c r="AZ4" s="25">
        <v>76</v>
      </c>
      <c r="BA4" s="26">
        <v>39</v>
      </c>
    </row>
    <row r="5" spans="1:53" ht="13.5" customHeight="1" x14ac:dyDescent="0.15">
      <c r="A5" s="53" t="s">
        <v>41</v>
      </c>
      <c r="B5" s="53" t="s">
        <v>157</v>
      </c>
      <c r="C5" s="62">
        <v>2019</v>
      </c>
      <c r="D5" s="63" t="s">
        <v>184</v>
      </c>
      <c r="E5" s="53" t="s">
        <v>133</v>
      </c>
      <c r="F5" s="53" t="s">
        <v>185</v>
      </c>
      <c r="G5" s="53" t="s">
        <v>42</v>
      </c>
      <c r="H5" s="53" t="s">
        <v>164</v>
      </c>
      <c r="I5" s="53" t="s">
        <v>159</v>
      </c>
      <c r="J5" s="53" t="s">
        <v>38</v>
      </c>
      <c r="K5" s="53" t="s">
        <v>161</v>
      </c>
      <c r="L5" s="53">
        <v>1</v>
      </c>
      <c r="N5" s="53">
        <v>8</v>
      </c>
      <c r="O5" s="53">
        <v>0.45</v>
      </c>
      <c r="P5" s="53">
        <v>0.5</v>
      </c>
      <c r="Q5" s="72">
        <f t="shared" si="0"/>
        <v>0.47499999999999998</v>
      </c>
      <c r="R5" s="53">
        <v>15.2</v>
      </c>
      <c r="S5" s="53">
        <v>112</v>
      </c>
      <c r="T5" s="16">
        <f t="shared" si="1"/>
        <v>33</v>
      </c>
      <c r="U5" s="53">
        <v>645</v>
      </c>
      <c r="V5" s="16">
        <f t="shared" si="2"/>
        <v>2660.625</v>
      </c>
      <c r="W5" s="53">
        <v>1</v>
      </c>
      <c r="X5" s="53" t="s">
        <v>46</v>
      </c>
      <c r="Y5" s="53" t="s">
        <v>97</v>
      </c>
      <c r="Z5" s="53" t="s">
        <v>69</v>
      </c>
      <c r="AA5" s="53" t="s">
        <v>86</v>
      </c>
      <c r="AB5" s="53" t="s">
        <v>158</v>
      </c>
      <c r="AE5" s="22" t="s">
        <v>51</v>
      </c>
      <c r="AG5" s="71" t="s">
        <v>194</v>
      </c>
      <c r="AH5" s="71" t="s">
        <v>185</v>
      </c>
      <c r="AJ5" s="28"/>
      <c r="AL5" s="73" t="s">
        <v>164</v>
      </c>
      <c r="AN5" s="73" t="s">
        <v>159</v>
      </c>
      <c r="AP5" s="23" t="s">
        <v>195</v>
      </c>
      <c r="AR5" s="23" t="s">
        <v>54</v>
      </c>
      <c r="AV5" s="23" t="s">
        <v>55</v>
      </c>
      <c r="AX5" s="24">
        <v>84</v>
      </c>
      <c r="AY5" s="25">
        <v>39</v>
      </c>
      <c r="AZ5" s="25">
        <v>84</v>
      </c>
      <c r="BA5" s="26">
        <v>36</v>
      </c>
    </row>
    <row r="6" spans="1:53" x14ac:dyDescent="0.15">
      <c r="A6" s="53" t="s">
        <v>41</v>
      </c>
      <c r="B6" s="53" t="s">
        <v>157</v>
      </c>
      <c r="C6" s="62">
        <v>2019</v>
      </c>
      <c r="D6" s="63" t="s">
        <v>184</v>
      </c>
      <c r="E6" s="53" t="s">
        <v>133</v>
      </c>
      <c r="F6" s="53" t="s">
        <v>185</v>
      </c>
      <c r="G6" s="53" t="s">
        <v>42</v>
      </c>
      <c r="H6" s="53" t="s">
        <v>164</v>
      </c>
      <c r="I6" s="53" t="s">
        <v>159</v>
      </c>
      <c r="J6" s="53" t="s">
        <v>38</v>
      </c>
      <c r="K6" s="53" t="s">
        <v>161</v>
      </c>
      <c r="L6" s="53">
        <v>2</v>
      </c>
      <c r="N6" s="53">
        <v>8</v>
      </c>
      <c r="O6" s="53">
        <v>0.65</v>
      </c>
      <c r="P6" s="53">
        <v>0.5</v>
      </c>
      <c r="Q6" s="72">
        <f t="shared" si="0"/>
        <v>0.57499999999999996</v>
      </c>
      <c r="R6" s="53">
        <v>18</v>
      </c>
      <c r="S6" s="53">
        <v>112</v>
      </c>
      <c r="T6" s="16">
        <f t="shared" si="1"/>
        <v>33</v>
      </c>
      <c r="U6" s="53">
        <v>645</v>
      </c>
      <c r="V6" s="16">
        <f t="shared" si="2"/>
        <v>2660.625</v>
      </c>
      <c r="W6" s="53">
        <v>1</v>
      </c>
      <c r="X6" s="53" t="s">
        <v>46</v>
      </c>
      <c r="Y6" s="53" t="s">
        <v>97</v>
      </c>
      <c r="Z6" s="53" t="s">
        <v>69</v>
      </c>
      <c r="AA6" s="53" t="s">
        <v>86</v>
      </c>
      <c r="AB6" s="53" t="s">
        <v>158</v>
      </c>
      <c r="AE6" s="22" t="s">
        <v>56</v>
      </c>
      <c r="AG6" s="71" t="s">
        <v>194</v>
      </c>
      <c r="AH6" s="71" t="s">
        <v>196</v>
      </c>
      <c r="AL6" s="73" t="s">
        <v>197</v>
      </c>
      <c r="AN6" s="73" t="s">
        <v>165</v>
      </c>
      <c r="AP6" s="23" t="s">
        <v>53</v>
      </c>
      <c r="AR6" s="23" t="s">
        <v>59</v>
      </c>
      <c r="AV6" s="23" t="s">
        <v>60</v>
      </c>
      <c r="AX6" s="24">
        <v>97</v>
      </c>
      <c r="AY6" s="25">
        <v>36</v>
      </c>
      <c r="AZ6" s="25">
        <v>99</v>
      </c>
      <c r="BA6" s="26">
        <v>33</v>
      </c>
    </row>
    <row r="7" spans="1:53" x14ac:dyDescent="0.15">
      <c r="A7" s="53" t="s">
        <v>41</v>
      </c>
      <c r="B7" s="53" t="s">
        <v>157</v>
      </c>
      <c r="C7" s="62">
        <v>2019</v>
      </c>
      <c r="D7" s="63" t="s">
        <v>184</v>
      </c>
      <c r="E7" s="53" t="s">
        <v>133</v>
      </c>
      <c r="F7" s="53" t="s">
        <v>185</v>
      </c>
      <c r="G7" s="53" t="s">
        <v>42</v>
      </c>
      <c r="H7" s="53" t="s">
        <v>164</v>
      </c>
      <c r="I7" s="53" t="s">
        <v>159</v>
      </c>
      <c r="J7" s="53" t="s">
        <v>38</v>
      </c>
      <c r="K7" s="53" t="s">
        <v>161</v>
      </c>
      <c r="L7" s="53">
        <v>3</v>
      </c>
      <c r="N7" s="53">
        <v>8</v>
      </c>
      <c r="O7" s="53">
        <v>0.5</v>
      </c>
      <c r="P7" s="53">
        <v>0.65</v>
      </c>
      <c r="Q7" s="72">
        <f t="shared" si="0"/>
        <v>0.57499999999999996</v>
      </c>
      <c r="R7" s="53">
        <v>15.8</v>
      </c>
      <c r="S7" s="53">
        <v>110</v>
      </c>
      <c r="T7" s="16">
        <f t="shared" si="1"/>
        <v>33</v>
      </c>
      <c r="U7" s="53">
        <v>645</v>
      </c>
      <c r="V7" s="16">
        <f t="shared" si="2"/>
        <v>2660.625</v>
      </c>
      <c r="W7" s="53">
        <v>1</v>
      </c>
      <c r="X7" s="53" t="s">
        <v>46</v>
      </c>
      <c r="Y7" s="53" t="s">
        <v>97</v>
      </c>
      <c r="Z7" s="53" t="s">
        <v>69</v>
      </c>
      <c r="AA7" s="53" t="s">
        <v>86</v>
      </c>
      <c r="AB7" s="53" t="s">
        <v>158</v>
      </c>
      <c r="AE7" s="22" t="s">
        <v>61</v>
      </c>
      <c r="AG7" s="71" t="s">
        <v>198</v>
      </c>
      <c r="AH7" s="71" t="s">
        <v>196</v>
      </c>
      <c r="AL7" s="74" t="s">
        <v>199</v>
      </c>
      <c r="AP7" s="23" t="s">
        <v>58</v>
      </c>
      <c r="AR7" s="23" t="s">
        <v>200</v>
      </c>
      <c r="AV7" s="23" t="s">
        <v>64</v>
      </c>
      <c r="AX7" s="24">
        <v>109</v>
      </c>
      <c r="AY7" s="25">
        <v>33</v>
      </c>
      <c r="AZ7" s="25">
        <v>113</v>
      </c>
      <c r="BA7" s="26">
        <v>30</v>
      </c>
    </row>
    <row r="8" spans="1:53" x14ac:dyDescent="0.15">
      <c r="A8" s="53" t="s">
        <v>41</v>
      </c>
      <c r="B8" s="53" t="s">
        <v>157</v>
      </c>
      <c r="C8" s="62">
        <v>2019</v>
      </c>
      <c r="D8" s="63" t="s">
        <v>184</v>
      </c>
      <c r="E8" s="53" t="s">
        <v>133</v>
      </c>
      <c r="F8" s="53" t="s">
        <v>185</v>
      </c>
      <c r="G8" s="53" t="s">
        <v>42</v>
      </c>
      <c r="H8" s="53" t="s">
        <v>160</v>
      </c>
      <c r="I8" s="53" t="s">
        <v>159</v>
      </c>
      <c r="J8" s="53" t="s">
        <v>38</v>
      </c>
      <c r="K8" s="53" t="s">
        <v>161</v>
      </c>
      <c r="L8" s="53">
        <v>1</v>
      </c>
      <c r="N8" s="53">
        <v>1</v>
      </c>
      <c r="O8" s="53">
        <v>0.3</v>
      </c>
      <c r="P8" s="53">
        <v>0.25</v>
      </c>
      <c r="Q8" s="75">
        <f t="shared" si="0"/>
        <v>0.27500000000000002</v>
      </c>
      <c r="R8" s="53">
        <v>16.5</v>
      </c>
      <c r="S8" s="53">
        <v>126</v>
      </c>
      <c r="T8" s="16">
        <f t="shared" si="1"/>
        <v>27</v>
      </c>
      <c r="U8" s="53">
        <v>139</v>
      </c>
      <c r="V8" s="16">
        <f t="shared" si="2"/>
        <v>3753</v>
      </c>
      <c r="W8" s="53">
        <v>6</v>
      </c>
      <c r="X8" s="53" t="s">
        <v>46</v>
      </c>
      <c r="Y8" s="53" t="s">
        <v>97</v>
      </c>
      <c r="Z8" s="53" t="s">
        <v>69</v>
      </c>
      <c r="AA8" s="53" t="s">
        <v>86</v>
      </c>
      <c r="AB8" s="53" t="s">
        <v>158</v>
      </c>
      <c r="AE8" s="22" t="s">
        <v>59</v>
      </c>
      <c r="AG8" s="71" t="s">
        <v>201</v>
      </c>
      <c r="AH8" s="71" t="s">
        <v>202</v>
      </c>
      <c r="AL8" s="74" t="s">
        <v>160</v>
      </c>
      <c r="AP8" s="23" t="s">
        <v>62</v>
      </c>
      <c r="AR8" s="23" t="s">
        <v>81</v>
      </c>
      <c r="AV8" s="23" t="s">
        <v>97</v>
      </c>
      <c r="AX8" s="24">
        <v>119</v>
      </c>
      <c r="AY8" s="25">
        <v>30</v>
      </c>
      <c r="AZ8" s="25">
        <v>121</v>
      </c>
      <c r="BA8" s="26">
        <v>27</v>
      </c>
    </row>
    <row r="9" spans="1:53" x14ac:dyDescent="0.15">
      <c r="A9" s="53" t="s">
        <v>41</v>
      </c>
      <c r="B9" s="53" t="s">
        <v>157</v>
      </c>
      <c r="C9" s="62">
        <v>2019</v>
      </c>
      <c r="D9" s="63" t="s">
        <v>184</v>
      </c>
      <c r="E9" s="53" t="s">
        <v>133</v>
      </c>
      <c r="F9" s="53" t="s">
        <v>185</v>
      </c>
      <c r="G9" s="53" t="s">
        <v>42</v>
      </c>
      <c r="H9" s="53" t="s">
        <v>160</v>
      </c>
      <c r="I9" s="53" t="s">
        <v>159</v>
      </c>
      <c r="J9" s="53" t="s">
        <v>38</v>
      </c>
      <c r="K9" s="53" t="s">
        <v>161</v>
      </c>
      <c r="L9" s="53">
        <v>2</v>
      </c>
      <c r="M9" s="76"/>
      <c r="N9" s="53">
        <v>1</v>
      </c>
      <c r="O9" s="53">
        <v>0.25</v>
      </c>
      <c r="P9" s="53">
        <v>0.25</v>
      </c>
      <c r="Q9" s="75">
        <f t="shared" si="0"/>
        <v>0.25</v>
      </c>
      <c r="R9" s="53">
        <v>15.8</v>
      </c>
      <c r="S9" s="53">
        <v>124</v>
      </c>
      <c r="T9" s="16">
        <f t="shared" si="1"/>
        <v>27</v>
      </c>
      <c r="U9" s="53">
        <v>139</v>
      </c>
      <c r="V9" s="16">
        <f t="shared" si="2"/>
        <v>3753</v>
      </c>
      <c r="W9" s="53">
        <v>6</v>
      </c>
      <c r="X9" s="53" t="s">
        <v>46</v>
      </c>
      <c r="Y9" s="53" t="s">
        <v>97</v>
      </c>
      <c r="Z9" s="53" t="s">
        <v>69</v>
      </c>
      <c r="AA9" s="53" t="s">
        <v>86</v>
      </c>
      <c r="AB9" s="53" t="s">
        <v>158</v>
      </c>
      <c r="AE9" s="22" t="s">
        <v>203</v>
      </c>
      <c r="AG9" s="71" t="s">
        <v>204</v>
      </c>
      <c r="AH9" s="71" t="s">
        <v>205</v>
      </c>
      <c r="AL9" s="73"/>
      <c r="AP9" s="23" t="s">
        <v>95</v>
      </c>
      <c r="AR9" s="23" t="s">
        <v>206</v>
      </c>
      <c r="AV9" s="23" t="s">
        <v>102</v>
      </c>
      <c r="AX9" s="24">
        <v>128</v>
      </c>
      <c r="AY9" s="25">
        <v>27</v>
      </c>
      <c r="AZ9" s="25">
        <v>129</v>
      </c>
      <c r="BA9" s="26">
        <v>25</v>
      </c>
    </row>
    <row r="10" spans="1:53" x14ac:dyDescent="0.15">
      <c r="A10" s="53" t="s">
        <v>41</v>
      </c>
      <c r="B10" s="53" t="s">
        <v>157</v>
      </c>
      <c r="C10" s="62">
        <v>2019</v>
      </c>
      <c r="D10" s="63" t="s">
        <v>184</v>
      </c>
      <c r="E10" s="53" t="s">
        <v>133</v>
      </c>
      <c r="F10" s="53" t="s">
        <v>185</v>
      </c>
      <c r="G10" s="53" t="s">
        <v>42</v>
      </c>
      <c r="H10" s="53" t="s">
        <v>160</v>
      </c>
      <c r="I10" s="53" t="s">
        <v>159</v>
      </c>
      <c r="J10" s="53" t="s">
        <v>38</v>
      </c>
      <c r="K10" s="53" t="s">
        <v>161</v>
      </c>
      <c r="L10" s="53">
        <v>3</v>
      </c>
      <c r="M10" s="76"/>
      <c r="N10" s="53">
        <v>1</v>
      </c>
      <c r="O10" s="53">
        <v>0.3</v>
      </c>
      <c r="P10" s="53">
        <v>0.25</v>
      </c>
      <c r="Q10" s="75">
        <f t="shared" si="0"/>
        <v>0.27500000000000002</v>
      </c>
      <c r="R10" s="53">
        <v>15</v>
      </c>
      <c r="S10" s="53">
        <v>122</v>
      </c>
      <c r="T10" s="16">
        <f t="shared" si="1"/>
        <v>27</v>
      </c>
      <c r="U10" s="53">
        <v>139</v>
      </c>
      <c r="V10" s="16">
        <f t="shared" si="2"/>
        <v>3753</v>
      </c>
      <c r="W10" s="53">
        <v>6</v>
      </c>
      <c r="X10" s="53" t="s">
        <v>46</v>
      </c>
      <c r="Y10" s="53" t="s">
        <v>97</v>
      </c>
      <c r="Z10" s="53" t="s">
        <v>69</v>
      </c>
      <c r="AA10" s="53" t="s">
        <v>86</v>
      </c>
      <c r="AB10" s="53" t="s">
        <v>158</v>
      </c>
      <c r="AE10" s="22" t="s">
        <v>207</v>
      </c>
      <c r="AG10" s="71" t="s">
        <v>201</v>
      </c>
      <c r="AH10" s="71" t="s">
        <v>208</v>
      </c>
      <c r="AL10" s="74"/>
      <c r="AP10" s="23" t="s">
        <v>100</v>
      </c>
      <c r="AR10" s="23" t="s">
        <v>209</v>
      </c>
      <c r="AV10" s="23" t="s">
        <v>106</v>
      </c>
      <c r="AX10" s="24">
        <v>138</v>
      </c>
      <c r="AY10" s="25">
        <v>25</v>
      </c>
      <c r="AZ10" s="25">
        <v>138</v>
      </c>
      <c r="BA10" s="26">
        <v>22</v>
      </c>
    </row>
    <row r="11" spans="1:53" x14ac:dyDescent="0.15">
      <c r="A11" s="53" t="s">
        <v>41</v>
      </c>
      <c r="B11" s="53" t="s">
        <v>157</v>
      </c>
      <c r="C11" s="62">
        <v>2019</v>
      </c>
      <c r="D11" s="63" t="s">
        <v>184</v>
      </c>
      <c r="E11" s="53" t="s">
        <v>133</v>
      </c>
      <c r="F11" s="53" t="s">
        <v>185</v>
      </c>
      <c r="G11" s="53" t="s">
        <v>42</v>
      </c>
      <c r="H11" s="53" t="s">
        <v>160</v>
      </c>
      <c r="I11" s="53" t="s">
        <v>159</v>
      </c>
      <c r="J11" s="53" t="s">
        <v>38</v>
      </c>
      <c r="K11" s="53" t="s">
        <v>161</v>
      </c>
      <c r="L11" s="53">
        <v>1</v>
      </c>
      <c r="N11" s="53">
        <v>8</v>
      </c>
      <c r="O11" s="53">
        <v>0.25</v>
      </c>
      <c r="P11" s="53">
        <v>0.3</v>
      </c>
      <c r="Q11" s="72">
        <f t="shared" si="0"/>
        <v>0.27500000000000002</v>
      </c>
      <c r="R11" s="53">
        <v>14.3</v>
      </c>
      <c r="S11" s="53">
        <v>110</v>
      </c>
      <c r="T11" s="16">
        <f t="shared" si="1"/>
        <v>33</v>
      </c>
      <c r="U11" s="53">
        <v>753</v>
      </c>
      <c r="V11" s="16">
        <f t="shared" si="2"/>
        <v>3106.125</v>
      </c>
      <c r="W11" s="53">
        <v>2</v>
      </c>
      <c r="X11" s="53" t="s">
        <v>46</v>
      </c>
      <c r="Y11" s="53" t="s">
        <v>97</v>
      </c>
      <c r="Z11" s="53" t="s">
        <v>69</v>
      </c>
      <c r="AA11" s="53" t="s">
        <v>86</v>
      </c>
      <c r="AB11" s="53" t="s">
        <v>158</v>
      </c>
      <c r="AE11" s="22" t="s">
        <v>68</v>
      </c>
      <c r="AG11" s="71" t="s">
        <v>210</v>
      </c>
      <c r="AH11" s="71" t="s">
        <v>211</v>
      </c>
      <c r="AL11" s="74"/>
      <c r="AP11" s="23" t="s">
        <v>104</v>
      </c>
      <c r="AR11" s="23" t="s">
        <v>212</v>
      </c>
      <c r="AV11" s="23" t="s">
        <v>69</v>
      </c>
      <c r="AX11" s="24">
        <v>151</v>
      </c>
      <c r="AY11" s="25">
        <v>22</v>
      </c>
      <c r="AZ11" s="25">
        <v>152</v>
      </c>
      <c r="BA11" s="26">
        <v>18</v>
      </c>
    </row>
    <row r="12" spans="1:53" x14ac:dyDescent="0.15">
      <c r="A12" s="53" t="s">
        <v>41</v>
      </c>
      <c r="B12" s="53" t="s">
        <v>157</v>
      </c>
      <c r="C12" s="62">
        <v>2019</v>
      </c>
      <c r="D12" s="63" t="s">
        <v>184</v>
      </c>
      <c r="E12" s="53" t="s">
        <v>133</v>
      </c>
      <c r="F12" s="53" t="s">
        <v>185</v>
      </c>
      <c r="G12" s="53" t="s">
        <v>42</v>
      </c>
      <c r="H12" s="53" t="s">
        <v>160</v>
      </c>
      <c r="I12" s="53" t="s">
        <v>159</v>
      </c>
      <c r="J12" s="53" t="s">
        <v>38</v>
      </c>
      <c r="K12" s="53" t="s">
        <v>161</v>
      </c>
      <c r="L12" s="53">
        <v>2</v>
      </c>
      <c r="M12" s="76"/>
      <c r="N12" s="53">
        <v>8</v>
      </c>
      <c r="O12" s="53">
        <v>0.3</v>
      </c>
      <c r="P12" s="53">
        <v>0.25</v>
      </c>
      <c r="Q12" s="72">
        <f t="shared" si="0"/>
        <v>0.27500000000000002</v>
      </c>
      <c r="R12" s="53">
        <v>13.5</v>
      </c>
      <c r="S12" s="53">
        <v>112</v>
      </c>
      <c r="T12" s="16">
        <f t="shared" si="1"/>
        <v>33</v>
      </c>
      <c r="U12" s="53">
        <v>753</v>
      </c>
      <c r="V12" s="16">
        <f t="shared" si="2"/>
        <v>3106.125</v>
      </c>
      <c r="W12" s="53">
        <v>2</v>
      </c>
      <c r="X12" s="53" t="s">
        <v>46</v>
      </c>
      <c r="Y12" s="53" t="s">
        <v>97</v>
      </c>
      <c r="Z12" s="53" t="s">
        <v>69</v>
      </c>
      <c r="AA12" s="53" t="s">
        <v>86</v>
      </c>
      <c r="AB12" s="53" t="s">
        <v>158</v>
      </c>
      <c r="AE12" s="22" t="s">
        <v>213</v>
      </c>
      <c r="AG12" s="22"/>
      <c r="AH12" s="22"/>
      <c r="AL12" s="74"/>
      <c r="AP12" s="23" t="s">
        <v>67</v>
      </c>
      <c r="AR12" s="23" t="s">
        <v>214</v>
      </c>
      <c r="AV12" s="23" t="s">
        <v>72</v>
      </c>
      <c r="AX12" s="31">
        <v>180</v>
      </c>
      <c r="AY12" s="32">
        <v>18</v>
      </c>
      <c r="AZ12" s="32">
        <v>181</v>
      </c>
      <c r="BA12" s="33">
        <v>16</v>
      </c>
    </row>
    <row r="13" spans="1:53" x14ac:dyDescent="0.15">
      <c r="A13" s="53" t="s">
        <v>41</v>
      </c>
      <c r="B13" s="53" t="s">
        <v>157</v>
      </c>
      <c r="C13" s="62">
        <v>2019</v>
      </c>
      <c r="D13" s="63" t="s">
        <v>184</v>
      </c>
      <c r="E13" s="53" t="s">
        <v>133</v>
      </c>
      <c r="F13" s="53" t="s">
        <v>185</v>
      </c>
      <c r="G13" s="53" t="s">
        <v>42</v>
      </c>
      <c r="H13" s="53" t="s">
        <v>160</v>
      </c>
      <c r="I13" s="53" t="s">
        <v>159</v>
      </c>
      <c r="J13" s="53" t="s">
        <v>38</v>
      </c>
      <c r="K13" s="53" t="s">
        <v>161</v>
      </c>
      <c r="L13" s="53">
        <v>3</v>
      </c>
      <c r="M13" s="76"/>
      <c r="N13" s="53">
        <v>8</v>
      </c>
      <c r="O13" s="53">
        <v>0.35</v>
      </c>
      <c r="P13" s="53">
        <v>0.25</v>
      </c>
      <c r="Q13" s="72">
        <f t="shared" si="0"/>
        <v>0.3</v>
      </c>
      <c r="R13" s="53">
        <v>15.1</v>
      </c>
      <c r="S13" s="53">
        <v>111</v>
      </c>
      <c r="T13" s="16">
        <f t="shared" si="1"/>
        <v>33</v>
      </c>
      <c r="U13" s="53">
        <v>753</v>
      </c>
      <c r="V13" s="16">
        <f t="shared" si="2"/>
        <v>3106.125</v>
      </c>
      <c r="W13" s="53">
        <v>2</v>
      </c>
      <c r="X13" s="53" t="s">
        <v>46</v>
      </c>
      <c r="Y13" s="53" t="s">
        <v>97</v>
      </c>
      <c r="Z13" s="53" t="s">
        <v>69</v>
      </c>
      <c r="AA13" s="53" t="s">
        <v>86</v>
      </c>
      <c r="AB13" s="53" t="s">
        <v>158</v>
      </c>
      <c r="AE13" s="22" t="s">
        <v>215</v>
      </c>
      <c r="AG13" s="23"/>
      <c r="AH13" s="23"/>
      <c r="AP13" s="23" t="s">
        <v>71</v>
      </c>
      <c r="AR13" s="23" t="s">
        <v>207</v>
      </c>
      <c r="AV13" s="23" t="s">
        <v>75</v>
      </c>
    </row>
    <row r="14" spans="1:53" x14ac:dyDescent="0.15">
      <c r="A14" s="53" t="s">
        <v>41</v>
      </c>
      <c r="B14" s="53" t="s">
        <v>157</v>
      </c>
      <c r="C14" s="62">
        <v>2019</v>
      </c>
      <c r="D14" s="63" t="s">
        <v>184</v>
      </c>
      <c r="E14" s="53" t="s">
        <v>187</v>
      </c>
      <c r="F14" s="53" t="s">
        <v>185</v>
      </c>
      <c r="G14" s="53" t="s">
        <v>42</v>
      </c>
      <c r="H14" s="53" t="s">
        <v>160</v>
      </c>
      <c r="I14" s="53" t="s">
        <v>159</v>
      </c>
      <c r="J14" s="53" t="s">
        <v>38</v>
      </c>
      <c r="K14" s="53" t="s">
        <v>161</v>
      </c>
      <c r="L14" s="53">
        <v>1</v>
      </c>
      <c r="M14" s="76"/>
      <c r="N14" s="53">
        <v>1</v>
      </c>
      <c r="O14" s="53">
        <v>0.75</v>
      </c>
      <c r="P14" s="53">
        <v>0.8</v>
      </c>
      <c r="Q14" s="72">
        <f t="shared" si="0"/>
        <v>0.77500000000000002</v>
      </c>
      <c r="R14" s="53">
        <v>18.399999999999999</v>
      </c>
      <c r="S14" s="53">
        <v>124</v>
      </c>
      <c r="T14" s="16">
        <f t="shared" si="1"/>
        <v>27</v>
      </c>
      <c r="U14" s="53">
        <v>149</v>
      </c>
      <c r="V14" s="16">
        <f t="shared" si="2"/>
        <v>4023</v>
      </c>
      <c r="W14" s="53">
        <v>4</v>
      </c>
      <c r="X14" s="53" t="s">
        <v>46</v>
      </c>
      <c r="Y14" s="53" t="s">
        <v>97</v>
      </c>
      <c r="Z14" s="53" t="s">
        <v>69</v>
      </c>
      <c r="AA14" s="53" t="s">
        <v>88</v>
      </c>
      <c r="AB14" s="53" t="s">
        <v>158</v>
      </c>
      <c r="AE14" s="22" t="s">
        <v>96</v>
      </c>
      <c r="AG14" s="23"/>
      <c r="AH14" s="23"/>
      <c r="AP14" s="23" t="s">
        <v>74</v>
      </c>
      <c r="AR14" s="23" t="s">
        <v>216</v>
      </c>
      <c r="AV14" s="23" t="s">
        <v>78</v>
      </c>
    </row>
    <row r="15" spans="1:53" x14ac:dyDescent="0.15">
      <c r="A15" s="53" t="s">
        <v>41</v>
      </c>
      <c r="B15" s="53" t="s">
        <v>157</v>
      </c>
      <c r="C15" s="62">
        <v>2019</v>
      </c>
      <c r="D15" s="63" t="s">
        <v>184</v>
      </c>
      <c r="E15" s="53" t="s">
        <v>187</v>
      </c>
      <c r="F15" s="53" t="s">
        <v>185</v>
      </c>
      <c r="G15" s="53" t="s">
        <v>42</v>
      </c>
      <c r="H15" s="53" t="s">
        <v>160</v>
      </c>
      <c r="I15" s="53" t="s">
        <v>159</v>
      </c>
      <c r="J15" s="53" t="s">
        <v>38</v>
      </c>
      <c r="K15" s="53" t="s">
        <v>161</v>
      </c>
      <c r="L15" s="53">
        <v>2</v>
      </c>
      <c r="M15" s="76"/>
      <c r="N15" s="53">
        <v>1</v>
      </c>
      <c r="O15" s="53">
        <v>0.8</v>
      </c>
      <c r="P15" s="53">
        <v>0.95</v>
      </c>
      <c r="Q15" s="72">
        <f t="shared" si="0"/>
        <v>0.875</v>
      </c>
      <c r="R15" s="53">
        <v>15.9</v>
      </c>
      <c r="S15" s="53">
        <v>125</v>
      </c>
      <c r="T15" s="16">
        <f t="shared" si="1"/>
        <v>27</v>
      </c>
      <c r="U15" s="53">
        <v>149</v>
      </c>
      <c r="V15" s="16">
        <f t="shared" si="2"/>
        <v>4023</v>
      </c>
      <c r="W15" s="53">
        <v>4</v>
      </c>
      <c r="X15" s="53" t="s">
        <v>46</v>
      </c>
      <c r="Y15" s="53" t="s">
        <v>97</v>
      </c>
      <c r="Z15" s="53" t="s">
        <v>69</v>
      </c>
      <c r="AA15" s="53" t="s">
        <v>88</v>
      </c>
      <c r="AB15" s="53" t="s">
        <v>158</v>
      </c>
      <c r="AE15" s="22" t="s">
        <v>217</v>
      </c>
      <c r="AG15" s="23"/>
      <c r="AH15" s="23"/>
      <c r="AP15" s="23" t="s">
        <v>77</v>
      </c>
      <c r="AR15" s="23" t="s">
        <v>80</v>
      </c>
      <c r="AV15" s="23" t="s">
        <v>107</v>
      </c>
    </row>
    <row r="16" spans="1:53" x14ac:dyDescent="0.15">
      <c r="A16" s="53" t="s">
        <v>41</v>
      </c>
      <c r="B16" s="53" t="s">
        <v>157</v>
      </c>
      <c r="C16" s="62">
        <v>2019</v>
      </c>
      <c r="D16" s="63" t="s">
        <v>184</v>
      </c>
      <c r="E16" s="53" t="s">
        <v>187</v>
      </c>
      <c r="F16" s="53" t="s">
        <v>185</v>
      </c>
      <c r="G16" s="53" t="s">
        <v>42</v>
      </c>
      <c r="H16" s="53" t="s">
        <v>160</v>
      </c>
      <c r="I16" s="53" t="s">
        <v>159</v>
      </c>
      <c r="J16" s="53" t="s">
        <v>38</v>
      </c>
      <c r="K16" s="53" t="s">
        <v>161</v>
      </c>
      <c r="L16" s="53">
        <v>3</v>
      </c>
      <c r="M16" s="76"/>
      <c r="N16" s="53">
        <v>1</v>
      </c>
      <c r="O16" s="53">
        <v>0.65</v>
      </c>
      <c r="P16" s="53">
        <v>0.5</v>
      </c>
      <c r="Q16" s="72">
        <f t="shared" si="0"/>
        <v>0.57499999999999996</v>
      </c>
      <c r="R16" s="53">
        <v>16</v>
      </c>
      <c r="S16" s="53">
        <v>127</v>
      </c>
      <c r="T16" s="16">
        <f t="shared" si="1"/>
        <v>27</v>
      </c>
      <c r="U16" s="53">
        <v>149</v>
      </c>
      <c r="V16" s="16">
        <f t="shared" si="2"/>
        <v>4023</v>
      </c>
      <c r="W16" s="53">
        <v>4</v>
      </c>
      <c r="X16" s="53" t="s">
        <v>46</v>
      </c>
      <c r="Y16" s="53" t="s">
        <v>97</v>
      </c>
      <c r="Z16" s="53" t="s">
        <v>69</v>
      </c>
      <c r="AA16" s="53" t="s">
        <v>88</v>
      </c>
      <c r="AB16" s="53" t="s">
        <v>158</v>
      </c>
      <c r="AE16" s="22" t="s">
        <v>218</v>
      </c>
      <c r="AG16" s="28"/>
      <c r="AH16" s="28"/>
      <c r="AP16" s="23" t="s">
        <v>80</v>
      </c>
      <c r="AR16" s="23" t="s">
        <v>63</v>
      </c>
      <c r="AV16" s="23" t="s">
        <v>84</v>
      </c>
    </row>
    <row r="17" spans="1:48" x14ac:dyDescent="0.15">
      <c r="A17" s="53" t="s">
        <v>41</v>
      </c>
      <c r="B17" s="53" t="s">
        <v>157</v>
      </c>
      <c r="C17" s="62">
        <v>2019</v>
      </c>
      <c r="D17" s="63" t="s">
        <v>184</v>
      </c>
      <c r="E17" s="53" t="s">
        <v>187</v>
      </c>
      <c r="F17" s="53" t="s">
        <v>185</v>
      </c>
      <c r="G17" s="53" t="s">
        <v>42</v>
      </c>
      <c r="H17" s="53" t="s">
        <v>160</v>
      </c>
      <c r="I17" s="53" t="s">
        <v>159</v>
      </c>
      <c r="J17" s="53" t="s">
        <v>38</v>
      </c>
      <c r="K17" s="53" t="s">
        <v>161</v>
      </c>
      <c r="L17" s="53">
        <v>1</v>
      </c>
      <c r="M17" s="76"/>
      <c r="N17" s="53">
        <v>7</v>
      </c>
      <c r="O17" s="53">
        <v>0.45</v>
      </c>
      <c r="P17" s="53">
        <v>0.4</v>
      </c>
      <c r="Q17" s="75">
        <f t="shared" si="0"/>
        <v>0.42500000000000004</v>
      </c>
      <c r="R17" s="53">
        <v>15.7</v>
      </c>
      <c r="S17" s="53">
        <v>121</v>
      </c>
      <c r="T17" s="16">
        <f t="shared" si="1"/>
        <v>27</v>
      </c>
      <c r="U17" s="53">
        <v>626</v>
      </c>
      <c r="V17" s="16">
        <f t="shared" si="2"/>
        <v>2414.5714285714284</v>
      </c>
      <c r="W17" s="53">
        <v>1</v>
      </c>
      <c r="X17" s="53" t="s">
        <v>46</v>
      </c>
      <c r="Y17" s="53" t="s">
        <v>97</v>
      </c>
      <c r="Z17" s="53" t="s">
        <v>69</v>
      </c>
      <c r="AA17" s="53" t="s">
        <v>88</v>
      </c>
      <c r="AB17" s="53" t="s">
        <v>158</v>
      </c>
      <c r="AE17" s="22" t="s">
        <v>219</v>
      </c>
      <c r="AP17" s="27" t="s">
        <v>220</v>
      </c>
      <c r="AR17" s="23" t="s">
        <v>96</v>
      </c>
      <c r="AV17" s="23" t="s">
        <v>86</v>
      </c>
    </row>
    <row r="18" spans="1:48" x14ac:dyDescent="0.15">
      <c r="A18" s="53" t="s">
        <v>41</v>
      </c>
      <c r="B18" s="53" t="s">
        <v>157</v>
      </c>
      <c r="C18" s="62">
        <v>2019</v>
      </c>
      <c r="D18" s="63" t="s">
        <v>184</v>
      </c>
      <c r="E18" s="53" t="s">
        <v>187</v>
      </c>
      <c r="F18" s="53" t="s">
        <v>185</v>
      </c>
      <c r="G18" s="53" t="s">
        <v>42</v>
      </c>
      <c r="H18" s="53" t="s">
        <v>160</v>
      </c>
      <c r="I18" s="53" t="s">
        <v>159</v>
      </c>
      <c r="J18" s="53" t="s">
        <v>38</v>
      </c>
      <c r="K18" s="53" t="s">
        <v>161</v>
      </c>
      <c r="L18" s="53">
        <v>2</v>
      </c>
      <c r="M18" s="76"/>
      <c r="N18" s="53">
        <v>7</v>
      </c>
      <c r="O18" s="53">
        <v>0.6</v>
      </c>
      <c r="P18" s="53">
        <v>0.55000000000000004</v>
      </c>
      <c r="Q18" s="75">
        <f t="shared" si="0"/>
        <v>0.57499999999999996</v>
      </c>
      <c r="R18" s="53">
        <v>14.8</v>
      </c>
      <c r="S18" s="53">
        <v>123</v>
      </c>
      <c r="T18" s="16">
        <f t="shared" si="1"/>
        <v>27</v>
      </c>
      <c r="U18" s="53">
        <v>626</v>
      </c>
      <c r="V18" s="16">
        <f t="shared" si="2"/>
        <v>2414.5714285714284</v>
      </c>
      <c r="W18" s="53">
        <v>1</v>
      </c>
      <c r="X18" s="53" t="s">
        <v>46</v>
      </c>
      <c r="Y18" s="53" t="s">
        <v>97</v>
      </c>
      <c r="Z18" s="53" t="s">
        <v>69</v>
      </c>
      <c r="AA18" s="53" t="s">
        <v>88</v>
      </c>
      <c r="AB18" s="53" t="s">
        <v>158</v>
      </c>
      <c r="AE18" s="22" t="s">
        <v>212</v>
      </c>
      <c r="AP18" s="27" t="s">
        <v>221</v>
      </c>
      <c r="AR18" s="23" t="s">
        <v>101</v>
      </c>
      <c r="AV18" s="23" t="s">
        <v>88</v>
      </c>
    </row>
    <row r="19" spans="1:48" x14ac:dyDescent="0.15">
      <c r="A19" s="53" t="s">
        <v>41</v>
      </c>
      <c r="B19" s="53" t="s">
        <v>157</v>
      </c>
      <c r="C19" s="62">
        <v>2019</v>
      </c>
      <c r="D19" s="63" t="s">
        <v>184</v>
      </c>
      <c r="E19" s="53" t="s">
        <v>187</v>
      </c>
      <c r="F19" s="53" t="s">
        <v>185</v>
      </c>
      <c r="G19" s="53" t="s">
        <v>42</v>
      </c>
      <c r="H19" s="53" t="s">
        <v>160</v>
      </c>
      <c r="I19" s="53" t="s">
        <v>159</v>
      </c>
      <c r="J19" s="53" t="s">
        <v>38</v>
      </c>
      <c r="K19" s="53" t="s">
        <v>161</v>
      </c>
      <c r="L19" s="53">
        <v>3</v>
      </c>
      <c r="M19" s="76"/>
      <c r="N19" s="53">
        <v>7</v>
      </c>
      <c r="O19" s="53">
        <v>0.5</v>
      </c>
      <c r="P19" s="53">
        <v>0.4</v>
      </c>
      <c r="Q19" s="75">
        <f t="shared" si="0"/>
        <v>0.45</v>
      </c>
      <c r="R19" s="53">
        <v>15.1</v>
      </c>
      <c r="S19" s="53">
        <v>122</v>
      </c>
      <c r="T19" s="16">
        <f t="shared" si="1"/>
        <v>27</v>
      </c>
      <c r="U19" s="53">
        <v>626</v>
      </c>
      <c r="V19" s="16">
        <f t="shared" si="2"/>
        <v>2414.5714285714284</v>
      </c>
      <c r="W19" s="53">
        <v>1</v>
      </c>
      <c r="X19" s="53" t="s">
        <v>46</v>
      </c>
      <c r="Y19" s="53" t="s">
        <v>97</v>
      </c>
      <c r="Z19" s="53" t="s">
        <v>69</v>
      </c>
      <c r="AA19" s="53" t="s">
        <v>88</v>
      </c>
      <c r="AB19" s="53" t="s">
        <v>158</v>
      </c>
      <c r="AE19" s="35" t="s">
        <v>206</v>
      </c>
      <c r="AP19" s="27" t="s">
        <v>222</v>
      </c>
      <c r="AR19" s="23" t="s">
        <v>223</v>
      </c>
      <c r="AV19" s="23" t="s">
        <v>90</v>
      </c>
    </row>
    <row r="20" spans="1:48" x14ac:dyDescent="0.15">
      <c r="A20" s="53" t="s">
        <v>41</v>
      </c>
      <c r="B20" s="53" t="s">
        <v>157</v>
      </c>
      <c r="C20" s="62">
        <v>2019</v>
      </c>
      <c r="D20" s="63" t="s">
        <v>184</v>
      </c>
      <c r="E20" s="53" t="s">
        <v>187</v>
      </c>
      <c r="F20" s="53" t="s">
        <v>185</v>
      </c>
      <c r="G20" s="53" t="s">
        <v>42</v>
      </c>
      <c r="H20" s="53" t="s">
        <v>160</v>
      </c>
      <c r="I20" s="53" t="s">
        <v>159</v>
      </c>
      <c r="J20" s="53" t="s">
        <v>38</v>
      </c>
      <c r="K20" s="53" t="s">
        <v>161</v>
      </c>
      <c r="L20" s="53">
        <v>1</v>
      </c>
      <c r="M20" s="76"/>
      <c r="N20" s="53">
        <v>9</v>
      </c>
      <c r="O20" s="53">
        <v>0.25</v>
      </c>
      <c r="P20" s="53">
        <v>0.25</v>
      </c>
      <c r="Q20" s="75">
        <f t="shared" si="0"/>
        <v>0.25</v>
      </c>
      <c r="R20" s="53">
        <v>12.6</v>
      </c>
      <c r="S20" s="53">
        <v>124</v>
      </c>
      <c r="T20" s="16">
        <f t="shared" si="1"/>
        <v>27</v>
      </c>
      <c r="U20" s="53">
        <v>842</v>
      </c>
      <c r="V20" s="16">
        <f t="shared" si="2"/>
        <v>2526</v>
      </c>
      <c r="W20" s="53">
        <v>1</v>
      </c>
      <c r="X20" s="53" t="s">
        <v>46</v>
      </c>
      <c r="Y20" s="53" t="s">
        <v>97</v>
      </c>
      <c r="Z20" s="53" t="s">
        <v>69</v>
      </c>
      <c r="AA20" s="53" t="s">
        <v>88</v>
      </c>
      <c r="AB20" s="53" t="s">
        <v>158</v>
      </c>
      <c r="AE20" s="35"/>
      <c r="AP20" s="27" t="s">
        <v>224</v>
      </c>
      <c r="AR20" s="23" t="s">
        <v>105</v>
      </c>
      <c r="AV20" s="27" t="s">
        <v>225</v>
      </c>
    </row>
    <row r="21" spans="1:48" x14ac:dyDescent="0.15">
      <c r="A21" s="53" t="s">
        <v>41</v>
      </c>
      <c r="B21" s="53" t="s">
        <v>157</v>
      </c>
      <c r="C21" s="62">
        <v>2019</v>
      </c>
      <c r="D21" s="63" t="s">
        <v>184</v>
      </c>
      <c r="E21" s="53" t="s">
        <v>187</v>
      </c>
      <c r="F21" s="53" t="s">
        <v>185</v>
      </c>
      <c r="G21" s="53" t="s">
        <v>42</v>
      </c>
      <c r="H21" s="53" t="s">
        <v>160</v>
      </c>
      <c r="I21" s="53" t="s">
        <v>159</v>
      </c>
      <c r="J21" s="53" t="s">
        <v>38</v>
      </c>
      <c r="K21" s="53" t="s">
        <v>161</v>
      </c>
      <c r="L21" s="53">
        <v>2</v>
      </c>
      <c r="M21" s="76"/>
      <c r="N21" s="53">
        <v>9</v>
      </c>
      <c r="O21" s="53">
        <v>0.25</v>
      </c>
      <c r="P21" s="53">
        <v>0.25</v>
      </c>
      <c r="Q21" s="75">
        <f t="shared" si="0"/>
        <v>0.25</v>
      </c>
      <c r="R21" s="53">
        <v>11</v>
      </c>
      <c r="S21" s="53">
        <v>120</v>
      </c>
      <c r="T21" s="16">
        <f t="shared" si="1"/>
        <v>30</v>
      </c>
      <c r="U21" s="53">
        <v>842</v>
      </c>
      <c r="V21" s="16">
        <f t="shared" si="2"/>
        <v>2806.6666666666665</v>
      </c>
      <c r="W21" s="53">
        <v>1</v>
      </c>
      <c r="X21" s="53" t="s">
        <v>46</v>
      </c>
      <c r="Y21" s="53" t="s">
        <v>97</v>
      </c>
      <c r="Z21" s="53" t="s">
        <v>69</v>
      </c>
      <c r="AA21" s="53" t="s">
        <v>88</v>
      </c>
      <c r="AB21" s="53" t="s">
        <v>158</v>
      </c>
      <c r="AE21" s="28"/>
      <c r="AP21" s="27" t="s">
        <v>226</v>
      </c>
      <c r="AR21" s="23" t="s">
        <v>68</v>
      </c>
      <c r="AV21" s="27" t="s">
        <v>227</v>
      </c>
    </row>
    <row r="22" spans="1:48" x14ac:dyDescent="0.15">
      <c r="A22" s="53" t="s">
        <v>41</v>
      </c>
      <c r="B22" s="53" t="s">
        <v>157</v>
      </c>
      <c r="C22" s="62">
        <v>2019</v>
      </c>
      <c r="D22" s="63" t="s">
        <v>184</v>
      </c>
      <c r="E22" s="53" t="s">
        <v>187</v>
      </c>
      <c r="F22" s="53" t="s">
        <v>185</v>
      </c>
      <c r="G22" s="53" t="s">
        <v>42</v>
      </c>
      <c r="H22" s="53" t="s">
        <v>160</v>
      </c>
      <c r="I22" s="53" t="s">
        <v>159</v>
      </c>
      <c r="J22" s="53" t="s">
        <v>38</v>
      </c>
      <c r="K22" s="53" t="s">
        <v>161</v>
      </c>
      <c r="L22" s="53">
        <v>3</v>
      </c>
      <c r="M22" s="76"/>
      <c r="N22" s="53">
        <v>9</v>
      </c>
      <c r="O22" s="53">
        <v>0.3</v>
      </c>
      <c r="P22" s="53">
        <v>0.25</v>
      </c>
      <c r="Q22" s="75">
        <f t="shared" si="0"/>
        <v>0.27500000000000002</v>
      </c>
      <c r="R22" s="53">
        <v>15.9</v>
      </c>
      <c r="S22" s="53">
        <v>121</v>
      </c>
      <c r="T22" s="16">
        <f t="shared" si="1"/>
        <v>27</v>
      </c>
      <c r="U22" s="53">
        <v>842</v>
      </c>
      <c r="V22" s="16">
        <f t="shared" si="2"/>
        <v>2526</v>
      </c>
      <c r="W22" s="53">
        <v>1</v>
      </c>
      <c r="X22" s="53" t="s">
        <v>46</v>
      </c>
      <c r="Y22" s="53" t="s">
        <v>97</v>
      </c>
      <c r="Z22" s="53" t="s">
        <v>69</v>
      </c>
      <c r="AA22" s="53" t="s">
        <v>88</v>
      </c>
      <c r="AB22" s="53" t="s">
        <v>158</v>
      </c>
      <c r="AP22" s="27" t="s">
        <v>228</v>
      </c>
      <c r="AR22" s="23" t="s">
        <v>83</v>
      </c>
      <c r="AV22" s="27"/>
    </row>
    <row r="23" spans="1:48" x14ac:dyDescent="0.15">
      <c r="A23" s="53" t="s">
        <v>41</v>
      </c>
      <c r="B23" s="53" t="s">
        <v>157</v>
      </c>
      <c r="C23" s="62">
        <v>2019</v>
      </c>
      <c r="D23" s="63" t="s">
        <v>184</v>
      </c>
      <c r="E23" s="53" t="s">
        <v>187</v>
      </c>
      <c r="F23" s="53" t="s">
        <v>185</v>
      </c>
      <c r="G23" s="53" t="s">
        <v>42</v>
      </c>
      <c r="H23" s="53" t="s">
        <v>164</v>
      </c>
      <c r="I23" s="53" t="s">
        <v>159</v>
      </c>
      <c r="J23" s="53" t="s">
        <v>38</v>
      </c>
      <c r="K23" s="53" t="s">
        <v>161</v>
      </c>
      <c r="L23" s="53">
        <v>1</v>
      </c>
      <c r="M23" s="76"/>
      <c r="N23" s="53">
        <v>1</v>
      </c>
      <c r="O23" s="53">
        <v>0.8</v>
      </c>
      <c r="P23" s="53">
        <v>0.7</v>
      </c>
      <c r="Q23" s="75">
        <f t="shared" si="0"/>
        <v>0.75</v>
      </c>
      <c r="R23" s="53">
        <v>15.4</v>
      </c>
      <c r="S23" s="53">
        <v>126</v>
      </c>
      <c r="T23" s="16">
        <f t="shared" si="1"/>
        <v>27</v>
      </c>
      <c r="U23" s="53">
        <v>149</v>
      </c>
      <c r="V23" s="16">
        <f t="shared" si="2"/>
        <v>4023</v>
      </c>
      <c r="W23" s="53">
        <v>4</v>
      </c>
      <c r="X23" s="53" t="s">
        <v>46</v>
      </c>
      <c r="Y23" s="53" t="s">
        <v>97</v>
      </c>
      <c r="Z23" s="53" t="s">
        <v>69</v>
      </c>
      <c r="AA23" s="53" t="s">
        <v>88</v>
      </c>
      <c r="AB23" s="53" t="s">
        <v>158</v>
      </c>
      <c r="AP23" s="27" t="s">
        <v>229</v>
      </c>
      <c r="AR23" s="28" t="s">
        <v>230</v>
      </c>
      <c r="AV23" s="28"/>
    </row>
    <row r="24" spans="1:48" x14ac:dyDescent="0.15">
      <c r="A24" s="53" t="s">
        <v>41</v>
      </c>
      <c r="B24" s="53" t="s">
        <v>157</v>
      </c>
      <c r="C24" s="62">
        <v>2019</v>
      </c>
      <c r="D24" s="63" t="s">
        <v>184</v>
      </c>
      <c r="E24" s="53" t="s">
        <v>187</v>
      </c>
      <c r="F24" s="53" t="s">
        <v>185</v>
      </c>
      <c r="G24" s="53" t="s">
        <v>42</v>
      </c>
      <c r="H24" s="53" t="s">
        <v>164</v>
      </c>
      <c r="I24" s="53" t="s">
        <v>159</v>
      </c>
      <c r="J24" s="53" t="s">
        <v>38</v>
      </c>
      <c r="K24" s="53" t="s">
        <v>161</v>
      </c>
      <c r="L24" s="53">
        <v>2</v>
      </c>
      <c r="M24" s="76"/>
      <c r="N24" s="53">
        <v>1</v>
      </c>
      <c r="O24" s="53">
        <v>0.65</v>
      </c>
      <c r="P24" s="53">
        <v>0.9</v>
      </c>
      <c r="Q24" s="75">
        <f t="shared" si="0"/>
        <v>0.77500000000000002</v>
      </c>
      <c r="R24" s="53">
        <v>13.2</v>
      </c>
      <c r="S24" s="53">
        <v>127</v>
      </c>
      <c r="T24" s="16">
        <f t="shared" si="1"/>
        <v>27</v>
      </c>
      <c r="U24" s="53">
        <v>149</v>
      </c>
      <c r="V24" s="16">
        <f t="shared" si="2"/>
        <v>4023</v>
      </c>
      <c r="W24" s="53">
        <v>4</v>
      </c>
      <c r="X24" s="53" t="s">
        <v>46</v>
      </c>
      <c r="Y24" s="53" t="s">
        <v>97</v>
      </c>
      <c r="Z24" s="53" t="s">
        <v>69</v>
      </c>
      <c r="AA24" s="53" t="s">
        <v>88</v>
      </c>
      <c r="AB24" s="53" t="s">
        <v>158</v>
      </c>
      <c r="AP24" s="27" t="s">
        <v>231</v>
      </c>
    </row>
    <row r="25" spans="1:48" x14ac:dyDescent="0.15">
      <c r="A25" s="53" t="s">
        <v>41</v>
      </c>
      <c r="B25" s="53" t="s">
        <v>157</v>
      </c>
      <c r="C25" s="62">
        <v>2019</v>
      </c>
      <c r="D25" s="63" t="s">
        <v>184</v>
      </c>
      <c r="E25" s="53" t="s">
        <v>187</v>
      </c>
      <c r="F25" s="53" t="s">
        <v>185</v>
      </c>
      <c r="G25" s="53" t="s">
        <v>42</v>
      </c>
      <c r="H25" s="53" t="s">
        <v>164</v>
      </c>
      <c r="I25" s="53" t="s">
        <v>159</v>
      </c>
      <c r="J25" s="53" t="s">
        <v>38</v>
      </c>
      <c r="K25" s="53" t="s">
        <v>161</v>
      </c>
      <c r="L25" s="53">
        <v>3</v>
      </c>
      <c r="M25" s="76"/>
      <c r="N25" s="53">
        <v>1</v>
      </c>
      <c r="O25" s="53">
        <v>0.8</v>
      </c>
      <c r="P25" s="53">
        <v>0.85</v>
      </c>
      <c r="Q25" s="75">
        <f t="shared" si="0"/>
        <v>0.82499999999999996</v>
      </c>
      <c r="R25" s="53">
        <v>13.8</v>
      </c>
      <c r="S25" s="53">
        <v>125</v>
      </c>
      <c r="T25" s="16">
        <f t="shared" si="1"/>
        <v>27</v>
      </c>
      <c r="U25" s="53">
        <v>149</v>
      </c>
      <c r="V25" s="16">
        <f t="shared" si="2"/>
        <v>4023</v>
      </c>
      <c r="W25" s="53">
        <v>4</v>
      </c>
      <c r="X25" s="53" t="s">
        <v>46</v>
      </c>
      <c r="Y25" s="53" t="s">
        <v>97</v>
      </c>
      <c r="Z25" s="53" t="s">
        <v>69</v>
      </c>
      <c r="AA25" s="53" t="s">
        <v>88</v>
      </c>
      <c r="AB25" s="53" t="s">
        <v>158</v>
      </c>
    </row>
    <row r="26" spans="1:48" x14ac:dyDescent="0.15">
      <c r="A26" s="53" t="s">
        <v>41</v>
      </c>
      <c r="B26" s="53" t="s">
        <v>157</v>
      </c>
      <c r="C26" s="62">
        <v>2019</v>
      </c>
      <c r="D26" s="63" t="s">
        <v>184</v>
      </c>
      <c r="E26" s="53" t="s">
        <v>187</v>
      </c>
      <c r="F26" s="53" t="s">
        <v>185</v>
      </c>
      <c r="G26" s="53" t="s">
        <v>42</v>
      </c>
      <c r="H26" s="53" t="s">
        <v>164</v>
      </c>
      <c r="I26" s="53" t="s">
        <v>159</v>
      </c>
      <c r="J26" s="53" t="s">
        <v>38</v>
      </c>
      <c r="K26" s="53" t="s">
        <v>161</v>
      </c>
      <c r="L26" s="53">
        <v>1</v>
      </c>
      <c r="M26" s="76"/>
      <c r="N26" s="53">
        <v>8</v>
      </c>
      <c r="O26" s="53">
        <v>0.7</v>
      </c>
      <c r="P26" s="53">
        <v>0.85</v>
      </c>
      <c r="Q26" s="75">
        <f t="shared" si="0"/>
        <v>0.77499999999999991</v>
      </c>
      <c r="R26" s="53">
        <v>14.7</v>
      </c>
      <c r="S26" s="53">
        <v>105</v>
      </c>
      <c r="T26" s="16">
        <f t="shared" si="1"/>
        <v>33</v>
      </c>
      <c r="U26" s="53">
        <v>626</v>
      </c>
      <c r="V26" s="16">
        <f t="shared" si="2"/>
        <v>2582.25</v>
      </c>
      <c r="W26" s="53">
        <v>1</v>
      </c>
      <c r="X26" s="53" t="s">
        <v>46</v>
      </c>
      <c r="Y26" s="53" t="s">
        <v>97</v>
      </c>
      <c r="Z26" s="53" t="s">
        <v>69</v>
      </c>
      <c r="AA26" s="53" t="s">
        <v>88</v>
      </c>
      <c r="AB26" s="53" t="s">
        <v>158</v>
      </c>
    </row>
    <row r="27" spans="1:48" x14ac:dyDescent="0.15">
      <c r="A27" s="53" t="s">
        <v>41</v>
      </c>
      <c r="B27" s="53" t="s">
        <v>157</v>
      </c>
      <c r="C27" s="62">
        <v>2019</v>
      </c>
      <c r="D27" s="63" t="s">
        <v>184</v>
      </c>
      <c r="E27" s="53" t="s">
        <v>187</v>
      </c>
      <c r="F27" s="53" t="s">
        <v>185</v>
      </c>
      <c r="G27" s="53" t="s">
        <v>42</v>
      </c>
      <c r="H27" s="53" t="s">
        <v>164</v>
      </c>
      <c r="I27" s="53" t="s">
        <v>159</v>
      </c>
      <c r="J27" s="53" t="s">
        <v>38</v>
      </c>
      <c r="K27" s="53" t="s">
        <v>161</v>
      </c>
      <c r="L27" s="53">
        <v>2</v>
      </c>
      <c r="M27" s="76"/>
      <c r="N27" s="53">
        <v>8</v>
      </c>
      <c r="O27" s="53">
        <v>0.9</v>
      </c>
      <c r="P27" s="53">
        <v>1</v>
      </c>
      <c r="Q27" s="75">
        <f t="shared" si="0"/>
        <v>0.95</v>
      </c>
      <c r="R27" s="53">
        <v>14</v>
      </c>
      <c r="S27" s="53">
        <v>111</v>
      </c>
      <c r="T27" s="16">
        <f t="shared" si="1"/>
        <v>33</v>
      </c>
      <c r="U27" s="53">
        <v>626</v>
      </c>
      <c r="V27" s="16">
        <f t="shared" si="2"/>
        <v>2582.25</v>
      </c>
      <c r="W27" s="53">
        <v>1</v>
      </c>
      <c r="X27" s="53" t="s">
        <v>46</v>
      </c>
      <c r="Y27" s="53" t="s">
        <v>97</v>
      </c>
      <c r="Z27" s="53" t="s">
        <v>69</v>
      </c>
      <c r="AA27" s="53" t="s">
        <v>88</v>
      </c>
      <c r="AB27" s="53" t="s">
        <v>158</v>
      </c>
    </row>
    <row r="28" spans="1:48" x14ac:dyDescent="0.15">
      <c r="A28" s="53" t="s">
        <v>41</v>
      </c>
      <c r="B28" s="53" t="s">
        <v>157</v>
      </c>
      <c r="C28" s="62">
        <v>2019</v>
      </c>
      <c r="D28" s="63" t="s">
        <v>184</v>
      </c>
      <c r="E28" s="53" t="s">
        <v>187</v>
      </c>
      <c r="F28" s="53" t="s">
        <v>185</v>
      </c>
      <c r="G28" s="53" t="s">
        <v>42</v>
      </c>
      <c r="H28" s="53" t="s">
        <v>164</v>
      </c>
      <c r="I28" s="53" t="s">
        <v>159</v>
      </c>
      <c r="J28" s="53" t="s">
        <v>38</v>
      </c>
      <c r="K28" s="53" t="s">
        <v>161</v>
      </c>
      <c r="L28" s="53">
        <v>3</v>
      </c>
      <c r="M28" s="76"/>
      <c r="N28" s="53">
        <v>8</v>
      </c>
      <c r="O28" s="53">
        <v>0.8</v>
      </c>
      <c r="P28" s="53">
        <v>1</v>
      </c>
      <c r="Q28" s="75">
        <f t="shared" si="0"/>
        <v>0.9</v>
      </c>
      <c r="R28" s="53">
        <v>14.5</v>
      </c>
      <c r="S28" s="53">
        <v>107</v>
      </c>
      <c r="T28" s="16">
        <f t="shared" si="1"/>
        <v>33</v>
      </c>
      <c r="U28" s="53">
        <v>626</v>
      </c>
      <c r="V28" s="16">
        <f t="shared" si="2"/>
        <v>2582.25</v>
      </c>
      <c r="W28" s="53">
        <v>1</v>
      </c>
      <c r="X28" s="53" t="s">
        <v>46</v>
      </c>
      <c r="Y28" s="53" t="s">
        <v>97</v>
      </c>
      <c r="Z28" s="53" t="s">
        <v>69</v>
      </c>
      <c r="AA28" s="53" t="s">
        <v>88</v>
      </c>
      <c r="AB28" s="53" t="s">
        <v>158</v>
      </c>
    </row>
    <row r="29" spans="1:48" x14ac:dyDescent="0.15">
      <c r="A29" s="53" t="s">
        <v>41</v>
      </c>
      <c r="B29" s="53" t="s">
        <v>157</v>
      </c>
      <c r="C29" s="62">
        <v>2019</v>
      </c>
      <c r="D29" s="63" t="s">
        <v>184</v>
      </c>
      <c r="E29" s="53" t="s">
        <v>187</v>
      </c>
      <c r="F29" s="53" t="s">
        <v>189</v>
      </c>
      <c r="G29" s="53" t="s">
        <v>42</v>
      </c>
      <c r="H29" s="53" t="s">
        <v>164</v>
      </c>
      <c r="I29" s="53" t="s">
        <v>159</v>
      </c>
      <c r="J29" s="53" t="s">
        <v>38</v>
      </c>
      <c r="K29" s="53" t="s">
        <v>161</v>
      </c>
      <c r="L29" s="53">
        <v>1</v>
      </c>
      <c r="M29" s="76"/>
      <c r="N29" s="53">
        <v>1</v>
      </c>
      <c r="O29" s="53">
        <v>0.6</v>
      </c>
      <c r="P29" s="53">
        <v>0.55000000000000004</v>
      </c>
      <c r="Q29" s="16">
        <f t="shared" si="0"/>
        <v>0.57499999999999996</v>
      </c>
      <c r="R29" s="53">
        <v>14.2</v>
      </c>
      <c r="S29" s="53">
        <v>124</v>
      </c>
      <c r="T29" s="16">
        <f t="shared" si="1"/>
        <v>27</v>
      </c>
      <c r="U29" s="53">
        <v>149</v>
      </c>
      <c r="V29" s="16">
        <f t="shared" si="2"/>
        <v>4023</v>
      </c>
      <c r="W29" s="53">
        <v>2</v>
      </c>
      <c r="X29" s="53" t="s">
        <v>46</v>
      </c>
      <c r="Y29" s="53" t="s">
        <v>69</v>
      </c>
      <c r="Z29" s="53" t="s">
        <v>55</v>
      </c>
      <c r="AA29" s="53" t="s">
        <v>88</v>
      </c>
      <c r="AB29" s="53" t="s">
        <v>158</v>
      </c>
    </row>
    <row r="30" spans="1:48" x14ac:dyDescent="0.15">
      <c r="A30" s="53" t="s">
        <v>41</v>
      </c>
      <c r="B30" s="53" t="s">
        <v>157</v>
      </c>
      <c r="C30" s="62">
        <v>2019</v>
      </c>
      <c r="D30" s="63" t="s">
        <v>184</v>
      </c>
      <c r="E30" s="53" t="s">
        <v>187</v>
      </c>
      <c r="F30" s="53" t="s">
        <v>189</v>
      </c>
      <c r="G30" s="53" t="s">
        <v>42</v>
      </c>
      <c r="H30" s="53" t="s">
        <v>164</v>
      </c>
      <c r="I30" s="53" t="s">
        <v>159</v>
      </c>
      <c r="J30" s="53" t="s">
        <v>38</v>
      </c>
      <c r="K30" s="53" t="s">
        <v>161</v>
      </c>
      <c r="L30" s="53">
        <v>2</v>
      </c>
      <c r="M30" s="76"/>
      <c r="N30" s="53">
        <v>1</v>
      </c>
      <c r="O30" s="53">
        <v>0.55000000000000004</v>
      </c>
      <c r="P30" s="53">
        <v>0.6</v>
      </c>
      <c r="Q30" s="16">
        <f t="shared" si="0"/>
        <v>0.57499999999999996</v>
      </c>
      <c r="R30" s="53">
        <v>15.2</v>
      </c>
      <c r="S30" s="53">
        <v>125</v>
      </c>
      <c r="T30" s="16">
        <f t="shared" si="1"/>
        <v>27</v>
      </c>
      <c r="U30" s="53">
        <v>149</v>
      </c>
      <c r="V30" s="16">
        <f t="shared" si="2"/>
        <v>4023</v>
      </c>
      <c r="W30" s="53">
        <v>2</v>
      </c>
      <c r="X30" s="53" t="s">
        <v>46</v>
      </c>
      <c r="Y30" s="53" t="s">
        <v>69</v>
      </c>
      <c r="Z30" s="53" t="s">
        <v>55</v>
      </c>
      <c r="AA30" s="53" t="s">
        <v>88</v>
      </c>
      <c r="AB30" s="53" t="s">
        <v>158</v>
      </c>
    </row>
    <row r="31" spans="1:48" x14ac:dyDescent="0.15">
      <c r="A31" s="53" t="s">
        <v>41</v>
      </c>
      <c r="B31" s="53" t="s">
        <v>157</v>
      </c>
      <c r="C31" s="62">
        <v>2019</v>
      </c>
      <c r="D31" s="63" t="s">
        <v>184</v>
      </c>
      <c r="E31" s="53" t="s">
        <v>187</v>
      </c>
      <c r="F31" s="53" t="s">
        <v>189</v>
      </c>
      <c r="G31" s="53" t="s">
        <v>42</v>
      </c>
      <c r="H31" s="53" t="s">
        <v>164</v>
      </c>
      <c r="I31" s="53" t="s">
        <v>159</v>
      </c>
      <c r="J31" s="53" t="s">
        <v>38</v>
      </c>
      <c r="K31" s="53" t="s">
        <v>161</v>
      </c>
      <c r="L31" s="53">
        <v>3</v>
      </c>
      <c r="M31" s="76"/>
      <c r="N31" s="53">
        <v>1</v>
      </c>
      <c r="O31" s="53">
        <v>0.45</v>
      </c>
      <c r="P31" s="53">
        <v>0.4</v>
      </c>
      <c r="Q31" s="16">
        <f t="shared" si="0"/>
        <v>0.42500000000000004</v>
      </c>
      <c r="R31" s="53">
        <v>12.6</v>
      </c>
      <c r="S31" s="53">
        <v>122</v>
      </c>
      <c r="T31" s="16">
        <f t="shared" si="1"/>
        <v>27</v>
      </c>
      <c r="U31" s="53">
        <v>149</v>
      </c>
      <c r="V31" s="16">
        <f t="shared" si="2"/>
        <v>4023</v>
      </c>
      <c r="W31" s="53">
        <v>2</v>
      </c>
      <c r="X31" s="53" t="s">
        <v>46</v>
      </c>
      <c r="Y31" s="53" t="s">
        <v>69</v>
      </c>
      <c r="Z31" s="53" t="s">
        <v>55</v>
      </c>
      <c r="AA31" s="53" t="s">
        <v>88</v>
      </c>
      <c r="AB31" s="53" t="s">
        <v>158</v>
      </c>
    </row>
    <row r="32" spans="1:48" x14ac:dyDescent="0.15">
      <c r="A32" s="53" t="s">
        <v>41</v>
      </c>
      <c r="B32" s="53" t="s">
        <v>157</v>
      </c>
      <c r="C32" s="62">
        <v>2019</v>
      </c>
      <c r="D32" s="63" t="s">
        <v>184</v>
      </c>
      <c r="E32" s="53" t="s">
        <v>187</v>
      </c>
      <c r="F32" s="53" t="s">
        <v>189</v>
      </c>
      <c r="G32" s="53" t="s">
        <v>42</v>
      </c>
      <c r="H32" s="53" t="s">
        <v>164</v>
      </c>
      <c r="I32" s="53" t="s">
        <v>159</v>
      </c>
      <c r="J32" s="53" t="s">
        <v>38</v>
      </c>
      <c r="K32" s="53" t="s">
        <v>161</v>
      </c>
      <c r="L32" s="53">
        <v>1</v>
      </c>
      <c r="M32" s="76"/>
      <c r="N32" s="53">
        <v>5</v>
      </c>
      <c r="O32" s="53">
        <v>0.25</v>
      </c>
      <c r="P32" s="53">
        <v>0.25</v>
      </c>
      <c r="Q32" s="16">
        <f t="shared" si="0"/>
        <v>0.25</v>
      </c>
      <c r="R32" s="53">
        <v>11.5</v>
      </c>
      <c r="S32" s="53">
        <v>115</v>
      </c>
      <c r="T32" s="16">
        <f t="shared" si="1"/>
        <v>30</v>
      </c>
      <c r="U32" s="53">
        <v>429</v>
      </c>
      <c r="V32" s="16">
        <f t="shared" si="2"/>
        <v>2574</v>
      </c>
      <c r="W32" s="53">
        <v>2</v>
      </c>
      <c r="X32" s="53" t="s">
        <v>46</v>
      </c>
      <c r="Y32" s="53" t="s">
        <v>69</v>
      </c>
      <c r="Z32" s="53" t="s">
        <v>55</v>
      </c>
      <c r="AA32" s="53" t="s">
        <v>88</v>
      </c>
      <c r="AB32" s="53" t="s">
        <v>158</v>
      </c>
    </row>
    <row r="33" spans="1:28" x14ac:dyDescent="0.15">
      <c r="A33" s="53" t="s">
        <v>41</v>
      </c>
      <c r="B33" s="53" t="s">
        <v>157</v>
      </c>
      <c r="C33" s="62">
        <v>2019</v>
      </c>
      <c r="D33" s="63" t="s">
        <v>184</v>
      </c>
      <c r="E33" s="53" t="s">
        <v>187</v>
      </c>
      <c r="F33" s="53" t="s">
        <v>189</v>
      </c>
      <c r="G33" s="53" t="s">
        <v>42</v>
      </c>
      <c r="H33" s="53" t="s">
        <v>164</v>
      </c>
      <c r="I33" s="53" t="s">
        <v>159</v>
      </c>
      <c r="J33" s="53" t="s">
        <v>38</v>
      </c>
      <c r="K33" s="53" t="s">
        <v>161</v>
      </c>
      <c r="L33" s="53">
        <v>2</v>
      </c>
      <c r="M33" s="76"/>
      <c r="N33" s="53">
        <v>5</v>
      </c>
      <c r="O33" s="53">
        <v>0.25</v>
      </c>
      <c r="P33" s="53">
        <v>0.3</v>
      </c>
      <c r="Q33" s="16">
        <f t="shared" si="0"/>
        <v>0.27500000000000002</v>
      </c>
      <c r="R33" s="53">
        <v>12.3</v>
      </c>
      <c r="S33" s="53">
        <v>119</v>
      </c>
      <c r="T33" s="16">
        <f t="shared" si="1"/>
        <v>30</v>
      </c>
      <c r="U33" s="53">
        <v>429</v>
      </c>
      <c r="V33" s="16">
        <f t="shared" si="2"/>
        <v>2574</v>
      </c>
      <c r="W33" s="53">
        <v>2</v>
      </c>
      <c r="X33" s="53" t="s">
        <v>46</v>
      </c>
      <c r="Y33" s="53" t="s">
        <v>69</v>
      </c>
      <c r="Z33" s="53" t="s">
        <v>55</v>
      </c>
      <c r="AA33" s="53" t="s">
        <v>88</v>
      </c>
      <c r="AB33" s="53" t="s">
        <v>158</v>
      </c>
    </row>
    <row r="34" spans="1:28" x14ac:dyDescent="0.15">
      <c r="A34" s="53" t="s">
        <v>41</v>
      </c>
      <c r="B34" s="53" t="s">
        <v>157</v>
      </c>
      <c r="C34" s="62">
        <v>2019</v>
      </c>
      <c r="D34" s="63" t="s">
        <v>184</v>
      </c>
      <c r="E34" s="53" t="s">
        <v>187</v>
      </c>
      <c r="F34" s="53" t="s">
        <v>189</v>
      </c>
      <c r="G34" s="53" t="s">
        <v>42</v>
      </c>
      <c r="H34" s="53" t="s">
        <v>164</v>
      </c>
      <c r="I34" s="53" t="s">
        <v>159</v>
      </c>
      <c r="J34" s="53" t="s">
        <v>38</v>
      </c>
      <c r="K34" s="53" t="s">
        <v>161</v>
      </c>
      <c r="L34" s="53">
        <v>3</v>
      </c>
      <c r="M34" s="76"/>
      <c r="N34" s="53">
        <v>5</v>
      </c>
      <c r="O34" s="53">
        <v>0.6</v>
      </c>
      <c r="P34" s="53">
        <v>0.55000000000000004</v>
      </c>
      <c r="Q34" s="16">
        <f t="shared" si="0"/>
        <v>0.57499999999999996</v>
      </c>
      <c r="R34" s="53">
        <v>16.5</v>
      </c>
      <c r="S34" s="53">
        <v>121</v>
      </c>
      <c r="T34" s="16">
        <f t="shared" si="1"/>
        <v>27</v>
      </c>
      <c r="U34" s="53">
        <v>429</v>
      </c>
      <c r="V34" s="16">
        <f t="shared" si="2"/>
        <v>2316.6</v>
      </c>
      <c r="W34" s="53">
        <v>2</v>
      </c>
      <c r="X34" s="53" t="s">
        <v>46</v>
      </c>
      <c r="Y34" s="53" t="s">
        <v>69</v>
      </c>
      <c r="Z34" s="53" t="s">
        <v>55</v>
      </c>
      <c r="AA34" s="53" t="s">
        <v>88</v>
      </c>
      <c r="AB34" s="53" t="s">
        <v>158</v>
      </c>
    </row>
    <row r="35" spans="1:28" x14ac:dyDescent="0.15">
      <c r="A35" s="53" t="s">
        <v>41</v>
      </c>
      <c r="B35" s="53" t="s">
        <v>157</v>
      </c>
      <c r="C35" s="62">
        <v>2019</v>
      </c>
      <c r="D35" s="63" t="s">
        <v>184</v>
      </c>
      <c r="E35" s="53" t="s">
        <v>187</v>
      </c>
      <c r="F35" s="53" t="s">
        <v>189</v>
      </c>
      <c r="G35" s="53" t="s">
        <v>42</v>
      </c>
      <c r="H35" s="53" t="s">
        <v>164</v>
      </c>
      <c r="I35" s="53" t="s">
        <v>159</v>
      </c>
      <c r="J35" s="53" t="s">
        <v>38</v>
      </c>
      <c r="K35" s="53" t="s">
        <v>161</v>
      </c>
      <c r="L35" s="53">
        <v>1</v>
      </c>
      <c r="M35" s="76"/>
      <c r="N35" s="53">
        <v>7</v>
      </c>
      <c r="O35" s="53">
        <v>0.7</v>
      </c>
      <c r="P35" s="53">
        <v>0.8</v>
      </c>
      <c r="Q35" s="16">
        <f t="shared" si="0"/>
        <v>0.75</v>
      </c>
      <c r="R35" s="53">
        <v>14</v>
      </c>
      <c r="S35" s="53">
        <v>90</v>
      </c>
      <c r="T35" s="16">
        <f t="shared" si="1"/>
        <v>36</v>
      </c>
      <c r="U35" s="53">
        <v>429</v>
      </c>
      <c r="V35" s="16">
        <f t="shared" si="2"/>
        <v>2206.2857142857142</v>
      </c>
      <c r="W35" s="53">
        <v>2</v>
      </c>
      <c r="X35" s="53" t="s">
        <v>46</v>
      </c>
      <c r="Y35" s="53" t="s">
        <v>69</v>
      </c>
      <c r="Z35" s="53" t="s">
        <v>55</v>
      </c>
      <c r="AA35" s="53" t="s">
        <v>88</v>
      </c>
      <c r="AB35" s="53" t="s">
        <v>158</v>
      </c>
    </row>
    <row r="36" spans="1:28" x14ac:dyDescent="0.15">
      <c r="A36" s="53" t="s">
        <v>41</v>
      </c>
      <c r="B36" s="53" t="s">
        <v>157</v>
      </c>
      <c r="C36" s="62">
        <v>2019</v>
      </c>
      <c r="D36" s="63" t="s">
        <v>184</v>
      </c>
      <c r="E36" s="53" t="s">
        <v>187</v>
      </c>
      <c r="F36" s="53" t="s">
        <v>189</v>
      </c>
      <c r="G36" s="53" t="s">
        <v>42</v>
      </c>
      <c r="H36" s="53" t="s">
        <v>164</v>
      </c>
      <c r="I36" s="53" t="s">
        <v>159</v>
      </c>
      <c r="J36" s="53" t="s">
        <v>38</v>
      </c>
      <c r="K36" s="53" t="s">
        <v>161</v>
      </c>
      <c r="L36" s="53">
        <v>2</v>
      </c>
      <c r="M36" s="76"/>
      <c r="N36" s="53">
        <v>7</v>
      </c>
      <c r="O36" s="53">
        <v>0.65</v>
      </c>
      <c r="P36" s="53">
        <v>0.7</v>
      </c>
      <c r="Q36" s="16">
        <f t="shared" si="0"/>
        <v>0.67500000000000004</v>
      </c>
      <c r="R36" s="53">
        <v>13.7</v>
      </c>
      <c r="S36" s="53">
        <v>94</v>
      </c>
      <c r="T36" s="16">
        <f t="shared" si="1"/>
        <v>36</v>
      </c>
      <c r="U36" s="53">
        <v>429</v>
      </c>
      <c r="V36" s="16">
        <f t="shared" si="2"/>
        <v>2206.2857142857142</v>
      </c>
      <c r="W36" s="53">
        <v>2</v>
      </c>
      <c r="X36" s="53" t="s">
        <v>46</v>
      </c>
      <c r="Y36" s="53" t="s">
        <v>69</v>
      </c>
      <c r="Z36" s="53" t="s">
        <v>55</v>
      </c>
      <c r="AA36" s="53" t="s">
        <v>88</v>
      </c>
      <c r="AB36" s="53" t="s">
        <v>158</v>
      </c>
    </row>
    <row r="37" spans="1:28" x14ac:dyDescent="0.15">
      <c r="A37" s="53" t="s">
        <v>41</v>
      </c>
      <c r="B37" s="53" t="s">
        <v>157</v>
      </c>
      <c r="C37" s="62">
        <v>2019</v>
      </c>
      <c r="D37" s="63" t="s">
        <v>184</v>
      </c>
      <c r="E37" s="53" t="s">
        <v>187</v>
      </c>
      <c r="F37" s="53" t="s">
        <v>189</v>
      </c>
      <c r="G37" s="53" t="s">
        <v>42</v>
      </c>
      <c r="H37" s="53" t="s">
        <v>164</v>
      </c>
      <c r="I37" s="53" t="s">
        <v>159</v>
      </c>
      <c r="J37" s="53" t="s">
        <v>38</v>
      </c>
      <c r="K37" s="53" t="s">
        <v>161</v>
      </c>
      <c r="L37" s="53">
        <v>3</v>
      </c>
      <c r="M37" s="76"/>
      <c r="N37" s="53">
        <v>7</v>
      </c>
      <c r="O37" s="53">
        <v>0.5</v>
      </c>
      <c r="P37" s="53">
        <v>0.45</v>
      </c>
      <c r="Q37" s="16">
        <f t="shared" si="0"/>
        <v>0.47499999999999998</v>
      </c>
      <c r="R37" s="53">
        <v>16.100000000000001</v>
      </c>
      <c r="S37" s="53">
        <v>95</v>
      </c>
      <c r="T37" s="16">
        <f t="shared" si="1"/>
        <v>36</v>
      </c>
      <c r="U37" s="53">
        <v>429</v>
      </c>
      <c r="V37" s="16">
        <f t="shared" si="2"/>
        <v>2206.2857142857142</v>
      </c>
      <c r="W37" s="53">
        <v>2</v>
      </c>
      <c r="X37" s="53" t="s">
        <v>46</v>
      </c>
      <c r="Y37" s="53" t="s">
        <v>69</v>
      </c>
      <c r="Z37" s="53" t="s">
        <v>55</v>
      </c>
      <c r="AA37" s="53" t="s">
        <v>88</v>
      </c>
      <c r="AB37" s="53" t="s">
        <v>158</v>
      </c>
    </row>
    <row r="38" spans="1:28" x14ac:dyDescent="0.15">
      <c r="A38" s="53" t="s">
        <v>41</v>
      </c>
      <c r="B38" s="53" t="s">
        <v>157</v>
      </c>
      <c r="C38" s="62">
        <v>2019</v>
      </c>
      <c r="D38" s="63" t="s">
        <v>184</v>
      </c>
      <c r="E38" s="53" t="s">
        <v>187</v>
      </c>
      <c r="F38" s="53" t="s">
        <v>189</v>
      </c>
      <c r="G38" s="53" t="s">
        <v>42</v>
      </c>
      <c r="H38" s="53" t="s">
        <v>164</v>
      </c>
      <c r="I38" s="53" t="s">
        <v>165</v>
      </c>
      <c r="J38" s="53" t="s">
        <v>38</v>
      </c>
      <c r="K38" s="53" t="s">
        <v>161</v>
      </c>
      <c r="L38" s="53">
        <v>1</v>
      </c>
      <c r="M38" s="76"/>
      <c r="N38" s="53">
        <v>2</v>
      </c>
      <c r="O38" s="53">
        <v>0.85</v>
      </c>
      <c r="P38" s="53">
        <v>0.9</v>
      </c>
      <c r="Q38" s="16">
        <f t="shared" si="0"/>
        <v>0.875</v>
      </c>
      <c r="R38" s="53">
        <v>14.1</v>
      </c>
      <c r="S38" s="53">
        <v>137</v>
      </c>
      <c r="T38" s="16">
        <f t="shared" si="1"/>
        <v>25</v>
      </c>
      <c r="U38" s="53">
        <v>321</v>
      </c>
      <c r="V38" s="16">
        <f t="shared" si="2"/>
        <v>4012.5</v>
      </c>
      <c r="W38" s="53">
        <v>1</v>
      </c>
      <c r="X38" s="53" t="s">
        <v>46</v>
      </c>
      <c r="Y38" s="53" t="s">
        <v>69</v>
      </c>
      <c r="Z38" s="53" t="s">
        <v>55</v>
      </c>
      <c r="AA38" s="53" t="s">
        <v>88</v>
      </c>
      <c r="AB38" s="53" t="s">
        <v>158</v>
      </c>
    </row>
    <row r="39" spans="1:28" x14ac:dyDescent="0.15">
      <c r="A39" s="53" t="s">
        <v>41</v>
      </c>
      <c r="B39" s="53" t="s">
        <v>157</v>
      </c>
      <c r="C39" s="62">
        <v>2019</v>
      </c>
      <c r="D39" s="63" t="s">
        <v>184</v>
      </c>
      <c r="E39" s="53" t="s">
        <v>187</v>
      </c>
      <c r="F39" s="53" t="s">
        <v>189</v>
      </c>
      <c r="G39" s="53" t="s">
        <v>42</v>
      </c>
      <c r="H39" s="53" t="s">
        <v>164</v>
      </c>
      <c r="I39" s="53" t="s">
        <v>165</v>
      </c>
      <c r="J39" s="53" t="s">
        <v>38</v>
      </c>
      <c r="K39" s="53" t="s">
        <v>161</v>
      </c>
      <c r="L39" s="53">
        <v>2</v>
      </c>
      <c r="M39" s="76"/>
      <c r="N39" s="53">
        <v>2</v>
      </c>
      <c r="O39" s="53">
        <v>0.9</v>
      </c>
      <c r="P39" s="53">
        <v>0.8</v>
      </c>
      <c r="Q39" s="16">
        <f t="shared" si="0"/>
        <v>0.85000000000000009</v>
      </c>
      <c r="R39" s="53">
        <v>11.3</v>
      </c>
      <c r="S39" s="53">
        <v>133</v>
      </c>
      <c r="T39" s="16">
        <f t="shared" si="1"/>
        <v>25</v>
      </c>
      <c r="U39" s="53">
        <v>321</v>
      </c>
      <c r="V39" s="16">
        <f t="shared" si="2"/>
        <v>4012.5</v>
      </c>
      <c r="W39" s="53">
        <v>1</v>
      </c>
      <c r="X39" s="53" t="s">
        <v>46</v>
      </c>
      <c r="Y39" s="53" t="s">
        <v>69</v>
      </c>
      <c r="Z39" s="53" t="s">
        <v>55</v>
      </c>
      <c r="AA39" s="53" t="s">
        <v>88</v>
      </c>
      <c r="AB39" s="53" t="s">
        <v>158</v>
      </c>
    </row>
    <row r="40" spans="1:28" x14ac:dyDescent="0.15">
      <c r="A40" s="53" t="s">
        <v>41</v>
      </c>
      <c r="B40" s="53" t="s">
        <v>157</v>
      </c>
      <c r="C40" s="62">
        <v>2019</v>
      </c>
      <c r="D40" s="63" t="s">
        <v>184</v>
      </c>
      <c r="E40" s="53" t="s">
        <v>187</v>
      </c>
      <c r="F40" s="53" t="s">
        <v>189</v>
      </c>
      <c r="G40" s="53" t="s">
        <v>42</v>
      </c>
      <c r="H40" s="53" t="s">
        <v>164</v>
      </c>
      <c r="I40" s="53" t="s">
        <v>165</v>
      </c>
      <c r="J40" s="53" t="s">
        <v>38</v>
      </c>
      <c r="K40" s="53" t="s">
        <v>161</v>
      </c>
      <c r="L40" s="53">
        <v>3</v>
      </c>
      <c r="M40" s="76"/>
      <c r="N40" s="53">
        <v>2</v>
      </c>
      <c r="O40" s="53">
        <v>0.7</v>
      </c>
      <c r="P40" s="53">
        <v>0.95</v>
      </c>
      <c r="Q40" s="16">
        <f t="shared" si="0"/>
        <v>0.82499999999999996</v>
      </c>
      <c r="R40" s="53">
        <v>13.5</v>
      </c>
      <c r="S40" s="53">
        <v>135</v>
      </c>
      <c r="T40" s="16">
        <f t="shared" si="1"/>
        <v>25</v>
      </c>
      <c r="U40" s="53">
        <v>321</v>
      </c>
      <c r="V40" s="16">
        <f t="shared" si="2"/>
        <v>4012.5</v>
      </c>
      <c r="W40" s="53">
        <v>1</v>
      </c>
      <c r="X40" s="53" t="s">
        <v>46</v>
      </c>
      <c r="Y40" s="53" t="s">
        <v>69</v>
      </c>
      <c r="Z40" s="53" t="s">
        <v>55</v>
      </c>
      <c r="AA40" s="53" t="s">
        <v>88</v>
      </c>
      <c r="AB40" s="53" t="s">
        <v>158</v>
      </c>
    </row>
    <row r="41" spans="1:28" x14ac:dyDescent="0.15">
      <c r="A41" s="53" t="s">
        <v>41</v>
      </c>
      <c r="B41" s="53" t="s">
        <v>157</v>
      </c>
      <c r="C41" s="62">
        <v>2019</v>
      </c>
      <c r="D41" s="63" t="s">
        <v>184</v>
      </c>
      <c r="E41" s="53" t="s">
        <v>187</v>
      </c>
      <c r="F41" s="53" t="s">
        <v>189</v>
      </c>
      <c r="G41" s="53" t="s">
        <v>42</v>
      </c>
      <c r="H41" s="53" t="s">
        <v>160</v>
      </c>
      <c r="I41" s="53" t="s">
        <v>159</v>
      </c>
      <c r="J41" s="53" t="s">
        <v>38</v>
      </c>
      <c r="K41" s="53" t="s">
        <v>161</v>
      </c>
      <c r="L41" s="53">
        <v>1</v>
      </c>
      <c r="M41" s="76"/>
      <c r="N41" s="53">
        <v>1</v>
      </c>
      <c r="O41" s="53">
        <v>0.95</v>
      </c>
      <c r="P41" s="53">
        <v>1</v>
      </c>
      <c r="Q41" s="16">
        <f t="shared" si="0"/>
        <v>0.97499999999999998</v>
      </c>
      <c r="R41" s="53">
        <v>17.399999999999999</v>
      </c>
      <c r="S41" s="53">
        <v>126</v>
      </c>
      <c r="T41" s="16">
        <f t="shared" si="1"/>
        <v>27</v>
      </c>
      <c r="U41" s="53">
        <v>149</v>
      </c>
      <c r="V41" s="16">
        <f t="shared" si="2"/>
        <v>4023</v>
      </c>
      <c r="W41" s="53">
        <v>4</v>
      </c>
      <c r="X41" s="53" t="s">
        <v>46</v>
      </c>
      <c r="Y41" s="53" t="s">
        <v>69</v>
      </c>
      <c r="Z41" s="53" t="s">
        <v>55</v>
      </c>
      <c r="AA41" s="53" t="s">
        <v>88</v>
      </c>
      <c r="AB41" s="53" t="s">
        <v>158</v>
      </c>
    </row>
    <row r="42" spans="1:28" x14ac:dyDescent="0.15">
      <c r="A42" s="53" t="s">
        <v>41</v>
      </c>
      <c r="B42" s="53" t="s">
        <v>157</v>
      </c>
      <c r="C42" s="62">
        <v>2019</v>
      </c>
      <c r="D42" s="63" t="s">
        <v>184</v>
      </c>
      <c r="E42" s="53" t="s">
        <v>187</v>
      </c>
      <c r="F42" s="53" t="s">
        <v>189</v>
      </c>
      <c r="G42" s="53" t="s">
        <v>42</v>
      </c>
      <c r="H42" s="53" t="s">
        <v>160</v>
      </c>
      <c r="I42" s="53" t="s">
        <v>159</v>
      </c>
      <c r="J42" s="53" t="s">
        <v>38</v>
      </c>
      <c r="K42" s="53" t="s">
        <v>161</v>
      </c>
      <c r="L42" s="53">
        <v>2</v>
      </c>
      <c r="M42" s="76"/>
      <c r="N42" s="53">
        <v>1</v>
      </c>
      <c r="O42" s="53">
        <v>1</v>
      </c>
      <c r="P42" s="53">
        <v>1.1000000000000001</v>
      </c>
      <c r="Q42" s="16">
        <f t="shared" si="0"/>
        <v>1.05</v>
      </c>
      <c r="R42" s="53">
        <v>15.2</v>
      </c>
      <c r="S42" s="53">
        <v>122</v>
      </c>
      <c r="T42" s="16">
        <f t="shared" si="1"/>
        <v>27</v>
      </c>
      <c r="U42" s="53">
        <v>149</v>
      </c>
      <c r="V42" s="16">
        <f t="shared" si="2"/>
        <v>4023</v>
      </c>
      <c r="W42" s="53">
        <v>4</v>
      </c>
      <c r="X42" s="53" t="s">
        <v>46</v>
      </c>
      <c r="Y42" s="53" t="s">
        <v>69</v>
      </c>
      <c r="Z42" s="53" t="s">
        <v>55</v>
      </c>
      <c r="AA42" s="53" t="s">
        <v>88</v>
      </c>
      <c r="AB42" s="53" t="s">
        <v>158</v>
      </c>
    </row>
    <row r="43" spans="1:28" x14ac:dyDescent="0.15">
      <c r="A43" s="53" t="s">
        <v>41</v>
      </c>
      <c r="B43" s="53" t="s">
        <v>157</v>
      </c>
      <c r="C43" s="62">
        <v>2019</v>
      </c>
      <c r="D43" s="63" t="s">
        <v>184</v>
      </c>
      <c r="E43" s="53" t="s">
        <v>187</v>
      </c>
      <c r="F43" s="53" t="s">
        <v>189</v>
      </c>
      <c r="G43" s="53" t="s">
        <v>42</v>
      </c>
      <c r="H43" s="53" t="s">
        <v>160</v>
      </c>
      <c r="I43" s="53" t="s">
        <v>159</v>
      </c>
      <c r="J43" s="53" t="s">
        <v>38</v>
      </c>
      <c r="K43" s="53" t="s">
        <v>161</v>
      </c>
      <c r="L43" s="53">
        <v>3</v>
      </c>
      <c r="M43" s="76"/>
      <c r="N43" s="53">
        <v>1</v>
      </c>
      <c r="O43" s="53">
        <v>0.8</v>
      </c>
      <c r="P43" s="53">
        <v>0.9</v>
      </c>
      <c r="Q43" s="16">
        <f t="shared" si="0"/>
        <v>0.85000000000000009</v>
      </c>
      <c r="R43" s="53">
        <v>16.8</v>
      </c>
      <c r="S43" s="53">
        <v>123</v>
      </c>
      <c r="T43" s="16">
        <f t="shared" si="1"/>
        <v>27</v>
      </c>
      <c r="U43" s="53">
        <v>149</v>
      </c>
      <c r="V43" s="16">
        <f t="shared" si="2"/>
        <v>4023</v>
      </c>
      <c r="W43" s="53">
        <v>4</v>
      </c>
      <c r="X43" s="53" t="s">
        <v>46</v>
      </c>
      <c r="Y43" s="53" t="s">
        <v>69</v>
      </c>
      <c r="Z43" s="53" t="s">
        <v>55</v>
      </c>
      <c r="AA43" s="53" t="s">
        <v>88</v>
      </c>
      <c r="AB43" s="53" t="s">
        <v>158</v>
      </c>
    </row>
    <row r="44" spans="1:28" x14ac:dyDescent="0.15">
      <c r="A44" s="53" t="s">
        <v>41</v>
      </c>
      <c r="B44" s="53" t="s">
        <v>157</v>
      </c>
      <c r="C44" s="62">
        <v>2019</v>
      </c>
      <c r="D44" s="63" t="s">
        <v>184</v>
      </c>
      <c r="E44" s="53" t="s">
        <v>187</v>
      </c>
      <c r="F44" s="53" t="s">
        <v>189</v>
      </c>
      <c r="G44" s="53" t="s">
        <v>42</v>
      </c>
      <c r="H44" s="53" t="s">
        <v>160</v>
      </c>
      <c r="I44" s="53" t="s">
        <v>159</v>
      </c>
      <c r="J44" s="53" t="s">
        <v>38</v>
      </c>
      <c r="K44" s="53" t="s">
        <v>161</v>
      </c>
      <c r="L44" s="53">
        <v>1</v>
      </c>
      <c r="M44" s="76"/>
      <c r="N44" s="53">
        <v>4</v>
      </c>
      <c r="O44" s="53">
        <v>0.25</v>
      </c>
      <c r="P44" s="53">
        <v>0.25</v>
      </c>
      <c r="Q44" s="16">
        <f t="shared" si="0"/>
        <v>0.25</v>
      </c>
      <c r="R44" s="53">
        <v>16.399999999999999</v>
      </c>
      <c r="S44" s="53">
        <v>114</v>
      </c>
      <c r="T44" s="16">
        <f t="shared" si="1"/>
        <v>30</v>
      </c>
      <c r="U44" s="53">
        <v>429</v>
      </c>
      <c r="V44" s="16">
        <f t="shared" si="2"/>
        <v>3217.5</v>
      </c>
      <c r="W44" s="53">
        <v>2</v>
      </c>
      <c r="X44" s="53" t="s">
        <v>46</v>
      </c>
      <c r="Y44" s="53" t="s">
        <v>69</v>
      </c>
      <c r="Z44" s="53" t="s">
        <v>55</v>
      </c>
      <c r="AA44" s="53" t="s">
        <v>88</v>
      </c>
      <c r="AB44" s="53" t="s">
        <v>158</v>
      </c>
    </row>
    <row r="45" spans="1:28" x14ac:dyDescent="0.15">
      <c r="A45" s="53" t="s">
        <v>41</v>
      </c>
      <c r="B45" s="53" t="s">
        <v>157</v>
      </c>
      <c r="C45" s="62">
        <v>2019</v>
      </c>
      <c r="D45" s="63" t="s">
        <v>184</v>
      </c>
      <c r="E45" s="53" t="s">
        <v>187</v>
      </c>
      <c r="F45" s="53" t="s">
        <v>189</v>
      </c>
      <c r="G45" s="53" t="s">
        <v>42</v>
      </c>
      <c r="H45" s="53" t="s">
        <v>160</v>
      </c>
      <c r="I45" s="53" t="s">
        <v>159</v>
      </c>
      <c r="J45" s="53" t="s">
        <v>38</v>
      </c>
      <c r="K45" s="53" t="s">
        <v>161</v>
      </c>
      <c r="L45" s="53">
        <v>2</v>
      </c>
      <c r="M45" s="76"/>
      <c r="N45" s="53">
        <v>4</v>
      </c>
      <c r="O45" s="53">
        <v>0.25</v>
      </c>
      <c r="P45" s="53">
        <v>0.25</v>
      </c>
      <c r="Q45" s="16">
        <f t="shared" si="0"/>
        <v>0.25</v>
      </c>
      <c r="R45" s="53">
        <v>14.9</v>
      </c>
      <c r="S45" s="53">
        <v>112</v>
      </c>
      <c r="T45" s="16">
        <f t="shared" si="1"/>
        <v>33</v>
      </c>
      <c r="U45" s="53">
        <v>429</v>
      </c>
      <c r="V45" s="16">
        <f t="shared" si="2"/>
        <v>3539.25</v>
      </c>
      <c r="W45" s="53">
        <v>2</v>
      </c>
      <c r="X45" s="53" t="s">
        <v>46</v>
      </c>
      <c r="Y45" s="53" t="s">
        <v>69</v>
      </c>
      <c r="Z45" s="53" t="s">
        <v>55</v>
      </c>
      <c r="AA45" s="53" t="s">
        <v>88</v>
      </c>
      <c r="AB45" s="53" t="s">
        <v>158</v>
      </c>
    </row>
    <row r="46" spans="1:28" x14ac:dyDescent="0.15">
      <c r="A46" s="53" t="s">
        <v>41</v>
      </c>
      <c r="B46" s="53" t="s">
        <v>157</v>
      </c>
      <c r="C46" s="62">
        <v>2019</v>
      </c>
      <c r="D46" s="63" t="s">
        <v>184</v>
      </c>
      <c r="E46" s="53" t="s">
        <v>187</v>
      </c>
      <c r="F46" s="53" t="s">
        <v>189</v>
      </c>
      <c r="G46" s="53" t="s">
        <v>42</v>
      </c>
      <c r="H46" s="53" t="s">
        <v>160</v>
      </c>
      <c r="I46" s="53" t="s">
        <v>159</v>
      </c>
      <c r="J46" s="53" t="s">
        <v>38</v>
      </c>
      <c r="K46" s="53" t="s">
        <v>161</v>
      </c>
      <c r="L46" s="53">
        <v>3</v>
      </c>
      <c r="M46" s="76"/>
      <c r="N46" s="53">
        <v>4</v>
      </c>
      <c r="O46" s="53">
        <v>0.25</v>
      </c>
      <c r="P46" s="53">
        <v>0.25</v>
      </c>
      <c r="Q46" s="16">
        <f t="shared" si="0"/>
        <v>0.25</v>
      </c>
      <c r="R46" s="53">
        <v>15.1</v>
      </c>
      <c r="S46" s="53">
        <v>115</v>
      </c>
      <c r="T46" s="16">
        <f t="shared" si="1"/>
        <v>30</v>
      </c>
      <c r="U46" s="53">
        <v>429</v>
      </c>
      <c r="V46" s="16">
        <f t="shared" si="2"/>
        <v>3217.5</v>
      </c>
      <c r="W46" s="53">
        <v>2</v>
      </c>
      <c r="X46" s="53" t="s">
        <v>46</v>
      </c>
      <c r="Y46" s="53" t="s">
        <v>69</v>
      </c>
      <c r="Z46" s="53" t="s">
        <v>55</v>
      </c>
      <c r="AA46" s="53" t="s">
        <v>88</v>
      </c>
      <c r="AB46" s="53" t="s">
        <v>158</v>
      </c>
    </row>
    <row r="47" spans="1:28" x14ac:dyDescent="0.15">
      <c r="A47" s="53" t="s">
        <v>41</v>
      </c>
      <c r="B47" s="53" t="s">
        <v>157</v>
      </c>
      <c r="C47" s="62">
        <v>2019</v>
      </c>
      <c r="D47" s="63" t="s">
        <v>184</v>
      </c>
      <c r="E47" s="53" t="s">
        <v>187</v>
      </c>
      <c r="F47" s="53" t="s">
        <v>189</v>
      </c>
      <c r="G47" s="53" t="s">
        <v>42</v>
      </c>
      <c r="H47" s="53" t="s">
        <v>160</v>
      </c>
      <c r="I47" s="53" t="s">
        <v>159</v>
      </c>
      <c r="J47" s="53" t="s">
        <v>38</v>
      </c>
      <c r="K47" s="53" t="s">
        <v>161</v>
      </c>
      <c r="L47" s="53">
        <v>1</v>
      </c>
      <c r="M47" s="76"/>
      <c r="N47" s="53">
        <v>6</v>
      </c>
      <c r="O47" s="53">
        <v>0.25</v>
      </c>
      <c r="P47" s="53">
        <v>0.25</v>
      </c>
      <c r="Q47" s="16">
        <f t="shared" si="0"/>
        <v>0.25</v>
      </c>
      <c r="R47" s="53">
        <v>17</v>
      </c>
      <c r="S47" s="53">
        <v>111</v>
      </c>
      <c r="T47" s="16">
        <f t="shared" si="1"/>
        <v>33</v>
      </c>
      <c r="U47" s="53">
        <v>626</v>
      </c>
      <c r="V47" s="16">
        <f t="shared" si="2"/>
        <v>3443</v>
      </c>
      <c r="W47" s="53">
        <v>2</v>
      </c>
      <c r="X47" s="53" t="s">
        <v>46</v>
      </c>
      <c r="Y47" s="53" t="s">
        <v>69</v>
      </c>
      <c r="Z47" s="53" t="s">
        <v>55</v>
      </c>
      <c r="AA47" s="53" t="s">
        <v>88</v>
      </c>
      <c r="AB47" s="53" t="s">
        <v>158</v>
      </c>
    </row>
    <row r="48" spans="1:28" x14ac:dyDescent="0.15">
      <c r="A48" s="53" t="s">
        <v>41</v>
      </c>
      <c r="B48" s="53" t="s">
        <v>157</v>
      </c>
      <c r="C48" s="62">
        <v>2019</v>
      </c>
      <c r="D48" s="63" t="s">
        <v>184</v>
      </c>
      <c r="E48" s="53" t="s">
        <v>187</v>
      </c>
      <c r="F48" s="53" t="s">
        <v>189</v>
      </c>
      <c r="G48" s="53" t="s">
        <v>42</v>
      </c>
      <c r="H48" s="53" t="s">
        <v>160</v>
      </c>
      <c r="I48" s="53" t="s">
        <v>159</v>
      </c>
      <c r="J48" s="53" t="s">
        <v>38</v>
      </c>
      <c r="K48" s="53" t="s">
        <v>161</v>
      </c>
      <c r="L48" s="53">
        <v>2</v>
      </c>
      <c r="M48" s="76"/>
      <c r="N48" s="53">
        <v>6</v>
      </c>
      <c r="O48" s="53">
        <v>0.25</v>
      </c>
      <c r="P48" s="53">
        <v>0.25</v>
      </c>
      <c r="Q48" s="16">
        <f t="shared" si="0"/>
        <v>0.25</v>
      </c>
      <c r="R48" s="53">
        <v>14.8</v>
      </c>
      <c r="S48" s="53">
        <v>110</v>
      </c>
      <c r="T48" s="16">
        <f t="shared" si="1"/>
        <v>33</v>
      </c>
      <c r="U48" s="53">
        <v>626</v>
      </c>
      <c r="V48" s="16">
        <f t="shared" si="2"/>
        <v>3443</v>
      </c>
      <c r="W48" s="53">
        <v>2</v>
      </c>
      <c r="X48" s="53" t="s">
        <v>46</v>
      </c>
      <c r="Y48" s="53" t="s">
        <v>69</v>
      </c>
      <c r="Z48" s="53" t="s">
        <v>55</v>
      </c>
      <c r="AA48" s="53" t="s">
        <v>88</v>
      </c>
      <c r="AB48" s="53" t="s">
        <v>158</v>
      </c>
    </row>
    <row r="49" spans="1:28" x14ac:dyDescent="0.15">
      <c r="A49" s="53" t="s">
        <v>41</v>
      </c>
      <c r="B49" s="53" t="s">
        <v>157</v>
      </c>
      <c r="C49" s="62">
        <v>2019</v>
      </c>
      <c r="D49" s="63" t="s">
        <v>184</v>
      </c>
      <c r="E49" s="53" t="s">
        <v>187</v>
      </c>
      <c r="F49" s="53" t="s">
        <v>189</v>
      </c>
      <c r="G49" s="53" t="s">
        <v>42</v>
      </c>
      <c r="H49" s="53" t="s">
        <v>160</v>
      </c>
      <c r="I49" s="53" t="s">
        <v>159</v>
      </c>
      <c r="J49" s="53" t="s">
        <v>38</v>
      </c>
      <c r="K49" s="53" t="s">
        <v>161</v>
      </c>
      <c r="L49" s="53">
        <v>3</v>
      </c>
      <c r="M49" s="76"/>
      <c r="N49" s="53">
        <v>6</v>
      </c>
      <c r="O49" s="53">
        <v>0.25</v>
      </c>
      <c r="P49" s="53">
        <v>0.25</v>
      </c>
      <c r="Q49" s="16">
        <f t="shared" si="0"/>
        <v>0.25</v>
      </c>
      <c r="R49" s="53">
        <v>15</v>
      </c>
      <c r="S49" s="53">
        <v>110</v>
      </c>
      <c r="T49" s="16">
        <f t="shared" si="1"/>
        <v>33</v>
      </c>
      <c r="U49" s="53">
        <v>626</v>
      </c>
      <c r="V49" s="16">
        <f t="shared" si="2"/>
        <v>3443</v>
      </c>
      <c r="W49" s="53">
        <v>2</v>
      </c>
      <c r="X49" s="53" t="s">
        <v>46</v>
      </c>
      <c r="Y49" s="53" t="s">
        <v>69</v>
      </c>
      <c r="Z49" s="53" t="s">
        <v>55</v>
      </c>
      <c r="AA49" s="53" t="s">
        <v>88</v>
      </c>
      <c r="AB49" s="53" t="s">
        <v>158</v>
      </c>
    </row>
    <row r="50" spans="1:28" x14ac:dyDescent="0.15">
      <c r="A50" s="53" t="s">
        <v>41</v>
      </c>
      <c r="B50" s="53" t="s">
        <v>157</v>
      </c>
      <c r="C50" s="62">
        <v>2019</v>
      </c>
      <c r="D50" s="63" t="s">
        <v>184</v>
      </c>
      <c r="E50" s="53" t="s">
        <v>194</v>
      </c>
      <c r="F50" s="53" t="s">
        <v>185</v>
      </c>
      <c r="G50" s="53" t="s">
        <v>42</v>
      </c>
      <c r="H50" s="53" t="s">
        <v>164</v>
      </c>
      <c r="I50" s="53" t="s">
        <v>159</v>
      </c>
      <c r="J50" s="53" t="s">
        <v>38</v>
      </c>
      <c r="K50" s="53" t="s">
        <v>161</v>
      </c>
      <c r="L50" s="53">
        <v>1</v>
      </c>
      <c r="N50" s="53">
        <v>1</v>
      </c>
      <c r="O50" s="53">
        <v>0.6</v>
      </c>
      <c r="P50" s="53">
        <v>0.65</v>
      </c>
      <c r="Q50" s="75">
        <f t="shared" si="0"/>
        <v>0.625</v>
      </c>
      <c r="R50" s="53">
        <v>11.2</v>
      </c>
      <c r="S50" s="53">
        <v>126</v>
      </c>
      <c r="T50" s="16">
        <f t="shared" si="1"/>
        <v>27</v>
      </c>
      <c r="U50" s="53">
        <v>159</v>
      </c>
      <c r="V50" s="16">
        <f t="shared" si="2"/>
        <v>4293</v>
      </c>
      <c r="W50" s="53">
        <v>1</v>
      </c>
      <c r="X50" s="53" t="s">
        <v>46</v>
      </c>
      <c r="Y50" s="53" t="s">
        <v>88</v>
      </c>
      <c r="Z50" s="53" t="s">
        <v>97</v>
      </c>
      <c r="AA50" s="53" t="s">
        <v>86</v>
      </c>
      <c r="AB50" s="53" t="s">
        <v>158</v>
      </c>
    </row>
    <row r="51" spans="1:28" x14ac:dyDescent="0.15">
      <c r="A51" s="53" t="s">
        <v>41</v>
      </c>
      <c r="B51" s="53" t="s">
        <v>157</v>
      </c>
      <c r="C51" s="62">
        <v>2019</v>
      </c>
      <c r="D51" s="63" t="s">
        <v>184</v>
      </c>
      <c r="E51" s="53" t="s">
        <v>194</v>
      </c>
      <c r="F51" s="53" t="s">
        <v>185</v>
      </c>
      <c r="G51" s="53" t="s">
        <v>42</v>
      </c>
      <c r="H51" s="53" t="s">
        <v>164</v>
      </c>
      <c r="I51" s="53" t="s">
        <v>159</v>
      </c>
      <c r="J51" s="53" t="s">
        <v>38</v>
      </c>
      <c r="K51" s="53" t="s">
        <v>161</v>
      </c>
      <c r="L51" s="53">
        <v>2</v>
      </c>
      <c r="M51" s="76"/>
      <c r="N51" s="53">
        <v>1</v>
      </c>
      <c r="O51" s="53">
        <v>0.9</v>
      </c>
      <c r="P51" s="53">
        <v>0.85</v>
      </c>
      <c r="Q51" s="75">
        <f t="shared" si="0"/>
        <v>0.875</v>
      </c>
      <c r="R51" s="53">
        <v>10.5</v>
      </c>
      <c r="S51" s="53">
        <v>126</v>
      </c>
      <c r="T51" s="16">
        <f t="shared" si="1"/>
        <v>27</v>
      </c>
      <c r="U51" s="53">
        <v>159</v>
      </c>
      <c r="V51" s="16">
        <f t="shared" si="2"/>
        <v>4293</v>
      </c>
      <c r="W51" s="53">
        <v>1</v>
      </c>
      <c r="X51" s="53" t="s">
        <v>46</v>
      </c>
      <c r="Y51" s="53" t="s">
        <v>88</v>
      </c>
      <c r="Z51" s="53" t="s">
        <v>97</v>
      </c>
      <c r="AA51" s="53" t="s">
        <v>86</v>
      </c>
      <c r="AB51" s="53" t="s">
        <v>158</v>
      </c>
    </row>
    <row r="52" spans="1:28" x14ac:dyDescent="0.15">
      <c r="A52" s="53" t="s">
        <v>41</v>
      </c>
      <c r="B52" s="53" t="s">
        <v>157</v>
      </c>
      <c r="C52" s="62">
        <v>2019</v>
      </c>
      <c r="D52" s="63" t="s">
        <v>184</v>
      </c>
      <c r="E52" s="53" t="s">
        <v>194</v>
      </c>
      <c r="F52" s="53" t="s">
        <v>185</v>
      </c>
      <c r="G52" s="53" t="s">
        <v>42</v>
      </c>
      <c r="H52" s="53" t="s">
        <v>164</v>
      </c>
      <c r="I52" s="53" t="s">
        <v>159</v>
      </c>
      <c r="J52" s="53" t="s">
        <v>38</v>
      </c>
      <c r="K52" s="53" t="s">
        <v>161</v>
      </c>
      <c r="L52" s="53">
        <v>3</v>
      </c>
      <c r="M52" s="76"/>
      <c r="N52" s="53">
        <v>1</v>
      </c>
      <c r="O52" s="53">
        <v>0.85</v>
      </c>
      <c r="P52" s="53">
        <v>0.9</v>
      </c>
      <c r="Q52" s="75">
        <f t="shared" si="0"/>
        <v>0.875</v>
      </c>
      <c r="R52" s="53">
        <v>13.4</v>
      </c>
      <c r="S52" s="53">
        <v>126</v>
      </c>
      <c r="T52" s="16">
        <f t="shared" si="1"/>
        <v>27</v>
      </c>
      <c r="U52" s="53">
        <v>159</v>
      </c>
      <c r="V52" s="16">
        <f t="shared" si="2"/>
        <v>4293</v>
      </c>
      <c r="W52" s="53">
        <v>1</v>
      </c>
      <c r="X52" s="53" t="s">
        <v>46</v>
      </c>
      <c r="Y52" s="53" t="s">
        <v>88</v>
      </c>
      <c r="Z52" s="53" t="s">
        <v>97</v>
      </c>
      <c r="AA52" s="53" t="s">
        <v>86</v>
      </c>
      <c r="AB52" s="53" t="s">
        <v>158</v>
      </c>
    </row>
    <row r="53" spans="1:28" x14ac:dyDescent="0.15">
      <c r="A53" s="53" t="s">
        <v>41</v>
      </c>
      <c r="B53" s="53" t="s">
        <v>157</v>
      </c>
      <c r="C53" s="62">
        <v>2019</v>
      </c>
      <c r="D53" s="63" t="s">
        <v>184</v>
      </c>
      <c r="E53" s="53" t="s">
        <v>194</v>
      </c>
      <c r="F53" s="53" t="s">
        <v>185</v>
      </c>
      <c r="G53" s="53" t="s">
        <v>42</v>
      </c>
      <c r="H53" s="53" t="s">
        <v>164</v>
      </c>
      <c r="I53" s="53" t="s">
        <v>159</v>
      </c>
      <c r="J53" s="53" t="s">
        <v>38</v>
      </c>
      <c r="K53" s="53" t="s">
        <v>161</v>
      </c>
      <c r="L53" s="53">
        <v>1</v>
      </c>
      <c r="N53" s="53">
        <v>6</v>
      </c>
      <c r="O53" s="53">
        <v>0.7</v>
      </c>
      <c r="P53" s="53">
        <v>0.8</v>
      </c>
      <c r="Q53" s="75">
        <f t="shared" si="0"/>
        <v>0.75</v>
      </c>
      <c r="R53" s="53">
        <v>15</v>
      </c>
      <c r="S53" s="53">
        <v>120</v>
      </c>
      <c r="T53" s="16">
        <f t="shared" si="1"/>
        <v>30</v>
      </c>
      <c r="U53" s="53">
        <v>429</v>
      </c>
      <c r="V53" s="16">
        <f t="shared" si="2"/>
        <v>2145</v>
      </c>
      <c r="W53" s="53">
        <v>2</v>
      </c>
      <c r="X53" s="53" t="s">
        <v>46</v>
      </c>
      <c r="Y53" s="53" t="s">
        <v>88</v>
      </c>
      <c r="Z53" s="53" t="s">
        <v>97</v>
      </c>
      <c r="AA53" s="53" t="s">
        <v>86</v>
      </c>
      <c r="AB53" s="53" t="s">
        <v>158</v>
      </c>
    </row>
    <row r="54" spans="1:28" x14ac:dyDescent="0.15">
      <c r="A54" s="53" t="s">
        <v>41</v>
      </c>
      <c r="B54" s="53" t="s">
        <v>157</v>
      </c>
      <c r="C54" s="62">
        <v>2019</v>
      </c>
      <c r="D54" s="63" t="s">
        <v>184</v>
      </c>
      <c r="E54" s="53" t="s">
        <v>194</v>
      </c>
      <c r="F54" s="53" t="s">
        <v>185</v>
      </c>
      <c r="G54" s="53" t="s">
        <v>42</v>
      </c>
      <c r="H54" s="53" t="s">
        <v>164</v>
      </c>
      <c r="I54" s="53" t="s">
        <v>159</v>
      </c>
      <c r="J54" s="53" t="s">
        <v>38</v>
      </c>
      <c r="K54" s="53" t="s">
        <v>161</v>
      </c>
      <c r="L54" s="53">
        <v>2</v>
      </c>
      <c r="M54" s="76"/>
      <c r="N54" s="53">
        <v>6</v>
      </c>
      <c r="O54" s="53">
        <v>0.9</v>
      </c>
      <c r="P54" s="53">
        <v>0.8</v>
      </c>
      <c r="Q54" s="75">
        <f t="shared" si="0"/>
        <v>0.85000000000000009</v>
      </c>
      <c r="R54" s="53">
        <v>12.1</v>
      </c>
      <c r="S54" s="53">
        <v>120</v>
      </c>
      <c r="T54" s="16">
        <f t="shared" si="1"/>
        <v>30</v>
      </c>
      <c r="U54" s="53">
        <v>429</v>
      </c>
      <c r="V54" s="16">
        <f t="shared" si="2"/>
        <v>2145</v>
      </c>
      <c r="W54" s="53">
        <v>2</v>
      </c>
      <c r="X54" s="53" t="s">
        <v>46</v>
      </c>
      <c r="Y54" s="53" t="s">
        <v>88</v>
      </c>
      <c r="Z54" s="53" t="s">
        <v>97</v>
      </c>
      <c r="AA54" s="53" t="s">
        <v>86</v>
      </c>
      <c r="AB54" s="53" t="s">
        <v>158</v>
      </c>
    </row>
    <row r="55" spans="1:28" x14ac:dyDescent="0.15">
      <c r="A55" s="53" t="s">
        <v>41</v>
      </c>
      <c r="B55" s="53" t="s">
        <v>157</v>
      </c>
      <c r="C55" s="62">
        <v>2019</v>
      </c>
      <c r="D55" s="63" t="s">
        <v>184</v>
      </c>
      <c r="E55" s="53" t="s">
        <v>194</v>
      </c>
      <c r="F55" s="53" t="s">
        <v>185</v>
      </c>
      <c r="G55" s="53" t="s">
        <v>42</v>
      </c>
      <c r="H55" s="53" t="s">
        <v>164</v>
      </c>
      <c r="I55" s="53" t="s">
        <v>159</v>
      </c>
      <c r="J55" s="53" t="s">
        <v>38</v>
      </c>
      <c r="K55" s="53" t="s">
        <v>161</v>
      </c>
      <c r="L55" s="53">
        <v>3</v>
      </c>
      <c r="M55" s="76"/>
      <c r="N55" s="53">
        <v>6</v>
      </c>
      <c r="O55" s="53">
        <v>0.85</v>
      </c>
      <c r="P55" s="53">
        <v>0.9</v>
      </c>
      <c r="Q55" s="75">
        <f t="shared" si="0"/>
        <v>0.875</v>
      </c>
      <c r="R55" s="53">
        <v>12.9</v>
      </c>
      <c r="S55" s="53">
        <v>114</v>
      </c>
      <c r="T55" s="16">
        <f t="shared" si="1"/>
        <v>30</v>
      </c>
      <c r="U55" s="53">
        <v>429</v>
      </c>
      <c r="V55" s="16">
        <f t="shared" si="2"/>
        <v>2145</v>
      </c>
      <c r="W55" s="53">
        <v>2</v>
      </c>
      <c r="X55" s="53" t="s">
        <v>46</v>
      </c>
      <c r="Y55" s="53" t="s">
        <v>88</v>
      </c>
      <c r="Z55" s="53" t="s">
        <v>97</v>
      </c>
      <c r="AA55" s="53" t="s">
        <v>86</v>
      </c>
      <c r="AB55" s="53" t="s">
        <v>158</v>
      </c>
    </row>
    <row r="56" spans="1:28" x14ac:dyDescent="0.15">
      <c r="A56" s="53" t="s">
        <v>41</v>
      </c>
      <c r="B56" s="53" t="s">
        <v>157</v>
      </c>
      <c r="C56" s="62">
        <v>2019</v>
      </c>
      <c r="D56" s="63" t="s">
        <v>184</v>
      </c>
      <c r="E56" s="53" t="s">
        <v>194</v>
      </c>
      <c r="F56" s="53" t="s">
        <v>185</v>
      </c>
      <c r="G56" s="53" t="s">
        <v>42</v>
      </c>
      <c r="H56" s="53" t="s">
        <v>160</v>
      </c>
      <c r="I56" s="53" t="s">
        <v>159</v>
      </c>
      <c r="J56" s="53" t="s">
        <v>38</v>
      </c>
      <c r="K56" s="53" t="s">
        <v>161</v>
      </c>
      <c r="L56" s="53">
        <v>1</v>
      </c>
      <c r="N56" s="53">
        <v>1</v>
      </c>
      <c r="O56" s="53">
        <v>0.3</v>
      </c>
      <c r="P56" s="53">
        <v>0.35</v>
      </c>
      <c r="Q56" s="75">
        <f t="shared" si="0"/>
        <v>0.32499999999999996</v>
      </c>
      <c r="R56" s="53">
        <v>14.5</v>
      </c>
      <c r="S56" s="53">
        <v>123</v>
      </c>
      <c r="T56" s="16">
        <f t="shared" si="1"/>
        <v>27</v>
      </c>
      <c r="U56" s="53">
        <v>159</v>
      </c>
      <c r="V56" s="16">
        <f t="shared" si="2"/>
        <v>4293</v>
      </c>
      <c r="W56" s="53">
        <v>3</v>
      </c>
      <c r="X56" s="53" t="s">
        <v>46</v>
      </c>
      <c r="Y56" s="53" t="s">
        <v>88</v>
      </c>
      <c r="Z56" s="53" t="s">
        <v>97</v>
      </c>
      <c r="AA56" s="53" t="s">
        <v>86</v>
      </c>
      <c r="AB56" s="53" t="s">
        <v>158</v>
      </c>
    </row>
    <row r="57" spans="1:28" x14ac:dyDescent="0.15">
      <c r="A57" s="53" t="s">
        <v>41</v>
      </c>
      <c r="B57" s="53" t="s">
        <v>157</v>
      </c>
      <c r="C57" s="62">
        <v>2019</v>
      </c>
      <c r="D57" s="63" t="s">
        <v>184</v>
      </c>
      <c r="E57" s="53" t="s">
        <v>194</v>
      </c>
      <c r="F57" s="53" t="s">
        <v>185</v>
      </c>
      <c r="G57" s="53" t="s">
        <v>42</v>
      </c>
      <c r="H57" s="53" t="s">
        <v>160</v>
      </c>
      <c r="I57" s="53" t="s">
        <v>159</v>
      </c>
      <c r="J57" s="53" t="s">
        <v>38</v>
      </c>
      <c r="K57" s="53" t="s">
        <v>161</v>
      </c>
      <c r="L57" s="53">
        <v>2</v>
      </c>
      <c r="M57" s="76"/>
      <c r="N57" s="53">
        <v>1</v>
      </c>
      <c r="O57" s="53">
        <v>0.35</v>
      </c>
      <c r="P57" s="53">
        <v>0.35</v>
      </c>
      <c r="Q57" s="75">
        <f t="shared" si="0"/>
        <v>0.35</v>
      </c>
      <c r="R57" s="53">
        <v>13</v>
      </c>
      <c r="S57" s="53">
        <v>122</v>
      </c>
      <c r="T57" s="16">
        <f t="shared" si="1"/>
        <v>27</v>
      </c>
      <c r="U57" s="53">
        <v>159</v>
      </c>
      <c r="V57" s="16">
        <f t="shared" si="2"/>
        <v>4293</v>
      </c>
      <c r="W57" s="53">
        <v>3</v>
      </c>
      <c r="X57" s="53" t="s">
        <v>46</v>
      </c>
      <c r="Y57" s="53" t="s">
        <v>88</v>
      </c>
      <c r="Z57" s="53" t="s">
        <v>97</v>
      </c>
      <c r="AA57" s="53" t="s">
        <v>86</v>
      </c>
      <c r="AB57" s="53" t="s">
        <v>158</v>
      </c>
    </row>
    <row r="58" spans="1:28" x14ac:dyDescent="0.15">
      <c r="A58" s="53" t="s">
        <v>41</v>
      </c>
      <c r="B58" s="53" t="s">
        <v>157</v>
      </c>
      <c r="C58" s="62">
        <v>2019</v>
      </c>
      <c r="D58" s="63" t="s">
        <v>184</v>
      </c>
      <c r="E58" s="53" t="s">
        <v>194</v>
      </c>
      <c r="F58" s="53" t="s">
        <v>185</v>
      </c>
      <c r="G58" s="53" t="s">
        <v>42</v>
      </c>
      <c r="H58" s="53" t="s">
        <v>160</v>
      </c>
      <c r="I58" s="53" t="s">
        <v>159</v>
      </c>
      <c r="J58" s="53" t="s">
        <v>38</v>
      </c>
      <c r="K58" s="53" t="s">
        <v>161</v>
      </c>
      <c r="L58" s="53">
        <v>3</v>
      </c>
      <c r="M58" s="76"/>
      <c r="N58" s="53">
        <v>1</v>
      </c>
      <c r="O58" s="53">
        <v>0.25</v>
      </c>
      <c r="P58" s="53">
        <v>0.25</v>
      </c>
      <c r="Q58" s="75">
        <f t="shared" si="0"/>
        <v>0.25</v>
      </c>
      <c r="R58" s="53">
        <v>15.5</v>
      </c>
      <c r="S58" s="53">
        <v>122</v>
      </c>
      <c r="T58" s="16">
        <f t="shared" si="1"/>
        <v>27</v>
      </c>
      <c r="U58" s="53">
        <v>159</v>
      </c>
      <c r="V58" s="16">
        <f t="shared" si="2"/>
        <v>4293</v>
      </c>
      <c r="W58" s="53">
        <v>3</v>
      </c>
      <c r="X58" s="53" t="s">
        <v>46</v>
      </c>
      <c r="Y58" s="53" t="s">
        <v>88</v>
      </c>
      <c r="Z58" s="53" t="s">
        <v>97</v>
      </c>
      <c r="AA58" s="53" t="s">
        <v>86</v>
      </c>
      <c r="AB58" s="53" t="s">
        <v>158</v>
      </c>
    </row>
    <row r="59" spans="1:28" x14ac:dyDescent="0.15">
      <c r="A59" s="53" t="s">
        <v>41</v>
      </c>
      <c r="B59" s="53" t="s">
        <v>157</v>
      </c>
      <c r="C59" s="62">
        <v>2019</v>
      </c>
      <c r="D59" s="63" t="s">
        <v>184</v>
      </c>
      <c r="E59" s="53" t="s">
        <v>194</v>
      </c>
      <c r="F59" s="53" t="s">
        <v>185</v>
      </c>
      <c r="G59" s="53" t="s">
        <v>42</v>
      </c>
      <c r="H59" s="53" t="s">
        <v>160</v>
      </c>
      <c r="I59" s="53" t="s">
        <v>159</v>
      </c>
      <c r="J59" s="53" t="s">
        <v>38</v>
      </c>
      <c r="K59" s="53" t="s">
        <v>161</v>
      </c>
      <c r="L59" s="53">
        <v>1</v>
      </c>
      <c r="N59" s="53">
        <v>6</v>
      </c>
      <c r="O59" s="53">
        <v>0.25</v>
      </c>
      <c r="P59" s="53">
        <v>0.3</v>
      </c>
      <c r="Q59" s="75">
        <f t="shared" si="0"/>
        <v>0.27500000000000002</v>
      </c>
      <c r="R59" s="53">
        <v>15.5</v>
      </c>
      <c r="S59" s="53">
        <v>114</v>
      </c>
      <c r="T59" s="16">
        <f t="shared" si="1"/>
        <v>30</v>
      </c>
      <c r="U59" s="53">
        <v>645</v>
      </c>
      <c r="V59" s="16">
        <f t="shared" si="2"/>
        <v>3225</v>
      </c>
      <c r="W59" s="53">
        <v>2</v>
      </c>
      <c r="X59" s="53" t="s">
        <v>46</v>
      </c>
      <c r="Y59" s="53" t="s">
        <v>88</v>
      </c>
      <c r="Z59" s="53" t="s">
        <v>97</v>
      </c>
      <c r="AA59" s="53" t="s">
        <v>86</v>
      </c>
      <c r="AB59" s="53" t="s">
        <v>158</v>
      </c>
    </row>
    <row r="60" spans="1:28" x14ac:dyDescent="0.15">
      <c r="A60" s="53" t="s">
        <v>41</v>
      </c>
      <c r="B60" s="53" t="s">
        <v>157</v>
      </c>
      <c r="C60" s="62">
        <v>2019</v>
      </c>
      <c r="D60" s="63" t="s">
        <v>184</v>
      </c>
      <c r="E60" s="53" t="s">
        <v>194</v>
      </c>
      <c r="F60" s="53" t="s">
        <v>185</v>
      </c>
      <c r="G60" s="53" t="s">
        <v>42</v>
      </c>
      <c r="H60" s="53" t="s">
        <v>160</v>
      </c>
      <c r="I60" s="53" t="s">
        <v>159</v>
      </c>
      <c r="J60" s="53" t="s">
        <v>38</v>
      </c>
      <c r="K60" s="53" t="s">
        <v>161</v>
      </c>
      <c r="L60" s="53">
        <v>2</v>
      </c>
      <c r="M60" s="76"/>
      <c r="N60" s="53">
        <v>6</v>
      </c>
      <c r="O60" s="53">
        <v>0.25</v>
      </c>
      <c r="P60" s="53">
        <v>0.3</v>
      </c>
      <c r="Q60" s="75">
        <f t="shared" si="0"/>
        <v>0.27500000000000002</v>
      </c>
      <c r="R60" s="53">
        <v>16.100000000000001</v>
      </c>
      <c r="S60" s="53">
        <v>118</v>
      </c>
      <c r="T60" s="16">
        <f t="shared" si="1"/>
        <v>30</v>
      </c>
      <c r="U60" s="53">
        <v>645</v>
      </c>
      <c r="V60" s="16">
        <f t="shared" si="2"/>
        <v>3225</v>
      </c>
      <c r="W60" s="53">
        <v>2</v>
      </c>
      <c r="X60" s="53" t="s">
        <v>46</v>
      </c>
      <c r="Y60" s="53" t="s">
        <v>88</v>
      </c>
      <c r="Z60" s="53" t="s">
        <v>97</v>
      </c>
      <c r="AA60" s="53" t="s">
        <v>86</v>
      </c>
      <c r="AB60" s="53" t="s">
        <v>158</v>
      </c>
    </row>
    <row r="61" spans="1:28" x14ac:dyDescent="0.15">
      <c r="A61" s="53" t="s">
        <v>41</v>
      </c>
      <c r="B61" s="53" t="s">
        <v>157</v>
      </c>
      <c r="C61" s="62">
        <v>2019</v>
      </c>
      <c r="D61" s="63" t="s">
        <v>184</v>
      </c>
      <c r="E61" s="53" t="s">
        <v>194</v>
      </c>
      <c r="F61" s="53" t="s">
        <v>185</v>
      </c>
      <c r="G61" s="53" t="s">
        <v>42</v>
      </c>
      <c r="H61" s="53" t="s">
        <v>160</v>
      </c>
      <c r="I61" s="53" t="s">
        <v>159</v>
      </c>
      <c r="J61" s="53" t="s">
        <v>38</v>
      </c>
      <c r="K61" s="53" t="s">
        <v>161</v>
      </c>
      <c r="L61" s="53">
        <v>3</v>
      </c>
      <c r="M61" s="76"/>
      <c r="N61" s="53">
        <v>6</v>
      </c>
      <c r="O61" s="53">
        <v>0.25</v>
      </c>
      <c r="P61" s="53">
        <v>0.25</v>
      </c>
      <c r="Q61" s="75">
        <f t="shared" si="0"/>
        <v>0.25</v>
      </c>
      <c r="R61" s="53">
        <v>14.8</v>
      </c>
      <c r="S61" s="53">
        <v>117</v>
      </c>
      <c r="T61" s="16">
        <f t="shared" si="1"/>
        <v>30</v>
      </c>
      <c r="U61" s="53">
        <v>645</v>
      </c>
      <c r="V61" s="16">
        <f t="shared" si="2"/>
        <v>3225</v>
      </c>
      <c r="W61" s="53">
        <v>2</v>
      </c>
      <c r="X61" s="53" t="s">
        <v>46</v>
      </c>
      <c r="Y61" s="53" t="s">
        <v>88</v>
      </c>
      <c r="Z61" s="53" t="s">
        <v>97</v>
      </c>
      <c r="AA61" s="53" t="s">
        <v>86</v>
      </c>
      <c r="AB61" s="53" t="s">
        <v>158</v>
      </c>
    </row>
    <row r="62" spans="1:28" x14ac:dyDescent="0.15">
      <c r="A62" s="53" t="s">
        <v>41</v>
      </c>
      <c r="B62" s="53" t="s">
        <v>157</v>
      </c>
      <c r="C62" s="62">
        <v>2019</v>
      </c>
      <c r="D62" s="63" t="s">
        <v>184</v>
      </c>
      <c r="E62" s="53" t="s">
        <v>194</v>
      </c>
      <c r="F62" s="53" t="s">
        <v>196</v>
      </c>
      <c r="G62" s="53" t="s">
        <v>42</v>
      </c>
      <c r="H62" s="53" t="s">
        <v>164</v>
      </c>
      <c r="I62" s="53" t="s">
        <v>159</v>
      </c>
      <c r="J62" s="53" t="s">
        <v>38</v>
      </c>
      <c r="K62" s="53" t="s">
        <v>161</v>
      </c>
      <c r="L62" s="53">
        <v>1</v>
      </c>
      <c r="N62" s="53">
        <v>1</v>
      </c>
      <c r="O62" s="53">
        <v>1.2</v>
      </c>
      <c r="P62" s="53">
        <v>0.95</v>
      </c>
      <c r="Q62" s="75">
        <f t="shared" si="0"/>
        <v>1.075</v>
      </c>
      <c r="R62" s="53">
        <v>12.3</v>
      </c>
      <c r="S62" s="53">
        <v>121</v>
      </c>
      <c r="T62" s="16">
        <f t="shared" si="1"/>
        <v>27</v>
      </c>
      <c r="U62" s="53">
        <v>84</v>
      </c>
      <c r="V62" s="16">
        <f t="shared" si="2"/>
        <v>2268</v>
      </c>
      <c r="W62" s="53">
        <v>1</v>
      </c>
      <c r="X62" s="53" t="s">
        <v>46</v>
      </c>
      <c r="Y62" s="53" t="s">
        <v>69</v>
      </c>
      <c r="Z62" s="53" t="s">
        <v>86</v>
      </c>
      <c r="AA62" s="53" t="s">
        <v>55</v>
      </c>
      <c r="AB62" s="53" t="s">
        <v>158</v>
      </c>
    </row>
    <row r="63" spans="1:28" x14ac:dyDescent="0.15">
      <c r="A63" s="53" t="s">
        <v>41</v>
      </c>
      <c r="B63" s="53" t="s">
        <v>157</v>
      </c>
      <c r="C63" s="62">
        <v>2019</v>
      </c>
      <c r="D63" s="63" t="s">
        <v>184</v>
      </c>
      <c r="E63" s="53" t="s">
        <v>194</v>
      </c>
      <c r="F63" s="53" t="s">
        <v>196</v>
      </c>
      <c r="G63" s="53" t="s">
        <v>42</v>
      </c>
      <c r="H63" s="53" t="s">
        <v>164</v>
      </c>
      <c r="I63" s="53" t="s">
        <v>159</v>
      </c>
      <c r="J63" s="53" t="s">
        <v>38</v>
      </c>
      <c r="K63" s="53" t="s">
        <v>161</v>
      </c>
      <c r="L63" s="53">
        <v>2</v>
      </c>
      <c r="M63" s="76"/>
      <c r="N63" s="53">
        <v>1</v>
      </c>
      <c r="O63" s="53">
        <v>0.95</v>
      </c>
      <c r="P63" s="53">
        <v>1</v>
      </c>
      <c r="Q63" s="75">
        <f t="shared" si="0"/>
        <v>0.97499999999999998</v>
      </c>
      <c r="R63" s="53">
        <v>15</v>
      </c>
      <c r="S63" s="53">
        <v>120</v>
      </c>
      <c r="T63" s="16">
        <f t="shared" si="1"/>
        <v>30</v>
      </c>
      <c r="U63" s="53">
        <v>84</v>
      </c>
      <c r="V63" s="16">
        <f t="shared" si="2"/>
        <v>2520</v>
      </c>
      <c r="W63" s="53">
        <v>1</v>
      </c>
      <c r="X63" s="53" t="s">
        <v>46</v>
      </c>
      <c r="Y63" s="53" t="s">
        <v>69</v>
      </c>
      <c r="Z63" s="53" t="s">
        <v>86</v>
      </c>
      <c r="AA63" s="53" t="s">
        <v>55</v>
      </c>
      <c r="AB63" s="53" t="s">
        <v>158</v>
      </c>
    </row>
    <row r="64" spans="1:28" x14ac:dyDescent="0.15">
      <c r="A64" s="53" t="s">
        <v>41</v>
      </c>
      <c r="B64" s="53" t="s">
        <v>157</v>
      </c>
      <c r="C64" s="62">
        <v>2019</v>
      </c>
      <c r="D64" s="63" t="s">
        <v>184</v>
      </c>
      <c r="E64" s="53" t="s">
        <v>194</v>
      </c>
      <c r="F64" s="53" t="s">
        <v>196</v>
      </c>
      <c r="G64" s="53" t="s">
        <v>42</v>
      </c>
      <c r="H64" s="53" t="s">
        <v>164</v>
      </c>
      <c r="I64" s="53" t="s">
        <v>159</v>
      </c>
      <c r="J64" s="53" t="s">
        <v>38</v>
      </c>
      <c r="K64" s="53" t="s">
        <v>161</v>
      </c>
      <c r="L64" s="53">
        <v>3</v>
      </c>
      <c r="M64" s="76"/>
      <c r="N64" s="53">
        <v>1</v>
      </c>
      <c r="O64" s="53">
        <v>0.9</v>
      </c>
      <c r="P64" s="53">
        <v>1.1000000000000001</v>
      </c>
      <c r="Q64" s="75">
        <f t="shared" si="0"/>
        <v>1</v>
      </c>
      <c r="R64" s="53">
        <v>15.8</v>
      </c>
      <c r="S64" s="53">
        <v>124</v>
      </c>
      <c r="T64" s="16">
        <f t="shared" si="1"/>
        <v>27</v>
      </c>
      <c r="U64" s="53">
        <v>84</v>
      </c>
      <c r="V64" s="16">
        <f t="shared" si="2"/>
        <v>2268</v>
      </c>
      <c r="W64" s="53">
        <v>1</v>
      </c>
      <c r="X64" s="53" t="s">
        <v>46</v>
      </c>
      <c r="Y64" s="53" t="s">
        <v>69</v>
      </c>
      <c r="Z64" s="53" t="s">
        <v>86</v>
      </c>
      <c r="AA64" s="53" t="s">
        <v>55</v>
      </c>
      <c r="AB64" s="53" t="s">
        <v>158</v>
      </c>
    </row>
    <row r="65" spans="1:34" x14ac:dyDescent="0.15">
      <c r="A65" s="53" t="s">
        <v>41</v>
      </c>
      <c r="B65" s="53" t="s">
        <v>157</v>
      </c>
      <c r="C65" s="62">
        <v>2019</v>
      </c>
      <c r="D65" s="63" t="s">
        <v>184</v>
      </c>
      <c r="E65" s="53" t="s">
        <v>194</v>
      </c>
      <c r="F65" s="53" t="s">
        <v>196</v>
      </c>
      <c r="G65" s="53" t="s">
        <v>42</v>
      </c>
      <c r="H65" s="53" t="s">
        <v>164</v>
      </c>
      <c r="I65" s="53" t="s">
        <v>159</v>
      </c>
      <c r="J65" s="53" t="s">
        <v>38</v>
      </c>
      <c r="K65" s="53" t="s">
        <v>161</v>
      </c>
      <c r="L65" s="53">
        <v>1</v>
      </c>
      <c r="N65" s="53">
        <v>6</v>
      </c>
      <c r="O65" s="53">
        <v>0.6</v>
      </c>
      <c r="P65" s="53">
        <v>0.75</v>
      </c>
      <c r="Q65" s="75">
        <f t="shared" si="0"/>
        <v>0.67500000000000004</v>
      </c>
      <c r="R65" s="53">
        <v>14</v>
      </c>
      <c r="S65" s="53">
        <v>99</v>
      </c>
      <c r="T65" s="16">
        <f t="shared" si="1"/>
        <v>33</v>
      </c>
      <c r="U65" s="53">
        <v>421</v>
      </c>
      <c r="V65" s="16">
        <f t="shared" si="2"/>
        <v>2315.5</v>
      </c>
      <c r="W65" s="53">
        <v>3</v>
      </c>
      <c r="X65" s="53" t="s">
        <v>46</v>
      </c>
      <c r="Y65" s="53" t="s">
        <v>69</v>
      </c>
      <c r="Z65" s="53" t="s">
        <v>86</v>
      </c>
      <c r="AA65" s="53" t="s">
        <v>55</v>
      </c>
      <c r="AB65" s="53" t="s">
        <v>158</v>
      </c>
    </row>
    <row r="66" spans="1:34" x14ac:dyDescent="0.15">
      <c r="A66" s="53" t="s">
        <v>41</v>
      </c>
      <c r="B66" s="53" t="s">
        <v>157</v>
      </c>
      <c r="C66" s="62">
        <v>2019</v>
      </c>
      <c r="D66" s="63" t="s">
        <v>184</v>
      </c>
      <c r="E66" s="53" t="s">
        <v>194</v>
      </c>
      <c r="F66" s="53" t="s">
        <v>196</v>
      </c>
      <c r="G66" s="53" t="s">
        <v>42</v>
      </c>
      <c r="H66" s="53" t="s">
        <v>164</v>
      </c>
      <c r="I66" s="53" t="s">
        <v>159</v>
      </c>
      <c r="J66" s="53" t="s">
        <v>38</v>
      </c>
      <c r="K66" s="53" t="s">
        <v>161</v>
      </c>
      <c r="L66" s="53">
        <v>2</v>
      </c>
      <c r="M66" s="76"/>
      <c r="N66" s="53">
        <v>6</v>
      </c>
      <c r="O66" s="53">
        <v>0.5</v>
      </c>
      <c r="P66" s="53">
        <v>0.65</v>
      </c>
      <c r="Q66" s="75">
        <f t="shared" ref="Q66:Q129" si="3">IF(OR(O66="",P66=""),"",AVERAGE(O66,P66))</f>
        <v>0.57499999999999996</v>
      </c>
      <c r="R66" s="53">
        <v>12.3</v>
      </c>
      <c r="S66" s="53">
        <v>101</v>
      </c>
      <c r="T66" s="16">
        <f t="shared" ref="T66:T129" si="4">IF(H66="","",IF(OR(H66="GREEN",H66="GK"),IF(S66&gt;=$AX$2,VLOOKUP(S66,$AX$2:$AY$10,2,1),""),IF(S66&gt;=$AZ$2,VLOOKUP(S66,$AZ$2:$BA$10,2,1),"")))</f>
        <v>33</v>
      </c>
      <c r="U66" s="53">
        <v>421</v>
      </c>
      <c r="V66" s="16">
        <f t="shared" ref="V66:V109" si="5">IF(OR(N66="",U66="",T66=""),"",U66/N66*T66)</f>
        <v>2315.5</v>
      </c>
      <c r="W66" s="53">
        <v>3</v>
      </c>
      <c r="X66" s="53" t="s">
        <v>46</v>
      </c>
      <c r="Y66" s="53" t="s">
        <v>69</v>
      </c>
      <c r="Z66" s="53" t="s">
        <v>86</v>
      </c>
      <c r="AA66" s="53" t="s">
        <v>55</v>
      </c>
      <c r="AB66" s="53" t="s">
        <v>158</v>
      </c>
    </row>
    <row r="67" spans="1:34" x14ac:dyDescent="0.15">
      <c r="A67" s="53" t="s">
        <v>41</v>
      </c>
      <c r="B67" s="53" t="s">
        <v>157</v>
      </c>
      <c r="C67" s="62">
        <v>2019</v>
      </c>
      <c r="D67" s="63" t="s">
        <v>184</v>
      </c>
      <c r="E67" s="53" t="s">
        <v>194</v>
      </c>
      <c r="F67" s="53" t="s">
        <v>196</v>
      </c>
      <c r="G67" s="53" t="s">
        <v>42</v>
      </c>
      <c r="H67" s="53" t="s">
        <v>164</v>
      </c>
      <c r="I67" s="53" t="s">
        <v>159</v>
      </c>
      <c r="J67" s="53" t="s">
        <v>38</v>
      </c>
      <c r="K67" s="53" t="s">
        <v>161</v>
      </c>
      <c r="L67" s="53">
        <v>3</v>
      </c>
      <c r="M67" s="76"/>
      <c r="N67" s="53">
        <v>6</v>
      </c>
      <c r="O67" s="53">
        <v>0.45</v>
      </c>
      <c r="P67" s="53">
        <v>0.5</v>
      </c>
      <c r="Q67" s="75">
        <f t="shared" si="3"/>
        <v>0.47499999999999998</v>
      </c>
      <c r="R67" s="53">
        <v>13.8</v>
      </c>
      <c r="S67" s="53">
        <v>95</v>
      </c>
      <c r="T67" s="16">
        <f t="shared" si="4"/>
        <v>36</v>
      </c>
      <c r="U67" s="53">
        <v>421</v>
      </c>
      <c r="V67" s="16">
        <f t="shared" si="5"/>
        <v>2526</v>
      </c>
      <c r="W67" s="53">
        <v>3</v>
      </c>
      <c r="X67" s="53" t="s">
        <v>46</v>
      </c>
      <c r="Y67" s="53" t="s">
        <v>69</v>
      </c>
      <c r="Z67" s="53" t="s">
        <v>86</v>
      </c>
      <c r="AA67" s="53" t="s">
        <v>55</v>
      </c>
      <c r="AB67" s="53" t="s">
        <v>158</v>
      </c>
    </row>
    <row r="68" spans="1:34" x14ac:dyDescent="0.15">
      <c r="A68" s="53" t="s">
        <v>41</v>
      </c>
      <c r="B68" s="53" t="s">
        <v>157</v>
      </c>
      <c r="C68" s="62">
        <v>2019</v>
      </c>
      <c r="D68" s="63" t="s">
        <v>184</v>
      </c>
      <c r="E68" s="53" t="s">
        <v>194</v>
      </c>
      <c r="F68" s="53" t="s">
        <v>196</v>
      </c>
      <c r="G68" s="53" t="s">
        <v>42</v>
      </c>
      <c r="H68" s="53" t="s">
        <v>164</v>
      </c>
      <c r="I68" s="53" t="s">
        <v>159</v>
      </c>
      <c r="J68" s="53" t="s">
        <v>38</v>
      </c>
      <c r="K68" s="53" t="s">
        <v>161</v>
      </c>
      <c r="L68" s="53">
        <v>1</v>
      </c>
      <c r="N68" s="53">
        <v>8</v>
      </c>
      <c r="O68" s="53">
        <v>0.5</v>
      </c>
      <c r="P68" s="53">
        <v>0.45</v>
      </c>
      <c r="Q68" s="75">
        <f t="shared" si="3"/>
        <v>0.47499999999999998</v>
      </c>
      <c r="R68" s="53">
        <v>16.8</v>
      </c>
      <c r="S68" s="53">
        <v>98</v>
      </c>
      <c r="T68" s="16">
        <f t="shared" si="4"/>
        <v>36</v>
      </c>
      <c r="U68" s="53">
        <v>842</v>
      </c>
      <c r="V68" s="16">
        <f t="shared" si="5"/>
        <v>3789</v>
      </c>
      <c r="W68" s="53">
        <v>3</v>
      </c>
      <c r="X68" s="53" t="s">
        <v>46</v>
      </c>
      <c r="Y68" s="53" t="s">
        <v>69</v>
      </c>
      <c r="Z68" s="53" t="s">
        <v>86</v>
      </c>
      <c r="AA68" s="53" t="s">
        <v>55</v>
      </c>
      <c r="AB68" s="53" t="s">
        <v>158</v>
      </c>
      <c r="AC68" s="76"/>
      <c r="AD68" s="76"/>
      <c r="AE68" s="76"/>
      <c r="AF68" s="76"/>
      <c r="AG68" s="76"/>
      <c r="AH68" s="76"/>
    </row>
    <row r="69" spans="1:34" x14ac:dyDescent="0.15">
      <c r="A69" s="53" t="s">
        <v>41</v>
      </c>
      <c r="B69" s="53" t="s">
        <v>157</v>
      </c>
      <c r="C69" s="62">
        <v>2019</v>
      </c>
      <c r="D69" s="63" t="s">
        <v>184</v>
      </c>
      <c r="E69" s="53" t="s">
        <v>194</v>
      </c>
      <c r="F69" s="53" t="s">
        <v>196</v>
      </c>
      <c r="G69" s="53" t="s">
        <v>42</v>
      </c>
      <c r="H69" s="53" t="s">
        <v>164</v>
      </c>
      <c r="I69" s="53" t="s">
        <v>159</v>
      </c>
      <c r="J69" s="53" t="s">
        <v>38</v>
      </c>
      <c r="K69" s="53" t="s">
        <v>161</v>
      </c>
      <c r="L69" s="53">
        <v>2</v>
      </c>
      <c r="M69" s="76"/>
      <c r="N69" s="53">
        <v>8</v>
      </c>
      <c r="O69" s="53">
        <v>0.35</v>
      </c>
      <c r="P69" s="53">
        <v>0.35</v>
      </c>
      <c r="Q69" s="75">
        <f t="shared" si="3"/>
        <v>0.35</v>
      </c>
      <c r="R69" s="53">
        <v>12.4</v>
      </c>
      <c r="S69" s="53">
        <v>96</v>
      </c>
      <c r="T69" s="16">
        <f t="shared" si="4"/>
        <v>36</v>
      </c>
      <c r="U69" s="53">
        <v>842</v>
      </c>
      <c r="V69" s="16">
        <f t="shared" si="5"/>
        <v>3789</v>
      </c>
      <c r="W69" s="53">
        <v>3</v>
      </c>
      <c r="X69" s="53" t="s">
        <v>46</v>
      </c>
      <c r="Y69" s="53" t="s">
        <v>69</v>
      </c>
      <c r="Z69" s="53" t="s">
        <v>86</v>
      </c>
      <c r="AA69" s="53" t="s">
        <v>55</v>
      </c>
      <c r="AB69" s="53" t="s">
        <v>158</v>
      </c>
      <c r="AC69" s="76"/>
      <c r="AD69" s="76"/>
      <c r="AE69" s="76"/>
      <c r="AF69" s="76"/>
      <c r="AG69" s="76"/>
      <c r="AH69" s="76"/>
    </row>
    <row r="70" spans="1:34" x14ac:dyDescent="0.15">
      <c r="A70" s="53" t="s">
        <v>41</v>
      </c>
      <c r="B70" s="53" t="s">
        <v>157</v>
      </c>
      <c r="C70" s="62">
        <v>2019</v>
      </c>
      <c r="D70" s="63" t="s">
        <v>184</v>
      </c>
      <c r="E70" s="53" t="s">
        <v>194</v>
      </c>
      <c r="F70" s="53" t="s">
        <v>196</v>
      </c>
      <c r="G70" s="53" t="s">
        <v>42</v>
      </c>
      <c r="H70" s="53" t="s">
        <v>164</v>
      </c>
      <c r="I70" s="53" t="s">
        <v>159</v>
      </c>
      <c r="J70" s="53" t="s">
        <v>38</v>
      </c>
      <c r="K70" s="53" t="s">
        <v>161</v>
      </c>
      <c r="L70" s="53">
        <v>3</v>
      </c>
      <c r="M70" s="76"/>
      <c r="N70" s="53">
        <v>8</v>
      </c>
      <c r="O70" s="53">
        <v>0.45</v>
      </c>
      <c r="P70" s="53">
        <v>0.4</v>
      </c>
      <c r="Q70" s="75">
        <f t="shared" si="3"/>
        <v>0.42500000000000004</v>
      </c>
      <c r="R70" s="53">
        <v>13.9</v>
      </c>
      <c r="S70" s="53">
        <v>97</v>
      </c>
      <c r="T70" s="16">
        <f t="shared" si="4"/>
        <v>36</v>
      </c>
      <c r="U70" s="53">
        <v>842</v>
      </c>
      <c r="V70" s="16">
        <f t="shared" si="5"/>
        <v>3789</v>
      </c>
      <c r="W70" s="53">
        <v>3</v>
      </c>
      <c r="X70" s="53" t="s">
        <v>46</v>
      </c>
      <c r="Y70" s="53" t="s">
        <v>69</v>
      </c>
      <c r="Z70" s="53" t="s">
        <v>86</v>
      </c>
      <c r="AA70" s="53" t="s">
        <v>55</v>
      </c>
      <c r="AB70" s="53" t="s">
        <v>158</v>
      </c>
      <c r="AC70" s="76"/>
      <c r="AD70" s="76"/>
      <c r="AE70" s="76"/>
      <c r="AF70" s="76"/>
      <c r="AG70" s="76"/>
      <c r="AH70" s="76"/>
    </row>
    <row r="71" spans="1:34" x14ac:dyDescent="0.15">
      <c r="A71" s="53" t="s">
        <v>41</v>
      </c>
      <c r="B71" s="53" t="s">
        <v>157</v>
      </c>
      <c r="C71" s="62">
        <v>2019</v>
      </c>
      <c r="D71" s="63" t="s">
        <v>184</v>
      </c>
      <c r="E71" s="53" t="s">
        <v>194</v>
      </c>
      <c r="F71" s="53" t="s">
        <v>196</v>
      </c>
      <c r="G71" s="53" t="s">
        <v>42</v>
      </c>
      <c r="H71" s="53" t="s">
        <v>160</v>
      </c>
      <c r="I71" s="53" t="s">
        <v>159</v>
      </c>
      <c r="J71" s="53" t="s">
        <v>38</v>
      </c>
      <c r="K71" s="53" t="s">
        <v>161</v>
      </c>
      <c r="L71" s="53">
        <v>1</v>
      </c>
      <c r="N71" s="53">
        <v>1</v>
      </c>
      <c r="O71" s="53">
        <v>0.25</v>
      </c>
      <c r="P71" s="53">
        <v>0.3</v>
      </c>
      <c r="Q71" s="75">
        <f t="shared" si="3"/>
        <v>0.27500000000000002</v>
      </c>
      <c r="R71" s="53">
        <v>12.5</v>
      </c>
      <c r="S71" s="53">
        <v>122</v>
      </c>
      <c r="T71" s="16">
        <f t="shared" si="4"/>
        <v>27</v>
      </c>
      <c r="U71" s="53">
        <v>84</v>
      </c>
      <c r="V71" s="16">
        <f t="shared" si="5"/>
        <v>2268</v>
      </c>
      <c r="W71" s="53">
        <v>4</v>
      </c>
      <c r="X71" s="53" t="s">
        <v>46</v>
      </c>
      <c r="Y71" s="53" t="s">
        <v>69</v>
      </c>
      <c r="Z71" s="53" t="s">
        <v>86</v>
      </c>
      <c r="AA71" s="53" t="s">
        <v>55</v>
      </c>
      <c r="AB71" s="53" t="s">
        <v>158</v>
      </c>
      <c r="AC71" s="76"/>
      <c r="AD71" s="76"/>
      <c r="AE71" s="76"/>
      <c r="AF71" s="76"/>
      <c r="AG71" s="76"/>
      <c r="AH71" s="76"/>
    </row>
    <row r="72" spans="1:34" x14ac:dyDescent="0.15">
      <c r="A72" s="53" t="s">
        <v>41</v>
      </c>
      <c r="B72" s="53" t="s">
        <v>157</v>
      </c>
      <c r="C72" s="62">
        <v>2019</v>
      </c>
      <c r="D72" s="63" t="s">
        <v>184</v>
      </c>
      <c r="E72" s="53" t="s">
        <v>194</v>
      </c>
      <c r="F72" s="53" t="s">
        <v>196</v>
      </c>
      <c r="G72" s="53" t="s">
        <v>42</v>
      </c>
      <c r="H72" s="53" t="s">
        <v>160</v>
      </c>
      <c r="I72" s="53" t="s">
        <v>159</v>
      </c>
      <c r="J72" s="53" t="s">
        <v>38</v>
      </c>
      <c r="K72" s="53" t="s">
        <v>161</v>
      </c>
      <c r="L72" s="53">
        <v>2</v>
      </c>
      <c r="M72" s="76"/>
      <c r="N72" s="53">
        <v>1</v>
      </c>
      <c r="O72" s="53">
        <v>0.25</v>
      </c>
      <c r="P72" s="53">
        <v>0.3</v>
      </c>
      <c r="Q72" s="75">
        <f t="shared" si="3"/>
        <v>0.27500000000000002</v>
      </c>
      <c r="R72" s="53">
        <v>13.7</v>
      </c>
      <c r="S72" s="53">
        <v>122</v>
      </c>
      <c r="T72" s="16">
        <f t="shared" si="4"/>
        <v>27</v>
      </c>
      <c r="U72" s="53">
        <v>84</v>
      </c>
      <c r="V72" s="16">
        <f t="shared" si="5"/>
        <v>2268</v>
      </c>
      <c r="W72" s="53">
        <v>4</v>
      </c>
      <c r="X72" s="53" t="s">
        <v>46</v>
      </c>
      <c r="Y72" s="53" t="s">
        <v>69</v>
      </c>
      <c r="Z72" s="53" t="s">
        <v>86</v>
      </c>
      <c r="AA72" s="53" t="s">
        <v>55</v>
      </c>
      <c r="AB72" s="53" t="s">
        <v>158</v>
      </c>
      <c r="AC72" s="76"/>
      <c r="AD72" s="76"/>
      <c r="AE72" s="76"/>
      <c r="AF72" s="76"/>
      <c r="AG72" s="76"/>
      <c r="AH72" s="76"/>
    </row>
    <row r="73" spans="1:34" x14ac:dyDescent="0.15">
      <c r="A73" s="53" t="s">
        <v>41</v>
      </c>
      <c r="B73" s="53" t="s">
        <v>157</v>
      </c>
      <c r="C73" s="62">
        <v>2019</v>
      </c>
      <c r="D73" s="63" t="s">
        <v>184</v>
      </c>
      <c r="E73" s="53" t="s">
        <v>194</v>
      </c>
      <c r="F73" s="53" t="s">
        <v>196</v>
      </c>
      <c r="G73" s="53" t="s">
        <v>42</v>
      </c>
      <c r="H73" s="53" t="s">
        <v>160</v>
      </c>
      <c r="I73" s="53" t="s">
        <v>159</v>
      </c>
      <c r="J73" s="53" t="s">
        <v>38</v>
      </c>
      <c r="K73" s="53" t="s">
        <v>161</v>
      </c>
      <c r="L73" s="53">
        <v>3</v>
      </c>
      <c r="M73" s="76"/>
      <c r="N73" s="53">
        <v>1</v>
      </c>
      <c r="O73" s="53">
        <v>0.3</v>
      </c>
      <c r="P73" s="53">
        <v>0.25</v>
      </c>
      <c r="Q73" s="75">
        <f t="shared" si="3"/>
        <v>0.27500000000000002</v>
      </c>
      <c r="R73" s="53">
        <v>13.4</v>
      </c>
      <c r="S73" s="53">
        <v>124</v>
      </c>
      <c r="T73" s="16">
        <f t="shared" si="4"/>
        <v>27</v>
      </c>
      <c r="U73" s="53">
        <v>84</v>
      </c>
      <c r="V73" s="16">
        <f t="shared" si="5"/>
        <v>2268</v>
      </c>
      <c r="W73" s="53">
        <v>4</v>
      </c>
      <c r="X73" s="53" t="s">
        <v>46</v>
      </c>
      <c r="Y73" s="53" t="s">
        <v>69</v>
      </c>
      <c r="Z73" s="53" t="s">
        <v>86</v>
      </c>
      <c r="AA73" s="53" t="s">
        <v>55</v>
      </c>
      <c r="AB73" s="53" t="s">
        <v>158</v>
      </c>
      <c r="AC73" s="76"/>
      <c r="AD73" s="76"/>
      <c r="AE73" s="76"/>
      <c r="AF73" s="76"/>
      <c r="AG73" s="76"/>
      <c r="AH73" s="76"/>
    </row>
    <row r="74" spans="1:34" x14ac:dyDescent="0.15">
      <c r="A74" s="53" t="s">
        <v>41</v>
      </c>
      <c r="B74" s="53" t="s">
        <v>157</v>
      </c>
      <c r="C74" s="62">
        <v>2019</v>
      </c>
      <c r="D74" s="63" t="s">
        <v>184</v>
      </c>
      <c r="E74" s="53" t="s">
        <v>194</v>
      </c>
      <c r="F74" s="53" t="s">
        <v>196</v>
      </c>
      <c r="G74" s="53" t="s">
        <v>42</v>
      </c>
      <c r="H74" s="53" t="s">
        <v>160</v>
      </c>
      <c r="I74" s="53" t="s">
        <v>159</v>
      </c>
      <c r="J74" s="53" t="s">
        <v>38</v>
      </c>
      <c r="K74" s="53" t="s">
        <v>161</v>
      </c>
      <c r="L74" s="53">
        <v>1</v>
      </c>
      <c r="N74" s="53">
        <v>4</v>
      </c>
      <c r="O74" s="53">
        <v>0.25</v>
      </c>
      <c r="P74" s="53">
        <v>0.3</v>
      </c>
      <c r="Q74" s="75">
        <f t="shared" si="3"/>
        <v>0.27500000000000002</v>
      </c>
      <c r="R74" s="53">
        <v>15.2</v>
      </c>
      <c r="S74" s="53">
        <v>120</v>
      </c>
      <c r="T74" s="16">
        <f t="shared" si="4"/>
        <v>30</v>
      </c>
      <c r="U74" s="53">
        <v>421</v>
      </c>
      <c r="V74" s="16">
        <f t="shared" si="5"/>
        <v>3157.5</v>
      </c>
      <c r="W74" s="53">
        <v>3</v>
      </c>
      <c r="X74" s="53" t="s">
        <v>46</v>
      </c>
      <c r="Y74" s="53" t="s">
        <v>69</v>
      </c>
      <c r="Z74" s="53" t="s">
        <v>86</v>
      </c>
      <c r="AA74" s="53" t="s">
        <v>55</v>
      </c>
      <c r="AB74" s="53" t="s">
        <v>158</v>
      </c>
      <c r="AC74" s="76"/>
      <c r="AD74" s="76"/>
      <c r="AE74" s="76"/>
      <c r="AF74" s="76"/>
      <c r="AG74" s="76"/>
      <c r="AH74" s="76"/>
    </row>
    <row r="75" spans="1:34" x14ac:dyDescent="0.15">
      <c r="A75" s="53" t="s">
        <v>41</v>
      </c>
      <c r="B75" s="53" t="s">
        <v>157</v>
      </c>
      <c r="C75" s="62">
        <v>2019</v>
      </c>
      <c r="D75" s="63" t="s">
        <v>184</v>
      </c>
      <c r="E75" s="53" t="s">
        <v>194</v>
      </c>
      <c r="F75" s="53" t="s">
        <v>196</v>
      </c>
      <c r="G75" s="53" t="s">
        <v>42</v>
      </c>
      <c r="H75" s="53" t="s">
        <v>160</v>
      </c>
      <c r="I75" s="53" t="s">
        <v>159</v>
      </c>
      <c r="J75" s="53" t="s">
        <v>38</v>
      </c>
      <c r="K75" s="53" t="s">
        <v>161</v>
      </c>
      <c r="L75" s="53">
        <v>2</v>
      </c>
      <c r="M75" s="76"/>
      <c r="N75" s="53">
        <v>4</v>
      </c>
      <c r="O75" s="53">
        <v>0.25</v>
      </c>
      <c r="P75" s="53">
        <v>0.3</v>
      </c>
      <c r="Q75" s="75">
        <f t="shared" si="3"/>
        <v>0.27500000000000002</v>
      </c>
      <c r="R75" s="53">
        <v>16.399999999999999</v>
      </c>
      <c r="S75" s="53">
        <v>120</v>
      </c>
      <c r="T75" s="16">
        <f t="shared" si="4"/>
        <v>30</v>
      </c>
      <c r="U75" s="53">
        <v>421</v>
      </c>
      <c r="V75" s="16">
        <f t="shared" si="5"/>
        <v>3157.5</v>
      </c>
      <c r="W75" s="53">
        <v>3</v>
      </c>
      <c r="X75" s="53" t="s">
        <v>46</v>
      </c>
      <c r="Y75" s="53" t="s">
        <v>69</v>
      </c>
      <c r="Z75" s="53" t="s">
        <v>86</v>
      </c>
      <c r="AA75" s="53" t="s">
        <v>55</v>
      </c>
      <c r="AB75" s="53" t="s">
        <v>158</v>
      </c>
      <c r="AC75" s="76"/>
      <c r="AD75" s="76"/>
      <c r="AE75" s="76"/>
      <c r="AF75" s="76"/>
      <c r="AG75" s="76"/>
      <c r="AH75" s="76"/>
    </row>
    <row r="76" spans="1:34" x14ac:dyDescent="0.15">
      <c r="A76" s="53" t="s">
        <v>41</v>
      </c>
      <c r="B76" s="53" t="s">
        <v>157</v>
      </c>
      <c r="C76" s="62">
        <v>2019</v>
      </c>
      <c r="D76" s="63" t="s">
        <v>184</v>
      </c>
      <c r="E76" s="53" t="s">
        <v>194</v>
      </c>
      <c r="F76" s="53" t="s">
        <v>196</v>
      </c>
      <c r="G76" s="53" t="s">
        <v>42</v>
      </c>
      <c r="H76" s="53" t="s">
        <v>160</v>
      </c>
      <c r="I76" s="53" t="s">
        <v>159</v>
      </c>
      <c r="J76" s="53" t="s">
        <v>38</v>
      </c>
      <c r="K76" s="53" t="s">
        <v>161</v>
      </c>
      <c r="L76" s="53">
        <v>3</v>
      </c>
      <c r="M76" s="76"/>
      <c r="N76" s="53">
        <v>4</v>
      </c>
      <c r="O76" s="53">
        <v>0.3</v>
      </c>
      <c r="P76" s="53">
        <v>0.3</v>
      </c>
      <c r="Q76" s="75">
        <f t="shared" si="3"/>
        <v>0.3</v>
      </c>
      <c r="R76" s="53">
        <v>15</v>
      </c>
      <c r="S76" s="53">
        <v>115</v>
      </c>
      <c r="T76" s="16">
        <f t="shared" si="4"/>
        <v>30</v>
      </c>
      <c r="U76" s="53">
        <v>421</v>
      </c>
      <c r="V76" s="16">
        <f t="shared" si="5"/>
        <v>3157.5</v>
      </c>
      <c r="W76" s="53">
        <v>3</v>
      </c>
      <c r="X76" s="53" t="s">
        <v>46</v>
      </c>
      <c r="Y76" s="53" t="s">
        <v>69</v>
      </c>
      <c r="Z76" s="53" t="s">
        <v>86</v>
      </c>
      <c r="AA76" s="53" t="s">
        <v>55</v>
      </c>
      <c r="AB76" s="53" t="s">
        <v>158</v>
      </c>
      <c r="AC76" s="76"/>
      <c r="AD76" s="76"/>
      <c r="AE76" s="76"/>
      <c r="AF76" s="76"/>
      <c r="AG76" s="76"/>
      <c r="AH76" s="76"/>
    </row>
    <row r="77" spans="1:34" x14ac:dyDescent="0.15">
      <c r="A77" s="53" t="s">
        <v>41</v>
      </c>
      <c r="B77" s="53" t="s">
        <v>157</v>
      </c>
      <c r="C77" s="62">
        <v>2019</v>
      </c>
      <c r="D77" s="63" t="s">
        <v>184</v>
      </c>
      <c r="E77" s="53" t="s">
        <v>198</v>
      </c>
      <c r="F77" s="53" t="s">
        <v>196</v>
      </c>
      <c r="G77" s="53" t="s">
        <v>42</v>
      </c>
      <c r="H77" s="53" t="s">
        <v>160</v>
      </c>
      <c r="I77" s="53" t="s">
        <v>159</v>
      </c>
      <c r="J77" s="53" t="s">
        <v>38</v>
      </c>
      <c r="K77" s="53" t="s">
        <v>161</v>
      </c>
      <c r="L77" s="53">
        <v>1</v>
      </c>
      <c r="N77" s="53">
        <v>1</v>
      </c>
      <c r="O77" s="53">
        <v>0.25</v>
      </c>
      <c r="P77" s="53">
        <v>0.3</v>
      </c>
      <c r="Q77" s="16">
        <f t="shared" si="3"/>
        <v>0.27500000000000002</v>
      </c>
      <c r="R77" s="53">
        <v>16.5</v>
      </c>
      <c r="S77" s="53">
        <v>120</v>
      </c>
      <c r="T77" s="38">
        <f t="shared" si="4"/>
        <v>30</v>
      </c>
      <c r="U77" s="53">
        <v>104</v>
      </c>
      <c r="V77" s="16">
        <f t="shared" si="5"/>
        <v>3120</v>
      </c>
      <c r="W77" s="53">
        <v>3</v>
      </c>
      <c r="X77" s="53" t="s">
        <v>46</v>
      </c>
      <c r="Y77" s="53" t="s">
        <v>69</v>
      </c>
      <c r="Z77" s="53" t="s">
        <v>86</v>
      </c>
      <c r="AA77" s="53" t="s">
        <v>78</v>
      </c>
      <c r="AB77" s="53" t="s">
        <v>158</v>
      </c>
      <c r="AC77" s="76"/>
      <c r="AD77" s="76"/>
      <c r="AE77" s="76"/>
      <c r="AF77" s="76"/>
      <c r="AG77" s="76"/>
      <c r="AH77" s="76"/>
    </row>
    <row r="78" spans="1:34" x14ac:dyDescent="0.15">
      <c r="A78" s="53" t="s">
        <v>41</v>
      </c>
      <c r="B78" s="53" t="s">
        <v>157</v>
      </c>
      <c r="C78" s="62">
        <v>2019</v>
      </c>
      <c r="D78" s="63" t="s">
        <v>184</v>
      </c>
      <c r="E78" s="53" t="s">
        <v>198</v>
      </c>
      <c r="F78" s="53" t="s">
        <v>196</v>
      </c>
      <c r="G78" s="53" t="s">
        <v>42</v>
      </c>
      <c r="H78" s="53" t="s">
        <v>160</v>
      </c>
      <c r="I78" s="53" t="s">
        <v>159</v>
      </c>
      <c r="J78" s="53" t="s">
        <v>38</v>
      </c>
      <c r="K78" s="53" t="s">
        <v>161</v>
      </c>
      <c r="L78" s="53">
        <v>2</v>
      </c>
      <c r="M78" s="76"/>
      <c r="N78" s="53">
        <v>1</v>
      </c>
      <c r="O78" s="53">
        <v>0.3</v>
      </c>
      <c r="P78" s="53">
        <v>0.25</v>
      </c>
      <c r="Q78" s="16">
        <f t="shared" si="3"/>
        <v>0.27500000000000002</v>
      </c>
      <c r="R78" s="53">
        <v>14.2</v>
      </c>
      <c r="S78" s="53">
        <v>118</v>
      </c>
      <c r="T78" s="38">
        <f t="shared" si="4"/>
        <v>30</v>
      </c>
      <c r="U78" s="53">
        <v>104</v>
      </c>
      <c r="V78" s="16">
        <f t="shared" si="5"/>
        <v>3120</v>
      </c>
      <c r="W78" s="53">
        <v>3</v>
      </c>
      <c r="X78" s="53" t="s">
        <v>46</v>
      </c>
      <c r="Y78" s="53" t="s">
        <v>69</v>
      </c>
      <c r="Z78" s="53" t="s">
        <v>86</v>
      </c>
      <c r="AA78" s="53" t="s">
        <v>78</v>
      </c>
      <c r="AB78" s="53" t="s">
        <v>158</v>
      </c>
      <c r="AC78" s="76"/>
      <c r="AD78" s="76"/>
      <c r="AE78" s="76"/>
      <c r="AF78" s="76"/>
      <c r="AG78" s="76"/>
      <c r="AH78" s="76"/>
    </row>
    <row r="79" spans="1:34" x14ac:dyDescent="0.15">
      <c r="A79" s="53" t="s">
        <v>41</v>
      </c>
      <c r="B79" s="53" t="s">
        <v>157</v>
      </c>
      <c r="C79" s="62">
        <v>2019</v>
      </c>
      <c r="D79" s="63" t="s">
        <v>184</v>
      </c>
      <c r="E79" s="53" t="s">
        <v>198</v>
      </c>
      <c r="F79" s="53" t="s">
        <v>196</v>
      </c>
      <c r="G79" s="53" t="s">
        <v>42</v>
      </c>
      <c r="H79" s="53" t="s">
        <v>160</v>
      </c>
      <c r="I79" s="53" t="s">
        <v>159</v>
      </c>
      <c r="J79" s="53" t="s">
        <v>38</v>
      </c>
      <c r="K79" s="53" t="s">
        <v>161</v>
      </c>
      <c r="L79" s="53">
        <v>3</v>
      </c>
      <c r="M79" s="76"/>
      <c r="N79" s="53">
        <v>1</v>
      </c>
      <c r="O79" s="53">
        <v>0.25</v>
      </c>
      <c r="P79" s="53">
        <v>0.25</v>
      </c>
      <c r="Q79" s="16">
        <f t="shared" si="3"/>
        <v>0.25</v>
      </c>
      <c r="R79" s="53">
        <v>15.1</v>
      </c>
      <c r="S79" s="53">
        <v>117</v>
      </c>
      <c r="T79" s="38">
        <f t="shared" si="4"/>
        <v>30</v>
      </c>
      <c r="U79" s="53">
        <v>104</v>
      </c>
      <c r="V79" s="38">
        <f t="shared" si="5"/>
        <v>3120</v>
      </c>
      <c r="W79" s="53">
        <v>3</v>
      </c>
      <c r="X79" s="53" t="s">
        <v>46</v>
      </c>
      <c r="Y79" s="53" t="s">
        <v>69</v>
      </c>
      <c r="Z79" s="53" t="s">
        <v>86</v>
      </c>
      <c r="AA79" s="53" t="s">
        <v>78</v>
      </c>
      <c r="AB79" s="53" t="s">
        <v>158</v>
      </c>
      <c r="AC79" s="76"/>
      <c r="AD79" s="76"/>
      <c r="AE79" s="76"/>
      <c r="AF79" s="76"/>
      <c r="AG79" s="76"/>
      <c r="AH79" s="76"/>
    </row>
    <row r="80" spans="1:34" x14ac:dyDescent="0.15">
      <c r="A80" s="53" t="s">
        <v>41</v>
      </c>
      <c r="B80" s="53" t="s">
        <v>157</v>
      </c>
      <c r="C80" s="62">
        <v>2019</v>
      </c>
      <c r="D80" s="63" t="s">
        <v>184</v>
      </c>
      <c r="E80" s="53" t="s">
        <v>198</v>
      </c>
      <c r="F80" s="53" t="s">
        <v>196</v>
      </c>
      <c r="G80" s="53" t="s">
        <v>42</v>
      </c>
      <c r="H80" s="53" t="s">
        <v>164</v>
      </c>
      <c r="I80" s="53" t="s">
        <v>159</v>
      </c>
      <c r="J80" s="53" t="s">
        <v>38</v>
      </c>
      <c r="K80" s="53" t="s">
        <v>161</v>
      </c>
      <c r="L80" s="53">
        <v>1</v>
      </c>
      <c r="N80" s="53">
        <v>1</v>
      </c>
      <c r="O80" s="53">
        <v>0.7</v>
      </c>
      <c r="P80" s="53">
        <v>0.75</v>
      </c>
      <c r="Q80" s="75">
        <f t="shared" si="3"/>
        <v>0.72499999999999998</v>
      </c>
      <c r="R80" s="53">
        <v>13.8</v>
      </c>
      <c r="S80" s="53">
        <v>122</v>
      </c>
      <c r="T80" s="16">
        <f t="shared" si="4"/>
        <v>27</v>
      </c>
      <c r="U80" s="53">
        <v>104</v>
      </c>
      <c r="V80" s="16">
        <f t="shared" si="5"/>
        <v>2808</v>
      </c>
      <c r="W80" s="53">
        <v>3</v>
      </c>
      <c r="X80" s="53" t="s">
        <v>46</v>
      </c>
      <c r="Y80" s="53" t="s">
        <v>69</v>
      </c>
      <c r="Z80" s="53" t="s">
        <v>86</v>
      </c>
      <c r="AA80" s="53" t="s">
        <v>78</v>
      </c>
      <c r="AB80" s="53" t="s">
        <v>158</v>
      </c>
      <c r="AC80" s="76"/>
      <c r="AD80" s="76"/>
      <c r="AE80" s="76"/>
      <c r="AF80" s="76"/>
      <c r="AG80" s="76"/>
      <c r="AH80" s="76"/>
    </row>
    <row r="81" spans="1:34" x14ac:dyDescent="0.15">
      <c r="A81" s="53" t="s">
        <v>41</v>
      </c>
      <c r="B81" s="53" t="s">
        <v>157</v>
      </c>
      <c r="C81" s="62">
        <v>2019</v>
      </c>
      <c r="D81" s="63" t="s">
        <v>184</v>
      </c>
      <c r="E81" s="53" t="s">
        <v>198</v>
      </c>
      <c r="F81" s="53" t="s">
        <v>196</v>
      </c>
      <c r="G81" s="53" t="s">
        <v>42</v>
      </c>
      <c r="H81" s="53" t="s">
        <v>164</v>
      </c>
      <c r="I81" s="53" t="s">
        <v>159</v>
      </c>
      <c r="J81" s="53" t="s">
        <v>38</v>
      </c>
      <c r="K81" s="53" t="s">
        <v>161</v>
      </c>
      <c r="L81" s="53">
        <v>2</v>
      </c>
      <c r="M81" s="76"/>
      <c r="N81" s="53">
        <v>1</v>
      </c>
      <c r="O81" s="53">
        <v>0.65</v>
      </c>
      <c r="P81" s="53">
        <v>0.8</v>
      </c>
      <c r="Q81" s="75">
        <f t="shared" si="3"/>
        <v>0.72500000000000009</v>
      </c>
      <c r="R81" s="53">
        <v>12.9</v>
      </c>
      <c r="S81" s="53">
        <v>121</v>
      </c>
      <c r="T81" s="16">
        <f t="shared" si="4"/>
        <v>27</v>
      </c>
      <c r="U81" s="53">
        <v>104</v>
      </c>
      <c r="V81" s="16">
        <f t="shared" si="5"/>
        <v>2808</v>
      </c>
      <c r="W81" s="53">
        <v>3</v>
      </c>
      <c r="X81" s="53" t="s">
        <v>46</v>
      </c>
      <c r="Y81" s="53" t="s">
        <v>69</v>
      </c>
      <c r="Z81" s="53" t="s">
        <v>86</v>
      </c>
      <c r="AA81" s="53" t="s">
        <v>78</v>
      </c>
      <c r="AB81" s="53" t="s">
        <v>158</v>
      </c>
      <c r="AC81" s="76"/>
      <c r="AD81" s="76"/>
      <c r="AE81" s="76"/>
      <c r="AF81" s="76"/>
      <c r="AG81" s="76"/>
      <c r="AH81" s="76"/>
    </row>
    <row r="82" spans="1:34" x14ac:dyDescent="0.15">
      <c r="A82" s="53" t="s">
        <v>41</v>
      </c>
      <c r="B82" s="53" t="s">
        <v>157</v>
      </c>
      <c r="C82" s="62">
        <v>2019</v>
      </c>
      <c r="D82" s="63" t="s">
        <v>184</v>
      </c>
      <c r="E82" s="53" t="s">
        <v>198</v>
      </c>
      <c r="F82" s="53" t="s">
        <v>196</v>
      </c>
      <c r="G82" s="53" t="s">
        <v>42</v>
      </c>
      <c r="H82" s="53" t="s">
        <v>164</v>
      </c>
      <c r="I82" s="53" t="s">
        <v>159</v>
      </c>
      <c r="J82" s="53" t="s">
        <v>38</v>
      </c>
      <c r="K82" s="53" t="s">
        <v>161</v>
      </c>
      <c r="L82" s="53">
        <v>3</v>
      </c>
      <c r="M82" s="76"/>
      <c r="N82" s="53">
        <v>1</v>
      </c>
      <c r="O82" s="53">
        <v>0.5</v>
      </c>
      <c r="P82" s="53">
        <v>0.65</v>
      </c>
      <c r="Q82" s="75">
        <f t="shared" si="3"/>
        <v>0.57499999999999996</v>
      </c>
      <c r="R82" s="53">
        <v>12</v>
      </c>
      <c r="S82" s="53">
        <v>122</v>
      </c>
      <c r="T82" s="16">
        <f t="shared" si="4"/>
        <v>27</v>
      </c>
      <c r="U82" s="53">
        <v>104</v>
      </c>
      <c r="V82" s="16">
        <f t="shared" si="5"/>
        <v>2808</v>
      </c>
      <c r="W82" s="53">
        <v>3</v>
      </c>
      <c r="X82" s="53" t="s">
        <v>46</v>
      </c>
      <c r="Y82" s="53" t="s">
        <v>69</v>
      </c>
      <c r="Z82" s="53" t="s">
        <v>86</v>
      </c>
      <c r="AA82" s="53" t="s">
        <v>78</v>
      </c>
      <c r="AB82" s="53" t="s">
        <v>158</v>
      </c>
      <c r="AC82" s="76"/>
      <c r="AD82" s="76"/>
      <c r="AE82" s="76"/>
      <c r="AF82" s="76"/>
      <c r="AG82" s="76"/>
      <c r="AH82" s="76"/>
    </row>
    <row r="83" spans="1:34" x14ac:dyDescent="0.15">
      <c r="A83" s="53" t="s">
        <v>41</v>
      </c>
      <c r="B83" s="53" t="s">
        <v>157</v>
      </c>
      <c r="C83" s="62">
        <v>2019</v>
      </c>
      <c r="D83" s="63" t="s">
        <v>184</v>
      </c>
      <c r="E83" s="53" t="s">
        <v>201</v>
      </c>
      <c r="F83" s="53" t="s">
        <v>202</v>
      </c>
      <c r="G83" s="53" t="s">
        <v>42</v>
      </c>
      <c r="H83" s="53" t="s">
        <v>160</v>
      </c>
      <c r="I83" s="53" t="s">
        <v>159</v>
      </c>
      <c r="J83" s="53" t="s">
        <v>38</v>
      </c>
      <c r="K83" s="53" t="s">
        <v>161</v>
      </c>
      <c r="L83" s="53">
        <v>1</v>
      </c>
      <c r="N83" s="53">
        <v>1</v>
      </c>
      <c r="O83" s="53">
        <v>0.5</v>
      </c>
      <c r="P83" s="53">
        <v>0.35</v>
      </c>
      <c r="Q83" s="75">
        <f t="shared" si="3"/>
        <v>0.42499999999999999</v>
      </c>
      <c r="R83" s="53">
        <v>13.5</v>
      </c>
      <c r="S83" s="53">
        <v>123</v>
      </c>
      <c r="T83" s="16">
        <f t="shared" si="4"/>
        <v>27</v>
      </c>
      <c r="U83" s="53">
        <v>138</v>
      </c>
      <c r="V83" s="16">
        <f t="shared" si="5"/>
        <v>3726</v>
      </c>
      <c r="W83" s="53">
        <v>2</v>
      </c>
      <c r="X83" s="53" t="s">
        <v>46</v>
      </c>
      <c r="Y83" s="53" t="s">
        <v>69</v>
      </c>
      <c r="Z83" s="53" t="s">
        <v>55</v>
      </c>
      <c r="AA83" s="53" t="s">
        <v>88</v>
      </c>
      <c r="AB83" s="53" t="s">
        <v>158</v>
      </c>
      <c r="AC83" s="76"/>
      <c r="AD83" s="76"/>
      <c r="AE83" s="76"/>
      <c r="AF83" s="76"/>
      <c r="AG83" s="76"/>
      <c r="AH83" s="76"/>
    </row>
    <row r="84" spans="1:34" x14ac:dyDescent="0.15">
      <c r="A84" s="53" t="s">
        <v>41</v>
      </c>
      <c r="B84" s="53" t="s">
        <v>157</v>
      </c>
      <c r="C84" s="62">
        <v>2019</v>
      </c>
      <c r="D84" s="63" t="s">
        <v>184</v>
      </c>
      <c r="E84" s="53" t="s">
        <v>201</v>
      </c>
      <c r="F84" s="53" t="s">
        <v>202</v>
      </c>
      <c r="G84" s="53" t="s">
        <v>42</v>
      </c>
      <c r="H84" s="53" t="s">
        <v>160</v>
      </c>
      <c r="I84" s="53" t="s">
        <v>159</v>
      </c>
      <c r="J84" s="53" t="s">
        <v>38</v>
      </c>
      <c r="K84" s="53" t="s">
        <v>161</v>
      </c>
      <c r="L84" s="53">
        <v>2</v>
      </c>
      <c r="N84" s="53">
        <v>1</v>
      </c>
      <c r="O84" s="53">
        <v>0.5</v>
      </c>
      <c r="P84" s="53">
        <v>0.35</v>
      </c>
      <c r="Q84" s="75">
        <f t="shared" si="3"/>
        <v>0.42499999999999999</v>
      </c>
      <c r="R84" s="53">
        <v>15.2</v>
      </c>
      <c r="S84" s="53">
        <v>122</v>
      </c>
      <c r="T84" s="16">
        <f t="shared" si="4"/>
        <v>27</v>
      </c>
      <c r="U84" s="53">
        <v>138</v>
      </c>
      <c r="V84" s="16">
        <f t="shared" si="5"/>
        <v>3726</v>
      </c>
      <c r="W84" s="53">
        <v>2</v>
      </c>
      <c r="X84" s="53" t="s">
        <v>46</v>
      </c>
      <c r="Y84" s="53" t="s">
        <v>69</v>
      </c>
      <c r="Z84" s="53" t="s">
        <v>55</v>
      </c>
      <c r="AA84" s="53" t="s">
        <v>88</v>
      </c>
      <c r="AB84" s="53" t="s">
        <v>158</v>
      </c>
      <c r="AC84" s="76"/>
      <c r="AD84" s="76"/>
      <c r="AE84" s="76"/>
      <c r="AF84" s="76"/>
      <c r="AG84" s="76"/>
      <c r="AH84" s="76"/>
    </row>
    <row r="85" spans="1:34" x14ac:dyDescent="0.15">
      <c r="A85" s="53" t="s">
        <v>41</v>
      </c>
      <c r="B85" s="53" t="s">
        <v>157</v>
      </c>
      <c r="C85" s="62">
        <v>2019</v>
      </c>
      <c r="D85" s="63" t="s">
        <v>184</v>
      </c>
      <c r="E85" s="53" t="s">
        <v>201</v>
      </c>
      <c r="F85" s="53" t="s">
        <v>202</v>
      </c>
      <c r="G85" s="53" t="s">
        <v>42</v>
      </c>
      <c r="H85" s="53" t="s">
        <v>160</v>
      </c>
      <c r="I85" s="53" t="s">
        <v>159</v>
      </c>
      <c r="J85" s="53" t="s">
        <v>38</v>
      </c>
      <c r="K85" s="53" t="s">
        <v>161</v>
      </c>
      <c r="L85" s="53">
        <v>3</v>
      </c>
      <c r="N85" s="53">
        <v>1</v>
      </c>
      <c r="O85" s="53">
        <v>0.4</v>
      </c>
      <c r="P85" s="53">
        <v>0.3</v>
      </c>
      <c r="Q85" s="75">
        <f t="shared" si="3"/>
        <v>0.35</v>
      </c>
      <c r="R85" s="53">
        <v>16.600000000000001</v>
      </c>
      <c r="S85" s="53">
        <v>125</v>
      </c>
      <c r="T85" s="16">
        <f t="shared" si="4"/>
        <v>27</v>
      </c>
      <c r="U85" s="53">
        <v>138</v>
      </c>
      <c r="V85" s="16">
        <f t="shared" si="5"/>
        <v>3726</v>
      </c>
      <c r="W85" s="53">
        <v>2</v>
      </c>
      <c r="X85" s="53" t="s">
        <v>46</v>
      </c>
      <c r="Y85" s="53" t="s">
        <v>69</v>
      </c>
      <c r="Z85" s="53" t="s">
        <v>55</v>
      </c>
      <c r="AA85" s="53" t="s">
        <v>88</v>
      </c>
      <c r="AB85" s="53" t="s">
        <v>158</v>
      </c>
      <c r="AC85" s="76"/>
      <c r="AD85" s="76"/>
      <c r="AE85" s="76"/>
      <c r="AF85" s="76"/>
      <c r="AG85" s="76"/>
      <c r="AH85" s="76"/>
    </row>
    <row r="86" spans="1:34" x14ac:dyDescent="0.15">
      <c r="A86" s="53" t="s">
        <v>41</v>
      </c>
      <c r="B86" s="53" t="s">
        <v>157</v>
      </c>
      <c r="C86" s="62">
        <v>2019</v>
      </c>
      <c r="D86" s="63" t="s">
        <v>184</v>
      </c>
      <c r="E86" s="53" t="s">
        <v>201</v>
      </c>
      <c r="F86" s="53" t="s">
        <v>202</v>
      </c>
      <c r="G86" s="53" t="s">
        <v>42</v>
      </c>
      <c r="H86" s="53" t="s">
        <v>160</v>
      </c>
      <c r="I86" s="53" t="s">
        <v>159</v>
      </c>
      <c r="J86" s="53" t="s">
        <v>38</v>
      </c>
      <c r="K86" s="53" t="s">
        <v>161</v>
      </c>
      <c r="L86" s="53">
        <v>1</v>
      </c>
      <c r="N86" s="53">
        <v>3</v>
      </c>
      <c r="O86" s="53">
        <v>0.45</v>
      </c>
      <c r="P86" s="53">
        <v>0.5</v>
      </c>
      <c r="Q86" s="75">
        <f t="shared" si="3"/>
        <v>0.47499999999999998</v>
      </c>
      <c r="R86" s="53">
        <v>15.6</v>
      </c>
      <c r="S86" s="53">
        <v>151</v>
      </c>
      <c r="T86" s="16">
        <f t="shared" si="4"/>
        <v>22</v>
      </c>
      <c r="U86" s="53">
        <v>429</v>
      </c>
      <c r="V86" s="16">
        <f t="shared" si="5"/>
        <v>3146</v>
      </c>
      <c r="W86" s="53">
        <v>2</v>
      </c>
      <c r="X86" s="53" t="s">
        <v>46</v>
      </c>
      <c r="Y86" s="53" t="s">
        <v>69</v>
      </c>
      <c r="Z86" s="53" t="s">
        <v>55</v>
      </c>
      <c r="AA86" s="53" t="s">
        <v>88</v>
      </c>
      <c r="AB86" s="53" t="s">
        <v>158</v>
      </c>
      <c r="AC86" s="76"/>
      <c r="AD86" s="76"/>
      <c r="AE86" s="76"/>
      <c r="AF86" s="76"/>
      <c r="AG86" s="76"/>
      <c r="AH86" s="76"/>
    </row>
    <row r="87" spans="1:34" x14ac:dyDescent="0.15">
      <c r="A87" s="53" t="s">
        <v>41</v>
      </c>
      <c r="B87" s="53" t="s">
        <v>157</v>
      </c>
      <c r="C87" s="62">
        <v>2019</v>
      </c>
      <c r="D87" s="63" t="s">
        <v>184</v>
      </c>
      <c r="E87" s="53" t="s">
        <v>201</v>
      </c>
      <c r="F87" s="53" t="s">
        <v>202</v>
      </c>
      <c r="G87" s="53" t="s">
        <v>42</v>
      </c>
      <c r="H87" s="53" t="s">
        <v>160</v>
      </c>
      <c r="I87" s="53" t="s">
        <v>159</v>
      </c>
      <c r="J87" s="53" t="s">
        <v>38</v>
      </c>
      <c r="K87" s="53" t="s">
        <v>161</v>
      </c>
      <c r="L87" s="53">
        <v>2</v>
      </c>
      <c r="M87" s="76"/>
      <c r="N87" s="53">
        <v>3</v>
      </c>
      <c r="O87" s="53">
        <v>0.35</v>
      </c>
      <c r="P87" s="53">
        <v>0.35</v>
      </c>
      <c r="Q87" s="75">
        <f t="shared" si="3"/>
        <v>0.35</v>
      </c>
      <c r="R87" s="53">
        <v>14.5</v>
      </c>
      <c r="S87" s="53">
        <v>156</v>
      </c>
      <c r="T87" s="16">
        <f t="shared" si="4"/>
        <v>22</v>
      </c>
      <c r="U87" s="53">
        <v>429</v>
      </c>
      <c r="V87" s="16">
        <f t="shared" si="5"/>
        <v>3146</v>
      </c>
      <c r="W87" s="53">
        <v>2</v>
      </c>
      <c r="X87" s="53" t="s">
        <v>46</v>
      </c>
      <c r="Y87" s="53" t="s">
        <v>69</v>
      </c>
      <c r="Z87" s="53" t="s">
        <v>55</v>
      </c>
      <c r="AA87" s="53" t="s">
        <v>88</v>
      </c>
      <c r="AB87" s="53" t="s">
        <v>158</v>
      </c>
      <c r="AC87" s="76"/>
      <c r="AD87" s="76"/>
      <c r="AE87" s="76"/>
      <c r="AF87" s="76"/>
      <c r="AG87" s="76"/>
      <c r="AH87" s="76"/>
    </row>
    <row r="88" spans="1:34" x14ac:dyDescent="0.15">
      <c r="A88" s="53" t="s">
        <v>41</v>
      </c>
      <c r="B88" s="53" t="s">
        <v>157</v>
      </c>
      <c r="C88" s="62">
        <v>2019</v>
      </c>
      <c r="D88" s="63" t="s">
        <v>184</v>
      </c>
      <c r="E88" s="53" t="s">
        <v>201</v>
      </c>
      <c r="F88" s="53" t="s">
        <v>202</v>
      </c>
      <c r="G88" s="53" t="s">
        <v>42</v>
      </c>
      <c r="H88" s="53" t="s">
        <v>160</v>
      </c>
      <c r="I88" s="53" t="s">
        <v>159</v>
      </c>
      <c r="J88" s="53" t="s">
        <v>38</v>
      </c>
      <c r="K88" s="53" t="s">
        <v>161</v>
      </c>
      <c r="L88" s="53">
        <v>3</v>
      </c>
      <c r="M88" s="76"/>
      <c r="N88" s="53">
        <v>3</v>
      </c>
      <c r="O88" s="53">
        <v>0.35</v>
      </c>
      <c r="P88" s="53">
        <v>0.45</v>
      </c>
      <c r="Q88" s="72">
        <f t="shared" si="3"/>
        <v>0.4</v>
      </c>
      <c r="R88" s="53">
        <v>15</v>
      </c>
      <c r="S88" s="53">
        <v>154</v>
      </c>
      <c r="T88" s="38">
        <f t="shared" si="4"/>
        <v>22</v>
      </c>
      <c r="U88" s="53">
        <v>429</v>
      </c>
      <c r="V88" s="16">
        <f t="shared" si="5"/>
        <v>3146</v>
      </c>
      <c r="W88" s="53">
        <v>2</v>
      </c>
      <c r="X88" s="53" t="s">
        <v>46</v>
      </c>
      <c r="Y88" s="53" t="s">
        <v>69</v>
      </c>
      <c r="Z88" s="53" t="s">
        <v>55</v>
      </c>
      <c r="AA88" s="53" t="s">
        <v>88</v>
      </c>
      <c r="AB88" s="53" t="s">
        <v>158</v>
      </c>
      <c r="AC88" s="76"/>
      <c r="AD88" s="76"/>
      <c r="AE88" s="76"/>
      <c r="AF88" s="76"/>
      <c r="AG88" s="76"/>
      <c r="AH88" s="76"/>
    </row>
    <row r="89" spans="1:34" x14ac:dyDescent="0.15">
      <c r="A89" s="53" t="s">
        <v>41</v>
      </c>
      <c r="B89" s="53" t="s">
        <v>157</v>
      </c>
      <c r="C89" s="62">
        <v>2019</v>
      </c>
      <c r="D89" s="63" t="s">
        <v>184</v>
      </c>
      <c r="E89" s="53" t="s">
        <v>201</v>
      </c>
      <c r="F89" s="53" t="s">
        <v>202</v>
      </c>
      <c r="G89" s="53" t="s">
        <v>42</v>
      </c>
      <c r="H89" s="53" t="s">
        <v>160</v>
      </c>
      <c r="I89" s="53" t="s">
        <v>159</v>
      </c>
      <c r="J89" s="53" t="s">
        <v>38</v>
      </c>
      <c r="K89" s="53" t="s">
        <v>161</v>
      </c>
      <c r="L89" s="53">
        <v>1</v>
      </c>
      <c r="N89" s="53">
        <v>4</v>
      </c>
      <c r="O89" s="53">
        <v>0.3</v>
      </c>
      <c r="P89" s="53">
        <v>0.35</v>
      </c>
      <c r="Q89" s="75">
        <f t="shared" si="3"/>
        <v>0.32499999999999996</v>
      </c>
      <c r="R89" s="53">
        <v>17.100000000000001</v>
      </c>
      <c r="S89" s="53">
        <v>122</v>
      </c>
      <c r="T89" s="16">
        <f t="shared" si="4"/>
        <v>27</v>
      </c>
      <c r="U89" s="53">
        <v>518</v>
      </c>
      <c r="V89" s="16">
        <f t="shared" si="5"/>
        <v>3496.5</v>
      </c>
      <c r="W89" s="53">
        <v>1</v>
      </c>
      <c r="X89" s="53" t="s">
        <v>46</v>
      </c>
      <c r="Y89" s="53" t="s">
        <v>69</v>
      </c>
      <c r="Z89" s="53" t="s">
        <v>55</v>
      </c>
      <c r="AA89" s="53" t="s">
        <v>88</v>
      </c>
      <c r="AB89" s="53" t="s">
        <v>158</v>
      </c>
      <c r="AC89" s="76"/>
      <c r="AD89" s="76"/>
      <c r="AE89" s="76"/>
      <c r="AF89" s="76"/>
      <c r="AG89" s="76"/>
      <c r="AH89" s="76"/>
    </row>
    <row r="90" spans="1:34" x14ac:dyDescent="0.15">
      <c r="A90" s="53" t="s">
        <v>41</v>
      </c>
      <c r="B90" s="53" t="s">
        <v>157</v>
      </c>
      <c r="C90" s="62">
        <v>2019</v>
      </c>
      <c r="D90" s="63" t="s">
        <v>184</v>
      </c>
      <c r="E90" s="53" t="s">
        <v>201</v>
      </c>
      <c r="F90" s="53" t="s">
        <v>202</v>
      </c>
      <c r="G90" s="53" t="s">
        <v>42</v>
      </c>
      <c r="H90" s="53" t="s">
        <v>160</v>
      </c>
      <c r="I90" s="53" t="s">
        <v>159</v>
      </c>
      <c r="J90" s="53" t="s">
        <v>38</v>
      </c>
      <c r="K90" s="53" t="s">
        <v>161</v>
      </c>
      <c r="L90" s="53">
        <v>2</v>
      </c>
      <c r="M90" s="76"/>
      <c r="N90" s="53">
        <v>4</v>
      </c>
      <c r="O90" s="53">
        <v>0.6</v>
      </c>
      <c r="P90" s="53">
        <v>0.8</v>
      </c>
      <c r="Q90" s="75">
        <f t="shared" si="3"/>
        <v>0.7</v>
      </c>
      <c r="R90" s="53">
        <v>17.2</v>
      </c>
      <c r="S90" s="53">
        <v>121</v>
      </c>
      <c r="T90" s="16">
        <f t="shared" si="4"/>
        <v>27</v>
      </c>
      <c r="U90" s="53">
        <v>518</v>
      </c>
      <c r="V90" s="16">
        <f t="shared" si="5"/>
        <v>3496.5</v>
      </c>
      <c r="W90" s="53">
        <v>1</v>
      </c>
      <c r="X90" s="53" t="s">
        <v>46</v>
      </c>
      <c r="Y90" s="53" t="s">
        <v>69</v>
      </c>
      <c r="Z90" s="53" t="s">
        <v>55</v>
      </c>
      <c r="AA90" s="53" t="s">
        <v>88</v>
      </c>
      <c r="AB90" s="53" t="s">
        <v>158</v>
      </c>
      <c r="AC90" s="76"/>
      <c r="AD90" s="76"/>
      <c r="AE90" s="76"/>
      <c r="AF90" s="76"/>
      <c r="AG90" s="76"/>
      <c r="AH90" s="76"/>
    </row>
    <row r="91" spans="1:34" x14ac:dyDescent="0.15">
      <c r="A91" s="53" t="s">
        <v>41</v>
      </c>
      <c r="B91" s="53" t="s">
        <v>157</v>
      </c>
      <c r="C91" s="62">
        <v>2019</v>
      </c>
      <c r="D91" s="63" t="s">
        <v>184</v>
      </c>
      <c r="E91" s="53" t="s">
        <v>201</v>
      </c>
      <c r="F91" s="53" t="s">
        <v>202</v>
      </c>
      <c r="G91" s="53" t="s">
        <v>42</v>
      </c>
      <c r="H91" s="53" t="s">
        <v>160</v>
      </c>
      <c r="I91" s="53" t="s">
        <v>159</v>
      </c>
      <c r="J91" s="53" t="s">
        <v>38</v>
      </c>
      <c r="K91" s="53" t="s">
        <v>161</v>
      </c>
      <c r="L91" s="53">
        <v>3</v>
      </c>
      <c r="M91" s="76"/>
      <c r="N91" s="53">
        <v>4</v>
      </c>
      <c r="O91" s="53">
        <v>0.75</v>
      </c>
      <c r="P91" s="53">
        <v>0.6</v>
      </c>
      <c r="Q91" s="72">
        <f t="shared" si="3"/>
        <v>0.67500000000000004</v>
      </c>
      <c r="R91" s="53">
        <v>16.399999999999999</v>
      </c>
      <c r="S91" s="53">
        <v>122</v>
      </c>
      <c r="T91" s="38">
        <f t="shared" si="4"/>
        <v>27</v>
      </c>
      <c r="U91" s="53">
        <v>518</v>
      </c>
      <c r="V91" s="16">
        <f t="shared" si="5"/>
        <v>3496.5</v>
      </c>
      <c r="W91" s="53">
        <v>1</v>
      </c>
      <c r="X91" s="53" t="s">
        <v>46</v>
      </c>
      <c r="Y91" s="53" t="s">
        <v>69</v>
      </c>
      <c r="Z91" s="53" t="s">
        <v>55</v>
      </c>
      <c r="AA91" s="53" t="s">
        <v>88</v>
      </c>
      <c r="AB91" s="53" t="s">
        <v>158</v>
      </c>
      <c r="AC91" s="76"/>
      <c r="AD91" s="76"/>
      <c r="AE91" s="76"/>
      <c r="AF91" s="76"/>
      <c r="AG91" s="76"/>
      <c r="AH91" s="76"/>
    </row>
    <row r="92" spans="1:34" x14ac:dyDescent="0.15">
      <c r="A92" s="53" t="s">
        <v>41</v>
      </c>
      <c r="B92" s="53" t="s">
        <v>157</v>
      </c>
      <c r="C92" s="62">
        <v>2019</v>
      </c>
      <c r="D92" s="63" t="s">
        <v>184</v>
      </c>
      <c r="E92" s="53" t="s">
        <v>201</v>
      </c>
      <c r="F92" s="53" t="s">
        <v>202</v>
      </c>
      <c r="G92" s="53" t="s">
        <v>42</v>
      </c>
      <c r="H92" s="53" t="s">
        <v>160</v>
      </c>
      <c r="I92" s="53" t="s">
        <v>159</v>
      </c>
      <c r="J92" s="53" t="s">
        <v>38</v>
      </c>
      <c r="K92" s="53" t="s">
        <v>161</v>
      </c>
      <c r="L92" s="53">
        <v>1</v>
      </c>
      <c r="N92" s="53">
        <v>7</v>
      </c>
      <c r="O92" s="53">
        <v>0.6</v>
      </c>
      <c r="P92" s="53">
        <v>0.55000000000000004</v>
      </c>
      <c r="Q92" s="75">
        <f t="shared" si="3"/>
        <v>0.57499999999999996</v>
      </c>
      <c r="R92" s="53">
        <v>16.899999999999999</v>
      </c>
      <c r="S92" s="53">
        <v>114</v>
      </c>
      <c r="T92" s="16">
        <f t="shared" si="4"/>
        <v>30</v>
      </c>
      <c r="U92" s="53">
        <v>734</v>
      </c>
      <c r="V92" s="16">
        <f t="shared" si="5"/>
        <v>3145.7142857142858</v>
      </c>
      <c r="W92" s="53">
        <v>1</v>
      </c>
      <c r="X92" s="53" t="s">
        <v>46</v>
      </c>
      <c r="Y92" s="53" t="s">
        <v>69</v>
      </c>
      <c r="Z92" s="53" t="s">
        <v>55</v>
      </c>
      <c r="AA92" s="53" t="s">
        <v>88</v>
      </c>
      <c r="AB92" s="53" t="s">
        <v>158</v>
      </c>
      <c r="AC92" s="76"/>
      <c r="AD92" s="76"/>
      <c r="AE92" s="76"/>
      <c r="AF92" s="76"/>
      <c r="AG92" s="76"/>
      <c r="AH92" s="76"/>
    </row>
    <row r="93" spans="1:34" x14ac:dyDescent="0.15">
      <c r="A93" s="53" t="s">
        <v>41</v>
      </c>
      <c r="B93" s="53" t="s">
        <v>157</v>
      </c>
      <c r="C93" s="62">
        <v>2019</v>
      </c>
      <c r="D93" s="63" t="s">
        <v>184</v>
      </c>
      <c r="E93" s="53" t="s">
        <v>201</v>
      </c>
      <c r="F93" s="53" t="s">
        <v>202</v>
      </c>
      <c r="G93" s="53" t="s">
        <v>42</v>
      </c>
      <c r="H93" s="53" t="s">
        <v>160</v>
      </c>
      <c r="I93" s="53" t="s">
        <v>159</v>
      </c>
      <c r="J93" s="53" t="s">
        <v>38</v>
      </c>
      <c r="K93" s="53" t="s">
        <v>161</v>
      </c>
      <c r="L93" s="53">
        <v>2</v>
      </c>
      <c r="M93" s="76"/>
      <c r="N93" s="53">
        <v>7</v>
      </c>
      <c r="O93" s="53">
        <v>0.25</v>
      </c>
      <c r="P93" s="53">
        <v>0.3</v>
      </c>
      <c r="Q93" s="75">
        <f t="shared" si="3"/>
        <v>0.27500000000000002</v>
      </c>
      <c r="R93" s="53">
        <v>15.9</v>
      </c>
      <c r="S93" s="53">
        <v>118</v>
      </c>
      <c r="T93" s="16">
        <f t="shared" si="4"/>
        <v>30</v>
      </c>
      <c r="U93" s="53">
        <v>734</v>
      </c>
      <c r="V93" s="16">
        <f t="shared" si="5"/>
        <v>3145.7142857142858</v>
      </c>
      <c r="W93" s="53">
        <v>1</v>
      </c>
      <c r="X93" s="53" t="s">
        <v>46</v>
      </c>
      <c r="Y93" s="53" t="s">
        <v>69</v>
      </c>
      <c r="Z93" s="53" t="s">
        <v>55</v>
      </c>
      <c r="AA93" s="53" t="s">
        <v>88</v>
      </c>
      <c r="AB93" s="53" t="s">
        <v>158</v>
      </c>
      <c r="AC93" s="76"/>
      <c r="AD93" s="76"/>
      <c r="AE93" s="76"/>
      <c r="AF93" s="76"/>
      <c r="AG93" s="76"/>
      <c r="AH93" s="76"/>
    </row>
    <row r="94" spans="1:34" x14ac:dyDescent="0.15">
      <c r="A94" s="53" t="s">
        <v>41</v>
      </c>
      <c r="B94" s="53" t="s">
        <v>157</v>
      </c>
      <c r="C94" s="62">
        <v>2019</v>
      </c>
      <c r="D94" s="63" t="s">
        <v>184</v>
      </c>
      <c r="E94" s="53" t="s">
        <v>201</v>
      </c>
      <c r="F94" s="53" t="s">
        <v>202</v>
      </c>
      <c r="G94" s="53" t="s">
        <v>42</v>
      </c>
      <c r="H94" s="53" t="s">
        <v>160</v>
      </c>
      <c r="I94" s="53" t="s">
        <v>159</v>
      </c>
      <c r="J94" s="53" t="s">
        <v>38</v>
      </c>
      <c r="K94" s="53" t="s">
        <v>161</v>
      </c>
      <c r="L94" s="53">
        <v>3</v>
      </c>
      <c r="M94" s="76"/>
      <c r="N94" s="53">
        <v>7</v>
      </c>
      <c r="O94" s="53">
        <v>0.35</v>
      </c>
      <c r="P94" s="53">
        <v>0.3</v>
      </c>
      <c r="Q94" s="72">
        <f t="shared" si="3"/>
        <v>0.32499999999999996</v>
      </c>
      <c r="R94" s="53">
        <v>12.3</v>
      </c>
      <c r="S94" s="53">
        <v>115</v>
      </c>
      <c r="T94" s="38">
        <f t="shared" si="4"/>
        <v>30</v>
      </c>
      <c r="U94" s="53">
        <v>734</v>
      </c>
      <c r="V94" s="16">
        <f t="shared" si="5"/>
        <v>3145.7142857142858</v>
      </c>
      <c r="W94" s="53">
        <v>1</v>
      </c>
      <c r="X94" s="53" t="s">
        <v>46</v>
      </c>
      <c r="Y94" s="53" t="s">
        <v>69</v>
      </c>
      <c r="Z94" s="53" t="s">
        <v>55</v>
      </c>
      <c r="AA94" s="53" t="s">
        <v>88</v>
      </c>
      <c r="AB94" s="53" t="s">
        <v>158</v>
      </c>
      <c r="AC94" s="76"/>
      <c r="AD94" s="76"/>
      <c r="AE94" s="76"/>
      <c r="AF94" s="76"/>
      <c r="AG94" s="76"/>
      <c r="AH94" s="76"/>
    </row>
    <row r="95" spans="1:34" x14ac:dyDescent="0.15">
      <c r="A95" s="53" t="s">
        <v>41</v>
      </c>
      <c r="B95" s="53" t="s">
        <v>157</v>
      </c>
      <c r="C95" s="62">
        <v>2019</v>
      </c>
      <c r="D95" s="63" t="s">
        <v>184</v>
      </c>
      <c r="E95" s="53" t="s">
        <v>201</v>
      </c>
      <c r="F95" s="53" t="s">
        <v>202</v>
      </c>
      <c r="G95" s="53" t="s">
        <v>42</v>
      </c>
      <c r="H95" s="53" t="s">
        <v>164</v>
      </c>
      <c r="I95" s="53" t="s">
        <v>159</v>
      </c>
      <c r="J95" s="53" t="s">
        <v>38</v>
      </c>
      <c r="K95" s="53" t="s">
        <v>161</v>
      </c>
      <c r="L95" s="53">
        <v>1</v>
      </c>
      <c r="N95" s="53">
        <v>1</v>
      </c>
      <c r="O95" s="53">
        <v>0.3</v>
      </c>
      <c r="P95" s="53">
        <v>0.35</v>
      </c>
      <c r="Q95" s="72">
        <f t="shared" si="3"/>
        <v>0.32499999999999996</v>
      </c>
      <c r="R95" s="53">
        <v>16</v>
      </c>
      <c r="S95" s="53">
        <v>123</v>
      </c>
      <c r="T95" s="38">
        <f t="shared" si="4"/>
        <v>27</v>
      </c>
      <c r="U95" s="53">
        <v>138</v>
      </c>
      <c r="V95" s="38">
        <f t="shared" si="5"/>
        <v>3726</v>
      </c>
      <c r="W95" s="53">
        <v>2</v>
      </c>
      <c r="X95" s="53" t="s">
        <v>46</v>
      </c>
      <c r="Y95" s="53" t="s">
        <v>69</v>
      </c>
      <c r="Z95" s="53" t="s">
        <v>55</v>
      </c>
      <c r="AA95" s="53" t="s">
        <v>88</v>
      </c>
      <c r="AB95" s="53" t="s">
        <v>158</v>
      </c>
      <c r="AC95" s="76"/>
      <c r="AD95" s="76"/>
      <c r="AE95" s="76"/>
      <c r="AF95" s="76"/>
      <c r="AG95" s="76"/>
      <c r="AH95" s="76"/>
    </row>
    <row r="96" spans="1:34" x14ac:dyDescent="0.15">
      <c r="A96" s="53" t="s">
        <v>41</v>
      </c>
      <c r="B96" s="53" t="s">
        <v>157</v>
      </c>
      <c r="C96" s="62">
        <v>2019</v>
      </c>
      <c r="D96" s="63" t="s">
        <v>184</v>
      </c>
      <c r="E96" s="53" t="s">
        <v>201</v>
      </c>
      <c r="F96" s="53" t="s">
        <v>202</v>
      </c>
      <c r="G96" s="53" t="s">
        <v>42</v>
      </c>
      <c r="H96" s="53" t="s">
        <v>164</v>
      </c>
      <c r="I96" s="53" t="s">
        <v>159</v>
      </c>
      <c r="J96" s="53" t="s">
        <v>38</v>
      </c>
      <c r="K96" s="53" t="s">
        <v>161</v>
      </c>
      <c r="L96" s="53">
        <v>2</v>
      </c>
      <c r="N96" s="53">
        <v>1</v>
      </c>
      <c r="O96" s="53">
        <v>0.8</v>
      </c>
      <c r="P96" s="53">
        <v>0.65</v>
      </c>
      <c r="Q96" s="72">
        <f t="shared" si="3"/>
        <v>0.72500000000000009</v>
      </c>
      <c r="R96" s="53">
        <v>14.1</v>
      </c>
      <c r="S96" s="53">
        <v>122</v>
      </c>
      <c r="T96" s="38">
        <f t="shared" si="4"/>
        <v>27</v>
      </c>
      <c r="U96" s="53">
        <v>138</v>
      </c>
      <c r="V96" s="38">
        <f t="shared" si="5"/>
        <v>3726</v>
      </c>
      <c r="W96" s="53">
        <v>2</v>
      </c>
      <c r="X96" s="53" t="s">
        <v>46</v>
      </c>
      <c r="Y96" s="53" t="s">
        <v>69</v>
      </c>
      <c r="Z96" s="53" t="s">
        <v>55</v>
      </c>
      <c r="AA96" s="53" t="s">
        <v>88</v>
      </c>
      <c r="AB96" s="53" t="s">
        <v>158</v>
      </c>
      <c r="AC96" s="76"/>
      <c r="AD96" s="76"/>
      <c r="AE96" s="76"/>
      <c r="AF96" s="76"/>
      <c r="AG96" s="76"/>
      <c r="AH96" s="76"/>
    </row>
    <row r="97" spans="1:34" x14ac:dyDescent="0.15">
      <c r="A97" s="53" t="s">
        <v>41</v>
      </c>
      <c r="B97" s="53" t="s">
        <v>157</v>
      </c>
      <c r="C97" s="62">
        <v>2019</v>
      </c>
      <c r="D97" s="63" t="s">
        <v>184</v>
      </c>
      <c r="E97" s="53" t="s">
        <v>201</v>
      </c>
      <c r="F97" s="53" t="s">
        <v>202</v>
      </c>
      <c r="G97" s="53" t="s">
        <v>42</v>
      </c>
      <c r="H97" s="53" t="s">
        <v>164</v>
      </c>
      <c r="I97" s="53" t="s">
        <v>159</v>
      </c>
      <c r="J97" s="53" t="s">
        <v>38</v>
      </c>
      <c r="K97" s="53" t="s">
        <v>161</v>
      </c>
      <c r="L97" s="53">
        <v>3</v>
      </c>
      <c r="N97" s="53">
        <v>1</v>
      </c>
      <c r="O97" s="53">
        <v>0.65</v>
      </c>
      <c r="P97" s="53">
        <v>0.6</v>
      </c>
      <c r="Q97" s="72">
        <f t="shared" si="3"/>
        <v>0.625</v>
      </c>
      <c r="R97" s="53">
        <v>14</v>
      </c>
      <c r="S97" s="53">
        <v>125</v>
      </c>
      <c r="T97" s="38">
        <f t="shared" si="4"/>
        <v>27</v>
      </c>
      <c r="U97" s="53">
        <v>138</v>
      </c>
      <c r="V97" s="38">
        <f t="shared" si="5"/>
        <v>3726</v>
      </c>
      <c r="W97" s="53">
        <v>2</v>
      </c>
      <c r="X97" s="53" t="s">
        <v>46</v>
      </c>
      <c r="Y97" s="53" t="s">
        <v>69</v>
      </c>
      <c r="Z97" s="53" t="s">
        <v>55</v>
      </c>
      <c r="AA97" s="53" t="s">
        <v>88</v>
      </c>
      <c r="AB97" s="53" t="s">
        <v>158</v>
      </c>
      <c r="AC97" s="76"/>
      <c r="AD97" s="76"/>
      <c r="AE97" s="76"/>
      <c r="AF97" s="76"/>
      <c r="AG97" s="76"/>
      <c r="AH97" s="76"/>
    </row>
    <row r="98" spans="1:34" x14ac:dyDescent="0.15">
      <c r="A98" s="53" t="s">
        <v>41</v>
      </c>
      <c r="B98" s="53" t="s">
        <v>157</v>
      </c>
      <c r="C98" s="62">
        <v>2019</v>
      </c>
      <c r="D98" s="63" t="s">
        <v>184</v>
      </c>
      <c r="E98" s="53" t="s">
        <v>201</v>
      </c>
      <c r="F98" s="53" t="s">
        <v>202</v>
      </c>
      <c r="G98" s="53" t="s">
        <v>42</v>
      </c>
      <c r="H98" s="53" t="s">
        <v>164</v>
      </c>
      <c r="I98" s="53" t="s">
        <v>159</v>
      </c>
      <c r="J98" s="53" t="s">
        <v>38</v>
      </c>
      <c r="K98" s="53" t="s">
        <v>161</v>
      </c>
      <c r="L98" s="53">
        <v>1</v>
      </c>
      <c r="N98" s="53">
        <v>5</v>
      </c>
      <c r="O98" s="53">
        <v>0.45</v>
      </c>
      <c r="P98" s="53">
        <v>0.55000000000000004</v>
      </c>
      <c r="Q98" s="75">
        <f t="shared" si="3"/>
        <v>0.5</v>
      </c>
      <c r="R98" s="53">
        <v>13.8</v>
      </c>
      <c r="S98" s="53">
        <v>120</v>
      </c>
      <c r="T98" s="16">
        <f t="shared" si="4"/>
        <v>30</v>
      </c>
      <c r="U98" s="53">
        <v>410</v>
      </c>
      <c r="V98" s="16">
        <f t="shared" si="5"/>
        <v>2460</v>
      </c>
      <c r="W98" s="53">
        <v>2</v>
      </c>
      <c r="X98" s="53" t="s">
        <v>46</v>
      </c>
      <c r="Y98" s="53" t="s">
        <v>69</v>
      </c>
      <c r="Z98" s="53" t="s">
        <v>55</v>
      </c>
      <c r="AA98" s="53" t="s">
        <v>88</v>
      </c>
      <c r="AB98" s="53" t="s">
        <v>158</v>
      </c>
      <c r="AC98" s="76"/>
      <c r="AD98" s="76"/>
      <c r="AE98" s="76"/>
      <c r="AF98" s="76"/>
      <c r="AG98" s="76"/>
      <c r="AH98" s="76"/>
    </row>
    <row r="99" spans="1:34" x14ac:dyDescent="0.15">
      <c r="A99" s="53" t="s">
        <v>41</v>
      </c>
      <c r="B99" s="53" t="s">
        <v>157</v>
      </c>
      <c r="C99" s="62">
        <v>2019</v>
      </c>
      <c r="D99" s="63" t="s">
        <v>184</v>
      </c>
      <c r="E99" s="53" t="s">
        <v>201</v>
      </c>
      <c r="F99" s="53" t="s">
        <v>202</v>
      </c>
      <c r="G99" s="53" t="s">
        <v>42</v>
      </c>
      <c r="H99" s="53" t="s">
        <v>164</v>
      </c>
      <c r="I99" s="53" t="s">
        <v>159</v>
      </c>
      <c r="J99" s="53" t="s">
        <v>38</v>
      </c>
      <c r="K99" s="53" t="s">
        <v>161</v>
      </c>
      <c r="L99" s="53">
        <v>2</v>
      </c>
      <c r="N99" s="53">
        <v>5</v>
      </c>
      <c r="O99" s="53">
        <v>0.35</v>
      </c>
      <c r="P99" s="53">
        <v>0.35</v>
      </c>
      <c r="Q99" s="75">
        <f t="shared" si="3"/>
        <v>0.35</v>
      </c>
      <c r="R99" s="53">
        <v>13.3</v>
      </c>
      <c r="S99" s="53">
        <v>120</v>
      </c>
      <c r="T99" s="16">
        <f t="shared" si="4"/>
        <v>30</v>
      </c>
      <c r="U99" s="53">
        <v>410</v>
      </c>
      <c r="V99" s="16">
        <f t="shared" si="5"/>
        <v>2460</v>
      </c>
      <c r="W99" s="53">
        <v>2</v>
      </c>
      <c r="X99" s="53" t="s">
        <v>46</v>
      </c>
      <c r="Y99" s="53" t="s">
        <v>69</v>
      </c>
      <c r="Z99" s="53" t="s">
        <v>55</v>
      </c>
      <c r="AA99" s="53" t="s">
        <v>88</v>
      </c>
      <c r="AB99" s="53" t="s">
        <v>158</v>
      </c>
      <c r="AC99" s="76"/>
      <c r="AD99" s="76"/>
      <c r="AE99" s="76"/>
      <c r="AF99" s="76"/>
      <c r="AG99" s="76"/>
      <c r="AH99" s="76"/>
    </row>
    <row r="100" spans="1:34" x14ac:dyDescent="0.15">
      <c r="A100" s="53" t="s">
        <v>41</v>
      </c>
      <c r="B100" s="53" t="s">
        <v>157</v>
      </c>
      <c r="C100" s="62">
        <v>2019</v>
      </c>
      <c r="D100" s="63" t="s">
        <v>184</v>
      </c>
      <c r="E100" s="53" t="s">
        <v>201</v>
      </c>
      <c r="F100" s="53" t="s">
        <v>202</v>
      </c>
      <c r="G100" s="53" t="s">
        <v>42</v>
      </c>
      <c r="H100" s="53" t="s">
        <v>164</v>
      </c>
      <c r="I100" s="53" t="s">
        <v>159</v>
      </c>
      <c r="J100" s="53" t="s">
        <v>38</v>
      </c>
      <c r="K100" s="53" t="s">
        <v>161</v>
      </c>
      <c r="L100" s="53">
        <v>3</v>
      </c>
      <c r="N100" s="53">
        <v>5</v>
      </c>
      <c r="O100" s="53">
        <v>0.4</v>
      </c>
      <c r="P100" s="53">
        <v>0.3</v>
      </c>
      <c r="Q100" s="75">
        <f t="shared" si="3"/>
        <v>0.35</v>
      </c>
      <c r="R100" s="53">
        <v>15</v>
      </c>
      <c r="S100" s="53">
        <v>114</v>
      </c>
      <c r="T100" s="16">
        <f t="shared" si="4"/>
        <v>30</v>
      </c>
      <c r="U100" s="53">
        <v>410</v>
      </c>
      <c r="V100" s="16">
        <f t="shared" si="5"/>
        <v>2460</v>
      </c>
      <c r="W100" s="53">
        <v>2</v>
      </c>
      <c r="X100" s="53" t="s">
        <v>46</v>
      </c>
      <c r="Y100" s="53" t="s">
        <v>69</v>
      </c>
      <c r="Z100" s="53" t="s">
        <v>55</v>
      </c>
      <c r="AA100" s="53" t="s">
        <v>88</v>
      </c>
      <c r="AB100" s="53" t="s">
        <v>158</v>
      </c>
      <c r="AC100" s="76"/>
      <c r="AD100" s="76"/>
      <c r="AE100" s="76"/>
      <c r="AF100" s="76"/>
      <c r="AG100" s="76"/>
      <c r="AH100" s="76"/>
    </row>
    <row r="101" spans="1:34" x14ac:dyDescent="0.15">
      <c r="A101" s="53" t="s">
        <v>41</v>
      </c>
      <c r="B101" s="53" t="s">
        <v>157</v>
      </c>
      <c r="C101" s="62">
        <v>2019</v>
      </c>
      <c r="D101" s="63" t="s">
        <v>184</v>
      </c>
      <c r="E101" s="53" t="s">
        <v>201</v>
      </c>
      <c r="F101" s="53" t="s">
        <v>202</v>
      </c>
      <c r="G101" s="53" t="s">
        <v>42</v>
      </c>
      <c r="H101" s="53" t="s">
        <v>164</v>
      </c>
      <c r="I101" s="53" t="s">
        <v>159</v>
      </c>
      <c r="J101" s="53" t="s">
        <v>38</v>
      </c>
      <c r="K101" s="53" t="s">
        <v>161</v>
      </c>
      <c r="L101" s="53">
        <v>1</v>
      </c>
      <c r="N101" s="53">
        <v>8</v>
      </c>
      <c r="O101" s="53">
        <v>0.75</v>
      </c>
      <c r="P101" s="53">
        <v>0.8</v>
      </c>
      <c r="Q101" s="75">
        <f t="shared" si="3"/>
        <v>0.77500000000000002</v>
      </c>
      <c r="R101" s="53">
        <v>15.2</v>
      </c>
      <c r="S101" s="53">
        <v>104</v>
      </c>
      <c r="T101" s="16">
        <f t="shared" si="4"/>
        <v>33</v>
      </c>
      <c r="U101" s="53">
        <v>626</v>
      </c>
      <c r="V101" s="16">
        <f t="shared" si="5"/>
        <v>2582.25</v>
      </c>
      <c r="W101" s="53">
        <v>1</v>
      </c>
      <c r="X101" s="53" t="s">
        <v>46</v>
      </c>
      <c r="Y101" s="53" t="s">
        <v>69</v>
      </c>
      <c r="Z101" s="53" t="s">
        <v>55</v>
      </c>
      <c r="AA101" s="53" t="s">
        <v>88</v>
      </c>
      <c r="AB101" s="53" t="s">
        <v>158</v>
      </c>
      <c r="AC101" s="76"/>
      <c r="AD101" s="76"/>
      <c r="AE101" s="76"/>
      <c r="AF101" s="76"/>
      <c r="AG101" s="76"/>
      <c r="AH101" s="76"/>
    </row>
    <row r="102" spans="1:34" x14ac:dyDescent="0.15">
      <c r="A102" s="53" t="s">
        <v>41</v>
      </c>
      <c r="B102" s="53" t="s">
        <v>157</v>
      </c>
      <c r="C102" s="62">
        <v>2019</v>
      </c>
      <c r="D102" s="63" t="s">
        <v>184</v>
      </c>
      <c r="E102" s="53" t="s">
        <v>201</v>
      </c>
      <c r="F102" s="53" t="s">
        <v>202</v>
      </c>
      <c r="G102" s="53" t="s">
        <v>42</v>
      </c>
      <c r="H102" s="53" t="s">
        <v>164</v>
      </c>
      <c r="I102" s="53" t="s">
        <v>159</v>
      </c>
      <c r="J102" s="53" t="s">
        <v>38</v>
      </c>
      <c r="K102" s="53" t="s">
        <v>161</v>
      </c>
      <c r="L102" s="53">
        <v>2</v>
      </c>
      <c r="N102" s="53">
        <v>8</v>
      </c>
      <c r="O102" s="53">
        <v>0.95</v>
      </c>
      <c r="P102" s="53">
        <v>0.75</v>
      </c>
      <c r="Q102" s="75">
        <f t="shared" si="3"/>
        <v>0.85</v>
      </c>
      <c r="R102" s="53">
        <v>16.2</v>
      </c>
      <c r="S102" s="53">
        <v>102</v>
      </c>
      <c r="T102" s="16">
        <f t="shared" si="4"/>
        <v>33</v>
      </c>
      <c r="U102" s="53">
        <v>626</v>
      </c>
      <c r="V102" s="16">
        <f t="shared" si="5"/>
        <v>2582.25</v>
      </c>
      <c r="W102" s="53">
        <v>1</v>
      </c>
      <c r="X102" s="53" t="s">
        <v>46</v>
      </c>
      <c r="Y102" s="53" t="s">
        <v>69</v>
      </c>
      <c r="Z102" s="53" t="s">
        <v>55</v>
      </c>
      <c r="AA102" s="53" t="s">
        <v>88</v>
      </c>
      <c r="AB102" s="53" t="s">
        <v>158</v>
      </c>
      <c r="AC102" s="76"/>
      <c r="AD102" s="76"/>
      <c r="AE102" s="76"/>
      <c r="AF102" s="76"/>
      <c r="AG102" s="76"/>
      <c r="AH102" s="76"/>
    </row>
    <row r="103" spans="1:34" x14ac:dyDescent="0.15">
      <c r="A103" s="53" t="s">
        <v>41</v>
      </c>
      <c r="B103" s="53" t="s">
        <v>157</v>
      </c>
      <c r="C103" s="62">
        <v>2019</v>
      </c>
      <c r="D103" s="63" t="s">
        <v>184</v>
      </c>
      <c r="E103" s="53" t="s">
        <v>201</v>
      </c>
      <c r="F103" s="53" t="s">
        <v>202</v>
      </c>
      <c r="G103" s="53" t="s">
        <v>42</v>
      </c>
      <c r="H103" s="53" t="s">
        <v>164</v>
      </c>
      <c r="I103" s="53" t="s">
        <v>159</v>
      </c>
      <c r="J103" s="53" t="s">
        <v>38</v>
      </c>
      <c r="K103" s="53" t="s">
        <v>161</v>
      </c>
      <c r="L103" s="53">
        <v>3</v>
      </c>
      <c r="N103" s="53">
        <v>8</v>
      </c>
      <c r="O103" s="53">
        <v>0.7</v>
      </c>
      <c r="P103" s="53">
        <v>0.65</v>
      </c>
      <c r="Q103" s="75">
        <f t="shared" si="3"/>
        <v>0.67500000000000004</v>
      </c>
      <c r="R103" s="53">
        <v>13.6</v>
      </c>
      <c r="S103" s="53">
        <v>105</v>
      </c>
      <c r="T103" s="16">
        <f t="shared" si="4"/>
        <v>33</v>
      </c>
      <c r="U103" s="53">
        <v>626</v>
      </c>
      <c r="V103" s="16">
        <f t="shared" si="5"/>
        <v>2582.25</v>
      </c>
      <c r="W103" s="53">
        <v>1</v>
      </c>
      <c r="X103" s="53" t="s">
        <v>46</v>
      </c>
      <c r="Y103" s="53" t="s">
        <v>69</v>
      </c>
      <c r="Z103" s="53" t="s">
        <v>55</v>
      </c>
      <c r="AA103" s="53" t="s">
        <v>88</v>
      </c>
      <c r="AB103" s="53" t="s">
        <v>158</v>
      </c>
      <c r="AC103" s="76"/>
      <c r="AD103" s="76"/>
      <c r="AE103" s="76"/>
      <c r="AF103" s="76"/>
      <c r="AG103" s="76"/>
      <c r="AH103" s="76"/>
    </row>
    <row r="104" spans="1:34" x14ac:dyDescent="0.15">
      <c r="A104" s="53" t="s">
        <v>41</v>
      </c>
      <c r="B104" s="53" t="s">
        <v>157</v>
      </c>
      <c r="C104" s="62">
        <v>2019</v>
      </c>
      <c r="D104" s="63" t="s">
        <v>184</v>
      </c>
      <c r="E104" s="53" t="s">
        <v>201</v>
      </c>
      <c r="F104" s="53" t="s">
        <v>208</v>
      </c>
      <c r="G104" s="53" t="s">
        <v>42</v>
      </c>
      <c r="H104" s="53" t="s">
        <v>160</v>
      </c>
      <c r="I104" s="53" t="s">
        <v>159</v>
      </c>
      <c r="J104" s="53" t="s">
        <v>38</v>
      </c>
      <c r="K104" s="53" t="s">
        <v>161</v>
      </c>
      <c r="L104" s="53">
        <v>1</v>
      </c>
      <c r="N104" s="53">
        <v>1</v>
      </c>
      <c r="O104" s="53">
        <v>0.25</v>
      </c>
      <c r="P104" s="53">
        <v>0.35</v>
      </c>
      <c r="Q104" s="75">
        <f t="shared" si="3"/>
        <v>0.3</v>
      </c>
      <c r="R104" s="53">
        <v>15.2</v>
      </c>
      <c r="S104" s="53">
        <v>125</v>
      </c>
      <c r="T104" s="16">
        <f t="shared" si="4"/>
        <v>27</v>
      </c>
      <c r="U104" s="53">
        <v>138</v>
      </c>
      <c r="V104" s="16">
        <v>3726</v>
      </c>
      <c r="W104" s="53">
        <v>2</v>
      </c>
      <c r="X104" s="53" t="s">
        <v>46</v>
      </c>
      <c r="Y104" s="53" t="s">
        <v>69</v>
      </c>
      <c r="Z104" s="53" t="s">
        <v>55</v>
      </c>
      <c r="AA104" s="53" t="s">
        <v>88</v>
      </c>
      <c r="AB104" s="53" t="s">
        <v>158</v>
      </c>
      <c r="AC104" s="76"/>
      <c r="AD104" s="76"/>
      <c r="AE104" s="76"/>
      <c r="AF104" s="76"/>
      <c r="AG104" s="76"/>
      <c r="AH104" s="76"/>
    </row>
    <row r="105" spans="1:34" x14ac:dyDescent="0.15">
      <c r="A105" s="53" t="s">
        <v>41</v>
      </c>
      <c r="B105" s="53" t="s">
        <v>157</v>
      </c>
      <c r="C105" s="62">
        <v>2019</v>
      </c>
      <c r="D105" s="63" t="s">
        <v>184</v>
      </c>
      <c r="E105" s="53" t="s">
        <v>201</v>
      </c>
      <c r="F105" s="53" t="s">
        <v>208</v>
      </c>
      <c r="G105" s="53" t="s">
        <v>42</v>
      </c>
      <c r="H105" s="53" t="s">
        <v>160</v>
      </c>
      <c r="I105" s="53" t="s">
        <v>159</v>
      </c>
      <c r="J105" s="53" t="s">
        <v>38</v>
      </c>
      <c r="K105" s="53" t="s">
        <v>161</v>
      </c>
      <c r="L105" s="53">
        <v>2</v>
      </c>
      <c r="N105" s="53">
        <v>1</v>
      </c>
      <c r="O105" s="53">
        <v>0.3</v>
      </c>
      <c r="P105" s="53">
        <v>0.35</v>
      </c>
      <c r="Q105" s="75">
        <f t="shared" si="3"/>
        <v>0.32499999999999996</v>
      </c>
      <c r="R105" s="53">
        <v>16.2</v>
      </c>
      <c r="S105" s="53">
        <v>123</v>
      </c>
      <c r="T105" s="16">
        <f t="shared" si="4"/>
        <v>27</v>
      </c>
      <c r="U105" s="53">
        <v>138</v>
      </c>
      <c r="V105" s="16">
        <v>3726</v>
      </c>
      <c r="W105" s="53">
        <v>2</v>
      </c>
      <c r="X105" s="53" t="s">
        <v>46</v>
      </c>
      <c r="Y105" s="53" t="s">
        <v>69</v>
      </c>
      <c r="Z105" s="53" t="s">
        <v>55</v>
      </c>
      <c r="AA105" s="53" t="s">
        <v>88</v>
      </c>
      <c r="AB105" s="53" t="s">
        <v>158</v>
      </c>
      <c r="AC105" s="76"/>
      <c r="AD105" s="76"/>
      <c r="AE105" s="76"/>
      <c r="AF105" s="76"/>
      <c r="AG105" s="76"/>
      <c r="AH105" s="76"/>
    </row>
    <row r="106" spans="1:34" x14ac:dyDescent="0.15">
      <c r="A106" s="53" t="s">
        <v>41</v>
      </c>
      <c r="B106" s="53" t="s">
        <v>157</v>
      </c>
      <c r="C106" s="62">
        <v>2019</v>
      </c>
      <c r="D106" s="63" t="s">
        <v>184</v>
      </c>
      <c r="E106" s="53" t="s">
        <v>201</v>
      </c>
      <c r="F106" s="53" t="s">
        <v>208</v>
      </c>
      <c r="G106" s="53" t="s">
        <v>42</v>
      </c>
      <c r="H106" s="53" t="s">
        <v>160</v>
      </c>
      <c r="I106" s="53" t="s">
        <v>159</v>
      </c>
      <c r="J106" s="53" t="s">
        <v>38</v>
      </c>
      <c r="K106" s="53" t="s">
        <v>161</v>
      </c>
      <c r="L106" s="53">
        <v>3</v>
      </c>
      <c r="N106" s="53">
        <v>1</v>
      </c>
      <c r="O106" s="53">
        <v>0.25</v>
      </c>
      <c r="P106" s="53">
        <v>0.3</v>
      </c>
      <c r="Q106" s="75">
        <f t="shared" si="3"/>
        <v>0.27500000000000002</v>
      </c>
      <c r="R106" s="53">
        <v>16</v>
      </c>
      <c r="S106" s="53">
        <v>125</v>
      </c>
      <c r="T106" s="16">
        <f t="shared" si="4"/>
        <v>27</v>
      </c>
      <c r="U106" s="53">
        <v>138</v>
      </c>
      <c r="V106" s="16">
        <v>3726</v>
      </c>
      <c r="W106" s="53">
        <v>2</v>
      </c>
      <c r="X106" s="53" t="s">
        <v>46</v>
      </c>
      <c r="Y106" s="53" t="s">
        <v>69</v>
      </c>
      <c r="Z106" s="53" t="s">
        <v>55</v>
      </c>
      <c r="AA106" s="53" t="s">
        <v>88</v>
      </c>
      <c r="AB106" s="53" t="s">
        <v>158</v>
      </c>
      <c r="AC106" s="76"/>
      <c r="AD106" s="76"/>
      <c r="AE106" s="76"/>
      <c r="AF106" s="76"/>
      <c r="AG106" s="76"/>
      <c r="AH106" s="76"/>
    </row>
    <row r="107" spans="1:34" x14ac:dyDescent="0.15">
      <c r="A107" s="53" t="s">
        <v>41</v>
      </c>
      <c r="B107" s="53" t="s">
        <v>157</v>
      </c>
      <c r="C107" s="62">
        <v>2019</v>
      </c>
      <c r="D107" s="63" t="s">
        <v>184</v>
      </c>
      <c r="E107" s="53" t="s">
        <v>201</v>
      </c>
      <c r="F107" s="53" t="s">
        <v>208</v>
      </c>
      <c r="G107" s="53" t="s">
        <v>42</v>
      </c>
      <c r="H107" s="53" t="s">
        <v>160</v>
      </c>
      <c r="I107" s="53" t="s">
        <v>159</v>
      </c>
      <c r="J107" s="53" t="s">
        <v>38</v>
      </c>
      <c r="K107" s="53" t="s">
        <v>161</v>
      </c>
      <c r="L107" s="53">
        <v>1</v>
      </c>
      <c r="N107" s="53">
        <v>3</v>
      </c>
      <c r="O107" s="53">
        <v>0.35</v>
      </c>
      <c r="P107" s="53">
        <v>0.5</v>
      </c>
      <c r="Q107" s="75">
        <f t="shared" si="3"/>
        <v>0.42499999999999999</v>
      </c>
      <c r="R107" s="53">
        <v>12.8</v>
      </c>
      <c r="S107" s="53">
        <v>156</v>
      </c>
      <c r="T107" s="16">
        <f t="shared" si="4"/>
        <v>22</v>
      </c>
      <c r="U107" s="53">
        <v>429</v>
      </c>
      <c r="V107" s="16">
        <v>2460</v>
      </c>
      <c r="W107" s="53">
        <v>1</v>
      </c>
      <c r="X107" s="53" t="s">
        <v>46</v>
      </c>
      <c r="Y107" s="53" t="s">
        <v>69</v>
      </c>
      <c r="Z107" s="53" t="s">
        <v>55</v>
      </c>
      <c r="AA107" s="53" t="s">
        <v>88</v>
      </c>
      <c r="AB107" s="53" t="s">
        <v>158</v>
      </c>
      <c r="AC107" s="76"/>
      <c r="AD107" s="76"/>
      <c r="AE107" s="76"/>
      <c r="AF107" s="76"/>
      <c r="AG107" s="76"/>
      <c r="AH107" s="76"/>
    </row>
    <row r="108" spans="1:34" x14ac:dyDescent="0.15">
      <c r="A108" s="53" t="s">
        <v>41</v>
      </c>
      <c r="B108" s="53" t="s">
        <v>157</v>
      </c>
      <c r="C108" s="62">
        <v>2019</v>
      </c>
      <c r="D108" s="63" t="s">
        <v>184</v>
      </c>
      <c r="E108" s="53" t="s">
        <v>201</v>
      </c>
      <c r="F108" s="53" t="s">
        <v>208</v>
      </c>
      <c r="G108" s="53" t="s">
        <v>42</v>
      </c>
      <c r="H108" s="53" t="s">
        <v>160</v>
      </c>
      <c r="I108" s="53" t="s">
        <v>159</v>
      </c>
      <c r="J108" s="53" t="s">
        <v>38</v>
      </c>
      <c r="K108" s="53" t="s">
        <v>161</v>
      </c>
      <c r="L108" s="53">
        <v>2</v>
      </c>
      <c r="M108" s="76"/>
      <c r="N108" s="53">
        <v>3</v>
      </c>
      <c r="O108" s="53">
        <v>0.25</v>
      </c>
      <c r="P108" s="53">
        <v>0.35</v>
      </c>
      <c r="Q108" s="75">
        <f t="shared" si="3"/>
        <v>0.3</v>
      </c>
      <c r="R108" s="53">
        <v>13.8</v>
      </c>
      <c r="S108" s="53">
        <v>160</v>
      </c>
      <c r="T108" s="16">
        <f t="shared" si="4"/>
        <v>22</v>
      </c>
      <c r="U108" s="53">
        <v>429</v>
      </c>
      <c r="V108" s="16">
        <v>2460</v>
      </c>
      <c r="W108" s="53">
        <v>1</v>
      </c>
      <c r="X108" s="53" t="s">
        <v>46</v>
      </c>
      <c r="Y108" s="53" t="s">
        <v>69</v>
      </c>
      <c r="Z108" s="53" t="s">
        <v>55</v>
      </c>
      <c r="AA108" s="53" t="s">
        <v>88</v>
      </c>
      <c r="AB108" s="53" t="s">
        <v>158</v>
      </c>
      <c r="AC108" s="76"/>
      <c r="AD108" s="76"/>
      <c r="AE108" s="76"/>
      <c r="AF108" s="76"/>
      <c r="AG108" s="76"/>
      <c r="AH108" s="76"/>
    </row>
    <row r="109" spans="1:34" x14ac:dyDescent="0.15">
      <c r="A109" s="53" t="s">
        <v>41</v>
      </c>
      <c r="B109" s="53" t="s">
        <v>157</v>
      </c>
      <c r="C109" s="62">
        <v>2019</v>
      </c>
      <c r="D109" s="63" t="s">
        <v>184</v>
      </c>
      <c r="E109" s="53" t="s">
        <v>201</v>
      </c>
      <c r="F109" s="53" t="s">
        <v>208</v>
      </c>
      <c r="G109" s="53" t="s">
        <v>42</v>
      </c>
      <c r="H109" s="53" t="s">
        <v>160</v>
      </c>
      <c r="I109" s="53" t="s">
        <v>159</v>
      </c>
      <c r="J109" s="53" t="s">
        <v>38</v>
      </c>
      <c r="K109" s="53" t="s">
        <v>161</v>
      </c>
      <c r="L109" s="53">
        <v>3</v>
      </c>
      <c r="M109" s="76"/>
      <c r="N109" s="53">
        <v>3</v>
      </c>
      <c r="O109" s="53">
        <v>0.35</v>
      </c>
      <c r="P109" s="53">
        <v>0.45</v>
      </c>
      <c r="Q109" s="72">
        <f t="shared" si="3"/>
        <v>0.4</v>
      </c>
      <c r="R109" s="53">
        <v>14.8</v>
      </c>
      <c r="S109" s="53">
        <v>161</v>
      </c>
      <c r="T109" s="38">
        <f t="shared" si="4"/>
        <v>22</v>
      </c>
      <c r="U109" s="53">
        <v>429</v>
      </c>
      <c r="V109" s="16">
        <v>2214</v>
      </c>
      <c r="W109" s="53">
        <v>1</v>
      </c>
      <c r="X109" s="53" t="s">
        <v>46</v>
      </c>
      <c r="Y109" s="53" t="s">
        <v>69</v>
      </c>
      <c r="Z109" s="53" t="s">
        <v>55</v>
      </c>
      <c r="AA109" s="53" t="s">
        <v>88</v>
      </c>
      <c r="AB109" s="53" t="s">
        <v>158</v>
      </c>
      <c r="AC109" s="76"/>
      <c r="AD109" s="76"/>
      <c r="AE109" s="76"/>
      <c r="AF109" s="76"/>
      <c r="AG109" s="76"/>
      <c r="AH109" s="76"/>
    </row>
    <row r="110" spans="1:34" x14ac:dyDescent="0.15">
      <c r="A110" s="53" t="s">
        <v>41</v>
      </c>
      <c r="B110" s="53" t="s">
        <v>157</v>
      </c>
      <c r="C110" s="62">
        <v>2019</v>
      </c>
      <c r="D110" s="63" t="s">
        <v>184</v>
      </c>
      <c r="E110" s="53" t="s">
        <v>201</v>
      </c>
      <c r="F110" s="53" t="s">
        <v>208</v>
      </c>
      <c r="G110" s="53" t="s">
        <v>42</v>
      </c>
      <c r="H110" s="53" t="s">
        <v>160</v>
      </c>
      <c r="I110" s="53" t="s">
        <v>159</v>
      </c>
      <c r="J110" s="53" t="s">
        <v>38</v>
      </c>
      <c r="K110" s="53" t="s">
        <v>161</v>
      </c>
      <c r="L110" s="53">
        <v>1</v>
      </c>
      <c r="N110" s="53">
        <v>4</v>
      </c>
      <c r="O110" s="53">
        <v>0.65</v>
      </c>
      <c r="P110" s="53">
        <v>0.7</v>
      </c>
      <c r="Q110" s="75">
        <f t="shared" si="3"/>
        <v>0.67500000000000004</v>
      </c>
      <c r="R110" s="53">
        <v>15</v>
      </c>
      <c r="S110" s="53">
        <v>124</v>
      </c>
      <c r="T110" s="16">
        <f t="shared" si="4"/>
        <v>27</v>
      </c>
      <c r="U110" s="53">
        <v>518</v>
      </c>
      <c r="V110" s="16">
        <v>3726</v>
      </c>
      <c r="W110" s="53">
        <v>2</v>
      </c>
      <c r="X110" s="53" t="s">
        <v>46</v>
      </c>
      <c r="Y110" s="53" t="s">
        <v>69</v>
      </c>
      <c r="Z110" s="53" t="s">
        <v>55</v>
      </c>
      <c r="AA110" s="53" t="s">
        <v>88</v>
      </c>
      <c r="AB110" s="53" t="s">
        <v>158</v>
      </c>
      <c r="AC110" s="76"/>
      <c r="AD110" s="76"/>
      <c r="AE110" s="76"/>
      <c r="AF110" s="76"/>
      <c r="AG110" s="76"/>
      <c r="AH110" s="76"/>
    </row>
    <row r="111" spans="1:34" x14ac:dyDescent="0.15">
      <c r="A111" s="53" t="s">
        <v>41</v>
      </c>
      <c r="B111" s="53" t="s">
        <v>157</v>
      </c>
      <c r="C111" s="62">
        <v>2019</v>
      </c>
      <c r="D111" s="63" t="s">
        <v>184</v>
      </c>
      <c r="E111" s="53" t="s">
        <v>201</v>
      </c>
      <c r="F111" s="53" t="s">
        <v>208</v>
      </c>
      <c r="G111" s="53" t="s">
        <v>42</v>
      </c>
      <c r="H111" s="53" t="s">
        <v>160</v>
      </c>
      <c r="I111" s="53" t="s">
        <v>159</v>
      </c>
      <c r="J111" s="53" t="s">
        <v>38</v>
      </c>
      <c r="K111" s="53" t="s">
        <v>161</v>
      </c>
      <c r="L111" s="53">
        <v>2</v>
      </c>
      <c r="M111" s="76"/>
      <c r="N111" s="53">
        <v>4</v>
      </c>
      <c r="O111" s="53">
        <v>0.5</v>
      </c>
      <c r="P111" s="53">
        <v>0.65</v>
      </c>
      <c r="Q111" s="75">
        <f t="shared" si="3"/>
        <v>0.57499999999999996</v>
      </c>
      <c r="R111" s="53">
        <v>12.3</v>
      </c>
      <c r="S111" s="53">
        <v>125</v>
      </c>
      <c r="T111" s="16">
        <f t="shared" si="4"/>
        <v>27</v>
      </c>
      <c r="U111" s="53">
        <v>518</v>
      </c>
      <c r="V111" s="16">
        <v>3726</v>
      </c>
      <c r="W111" s="53">
        <v>2</v>
      </c>
      <c r="X111" s="53" t="s">
        <v>46</v>
      </c>
      <c r="Y111" s="53" t="s">
        <v>69</v>
      </c>
      <c r="Z111" s="53" t="s">
        <v>55</v>
      </c>
      <c r="AA111" s="53" t="s">
        <v>88</v>
      </c>
      <c r="AB111" s="53" t="s">
        <v>158</v>
      </c>
      <c r="AC111" s="76"/>
      <c r="AD111" s="76"/>
      <c r="AE111" s="76"/>
      <c r="AF111" s="76"/>
      <c r="AG111" s="76"/>
      <c r="AH111" s="76"/>
    </row>
    <row r="112" spans="1:34" x14ac:dyDescent="0.15">
      <c r="A112" s="53" t="s">
        <v>41</v>
      </c>
      <c r="B112" s="53" t="s">
        <v>157</v>
      </c>
      <c r="C112" s="62">
        <v>2019</v>
      </c>
      <c r="D112" s="63" t="s">
        <v>184</v>
      </c>
      <c r="E112" s="53" t="s">
        <v>201</v>
      </c>
      <c r="F112" s="53" t="s">
        <v>208</v>
      </c>
      <c r="G112" s="53" t="s">
        <v>42</v>
      </c>
      <c r="H112" s="53" t="s">
        <v>160</v>
      </c>
      <c r="I112" s="53" t="s">
        <v>159</v>
      </c>
      <c r="J112" s="53" t="s">
        <v>38</v>
      </c>
      <c r="K112" s="53" t="s">
        <v>161</v>
      </c>
      <c r="L112" s="53">
        <v>3</v>
      </c>
      <c r="M112" s="76"/>
      <c r="N112" s="53">
        <v>4</v>
      </c>
      <c r="O112" s="53">
        <v>0.45</v>
      </c>
      <c r="P112" s="53">
        <v>0.5</v>
      </c>
      <c r="Q112" s="72">
        <f t="shared" si="3"/>
        <v>0.47499999999999998</v>
      </c>
      <c r="R112" s="53">
        <v>16.8</v>
      </c>
      <c r="S112" s="53">
        <v>126</v>
      </c>
      <c r="T112" s="38">
        <f t="shared" si="4"/>
        <v>27</v>
      </c>
      <c r="U112" s="53">
        <v>518</v>
      </c>
      <c r="V112" s="16">
        <v>3726</v>
      </c>
      <c r="W112" s="53">
        <v>2</v>
      </c>
      <c r="X112" s="53" t="s">
        <v>46</v>
      </c>
      <c r="Y112" s="53" t="s">
        <v>69</v>
      </c>
      <c r="Z112" s="53" t="s">
        <v>55</v>
      </c>
      <c r="AA112" s="53" t="s">
        <v>88</v>
      </c>
      <c r="AB112" s="53" t="s">
        <v>158</v>
      </c>
      <c r="AC112" s="76"/>
      <c r="AD112" s="76"/>
      <c r="AE112" s="76"/>
      <c r="AF112" s="76"/>
      <c r="AG112" s="76"/>
      <c r="AH112" s="76"/>
    </row>
    <row r="113" spans="1:34" x14ac:dyDescent="0.15">
      <c r="A113" s="53" t="s">
        <v>41</v>
      </c>
      <c r="B113" s="53" t="s">
        <v>157</v>
      </c>
      <c r="C113" s="62">
        <v>2019</v>
      </c>
      <c r="D113" s="63" t="s">
        <v>184</v>
      </c>
      <c r="E113" s="53" t="s">
        <v>201</v>
      </c>
      <c r="F113" s="53" t="s">
        <v>208</v>
      </c>
      <c r="G113" s="53" t="s">
        <v>42</v>
      </c>
      <c r="H113" s="53" t="s">
        <v>160</v>
      </c>
      <c r="I113" s="53" t="s">
        <v>159</v>
      </c>
      <c r="J113" s="53" t="s">
        <v>38</v>
      </c>
      <c r="K113" s="53" t="s">
        <v>161</v>
      </c>
      <c r="L113" s="53">
        <v>1</v>
      </c>
      <c r="N113" s="53">
        <v>7</v>
      </c>
      <c r="O113" s="53">
        <v>0.25</v>
      </c>
      <c r="P113" s="53">
        <v>0.35</v>
      </c>
      <c r="Q113" s="75">
        <f t="shared" si="3"/>
        <v>0.3</v>
      </c>
      <c r="R113" s="53">
        <v>15.7</v>
      </c>
      <c r="S113" s="53">
        <v>118</v>
      </c>
      <c r="T113" s="16">
        <f t="shared" si="4"/>
        <v>30</v>
      </c>
      <c r="U113" s="53">
        <v>734</v>
      </c>
      <c r="V113" s="16">
        <v>3885</v>
      </c>
      <c r="W113" s="53">
        <v>2</v>
      </c>
      <c r="X113" s="53" t="s">
        <v>46</v>
      </c>
      <c r="Y113" s="53" t="s">
        <v>69</v>
      </c>
      <c r="Z113" s="53" t="s">
        <v>55</v>
      </c>
      <c r="AA113" s="53" t="s">
        <v>88</v>
      </c>
      <c r="AB113" s="53" t="s">
        <v>158</v>
      </c>
      <c r="AC113" s="76"/>
      <c r="AD113" s="76"/>
      <c r="AE113" s="76"/>
      <c r="AF113" s="76"/>
      <c r="AG113" s="76"/>
      <c r="AH113" s="76"/>
    </row>
    <row r="114" spans="1:34" x14ac:dyDescent="0.15">
      <c r="A114" s="53" t="s">
        <v>41</v>
      </c>
      <c r="B114" s="53" t="s">
        <v>157</v>
      </c>
      <c r="C114" s="62">
        <v>2019</v>
      </c>
      <c r="D114" s="63" t="s">
        <v>184</v>
      </c>
      <c r="E114" s="53" t="s">
        <v>201</v>
      </c>
      <c r="F114" s="53" t="s">
        <v>208</v>
      </c>
      <c r="G114" s="53" t="s">
        <v>42</v>
      </c>
      <c r="H114" s="53" t="s">
        <v>160</v>
      </c>
      <c r="I114" s="53" t="s">
        <v>159</v>
      </c>
      <c r="J114" s="53" t="s">
        <v>38</v>
      </c>
      <c r="K114" s="53" t="s">
        <v>161</v>
      </c>
      <c r="L114" s="53">
        <v>2</v>
      </c>
      <c r="M114" s="76"/>
      <c r="N114" s="53">
        <v>7</v>
      </c>
      <c r="O114" s="53">
        <v>0.25</v>
      </c>
      <c r="P114" s="53">
        <v>0.4</v>
      </c>
      <c r="Q114" s="75">
        <f t="shared" si="3"/>
        <v>0.32500000000000001</v>
      </c>
      <c r="R114" s="53">
        <v>17.399999999999999</v>
      </c>
      <c r="S114" s="53">
        <v>120</v>
      </c>
      <c r="T114" s="16">
        <f t="shared" si="4"/>
        <v>30</v>
      </c>
      <c r="U114" s="53">
        <v>734</v>
      </c>
      <c r="V114" s="16">
        <v>3885</v>
      </c>
      <c r="W114" s="53">
        <v>2</v>
      </c>
      <c r="X114" s="53" t="s">
        <v>46</v>
      </c>
      <c r="Y114" s="53" t="s">
        <v>69</v>
      </c>
      <c r="Z114" s="53" t="s">
        <v>55</v>
      </c>
      <c r="AA114" s="53" t="s">
        <v>88</v>
      </c>
      <c r="AB114" s="53" t="s">
        <v>158</v>
      </c>
      <c r="AC114" s="76"/>
      <c r="AD114" s="76"/>
      <c r="AE114" s="76"/>
      <c r="AF114" s="76"/>
      <c r="AG114" s="76"/>
      <c r="AH114" s="76"/>
    </row>
    <row r="115" spans="1:34" x14ac:dyDescent="0.15">
      <c r="A115" s="53" t="s">
        <v>41</v>
      </c>
      <c r="B115" s="53" t="s">
        <v>157</v>
      </c>
      <c r="C115" s="62">
        <v>2019</v>
      </c>
      <c r="D115" s="63" t="s">
        <v>184</v>
      </c>
      <c r="E115" s="53" t="s">
        <v>201</v>
      </c>
      <c r="F115" s="53" t="s">
        <v>208</v>
      </c>
      <c r="G115" s="53" t="s">
        <v>42</v>
      </c>
      <c r="H115" s="53" t="s">
        <v>160</v>
      </c>
      <c r="I115" s="53" t="s">
        <v>159</v>
      </c>
      <c r="J115" s="53" t="s">
        <v>38</v>
      </c>
      <c r="K115" s="53" t="s">
        <v>161</v>
      </c>
      <c r="L115" s="53">
        <v>3</v>
      </c>
      <c r="M115" s="76"/>
      <c r="N115" s="53">
        <v>7</v>
      </c>
      <c r="O115" s="53">
        <v>0.3</v>
      </c>
      <c r="P115" s="53">
        <v>0.35</v>
      </c>
      <c r="Q115" s="72">
        <f t="shared" si="3"/>
        <v>0.32499999999999996</v>
      </c>
      <c r="R115" s="53">
        <v>15.8</v>
      </c>
      <c r="S115" s="53">
        <v>121</v>
      </c>
      <c r="T115" s="38">
        <f t="shared" si="4"/>
        <v>27</v>
      </c>
      <c r="U115" s="53">
        <v>734</v>
      </c>
      <c r="V115" s="38">
        <v>3885</v>
      </c>
      <c r="W115" s="53">
        <v>2</v>
      </c>
      <c r="X115" s="53" t="s">
        <v>46</v>
      </c>
      <c r="Y115" s="53" t="s">
        <v>69</v>
      </c>
      <c r="Z115" s="53" t="s">
        <v>55</v>
      </c>
      <c r="AA115" s="53" t="s">
        <v>88</v>
      </c>
      <c r="AB115" s="53" t="s">
        <v>158</v>
      </c>
      <c r="AC115" s="76"/>
      <c r="AD115" s="76"/>
      <c r="AE115" s="76"/>
      <c r="AF115" s="76"/>
      <c r="AG115" s="76"/>
      <c r="AH115" s="76"/>
    </row>
    <row r="116" spans="1:34" x14ac:dyDescent="0.15">
      <c r="A116" s="53" t="s">
        <v>41</v>
      </c>
      <c r="B116" s="53" t="s">
        <v>157</v>
      </c>
      <c r="C116" s="62">
        <v>2019</v>
      </c>
      <c r="D116" s="63" t="s">
        <v>184</v>
      </c>
      <c r="E116" s="53" t="s">
        <v>201</v>
      </c>
      <c r="F116" s="53" t="s">
        <v>208</v>
      </c>
      <c r="G116" s="53" t="s">
        <v>42</v>
      </c>
      <c r="H116" s="53" t="s">
        <v>164</v>
      </c>
      <c r="I116" s="53" t="s">
        <v>159</v>
      </c>
      <c r="J116" s="53" t="s">
        <v>38</v>
      </c>
      <c r="K116" s="53" t="s">
        <v>161</v>
      </c>
      <c r="L116" s="53">
        <v>1</v>
      </c>
      <c r="N116" s="53">
        <v>1</v>
      </c>
      <c r="O116" s="53">
        <v>0.65</v>
      </c>
      <c r="P116" s="53">
        <v>0.65</v>
      </c>
      <c r="Q116" s="72">
        <f t="shared" si="3"/>
        <v>0.65</v>
      </c>
      <c r="R116" s="53">
        <v>16.2</v>
      </c>
      <c r="S116" s="53">
        <v>124</v>
      </c>
      <c r="T116" s="38">
        <f t="shared" si="4"/>
        <v>27</v>
      </c>
      <c r="U116" s="53">
        <v>138</v>
      </c>
      <c r="V116" s="38">
        <v>3146</v>
      </c>
      <c r="W116" s="53">
        <v>3</v>
      </c>
      <c r="X116" s="53" t="s">
        <v>46</v>
      </c>
      <c r="Y116" s="53" t="s">
        <v>69</v>
      </c>
      <c r="Z116" s="53" t="s">
        <v>55</v>
      </c>
      <c r="AA116" s="53" t="s">
        <v>88</v>
      </c>
      <c r="AB116" s="53" t="s">
        <v>158</v>
      </c>
      <c r="AC116" s="76"/>
      <c r="AD116" s="76"/>
      <c r="AE116" s="76"/>
      <c r="AF116" s="76"/>
      <c r="AG116" s="76"/>
      <c r="AH116" s="76"/>
    </row>
    <row r="117" spans="1:34" x14ac:dyDescent="0.15">
      <c r="A117" s="53" t="s">
        <v>41</v>
      </c>
      <c r="B117" s="53" t="s">
        <v>157</v>
      </c>
      <c r="C117" s="62">
        <v>2019</v>
      </c>
      <c r="D117" s="63" t="s">
        <v>184</v>
      </c>
      <c r="E117" s="53" t="s">
        <v>201</v>
      </c>
      <c r="F117" s="53" t="s">
        <v>208</v>
      </c>
      <c r="G117" s="53" t="s">
        <v>42</v>
      </c>
      <c r="H117" s="53" t="s">
        <v>164</v>
      </c>
      <c r="I117" s="53" t="s">
        <v>159</v>
      </c>
      <c r="J117" s="53" t="s">
        <v>38</v>
      </c>
      <c r="K117" s="53" t="s">
        <v>161</v>
      </c>
      <c r="L117" s="53">
        <v>2</v>
      </c>
      <c r="N117" s="53">
        <v>1</v>
      </c>
      <c r="O117" s="53">
        <v>0.7</v>
      </c>
      <c r="P117" s="53">
        <v>0.5</v>
      </c>
      <c r="Q117" s="72">
        <f t="shared" si="3"/>
        <v>0.6</v>
      </c>
      <c r="R117" s="53">
        <v>12.6</v>
      </c>
      <c r="S117" s="53">
        <v>126</v>
      </c>
      <c r="T117" s="38">
        <f t="shared" si="4"/>
        <v>27</v>
      </c>
      <c r="U117" s="53">
        <v>138</v>
      </c>
      <c r="V117" s="38">
        <v>3146</v>
      </c>
      <c r="W117" s="53">
        <v>3</v>
      </c>
      <c r="X117" s="53" t="s">
        <v>46</v>
      </c>
      <c r="Y117" s="53" t="s">
        <v>69</v>
      </c>
      <c r="Z117" s="53" t="s">
        <v>55</v>
      </c>
      <c r="AA117" s="53" t="s">
        <v>88</v>
      </c>
      <c r="AB117" s="53" t="s">
        <v>158</v>
      </c>
      <c r="AC117" s="76"/>
      <c r="AD117" s="76"/>
      <c r="AE117" s="76"/>
      <c r="AF117" s="76"/>
      <c r="AG117" s="76"/>
      <c r="AH117" s="76"/>
    </row>
    <row r="118" spans="1:34" x14ac:dyDescent="0.15">
      <c r="A118" s="53" t="s">
        <v>41</v>
      </c>
      <c r="B118" s="53" t="s">
        <v>157</v>
      </c>
      <c r="C118" s="62">
        <v>2019</v>
      </c>
      <c r="D118" s="63" t="s">
        <v>184</v>
      </c>
      <c r="E118" s="53" t="s">
        <v>201</v>
      </c>
      <c r="F118" s="53" t="s">
        <v>208</v>
      </c>
      <c r="G118" s="53" t="s">
        <v>42</v>
      </c>
      <c r="H118" s="53" t="s">
        <v>164</v>
      </c>
      <c r="I118" s="53" t="s">
        <v>159</v>
      </c>
      <c r="J118" s="53" t="s">
        <v>38</v>
      </c>
      <c r="K118" s="53" t="s">
        <v>161</v>
      </c>
      <c r="L118" s="53">
        <v>3</v>
      </c>
      <c r="N118" s="53">
        <v>1</v>
      </c>
      <c r="O118" s="53">
        <v>0.5</v>
      </c>
      <c r="P118" s="53">
        <v>0.45</v>
      </c>
      <c r="Q118" s="72">
        <f t="shared" si="3"/>
        <v>0.47499999999999998</v>
      </c>
      <c r="R118" s="53">
        <v>11.4</v>
      </c>
      <c r="S118" s="53">
        <v>122</v>
      </c>
      <c r="T118" s="38">
        <f t="shared" si="4"/>
        <v>27</v>
      </c>
      <c r="U118" s="53">
        <v>138</v>
      </c>
      <c r="V118" s="38">
        <v>3146</v>
      </c>
      <c r="W118" s="53">
        <v>3</v>
      </c>
      <c r="X118" s="53" t="s">
        <v>46</v>
      </c>
      <c r="Y118" s="53" t="s">
        <v>69</v>
      </c>
      <c r="Z118" s="53" t="s">
        <v>55</v>
      </c>
      <c r="AA118" s="53" t="s">
        <v>88</v>
      </c>
      <c r="AB118" s="53" t="s">
        <v>158</v>
      </c>
      <c r="AC118" s="76"/>
      <c r="AD118" s="76"/>
      <c r="AE118" s="76"/>
      <c r="AF118" s="76"/>
      <c r="AG118" s="76"/>
      <c r="AH118" s="76"/>
    </row>
    <row r="119" spans="1:34" x14ac:dyDescent="0.15">
      <c r="A119" s="53" t="s">
        <v>41</v>
      </c>
      <c r="B119" s="53" t="s">
        <v>157</v>
      </c>
      <c r="C119" s="62">
        <v>2019</v>
      </c>
      <c r="D119" s="63" t="s">
        <v>184</v>
      </c>
      <c r="E119" s="53" t="s">
        <v>201</v>
      </c>
      <c r="F119" s="53" t="s">
        <v>208</v>
      </c>
      <c r="G119" s="53" t="s">
        <v>42</v>
      </c>
      <c r="H119" s="53" t="s">
        <v>164</v>
      </c>
      <c r="I119" s="53" t="s">
        <v>159</v>
      </c>
      <c r="J119" s="53" t="s">
        <v>38</v>
      </c>
      <c r="K119" s="53" t="s">
        <v>161</v>
      </c>
      <c r="L119" s="53">
        <v>1</v>
      </c>
      <c r="N119" s="53">
        <v>5</v>
      </c>
      <c r="O119" s="53">
        <v>0.8</v>
      </c>
      <c r="P119" s="53">
        <v>0.75</v>
      </c>
      <c r="Q119" s="75">
        <f t="shared" si="3"/>
        <v>0.77500000000000002</v>
      </c>
      <c r="R119" s="53">
        <v>12.8</v>
      </c>
      <c r="S119" s="53">
        <v>115</v>
      </c>
      <c r="T119" s="16">
        <f t="shared" si="4"/>
        <v>30</v>
      </c>
      <c r="U119" s="53">
        <v>410</v>
      </c>
      <c r="V119" s="38">
        <v>3670</v>
      </c>
      <c r="W119" s="53">
        <v>2</v>
      </c>
      <c r="X119" s="53" t="s">
        <v>46</v>
      </c>
      <c r="Y119" s="53" t="s">
        <v>69</v>
      </c>
      <c r="Z119" s="53" t="s">
        <v>55</v>
      </c>
      <c r="AA119" s="53" t="s">
        <v>88</v>
      </c>
      <c r="AB119" s="53" t="s">
        <v>158</v>
      </c>
      <c r="AC119" s="76"/>
      <c r="AD119" s="76"/>
      <c r="AE119" s="76"/>
      <c r="AF119" s="76"/>
      <c r="AG119" s="76"/>
      <c r="AH119" s="76"/>
    </row>
    <row r="120" spans="1:34" x14ac:dyDescent="0.15">
      <c r="A120" s="53" t="s">
        <v>41</v>
      </c>
      <c r="B120" s="53" t="s">
        <v>157</v>
      </c>
      <c r="C120" s="62">
        <v>2019</v>
      </c>
      <c r="D120" s="63" t="s">
        <v>184</v>
      </c>
      <c r="E120" s="53" t="s">
        <v>201</v>
      </c>
      <c r="F120" s="53" t="s">
        <v>208</v>
      </c>
      <c r="G120" s="53" t="s">
        <v>42</v>
      </c>
      <c r="H120" s="53" t="s">
        <v>164</v>
      </c>
      <c r="I120" s="53" t="s">
        <v>159</v>
      </c>
      <c r="J120" s="53" t="s">
        <v>38</v>
      </c>
      <c r="K120" s="53" t="s">
        <v>161</v>
      </c>
      <c r="L120" s="53">
        <v>2</v>
      </c>
      <c r="N120" s="53">
        <v>5</v>
      </c>
      <c r="O120" s="53">
        <v>0.95</v>
      </c>
      <c r="P120" s="53">
        <v>0.9</v>
      </c>
      <c r="Q120" s="75">
        <f t="shared" si="3"/>
        <v>0.92500000000000004</v>
      </c>
      <c r="R120" s="53">
        <v>13.8</v>
      </c>
      <c r="S120" s="53">
        <v>115</v>
      </c>
      <c r="T120" s="16">
        <f t="shared" si="4"/>
        <v>30</v>
      </c>
      <c r="U120" s="53">
        <v>410</v>
      </c>
      <c r="V120" s="38">
        <v>3303</v>
      </c>
      <c r="W120" s="53">
        <v>2</v>
      </c>
      <c r="X120" s="53" t="s">
        <v>46</v>
      </c>
      <c r="Y120" s="53" t="s">
        <v>69</v>
      </c>
      <c r="Z120" s="53" t="s">
        <v>55</v>
      </c>
      <c r="AA120" s="53" t="s">
        <v>88</v>
      </c>
      <c r="AB120" s="53" t="s">
        <v>158</v>
      </c>
      <c r="AC120" s="76"/>
      <c r="AD120" s="76"/>
      <c r="AE120" s="76"/>
      <c r="AF120" s="76"/>
      <c r="AG120" s="76"/>
      <c r="AH120" s="76"/>
    </row>
    <row r="121" spans="1:34" x14ac:dyDescent="0.15">
      <c r="A121" s="53" t="s">
        <v>41</v>
      </c>
      <c r="B121" s="53" t="s">
        <v>157</v>
      </c>
      <c r="C121" s="62">
        <v>2019</v>
      </c>
      <c r="D121" s="63" t="s">
        <v>184</v>
      </c>
      <c r="E121" s="53" t="s">
        <v>201</v>
      </c>
      <c r="F121" s="53" t="s">
        <v>208</v>
      </c>
      <c r="G121" s="53" t="s">
        <v>42</v>
      </c>
      <c r="H121" s="53" t="s">
        <v>164</v>
      </c>
      <c r="I121" s="53" t="s">
        <v>159</v>
      </c>
      <c r="J121" s="53" t="s">
        <v>38</v>
      </c>
      <c r="K121" s="53" t="s">
        <v>161</v>
      </c>
      <c r="L121" s="53">
        <v>3</v>
      </c>
      <c r="N121" s="53">
        <v>5</v>
      </c>
      <c r="O121" s="53">
        <v>1</v>
      </c>
      <c r="P121" s="53">
        <v>0.95</v>
      </c>
      <c r="Q121" s="75">
        <f t="shared" si="3"/>
        <v>0.97499999999999998</v>
      </c>
      <c r="R121" s="53">
        <v>15.1</v>
      </c>
      <c r="S121" s="53">
        <v>114</v>
      </c>
      <c r="T121" s="16">
        <f t="shared" si="4"/>
        <v>30</v>
      </c>
      <c r="U121" s="53">
        <v>410</v>
      </c>
      <c r="V121" s="38">
        <v>3670</v>
      </c>
      <c r="W121" s="53">
        <v>2</v>
      </c>
      <c r="X121" s="53" t="s">
        <v>46</v>
      </c>
      <c r="Y121" s="53" t="s">
        <v>69</v>
      </c>
      <c r="Z121" s="53" t="s">
        <v>55</v>
      </c>
      <c r="AA121" s="53" t="s">
        <v>88</v>
      </c>
      <c r="AB121" s="53" t="s">
        <v>158</v>
      </c>
      <c r="AC121" s="76"/>
      <c r="AD121" s="76"/>
      <c r="AE121" s="76"/>
      <c r="AF121" s="76"/>
      <c r="AG121" s="76"/>
      <c r="AH121" s="76"/>
    </row>
    <row r="122" spans="1:34" x14ac:dyDescent="0.15">
      <c r="A122" s="53" t="s">
        <v>41</v>
      </c>
      <c r="B122" s="53" t="s">
        <v>157</v>
      </c>
      <c r="C122" s="62">
        <v>2019</v>
      </c>
      <c r="D122" s="63" t="s">
        <v>184</v>
      </c>
      <c r="E122" s="53" t="s">
        <v>201</v>
      </c>
      <c r="F122" s="53" t="s">
        <v>208</v>
      </c>
      <c r="G122" s="53" t="s">
        <v>42</v>
      </c>
      <c r="H122" s="53" t="s">
        <v>164</v>
      </c>
      <c r="I122" s="53" t="s">
        <v>159</v>
      </c>
      <c r="J122" s="53" t="s">
        <v>38</v>
      </c>
      <c r="K122" s="53" t="s">
        <v>161</v>
      </c>
      <c r="L122" s="53">
        <v>1</v>
      </c>
      <c r="N122" s="53">
        <v>8</v>
      </c>
      <c r="O122" s="53">
        <v>0.75</v>
      </c>
      <c r="P122" s="53">
        <v>0.8</v>
      </c>
      <c r="Q122" s="75">
        <f t="shared" si="3"/>
        <v>0.77500000000000002</v>
      </c>
      <c r="R122" s="53">
        <v>15.2</v>
      </c>
      <c r="S122" s="53">
        <v>104</v>
      </c>
      <c r="T122" s="16">
        <f t="shared" si="4"/>
        <v>33</v>
      </c>
      <c r="U122" s="53">
        <v>626</v>
      </c>
      <c r="V122" s="16">
        <f>IF(OR(N122="",U122="",T122=""),"",U122/N122*T122)</f>
        <v>2582.25</v>
      </c>
      <c r="W122" s="53">
        <v>2</v>
      </c>
      <c r="X122" s="53" t="s">
        <v>46</v>
      </c>
      <c r="Y122" s="53" t="s">
        <v>69</v>
      </c>
      <c r="Z122" s="53" t="s">
        <v>55</v>
      </c>
      <c r="AA122" s="53" t="s">
        <v>88</v>
      </c>
      <c r="AB122" s="53" t="s">
        <v>158</v>
      </c>
      <c r="AC122" s="76"/>
      <c r="AD122" s="76"/>
      <c r="AE122" s="76"/>
      <c r="AF122" s="76"/>
      <c r="AG122" s="76"/>
      <c r="AH122" s="76"/>
    </row>
    <row r="123" spans="1:34" x14ac:dyDescent="0.15">
      <c r="A123" s="53" t="s">
        <v>41</v>
      </c>
      <c r="B123" s="53" t="s">
        <v>157</v>
      </c>
      <c r="C123" s="62">
        <v>2019</v>
      </c>
      <c r="D123" s="63" t="s">
        <v>184</v>
      </c>
      <c r="E123" s="53" t="s">
        <v>201</v>
      </c>
      <c r="F123" s="53" t="s">
        <v>208</v>
      </c>
      <c r="G123" s="53" t="s">
        <v>42</v>
      </c>
      <c r="H123" s="53" t="s">
        <v>164</v>
      </c>
      <c r="I123" s="53" t="s">
        <v>159</v>
      </c>
      <c r="J123" s="53" t="s">
        <v>38</v>
      </c>
      <c r="K123" s="53" t="s">
        <v>161</v>
      </c>
      <c r="L123" s="53">
        <v>2</v>
      </c>
      <c r="N123" s="53">
        <v>8</v>
      </c>
      <c r="O123" s="53">
        <v>0.9</v>
      </c>
      <c r="P123" s="53">
        <v>0.8</v>
      </c>
      <c r="Q123" s="75">
        <f t="shared" si="3"/>
        <v>0.85000000000000009</v>
      </c>
      <c r="R123" s="53">
        <v>14.8</v>
      </c>
      <c r="S123" s="53">
        <v>102</v>
      </c>
      <c r="T123" s="16">
        <f t="shared" si="4"/>
        <v>33</v>
      </c>
      <c r="U123" s="53">
        <v>626</v>
      </c>
      <c r="V123" s="38">
        <v>3303</v>
      </c>
      <c r="W123" s="53">
        <v>2</v>
      </c>
      <c r="X123" s="53" t="s">
        <v>46</v>
      </c>
      <c r="Y123" s="53" t="s">
        <v>69</v>
      </c>
      <c r="Z123" s="53" t="s">
        <v>55</v>
      </c>
      <c r="AA123" s="53" t="s">
        <v>88</v>
      </c>
      <c r="AB123" s="53" t="s">
        <v>158</v>
      </c>
      <c r="AC123" s="76"/>
      <c r="AD123" s="76"/>
      <c r="AE123" s="76"/>
      <c r="AF123" s="76"/>
      <c r="AG123" s="76"/>
      <c r="AH123" s="76"/>
    </row>
    <row r="124" spans="1:34" x14ac:dyDescent="0.15">
      <c r="A124" s="53" t="s">
        <v>41</v>
      </c>
      <c r="B124" s="53" t="s">
        <v>157</v>
      </c>
      <c r="C124" s="62">
        <v>2019</v>
      </c>
      <c r="D124" s="63" t="s">
        <v>184</v>
      </c>
      <c r="E124" s="53" t="s">
        <v>201</v>
      </c>
      <c r="F124" s="53" t="s">
        <v>208</v>
      </c>
      <c r="G124" s="53" t="s">
        <v>42</v>
      </c>
      <c r="H124" s="53" t="s">
        <v>164</v>
      </c>
      <c r="I124" s="53" t="s">
        <v>159</v>
      </c>
      <c r="J124" s="53" t="s">
        <v>38</v>
      </c>
      <c r="K124" s="53" t="s">
        <v>161</v>
      </c>
      <c r="L124" s="53">
        <v>3</v>
      </c>
      <c r="N124" s="53">
        <v>8</v>
      </c>
      <c r="O124" s="53">
        <v>0.8</v>
      </c>
      <c r="P124" s="53">
        <v>0.95</v>
      </c>
      <c r="Q124" s="75">
        <f>IF(OR(O124="",P124=""),"",AVERAGE(O124,P124))</f>
        <v>0.875</v>
      </c>
      <c r="R124" s="53">
        <v>12.6</v>
      </c>
      <c r="S124" s="53">
        <v>100</v>
      </c>
      <c r="T124" s="16">
        <f t="shared" si="4"/>
        <v>33</v>
      </c>
      <c r="U124" s="53">
        <v>626</v>
      </c>
      <c r="V124" s="38">
        <v>3670</v>
      </c>
      <c r="W124" s="53">
        <v>2</v>
      </c>
      <c r="X124" s="53" t="s">
        <v>46</v>
      </c>
      <c r="Y124" s="53" t="s">
        <v>69</v>
      </c>
      <c r="Z124" s="53" t="s">
        <v>55</v>
      </c>
      <c r="AA124" s="53" t="s">
        <v>88</v>
      </c>
      <c r="AB124" s="53" t="s">
        <v>158</v>
      </c>
      <c r="AC124" s="76"/>
      <c r="AD124" s="76"/>
      <c r="AE124" s="76"/>
      <c r="AF124" s="76"/>
      <c r="AG124" s="76"/>
      <c r="AH124" s="76"/>
    </row>
    <row r="125" spans="1:34" x14ac:dyDescent="0.15">
      <c r="A125" s="53" t="s">
        <v>41</v>
      </c>
      <c r="B125" s="53" t="s">
        <v>157</v>
      </c>
      <c r="C125" s="62">
        <v>2019</v>
      </c>
      <c r="D125" s="63" t="s">
        <v>184</v>
      </c>
      <c r="E125" s="53" t="s">
        <v>204</v>
      </c>
      <c r="F125" s="53" t="s">
        <v>205</v>
      </c>
      <c r="G125" s="53" t="s">
        <v>42</v>
      </c>
      <c r="H125" s="53" t="s">
        <v>164</v>
      </c>
      <c r="I125" s="53" t="s">
        <v>159</v>
      </c>
      <c r="J125" s="53" t="s">
        <v>38</v>
      </c>
      <c r="K125" s="53" t="s">
        <v>161</v>
      </c>
      <c r="L125" s="53">
        <v>1</v>
      </c>
      <c r="N125" s="53">
        <v>1</v>
      </c>
      <c r="O125" s="53">
        <v>0.6</v>
      </c>
      <c r="P125" s="53">
        <v>0.65</v>
      </c>
      <c r="Q125" s="72">
        <f>IF(OR(O125="",P125=""),"",AVERAGE(O125,P125))</f>
        <v>0.625</v>
      </c>
      <c r="R125" s="53">
        <v>16.2</v>
      </c>
      <c r="S125" s="53">
        <v>124</v>
      </c>
      <c r="T125" s="38">
        <f t="shared" si="4"/>
        <v>27</v>
      </c>
      <c r="U125" s="53">
        <v>84</v>
      </c>
      <c r="V125" s="16">
        <f>IF(OR(N125="",U125="",T125=""),"",U125/N125*T125)</f>
        <v>2268</v>
      </c>
      <c r="W125" s="53">
        <v>4</v>
      </c>
      <c r="X125" s="53" t="s">
        <v>46</v>
      </c>
      <c r="Y125" s="53" t="s">
        <v>69</v>
      </c>
      <c r="Z125" s="53" t="s">
        <v>55</v>
      </c>
      <c r="AA125" s="53" t="s">
        <v>88</v>
      </c>
      <c r="AB125" s="53" t="s">
        <v>158</v>
      </c>
      <c r="AC125" s="76"/>
      <c r="AD125" s="76"/>
      <c r="AE125" s="76"/>
      <c r="AF125" s="76"/>
      <c r="AG125" s="76"/>
      <c r="AH125" s="76"/>
    </row>
    <row r="126" spans="1:34" x14ac:dyDescent="0.15">
      <c r="A126" s="53" t="s">
        <v>41</v>
      </c>
      <c r="B126" s="53" t="s">
        <v>157</v>
      </c>
      <c r="C126" s="62">
        <v>2019</v>
      </c>
      <c r="D126" s="63" t="s">
        <v>184</v>
      </c>
      <c r="E126" s="53" t="s">
        <v>204</v>
      </c>
      <c r="F126" s="53" t="s">
        <v>205</v>
      </c>
      <c r="G126" s="53" t="s">
        <v>42</v>
      </c>
      <c r="H126" s="53" t="s">
        <v>164</v>
      </c>
      <c r="I126" s="53" t="s">
        <v>159</v>
      </c>
      <c r="J126" s="53" t="s">
        <v>38</v>
      </c>
      <c r="K126" s="53" t="s">
        <v>161</v>
      </c>
      <c r="L126" s="53">
        <v>2</v>
      </c>
      <c r="N126" s="53">
        <v>1</v>
      </c>
      <c r="O126" s="53">
        <v>0.5</v>
      </c>
      <c r="P126" s="53">
        <v>0.55000000000000004</v>
      </c>
      <c r="Q126" s="72">
        <f>IF(OR(O126="",P126=""),"",AVERAGE(O126,P126))</f>
        <v>0.52500000000000002</v>
      </c>
      <c r="R126" s="53">
        <v>12.6</v>
      </c>
      <c r="S126" s="53">
        <v>123</v>
      </c>
      <c r="T126" s="38">
        <f t="shared" si="4"/>
        <v>27</v>
      </c>
      <c r="U126" s="53">
        <v>84</v>
      </c>
      <c r="V126" s="16">
        <f>IF(OR(N126="",U126="",T126=""),"",U126/N126*T126)</f>
        <v>2268</v>
      </c>
      <c r="W126" s="53">
        <v>4</v>
      </c>
      <c r="X126" s="53" t="s">
        <v>46</v>
      </c>
      <c r="Y126" s="53" t="s">
        <v>69</v>
      </c>
      <c r="Z126" s="53" t="s">
        <v>55</v>
      </c>
      <c r="AA126" s="53" t="s">
        <v>88</v>
      </c>
      <c r="AB126" s="53" t="s">
        <v>158</v>
      </c>
      <c r="AC126" s="76"/>
      <c r="AD126" s="76"/>
      <c r="AE126" s="76"/>
      <c r="AF126" s="76"/>
      <c r="AG126" s="76"/>
      <c r="AH126" s="76"/>
    </row>
    <row r="127" spans="1:34" x14ac:dyDescent="0.15">
      <c r="A127" s="53" t="s">
        <v>41</v>
      </c>
      <c r="B127" s="53" t="s">
        <v>157</v>
      </c>
      <c r="C127" s="62">
        <v>2019</v>
      </c>
      <c r="D127" s="63" t="s">
        <v>184</v>
      </c>
      <c r="E127" s="53" t="s">
        <v>204</v>
      </c>
      <c r="F127" s="53" t="s">
        <v>205</v>
      </c>
      <c r="G127" s="53" t="s">
        <v>42</v>
      </c>
      <c r="H127" s="53" t="s">
        <v>164</v>
      </c>
      <c r="I127" s="53" t="s">
        <v>159</v>
      </c>
      <c r="J127" s="53" t="s">
        <v>38</v>
      </c>
      <c r="K127" s="53" t="s">
        <v>161</v>
      </c>
      <c r="L127" s="53">
        <v>3</v>
      </c>
      <c r="N127" s="53">
        <v>1</v>
      </c>
      <c r="O127" s="53">
        <v>0.85</v>
      </c>
      <c r="P127" s="53">
        <v>0.7</v>
      </c>
      <c r="Q127" s="72">
        <f>IF(OR(O127="",P127=""),"",AVERAGE(O127,P127))</f>
        <v>0.77499999999999991</v>
      </c>
      <c r="R127" s="53">
        <v>13.4</v>
      </c>
      <c r="S127" s="53">
        <v>128</v>
      </c>
      <c r="T127" s="38">
        <f t="shared" si="4"/>
        <v>27</v>
      </c>
      <c r="U127" s="53">
        <v>84</v>
      </c>
      <c r="V127" s="38">
        <f>IF(OR(N127="",U127="",T127=""),"",U127/N127*T127)</f>
        <v>2268</v>
      </c>
      <c r="W127" s="53">
        <v>4</v>
      </c>
      <c r="X127" s="53" t="s">
        <v>46</v>
      </c>
      <c r="Y127" s="53" t="s">
        <v>69</v>
      </c>
      <c r="Z127" s="53" t="s">
        <v>55</v>
      </c>
      <c r="AA127" s="53" t="s">
        <v>88</v>
      </c>
      <c r="AB127" s="53" t="s">
        <v>158</v>
      </c>
      <c r="AC127" s="76"/>
      <c r="AD127" s="76"/>
      <c r="AE127" s="76"/>
      <c r="AF127" s="76"/>
      <c r="AG127" s="76"/>
      <c r="AH127" s="76"/>
    </row>
    <row r="128" spans="1:34" x14ac:dyDescent="0.15">
      <c r="A128" s="53" t="s">
        <v>41</v>
      </c>
      <c r="B128" s="53" t="s">
        <v>157</v>
      </c>
      <c r="C128" s="62">
        <v>2018</v>
      </c>
      <c r="D128" s="63" t="s">
        <v>184</v>
      </c>
      <c r="E128" s="53" t="s">
        <v>204</v>
      </c>
      <c r="F128" s="53" t="s">
        <v>205</v>
      </c>
      <c r="G128" s="53" t="s">
        <v>42</v>
      </c>
      <c r="H128" s="53" t="s">
        <v>164</v>
      </c>
      <c r="I128" s="53" t="s">
        <v>159</v>
      </c>
      <c r="J128" s="53" t="s">
        <v>38</v>
      </c>
      <c r="K128" s="53" t="s">
        <v>161</v>
      </c>
      <c r="L128" s="53">
        <v>1</v>
      </c>
      <c r="N128" s="53">
        <v>8</v>
      </c>
      <c r="O128" s="53">
        <v>1</v>
      </c>
      <c r="P128" s="53">
        <v>1.1499999999999999</v>
      </c>
      <c r="Q128" s="16">
        <f>IF(OR(O128="",P128=""),"",AVERAGE(O128,P128))</f>
        <v>1.075</v>
      </c>
      <c r="R128" s="53">
        <v>13.6</v>
      </c>
      <c r="S128" s="53">
        <v>122</v>
      </c>
      <c r="T128" s="16">
        <f t="shared" si="4"/>
        <v>27</v>
      </c>
      <c r="U128" s="53">
        <v>537</v>
      </c>
      <c r="V128" s="16">
        <f>IF(OR(N128="",U128="",T128=""),"",U128/N128*T128)</f>
        <v>1812.375</v>
      </c>
      <c r="W128" s="53">
        <v>1</v>
      </c>
      <c r="X128" s="53" t="s">
        <v>46</v>
      </c>
      <c r="Y128" s="53" t="s">
        <v>69</v>
      </c>
      <c r="Z128" s="53" t="s">
        <v>55</v>
      </c>
      <c r="AA128" s="53" t="s">
        <v>88</v>
      </c>
      <c r="AB128" s="53" t="s">
        <v>158</v>
      </c>
    </row>
    <row r="129" spans="1:34" x14ac:dyDescent="0.15">
      <c r="A129" s="53" t="s">
        <v>41</v>
      </c>
      <c r="B129" s="53" t="s">
        <v>157</v>
      </c>
      <c r="C129" s="62">
        <v>2018</v>
      </c>
      <c r="D129" s="63" t="s">
        <v>184</v>
      </c>
      <c r="E129" s="53" t="s">
        <v>204</v>
      </c>
      <c r="F129" s="53" t="s">
        <v>205</v>
      </c>
      <c r="G129" s="53" t="s">
        <v>42</v>
      </c>
      <c r="H129" s="53" t="s">
        <v>164</v>
      </c>
      <c r="I129" s="53" t="s">
        <v>159</v>
      </c>
      <c r="J129" s="53" t="s">
        <v>38</v>
      </c>
      <c r="K129" s="53" t="s">
        <v>161</v>
      </c>
      <c r="L129" s="53">
        <v>2</v>
      </c>
      <c r="N129" s="53">
        <v>8</v>
      </c>
      <c r="O129" s="53">
        <v>0.9</v>
      </c>
      <c r="P129" s="53">
        <v>1</v>
      </c>
      <c r="Q129" s="16">
        <f t="shared" ref="Q129:Q148" si="6">IF(OR(O129="",P129=""),"",AVERAGE(O129,P129))</f>
        <v>0.95</v>
      </c>
      <c r="R129" s="53">
        <v>11.2</v>
      </c>
      <c r="S129" s="53">
        <v>124</v>
      </c>
      <c r="T129" s="16">
        <f t="shared" si="4"/>
        <v>27</v>
      </c>
      <c r="U129" s="53">
        <v>537</v>
      </c>
      <c r="V129" s="16">
        <f t="shared" ref="V129:V148" si="7">IF(OR(N129="",U129="",T129=""),"",U129/N129*T129)</f>
        <v>1812.375</v>
      </c>
      <c r="W129" s="53">
        <v>1</v>
      </c>
      <c r="X129" s="53" t="s">
        <v>46</v>
      </c>
      <c r="Y129" s="53" t="s">
        <v>69</v>
      </c>
      <c r="Z129" s="53" t="s">
        <v>55</v>
      </c>
      <c r="AA129" s="53" t="s">
        <v>88</v>
      </c>
      <c r="AB129" s="53" t="s">
        <v>158</v>
      </c>
    </row>
    <row r="130" spans="1:34" x14ac:dyDescent="0.15">
      <c r="A130" s="53" t="s">
        <v>41</v>
      </c>
      <c r="B130" s="53" t="s">
        <v>157</v>
      </c>
      <c r="C130" s="62">
        <v>2018</v>
      </c>
      <c r="D130" s="63" t="s">
        <v>184</v>
      </c>
      <c r="E130" s="53" t="s">
        <v>204</v>
      </c>
      <c r="F130" s="53" t="s">
        <v>205</v>
      </c>
      <c r="G130" s="53" t="s">
        <v>42</v>
      </c>
      <c r="H130" s="53" t="s">
        <v>164</v>
      </c>
      <c r="I130" s="53" t="s">
        <v>159</v>
      </c>
      <c r="J130" s="53" t="s">
        <v>38</v>
      </c>
      <c r="K130" s="53" t="s">
        <v>161</v>
      </c>
      <c r="L130" s="53">
        <v>3</v>
      </c>
      <c r="N130" s="53">
        <v>8</v>
      </c>
      <c r="O130" s="53">
        <v>0.8</v>
      </c>
      <c r="P130" s="53">
        <v>0.95</v>
      </c>
      <c r="Q130" s="16">
        <f t="shared" si="6"/>
        <v>0.875</v>
      </c>
      <c r="R130" s="53">
        <v>14.1</v>
      </c>
      <c r="S130" s="53">
        <v>122</v>
      </c>
      <c r="T130" s="16">
        <f t="shared" ref="T130:T148" si="8">IF(H130="","",IF(OR(H130="GREEN",H130="GK"),IF(S130&gt;=$AX$2,VLOOKUP(S130,$AX$2:$AY$10,2,1),""),IF(S130&gt;=$AZ$2,VLOOKUP(S130,$AZ$2:$BA$10,2,1),"")))</f>
        <v>27</v>
      </c>
      <c r="U130" s="53">
        <v>537</v>
      </c>
      <c r="V130" s="16">
        <f t="shared" si="7"/>
        <v>1812.375</v>
      </c>
      <c r="W130" s="53">
        <v>1</v>
      </c>
      <c r="X130" s="53" t="s">
        <v>46</v>
      </c>
      <c r="Y130" s="53" t="s">
        <v>69</v>
      </c>
      <c r="Z130" s="53" t="s">
        <v>55</v>
      </c>
      <c r="AA130" s="53" t="s">
        <v>88</v>
      </c>
      <c r="AB130" s="53" t="s">
        <v>158</v>
      </c>
    </row>
    <row r="131" spans="1:34" x14ac:dyDescent="0.15">
      <c r="A131" s="53" t="s">
        <v>41</v>
      </c>
      <c r="B131" s="53" t="s">
        <v>157</v>
      </c>
      <c r="C131" s="62">
        <v>2019</v>
      </c>
      <c r="D131" s="63" t="s">
        <v>184</v>
      </c>
      <c r="E131" s="53" t="s">
        <v>204</v>
      </c>
      <c r="F131" s="53" t="s">
        <v>205</v>
      </c>
      <c r="G131" s="53" t="s">
        <v>42</v>
      </c>
      <c r="H131" s="53" t="s">
        <v>160</v>
      </c>
      <c r="I131" s="53" t="s">
        <v>159</v>
      </c>
      <c r="J131" s="53" t="s">
        <v>38</v>
      </c>
      <c r="K131" s="53" t="s">
        <v>161</v>
      </c>
      <c r="L131" s="53">
        <v>1</v>
      </c>
      <c r="N131" s="53">
        <v>1</v>
      </c>
      <c r="O131" s="53">
        <v>0.4</v>
      </c>
      <c r="P131" s="53">
        <v>0.45</v>
      </c>
      <c r="Q131" s="72">
        <f t="shared" si="6"/>
        <v>0.42500000000000004</v>
      </c>
      <c r="R131" s="53">
        <v>13.5</v>
      </c>
      <c r="S131" s="53">
        <v>126</v>
      </c>
      <c r="T131" s="38">
        <f t="shared" si="8"/>
        <v>27</v>
      </c>
      <c r="U131" s="53">
        <v>138</v>
      </c>
      <c r="V131" s="16">
        <f t="shared" si="7"/>
        <v>3726</v>
      </c>
      <c r="W131" s="53">
        <v>4</v>
      </c>
      <c r="X131" s="53" t="s">
        <v>46</v>
      </c>
      <c r="Y131" s="53" t="s">
        <v>69</v>
      </c>
      <c r="Z131" s="53" t="s">
        <v>55</v>
      </c>
      <c r="AA131" s="53" t="s">
        <v>88</v>
      </c>
      <c r="AB131" s="53" t="s">
        <v>158</v>
      </c>
      <c r="AC131" s="76"/>
      <c r="AD131" s="76"/>
      <c r="AE131" s="76"/>
      <c r="AF131" s="76"/>
      <c r="AG131" s="76"/>
      <c r="AH131" s="76"/>
    </row>
    <row r="132" spans="1:34" x14ac:dyDescent="0.15">
      <c r="A132" s="53" t="s">
        <v>41</v>
      </c>
      <c r="B132" s="53" t="s">
        <v>157</v>
      </c>
      <c r="C132" s="62">
        <v>2019</v>
      </c>
      <c r="D132" s="63" t="s">
        <v>184</v>
      </c>
      <c r="E132" s="53" t="s">
        <v>204</v>
      </c>
      <c r="F132" s="53" t="s">
        <v>205</v>
      </c>
      <c r="G132" s="53" t="s">
        <v>42</v>
      </c>
      <c r="H132" s="53" t="s">
        <v>160</v>
      </c>
      <c r="I132" s="53" t="s">
        <v>159</v>
      </c>
      <c r="J132" s="53" t="s">
        <v>38</v>
      </c>
      <c r="K132" s="53" t="s">
        <v>161</v>
      </c>
      <c r="L132" s="53">
        <v>2</v>
      </c>
      <c r="N132" s="53">
        <v>1</v>
      </c>
      <c r="O132" s="53">
        <v>0.3</v>
      </c>
      <c r="P132" s="53">
        <v>0.35</v>
      </c>
      <c r="Q132" s="72">
        <f t="shared" si="6"/>
        <v>0.32499999999999996</v>
      </c>
      <c r="R132" s="53">
        <v>15.1</v>
      </c>
      <c r="S132" s="53">
        <v>122</v>
      </c>
      <c r="T132" s="38">
        <f t="shared" si="8"/>
        <v>27</v>
      </c>
      <c r="U132" s="53">
        <v>138</v>
      </c>
      <c r="V132" s="16">
        <f t="shared" si="7"/>
        <v>3726</v>
      </c>
      <c r="W132" s="53">
        <v>4</v>
      </c>
      <c r="X132" s="53" t="s">
        <v>46</v>
      </c>
      <c r="Y132" s="53" t="s">
        <v>69</v>
      </c>
      <c r="Z132" s="53" t="s">
        <v>55</v>
      </c>
      <c r="AA132" s="53" t="s">
        <v>88</v>
      </c>
      <c r="AB132" s="53" t="s">
        <v>158</v>
      </c>
      <c r="AC132" s="76"/>
      <c r="AD132" s="76"/>
      <c r="AE132" s="76"/>
      <c r="AF132" s="76"/>
      <c r="AG132" s="76"/>
      <c r="AH132" s="76"/>
    </row>
    <row r="133" spans="1:34" x14ac:dyDescent="0.15">
      <c r="A133" s="53" t="s">
        <v>41</v>
      </c>
      <c r="B133" s="53" t="s">
        <v>157</v>
      </c>
      <c r="C133" s="62">
        <v>2019</v>
      </c>
      <c r="D133" s="63" t="s">
        <v>184</v>
      </c>
      <c r="E133" s="53" t="s">
        <v>204</v>
      </c>
      <c r="F133" s="53" t="s">
        <v>205</v>
      </c>
      <c r="G133" s="53" t="s">
        <v>42</v>
      </c>
      <c r="H133" s="53" t="s">
        <v>160</v>
      </c>
      <c r="I133" s="53" t="s">
        <v>159</v>
      </c>
      <c r="J133" s="53" t="s">
        <v>38</v>
      </c>
      <c r="K133" s="53" t="s">
        <v>161</v>
      </c>
      <c r="L133" s="53">
        <v>3</v>
      </c>
      <c r="N133" s="53">
        <v>1</v>
      </c>
      <c r="O133" s="53">
        <v>0.3</v>
      </c>
      <c r="P133" s="53">
        <v>0.35</v>
      </c>
      <c r="Q133" s="72">
        <f t="shared" si="6"/>
        <v>0.32499999999999996</v>
      </c>
      <c r="R133" s="53">
        <v>14.4</v>
      </c>
      <c r="S133" s="53">
        <v>123</v>
      </c>
      <c r="T133" s="38">
        <f t="shared" si="8"/>
        <v>27</v>
      </c>
      <c r="U133" s="53">
        <v>138</v>
      </c>
      <c r="V133" s="38">
        <f t="shared" si="7"/>
        <v>3726</v>
      </c>
      <c r="W133" s="53">
        <v>4</v>
      </c>
      <c r="X133" s="53" t="s">
        <v>46</v>
      </c>
      <c r="Y133" s="53" t="s">
        <v>69</v>
      </c>
      <c r="Z133" s="53" t="s">
        <v>55</v>
      </c>
      <c r="AA133" s="53" t="s">
        <v>88</v>
      </c>
      <c r="AB133" s="53" t="s">
        <v>158</v>
      </c>
      <c r="AC133" s="76"/>
      <c r="AD133" s="76"/>
      <c r="AE133" s="76"/>
      <c r="AF133" s="76"/>
      <c r="AG133" s="76"/>
      <c r="AH133" s="76"/>
    </row>
    <row r="134" spans="1:34" x14ac:dyDescent="0.15">
      <c r="A134" s="53" t="s">
        <v>41</v>
      </c>
      <c r="B134" s="53" t="s">
        <v>157</v>
      </c>
      <c r="C134" s="62">
        <v>2019</v>
      </c>
      <c r="D134" s="63" t="s">
        <v>184</v>
      </c>
      <c r="E134" s="53" t="s">
        <v>204</v>
      </c>
      <c r="F134" s="53" t="s">
        <v>205</v>
      </c>
      <c r="G134" s="53" t="s">
        <v>42</v>
      </c>
      <c r="H134" s="53" t="s">
        <v>160</v>
      </c>
      <c r="I134" s="53" t="s">
        <v>159</v>
      </c>
      <c r="J134" s="53" t="s">
        <v>38</v>
      </c>
      <c r="K134" s="53" t="s">
        <v>161</v>
      </c>
      <c r="L134" s="53">
        <v>1</v>
      </c>
      <c r="N134" s="53">
        <v>5</v>
      </c>
      <c r="O134" s="53">
        <v>0.6</v>
      </c>
      <c r="P134" s="53">
        <v>0.45</v>
      </c>
      <c r="Q134" s="72">
        <f t="shared" si="6"/>
        <v>0.52500000000000002</v>
      </c>
      <c r="R134" s="53">
        <v>14</v>
      </c>
      <c r="S134" s="53">
        <v>120</v>
      </c>
      <c r="T134" s="38">
        <f t="shared" si="8"/>
        <v>30</v>
      </c>
      <c r="U134" s="53">
        <v>645</v>
      </c>
      <c r="V134" s="16">
        <f t="shared" si="7"/>
        <v>3870</v>
      </c>
      <c r="W134" s="53">
        <v>3</v>
      </c>
      <c r="X134" s="53" t="s">
        <v>46</v>
      </c>
      <c r="Y134" s="53" t="s">
        <v>69</v>
      </c>
      <c r="Z134" s="53" t="s">
        <v>55</v>
      </c>
      <c r="AA134" s="53" t="s">
        <v>88</v>
      </c>
      <c r="AB134" s="53" t="s">
        <v>158</v>
      </c>
      <c r="AC134" s="76"/>
      <c r="AD134" s="76"/>
      <c r="AE134" s="76"/>
      <c r="AF134" s="76"/>
      <c r="AG134" s="76"/>
      <c r="AH134" s="76"/>
    </row>
    <row r="135" spans="1:34" x14ac:dyDescent="0.15">
      <c r="A135" s="53" t="s">
        <v>41</v>
      </c>
      <c r="B135" s="53" t="s">
        <v>157</v>
      </c>
      <c r="C135" s="62">
        <v>2019</v>
      </c>
      <c r="D135" s="63" t="s">
        <v>184</v>
      </c>
      <c r="E135" s="53" t="s">
        <v>204</v>
      </c>
      <c r="F135" s="53" t="s">
        <v>205</v>
      </c>
      <c r="G135" s="53" t="s">
        <v>42</v>
      </c>
      <c r="H135" s="53" t="s">
        <v>160</v>
      </c>
      <c r="I135" s="53" t="s">
        <v>159</v>
      </c>
      <c r="J135" s="53" t="s">
        <v>38</v>
      </c>
      <c r="K135" s="53" t="s">
        <v>161</v>
      </c>
      <c r="L135" s="53">
        <v>2</v>
      </c>
      <c r="N135" s="53">
        <v>5</v>
      </c>
      <c r="O135" s="53">
        <v>0.5</v>
      </c>
      <c r="P135" s="53">
        <v>0.5</v>
      </c>
      <c r="Q135" s="72">
        <f t="shared" si="6"/>
        <v>0.5</v>
      </c>
      <c r="R135" s="53">
        <v>14.7</v>
      </c>
      <c r="S135" s="53">
        <v>115</v>
      </c>
      <c r="T135" s="38">
        <f t="shared" si="8"/>
        <v>30</v>
      </c>
      <c r="U135" s="53">
        <v>645</v>
      </c>
      <c r="V135" s="16">
        <f t="shared" si="7"/>
        <v>3870</v>
      </c>
      <c r="W135" s="53">
        <v>3</v>
      </c>
      <c r="X135" s="53" t="s">
        <v>46</v>
      </c>
      <c r="Y135" s="53" t="s">
        <v>69</v>
      </c>
      <c r="Z135" s="53" t="s">
        <v>55</v>
      </c>
      <c r="AA135" s="53" t="s">
        <v>88</v>
      </c>
      <c r="AB135" s="53" t="s">
        <v>158</v>
      </c>
      <c r="AC135" s="76"/>
      <c r="AD135" s="76"/>
      <c r="AE135" s="76"/>
      <c r="AF135" s="76"/>
      <c r="AG135" s="76"/>
      <c r="AH135" s="76"/>
    </row>
    <row r="136" spans="1:34" x14ac:dyDescent="0.15">
      <c r="A136" s="53" t="s">
        <v>41</v>
      </c>
      <c r="B136" s="53" t="s">
        <v>157</v>
      </c>
      <c r="C136" s="62">
        <v>2019</v>
      </c>
      <c r="D136" s="63" t="s">
        <v>184</v>
      </c>
      <c r="E136" s="53" t="s">
        <v>204</v>
      </c>
      <c r="F136" s="53" t="s">
        <v>205</v>
      </c>
      <c r="G136" s="53" t="s">
        <v>42</v>
      </c>
      <c r="H136" s="53" t="s">
        <v>160</v>
      </c>
      <c r="I136" s="53" t="s">
        <v>159</v>
      </c>
      <c r="J136" s="53" t="s">
        <v>38</v>
      </c>
      <c r="K136" s="53" t="s">
        <v>161</v>
      </c>
      <c r="L136" s="53">
        <v>3</v>
      </c>
      <c r="N136" s="53">
        <v>5</v>
      </c>
      <c r="O136" s="53">
        <v>0.45</v>
      </c>
      <c r="P136" s="53">
        <v>0.65</v>
      </c>
      <c r="Q136" s="72">
        <f t="shared" si="6"/>
        <v>0.55000000000000004</v>
      </c>
      <c r="R136" s="53">
        <v>16.5</v>
      </c>
      <c r="S136" s="53">
        <v>120</v>
      </c>
      <c r="T136" s="38">
        <f t="shared" si="8"/>
        <v>30</v>
      </c>
      <c r="U136" s="53">
        <v>645</v>
      </c>
      <c r="V136" s="38">
        <f t="shared" si="7"/>
        <v>3870</v>
      </c>
      <c r="W136" s="53">
        <v>3</v>
      </c>
      <c r="X136" s="53" t="s">
        <v>46</v>
      </c>
      <c r="Y136" s="53" t="s">
        <v>69</v>
      </c>
      <c r="Z136" s="53" t="s">
        <v>55</v>
      </c>
      <c r="AA136" s="53" t="s">
        <v>88</v>
      </c>
      <c r="AB136" s="53" t="s">
        <v>158</v>
      </c>
      <c r="AC136" s="76"/>
      <c r="AD136" s="76"/>
      <c r="AE136" s="76"/>
      <c r="AF136" s="76"/>
      <c r="AG136" s="76"/>
      <c r="AH136" s="76"/>
    </row>
    <row r="137" spans="1:34" x14ac:dyDescent="0.15">
      <c r="A137" s="53" t="s">
        <v>41</v>
      </c>
      <c r="B137" s="53" t="s">
        <v>157</v>
      </c>
      <c r="C137" s="62">
        <v>2019</v>
      </c>
      <c r="D137" s="63" t="s">
        <v>184</v>
      </c>
      <c r="E137" s="53" t="s">
        <v>210</v>
      </c>
      <c r="F137" s="53" t="s">
        <v>211</v>
      </c>
      <c r="G137" s="53" t="s">
        <v>42</v>
      </c>
      <c r="H137" s="53" t="s">
        <v>160</v>
      </c>
      <c r="I137" s="53" t="s">
        <v>159</v>
      </c>
      <c r="J137" s="53" t="s">
        <v>38</v>
      </c>
      <c r="K137" s="53" t="s">
        <v>161</v>
      </c>
      <c r="L137" s="53">
        <v>1</v>
      </c>
      <c r="N137" s="53">
        <v>1</v>
      </c>
      <c r="O137" s="53">
        <v>0.65</v>
      </c>
      <c r="P137" s="53">
        <v>0.7</v>
      </c>
      <c r="Q137" s="16">
        <f t="shared" si="6"/>
        <v>0.67500000000000004</v>
      </c>
      <c r="R137" s="53">
        <v>15.1</v>
      </c>
      <c r="S137" s="53">
        <v>126</v>
      </c>
      <c r="T137" s="38">
        <f t="shared" si="8"/>
        <v>27</v>
      </c>
      <c r="U137" s="53">
        <v>104</v>
      </c>
      <c r="V137" s="38">
        <f t="shared" si="7"/>
        <v>2808</v>
      </c>
      <c r="W137" s="53">
        <v>3</v>
      </c>
      <c r="X137" s="53" t="s">
        <v>46</v>
      </c>
      <c r="Y137" s="53" t="s">
        <v>88</v>
      </c>
      <c r="Z137" s="53" t="s">
        <v>69</v>
      </c>
      <c r="AA137" s="53" t="s">
        <v>97</v>
      </c>
      <c r="AB137" s="53" t="s">
        <v>158</v>
      </c>
    </row>
    <row r="138" spans="1:34" x14ac:dyDescent="0.15">
      <c r="A138" s="53" t="s">
        <v>41</v>
      </c>
      <c r="B138" s="53" t="s">
        <v>157</v>
      </c>
      <c r="C138" s="62">
        <v>2019</v>
      </c>
      <c r="D138" s="63" t="s">
        <v>184</v>
      </c>
      <c r="E138" s="53" t="s">
        <v>210</v>
      </c>
      <c r="F138" s="53" t="s">
        <v>211</v>
      </c>
      <c r="G138" s="53" t="s">
        <v>42</v>
      </c>
      <c r="H138" s="53" t="s">
        <v>160</v>
      </c>
      <c r="I138" s="53" t="s">
        <v>159</v>
      </c>
      <c r="J138" s="53" t="s">
        <v>38</v>
      </c>
      <c r="K138" s="53" t="s">
        <v>161</v>
      </c>
      <c r="L138" s="53">
        <v>2</v>
      </c>
      <c r="N138" s="53">
        <v>1</v>
      </c>
      <c r="O138" s="53">
        <v>0.5</v>
      </c>
      <c r="P138" s="53">
        <v>0.65</v>
      </c>
      <c r="Q138" s="16">
        <f t="shared" si="6"/>
        <v>0.57499999999999996</v>
      </c>
      <c r="R138" s="53">
        <v>13.4</v>
      </c>
      <c r="S138" s="53">
        <v>125</v>
      </c>
      <c r="T138" s="38">
        <f t="shared" si="8"/>
        <v>27</v>
      </c>
      <c r="U138" s="53">
        <v>104</v>
      </c>
      <c r="V138" s="38">
        <f t="shared" si="7"/>
        <v>2808</v>
      </c>
      <c r="W138" s="53">
        <v>3</v>
      </c>
      <c r="X138" s="53" t="s">
        <v>46</v>
      </c>
      <c r="Y138" s="53" t="s">
        <v>88</v>
      </c>
      <c r="Z138" s="53" t="s">
        <v>69</v>
      </c>
      <c r="AA138" s="53" t="s">
        <v>97</v>
      </c>
      <c r="AB138" s="53" t="s">
        <v>158</v>
      </c>
    </row>
    <row r="139" spans="1:34" x14ac:dyDescent="0.15">
      <c r="A139" s="53" t="s">
        <v>41</v>
      </c>
      <c r="B139" s="53" t="s">
        <v>157</v>
      </c>
      <c r="C139" s="62">
        <v>2019</v>
      </c>
      <c r="D139" s="63" t="s">
        <v>184</v>
      </c>
      <c r="E139" s="53" t="s">
        <v>210</v>
      </c>
      <c r="F139" s="53" t="s">
        <v>211</v>
      </c>
      <c r="G139" s="53" t="s">
        <v>42</v>
      </c>
      <c r="H139" s="53" t="s">
        <v>160</v>
      </c>
      <c r="I139" s="53" t="s">
        <v>159</v>
      </c>
      <c r="J139" s="53" t="s">
        <v>38</v>
      </c>
      <c r="K139" s="53" t="s">
        <v>161</v>
      </c>
      <c r="L139" s="53">
        <v>3</v>
      </c>
      <c r="N139" s="53">
        <v>1</v>
      </c>
      <c r="O139" s="53">
        <v>0.8</v>
      </c>
      <c r="P139" s="53">
        <v>0.85</v>
      </c>
      <c r="Q139" s="16">
        <f t="shared" si="6"/>
        <v>0.82499999999999996</v>
      </c>
      <c r="R139" s="53">
        <v>14.1</v>
      </c>
      <c r="S139" s="53">
        <v>123</v>
      </c>
      <c r="T139" s="38">
        <f t="shared" si="8"/>
        <v>27</v>
      </c>
      <c r="U139" s="53">
        <v>104</v>
      </c>
      <c r="V139" s="38">
        <f t="shared" si="7"/>
        <v>2808</v>
      </c>
      <c r="W139" s="53">
        <v>3</v>
      </c>
      <c r="X139" s="53" t="s">
        <v>46</v>
      </c>
      <c r="Y139" s="53" t="s">
        <v>88</v>
      </c>
      <c r="Z139" s="53" t="s">
        <v>69</v>
      </c>
      <c r="AA139" s="53" t="s">
        <v>97</v>
      </c>
      <c r="AB139" s="53" t="s">
        <v>158</v>
      </c>
    </row>
    <row r="140" spans="1:34" x14ac:dyDescent="0.15">
      <c r="A140" s="53" t="s">
        <v>41</v>
      </c>
      <c r="B140" s="53" t="s">
        <v>157</v>
      </c>
      <c r="C140" s="62">
        <v>2019</v>
      </c>
      <c r="D140" s="63" t="s">
        <v>184</v>
      </c>
      <c r="E140" s="53" t="s">
        <v>210</v>
      </c>
      <c r="F140" s="53" t="s">
        <v>211</v>
      </c>
      <c r="G140" s="53" t="s">
        <v>42</v>
      </c>
      <c r="H140" s="53" t="s">
        <v>160</v>
      </c>
      <c r="I140" s="53" t="s">
        <v>159</v>
      </c>
      <c r="J140" s="53" t="s">
        <v>38</v>
      </c>
      <c r="K140" s="53" t="s">
        <v>161</v>
      </c>
      <c r="L140" s="53">
        <v>1</v>
      </c>
      <c r="N140" s="53">
        <v>4</v>
      </c>
      <c r="O140" s="53">
        <v>0.25</v>
      </c>
      <c r="P140" s="53">
        <v>0.35</v>
      </c>
      <c r="Q140" s="16">
        <f t="shared" si="6"/>
        <v>0.3</v>
      </c>
      <c r="R140" s="53">
        <v>15.2</v>
      </c>
      <c r="S140" s="53">
        <v>120</v>
      </c>
      <c r="T140" s="38">
        <f t="shared" si="8"/>
        <v>30</v>
      </c>
      <c r="U140" s="53">
        <v>407</v>
      </c>
      <c r="V140" s="38">
        <f t="shared" si="7"/>
        <v>3052.5</v>
      </c>
      <c r="W140" s="53">
        <v>1</v>
      </c>
      <c r="X140" s="53" t="s">
        <v>46</v>
      </c>
      <c r="Y140" s="53" t="s">
        <v>88</v>
      </c>
      <c r="Z140" s="53" t="s">
        <v>69</v>
      </c>
      <c r="AA140" s="53" t="s">
        <v>97</v>
      </c>
      <c r="AB140" s="53" t="s">
        <v>158</v>
      </c>
      <c r="AC140" s="76"/>
      <c r="AD140" s="76"/>
      <c r="AE140" s="76"/>
      <c r="AF140" s="76"/>
      <c r="AG140" s="76"/>
      <c r="AH140" s="76"/>
    </row>
    <row r="141" spans="1:34" x14ac:dyDescent="0.15">
      <c r="A141" s="53" t="s">
        <v>41</v>
      </c>
      <c r="B141" s="53" t="s">
        <v>157</v>
      </c>
      <c r="C141" s="62">
        <v>2019</v>
      </c>
      <c r="D141" s="63" t="s">
        <v>184</v>
      </c>
      <c r="E141" s="53" t="s">
        <v>210</v>
      </c>
      <c r="F141" s="53" t="s">
        <v>211</v>
      </c>
      <c r="G141" s="53" t="s">
        <v>42</v>
      </c>
      <c r="H141" s="53" t="s">
        <v>160</v>
      </c>
      <c r="I141" s="53" t="s">
        <v>159</v>
      </c>
      <c r="J141" s="53" t="s">
        <v>38</v>
      </c>
      <c r="K141" s="53" t="s">
        <v>161</v>
      </c>
      <c r="L141" s="53">
        <v>2</v>
      </c>
      <c r="N141" s="53">
        <v>4</v>
      </c>
      <c r="O141" s="53">
        <v>0.3</v>
      </c>
      <c r="P141" s="53">
        <v>0.25</v>
      </c>
      <c r="Q141" s="16">
        <f t="shared" si="6"/>
        <v>0.27500000000000002</v>
      </c>
      <c r="R141" s="53">
        <v>16.2</v>
      </c>
      <c r="S141" s="53">
        <v>117</v>
      </c>
      <c r="T141" s="38">
        <f t="shared" si="8"/>
        <v>30</v>
      </c>
      <c r="U141" s="53">
        <v>407</v>
      </c>
      <c r="V141" s="38">
        <f t="shared" si="7"/>
        <v>3052.5</v>
      </c>
      <c r="W141" s="53">
        <v>1</v>
      </c>
      <c r="X141" s="53" t="s">
        <v>46</v>
      </c>
      <c r="Y141" s="53" t="s">
        <v>88</v>
      </c>
      <c r="Z141" s="53" t="s">
        <v>69</v>
      </c>
      <c r="AA141" s="53" t="s">
        <v>97</v>
      </c>
      <c r="AB141" s="53" t="s">
        <v>158</v>
      </c>
      <c r="AC141" s="76"/>
      <c r="AD141" s="76"/>
      <c r="AE141" s="76"/>
      <c r="AF141" s="76"/>
      <c r="AG141" s="76"/>
      <c r="AH141" s="76"/>
    </row>
    <row r="142" spans="1:34" x14ac:dyDescent="0.15">
      <c r="A142" s="53" t="s">
        <v>41</v>
      </c>
      <c r="B142" s="53" t="s">
        <v>157</v>
      </c>
      <c r="C142" s="62">
        <v>2019</v>
      </c>
      <c r="D142" s="63" t="s">
        <v>184</v>
      </c>
      <c r="E142" s="53" t="s">
        <v>210</v>
      </c>
      <c r="F142" s="53" t="s">
        <v>211</v>
      </c>
      <c r="G142" s="53" t="s">
        <v>42</v>
      </c>
      <c r="H142" s="53" t="s">
        <v>160</v>
      </c>
      <c r="I142" s="53" t="s">
        <v>159</v>
      </c>
      <c r="J142" s="53" t="s">
        <v>38</v>
      </c>
      <c r="K142" s="53" t="s">
        <v>161</v>
      </c>
      <c r="L142" s="53">
        <v>3</v>
      </c>
      <c r="N142" s="53">
        <v>4</v>
      </c>
      <c r="O142" s="53">
        <v>0.35</v>
      </c>
      <c r="P142" s="53">
        <v>0.3</v>
      </c>
      <c r="Q142" s="16">
        <f t="shared" si="6"/>
        <v>0.32499999999999996</v>
      </c>
      <c r="R142" s="53">
        <v>17.8</v>
      </c>
      <c r="S142" s="53">
        <v>118</v>
      </c>
      <c r="T142" s="38">
        <f t="shared" si="8"/>
        <v>30</v>
      </c>
      <c r="U142" s="53">
        <v>407</v>
      </c>
      <c r="V142" s="38">
        <f t="shared" si="7"/>
        <v>3052.5</v>
      </c>
      <c r="W142" s="53">
        <v>1</v>
      </c>
      <c r="X142" s="53" t="s">
        <v>46</v>
      </c>
      <c r="Y142" s="53" t="s">
        <v>88</v>
      </c>
      <c r="Z142" s="53" t="s">
        <v>69</v>
      </c>
      <c r="AA142" s="53" t="s">
        <v>97</v>
      </c>
      <c r="AB142" s="53" t="s">
        <v>158</v>
      </c>
      <c r="AC142" s="76"/>
      <c r="AD142" s="76"/>
      <c r="AE142" s="76"/>
      <c r="AF142" s="76"/>
      <c r="AG142" s="76"/>
      <c r="AH142" s="76"/>
    </row>
    <row r="143" spans="1:34" x14ac:dyDescent="0.15">
      <c r="A143" s="53" t="s">
        <v>41</v>
      </c>
      <c r="B143" s="53" t="s">
        <v>157</v>
      </c>
      <c r="C143" s="62">
        <v>2019</v>
      </c>
      <c r="D143" s="63" t="s">
        <v>184</v>
      </c>
      <c r="E143" s="53" t="s">
        <v>210</v>
      </c>
      <c r="F143" s="53" t="s">
        <v>211</v>
      </c>
      <c r="G143" s="53" t="s">
        <v>42</v>
      </c>
      <c r="H143" s="53" t="s">
        <v>164</v>
      </c>
      <c r="I143" s="53" t="s">
        <v>159</v>
      </c>
      <c r="J143" s="53" t="s">
        <v>38</v>
      </c>
      <c r="K143" s="53" t="s">
        <v>161</v>
      </c>
      <c r="L143" s="53">
        <v>1</v>
      </c>
      <c r="N143" s="53">
        <v>1</v>
      </c>
      <c r="O143" s="53">
        <v>0.7</v>
      </c>
      <c r="P143" s="53">
        <v>0.85</v>
      </c>
      <c r="Q143" s="16">
        <f t="shared" si="6"/>
        <v>0.77499999999999991</v>
      </c>
      <c r="R143" s="53">
        <v>14.4</v>
      </c>
      <c r="S143" s="53">
        <v>122</v>
      </c>
      <c r="T143" s="38">
        <f t="shared" si="8"/>
        <v>27</v>
      </c>
      <c r="U143" s="53">
        <v>104</v>
      </c>
      <c r="V143" s="38">
        <f t="shared" si="7"/>
        <v>2808</v>
      </c>
      <c r="W143" s="53">
        <v>3</v>
      </c>
      <c r="X143" s="53" t="s">
        <v>46</v>
      </c>
      <c r="Y143" s="53" t="s">
        <v>88</v>
      </c>
      <c r="Z143" s="53" t="s">
        <v>69</v>
      </c>
      <c r="AA143" s="53" t="s">
        <v>97</v>
      </c>
      <c r="AB143" s="53" t="s">
        <v>158</v>
      </c>
      <c r="AC143" s="76"/>
      <c r="AD143" s="76"/>
      <c r="AE143" s="76"/>
      <c r="AF143" s="76"/>
      <c r="AG143" s="76"/>
      <c r="AH143" s="76"/>
    </row>
    <row r="144" spans="1:34" x14ac:dyDescent="0.15">
      <c r="A144" s="53" t="s">
        <v>41</v>
      </c>
      <c r="B144" s="53" t="s">
        <v>157</v>
      </c>
      <c r="C144" s="62">
        <v>2019</v>
      </c>
      <c r="D144" s="63" t="s">
        <v>184</v>
      </c>
      <c r="E144" s="53" t="s">
        <v>210</v>
      </c>
      <c r="F144" s="53" t="s">
        <v>211</v>
      </c>
      <c r="G144" s="53" t="s">
        <v>42</v>
      </c>
      <c r="H144" s="53" t="s">
        <v>164</v>
      </c>
      <c r="I144" s="53" t="s">
        <v>159</v>
      </c>
      <c r="J144" s="53" t="s">
        <v>38</v>
      </c>
      <c r="K144" s="53" t="s">
        <v>161</v>
      </c>
      <c r="L144" s="53">
        <v>2</v>
      </c>
      <c r="N144" s="53">
        <v>1</v>
      </c>
      <c r="O144" s="53">
        <v>0.8</v>
      </c>
      <c r="P144" s="53">
        <v>0.75</v>
      </c>
      <c r="Q144" s="16">
        <f t="shared" si="6"/>
        <v>0.77500000000000002</v>
      </c>
      <c r="R144" s="53">
        <v>15.4</v>
      </c>
      <c r="S144" s="53">
        <v>122</v>
      </c>
      <c r="T144" s="38">
        <f t="shared" si="8"/>
        <v>27</v>
      </c>
      <c r="U144" s="53">
        <v>104</v>
      </c>
      <c r="V144" s="38">
        <f t="shared" si="7"/>
        <v>2808</v>
      </c>
      <c r="W144" s="53">
        <v>3</v>
      </c>
      <c r="X144" s="53" t="s">
        <v>46</v>
      </c>
      <c r="Y144" s="53" t="s">
        <v>88</v>
      </c>
      <c r="Z144" s="53" t="s">
        <v>69</v>
      </c>
      <c r="AA144" s="53" t="s">
        <v>97</v>
      </c>
      <c r="AB144" s="53" t="s">
        <v>158</v>
      </c>
      <c r="AC144" s="76"/>
      <c r="AD144" s="76"/>
      <c r="AE144" s="76"/>
      <c r="AF144" s="76"/>
      <c r="AG144" s="76"/>
      <c r="AH144" s="76"/>
    </row>
    <row r="145" spans="1:34" x14ac:dyDescent="0.15">
      <c r="A145" s="53" t="s">
        <v>41</v>
      </c>
      <c r="B145" s="53" t="s">
        <v>157</v>
      </c>
      <c r="C145" s="62">
        <v>2019</v>
      </c>
      <c r="D145" s="63" t="s">
        <v>184</v>
      </c>
      <c r="E145" s="53" t="s">
        <v>210</v>
      </c>
      <c r="F145" s="53" t="s">
        <v>211</v>
      </c>
      <c r="G145" s="53" t="s">
        <v>42</v>
      </c>
      <c r="H145" s="53" t="s">
        <v>164</v>
      </c>
      <c r="I145" s="53" t="s">
        <v>159</v>
      </c>
      <c r="J145" s="53" t="s">
        <v>38</v>
      </c>
      <c r="K145" s="53" t="s">
        <v>161</v>
      </c>
      <c r="L145" s="53">
        <v>3</v>
      </c>
      <c r="N145" s="53">
        <v>1</v>
      </c>
      <c r="O145" s="53">
        <v>0.95</v>
      </c>
      <c r="P145" s="53">
        <v>1</v>
      </c>
      <c r="Q145" s="16">
        <f t="shared" si="6"/>
        <v>0.97499999999999998</v>
      </c>
      <c r="R145" s="53">
        <v>15.9</v>
      </c>
      <c r="S145" s="53">
        <v>123</v>
      </c>
      <c r="T145" s="38">
        <f t="shared" si="8"/>
        <v>27</v>
      </c>
      <c r="U145" s="53">
        <v>104</v>
      </c>
      <c r="V145" s="38">
        <f t="shared" si="7"/>
        <v>2808</v>
      </c>
      <c r="W145" s="53">
        <v>3</v>
      </c>
      <c r="X145" s="53" t="s">
        <v>46</v>
      </c>
      <c r="Y145" s="53" t="s">
        <v>88</v>
      </c>
      <c r="Z145" s="53" t="s">
        <v>69</v>
      </c>
      <c r="AA145" s="53" t="s">
        <v>97</v>
      </c>
      <c r="AB145" s="53" t="s">
        <v>158</v>
      </c>
      <c r="AC145" s="76"/>
      <c r="AD145" s="76"/>
      <c r="AE145" s="76"/>
      <c r="AF145" s="76"/>
      <c r="AG145" s="76"/>
      <c r="AH145" s="76"/>
    </row>
    <row r="146" spans="1:34" x14ac:dyDescent="0.15">
      <c r="A146" s="53" t="s">
        <v>41</v>
      </c>
      <c r="B146" s="53" t="s">
        <v>157</v>
      </c>
      <c r="C146" s="62">
        <v>2019</v>
      </c>
      <c r="D146" s="63" t="s">
        <v>184</v>
      </c>
      <c r="E146" s="53" t="s">
        <v>210</v>
      </c>
      <c r="F146" s="53" t="s">
        <v>211</v>
      </c>
      <c r="G146" s="53" t="s">
        <v>42</v>
      </c>
      <c r="H146" s="53" t="s">
        <v>164</v>
      </c>
      <c r="I146" s="53" t="s">
        <v>159</v>
      </c>
      <c r="J146" s="53" t="s">
        <v>38</v>
      </c>
      <c r="K146" s="53" t="s">
        <v>161</v>
      </c>
      <c r="L146" s="53">
        <v>1</v>
      </c>
      <c r="N146" s="53">
        <v>4</v>
      </c>
      <c r="O146" s="53">
        <v>0.65</v>
      </c>
      <c r="P146" s="53">
        <v>0.8</v>
      </c>
      <c r="Q146" s="16">
        <f t="shared" si="6"/>
        <v>0.72500000000000009</v>
      </c>
      <c r="R146" s="53">
        <v>16.2</v>
      </c>
      <c r="S146" s="53">
        <v>120</v>
      </c>
      <c r="T146" s="38">
        <f t="shared" si="8"/>
        <v>30</v>
      </c>
      <c r="U146" s="53">
        <v>407</v>
      </c>
      <c r="V146" s="38">
        <f t="shared" si="7"/>
        <v>3052.5</v>
      </c>
      <c r="W146" s="53">
        <v>1</v>
      </c>
      <c r="X146" s="53" t="s">
        <v>46</v>
      </c>
      <c r="Y146" s="53" t="s">
        <v>88</v>
      </c>
      <c r="Z146" s="53" t="s">
        <v>69</v>
      </c>
      <c r="AA146" s="53" t="s">
        <v>97</v>
      </c>
      <c r="AB146" s="53" t="s">
        <v>158</v>
      </c>
      <c r="AC146" s="76"/>
      <c r="AD146" s="76"/>
      <c r="AE146" s="76"/>
      <c r="AF146" s="76"/>
      <c r="AG146" s="76"/>
      <c r="AH146" s="76"/>
    </row>
    <row r="147" spans="1:34" x14ac:dyDescent="0.15">
      <c r="A147" s="53" t="s">
        <v>41</v>
      </c>
      <c r="B147" s="53" t="s">
        <v>157</v>
      </c>
      <c r="C147" s="62">
        <v>2019</v>
      </c>
      <c r="D147" s="63" t="s">
        <v>184</v>
      </c>
      <c r="E147" s="53" t="s">
        <v>210</v>
      </c>
      <c r="F147" s="53" t="s">
        <v>211</v>
      </c>
      <c r="G147" s="53" t="s">
        <v>42</v>
      </c>
      <c r="H147" s="53" t="s">
        <v>164</v>
      </c>
      <c r="I147" s="53" t="s">
        <v>159</v>
      </c>
      <c r="J147" s="53" t="s">
        <v>38</v>
      </c>
      <c r="K147" s="53" t="s">
        <v>161</v>
      </c>
      <c r="L147" s="53">
        <v>2</v>
      </c>
      <c r="N147" s="53">
        <v>4</v>
      </c>
      <c r="O147" s="53">
        <v>0.35</v>
      </c>
      <c r="P147" s="53">
        <v>0.5</v>
      </c>
      <c r="Q147" s="16">
        <f t="shared" si="6"/>
        <v>0.42499999999999999</v>
      </c>
      <c r="R147" s="53">
        <v>15</v>
      </c>
      <c r="S147" s="53">
        <v>118</v>
      </c>
      <c r="T147" s="38">
        <f t="shared" si="8"/>
        <v>30</v>
      </c>
      <c r="U147" s="53">
        <v>407</v>
      </c>
      <c r="V147" s="38">
        <f t="shared" si="7"/>
        <v>3052.5</v>
      </c>
      <c r="W147" s="53">
        <v>1</v>
      </c>
      <c r="X147" s="53" t="s">
        <v>46</v>
      </c>
      <c r="Y147" s="53" t="s">
        <v>88</v>
      </c>
      <c r="Z147" s="53" t="s">
        <v>69</v>
      </c>
      <c r="AA147" s="53" t="s">
        <v>97</v>
      </c>
      <c r="AB147" s="53" t="s">
        <v>158</v>
      </c>
      <c r="AC147" s="76"/>
      <c r="AD147" s="76"/>
      <c r="AE147" s="76"/>
      <c r="AF147" s="76"/>
      <c r="AG147" s="76"/>
      <c r="AH147" s="76"/>
    </row>
    <row r="148" spans="1:34" x14ac:dyDescent="0.15">
      <c r="A148" s="53" t="s">
        <v>41</v>
      </c>
      <c r="B148" s="53" t="s">
        <v>157</v>
      </c>
      <c r="C148" s="62">
        <v>2019</v>
      </c>
      <c r="D148" s="63" t="s">
        <v>184</v>
      </c>
      <c r="E148" s="53" t="s">
        <v>210</v>
      </c>
      <c r="F148" s="53" t="s">
        <v>211</v>
      </c>
      <c r="G148" s="53" t="s">
        <v>42</v>
      </c>
      <c r="H148" s="53" t="s">
        <v>164</v>
      </c>
      <c r="I148" s="53" t="s">
        <v>159</v>
      </c>
      <c r="J148" s="53" t="s">
        <v>38</v>
      </c>
      <c r="K148" s="53" t="s">
        <v>161</v>
      </c>
      <c r="L148" s="53">
        <v>3</v>
      </c>
      <c r="N148" s="53">
        <v>4</v>
      </c>
      <c r="O148" s="53">
        <v>0.3</v>
      </c>
      <c r="P148" s="53">
        <v>0.45</v>
      </c>
      <c r="Q148" s="16">
        <f t="shared" si="6"/>
        <v>0.375</v>
      </c>
      <c r="R148" s="53">
        <v>14.7</v>
      </c>
      <c r="S148" s="53">
        <v>118</v>
      </c>
      <c r="T148" s="38">
        <f t="shared" si="8"/>
        <v>30</v>
      </c>
      <c r="U148" s="53">
        <v>407</v>
      </c>
      <c r="V148" s="38">
        <f t="shared" si="7"/>
        <v>3052.5</v>
      </c>
      <c r="W148" s="53">
        <v>1</v>
      </c>
      <c r="X148" s="53" t="s">
        <v>46</v>
      </c>
      <c r="Y148" s="53" t="s">
        <v>88</v>
      </c>
      <c r="Z148" s="53" t="s">
        <v>69</v>
      </c>
      <c r="AA148" s="53" t="s">
        <v>97</v>
      </c>
      <c r="AB148" s="53" t="s">
        <v>158</v>
      </c>
      <c r="AC148" s="76"/>
      <c r="AD148" s="76"/>
      <c r="AE148" s="76"/>
      <c r="AF148" s="76"/>
      <c r="AG148" s="76"/>
      <c r="AH148" s="76"/>
    </row>
    <row r="149" spans="1:34" x14ac:dyDescent="0.15">
      <c r="C149" s="62"/>
      <c r="D149" s="63"/>
      <c r="T149" s="38"/>
      <c r="V149" s="38"/>
    </row>
    <row r="150" spans="1:34" x14ac:dyDescent="0.15">
      <c r="C150" s="62"/>
      <c r="D150" s="63"/>
      <c r="T150" s="38"/>
      <c r="V150" s="38"/>
    </row>
    <row r="151" spans="1:34" x14ac:dyDescent="0.15">
      <c r="C151" s="62"/>
      <c r="D151" s="63"/>
      <c r="T151" s="38"/>
      <c r="V151" s="38"/>
    </row>
    <row r="152" spans="1:34" x14ac:dyDescent="0.15">
      <c r="C152" s="62"/>
      <c r="D152" s="63"/>
      <c r="T152" s="38"/>
      <c r="V152" s="38"/>
    </row>
    <row r="153" spans="1:34" x14ac:dyDescent="0.15">
      <c r="C153" s="62"/>
      <c r="D153" s="63"/>
      <c r="T153" s="38"/>
      <c r="V153" s="38"/>
    </row>
    <row r="154" spans="1:34" x14ac:dyDescent="0.15">
      <c r="C154" s="62"/>
      <c r="D154" s="63"/>
      <c r="T154" s="38"/>
      <c r="V154" s="38"/>
    </row>
    <row r="155" spans="1:34" x14ac:dyDescent="0.15">
      <c r="Q155" s="75"/>
    </row>
    <row r="156" spans="1:34" x14ac:dyDescent="0.15">
      <c r="Q156" s="75"/>
    </row>
    <row r="157" spans="1:34" x14ac:dyDescent="0.15">
      <c r="Q157" s="75"/>
    </row>
    <row r="158" spans="1:34" x14ac:dyDescent="0.15">
      <c r="Q158" s="75" t="str">
        <f t="shared" ref="Q158:Q221" si="9">IF(OR(O158="",P158=""),"",AVERAGE(O158,P158))</f>
        <v/>
      </c>
      <c r="T158" s="16" t="str">
        <f t="shared" ref="T158:T221" si="10">IF(H158="","",IF(OR(H158="GREEN",H158="GK"),IF(S158&gt;=$AX$2,VLOOKUP(S158,$AX$2:$AY$10,2,1),""),IF(S158&gt;=$AZ$2,VLOOKUP(S158,$AZ$2:$BA$10,2,1),"")))</f>
        <v/>
      </c>
      <c r="V158" s="16" t="str">
        <f t="shared" ref="V158:V221" si="11">IF(OR(N158="",U158="",T158=""),"",U158/N158*T158)</f>
        <v/>
      </c>
    </row>
    <row r="159" spans="1:34" x14ac:dyDescent="0.15">
      <c r="Q159" s="75" t="str">
        <f t="shared" si="9"/>
        <v/>
      </c>
      <c r="T159" s="16" t="str">
        <f t="shared" si="10"/>
        <v/>
      </c>
      <c r="V159" s="16" t="str">
        <f t="shared" si="11"/>
        <v/>
      </c>
    </row>
    <row r="160" spans="1:34" x14ac:dyDescent="0.15">
      <c r="Q160" s="75" t="str">
        <f t="shared" si="9"/>
        <v/>
      </c>
      <c r="T160" s="16" t="str">
        <f t="shared" si="10"/>
        <v/>
      </c>
      <c r="V160" s="16" t="str">
        <f t="shared" si="11"/>
        <v/>
      </c>
    </row>
    <row r="161" spans="17:22" x14ac:dyDescent="0.15">
      <c r="Q161" s="75" t="str">
        <f t="shared" si="9"/>
        <v/>
      </c>
      <c r="T161" s="16" t="str">
        <f t="shared" si="10"/>
        <v/>
      </c>
      <c r="V161" s="16" t="str">
        <f t="shared" si="11"/>
        <v/>
      </c>
    </row>
    <row r="162" spans="17:22" x14ac:dyDescent="0.15">
      <c r="Q162" s="75" t="str">
        <f t="shared" si="9"/>
        <v/>
      </c>
      <c r="T162" s="16" t="str">
        <f t="shared" si="10"/>
        <v/>
      </c>
      <c r="V162" s="16" t="str">
        <f t="shared" si="11"/>
        <v/>
      </c>
    </row>
    <row r="163" spans="17:22" x14ac:dyDescent="0.15">
      <c r="Q163" s="75" t="str">
        <f t="shared" si="9"/>
        <v/>
      </c>
      <c r="T163" s="16" t="str">
        <f t="shared" si="10"/>
        <v/>
      </c>
      <c r="V163" s="16" t="str">
        <f t="shared" si="11"/>
        <v/>
      </c>
    </row>
    <row r="164" spans="17:22" x14ac:dyDescent="0.15">
      <c r="Q164" s="75" t="str">
        <f t="shared" si="9"/>
        <v/>
      </c>
      <c r="T164" s="16" t="str">
        <f t="shared" si="10"/>
        <v/>
      </c>
      <c r="V164" s="16" t="str">
        <f t="shared" si="11"/>
        <v/>
      </c>
    </row>
    <row r="165" spans="17:22" x14ac:dyDescent="0.15">
      <c r="Q165" s="75" t="str">
        <f t="shared" si="9"/>
        <v/>
      </c>
      <c r="T165" s="16" t="str">
        <f t="shared" si="10"/>
        <v/>
      </c>
      <c r="V165" s="16" t="str">
        <f t="shared" si="11"/>
        <v/>
      </c>
    </row>
    <row r="166" spans="17:22" x14ac:dyDescent="0.15">
      <c r="Q166" s="75" t="str">
        <f t="shared" si="9"/>
        <v/>
      </c>
      <c r="T166" s="16" t="str">
        <f t="shared" si="10"/>
        <v/>
      </c>
      <c r="V166" s="16" t="str">
        <f t="shared" si="11"/>
        <v/>
      </c>
    </row>
    <row r="167" spans="17:22" x14ac:dyDescent="0.15">
      <c r="Q167" s="75" t="str">
        <f t="shared" si="9"/>
        <v/>
      </c>
      <c r="T167" s="16" t="str">
        <f t="shared" si="10"/>
        <v/>
      </c>
      <c r="V167" s="16" t="str">
        <f t="shared" si="11"/>
        <v/>
      </c>
    </row>
    <row r="168" spans="17:22" x14ac:dyDescent="0.15">
      <c r="Q168" s="75" t="str">
        <f t="shared" si="9"/>
        <v/>
      </c>
      <c r="T168" s="16" t="str">
        <f t="shared" si="10"/>
        <v/>
      </c>
      <c r="V168" s="16" t="str">
        <f t="shared" si="11"/>
        <v/>
      </c>
    </row>
    <row r="169" spans="17:22" x14ac:dyDescent="0.15">
      <c r="Q169" s="75" t="str">
        <f t="shared" si="9"/>
        <v/>
      </c>
      <c r="T169" s="16" t="str">
        <f t="shared" si="10"/>
        <v/>
      </c>
      <c r="V169" s="16" t="str">
        <f t="shared" si="11"/>
        <v/>
      </c>
    </row>
    <row r="170" spans="17:22" x14ac:dyDescent="0.15">
      <c r="Q170" s="75" t="str">
        <f t="shared" si="9"/>
        <v/>
      </c>
      <c r="T170" s="16" t="str">
        <f t="shared" si="10"/>
        <v/>
      </c>
      <c r="V170" s="16" t="str">
        <f t="shared" si="11"/>
        <v/>
      </c>
    </row>
    <row r="171" spans="17:22" x14ac:dyDescent="0.15">
      <c r="Q171" s="75" t="str">
        <f t="shared" si="9"/>
        <v/>
      </c>
      <c r="T171" s="16" t="str">
        <f t="shared" si="10"/>
        <v/>
      </c>
      <c r="V171" s="16" t="str">
        <f t="shared" si="11"/>
        <v/>
      </c>
    </row>
    <row r="172" spans="17:22" x14ac:dyDescent="0.15">
      <c r="Q172" s="75" t="str">
        <f t="shared" si="9"/>
        <v/>
      </c>
      <c r="T172" s="16" t="str">
        <f t="shared" si="10"/>
        <v/>
      </c>
      <c r="V172" s="16" t="str">
        <f t="shared" si="11"/>
        <v/>
      </c>
    </row>
    <row r="173" spans="17:22" x14ac:dyDescent="0.15">
      <c r="Q173" s="75" t="str">
        <f t="shared" si="9"/>
        <v/>
      </c>
      <c r="T173" s="16" t="str">
        <f t="shared" si="10"/>
        <v/>
      </c>
      <c r="V173" s="16" t="str">
        <f t="shared" si="11"/>
        <v/>
      </c>
    </row>
    <row r="174" spans="17:22" x14ac:dyDescent="0.15">
      <c r="Q174" s="75" t="str">
        <f t="shared" si="9"/>
        <v/>
      </c>
      <c r="T174" s="16" t="str">
        <f t="shared" si="10"/>
        <v/>
      </c>
      <c r="V174" s="16" t="str">
        <f t="shared" si="11"/>
        <v/>
      </c>
    </row>
    <row r="175" spans="17:22" x14ac:dyDescent="0.15">
      <c r="Q175" s="75" t="str">
        <f t="shared" si="9"/>
        <v/>
      </c>
      <c r="T175" s="16" t="str">
        <f t="shared" si="10"/>
        <v/>
      </c>
      <c r="V175" s="16" t="str">
        <f t="shared" si="11"/>
        <v/>
      </c>
    </row>
    <row r="176" spans="17:22" x14ac:dyDescent="0.15">
      <c r="Q176" s="75" t="str">
        <f t="shared" si="9"/>
        <v/>
      </c>
      <c r="T176" s="16" t="str">
        <f t="shared" si="10"/>
        <v/>
      </c>
      <c r="V176" s="16" t="str">
        <f t="shared" si="11"/>
        <v/>
      </c>
    </row>
    <row r="177" spans="17:22" x14ac:dyDescent="0.15">
      <c r="Q177" s="75" t="str">
        <f t="shared" si="9"/>
        <v/>
      </c>
      <c r="T177" s="16" t="str">
        <f t="shared" si="10"/>
        <v/>
      </c>
      <c r="V177" s="16" t="str">
        <f t="shared" si="11"/>
        <v/>
      </c>
    </row>
    <row r="178" spans="17:22" x14ac:dyDescent="0.15">
      <c r="Q178" s="75" t="str">
        <f t="shared" si="9"/>
        <v/>
      </c>
      <c r="T178" s="16" t="str">
        <f t="shared" si="10"/>
        <v/>
      </c>
      <c r="V178" s="16" t="str">
        <f t="shared" si="11"/>
        <v/>
      </c>
    </row>
    <row r="179" spans="17:22" x14ac:dyDescent="0.15">
      <c r="Q179" s="75" t="str">
        <f t="shared" si="9"/>
        <v/>
      </c>
      <c r="T179" s="16" t="str">
        <f t="shared" si="10"/>
        <v/>
      </c>
      <c r="V179" s="16" t="str">
        <f t="shared" si="11"/>
        <v/>
      </c>
    </row>
    <row r="180" spans="17:22" x14ac:dyDescent="0.15">
      <c r="Q180" s="75" t="str">
        <f t="shared" si="9"/>
        <v/>
      </c>
      <c r="T180" s="16" t="str">
        <f t="shared" si="10"/>
        <v/>
      </c>
      <c r="V180" s="16" t="str">
        <f t="shared" si="11"/>
        <v/>
      </c>
    </row>
    <row r="181" spans="17:22" x14ac:dyDescent="0.15">
      <c r="Q181" s="75" t="str">
        <f t="shared" si="9"/>
        <v/>
      </c>
      <c r="T181" s="16" t="str">
        <f t="shared" si="10"/>
        <v/>
      </c>
      <c r="V181" s="16" t="str">
        <f t="shared" si="11"/>
        <v/>
      </c>
    </row>
    <row r="182" spans="17:22" x14ac:dyDescent="0.15">
      <c r="Q182" s="75" t="str">
        <f t="shared" si="9"/>
        <v/>
      </c>
      <c r="T182" s="16" t="str">
        <f t="shared" si="10"/>
        <v/>
      </c>
      <c r="V182" s="16" t="str">
        <f t="shared" si="11"/>
        <v/>
      </c>
    </row>
    <row r="183" spans="17:22" x14ac:dyDescent="0.15">
      <c r="Q183" s="75" t="str">
        <f t="shared" si="9"/>
        <v/>
      </c>
      <c r="T183" s="16" t="str">
        <f t="shared" si="10"/>
        <v/>
      </c>
      <c r="V183" s="16" t="str">
        <f t="shared" si="11"/>
        <v/>
      </c>
    </row>
    <row r="184" spans="17:22" x14ac:dyDescent="0.15">
      <c r="Q184" s="75" t="str">
        <f t="shared" si="9"/>
        <v/>
      </c>
      <c r="T184" s="16" t="str">
        <f t="shared" si="10"/>
        <v/>
      </c>
      <c r="V184" s="16" t="str">
        <f t="shared" si="11"/>
        <v/>
      </c>
    </row>
    <row r="185" spans="17:22" x14ac:dyDescent="0.15">
      <c r="Q185" s="75" t="str">
        <f t="shared" si="9"/>
        <v/>
      </c>
      <c r="T185" s="16" t="str">
        <f t="shared" si="10"/>
        <v/>
      </c>
      <c r="V185" s="16" t="str">
        <f t="shared" si="11"/>
        <v/>
      </c>
    </row>
    <row r="186" spans="17:22" x14ac:dyDescent="0.15">
      <c r="Q186" s="75" t="str">
        <f t="shared" si="9"/>
        <v/>
      </c>
      <c r="T186" s="16" t="str">
        <f t="shared" si="10"/>
        <v/>
      </c>
      <c r="V186" s="16" t="str">
        <f t="shared" si="11"/>
        <v/>
      </c>
    </row>
    <row r="187" spans="17:22" x14ac:dyDescent="0.15">
      <c r="Q187" s="75" t="str">
        <f t="shared" si="9"/>
        <v/>
      </c>
      <c r="T187" s="16" t="str">
        <f t="shared" si="10"/>
        <v/>
      </c>
      <c r="V187" s="16" t="str">
        <f t="shared" si="11"/>
        <v/>
      </c>
    </row>
    <row r="188" spans="17:22" x14ac:dyDescent="0.15">
      <c r="Q188" s="75" t="str">
        <f t="shared" si="9"/>
        <v/>
      </c>
      <c r="T188" s="16" t="str">
        <f t="shared" si="10"/>
        <v/>
      </c>
      <c r="V188" s="16" t="str">
        <f t="shared" si="11"/>
        <v/>
      </c>
    </row>
    <row r="189" spans="17:22" x14ac:dyDescent="0.15">
      <c r="Q189" s="75" t="str">
        <f t="shared" si="9"/>
        <v/>
      </c>
      <c r="T189" s="16" t="str">
        <f t="shared" si="10"/>
        <v/>
      </c>
      <c r="V189" s="16" t="str">
        <f t="shared" si="11"/>
        <v/>
      </c>
    </row>
    <row r="190" spans="17:22" x14ac:dyDescent="0.15">
      <c r="Q190" s="75" t="str">
        <f t="shared" si="9"/>
        <v/>
      </c>
      <c r="T190" s="16" t="str">
        <f t="shared" si="10"/>
        <v/>
      </c>
      <c r="V190" s="16" t="str">
        <f t="shared" si="11"/>
        <v/>
      </c>
    </row>
    <row r="191" spans="17:22" x14ac:dyDescent="0.15">
      <c r="Q191" s="75" t="str">
        <f t="shared" si="9"/>
        <v/>
      </c>
      <c r="T191" s="16" t="str">
        <f t="shared" si="10"/>
        <v/>
      </c>
      <c r="V191" s="16" t="str">
        <f t="shared" si="11"/>
        <v/>
      </c>
    </row>
    <row r="192" spans="17:22" x14ac:dyDescent="0.15">
      <c r="Q192" s="75" t="str">
        <f t="shared" si="9"/>
        <v/>
      </c>
      <c r="T192" s="16" t="str">
        <f t="shared" si="10"/>
        <v/>
      </c>
      <c r="V192" s="16" t="str">
        <f t="shared" si="11"/>
        <v/>
      </c>
    </row>
    <row r="193" spans="17:22" x14ac:dyDescent="0.15">
      <c r="Q193" s="75" t="str">
        <f t="shared" si="9"/>
        <v/>
      </c>
      <c r="T193" s="16" t="str">
        <f t="shared" si="10"/>
        <v/>
      </c>
      <c r="V193" s="16" t="str">
        <f t="shared" si="11"/>
        <v/>
      </c>
    </row>
    <row r="194" spans="17:22" x14ac:dyDescent="0.15">
      <c r="Q194" s="75" t="str">
        <f t="shared" si="9"/>
        <v/>
      </c>
      <c r="T194" s="16" t="str">
        <f t="shared" si="10"/>
        <v/>
      </c>
      <c r="V194" s="16" t="str">
        <f t="shared" si="11"/>
        <v/>
      </c>
    </row>
    <row r="195" spans="17:22" x14ac:dyDescent="0.15">
      <c r="Q195" s="75" t="str">
        <f t="shared" si="9"/>
        <v/>
      </c>
      <c r="T195" s="16" t="str">
        <f t="shared" si="10"/>
        <v/>
      </c>
      <c r="V195" s="16" t="str">
        <f t="shared" si="11"/>
        <v/>
      </c>
    </row>
    <row r="196" spans="17:22" x14ac:dyDescent="0.15">
      <c r="Q196" s="75" t="str">
        <f t="shared" si="9"/>
        <v/>
      </c>
      <c r="T196" s="16" t="str">
        <f t="shared" si="10"/>
        <v/>
      </c>
      <c r="V196" s="16" t="str">
        <f t="shared" si="11"/>
        <v/>
      </c>
    </row>
    <row r="197" spans="17:22" x14ac:dyDescent="0.15">
      <c r="Q197" s="75" t="str">
        <f t="shared" si="9"/>
        <v/>
      </c>
      <c r="T197" s="16" t="str">
        <f t="shared" si="10"/>
        <v/>
      </c>
      <c r="V197" s="16" t="str">
        <f t="shared" si="11"/>
        <v/>
      </c>
    </row>
    <row r="198" spans="17:22" x14ac:dyDescent="0.15">
      <c r="Q198" s="75" t="str">
        <f t="shared" si="9"/>
        <v/>
      </c>
      <c r="T198" s="16" t="str">
        <f t="shared" si="10"/>
        <v/>
      </c>
      <c r="V198" s="16" t="str">
        <f t="shared" si="11"/>
        <v/>
      </c>
    </row>
    <row r="199" spans="17:22" x14ac:dyDescent="0.15">
      <c r="Q199" s="75" t="str">
        <f t="shared" si="9"/>
        <v/>
      </c>
      <c r="T199" s="16" t="str">
        <f t="shared" si="10"/>
        <v/>
      </c>
      <c r="V199" s="16" t="str">
        <f t="shared" si="11"/>
        <v/>
      </c>
    </row>
    <row r="200" spans="17:22" x14ac:dyDescent="0.15">
      <c r="Q200" s="75" t="str">
        <f t="shared" si="9"/>
        <v/>
      </c>
      <c r="T200" s="16" t="str">
        <f t="shared" si="10"/>
        <v/>
      </c>
      <c r="V200" s="16" t="str">
        <f t="shared" si="11"/>
        <v/>
      </c>
    </row>
    <row r="201" spans="17:22" x14ac:dyDescent="0.15">
      <c r="Q201" s="75" t="str">
        <f t="shared" si="9"/>
        <v/>
      </c>
      <c r="T201" s="16" t="str">
        <f t="shared" si="10"/>
        <v/>
      </c>
      <c r="V201" s="16" t="str">
        <f t="shared" si="11"/>
        <v/>
      </c>
    </row>
    <row r="202" spans="17:22" x14ac:dyDescent="0.15">
      <c r="Q202" s="75" t="str">
        <f t="shared" si="9"/>
        <v/>
      </c>
      <c r="T202" s="16" t="str">
        <f t="shared" si="10"/>
        <v/>
      </c>
      <c r="V202" s="16" t="str">
        <f t="shared" si="11"/>
        <v/>
      </c>
    </row>
    <row r="203" spans="17:22" x14ac:dyDescent="0.15">
      <c r="Q203" s="75" t="str">
        <f t="shared" si="9"/>
        <v/>
      </c>
      <c r="T203" s="16" t="str">
        <f t="shared" si="10"/>
        <v/>
      </c>
      <c r="V203" s="16" t="str">
        <f t="shared" si="11"/>
        <v/>
      </c>
    </row>
    <row r="204" spans="17:22" x14ac:dyDescent="0.15">
      <c r="Q204" s="75" t="str">
        <f t="shared" si="9"/>
        <v/>
      </c>
      <c r="T204" s="16" t="str">
        <f t="shared" si="10"/>
        <v/>
      </c>
      <c r="V204" s="16" t="str">
        <f t="shared" si="11"/>
        <v/>
      </c>
    </row>
    <row r="205" spans="17:22" x14ac:dyDescent="0.15">
      <c r="Q205" s="75" t="str">
        <f t="shared" si="9"/>
        <v/>
      </c>
      <c r="T205" s="16" t="str">
        <f t="shared" si="10"/>
        <v/>
      </c>
      <c r="V205" s="16" t="str">
        <f t="shared" si="11"/>
        <v/>
      </c>
    </row>
    <row r="206" spans="17:22" x14ac:dyDescent="0.15">
      <c r="Q206" s="75" t="str">
        <f t="shared" si="9"/>
        <v/>
      </c>
      <c r="T206" s="16" t="str">
        <f t="shared" si="10"/>
        <v/>
      </c>
      <c r="V206" s="16" t="str">
        <f t="shared" si="11"/>
        <v/>
      </c>
    </row>
    <row r="207" spans="17:22" x14ac:dyDescent="0.15">
      <c r="Q207" s="75" t="str">
        <f t="shared" si="9"/>
        <v/>
      </c>
      <c r="T207" s="16" t="str">
        <f t="shared" si="10"/>
        <v/>
      </c>
      <c r="V207" s="16" t="str">
        <f t="shared" si="11"/>
        <v/>
      </c>
    </row>
    <row r="208" spans="17:22" x14ac:dyDescent="0.15">
      <c r="Q208" s="75" t="str">
        <f t="shared" si="9"/>
        <v/>
      </c>
      <c r="T208" s="16" t="str">
        <f t="shared" si="10"/>
        <v/>
      </c>
      <c r="V208" s="16" t="str">
        <f t="shared" si="11"/>
        <v/>
      </c>
    </row>
    <row r="209" spans="17:22" x14ac:dyDescent="0.15">
      <c r="Q209" s="75" t="str">
        <f t="shared" si="9"/>
        <v/>
      </c>
      <c r="T209" s="16" t="str">
        <f t="shared" si="10"/>
        <v/>
      </c>
      <c r="V209" s="16" t="str">
        <f t="shared" si="11"/>
        <v/>
      </c>
    </row>
    <row r="210" spans="17:22" x14ac:dyDescent="0.15">
      <c r="Q210" s="75" t="str">
        <f t="shared" si="9"/>
        <v/>
      </c>
      <c r="T210" s="16" t="str">
        <f t="shared" si="10"/>
        <v/>
      </c>
      <c r="V210" s="16" t="str">
        <f t="shared" si="11"/>
        <v/>
      </c>
    </row>
    <row r="211" spans="17:22" x14ac:dyDescent="0.15">
      <c r="Q211" s="75" t="str">
        <f t="shared" si="9"/>
        <v/>
      </c>
      <c r="T211" s="16" t="str">
        <f t="shared" si="10"/>
        <v/>
      </c>
      <c r="V211" s="16" t="str">
        <f t="shared" si="11"/>
        <v/>
      </c>
    </row>
    <row r="212" spans="17:22" x14ac:dyDescent="0.15">
      <c r="Q212" s="75" t="str">
        <f t="shared" si="9"/>
        <v/>
      </c>
      <c r="T212" s="16" t="str">
        <f t="shared" si="10"/>
        <v/>
      </c>
      <c r="V212" s="16" t="str">
        <f t="shared" si="11"/>
        <v/>
      </c>
    </row>
    <row r="213" spans="17:22" x14ac:dyDescent="0.15">
      <c r="Q213" s="75" t="str">
        <f t="shared" si="9"/>
        <v/>
      </c>
      <c r="T213" s="16" t="str">
        <f t="shared" si="10"/>
        <v/>
      </c>
      <c r="V213" s="16" t="str">
        <f t="shared" si="11"/>
        <v/>
      </c>
    </row>
    <row r="214" spans="17:22" x14ac:dyDescent="0.15">
      <c r="Q214" s="75" t="str">
        <f t="shared" si="9"/>
        <v/>
      </c>
      <c r="T214" s="16" t="str">
        <f t="shared" si="10"/>
        <v/>
      </c>
      <c r="V214" s="16" t="str">
        <f t="shared" si="11"/>
        <v/>
      </c>
    </row>
    <row r="215" spans="17:22" x14ac:dyDescent="0.15">
      <c r="Q215" s="75" t="str">
        <f t="shared" si="9"/>
        <v/>
      </c>
      <c r="T215" s="16" t="str">
        <f t="shared" si="10"/>
        <v/>
      </c>
      <c r="V215" s="16" t="str">
        <f t="shared" si="11"/>
        <v/>
      </c>
    </row>
    <row r="216" spans="17:22" x14ac:dyDescent="0.15">
      <c r="Q216" s="75" t="str">
        <f t="shared" si="9"/>
        <v/>
      </c>
      <c r="T216" s="16" t="str">
        <f t="shared" si="10"/>
        <v/>
      </c>
      <c r="V216" s="16" t="str">
        <f t="shared" si="11"/>
        <v/>
      </c>
    </row>
    <row r="217" spans="17:22" x14ac:dyDescent="0.15">
      <c r="Q217" s="75" t="str">
        <f t="shared" si="9"/>
        <v/>
      </c>
      <c r="T217" s="16" t="str">
        <f t="shared" si="10"/>
        <v/>
      </c>
      <c r="V217" s="16" t="str">
        <f t="shared" si="11"/>
        <v/>
      </c>
    </row>
    <row r="218" spans="17:22" x14ac:dyDescent="0.15">
      <c r="Q218" s="75" t="str">
        <f t="shared" si="9"/>
        <v/>
      </c>
      <c r="T218" s="16" t="str">
        <f t="shared" si="10"/>
        <v/>
      </c>
      <c r="V218" s="16" t="str">
        <f t="shared" si="11"/>
        <v/>
      </c>
    </row>
    <row r="219" spans="17:22" x14ac:dyDescent="0.15">
      <c r="Q219" s="75" t="str">
        <f t="shared" si="9"/>
        <v/>
      </c>
      <c r="T219" s="16" t="str">
        <f t="shared" si="10"/>
        <v/>
      </c>
      <c r="V219" s="16" t="str">
        <f t="shared" si="11"/>
        <v/>
      </c>
    </row>
    <row r="220" spans="17:22" x14ac:dyDescent="0.15">
      <c r="Q220" s="75" t="str">
        <f t="shared" si="9"/>
        <v/>
      </c>
      <c r="T220" s="16" t="str">
        <f t="shared" si="10"/>
        <v/>
      </c>
      <c r="V220" s="16" t="str">
        <f t="shared" si="11"/>
        <v/>
      </c>
    </row>
    <row r="221" spans="17:22" x14ac:dyDescent="0.15">
      <c r="Q221" s="75" t="str">
        <f t="shared" si="9"/>
        <v/>
      </c>
      <c r="T221" s="16" t="str">
        <f t="shared" si="10"/>
        <v/>
      </c>
      <c r="V221" s="16" t="str">
        <f t="shared" si="11"/>
        <v/>
      </c>
    </row>
    <row r="222" spans="17:22" x14ac:dyDescent="0.15">
      <c r="Q222" s="75" t="str">
        <f t="shared" ref="Q222:Q285" si="12">IF(OR(O222="",P222=""),"",AVERAGE(O222,P222))</f>
        <v/>
      </c>
      <c r="T222" s="16" t="str">
        <f t="shared" ref="T222:T285" si="13">IF(H222="","",IF(OR(H222="GREEN",H222="GK"),IF(S222&gt;=$AX$2,VLOOKUP(S222,$AX$2:$AY$10,2,1),""),IF(S222&gt;=$AZ$2,VLOOKUP(S222,$AZ$2:$BA$10,2,1),"")))</f>
        <v/>
      </c>
      <c r="V222" s="16" t="str">
        <f t="shared" ref="V222:V285" si="14">IF(OR(N222="",U222="",T222=""),"",U222/N222*T222)</f>
        <v/>
      </c>
    </row>
    <row r="223" spans="17:22" x14ac:dyDescent="0.15">
      <c r="Q223" s="75" t="str">
        <f t="shared" si="12"/>
        <v/>
      </c>
      <c r="T223" s="16" t="str">
        <f t="shared" si="13"/>
        <v/>
      </c>
      <c r="V223" s="16" t="str">
        <f t="shared" si="14"/>
        <v/>
      </c>
    </row>
    <row r="224" spans="17:22" x14ac:dyDescent="0.15">
      <c r="Q224" s="75" t="str">
        <f t="shared" si="12"/>
        <v/>
      </c>
      <c r="T224" s="16" t="str">
        <f t="shared" si="13"/>
        <v/>
      </c>
      <c r="V224" s="16" t="str">
        <f t="shared" si="14"/>
        <v/>
      </c>
    </row>
    <row r="225" spans="17:22" x14ac:dyDescent="0.15">
      <c r="Q225" s="75" t="str">
        <f t="shared" si="12"/>
        <v/>
      </c>
      <c r="T225" s="16" t="str">
        <f t="shared" si="13"/>
        <v/>
      </c>
      <c r="V225" s="16" t="str">
        <f t="shared" si="14"/>
        <v/>
      </c>
    </row>
    <row r="226" spans="17:22" x14ac:dyDescent="0.15">
      <c r="Q226" s="75" t="str">
        <f t="shared" si="12"/>
        <v/>
      </c>
      <c r="T226" s="16" t="str">
        <f t="shared" si="13"/>
        <v/>
      </c>
      <c r="V226" s="16" t="str">
        <f t="shared" si="14"/>
        <v/>
      </c>
    </row>
    <row r="227" spans="17:22" x14ac:dyDescent="0.15">
      <c r="Q227" s="75" t="str">
        <f t="shared" si="12"/>
        <v/>
      </c>
      <c r="T227" s="16" t="str">
        <f t="shared" si="13"/>
        <v/>
      </c>
      <c r="V227" s="16" t="str">
        <f t="shared" si="14"/>
        <v/>
      </c>
    </row>
    <row r="228" spans="17:22" x14ac:dyDescent="0.15">
      <c r="Q228" s="75" t="str">
        <f t="shared" si="12"/>
        <v/>
      </c>
      <c r="T228" s="16" t="str">
        <f t="shared" si="13"/>
        <v/>
      </c>
      <c r="V228" s="16" t="str">
        <f t="shared" si="14"/>
        <v/>
      </c>
    </row>
    <row r="229" spans="17:22" x14ac:dyDescent="0.15">
      <c r="Q229" s="75" t="str">
        <f t="shared" si="12"/>
        <v/>
      </c>
      <c r="T229" s="16" t="str">
        <f t="shared" si="13"/>
        <v/>
      </c>
      <c r="V229" s="16" t="str">
        <f t="shared" si="14"/>
        <v/>
      </c>
    </row>
    <row r="230" spans="17:22" x14ac:dyDescent="0.15">
      <c r="Q230" s="75" t="str">
        <f t="shared" si="12"/>
        <v/>
      </c>
      <c r="T230" s="16" t="str">
        <f t="shared" si="13"/>
        <v/>
      </c>
      <c r="V230" s="16" t="str">
        <f t="shared" si="14"/>
        <v/>
      </c>
    </row>
    <row r="231" spans="17:22" x14ac:dyDescent="0.15">
      <c r="Q231" s="75" t="str">
        <f t="shared" si="12"/>
        <v/>
      </c>
      <c r="T231" s="16" t="str">
        <f t="shared" si="13"/>
        <v/>
      </c>
      <c r="V231" s="16" t="str">
        <f t="shared" si="14"/>
        <v/>
      </c>
    </row>
    <row r="232" spans="17:22" x14ac:dyDescent="0.15">
      <c r="Q232" s="75" t="str">
        <f t="shared" si="12"/>
        <v/>
      </c>
      <c r="T232" s="16" t="str">
        <f t="shared" si="13"/>
        <v/>
      </c>
      <c r="V232" s="16" t="str">
        <f t="shared" si="14"/>
        <v/>
      </c>
    </row>
    <row r="233" spans="17:22" x14ac:dyDescent="0.15">
      <c r="Q233" s="75" t="str">
        <f t="shared" si="12"/>
        <v/>
      </c>
      <c r="T233" s="16" t="str">
        <f t="shared" si="13"/>
        <v/>
      </c>
      <c r="V233" s="16" t="str">
        <f t="shared" si="14"/>
        <v/>
      </c>
    </row>
    <row r="234" spans="17:22" x14ac:dyDescent="0.15">
      <c r="Q234" s="75" t="str">
        <f t="shared" si="12"/>
        <v/>
      </c>
      <c r="T234" s="16" t="str">
        <f t="shared" si="13"/>
        <v/>
      </c>
      <c r="V234" s="16" t="str">
        <f t="shared" si="14"/>
        <v/>
      </c>
    </row>
    <row r="235" spans="17:22" x14ac:dyDescent="0.15">
      <c r="Q235" s="75" t="str">
        <f t="shared" si="12"/>
        <v/>
      </c>
      <c r="T235" s="16" t="str">
        <f t="shared" si="13"/>
        <v/>
      </c>
      <c r="V235" s="16" t="str">
        <f t="shared" si="14"/>
        <v/>
      </c>
    </row>
    <row r="236" spans="17:22" x14ac:dyDescent="0.15">
      <c r="Q236" s="75" t="str">
        <f t="shared" si="12"/>
        <v/>
      </c>
      <c r="T236" s="16" t="str">
        <f t="shared" si="13"/>
        <v/>
      </c>
      <c r="V236" s="16" t="str">
        <f t="shared" si="14"/>
        <v/>
      </c>
    </row>
    <row r="237" spans="17:22" x14ac:dyDescent="0.15">
      <c r="Q237" s="75" t="str">
        <f t="shared" si="12"/>
        <v/>
      </c>
      <c r="T237" s="16" t="str">
        <f t="shared" si="13"/>
        <v/>
      </c>
      <c r="V237" s="16" t="str">
        <f t="shared" si="14"/>
        <v/>
      </c>
    </row>
    <row r="238" spans="17:22" x14ac:dyDescent="0.15">
      <c r="Q238" s="75" t="str">
        <f t="shared" si="12"/>
        <v/>
      </c>
      <c r="T238" s="16" t="str">
        <f t="shared" si="13"/>
        <v/>
      </c>
      <c r="V238" s="16" t="str">
        <f t="shared" si="14"/>
        <v/>
      </c>
    </row>
    <row r="239" spans="17:22" x14ac:dyDescent="0.15">
      <c r="Q239" s="75" t="str">
        <f t="shared" si="12"/>
        <v/>
      </c>
      <c r="T239" s="16" t="str">
        <f t="shared" si="13"/>
        <v/>
      </c>
      <c r="V239" s="16" t="str">
        <f t="shared" si="14"/>
        <v/>
      </c>
    </row>
    <row r="240" spans="17:22" x14ac:dyDescent="0.15">
      <c r="Q240" s="75" t="str">
        <f t="shared" si="12"/>
        <v/>
      </c>
      <c r="T240" s="16" t="str">
        <f t="shared" si="13"/>
        <v/>
      </c>
      <c r="V240" s="16" t="str">
        <f t="shared" si="14"/>
        <v/>
      </c>
    </row>
    <row r="241" spans="17:22" x14ac:dyDescent="0.15">
      <c r="Q241" s="75" t="str">
        <f t="shared" si="12"/>
        <v/>
      </c>
      <c r="T241" s="16" t="str">
        <f t="shared" si="13"/>
        <v/>
      </c>
      <c r="V241" s="16" t="str">
        <f t="shared" si="14"/>
        <v/>
      </c>
    </row>
    <row r="242" spans="17:22" x14ac:dyDescent="0.15">
      <c r="Q242" s="75" t="str">
        <f t="shared" si="12"/>
        <v/>
      </c>
      <c r="T242" s="16" t="str">
        <f t="shared" si="13"/>
        <v/>
      </c>
      <c r="V242" s="16" t="str">
        <f t="shared" si="14"/>
        <v/>
      </c>
    </row>
    <row r="243" spans="17:22" x14ac:dyDescent="0.15">
      <c r="Q243" s="75" t="str">
        <f t="shared" si="12"/>
        <v/>
      </c>
      <c r="T243" s="16" t="str">
        <f t="shared" si="13"/>
        <v/>
      </c>
      <c r="V243" s="16" t="str">
        <f t="shared" si="14"/>
        <v/>
      </c>
    </row>
    <row r="244" spans="17:22" x14ac:dyDescent="0.15">
      <c r="Q244" s="75" t="str">
        <f t="shared" si="12"/>
        <v/>
      </c>
      <c r="T244" s="16" t="str">
        <f t="shared" si="13"/>
        <v/>
      </c>
      <c r="V244" s="16" t="str">
        <f t="shared" si="14"/>
        <v/>
      </c>
    </row>
    <row r="245" spans="17:22" x14ac:dyDescent="0.15">
      <c r="Q245" s="75" t="str">
        <f t="shared" si="12"/>
        <v/>
      </c>
      <c r="T245" s="16" t="str">
        <f t="shared" si="13"/>
        <v/>
      </c>
      <c r="V245" s="16" t="str">
        <f t="shared" si="14"/>
        <v/>
      </c>
    </row>
    <row r="246" spans="17:22" x14ac:dyDescent="0.15">
      <c r="Q246" s="75" t="str">
        <f t="shared" si="12"/>
        <v/>
      </c>
      <c r="T246" s="16" t="str">
        <f t="shared" si="13"/>
        <v/>
      </c>
      <c r="V246" s="16" t="str">
        <f t="shared" si="14"/>
        <v/>
      </c>
    </row>
    <row r="247" spans="17:22" x14ac:dyDescent="0.15">
      <c r="Q247" s="75" t="str">
        <f t="shared" si="12"/>
        <v/>
      </c>
      <c r="T247" s="16" t="str">
        <f t="shared" si="13"/>
        <v/>
      </c>
      <c r="V247" s="16" t="str">
        <f t="shared" si="14"/>
        <v/>
      </c>
    </row>
    <row r="248" spans="17:22" x14ac:dyDescent="0.15">
      <c r="Q248" s="75" t="str">
        <f t="shared" si="12"/>
        <v/>
      </c>
      <c r="T248" s="16" t="str">
        <f t="shared" si="13"/>
        <v/>
      </c>
      <c r="V248" s="16" t="str">
        <f t="shared" si="14"/>
        <v/>
      </c>
    </row>
    <row r="249" spans="17:22" x14ac:dyDescent="0.15">
      <c r="Q249" s="75" t="str">
        <f t="shared" si="12"/>
        <v/>
      </c>
      <c r="T249" s="16" t="str">
        <f t="shared" si="13"/>
        <v/>
      </c>
      <c r="V249" s="16" t="str">
        <f t="shared" si="14"/>
        <v/>
      </c>
    </row>
    <row r="250" spans="17:22" x14ac:dyDescent="0.15">
      <c r="Q250" s="75" t="str">
        <f t="shared" si="12"/>
        <v/>
      </c>
      <c r="T250" s="16" t="str">
        <f t="shared" si="13"/>
        <v/>
      </c>
      <c r="V250" s="16" t="str">
        <f t="shared" si="14"/>
        <v/>
      </c>
    </row>
    <row r="251" spans="17:22" x14ac:dyDescent="0.15">
      <c r="Q251" s="75" t="str">
        <f t="shared" si="12"/>
        <v/>
      </c>
      <c r="T251" s="16" t="str">
        <f t="shared" si="13"/>
        <v/>
      </c>
      <c r="V251" s="16" t="str">
        <f t="shared" si="14"/>
        <v/>
      </c>
    </row>
    <row r="252" spans="17:22" x14ac:dyDescent="0.15">
      <c r="Q252" s="75" t="str">
        <f t="shared" si="12"/>
        <v/>
      </c>
      <c r="T252" s="16" t="str">
        <f t="shared" si="13"/>
        <v/>
      </c>
      <c r="V252" s="16" t="str">
        <f t="shared" si="14"/>
        <v/>
      </c>
    </row>
    <row r="253" spans="17:22" x14ac:dyDescent="0.15">
      <c r="Q253" s="75" t="str">
        <f t="shared" si="12"/>
        <v/>
      </c>
      <c r="T253" s="16" t="str">
        <f t="shared" si="13"/>
        <v/>
      </c>
      <c r="V253" s="16" t="str">
        <f t="shared" si="14"/>
        <v/>
      </c>
    </row>
    <row r="254" spans="17:22" x14ac:dyDescent="0.15">
      <c r="Q254" s="75" t="str">
        <f t="shared" si="12"/>
        <v/>
      </c>
      <c r="T254" s="16" t="str">
        <f t="shared" si="13"/>
        <v/>
      </c>
      <c r="V254" s="16" t="str">
        <f t="shared" si="14"/>
        <v/>
      </c>
    </row>
    <row r="255" spans="17:22" x14ac:dyDescent="0.15">
      <c r="Q255" s="75" t="str">
        <f t="shared" si="12"/>
        <v/>
      </c>
      <c r="T255" s="16" t="str">
        <f t="shared" si="13"/>
        <v/>
      </c>
      <c r="V255" s="16" t="str">
        <f t="shared" si="14"/>
        <v/>
      </c>
    </row>
    <row r="256" spans="17:22" x14ac:dyDescent="0.15">
      <c r="Q256" s="75" t="str">
        <f t="shared" si="12"/>
        <v/>
      </c>
      <c r="T256" s="16" t="str">
        <f t="shared" si="13"/>
        <v/>
      </c>
      <c r="V256" s="16" t="str">
        <f t="shared" si="14"/>
        <v/>
      </c>
    </row>
    <row r="257" spans="17:22" x14ac:dyDescent="0.15">
      <c r="Q257" s="75" t="str">
        <f t="shared" si="12"/>
        <v/>
      </c>
      <c r="T257" s="16" t="str">
        <f t="shared" si="13"/>
        <v/>
      </c>
      <c r="V257" s="16" t="str">
        <f t="shared" si="14"/>
        <v/>
      </c>
    </row>
    <row r="258" spans="17:22" x14ac:dyDescent="0.15">
      <c r="Q258" s="75" t="str">
        <f t="shared" si="12"/>
        <v/>
      </c>
      <c r="T258" s="16" t="str">
        <f t="shared" si="13"/>
        <v/>
      </c>
      <c r="V258" s="16" t="str">
        <f t="shared" si="14"/>
        <v/>
      </c>
    </row>
    <row r="259" spans="17:22" x14ac:dyDescent="0.15">
      <c r="Q259" s="75" t="str">
        <f t="shared" si="12"/>
        <v/>
      </c>
      <c r="T259" s="16" t="str">
        <f t="shared" si="13"/>
        <v/>
      </c>
      <c r="V259" s="16" t="str">
        <f t="shared" si="14"/>
        <v/>
      </c>
    </row>
    <row r="260" spans="17:22" x14ac:dyDescent="0.15">
      <c r="Q260" s="75" t="str">
        <f t="shared" si="12"/>
        <v/>
      </c>
      <c r="T260" s="16" t="str">
        <f t="shared" si="13"/>
        <v/>
      </c>
      <c r="V260" s="16" t="str">
        <f t="shared" si="14"/>
        <v/>
      </c>
    </row>
    <row r="261" spans="17:22" x14ac:dyDescent="0.15">
      <c r="Q261" s="75" t="str">
        <f t="shared" si="12"/>
        <v/>
      </c>
      <c r="T261" s="16" t="str">
        <f t="shared" si="13"/>
        <v/>
      </c>
      <c r="V261" s="16" t="str">
        <f t="shared" si="14"/>
        <v/>
      </c>
    </row>
    <row r="262" spans="17:22" x14ac:dyDescent="0.15">
      <c r="Q262" s="75" t="str">
        <f t="shared" si="12"/>
        <v/>
      </c>
      <c r="T262" s="16" t="str">
        <f t="shared" si="13"/>
        <v/>
      </c>
      <c r="V262" s="16" t="str">
        <f t="shared" si="14"/>
        <v/>
      </c>
    </row>
    <row r="263" spans="17:22" x14ac:dyDescent="0.15">
      <c r="Q263" s="75" t="str">
        <f t="shared" si="12"/>
        <v/>
      </c>
      <c r="T263" s="16" t="str">
        <f t="shared" si="13"/>
        <v/>
      </c>
      <c r="V263" s="16" t="str">
        <f t="shared" si="14"/>
        <v/>
      </c>
    </row>
    <row r="264" spans="17:22" x14ac:dyDescent="0.15">
      <c r="Q264" s="75" t="str">
        <f t="shared" si="12"/>
        <v/>
      </c>
      <c r="T264" s="16" t="str">
        <f t="shared" si="13"/>
        <v/>
      </c>
      <c r="V264" s="16" t="str">
        <f t="shared" si="14"/>
        <v/>
      </c>
    </row>
    <row r="265" spans="17:22" x14ac:dyDescent="0.15">
      <c r="Q265" s="75" t="str">
        <f t="shared" si="12"/>
        <v/>
      </c>
      <c r="T265" s="16" t="str">
        <f t="shared" si="13"/>
        <v/>
      </c>
      <c r="V265" s="16" t="str">
        <f t="shared" si="14"/>
        <v/>
      </c>
    </row>
    <row r="266" spans="17:22" x14ac:dyDescent="0.15">
      <c r="Q266" s="75" t="str">
        <f t="shared" si="12"/>
        <v/>
      </c>
      <c r="T266" s="16" t="str">
        <f t="shared" si="13"/>
        <v/>
      </c>
      <c r="V266" s="16" t="str">
        <f t="shared" si="14"/>
        <v/>
      </c>
    </row>
    <row r="267" spans="17:22" x14ac:dyDescent="0.15">
      <c r="Q267" s="75" t="str">
        <f t="shared" si="12"/>
        <v/>
      </c>
      <c r="T267" s="16" t="str">
        <f t="shared" si="13"/>
        <v/>
      </c>
      <c r="V267" s="16" t="str">
        <f t="shared" si="14"/>
        <v/>
      </c>
    </row>
    <row r="268" spans="17:22" x14ac:dyDescent="0.15">
      <c r="Q268" s="75" t="str">
        <f t="shared" si="12"/>
        <v/>
      </c>
      <c r="T268" s="16" t="str">
        <f t="shared" si="13"/>
        <v/>
      </c>
      <c r="V268" s="16" t="str">
        <f t="shared" si="14"/>
        <v/>
      </c>
    </row>
    <row r="269" spans="17:22" x14ac:dyDescent="0.15">
      <c r="Q269" s="75" t="str">
        <f t="shared" si="12"/>
        <v/>
      </c>
      <c r="T269" s="16" t="str">
        <f t="shared" si="13"/>
        <v/>
      </c>
      <c r="V269" s="16" t="str">
        <f t="shared" si="14"/>
        <v/>
      </c>
    </row>
    <row r="270" spans="17:22" x14ac:dyDescent="0.15">
      <c r="Q270" s="75" t="str">
        <f t="shared" si="12"/>
        <v/>
      </c>
      <c r="T270" s="16" t="str">
        <f t="shared" si="13"/>
        <v/>
      </c>
      <c r="V270" s="16" t="str">
        <f t="shared" si="14"/>
        <v/>
      </c>
    </row>
    <row r="271" spans="17:22" x14ac:dyDescent="0.15">
      <c r="Q271" s="75" t="str">
        <f t="shared" si="12"/>
        <v/>
      </c>
      <c r="T271" s="16" t="str">
        <f t="shared" si="13"/>
        <v/>
      </c>
      <c r="V271" s="16" t="str">
        <f t="shared" si="14"/>
        <v/>
      </c>
    </row>
    <row r="272" spans="17:22" x14ac:dyDescent="0.15">
      <c r="Q272" s="75" t="str">
        <f t="shared" si="12"/>
        <v/>
      </c>
      <c r="T272" s="16" t="str">
        <f t="shared" si="13"/>
        <v/>
      </c>
      <c r="V272" s="16" t="str">
        <f t="shared" si="14"/>
        <v/>
      </c>
    </row>
    <row r="273" spans="17:22" x14ac:dyDescent="0.15">
      <c r="Q273" s="75" t="str">
        <f t="shared" si="12"/>
        <v/>
      </c>
      <c r="T273" s="16" t="str">
        <f t="shared" si="13"/>
        <v/>
      </c>
      <c r="V273" s="16" t="str">
        <f t="shared" si="14"/>
        <v/>
      </c>
    </row>
    <row r="274" spans="17:22" x14ac:dyDescent="0.15">
      <c r="Q274" s="75" t="str">
        <f t="shared" si="12"/>
        <v/>
      </c>
      <c r="T274" s="16" t="str">
        <f t="shared" si="13"/>
        <v/>
      </c>
      <c r="V274" s="16" t="str">
        <f t="shared" si="14"/>
        <v/>
      </c>
    </row>
    <row r="275" spans="17:22" x14ac:dyDescent="0.15">
      <c r="Q275" s="75" t="str">
        <f t="shared" si="12"/>
        <v/>
      </c>
      <c r="T275" s="16" t="str">
        <f t="shared" si="13"/>
        <v/>
      </c>
      <c r="V275" s="16" t="str">
        <f t="shared" si="14"/>
        <v/>
      </c>
    </row>
    <row r="276" spans="17:22" x14ac:dyDescent="0.15">
      <c r="Q276" s="75" t="str">
        <f t="shared" si="12"/>
        <v/>
      </c>
      <c r="T276" s="16" t="str">
        <f t="shared" si="13"/>
        <v/>
      </c>
      <c r="V276" s="16" t="str">
        <f t="shared" si="14"/>
        <v/>
      </c>
    </row>
    <row r="277" spans="17:22" x14ac:dyDescent="0.15">
      <c r="Q277" s="75" t="str">
        <f t="shared" si="12"/>
        <v/>
      </c>
      <c r="T277" s="16" t="str">
        <f t="shared" si="13"/>
        <v/>
      </c>
      <c r="V277" s="16" t="str">
        <f t="shared" si="14"/>
        <v/>
      </c>
    </row>
    <row r="278" spans="17:22" x14ac:dyDescent="0.15">
      <c r="Q278" s="75" t="str">
        <f t="shared" si="12"/>
        <v/>
      </c>
      <c r="T278" s="16" t="str">
        <f t="shared" si="13"/>
        <v/>
      </c>
      <c r="V278" s="16" t="str">
        <f t="shared" si="14"/>
        <v/>
      </c>
    </row>
    <row r="279" spans="17:22" x14ac:dyDescent="0.15">
      <c r="Q279" s="75" t="str">
        <f t="shared" si="12"/>
        <v/>
      </c>
      <c r="T279" s="16" t="str">
        <f t="shared" si="13"/>
        <v/>
      </c>
      <c r="V279" s="16" t="str">
        <f t="shared" si="14"/>
        <v/>
      </c>
    </row>
    <row r="280" spans="17:22" x14ac:dyDescent="0.15">
      <c r="Q280" s="75" t="str">
        <f t="shared" si="12"/>
        <v/>
      </c>
      <c r="T280" s="16" t="str">
        <f t="shared" si="13"/>
        <v/>
      </c>
      <c r="V280" s="16" t="str">
        <f t="shared" si="14"/>
        <v/>
      </c>
    </row>
    <row r="281" spans="17:22" x14ac:dyDescent="0.15">
      <c r="Q281" s="75" t="str">
        <f t="shared" si="12"/>
        <v/>
      </c>
      <c r="T281" s="16" t="str">
        <f t="shared" si="13"/>
        <v/>
      </c>
      <c r="V281" s="16" t="str">
        <f t="shared" si="14"/>
        <v/>
      </c>
    </row>
    <row r="282" spans="17:22" x14ac:dyDescent="0.15">
      <c r="Q282" s="75" t="str">
        <f t="shared" si="12"/>
        <v/>
      </c>
      <c r="T282" s="16" t="str">
        <f t="shared" si="13"/>
        <v/>
      </c>
      <c r="V282" s="16" t="str">
        <f t="shared" si="14"/>
        <v/>
      </c>
    </row>
    <row r="283" spans="17:22" x14ac:dyDescent="0.15">
      <c r="Q283" s="75" t="str">
        <f t="shared" si="12"/>
        <v/>
      </c>
      <c r="T283" s="16" t="str">
        <f t="shared" si="13"/>
        <v/>
      </c>
      <c r="V283" s="16" t="str">
        <f t="shared" si="14"/>
        <v/>
      </c>
    </row>
    <row r="284" spans="17:22" x14ac:dyDescent="0.15">
      <c r="Q284" s="75" t="str">
        <f t="shared" si="12"/>
        <v/>
      </c>
      <c r="T284" s="16" t="str">
        <f t="shared" si="13"/>
        <v/>
      </c>
      <c r="V284" s="16" t="str">
        <f t="shared" si="14"/>
        <v/>
      </c>
    </row>
    <row r="285" spans="17:22" x14ac:dyDescent="0.15">
      <c r="Q285" s="75" t="str">
        <f t="shared" si="12"/>
        <v/>
      </c>
      <c r="T285" s="16" t="str">
        <f t="shared" si="13"/>
        <v/>
      </c>
      <c r="V285" s="16" t="str">
        <f t="shared" si="14"/>
        <v/>
      </c>
    </row>
    <row r="286" spans="17:22" x14ac:dyDescent="0.15">
      <c r="Q286" s="75" t="str">
        <f t="shared" ref="Q286:Q349" si="15">IF(OR(O286="",P286=""),"",AVERAGE(O286,P286))</f>
        <v/>
      </c>
      <c r="T286" s="16" t="str">
        <f t="shared" ref="T286:T349" si="16">IF(H286="","",IF(OR(H286="GREEN",H286="GK"),IF(S286&gt;=$AX$2,VLOOKUP(S286,$AX$2:$AY$10,2,1),""),IF(S286&gt;=$AZ$2,VLOOKUP(S286,$AZ$2:$BA$10,2,1),"")))</f>
        <v/>
      </c>
      <c r="V286" s="16" t="str">
        <f t="shared" ref="V286:V349" si="17">IF(OR(N286="",U286="",T286=""),"",U286/N286*T286)</f>
        <v/>
      </c>
    </row>
    <row r="287" spans="17:22" x14ac:dyDescent="0.15">
      <c r="Q287" s="75" t="str">
        <f t="shared" si="15"/>
        <v/>
      </c>
      <c r="T287" s="16" t="str">
        <f t="shared" si="16"/>
        <v/>
      </c>
      <c r="V287" s="16" t="str">
        <f t="shared" si="17"/>
        <v/>
      </c>
    </row>
    <row r="288" spans="17:22" x14ac:dyDescent="0.15">
      <c r="Q288" s="75" t="str">
        <f t="shared" si="15"/>
        <v/>
      </c>
      <c r="T288" s="16" t="str">
        <f t="shared" si="16"/>
        <v/>
      </c>
      <c r="V288" s="16" t="str">
        <f t="shared" si="17"/>
        <v/>
      </c>
    </row>
    <row r="289" spans="17:22" x14ac:dyDescent="0.15">
      <c r="Q289" s="75" t="str">
        <f t="shared" si="15"/>
        <v/>
      </c>
      <c r="T289" s="16" t="str">
        <f t="shared" si="16"/>
        <v/>
      </c>
      <c r="V289" s="16" t="str">
        <f t="shared" si="17"/>
        <v/>
      </c>
    </row>
    <row r="290" spans="17:22" x14ac:dyDescent="0.15">
      <c r="Q290" s="75" t="str">
        <f t="shared" si="15"/>
        <v/>
      </c>
      <c r="T290" s="16" t="str">
        <f t="shared" si="16"/>
        <v/>
      </c>
      <c r="V290" s="16" t="str">
        <f t="shared" si="17"/>
        <v/>
      </c>
    </row>
    <row r="291" spans="17:22" x14ac:dyDescent="0.15">
      <c r="Q291" s="75" t="str">
        <f t="shared" si="15"/>
        <v/>
      </c>
      <c r="T291" s="16" t="str">
        <f t="shared" si="16"/>
        <v/>
      </c>
      <c r="V291" s="16" t="str">
        <f t="shared" si="17"/>
        <v/>
      </c>
    </row>
    <row r="292" spans="17:22" x14ac:dyDescent="0.15">
      <c r="Q292" s="75" t="str">
        <f t="shared" si="15"/>
        <v/>
      </c>
      <c r="T292" s="16" t="str">
        <f t="shared" si="16"/>
        <v/>
      </c>
      <c r="V292" s="16" t="str">
        <f t="shared" si="17"/>
        <v/>
      </c>
    </row>
    <row r="293" spans="17:22" x14ac:dyDescent="0.15">
      <c r="Q293" s="75" t="str">
        <f t="shared" si="15"/>
        <v/>
      </c>
      <c r="T293" s="16" t="str">
        <f t="shared" si="16"/>
        <v/>
      </c>
      <c r="V293" s="16" t="str">
        <f t="shared" si="17"/>
        <v/>
      </c>
    </row>
    <row r="294" spans="17:22" x14ac:dyDescent="0.15">
      <c r="Q294" s="75" t="str">
        <f t="shared" si="15"/>
        <v/>
      </c>
      <c r="T294" s="16" t="str">
        <f t="shared" si="16"/>
        <v/>
      </c>
      <c r="V294" s="16" t="str">
        <f t="shared" si="17"/>
        <v/>
      </c>
    </row>
    <row r="295" spans="17:22" x14ac:dyDescent="0.15">
      <c r="Q295" s="75" t="str">
        <f t="shared" si="15"/>
        <v/>
      </c>
      <c r="T295" s="16" t="str">
        <f t="shared" si="16"/>
        <v/>
      </c>
      <c r="V295" s="16" t="str">
        <f t="shared" si="17"/>
        <v/>
      </c>
    </row>
    <row r="296" spans="17:22" x14ac:dyDescent="0.15">
      <c r="Q296" s="75" t="str">
        <f t="shared" si="15"/>
        <v/>
      </c>
      <c r="T296" s="16" t="str">
        <f t="shared" si="16"/>
        <v/>
      </c>
      <c r="V296" s="16" t="str">
        <f t="shared" si="17"/>
        <v/>
      </c>
    </row>
    <row r="297" spans="17:22" x14ac:dyDescent="0.15">
      <c r="Q297" s="75" t="str">
        <f t="shared" si="15"/>
        <v/>
      </c>
      <c r="T297" s="16" t="str">
        <f t="shared" si="16"/>
        <v/>
      </c>
      <c r="V297" s="16" t="str">
        <f t="shared" si="17"/>
        <v/>
      </c>
    </row>
    <row r="298" spans="17:22" x14ac:dyDescent="0.15">
      <c r="Q298" s="75" t="str">
        <f t="shared" si="15"/>
        <v/>
      </c>
      <c r="T298" s="16" t="str">
        <f t="shared" si="16"/>
        <v/>
      </c>
      <c r="V298" s="16" t="str">
        <f t="shared" si="17"/>
        <v/>
      </c>
    </row>
    <row r="299" spans="17:22" x14ac:dyDescent="0.15">
      <c r="Q299" s="75" t="str">
        <f t="shared" si="15"/>
        <v/>
      </c>
      <c r="T299" s="16" t="str">
        <f t="shared" si="16"/>
        <v/>
      </c>
      <c r="V299" s="16" t="str">
        <f t="shared" si="17"/>
        <v/>
      </c>
    </row>
    <row r="300" spans="17:22" x14ac:dyDescent="0.15">
      <c r="Q300" s="75" t="str">
        <f t="shared" si="15"/>
        <v/>
      </c>
      <c r="T300" s="16" t="str">
        <f t="shared" si="16"/>
        <v/>
      </c>
      <c r="V300" s="16" t="str">
        <f t="shared" si="17"/>
        <v/>
      </c>
    </row>
    <row r="301" spans="17:22" x14ac:dyDescent="0.15">
      <c r="Q301" s="75" t="str">
        <f t="shared" si="15"/>
        <v/>
      </c>
      <c r="T301" s="16" t="str">
        <f t="shared" si="16"/>
        <v/>
      </c>
      <c r="V301" s="16" t="str">
        <f t="shared" si="17"/>
        <v/>
      </c>
    </row>
    <row r="302" spans="17:22" x14ac:dyDescent="0.15">
      <c r="Q302" s="75" t="str">
        <f t="shared" si="15"/>
        <v/>
      </c>
      <c r="T302" s="16" t="str">
        <f t="shared" si="16"/>
        <v/>
      </c>
      <c r="V302" s="16" t="str">
        <f t="shared" si="17"/>
        <v/>
      </c>
    </row>
    <row r="303" spans="17:22" x14ac:dyDescent="0.15">
      <c r="Q303" s="75" t="str">
        <f t="shared" si="15"/>
        <v/>
      </c>
      <c r="T303" s="16" t="str">
        <f t="shared" si="16"/>
        <v/>
      </c>
      <c r="V303" s="16" t="str">
        <f t="shared" si="17"/>
        <v/>
      </c>
    </row>
    <row r="304" spans="17:22" x14ac:dyDescent="0.15">
      <c r="Q304" s="75" t="str">
        <f t="shared" si="15"/>
        <v/>
      </c>
      <c r="T304" s="16" t="str">
        <f t="shared" si="16"/>
        <v/>
      </c>
      <c r="V304" s="16" t="str">
        <f t="shared" si="17"/>
        <v/>
      </c>
    </row>
    <row r="305" spans="17:22" x14ac:dyDescent="0.15">
      <c r="Q305" s="75" t="str">
        <f t="shared" si="15"/>
        <v/>
      </c>
      <c r="T305" s="16" t="str">
        <f t="shared" si="16"/>
        <v/>
      </c>
      <c r="V305" s="16" t="str">
        <f t="shared" si="17"/>
        <v/>
      </c>
    </row>
    <row r="306" spans="17:22" x14ac:dyDescent="0.15">
      <c r="Q306" s="75" t="str">
        <f t="shared" si="15"/>
        <v/>
      </c>
      <c r="T306" s="16" t="str">
        <f t="shared" si="16"/>
        <v/>
      </c>
      <c r="V306" s="16" t="str">
        <f t="shared" si="17"/>
        <v/>
      </c>
    </row>
    <row r="307" spans="17:22" x14ac:dyDescent="0.15">
      <c r="Q307" s="75" t="str">
        <f t="shared" si="15"/>
        <v/>
      </c>
      <c r="T307" s="16" t="str">
        <f t="shared" si="16"/>
        <v/>
      </c>
      <c r="V307" s="16" t="str">
        <f t="shared" si="17"/>
        <v/>
      </c>
    </row>
    <row r="308" spans="17:22" x14ac:dyDescent="0.15">
      <c r="Q308" s="75" t="str">
        <f t="shared" si="15"/>
        <v/>
      </c>
      <c r="T308" s="16" t="str">
        <f t="shared" si="16"/>
        <v/>
      </c>
      <c r="V308" s="16" t="str">
        <f t="shared" si="17"/>
        <v/>
      </c>
    </row>
    <row r="309" spans="17:22" x14ac:dyDescent="0.15">
      <c r="Q309" s="75" t="str">
        <f t="shared" si="15"/>
        <v/>
      </c>
      <c r="T309" s="16" t="str">
        <f t="shared" si="16"/>
        <v/>
      </c>
      <c r="V309" s="16" t="str">
        <f t="shared" si="17"/>
        <v/>
      </c>
    </row>
    <row r="310" spans="17:22" x14ac:dyDescent="0.15">
      <c r="Q310" s="75" t="str">
        <f t="shared" si="15"/>
        <v/>
      </c>
      <c r="T310" s="16" t="str">
        <f t="shared" si="16"/>
        <v/>
      </c>
      <c r="V310" s="16" t="str">
        <f t="shared" si="17"/>
        <v/>
      </c>
    </row>
    <row r="311" spans="17:22" x14ac:dyDescent="0.15">
      <c r="Q311" s="75" t="str">
        <f t="shared" si="15"/>
        <v/>
      </c>
      <c r="T311" s="16" t="str">
        <f t="shared" si="16"/>
        <v/>
      </c>
      <c r="V311" s="16" t="str">
        <f t="shared" si="17"/>
        <v/>
      </c>
    </row>
    <row r="312" spans="17:22" x14ac:dyDescent="0.15">
      <c r="Q312" s="75" t="str">
        <f t="shared" si="15"/>
        <v/>
      </c>
      <c r="T312" s="16" t="str">
        <f t="shared" si="16"/>
        <v/>
      </c>
      <c r="V312" s="16" t="str">
        <f t="shared" si="17"/>
        <v/>
      </c>
    </row>
    <row r="313" spans="17:22" x14ac:dyDescent="0.15">
      <c r="Q313" s="75" t="str">
        <f t="shared" si="15"/>
        <v/>
      </c>
      <c r="T313" s="16" t="str">
        <f t="shared" si="16"/>
        <v/>
      </c>
      <c r="V313" s="16" t="str">
        <f t="shared" si="17"/>
        <v/>
      </c>
    </row>
    <row r="314" spans="17:22" x14ac:dyDescent="0.15">
      <c r="Q314" s="75" t="str">
        <f t="shared" si="15"/>
        <v/>
      </c>
      <c r="T314" s="16" t="str">
        <f t="shared" si="16"/>
        <v/>
      </c>
      <c r="V314" s="16" t="str">
        <f t="shared" si="17"/>
        <v/>
      </c>
    </row>
    <row r="315" spans="17:22" x14ac:dyDescent="0.15">
      <c r="Q315" s="75" t="str">
        <f t="shared" si="15"/>
        <v/>
      </c>
      <c r="T315" s="16" t="str">
        <f t="shared" si="16"/>
        <v/>
      </c>
      <c r="V315" s="16" t="str">
        <f t="shared" si="17"/>
        <v/>
      </c>
    </row>
    <row r="316" spans="17:22" x14ac:dyDescent="0.15">
      <c r="Q316" s="75" t="str">
        <f t="shared" si="15"/>
        <v/>
      </c>
      <c r="T316" s="16" t="str">
        <f t="shared" si="16"/>
        <v/>
      </c>
      <c r="V316" s="16" t="str">
        <f t="shared" si="17"/>
        <v/>
      </c>
    </row>
    <row r="317" spans="17:22" x14ac:dyDescent="0.15">
      <c r="Q317" s="75" t="str">
        <f t="shared" si="15"/>
        <v/>
      </c>
      <c r="T317" s="16" t="str">
        <f t="shared" si="16"/>
        <v/>
      </c>
      <c r="V317" s="16" t="str">
        <f t="shared" si="17"/>
        <v/>
      </c>
    </row>
    <row r="318" spans="17:22" x14ac:dyDescent="0.15">
      <c r="Q318" s="75" t="str">
        <f t="shared" si="15"/>
        <v/>
      </c>
      <c r="T318" s="16" t="str">
        <f t="shared" si="16"/>
        <v/>
      </c>
      <c r="V318" s="16" t="str">
        <f t="shared" si="17"/>
        <v/>
      </c>
    </row>
    <row r="319" spans="17:22" x14ac:dyDescent="0.15">
      <c r="Q319" s="75" t="str">
        <f t="shared" si="15"/>
        <v/>
      </c>
      <c r="T319" s="16" t="str">
        <f t="shared" si="16"/>
        <v/>
      </c>
      <c r="V319" s="16" t="str">
        <f t="shared" si="17"/>
        <v/>
      </c>
    </row>
    <row r="320" spans="17:22" x14ac:dyDescent="0.15">
      <c r="Q320" s="75" t="str">
        <f t="shared" si="15"/>
        <v/>
      </c>
      <c r="T320" s="16" t="str">
        <f t="shared" si="16"/>
        <v/>
      </c>
      <c r="V320" s="16" t="str">
        <f t="shared" si="17"/>
        <v/>
      </c>
    </row>
    <row r="321" spans="17:22" x14ac:dyDescent="0.15">
      <c r="Q321" s="75" t="str">
        <f t="shared" si="15"/>
        <v/>
      </c>
      <c r="T321" s="16" t="str">
        <f t="shared" si="16"/>
        <v/>
      </c>
      <c r="V321" s="16" t="str">
        <f t="shared" si="17"/>
        <v/>
      </c>
    </row>
    <row r="322" spans="17:22" x14ac:dyDescent="0.15">
      <c r="Q322" s="75" t="str">
        <f t="shared" si="15"/>
        <v/>
      </c>
      <c r="T322" s="16" t="str">
        <f t="shared" si="16"/>
        <v/>
      </c>
      <c r="V322" s="16" t="str">
        <f t="shared" si="17"/>
        <v/>
      </c>
    </row>
    <row r="323" spans="17:22" x14ac:dyDescent="0.15">
      <c r="Q323" s="75" t="str">
        <f t="shared" si="15"/>
        <v/>
      </c>
      <c r="T323" s="16" t="str">
        <f t="shared" si="16"/>
        <v/>
      </c>
      <c r="V323" s="16" t="str">
        <f t="shared" si="17"/>
        <v/>
      </c>
    </row>
    <row r="324" spans="17:22" x14ac:dyDescent="0.15">
      <c r="Q324" s="75" t="str">
        <f t="shared" si="15"/>
        <v/>
      </c>
      <c r="T324" s="16" t="str">
        <f t="shared" si="16"/>
        <v/>
      </c>
      <c r="V324" s="16" t="str">
        <f t="shared" si="17"/>
        <v/>
      </c>
    </row>
    <row r="325" spans="17:22" x14ac:dyDescent="0.15">
      <c r="Q325" s="75" t="str">
        <f t="shared" si="15"/>
        <v/>
      </c>
      <c r="T325" s="16" t="str">
        <f t="shared" si="16"/>
        <v/>
      </c>
      <c r="V325" s="16" t="str">
        <f t="shared" si="17"/>
        <v/>
      </c>
    </row>
    <row r="326" spans="17:22" x14ac:dyDescent="0.15">
      <c r="Q326" s="75" t="str">
        <f t="shared" si="15"/>
        <v/>
      </c>
      <c r="T326" s="16" t="str">
        <f t="shared" si="16"/>
        <v/>
      </c>
      <c r="V326" s="16" t="str">
        <f t="shared" si="17"/>
        <v/>
      </c>
    </row>
    <row r="327" spans="17:22" x14ac:dyDescent="0.15">
      <c r="Q327" s="75" t="str">
        <f t="shared" si="15"/>
        <v/>
      </c>
      <c r="T327" s="16" t="str">
        <f t="shared" si="16"/>
        <v/>
      </c>
      <c r="V327" s="16" t="str">
        <f t="shared" si="17"/>
        <v/>
      </c>
    </row>
    <row r="328" spans="17:22" x14ac:dyDescent="0.15">
      <c r="Q328" s="75" t="str">
        <f t="shared" si="15"/>
        <v/>
      </c>
      <c r="T328" s="16" t="str">
        <f t="shared" si="16"/>
        <v/>
      </c>
      <c r="V328" s="16" t="str">
        <f t="shared" si="17"/>
        <v/>
      </c>
    </row>
    <row r="329" spans="17:22" x14ac:dyDescent="0.15">
      <c r="Q329" s="75" t="str">
        <f t="shared" si="15"/>
        <v/>
      </c>
      <c r="T329" s="16" t="str">
        <f t="shared" si="16"/>
        <v/>
      </c>
      <c r="V329" s="16" t="str">
        <f t="shared" si="17"/>
        <v/>
      </c>
    </row>
    <row r="330" spans="17:22" x14ac:dyDescent="0.15">
      <c r="Q330" s="75" t="str">
        <f t="shared" si="15"/>
        <v/>
      </c>
      <c r="T330" s="16" t="str">
        <f t="shared" si="16"/>
        <v/>
      </c>
      <c r="V330" s="16" t="str">
        <f t="shared" si="17"/>
        <v/>
      </c>
    </row>
    <row r="331" spans="17:22" x14ac:dyDescent="0.15">
      <c r="Q331" s="75" t="str">
        <f t="shared" si="15"/>
        <v/>
      </c>
      <c r="T331" s="16" t="str">
        <f t="shared" si="16"/>
        <v/>
      </c>
      <c r="V331" s="16" t="str">
        <f t="shared" si="17"/>
        <v/>
      </c>
    </row>
    <row r="332" spans="17:22" x14ac:dyDescent="0.15">
      <c r="Q332" s="75" t="str">
        <f t="shared" si="15"/>
        <v/>
      </c>
      <c r="T332" s="16" t="str">
        <f t="shared" si="16"/>
        <v/>
      </c>
      <c r="V332" s="16" t="str">
        <f t="shared" si="17"/>
        <v/>
      </c>
    </row>
    <row r="333" spans="17:22" x14ac:dyDescent="0.15">
      <c r="Q333" s="75" t="str">
        <f t="shared" si="15"/>
        <v/>
      </c>
      <c r="T333" s="16" t="str">
        <f t="shared" si="16"/>
        <v/>
      </c>
      <c r="V333" s="16" t="str">
        <f t="shared" si="17"/>
        <v/>
      </c>
    </row>
    <row r="334" spans="17:22" x14ac:dyDescent="0.15">
      <c r="Q334" s="75" t="str">
        <f t="shared" si="15"/>
        <v/>
      </c>
      <c r="T334" s="16" t="str">
        <f t="shared" si="16"/>
        <v/>
      </c>
      <c r="V334" s="16" t="str">
        <f t="shared" si="17"/>
        <v/>
      </c>
    </row>
    <row r="335" spans="17:22" x14ac:dyDescent="0.15">
      <c r="Q335" s="75" t="str">
        <f t="shared" si="15"/>
        <v/>
      </c>
      <c r="T335" s="16" t="str">
        <f t="shared" si="16"/>
        <v/>
      </c>
      <c r="V335" s="16" t="str">
        <f t="shared" si="17"/>
        <v/>
      </c>
    </row>
    <row r="336" spans="17:22" x14ac:dyDescent="0.15">
      <c r="Q336" s="75" t="str">
        <f t="shared" si="15"/>
        <v/>
      </c>
      <c r="T336" s="16" t="str">
        <f t="shared" si="16"/>
        <v/>
      </c>
      <c r="V336" s="16" t="str">
        <f t="shared" si="17"/>
        <v/>
      </c>
    </row>
    <row r="337" spans="17:22" x14ac:dyDescent="0.15">
      <c r="Q337" s="75" t="str">
        <f t="shared" si="15"/>
        <v/>
      </c>
      <c r="T337" s="16" t="str">
        <f t="shared" si="16"/>
        <v/>
      </c>
      <c r="V337" s="16" t="str">
        <f t="shared" si="17"/>
        <v/>
      </c>
    </row>
    <row r="338" spans="17:22" x14ac:dyDescent="0.15">
      <c r="Q338" s="75" t="str">
        <f t="shared" si="15"/>
        <v/>
      </c>
      <c r="T338" s="16" t="str">
        <f t="shared" si="16"/>
        <v/>
      </c>
      <c r="V338" s="16" t="str">
        <f t="shared" si="17"/>
        <v/>
      </c>
    </row>
    <row r="339" spans="17:22" x14ac:dyDescent="0.15">
      <c r="Q339" s="75" t="str">
        <f t="shared" si="15"/>
        <v/>
      </c>
      <c r="T339" s="16" t="str">
        <f t="shared" si="16"/>
        <v/>
      </c>
      <c r="V339" s="16" t="str">
        <f t="shared" si="17"/>
        <v/>
      </c>
    </row>
    <row r="340" spans="17:22" x14ac:dyDescent="0.15">
      <c r="Q340" s="75" t="str">
        <f t="shared" si="15"/>
        <v/>
      </c>
      <c r="T340" s="16" t="str">
        <f t="shared" si="16"/>
        <v/>
      </c>
      <c r="V340" s="16" t="str">
        <f t="shared" si="17"/>
        <v/>
      </c>
    </row>
    <row r="341" spans="17:22" x14ac:dyDescent="0.15">
      <c r="Q341" s="75" t="str">
        <f t="shared" si="15"/>
        <v/>
      </c>
      <c r="T341" s="16" t="str">
        <f t="shared" si="16"/>
        <v/>
      </c>
      <c r="V341" s="16" t="str">
        <f t="shared" si="17"/>
        <v/>
      </c>
    </row>
    <row r="342" spans="17:22" x14ac:dyDescent="0.15">
      <c r="Q342" s="75" t="str">
        <f t="shared" si="15"/>
        <v/>
      </c>
      <c r="T342" s="16" t="str">
        <f t="shared" si="16"/>
        <v/>
      </c>
      <c r="V342" s="16" t="str">
        <f t="shared" si="17"/>
        <v/>
      </c>
    </row>
    <row r="343" spans="17:22" x14ac:dyDescent="0.15">
      <c r="Q343" s="75" t="str">
        <f t="shared" si="15"/>
        <v/>
      </c>
      <c r="T343" s="16" t="str">
        <f t="shared" si="16"/>
        <v/>
      </c>
      <c r="V343" s="16" t="str">
        <f t="shared" si="17"/>
        <v/>
      </c>
    </row>
    <row r="344" spans="17:22" x14ac:dyDescent="0.15">
      <c r="Q344" s="75" t="str">
        <f t="shared" si="15"/>
        <v/>
      </c>
      <c r="T344" s="16" t="str">
        <f t="shared" si="16"/>
        <v/>
      </c>
      <c r="V344" s="16" t="str">
        <f t="shared" si="17"/>
        <v/>
      </c>
    </row>
    <row r="345" spans="17:22" x14ac:dyDescent="0.15">
      <c r="Q345" s="75" t="str">
        <f t="shared" si="15"/>
        <v/>
      </c>
      <c r="T345" s="16" t="str">
        <f t="shared" si="16"/>
        <v/>
      </c>
      <c r="V345" s="16" t="str">
        <f t="shared" si="17"/>
        <v/>
      </c>
    </row>
    <row r="346" spans="17:22" x14ac:dyDescent="0.15">
      <c r="Q346" s="75" t="str">
        <f t="shared" si="15"/>
        <v/>
      </c>
      <c r="T346" s="16" t="str">
        <f t="shared" si="16"/>
        <v/>
      </c>
      <c r="V346" s="16" t="str">
        <f t="shared" si="17"/>
        <v/>
      </c>
    </row>
    <row r="347" spans="17:22" x14ac:dyDescent="0.15">
      <c r="Q347" s="75" t="str">
        <f t="shared" si="15"/>
        <v/>
      </c>
      <c r="T347" s="16" t="str">
        <f t="shared" si="16"/>
        <v/>
      </c>
      <c r="V347" s="16" t="str">
        <f t="shared" si="17"/>
        <v/>
      </c>
    </row>
    <row r="348" spans="17:22" x14ac:dyDescent="0.15">
      <c r="Q348" s="75" t="str">
        <f t="shared" si="15"/>
        <v/>
      </c>
      <c r="T348" s="16" t="str">
        <f t="shared" si="16"/>
        <v/>
      </c>
      <c r="V348" s="16" t="str">
        <f t="shared" si="17"/>
        <v/>
      </c>
    </row>
    <row r="349" spans="17:22" x14ac:dyDescent="0.15">
      <c r="Q349" s="75" t="str">
        <f t="shared" si="15"/>
        <v/>
      </c>
      <c r="T349" s="16" t="str">
        <f t="shared" si="16"/>
        <v/>
      </c>
      <c r="V349" s="16" t="str">
        <f t="shared" si="17"/>
        <v/>
      </c>
    </row>
    <row r="350" spans="17:22" x14ac:dyDescent="0.15">
      <c r="Q350" s="75" t="str">
        <f t="shared" ref="Q350:Q408" si="18">IF(OR(O350="",P350=""),"",AVERAGE(O350,P350))</f>
        <v/>
      </c>
      <c r="T350" s="16" t="str">
        <f t="shared" ref="T350:T408" si="19">IF(H350="","",IF(OR(H350="GREEN",H350="GK"),IF(S350&gt;=$AX$2,VLOOKUP(S350,$AX$2:$AY$10,2,1),""),IF(S350&gt;=$AZ$2,VLOOKUP(S350,$AZ$2:$BA$10,2,1),"")))</f>
        <v/>
      </c>
      <c r="V350" s="16" t="str">
        <f t="shared" ref="V350:V413" si="20">IF(OR(N350="",U350="",T350=""),"",U350/N350*T350)</f>
        <v/>
      </c>
    </row>
    <row r="351" spans="17:22" x14ac:dyDescent="0.15">
      <c r="Q351" s="75" t="str">
        <f t="shared" si="18"/>
        <v/>
      </c>
      <c r="T351" s="16" t="str">
        <f t="shared" si="19"/>
        <v/>
      </c>
      <c r="V351" s="16" t="str">
        <f t="shared" si="20"/>
        <v/>
      </c>
    </row>
    <row r="352" spans="17:22" x14ac:dyDescent="0.15">
      <c r="Q352" s="75" t="str">
        <f t="shared" si="18"/>
        <v/>
      </c>
      <c r="T352" s="16" t="str">
        <f t="shared" si="19"/>
        <v/>
      </c>
      <c r="V352" s="16" t="str">
        <f t="shared" si="20"/>
        <v/>
      </c>
    </row>
    <row r="353" spans="17:22" x14ac:dyDescent="0.15">
      <c r="Q353" s="75" t="str">
        <f t="shared" si="18"/>
        <v/>
      </c>
      <c r="T353" s="16" t="str">
        <f t="shared" si="19"/>
        <v/>
      </c>
      <c r="V353" s="16" t="str">
        <f t="shared" si="20"/>
        <v/>
      </c>
    </row>
    <row r="354" spans="17:22" x14ac:dyDescent="0.15">
      <c r="Q354" s="75" t="str">
        <f t="shared" si="18"/>
        <v/>
      </c>
      <c r="T354" s="16" t="str">
        <f t="shared" si="19"/>
        <v/>
      </c>
      <c r="V354" s="16" t="str">
        <f t="shared" si="20"/>
        <v/>
      </c>
    </row>
    <row r="355" spans="17:22" x14ac:dyDescent="0.15">
      <c r="Q355" s="75" t="str">
        <f t="shared" si="18"/>
        <v/>
      </c>
      <c r="T355" s="16" t="str">
        <f t="shared" si="19"/>
        <v/>
      </c>
      <c r="V355" s="16" t="str">
        <f t="shared" si="20"/>
        <v/>
      </c>
    </row>
    <row r="356" spans="17:22" x14ac:dyDescent="0.15">
      <c r="Q356" s="75" t="str">
        <f t="shared" si="18"/>
        <v/>
      </c>
      <c r="T356" s="16" t="str">
        <f t="shared" si="19"/>
        <v/>
      </c>
      <c r="V356" s="16" t="str">
        <f t="shared" si="20"/>
        <v/>
      </c>
    </row>
    <row r="357" spans="17:22" x14ac:dyDescent="0.15">
      <c r="Q357" s="75" t="str">
        <f t="shared" si="18"/>
        <v/>
      </c>
      <c r="T357" s="16" t="str">
        <f t="shared" si="19"/>
        <v/>
      </c>
      <c r="V357" s="16" t="str">
        <f t="shared" si="20"/>
        <v/>
      </c>
    </row>
    <row r="358" spans="17:22" x14ac:dyDescent="0.15">
      <c r="Q358" s="75" t="str">
        <f t="shared" si="18"/>
        <v/>
      </c>
      <c r="T358" s="16" t="str">
        <f t="shared" si="19"/>
        <v/>
      </c>
      <c r="V358" s="16" t="str">
        <f t="shared" si="20"/>
        <v/>
      </c>
    </row>
    <row r="359" spans="17:22" x14ac:dyDescent="0.15">
      <c r="Q359" s="75" t="str">
        <f t="shared" si="18"/>
        <v/>
      </c>
      <c r="T359" s="16" t="str">
        <f t="shared" si="19"/>
        <v/>
      </c>
      <c r="V359" s="16" t="str">
        <f t="shared" si="20"/>
        <v/>
      </c>
    </row>
    <row r="360" spans="17:22" x14ac:dyDescent="0.15">
      <c r="T360" s="16" t="str">
        <f t="shared" si="19"/>
        <v/>
      </c>
      <c r="V360" s="16" t="str">
        <f t="shared" si="20"/>
        <v/>
      </c>
    </row>
    <row r="361" spans="17:22" x14ac:dyDescent="0.15">
      <c r="T361" s="16" t="str">
        <f t="shared" si="19"/>
        <v/>
      </c>
      <c r="V361" s="16" t="str">
        <f t="shared" si="20"/>
        <v/>
      </c>
    </row>
    <row r="362" spans="17:22" x14ac:dyDescent="0.15">
      <c r="T362" s="16" t="str">
        <f t="shared" si="19"/>
        <v/>
      </c>
      <c r="V362" s="16" t="str">
        <f t="shared" si="20"/>
        <v/>
      </c>
    </row>
    <row r="363" spans="17:22" x14ac:dyDescent="0.15">
      <c r="T363" s="16" t="str">
        <f t="shared" si="19"/>
        <v/>
      </c>
      <c r="V363" s="16" t="str">
        <f t="shared" si="20"/>
        <v/>
      </c>
    </row>
    <row r="364" spans="17:22" x14ac:dyDescent="0.15">
      <c r="T364" s="16" t="str">
        <f t="shared" si="19"/>
        <v/>
      </c>
      <c r="V364" s="16" t="str">
        <f t="shared" si="20"/>
        <v/>
      </c>
    </row>
    <row r="365" spans="17:22" x14ac:dyDescent="0.15">
      <c r="T365" s="16" t="str">
        <f t="shared" si="19"/>
        <v/>
      </c>
      <c r="V365" s="16" t="str">
        <f t="shared" si="20"/>
        <v/>
      </c>
    </row>
    <row r="366" spans="17:22" x14ac:dyDescent="0.15">
      <c r="T366" s="16" t="str">
        <f t="shared" si="19"/>
        <v/>
      </c>
      <c r="V366" s="16" t="str">
        <f t="shared" si="20"/>
        <v/>
      </c>
    </row>
    <row r="367" spans="17:22" x14ac:dyDescent="0.15">
      <c r="T367" s="16" t="str">
        <f t="shared" si="19"/>
        <v/>
      </c>
      <c r="V367" s="16" t="str">
        <f t="shared" si="20"/>
        <v/>
      </c>
    </row>
    <row r="368" spans="17:22" x14ac:dyDescent="0.15">
      <c r="T368" s="16" t="str">
        <f t="shared" si="19"/>
        <v/>
      </c>
    </row>
    <row r="369" spans="20:20" x14ac:dyDescent="0.15">
      <c r="T369" s="16" t="str">
        <f t="shared" si="19"/>
        <v/>
      </c>
    </row>
    <row r="370" spans="20:20" x14ac:dyDescent="0.15">
      <c r="T370" s="16" t="str">
        <f t="shared" si="19"/>
        <v/>
      </c>
    </row>
    <row r="371" spans="20:20" x14ac:dyDescent="0.15">
      <c r="T371" s="16" t="str">
        <f t="shared" si="19"/>
        <v/>
      </c>
    </row>
    <row r="372" spans="20:20" x14ac:dyDescent="0.15">
      <c r="T372" s="16" t="str">
        <f t="shared" si="19"/>
        <v/>
      </c>
    </row>
    <row r="373" spans="20:20" x14ac:dyDescent="0.15">
      <c r="T373" s="16" t="str">
        <f t="shared" si="19"/>
        <v/>
      </c>
    </row>
    <row r="374" spans="20:20" x14ac:dyDescent="0.15">
      <c r="T374" s="16" t="str">
        <f t="shared" si="19"/>
        <v/>
      </c>
    </row>
    <row r="375" spans="20:20" x14ac:dyDescent="0.15">
      <c r="T375" s="16" t="str">
        <f t="shared" si="19"/>
        <v/>
      </c>
    </row>
    <row r="376" spans="20:20" x14ac:dyDescent="0.15">
      <c r="T376" s="16" t="str">
        <f t="shared" si="19"/>
        <v/>
      </c>
    </row>
    <row r="377" spans="20:20" x14ac:dyDescent="0.15">
      <c r="T377" s="16" t="str">
        <f t="shared" si="19"/>
        <v/>
      </c>
    </row>
    <row r="378" spans="20:20" x14ac:dyDescent="0.15">
      <c r="T378" s="16" t="str">
        <f t="shared" si="19"/>
        <v/>
      </c>
    </row>
    <row r="379" spans="20:20" x14ac:dyDescent="0.15">
      <c r="T379" s="16" t="str">
        <f t="shared" si="19"/>
        <v/>
      </c>
    </row>
    <row r="380" spans="20:20" x14ac:dyDescent="0.15">
      <c r="T380" s="16" t="str">
        <f t="shared" si="19"/>
        <v/>
      </c>
    </row>
    <row r="381" spans="20:20" x14ac:dyDescent="0.15">
      <c r="T381" s="16" t="str">
        <f t="shared" si="19"/>
        <v/>
      </c>
    </row>
    <row r="382" spans="20:20" x14ac:dyDescent="0.15">
      <c r="T382" s="16" t="str">
        <f t="shared" si="19"/>
        <v/>
      </c>
    </row>
    <row r="383" spans="20:20" x14ac:dyDescent="0.15">
      <c r="T383" s="16" t="str">
        <f t="shared" si="19"/>
        <v/>
      </c>
    </row>
    <row r="384" spans="20:20" x14ac:dyDescent="0.15">
      <c r="T384" s="16" t="str">
        <f t="shared" si="19"/>
        <v/>
      </c>
    </row>
    <row r="385" spans="20:20" x14ac:dyDescent="0.15">
      <c r="T385" s="16" t="str">
        <f t="shared" si="19"/>
        <v/>
      </c>
    </row>
    <row r="386" spans="20:20" x14ac:dyDescent="0.15">
      <c r="T386" s="16" t="str">
        <f t="shared" si="19"/>
        <v/>
      </c>
    </row>
    <row r="387" spans="20:20" x14ac:dyDescent="0.15">
      <c r="T387" s="16" t="str">
        <f t="shared" si="19"/>
        <v/>
      </c>
    </row>
  </sheetData>
  <autoFilter ref="A1:BA387" xr:uid="{00000000-0009-0000-0000-000001000000}"/>
  <phoneticPr fontId="3"/>
  <dataValidations count="14">
    <dataValidation type="list" allowBlank="1" showInputMessage="1" showErrorMessage="1" sqref="Y155:AA343" xr:uid="{A865DCD8-CBA4-4ADF-AE18-6202B418BEEC}">
      <formula1>$AV$2:$AV$16</formula1>
    </dataValidation>
    <dataValidation type="list" allowBlank="1" showInputMessage="1" showErrorMessage="1" sqref="X2:X343" xr:uid="{8525188A-D185-4714-8016-230E4AC8B2F2}">
      <formula1>$AT$2:$AT$3</formula1>
    </dataValidation>
    <dataValidation type="list" allowBlank="1" showInputMessage="1" showErrorMessage="1" sqref="K160:K343" xr:uid="{5693A424-2D9E-4A40-9DEB-238400BFE6E4}">
      <formula1>$AR$2:$AR$19</formula1>
    </dataValidation>
    <dataValidation type="list" allowBlank="1" showInputMessage="1" showErrorMessage="1" sqref="G2:G343" xr:uid="{2AABE624-0A3F-462C-B848-E0CAF3771D09}">
      <formula1>$AJ$2:$AJ$4</formula1>
    </dataValidation>
    <dataValidation type="list" allowBlank="1" showInputMessage="1" showErrorMessage="1" sqref="F1:F65497" xr:uid="{8C3982CD-492A-4B59-A564-0A5427033818}">
      <formula1>$AH$2:$AH$11</formula1>
    </dataValidation>
    <dataValidation type="decimal" allowBlank="1" showInputMessage="1" showErrorMessage="1" error="硬度を正しく入力して下さい。" sqref="O2:P343" xr:uid="{71ACD569-D4E9-492B-9F3C-EEFE6D906D1C}">
      <formula1>0</formula1>
      <formula2>7</formula2>
    </dataValidation>
    <dataValidation type="list" allowBlank="1" showInputMessage="1" showErrorMessage="1" sqref="I2:I343" xr:uid="{19CBF86C-A8A2-4104-8267-041D40F9A7F5}">
      <formula1>$AN$5:$AN$6</formula1>
    </dataValidation>
    <dataValidation type="list" allowBlank="1" showInputMessage="1" showErrorMessage="1" sqref="H2:H343" xr:uid="{10F16050-908C-488B-89D3-BF52C71A19E4}">
      <formula1>$AL$2:$AL$8</formula1>
    </dataValidation>
    <dataValidation type="list" allowBlank="1" showInputMessage="1" showErrorMessage="1" sqref="E1:E65497" xr:uid="{9814F313-BFF1-4683-A26F-426072C12F97}">
      <formula1>$AG$2:$AG$11</formula1>
    </dataValidation>
    <dataValidation type="list" allowBlank="1" showInputMessage="1" showErrorMessage="1" sqref="J2:J343" xr:uid="{C0AF3CED-30A3-4FAC-80DB-ABDC0866F72F}">
      <formula1>$AP$2:$AP$19</formula1>
    </dataValidation>
    <dataValidation allowBlank="1" showInputMessage="1" showErrorMessage="1" sqref="B2:B154" xr:uid="{BCBD4F2E-1F1C-4863-86DE-636E6857C7F9}"/>
    <dataValidation type="list" allowBlank="1" showInputMessage="1" showErrorMessage="1" sqref="Y2:AA154" xr:uid="{6E308118-D0E3-4D00-9770-8E72B5A037A0}">
      <formula1>$AV$2:$AV$23</formula1>
    </dataValidation>
    <dataValidation type="list" allowBlank="1" showInputMessage="1" showErrorMessage="1" sqref="K2:K159" xr:uid="{00F4892F-2044-4C3E-8541-61B368B8C5BD}">
      <formula1>$AR$2:$AR$23</formula1>
    </dataValidation>
    <dataValidation type="list" allowBlank="1" showInputMessage="1" showErrorMessage="1" sqref="A2:A343" xr:uid="{E29D514B-61A6-435F-A503-0F715087D5C1}">
      <formula1>$AE$2:$AE$16</formula1>
    </dataValidation>
  </dataValidations>
  <pageMargins left="0.69930555555555596" right="0.69930555555555596"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42EC8-8813-45ED-AFA7-2A7419EB6D92}">
  <dimension ref="A1:BA82"/>
  <sheetViews>
    <sheetView zoomScale="85" zoomScaleNormal="85" workbookViewId="0">
      <selection activeCell="N29" sqref="N29"/>
    </sheetView>
  </sheetViews>
  <sheetFormatPr defaultRowHeight="13.5" x14ac:dyDescent="0.15"/>
  <cols>
    <col min="1" max="3" width="9" style="53"/>
    <col min="4" max="4" width="10.5" style="53" bestFit="1" customWidth="1"/>
    <col min="5" max="13" width="9" style="53"/>
    <col min="14" max="14" width="9.5" style="53" bestFit="1" customWidth="1"/>
    <col min="15" max="16" width="9" style="53"/>
    <col min="17" max="17" width="9" style="16"/>
    <col min="18" max="19" width="9" style="53"/>
    <col min="20" max="20" width="9" style="16"/>
    <col min="21" max="21" width="9" style="53"/>
    <col min="22" max="22" width="9" style="16"/>
    <col min="23" max="32" width="9" style="53"/>
    <col min="33" max="33" width="15.875" style="53" bestFit="1" customWidth="1"/>
    <col min="34" max="34" width="11.375" style="53" bestFit="1" customWidth="1"/>
    <col min="35" max="259" width="9" style="53"/>
    <col min="260" max="260" width="10.5" style="53" bestFit="1" customWidth="1"/>
    <col min="261" max="269" width="9" style="53"/>
    <col min="270" max="270" width="9.5" style="53" bestFit="1" customWidth="1"/>
    <col min="271" max="288" width="9" style="53"/>
    <col min="289" max="289" width="15.875" style="53" bestFit="1" customWidth="1"/>
    <col min="290" max="290" width="11.375" style="53" bestFit="1" customWidth="1"/>
    <col min="291" max="515" width="9" style="53"/>
    <col min="516" max="516" width="10.5" style="53" bestFit="1" customWidth="1"/>
    <col min="517" max="525" width="9" style="53"/>
    <col min="526" max="526" width="9.5" style="53" bestFit="1" customWidth="1"/>
    <col min="527" max="544" width="9" style="53"/>
    <col min="545" max="545" width="15.875" style="53" bestFit="1" customWidth="1"/>
    <col min="546" max="546" width="11.375" style="53" bestFit="1" customWidth="1"/>
    <col min="547" max="771" width="9" style="53"/>
    <col min="772" max="772" width="10.5" style="53" bestFit="1" customWidth="1"/>
    <col min="773" max="781" width="9" style="53"/>
    <col min="782" max="782" width="9.5" style="53" bestFit="1" customWidth="1"/>
    <col min="783" max="800" width="9" style="53"/>
    <col min="801" max="801" width="15.875" style="53" bestFit="1" customWidth="1"/>
    <col min="802" max="802" width="11.375" style="53" bestFit="1" customWidth="1"/>
    <col min="803" max="1027" width="9" style="53"/>
    <col min="1028" max="1028" width="10.5" style="53" bestFit="1" customWidth="1"/>
    <col min="1029" max="1037" width="9" style="53"/>
    <col min="1038" max="1038" width="9.5" style="53" bestFit="1" customWidth="1"/>
    <col min="1039" max="1056" width="9" style="53"/>
    <col min="1057" max="1057" width="15.875" style="53" bestFit="1" customWidth="1"/>
    <col min="1058" max="1058" width="11.375" style="53" bestFit="1" customWidth="1"/>
    <col min="1059" max="1283" width="9" style="53"/>
    <col min="1284" max="1284" width="10.5" style="53" bestFit="1" customWidth="1"/>
    <col min="1285" max="1293" width="9" style="53"/>
    <col min="1294" max="1294" width="9.5" style="53" bestFit="1" customWidth="1"/>
    <col min="1295" max="1312" width="9" style="53"/>
    <col min="1313" max="1313" width="15.875" style="53" bestFit="1" customWidth="1"/>
    <col min="1314" max="1314" width="11.375" style="53" bestFit="1" customWidth="1"/>
    <col min="1315" max="1539" width="9" style="53"/>
    <col min="1540" max="1540" width="10.5" style="53" bestFit="1" customWidth="1"/>
    <col min="1541" max="1549" width="9" style="53"/>
    <col min="1550" max="1550" width="9.5" style="53" bestFit="1" customWidth="1"/>
    <col min="1551" max="1568" width="9" style="53"/>
    <col min="1569" max="1569" width="15.875" style="53" bestFit="1" customWidth="1"/>
    <col min="1570" max="1570" width="11.375" style="53" bestFit="1" customWidth="1"/>
    <col min="1571" max="1795" width="9" style="53"/>
    <col min="1796" max="1796" width="10.5" style="53" bestFit="1" customWidth="1"/>
    <col min="1797" max="1805" width="9" style="53"/>
    <col min="1806" max="1806" width="9.5" style="53" bestFit="1" customWidth="1"/>
    <col min="1807" max="1824" width="9" style="53"/>
    <col min="1825" max="1825" width="15.875" style="53" bestFit="1" customWidth="1"/>
    <col min="1826" max="1826" width="11.375" style="53" bestFit="1" customWidth="1"/>
    <col min="1827" max="2051" width="9" style="53"/>
    <col min="2052" max="2052" width="10.5" style="53" bestFit="1" customWidth="1"/>
    <col min="2053" max="2061" width="9" style="53"/>
    <col min="2062" max="2062" width="9.5" style="53" bestFit="1" customWidth="1"/>
    <col min="2063" max="2080" width="9" style="53"/>
    <col min="2081" max="2081" width="15.875" style="53" bestFit="1" customWidth="1"/>
    <col min="2082" max="2082" width="11.375" style="53" bestFit="1" customWidth="1"/>
    <col min="2083" max="2307" width="9" style="53"/>
    <col min="2308" max="2308" width="10.5" style="53" bestFit="1" customWidth="1"/>
    <col min="2309" max="2317" width="9" style="53"/>
    <col min="2318" max="2318" width="9.5" style="53" bestFit="1" customWidth="1"/>
    <col min="2319" max="2336" width="9" style="53"/>
    <col min="2337" max="2337" width="15.875" style="53" bestFit="1" customWidth="1"/>
    <col min="2338" max="2338" width="11.375" style="53" bestFit="1" customWidth="1"/>
    <col min="2339" max="2563" width="9" style="53"/>
    <col min="2564" max="2564" width="10.5" style="53" bestFit="1" customWidth="1"/>
    <col min="2565" max="2573" width="9" style="53"/>
    <col min="2574" max="2574" width="9.5" style="53" bestFit="1" customWidth="1"/>
    <col min="2575" max="2592" width="9" style="53"/>
    <col min="2593" max="2593" width="15.875" style="53" bestFit="1" customWidth="1"/>
    <col min="2594" max="2594" width="11.375" style="53" bestFit="1" customWidth="1"/>
    <col min="2595" max="2819" width="9" style="53"/>
    <col min="2820" max="2820" width="10.5" style="53" bestFit="1" customWidth="1"/>
    <col min="2821" max="2829" width="9" style="53"/>
    <col min="2830" max="2830" width="9.5" style="53" bestFit="1" customWidth="1"/>
    <col min="2831" max="2848" width="9" style="53"/>
    <col min="2849" max="2849" width="15.875" style="53" bestFit="1" customWidth="1"/>
    <col min="2850" max="2850" width="11.375" style="53" bestFit="1" customWidth="1"/>
    <col min="2851" max="3075" width="9" style="53"/>
    <col min="3076" max="3076" width="10.5" style="53" bestFit="1" customWidth="1"/>
    <col min="3077" max="3085" width="9" style="53"/>
    <col min="3086" max="3086" width="9.5" style="53" bestFit="1" customWidth="1"/>
    <col min="3087" max="3104" width="9" style="53"/>
    <col min="3105" max="3105" width="15.875" style="53" bestFit="1" customWidth="1"/>
    <col min="3106" max="3106" width="11.375" style="53" bestFit="1" customWidth="1"/>
    <col min="3107" max="3331" width="9" style="53"/>
    <col min="3332" max="3332" width="10.5" style="53" bestFit="1" customWidth="1"/>
    <col min="3333" max="3341" width="9" style="53"/>
    <col min="3342" max="3342" width="9.5" style="53" bestFit="1" customWidth="1"/>
    <col min="3343" max="3360" width="9" style="53"/>
    <col min="3361" max="3361" width="15.875" style="53" bestFit="1" customWidth="1"/>
    <col min="3362" max="3362" width="11.375" style="53" bestFit="1" customWidth="1"/>
    <col min="3363" max="3587" width="9" style="53"/>
    <col min="3588" max="3588" width="10.5" style="53" bestFit="1" customWidth="1"/>
    <col min="3589" max="3597" width="9" style="53"/>
    <col min="3598" max="3598" width="9.5" style="53" bestFit="1" customWidth="1"/>
    <col min="3599" max="3616" width="9" style="53"/>
    <col min="3617" max="3617" width="15.875" style="53" bestFit="1" customWidth="1"/>
    <col min="3618" max="3618" width="11.375" style="53" bestFit="1" customWidth="1"/>
    <col min="3619" max="3843" width="9" style="53"/>
    <col min="3844" max="3844" width="10.5" style="53" bestFit="1" customWidth="1"/>
    <col min="3845" max="3853" width="9" style="53"/>
    <col min="3854" max="3854" width="9.5" style="53" bestFit="1" customWidth="1"/>
    <col min="3855" max="3872" width="9" style="53"/>
    <col min="3873" max="3873" width="15.875" style="53" bestFit="1" customWidth="1"/>
    <col min="3874" max="3874" width="11.375" style="53" bestFit="1" customWidth="1"/>
    <col min="3875" max="4099" width="9" style="53"/>
    <col min="4100" max="4100" width="10.5" style="53" bestFit="1" customWidth="1"/>
    <col min="4101" max="4109" width="9" style="53"/>
    <col min="4110" max="4110" width="9.5" style="53" bestFit="1" customWidth="1"/>
    <col min="4111" max="4128" width="9" style="53"/>
    <col min="4129" max="4129" width="15.875" style="53" bestFit="1" customWidth="1"/>
    <col min="4130" max="4130" width="11.375" style="53" bestFit="1" customWidth="1"/>
    <col min="4131" max="4355" width="9" style="53"/>
    <col min="4356" max="4356" width="10.5" style="53" bestFit="1" customWidth="1"/>
    <col min="4357" max="4365" width="9" style="53"/>
    <col min="4366" max="4366" width="9.5" style="53" bestFit="1" customWidth="1"/>
    <col min="4367" max="4384" width="9" style="53"/>
    <col min="4385" max="4385" width="15.875" style="53" bestFit="1" customWidth="1"/>
    <col min="4386" max="4386" width="11.375" style="53" bestFit="1" customWidth="1"/>
    <col min="4387" max="4611" width="9" style="53"/>
    <col min="4612" max="4612" width="10.5" style="53" bestFit="1" customWidth="1"/>
    <col min="4613" max="4621" width="9" style="53"/>
    <col min="4622" max="4622" width="9.5" style="53" bestFit="1" customWidth="1"/>
    <col min="4623" max="4640" width="9" style="53"/>
    <col min="4641" max="4641" width="15.875" style="53" bestFit="1" customWidth="1"/>
    <col min="4642" max="4642" width="11.375" style="53" bestFit="1" customWidth="1"/>
    <col min="4643" max="4867" width="9" style="53"/>
    <col min="4868" max="4868" width="10.5" style="53" bestFit="1" customWidth="1"/>
    <col min="4869" max="4877" width="9" style="53"/>
    <col min="4878" max="4878" width="9.5" style="53" bestFit="1" customWidth="1"/>
    <col min="4879" max="4896" width="9" style="53"/>
    <col min="4897" max="4897" width="15.875" style="53" bestFit="1" customWidth="1"/>
    <col min="4898" max="4898" width="11.375" style="53" bestFit="1" customWidth="1"/>
    <col min="4899" max="5123" width="9" style="53"/>
    <col min="5124" max="5124" width="10.5" style="53" bestFit="1" customWidth="1"/>
    <col min="5125" max="5133" width="9" style="53"/>
    <col min="5134" max="5134" width="9.5" style="53" bestFit="1" customWidth="1"/>
    <col min="5135" max="5152" width="9" style="53"/>
    <col min="5153" max="5153" width="15.875" style="53" bestFit="1" customWidth="1"/>
    <col min="5154" max="5154" width="11.375" style="53" bestFit="1" customWidth="1"/>
    <col min="5155" max="5379" width="9" style="53"/>
    <col min="5380" max="5380" width="10.5" style="53" bestFit="1" customWidth="1"/>
    <col min="5381" max="5389" width="9" style="53"/>
    <col min="5390" max="5390" width="9.5" style="53" bestFit="1" customWidth="1"/>
    <col min="5391" max="5408" width="9" style="53"/>
    <col min="5409" max="5409" width="15.875" style="53" bestFit="1" customWidth="1"/>
    <col min="5410" max="5410" width="11.375" style="53" bestFit="1" customWidth="1"/>
    <col min="5411" max="5635" width="9" style="53"/>
    <col min="5636" max="5636" width="10.5" style="53" bestFit="1" customWidth="1"/>
    <col min="5637" max="5645" width="9" style="53"/>
    <col min="5646" max="5646" width="9.5" style="53" bestFit="1" customWidth="1"/>
    <col min="5647" max="5664" width="9" style="53"/>
    <col min="5665" max="5665" width="15.875" style="53" bestFit="1" customWidth="1"/>
    <col min="5666" max="5666" width="11.375" style="53" bestFit="1" customWidth="1"/>
    <col min="5667" max="5891" width="9" style="53"/>
    <col min="5892" max="5892" width="10.5" style="53" bestFit="1" customWidth="1"/>
    <col min="5893" max="5901" width="9" style="53"/>
    <col min="5902" max="5902" width="9.5" style="53" bestFit="1" customWidth="1"/>
    <col min="5903" max="5920" width="9" style="53"/>
    <col min="5921" max="5921" width="15.875" style="53" bestFit="1" customWidth="1"/>
    <col min="5922" max="5922" width="11.375" style="53" bestFit="1" customWidth="1"/>
    <col min="5923" max="6147" width="9" style="53"/>
    <col min="6148" max="6148" width="10.5" style="53" bestFit="1" customWidth="1"/>
    <col min="6149" max="6157" width="9" style="53"/>
    <col min="6158" max="6158" width="9.5" style="53" bestFit="1" customWidth="1"/>
    <col min="6159" max="6176" width="9" style="53"/>
    <col min="6177" max="6177" width="15.875" style="53" bestFit="1" customWidth="1"/>
    <col min="6178" max="6178" width="11.375" style="53" bestFit="1" customWidth="1"/>
    <col min="6179" max="6403" width="9" style="53"/>
    <col min="6404" max="6404" width="10.5" style="53" bestFit="1" customWidth="1"/>
    <col min="6405" max="6413" width="9" style="53"/>
    <col min="6414" max="6414" width="9.5" style="53" bestFit="1" customWidth="1"/>
    <col min="6415" max="6432" width="9" style="53"/>
    <col min="6433" max="6433" width="15.875" style="53" bestFit="1" customWidth="1"/>
    <col min="6434" max="6434" width="11.375" style="53" bestFit="1" customWidth="1"/>
    <col min="6435" max="6659" width="9" style="53"/>
    <col min="6660" max="6660" width="10.5" style="53" bestFit="1" customWidth="1"/>
    <col min="6661" max="6669" width="9" style="53"/>
    <col min="6670" max="6670" width="9.5" style="53" bestFit="1" customWidth="1"/>
    <col min="6671" max="6688" width="9" style="53"/>
    <col min="6689" max="6689" width="15.875" style="53" bestFit="1" customWidth="1"/>
    <col min="6690" max="6690" width="11.375" style="53" bestFit="1" customWidth="1"/>
    <col min="6691" max="6915" width="9" style="53"/>
    <col min="6916" max="6916" width="10.5" style="53" bestFit="1" customWidth="1"/>
    <col min="6917" max="6925" width="9" style="53"/>
    <col min="6926" max="6926" width="9.5" style="53" bestFit="1" customWidth="1"/>
    <col min="6927" max="6944" width="9" style="53"/>
    <col min="6945" max="6945" width="15.875" style="53" bestFit="1" customWidth="1"/>
    <col min="6946" max="6946" width="11.375" style="53" bestFit="1" customWidth="1"/>
    <col min="6947" max="7171" width="9" style="53"/>
    <col min="7172" max="7172" width="10.5" style="53" bestFit="1" customWidth="1"/>
    <col min="7173" max="7181" width="9" style="53"/>
    <col min="7182" max="7182" width="9.5" style="53" bestFit="1" customWidth="1"/>
    <col min="7183" max="7200" width="9" style="53"/>
    <col min="7201" max="7201" width="15.875" style="53" bestFit="1" customWidth="1"/>
    <col min="7202" max="7202" width="11.375" style="53" bestFit="1" customWidth="1"/>
    <col min="7203" max="7427" width="9" style="53"/>
    <col min="7428" max="7428" width="10.5" style="53" bestFit="1" customWidth="1"/>
    <col min="7429" max="7437" width="9" style="53"/>
    <col min="7438" max="7438" width="9.5" style="53" bestFit="1" customWidth="1"/>
    <col min="7439" max="7456" width="9" style="53"/>
    <col min="7457" max="7457" width="15.875" style="53" bestFit="1" customWidth="1"/>
    <col min="7458" max="7458" width="11.375" style="53" bestFit="1" customWidth="1"/>
    <col min="7459" max="7683" width="9" style="53"/>
    <col min="7684" max="7684" width="10.5" style="53" bestFit="1" customWidth="1"/>
    <col min="7685" max="7693" width="9" style="53"/>
    <col min="7694" max="7694" width="9.5" style="53" bestFit="1" customWidth="1"/>
    <col min="7695" max="7712" width="9" style="53"/>
    <col min="7713" max="7713" width="15.875" style="53" bestFit="1" customWidth="1"/>
    <col min="7714" max="7714" width="11.375" style="53" bestFit="1" customWidth="1"/>
    <col min="7715" max="7939" width="9" style="53"/>
    <col min="7940" max="7940" width="10.5" style="53" bestFit="1" customWidth="1"/>
    <col min="7941" max="7949" width="9" style="53"/>
    <col min="7950" max="7950" width="9.5" style="53" bestFit="1" customWidth="1"/>
    <col min="7951" max="7968" width="9" style="53"/>
    <col min="7969" max="7969" width="15.875" style="53" bestFit="1" customWidth="1"/>
    <col min="7970" max="7970" width="11.375" style="53" bestFit="1" customWidth="1"/>
    <col min="7971" max="8195" width="9" style="53"/>
    <col min="8196" max="8196" width="10.5" style="53" bestFit="1" customWidth="1"/>
    <col min="8197" max="8205" width="9" style="53"/>
    <col min="8206" max="8206" width="9.5" style="53" bestFit="1" customWidth="1"/>
    <col min="8207" max="8224" width="9" style="53"/>
    <col min="8225" max="8225" width="15.875" style="53" bestFit="1" customWidth="1"/>
    <col min="8226" max="8226" width="11.375" style="53" bestFit="1" customWidth="1"/>
    <col min="8227" max="8451" width="9" style="53"/>
    <col min="8452" max="8452" width="10.5" style="53" bestFit="1" customWidth="1"/>
    <col min="8453" max="8461" width="9" style="53"/>
    <col min="8462" max="8462" width="9.5" style="53" bestFit="1" customWidth="1"/>
    <col min="8463" max="8480" width="9" style="53"/>
    <col min="8481" max="8481" width="15.875" style="53" bestFit="1" customWidth="1"/>
    <col min="8482" max="8482" width="11.375" style="53" bestFit="1" customWidth="1"/>
    <col min="8483" max="8707" width="9" style="53"/>
    <col min="8708" max="8708" width="10.5" style="53" bestFit="1" customWidth="1"/>
    <col min="8709" max="8717" width="9" style="53"/>
    <col min="8718" max="8718" width="9.5" style="53" bestFit="1" customWidth="1"/>
    <col min="8719" max="8736" width="9" style="53"/>
    <col min="8737" max="8737" width="15.875" style="53" bestFit="1" customWidth="1"/>
    <col min="8738" max="8738" width="11.375" style="53" bestFit="1" customWidth="1"/>
    <col min="8739" max="8963" width="9" style="53"/>
    <col min="8964" max="8964" width="10.5" style="53" bestFit="1" customWidth="1"/>
    <col min="8965" max="8973" width="9" style="53"/>
    <col min="8974" max="8974" width="9.5" style="53" bestFit="1" customWidth="1"/>
    <col min="8975" max="8992" width="9" style="53"/>
    <col min="8993" max="8993" width="15.875" style="53" bestFit="1" customWidth="1"/>
    <col min="8994" max="8994" width="11.375" style="53" bestFit="1" customWidth="1"/>
    <col min="8995" max="9219" width="9" style="53"/>
    <col min="9220" max="9220" width="10.5" style="53" bestFit="1" customWidth="1"/>
    <col min="9221" max="9229" width="9" style="53"/>
    <col min="9230" max="9230" width="9.5" style="53" bestFit="1" customWidth="1"/>
    <col min="9231" max="9248" width="9" style="53"/>
    <col min="9249" max="9249" width="15.875" style="53" bestFit="1" customWidth="1"/>
    <col min="9250" max="9250" width="11.375" style="53" bestFit="1" customWidth="1"/>
    <col min="9251" max="9475" width="9" style="53"/>
    <col min="9476" max="9476" width="10.5" style="53" bestFit="1" customWidth="1"/>
    <col min="9477" max="9485" width="9" style="53"/>
    <col min="9486" max="9486" width="9.5" style="53" bestFit="1" customWidth="1"/>
    <col min="9487" max="9504" width="9" style="53"/>
    <col min="9505" max="9505" width="15.875" style="53" bestFit="1" customWidth="1"/>
    <col min="9506" max="9506" width="11.375" style="53" bestFit="1" customWidth="1"/>
    <col min="9507" max="9731" width="9" style="53"/>
    <col min="9732" max="9732" width="10.5" style="53" bestFit="1" customWidth="1"/>
    <col min="9733" max="9741" width="9" style="53"/>
    <col min="9742" max="9742" width="9.5" style="53" bestFit="1" customWidth="1"/>
    <col min="9743" max="9760" width="9" style="53"/>
    <col min="9761" max="9761" width="15.875" style="53" bestFit="1" customWidth="1"/>
    <col min="9762" max="9762" width="11.375" style="53" bestFit="1" customWidth="1"/>
    <col min="9763" max="9987" width="9" style="53"/>
    <col min="9988" max="9988" width="10.5" style="53" bestFit="1" customWidth="1"/>
    <col min="9989" max="9997" width="9" style="53"/>
    <col min="9998" max="9998" width="9.5" style="53" bestFit="1" customWidth="1"/>
    <col min="9999" max="10016" width="9" style="53"/>
    <col min="10017" max="10017" width="15.875" style="53" bestFit="1" customWidth="1"/>
    <col min="10018" max="10018" width="11.375" style="53" bestFit="1" customWidth="1"/>
    <col min="10019" max="10243" width="9" style="53"/>
    <col min="10244" max="10244" width="10.5" style="53" bestFit="1" customWidth="1"/>
    <col min="10245" max="10253" width="9" style="53"/>
    <col min="10254" max="10254" width="9.5" style="53" bestFit="1" customWidth="1"/>
    <col min="10255" max="10272" width="9" style="53"/>
    <col min="10273" max="10273" width="15.875" style="53" bestFit="1" customWidth="1"/>
    <col min="10274" max="10274" width="11.375" style="53" bestFit="1" customWidth="1"/>
    <col min="10275" max="10499" width="9" style="53"/>
    <col min="10500" max="10500" width="10.5" style="53" bestFit="1" customWidth="1"/>
    <col min="10501" max="10509" width="9" style="53"/>
    <col min="10510" max="10510" width="9.5" style="53" bestFit="1" customWidth="1"/>
    <col min="10511" max="10528" width="9" style="53"/>
    <col min="10529" max="10529" width="15.875" style="53" bestFit="1" customWidth="1"/>
    <col min="10530" max="10530" width="11.375" style="53" bestFit="1" customWidth="1"/>
    <col min="10531" max="10755" width="9" style="53"/>
    <col min="10756" max="10756" width="10.5" style="53" bestFit="1" customWidth="1"/>
    <col min="10757" max="10765" width="9" style="53"/>
    <col min="10766" max="10766" width="9.5" style="53" bestFit="1" customWidth="1"/>
    <col min="10767" max="10784" width="9" style="53"/>
    <col min="10785" max="10785" width="15.875" style="53" bestFit="1" customWidth="1"/>
    <col min="10786" max="10786" width="11.375" style="53" bestFit="1" customWidth="1"/>
    <col min="10787" max="11011" width="9" style="53"/>
    <col min="11012" max="11012" width="10.5" style="53" bestFit="1" customWidth="1"/>
    <col min="11013" max="11021" width="9" style="53"/>
    <col min="11022" max="11022" width="9.5" style="53" bestFit="1" customWidth="1"/>
    <col min="11023" max="11040" width="9" style="53"/>
    <col min="11041" max="11041" width="15.875" style="53" bestFit="1" customWidth="1"/>
    <col min="11042" max="11042" width="11.375" style="53" bestFit="1" customWidth="1"/>
    <col min="11043" max="11267" width="9" style="53"/>
    <col min="11268" max="11268" width="10.5" style="53" bestFit="1" customWidth="1"/>
    <col min="11269" max="11277" width="9" style="53"/>
    <col min="11278" max="11278" width="9.5" style="53" bestFit="1" customWidth="1"/>
    <col min="11279" max="11296" width="9" style="53"/>
    <col min="11297" max="11297" width="15.875" style="53" bestFit="1" customWidth="1"/>
    <col min="11298" max="11298" width="11.375" style="53" bestFit="1" customWidth="1"/>
    <col min="11299" max="11523" width="9" style="53"/>
    <col min="11524" max="11524" width="10.5" style="53" bestFit="1" customWidth="1"/>
    <col min="11525" max="11533" width="9" style="53"/>
    <col min="11534" max="11534" width="9.5" style="53" bestFit="1" customWidth="1"/>
    <col min="11535" max="11552" width="9" style="53"/>
    <col min="11553" max="11553" width="15.875" style="53" bestFit="1" customWidth="1"/>
    <col min="11554" max="11554" width="11.375" style="53" bestFit="1" customWidth="1"/>
    <col min="11555" max="11779" width="9" style="53"/>
    <col min="11780" max="11780" width="10.5" style="53" bestFit="1" customWidth="1"/>
    <col min="11781" max="11789" width="9" style="53"/>
    <col min="11790" max="11790" width="9.5" style="53" bestFit="1" customWidth="1"/>
    <col min="11791" max="11808" width="9" style="53"/>
    <col min="11809" max="11809" width="15.875" style="53" bestFit="1" customWidth="1"/>
    <col min="11810" max="11810" width="11.375" style="53" bestFit="1" customWidth="1"/>
    <col min="11811" max="12035" width="9" style="53"/>
    <col min="12036" max="12036" width="10.5" style="53" bestFit="1" customWidth="1"/>
    <col min="12037" max="12045" width="9" style="53"/>
    <col min="12046" max="12046" width="9.5" style="53" bestFit="1" customWidth="1"/>
    <col min="12047" max="12064" width="9" style="53"/>
    <col min="12065" max="12065" width="15.875" style="53" bestFit="1" customWidth="1"/>
    <col min="12066" max="12066" width="11.375" style="53" bestFit="1" customWidth="1"/>
    <col min="12067" max="12291" width="9" style="53"/>
    <col min="12292" max="12292" width="10.5" style="53" bestFit="1" customWidth="1"/>
    <col min="12293" max="12301" width="9" style="53"/>
    <col min="12302" max="12302" width="9.5" style="53" bestFit="1" customWidth="1"/>
    <col min="12303" max="12320" width="9" style="53"/>
    <col min="12321" max="12321" width="15.875" style="53" bestFit="1" customWidth="1"/>
    <col min="12322" max="12322" width="11.375" style="53" bestFit="1" customWidth="1"/>
    <col min="12323" max="12547" width="9" style="53"/>
    <col min="12548" max="12548" width="10.5" style="53" bestFit="1" customWidth="1"/>
    <col min="12549" max="12557" width="9" style="53"/>
    <col min="12558" max="12558" width="9.5" style="53" bestFit="1" customWidth="1"/>
    <col min="12559" max="12576" width="9" style="53"/>
    <col min="12577" max="12577" width="15.875" style="53" bestFit="1" customWidth="1"/>
    <col min="12578" max="12578" width="11.375" style="53" bestFit="1" customWidth="1"/>
    <col min="12579" max="12803" width="9" style="53"/>
    <col min="12804" max="12804" width="10.5" style="53" bestFit="1" customWidth="1"/>
    <col min="12805" max="12813" width="9" style="53"/>
    <col min="12814" max="12814" width="9.5" style="53" bestFit="1" customWidth="1"/>
    <col min="12815" max="12832" width="9" style="53"/>
    <col min="12833" max="12833" width="15.875" style="53" bestFit="1" customWidth="1"/>
    <col min="12834" max="12834" width="11.375" style="53" bestFit="1" customWidth="1"/>
    <col min="12835" max="13059" width="9" style="53"/>
    <col min="13060" max="13060" width="10.5" style="53" bestFit="1" customWidth="1"/>
    <col min="13061" max="13069" width="9" style="53"/>
    <col min="13070" max="13070" width="9.5" style="53" bestFit="1" customWidth="1"/>
    <col min="13071" max="13088" width="9" style="53"/>
    <col min="13089" max="13089" width="15.875" style="53" bestFit="1" customWidth="1"/>
    <col min="13090" max="13090" width="11.375" style="53" bestFit="1" customWidth="1"/>
    <col min="13091" max="13315" width="9" style="53"/>
    <col min="13316" max="13316" width="10.5" style="53" bestFit="1" customWidth="1"/>
    <col min="13317" max="13325" width="9" style="53"/>
    <col min="13326" max="13326" width="9.5" style="53" bestFit="1" customWidth="1"/>
    <col min="13327" max="13344" width="9" style="53"/>
    <col min="13345" max="13345" width="15.875" style="53" bestFit="1" customWidth="1"/>
    <col min="13346" max="13346" width="11.375" style="53" bestFit="1" customWidth="1"/>
    <col min="13347" max="13571" width="9" style="53"/>
    <col min="13572" max="13572" width="10.5" style="53" bestFit="1" customWidth="1"/>
    <col min="13573" max="13581" width="9" style="53"/>
    <col min="13582" max="13582" width="9.5" style="53" bestFit="1" customWidth="1"/>
    <col min="13583" max="13600" width="9" style="53"/>
    <col min="13601" max="13601" width="15.875" style="53" bestFit="1" customWidth="1"/>
    <col min="13602" max="13602" width="11.375" style="53" bestFit="1" customWidth="1"/>
    <col min="13603" max="13827" width="9" style="53"/>
    <col min="13828" max="13828" width="10.5" style="53" bestFit="1" customWidth="1"/>
    <col min="13829" max="13837" width="9" style="53"/>
    <col min="13838" max="13838" width="9.5" style="53" bestFit="1" customWidth="1"/>
    <col min="13839" max="13856" width="9" style="53"/>
    <col min="13857" max="13857" width="15.875" style="53" bestFit="1" customWidth="1"/>
    <col min="13858" max="13858" width="11.375" style="53" bestFit="1" customWidth="1"/>
    <col min="13859" max="14083" width="9" style="53"/>
    <col min="14084" max="14084" width="10.5" style="53" bestFit="1" customWidth="1"/>
    <col min="14085" max="14093" width="9" style="53"/>
    <col min="14094" max="14094" width="9.5" style="53" bestFit="1" customWidth="1"/>
    <col min="14095" max="14112" width="9" style="53"/>
    <col min="14113" max="14113" width="15.875" style="53" bestFit="1" customWidth="1"/>
    <col min="14114" max="14114" width="11.375" style="53" bestFit="1" customWidth="1"/>
    <col min="14115" max="14339" width="9" style="53"/>
    <col min="14340" max="14340" width="10.5" style="53" bestFit="1" customWidth="1"/>
    <col min="14341" max="14349" width="9" style="53"/>
    <col min="14350" max="14350" width="9.5" style="53" bestFit="1" customWidth="1"/>
    <col min="14351" max="14368" width="9" style="53"/>
    <col min="14369" max="14369" width="15.875" style="53" bestFit="1" customWidth="1"/>
    <col min="14370" max="14370" width="11.375" style="53" bestFit="1" customWidth="1"/>
    <col min="14371" max="14595" width="9" style="53"/>
    <col min="14596" max="14596" width="10.5" style="53" bestFit="1" customWidth="1"/>
    <col min="14597" max="14605" width="9" style="53"/>
    <col min="14606" max="14606" width="9.5" style="53" bestFit="1" customWidth="1"/>
    <col min="14607" max="14624" width="9" style="53"/>
    <col min="14625" max="14625" width="15.875" style="53" bestFit="1" customWidth="1"/>
    <col min="14626" max="14626" width="11.375" style="53" bestFit="1" customWidth="1"/>
    <col min="14627" max="14851" width="9" style="53"/>
    <col min="14852" max="14852" width="10.5" style="53" bestFit="1" customWidth="1"/>
    <col min="14853" max="14861" width="9" style="53"/>
    <col min="14862" max="14862" width="9.5" style="53" bestFit="1" customWidth="1"/>
    <col min="14863" max="14880" width="9" style="53"/>
    <col min="14881" max="14881" width="15.875" style="53" bestFit="1" customWidth="1"/>
    <col min="14882" max="14882" width="11.375" style="53" bestFit="1" customWidth="1"/>
    <col min="14883" max="15107" width="9" style="53"/>
    <col min="15108" max="15108" width="10.5" style="53" bestFit="1" customWidth="1"/>
    <col min="15109" max="15117" width="9" style="53"/>
    <col min="15118" max="15118" width="9.5" style="53" bestFit="1" customWidth="1"/>
    <col min="15119" max="15136" width="9" style="53"/>
    <col min="15137" max="15137" width="15.875" style="53" bestFit="1" customWidth="1"/>
    <col min="15138" max="15138" width="11.375" style="53" bestFit="1" customWidth="1"/>
    <col min="15139" max="15363" width="9" style="53"/>
    <col min="15364" max="15364" width="10.5" style="53" bestFit="1" customWidth="1"/>
    <col min="15365" max="15373" width="9" style="53"/>
    <col min="15374" max="15374" width="9.5" style="53" bestFit="1" customWidth="1"/>
    <col min="15375" max="15392" width="9" style="53"/>
    <col min="15393" max="15393" width="15.875" style="53" bestFit="1" customWidth="1"/>
    <col min="15394" max="15394" width="11.375" style="53" bestFit="1" customWidth="1"/>
    <col min="15395" max="15619" width="9" style="53"/>
    <col min="15620" max="15620" width="10.5" style="53" bestFit="1" customWidth="1"/>
    <col min="15621" max="15629" width="9" style="53"/>
    <col min="15630" max="15630" width="9.5" style="53" bestFit="1" customWidth="1"/>
    <col min="15631" max="15648" width="9" style="53"/>
    <col min="15649" max="15649" width="15.875" style="53" bestFit="1" customWidth="1"/>
    <col min="15650" max="15650" width="11.375" style="53" bestFit="1" customWidth="1"/>
    <col min="15651" max="15875" width="9" style="53"/>
    <col min="15876" max="15876" width="10.5" style="53" bestFit="1" customWidth="1"/>
    <col min="15877" max="15885" width="9" style="53"/>
    <col min="15886" max="15886" width="9.5" style="53" bestFit="1" customWidth="1"/>
    <col min="15887" max="15904" width="9" style="53"/>
    <col min="15905" max="15905" width="15.875" style="53" bestFit="1" customWidth="1"/>
    <col min="15906" max="15906" width="11.375" style="53" bestFit="1" customWidth="1"/>
    <col min="15907" max="16131" width="9" style="53"/>
    <col min="16132" max="16132" width="10.5" style="53" bestFit="1" customWidth="1"/>
    <col min="16133" max="16141" width="9" style="53"/>
    <col min="16142" max="16142" width="9.5" style="53" bestFit="1" customWidth="1"/>
    <col min="16143" max="16160" width="9" style="53"/>
    <col min="16161" max="16161" width="15.875" style="53" bestFit="1" customWidth="1"/>
    <col min="16162" max="16162" width="11.375" style="53" bestFit="1" customWidth="1"/>
    <col min="16163" max="16384" width="9" style="53"/>
  </cols>
  <sheetData>
    <row r="1" spans="1:53" ht="45" x14ac:dyDescent="0.15">
      <c r="A1" s="77" t="s">
        <v>0</v>
      </c>
      <c r="B1" s="55" t="s">
        <v>1</v>
      </c>
      <c r="C1" s="55" t="s">
        <v>2</v>
      </c>
      <c r="D1" s="56" t="s">
        <v>3</v>
      </c>
      <c r="E1" s="78" t="s">
        <v>4</v>
      </c>
      <c r="F1" s="78" t="s">
        <v>5</v>
      </c>
      <c r="G1" s="78" t="s">
        <v>6</v>
      </c>
      <c r="H1" s="78" t="s">
        <v>7</v>
      </c>
      <c r="I1" s="78" t="s">
        <v>8</v>
      </c>
      <c r="J1" s="78" t="s">
        <v>9</v>
      </c>
      <c r="K1" s="78" t="s">
        <v>10</v>
      </c>
      <c r="L1" s="56" t="s">
        <v>11</v>
      </c>
      <c r="M1" s="56" t="s">
        <v>12</v>
      </c>
      <c r="N1" s="56" t="s">
        <v>13</v>
      </c>
      <c r="O1" s="56" t="s">
        <v>14</v>
      </c>
      <c r="P1" s="56" t="s">
        <v>15</v>
      </c>
      <c r="Q1" s="3" t="s">
        <v>16</v>
      </c>
      <c r="R1" s="56" t="s">
        <v>17</v>
      </c>
      <c r="S1" s="56" t="s">
        <v>18</v>
      </c>
      <c r="T1" s="3" t="s">
        <v>19</v>
      </c>
      <c r="U1" s="58" t="s">
        <v>108</v>
      </c>
      <c r="V1" s="5" t="s">
        <v>20</v>
      </c>
      <c r="W1" s="56" t="s">
        <v>21</v>
      </c>
      <c r="X1" s="78" t="s">
        <v>22</v>
      </c>
      <c r="Y1" s="78" t="s">
        <v>23</v>
      </c>
      <c r="Z1" s="78" t="s">
        <v>24</v>
      </c>
      <c r="AA1" s="79"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56</v>
      </c>
      <c r="B2" s="53" t="s">
        <v>232</v>
      </c>
      <c r="C2" s="53">
        <v>2019</v>
      </c>
      <c r="D2" s="81" t="s">
        <v>233</v>
      </c>
      <c r="E2" s="53" t="s">
        <v>234</v>
      </c>
      <c r="F2" s="53" t="s">
        <v>235</v>
      </c>
      <c r="G2" s="53" t="s">
        <v>42</v>
      </c>
      <c r="H2" s="53" t="s">
        <v>164</v>
      </c>
      <c r="I2" s="53" t="s">
        <v>165</v>
      </c>
      <c r="J2" s="53" t="s">
        <v>38</v>
      </c>
      <c r="K2" s="53" t="s">
        <v>161</v>
      </c>
      <c r="L2" s="53">
        <v>1</v>
      </c>
      <c r="N2" s="53">
        <v>5</v>
      </c>
      <c r="O2" s="53">
        <v>0.75</v>
      </c>
      <c r="P2" s="53">
        <v>0.7</v>
      </c>
      <c r="Q2" s="75">
        <f t="shared" ref="Q2:Q58" si="0">IF(OR(O2="",P2=""),"",AVERAGE(O2,P2))</f>
        <v>0.72499999999999998</v>
      </c>
      <c r="R2" s="53">
        <v>13.5</v>
      </c>
      <c r="S2" s="53">
        <v>104</v>
      </c>
      <c r="T2" s="16">
        <f t="shared" ref="T2:T58" si="1">IF(H2="","",IF(OR(H2="GREEN",H2="GK"),IF(S2&gt;=$AX$2,VLOOKUP(S2,$AX$2:$AY$10,2,1),""),IF(S2&gt;=$AZ$2,VLOOKUP(S2,$AZ$2:$BA$10,2,1),"")))</f>
        <v>33</v>
      </c>
      <c r="U2" s="53">
        <v>539</v>
      </c>
      <c r="V2" s="16">
        <f t="shared" ref="V2:V58" si="2">IF(OR(N2="",U2="",T2=""),"",U2/N2*T2)</f>
        <v>3557.4</v>
      </c>
      <c r="W2" s="53">
        <v>4</v>
      </c>
      <c r="X2" s="53" t="s">
        <v>46</v>
      </c>
      <c r="Y2" s="53" t="s">
        <v>55</v>
      </c>
      <c r="Z2" s="53" t="s">
        <v>88</v>
      </c>
      <c r="AA2" s="53" t="s">
        <v>78</v>
      </c>
      <c r="AB2" s="53" t="s">
        <v>236</v>
      </c>
      <c r="AE2" s="64" t="s">
        <v>35</v>
      </c>
      <c r="AG2" s="23" t="s">
        <v>237</v>
      </c>
      <c r="AH2" s="82" t="s">
        <v>238</v>
      </c>
      <c r="AJ2" s="67" t="s">
        <v>36</v>
      </c>
      <c r="AL2" s="67" t="s">
        <v>127</v>
      </c>
      <c r="AN2" s="67" t="s">
        <v>37</v>
      </c>
      <c r="AP2" s="67" t="s">
        <v>38</v>
      </c>
      <c r="AR2" s="67" t="s">
        <v>120</v>
      </c>
      <c r="AT2" s="67" t="s">
        <v>39</v>
      </c>
      <c r="AV2" s="67" t="s">
        <v>40</v>
      </c>
      <c r="AX2" s="68">
        <v>1</v>
      </c>
      <c r="AY2" s="69">
        <v>50</v>
      </c>
      <c r="AZ2" s="69">
        <v>1</v>
      </c>
      <c r="BA2" s="70">
        <v>50</v>
      </c>
    </row>
    <row r="3" spans="1:53" x14ac:dyDescent="0.15">
      <c r="A3" s="53" t="s">
        <v>56</v>
      </c>
      <c r="B3" s="53" t="s">
        <v>232</v>
      </c>
      <c r="C3" s="53">
        <v>2019</v>
      </c>
      <c r="D3" s="81" t="s">
        <v>233</v>
      </c>
      <c r="E3" s="53" t="s">
        <v>234</v>
      </c>
      <c r="F3" s="53" t="s">
        <v>235</v>
      </c>
      <c r="G3" s="53" t="s">
        <v>42</v>
      </c>
      <c r="H3" s="53" t="s">
        <v>164</v>
      </c>
      <c r="I3" s="53" t="s">
        <v>165</v>
      </c>
      <c r="J3" s="53" t="s">
        <v>38</v>
      </c>
      <c r="K3" s="53" t="s">
        <v>161</v>
      </c>
      <c r="L3" s="53">
        <v>2</v>
      </c>
      <c r="N3" s="53">
        <v>5</v>
      </c>
      <c r="O3" s="53">
        <v>0.75</v>
      </c>
      <c r="P3" s="53">
        <v>0.75</v>
      </c>
      <c r="Q3" s="75">
        <f t="shared" si="0"/>
        <v>0.75</v>
      </c>
      <c r="R3" s="53">
        <v>12.9</v>
      </c>
      <c r="S3" s="53">
        <v>97</v>
      </c>
      <c r="T3" s="16">
        <f t="shared" si="1"/>
        <v>36</v>
      </c>
      <c r="U3" s="53">
        <v>539</v>
      </c>
      <c r="V3" s="16">
        <f t="shared" si="2"/>
        <v>3880.7999999999997</v>
      </c>
      <c r="W3" s="53">
        <v>4</v>
      </c>
      <c r="X3" s="53" t="s">
        <v>46</v>
      </c>
      <c r="Y3" s="53" t="s">
        <v>55</v>
      </c>
      <c r="Z3" s="53" t="s">
        <v>88</v>
      </c>
      <c r="AA3" s="53" t="s">
        <v>78</v>
      </c>
      <c r="AB3" s="53" t="s">
        <v>236</v>
      </c>
      <c r="AE3" s="22" t="s">
        <v>41</v>
      </c>
      <c r="AG3" s="23" t="s">
        <v>239</v>
      </c>
      <c r="AH3" s="82" t="s">
        <v>235</v>
      </c>
      <c r="AJ3" s="23" t="s">
        <v>42</v>
      </c>
      <c r="AL3" s="23" t="s">
        <v>128</v>
      </c>
      <c r="AN3" s="23" t="s">
        <v>43</v>
      </c>
      <c r="AP3" s="23" t="s">
        <v>44</v>
      </c>
      <c r="AR3" s="23" t="s">
        <v>45</v>
      </c>
      <c r="AT3" s="23" t="s">
        <v>46</v>
      </c>
      <c r="AV3" s="23" t="s">
        <v>47</v>
      </c>
      <c r="AX3" s="24">
        <v>72</v>
      </c>
      <c r="AY3" s="25">
        <v>46</v>
      </c>
      <c r="AZ3" s="25">
        <v>71</v>
      </c>
      <c r="BA3" s="26">
        <v>42</v>
      </c>
    </row>
    <row r="4" spans="1:53" x14ac:dyDescent="0.15">
      <c r="A4" s="53" t="s">
        <v>56</v>
      </c>
      <c r="B4" s="53" t="s">
        <v>232</v>
      </c>
      <c r="C4" s="53">
        <v>2019</v>
      </c>
      <c r="D4" s="81" t="s">
        <v>233</v>
      </c>
      <c r="E4" s="53" t="s">
        <v>234</v>
      </c>
      <c r="F4" s="53" t="s">
        <v>235</v>
      </c>
      <c r="G4" s="53" t="s">
        <v>42</v>
      </c>
      <c r="H4" s="53" t="s">
        <v>164</v>
      </c>
      <c r="I4" s="53" t="s">
        <v>165</v>
      </c>
      <c r="J4" s="53" t="s">
        <v>38</v>
      </c>
      <c r="K4" s="53" t="s">
        <v>161</v>
      </c>
      <c r="L4" s="53">
        <v>3</v>
      </c>
      <c r="N4" s="53">
        <v>5</v>
      </c>
      <c r="O4" s="53">
        <v>0.75</v>
      </c>
      <c r="P4" s="53">
        <v>0.65</v>
      </c>
      <c r="Q4" s="75">
        <f t="shared" si="0"/>
        <v>0.7</v>
      </c>
      <c r="R4" s="53">
        <v>14.7</v>
      </c>
      <c r="S4" s="53">
        <v>95</v>
      </c>
      <c r="T4" s="16">
        <f t="shared" si="1"/>
        <v>36</v>
      </c>
      <c r="U4" s="53">
        <v>539</v>
      </c>
      <c r="V4" s="16">
        <f t="shared" si="2"/>
        <v>3880.7999999999997</v>
      </c>
      <c r="W4" s="53">
        <v>4</v>
      </c>
      <c r="X4" s="53" t="s">
        <v>46</v>
      </c>
      <c r="Y4" s="53" t="s">
        <v>55</v>
      </c>
      <c r="Z4" s="53" t="s">
        <v>88</v>
      </c>
      <c r="AA4" s="53" t="s">
        <v>78</v>
      </c>
      <c r="AB4" s="53" t="s">
        <v>236</v>
      </c>
      <c r="AE4" s="22" t="s">
        <v>34</v>
      </c>
      <c r="AG4" s="23" t="s">
        <v>240</v>
      </c>
      <c r="AH4" s="82" t="s">
        <v>241</v>
      </c>
      <c r="AJ4" s="27" t="s">
        <v>48</v>
      </c>
      <c r="AL4" s="27" t="s">
        <v>242</v>
      </c>
      <c r="AN4" s="28" t="s">
        <v>49</v>
      </c>
      <c r="AP4" s="23" t="s">
        <v>93</v>
      </c>
      <c r="AR4" s="23" t="s">
        <v>121</v>
      </c>
      <c r="AT4" s="28"/>
      <c r="AV4" s="23" t="s">
        <v>50</v>
      </c>
      <c r="AX4" s="24">
        <v>75</v>
      </c>
      <c r="AY4" s="25">
        <v>42</v>
      </c>
      <c r="AZ4" s="25">
        <v>76</v>
      </c>
      <c r="BA4" s="26">
        <v>39</v>
      </c>
    </row>
    <row r="5" spans="1:53" x14ac:dyDescent="0.15">
      <c r="A5" s="53" t="s">
        <v>56</v>
      </c>
      <c r="B5" s="53" t="s">
        <v>232</v>
      </c>
      <c r="C5" s="53">
        <v>2019</v>
      </c>
      <c r="D5" s="81" t="s">
        <v>233</v>
      </c>
      <c r="E5" s="53" t="s">
        <v>234</v>
      </c>
      <c r="F5" s="53" t="s">
        <v>235</v>
      </c>
      <c r="G5" s="53" t="s">
        <v>42</v>
      </c>
      <c r="H5" s="53" t="s">
        <v>160</v>
      </c>
      <c r="I5" s="53" t="s">
        <v>165</v>
      </c>
      <c r="J5" s="53" t="s">
        <v>38</v>
      </c>
      <c r="K5" s="53" t="s">
        <v>161</v>
      </c>
      <c r="L5" s="53">
        <v>1</v>
      </c>
      <c r="N5" s="53">
        <v>1</v>
      </c>
      <c r="O5" s="53">
        <v>0.6</v>
      </c>
      <c r="P5" s="53">
        <v>0.6</v>
      </c>
      <c r="Q5" s="75">
        <f t="shared" si="0"/>
        <v>0.6</v>
      </c>
      <c r="R5" s="53">
        <v>16.8</v>
      </c>
      <c r="S5" s="53">
        <v>145</v>
      </c>
      <c r="T5" s="16">
        <f t="shared" si="1"/>
        <v>22</v>
      </c>
      <c r="U5" s="53">
        <v>181</v>
      </c>
      <c r="V5" s="16">
        <f t="shared" si="2"/>
        <v>3982</v>
      </c>
      <c r="W5" s="53">
        <v>4</v>
      </c>
      <c r="X5" s="53" t="s">
        <v>46</v>
      </c>
      <c r="Y5" s="53" t="s">
        <v>55</v>
      </c>
      <c r="Z5" s="53" t="s">
        <v>88</v>
      </c>
      <c r="AA5" s="53" t="s">
        <v>78</v>
      </c>
      <c r="AB5" s="53" t="s">
        <v>236</v>
      </c>
      <c r="AE5" s="22" t="s">
        <v>51</v>
      </c>
      <c r="AG5" s="23" t="s">
        <v>243</v>
      </c>
      <c r="AH5" s="82" t="s">
        <v>244</v>
      </c>
      <c r="AJ5" s="28"/>
      <c r="AL5" s="73" t="s">
        <v>66</v>
      </c>
      <c r="AN5" s="73" t="s">
        <v>52</v>
      </c>
      <c r="AP5" s="23" t="s">
        <v>245</v>
      </c>
      <c r="AR5" s="23" t="s">
        <v>54</v>
      </c>
      <c r="AV5" s="23" t="s">
        <v>55</v>
      </c>
      <c r="AX5" s="24">
        <v>84</v>
      </c>
      <c r="AY5" s="25">
        <v>39</v>
      </c>
      <c r="AZ5" s="25">
        <v>84</v>
      </c>
      <c r="BA5" s="26">
        <v>36</v>
      </c>
    </row>
    <row r="6" spans="1:53" x14ac:dyDescent="0.15">
      <c r="A6" s="53" t="s">
        <v>56</v>
      </c>
      <c r="B6" s="53" t="s">
        <v>232</v>
      </c>
      <c r="C6" s="53">
        <v>2019</v>
      </c>
      <c r="D6" s="81" t="s">
        <v>233</v>
      </c>
      <c r="E6" s="53" t="s">
        <v>234</v>
      </c>
      <c r="F6" s="53" t="s">
        <v>235</v>
      </c>
      <c r="G6" s="53" t="s">
        <v>42</v>
      </c>
      <c r="H6" s="53" t="s">
        <v>160</v>
      </c>
      <c r="I6" s="53" t="s">
        <v>165</v>
      </c>
      <c r="J6" s="53" t="s">
        <v>38</v>
      </c>
      <c r="K6" s="53" t="s">
        <v>161</v>
      </c>
      <c r="L6" s="53">
        <v>2</v>
      </c>
      <c r="N6" s="53">
        <v>1</v>
      </c>
      <c r="O6" s="53">
        <v>0.55000000000000004</v>
      </c>
      <c r="P6" s="53">
        <v>0.5</v>
      </c>
      <c r="Q6" s="75">
        <f t="shared" si="0"/>
        <v>0.52500000000000002</v>
      </c>
      <c r="R6" s="53">
        <v>15.1</v>
      </c>
      <c r="S6" s="53">
        <v>142</v>
      </c>
      <c r="T6" s="16">
        <f t="shared" si="1"/>
        <v>22</v>
      </c>
      <c r="U6" s="53">
        <v>181</v>
      </c>
      <c r="V6" s="16">
        <f t="shared" si="2"/>
        <v>3982</v>
      </c>
      <c r="W6" s="53">
        <v>4</v>
      </c>
      <c r="X6" s="53" t="s">
        <v>46</v>
      </c>
      <c r="Y6" s="53" t="s">
        <v>55</v>
      </c>
      <c r="Z6" s="53" t="s">
        <v>88</v>
      </c>
      <c r="AA6" s="53" t="s">
        <v>78</v>
      </c>
      <c r="AB6" s="53" t="s">
        <v>236</v>
      </c>
      <c r="AE6" s="22" t="s">
        <v>56</v>
      </c>
      <c r="AG6" s="23" t="s">
        <v>246</v>
      </c>
      <c r="AH6" s="82" t="s">
        <v>244</v>
      </c>
      <c r="AL6" s="73" t="s">
        <v>99</v>
      </c>
      <c r="AN6" s="73" t="s">
        <v>57</v>
      </c>
      <c r="AP6" s="23" t="s">
        <v>53</v>
      </c>
      <c r="AR6" s="23" t="s">
        <v>59</v>
      </c>
      <c r="AV6" s="23" t="s">
        <v>60</v>
      </c>
      <c r="AX6" s="24">
        <v>97</v>
      </c>
      <c r="AY6" s="25">
        <v>36</v>
      </c>
      <c r="AZ6" s="25">
        <v>99</v>
      </c>
      <c r="BA6" s="26">
        <v>33</v>
      </c>
    </row>
    <row r="7" spans="1:53" x14ac:dyDescent="0.15">
      <c r="A7" s="53" t="s">
        <v>56</v>
      </c>
      <c r="B7" s="53" t="s">
        <v>232</v>
      </c>
      <c r="C7" s="53">
        <v>2019</v>
      </c>
      <c r="D7" s="81" t="s">
        <v>233</v>
      </c>
      <c r="E7" s="53" t="s">
        <v>234</v>
      </c>
      <c r="F7" s="53" t="s">
        <v>235</v>
      </c>
      <c r="G7" s="53" t="s">
        <v>42</v>
      </c>
      <c r="H7" s="53" t="s">
        <v>160</v>
      </c>
      <c r="I7" s="53" t="s">
        <v>165</v>
      </c>
      <c r="J7" s="53" t="s">
        <v>38</v>
      </c>
      <c r="K7" s="53" t="s">
        <v>161</v>
      </c>
      <c r="L7" s="53">
        <v>3</v>
      </c>
      <c r="N7" s="53">
        <v>1</v>
      </c>
      <c r="O7" s="53">
        <v>0.5</v>
      </c>
      <c r="P7" s="53">
        <v>0.5</v>
      </c>
      <c r="Q7" s="75">
        <f t="shared" si="0"/>
        <v>0.5</v>
      </c>
      <c r="R7" s="53">
        <v>16</v>
      </c>
      <c r="S7" s="53">
        <v>136</v>
      </c>
      <c r="T7" s="16">
        <f t="shared" si="1"/>
        <v>25</v>
      </c>
      <c r="U7" s="53">
        <v>181</v>
      </c>
      <c r="V7" s="16">
        <f t="shared" si="2"/>
        <v>4525</v>
      </c>
      <c r="W7" s="53">
        <v>4</v>
      </c>
      <c r="X7" s="53" t="s">
        <v>46</v>
      </c>
      <c r="Y7" s="53" t="s">
        <v>55</v>
      </c>
      <c r="Z7" s="53" t="s">
        <v>88</v>
      </c>
      <c r="AA7" s="53" t="s">
        <v>78</v>
      </c>
      <c r="AB7" s="53" t="s">
        <v>236</v>
      </c>
      <c r="AE7" s="22" t="s">
        <v>61</v>
      </c>
      <c r="AG7" s="23" t="s">
        <v>247</v>
      </c>
      <c r="AH7" s="82" t="s">
        <v>248</v>
      </c>
      <c r="AL7" s="83" t="s">
        <v>109</v>
      </c>
      <c r="AP7" s="23" t="s">
        <v>58</v>
      </c>
      <c r="AR7" s="23" t="s">
        <v>122</v>
      </c>
      <c r="AV7" s="23" t="s">
        <v>64</v>
      </c>
      <c r="AX7" s="24">
        <v>109</v>
      </c>
      <c r="AY7" s="25">
        <v>33</v>
      </c>
      <c r="AZ7" s="25">
        <v>113</v>
      </c>
      <c r="BA7" s="26">
        <v>30</v>
      </c>
    </row>
    <row r="8" spans="1:53" x14ac:dyDescent="0.15">
      <c r="A8" s="53" t="s">
        <v>56</v>
      </c>
      <c r="B8" s="53" t="s">
        <v>232</v>
      </c>
      <c r="C8" s="53">
        <v>2019</v>
      </c>
      <c r="D8" s="81" t="s">
        <v>233</v>
      </c>
      <c r="E8" s="53" t="s">
        <v>249</v>
      </c>
      <c r="F8" s="53" t="s">
        <v>235</v>
      </c>
      <c r="G8" s="53" t="s">
        <v>42</v>
      </c>
      <c r="H8" s="53" t="s">
        <v>164</v>
      </c>
      <c r="I8" s="53" t="s">
        <v>159</v>
      </c>
      <c r="J8" s="53" t="s">
        <v>38</v>
      </c>
      <c r="K8" s="53" t="s">
        <v>161</v>
      </c>
      <c r="L8" s="53">
        <v>1</v>
      </c>
      <c r="N8" s="53">
        <v>8</v>
      </c>
      <c r="O8" s="53">
        <v>0.65</v>
      </c>
      <c r="P8" s="53">
        <v>0.6</v>
      </c>
      <c r="Q8" s="75">
        <f t="shared" si="0"/>
        <v>0.625</v>
      </c>
      <c r="R8" s="53">
        <v>14.7</v>
      </c>
      <c r="S8" s="53">
        <v>93</v>
      </c>
      <c r="T8" s="16">
        <f t="shared" si="1"/>
        <v>36</v>
      </c>
      <c r="U8" s="53">
        <v>518</v>
      </c>
      <c r="V8" s="16">
        <f t="shared" si="2"/>
        <v>2331</v>
      </c>
      <c r="W8" s="53">
        <v>6</v>
      </c>
      <c r="X8" s="53" t="s">
        <v>46</v>
      </c>
      <c r="Y8" s="53" t="s">
        <v>88</v>
      </c>
      <c r="Z8" s="53" t="s">
        <v>78</v>
      </c>
      <c r="AA8" s="53" t="s">
        <v>102</v>
      </c>
      <c r="AB8" s="53" t="s">
        <v>236</v>
      </c>
      <c r="AE8" s="22" t="s">
        <v>59</v>
      </c>
      <c r="AG8" s="23" t="s">
        <v>250</v>
      </c>
      <c r="AH8" s="82" t="s">
        <v>248</v>
      </c>
      <c r="AL8" s="83" t="s">
        <v>134</v>
      </c>
      <c r="AP8" s="23" t="s">
        <v>62</v>
      </c>
      <c r="AR8" s="23" t="s">
        <v>81</v>
      </c>
      <c r="AV8" s="23" t="s">
        <v>97</v>
      </c>
      <c r="AX8" s="24">
        <v>119</v>
      </c>
      <c r="AY8" s="25">
        <v>30</v>
      </c>
      <c r="AZ8" s="25">
        <v>121</v>
      </c>
      <c r="BA8" s="26">
        <v>27</v>
      </c>
    </row>
    <row r="9" spans="1:53" x14ac:dyDescent="0.15">
      <c r="A9" s="53" t="s">
        <v>56</v>
      </c>
      <c r="B9" s="53" t="s">
        <v>232</v>
      </c>
      <c r="C9" s="53">
        <v>2019</v>
      </c>
      <c r="D9" s="81" t="s">
        <v>233</v>
      </c>
      <c r="E9" s="53" t="s">
        <v>249</v>
      </c>
      <c r="F9" s="53" t="s">
        <v>235</v>
      </c>
      <c r="G9" s="53" t="s">
        <v>42</v>
      </c>
      <c r="H9" s="53" t="s">
        <v>164</v>
      </c>
      <c r="I9" s="53" t="s">
        <v>159</v>
      </c>
      <c r="J9" s="53" t="s">
        <v>38</v>
      </c>
      <c r="K9" s="53" t="s">
        <v>161</v>
      </c>
      <c r="L9" s="53">
        <v>2</v>
      </c>
      <c r="N9" s="53">
        <v>8</v>
      </c>
      <c r="O9" s="53">
        <v>0.5</v>
      </c>
      <c r="P9" s="53">
        <v>0.5</v>
      </c>
      <c r="Q9" s="75">
        <f t="shared" si="0"/>
        <v>0.5</v>
      </c>
      <c r="R9" s="53">
        <v>13</v>
      </c>
      <c r="S9" s="53">
        <v>107</v>
      </c>
      <c r="T9" s="16">
        <f t="shared" si="1"/>
        <v>33</v>
      </c>
      <c r="U9" s="53">
        <v>518</v>
      </c>
      <c r="V9" s="16">
        <f t="shared" si="2"/>
        <v>2136.75</v>
      </c>
      <c r="W9" s="53">
        <v>6</v>
      </c>
      <c r="X9" s="53" t="s">
        <v>46</v>
      </c>
      <c r="Y9" s="53" t="s">
        <v>88</v>
      </c>
      <c r="Z9" s="53" t="s">
        <v>78</v>
      </c>
      <c r="AA9" s="53" t="s">
        <v>102</v>
      </c>
      <c r="AB9" s="53" t="s">
        <v>236</v>
      </c>
      <c r="AE9" s="22" t="s">
        <v>98</v>
      </c>
      <c r="AG9" s="23" t="s">
        <v>234</v>
      </c>
      <c r="AH9" s="23" t="s">
        <v>235</v>
      </c>
      <c r="AL9" s="73"/>
      <c r="AP9" s="23" t="s">
        <v>95</v>
      </c>
      <c r="AR9" s="23" t="s">
        <v>89</v>
      </c>
      <c r="AV9" s="23" t="s">
        <v>102</v>
      </c>
      <c r="AX9" s="24">
        <v>128</v>
      </c>
      <c r="AY9" s="25">
        <v>27</v>
      </c>
      <c r="AZ9" s="25">
        <v>129</v>
      </c>
      <c r="BA9" s="26">
        <v>25</v>
      </c>
    </row>
    <row r="10" spans="1:53" x14ac:dyDescent="0.15">
      <c r="A10" s="53" t="s">
        <v>56</v>
      </c>
      <c r="B10" s="53" t="s">
        <v>232</v>
      </c>
      <c r="C10" s="53">
        <v>2019</v>
      </c>
      <c r="D10" s="81" t="s">
        <v>233</v>
      </c>
      <c r="E10" s="53" t="s">
        <v>249</v>
      </c>
      <c r="F10" s="53" t="s">
        <v>235</v>
      </c>
      <c r="G10" s="53" t="s">
        <v>42</v>
      </c>
      <c r="H10" s="53" t="s">
        <v>164</v>
      </c>
      <c r="I10" s="53" t="s">
        <v>159</v>
      </c>
      <c r="J10" s="53" t="s">
        <v>38</v>
      </c>
      <c r="K10" s="53" t="s">
        <v>161</v>
      </c>
      <c r="L10" s="53">
        <v>3</v>
      </c>
      <c r="N10" s="53">
        <v>8</v>
      </c>
      <c r="O10" s="53">
        <v>0.65</v>
      </c>
      <c r="P10" s="53">
        <v>0.6</v>
      </c>
      <c r="Q10" s="75">
        <f t="shared" si="0"/>
        <v>0.625</v>
      </c>
      <c r="R10" s="53">
        <v>13.3</v>
      </c>
      <c r="S10" s="53">
        <v>103</v>
      </c>
      <c r="T10" s="16">
        <f t="shared" si="1"/>
        <v>33</v>
      </c>
      <c r="U10" s="53">
        <v>518</v>
      </c>
      <c r="V10" s="16">
        <f t="shared" si="2"/>
        <v>2136.75</v>
      </c>
      <c r="W10" s="53">
        <v>6</v>
      </c>
      <c r="X10" s="53" t="s">
        <v>46</v>
      </c>
      <c r="Y10" s="53" t="s">
        <v>88</v>
      </c>
      <c r="Z10" s="53" t="s">
        <v>78</v>
      </c>
      <c r="AA10" s="53" t="s">
        <v>102</v>
      </c>
      <c r="AB10" s="53" t="s">
        <v>236</v>
      </c>
      <c r="AE10" s="22" t="s">
        <v>103</v>
      </c>
      <c r="AG10" s="23" t="s">
        <v>247</v>
      </c>
      <c r="AH10" s="82" t="s">
        <v>244</v>
      </c>
      <c r="AL10" s="83"/>
      <c r="AP10" s="23" t="s">
        <v>100</v>
      </c>
      <c r="AR10" s="23" t="s">
        <v>123</v>
      </c>
      <c r="AV10" s="23" t="s">
        <v>106</v>
      </c>
      <c r="AX10" s="24">
        <v>138</v>
      </c>
      <c r="AY10" s="25">
        <v>25</v>
      </c>
      <c r="AZ10" s="25">
        <v>138</v>
      </c>
      <c r="BA10" s="26">
        <v>22</v>
      </c>
    </row>
    <row r="11" spans="1:53" x14ac:dyDescent="0.15">
      <c r="A11" s="53" t="s">
        <v>56</v>
      </c>
      <c r="B11" s="53" t="s">
        <v>232</v>
      </c>
      <c r="C11" s="53">
        <v>2019</v>
      </c>
      <c r="D11" s="81" t="s">
        <v>233</v>
      </c>
      <c r="E11" s="53" t="s">
        <v>249</v>
      </c>
      <c r="F11" s="53" t="s">
        <v>235</v>
      </c>
      <c r="G11" s="53" t="s">
        <v>42</v>
      </c>
      <c r="H11" s="53" t="s">
        <v>160</v>
      </c>
      <c r="I11" s="53" t="s">
        <v>159</v>
      </c>
      <c r="J11" s="53" t="s">
        <v>38</v>
      </c>
      <c r="K11" s="53" t="s">
        <v>161</v>
      </c>
      <c r="L11" s="53">
        <v>1</v>
      </c>
      <c r="N11" s="53">
        <v>5</v>
      </c>
      <c r="O11" s="53">
        <v>0.75</v>
      </c>
      <c r="P11" s="53">
        <v>0.7</v>
      </c>
      <c r="Q11" s="75">
        <f t="shared" si="0"/>
        <v>0.72499999999999998</v>
      </c>
      <c r="R11" s="53">
        <v>16.899999999999999</v>
      </c>
      <c r="S11" s="53">
        <v>115</v>
      </c>
      <c r="T11" s="16">
        <f t="shared" si="1"/>
        <v>30</v>
      </c>
      <c r="U11" s="53">
        <v>518</v>
      </c>
      <c r="V11" s="16">
        <f t="shared" si="2"/>
        <v>3108</v>
      </c>
      <c r="W11" s="53">
        <v>6</v>
      </c>
      <c r="X11" s="53" t="s">
        <v>46</v>
      </c>
      <c r="Y11" s="53" t="s">
        <v>88</v>
      </c>
      <c r="Z11" s="53" t="s">
        <v>78</v>
      </c>
      <c r="AA11" s="53" t="s">
        <v>102</v>
      </c>
      <c r="AB11" s="53" t="s">
        <v>236</v>
      </c>
      <c r="AE11" s="22" t="s">
        <v>65</v>
      </c>
      <c r="AG11" s="23" t="s">
        <v>246</v>
      </c>
      <c r="AH11" s="82" t="s">
        <v>244</v>
      </c>
      <c r="AJ11" s="83"/>
      <c r="AP11" s="23" t="s">
        <v>104</v>
      </c>
      <c r="AR11" s="23" t="s">
        <v>87</v>
      </c>
      <c r="AV11" s="23" t="s">
        <v>69</v>
      </c>
    </row>
    <row r="12" spans="1:53" x14ac:dyDescent="0.15">
      <c r="A12" s="53" t="s">
        <v>56</v>
      </c>
      <c r="B12" s="53" t="s">
        <v>232</v>
      </c>
      <c r="C12" s="53">
        <v>2019</v>
      </c>
      <c r="D12" s="81" t="s">
        <v>233</v>
      </c>
      <c r="E12" s="53" t="s">
        <v>249</v>
      </c>
      <c r="F12" s="53" t="s">
        <v>235</v>
      </c>
      <c r="G12" s="53" t="s">
        <v>42</v>
      </c>
      <c r="H12" s="53" t="s">
        <v>160</v>
      </c>
      <c r="I12" s="53" t="s">
        <v>159</v>
      </c>
      <c r="J12" s="53" t="s">
        <v>38</v>
      </c>
      <c r="K12" s="53" t="s">
        <v>161</v>
      </c>
      <c r="L12" s="53">
        <v>2</v>
      </c>
      <c r="N12" s="53">
        <v>5</v>
      </c>
      <c r="O12" s="53">
        <v>0.65</v>
      </c>
      <c r="P12" s="53">
        <v>0.65</v>
      </c>
      <c r="Q12" s="75">
        <f t="shared" si="0"/>
        <v>0.65</v>
      </c>
      <c r="R12" s="53">
        <v>16.5</v>
      </c>
      <c r="S12" s="53">
        <v>108</v>
      </c>
      <c r="T12" s="16">
        <f t="shared" si="1"/>
        <v>33</v>
      </c>
      <c r="U12" s="53">
        <v>518</v>
      </c>
      <c r="V12" s="16">
        <f t="shared" si="2"/>
        <v>3418.7999999999997</v>
      </c>
      <c r="W12" s="53">
        <v>6</v>
      </c>
      <c r="X12" s="53" t="s">
        <v>46</v>
      </c>
      <c r="Y12" s="53" t="s">
        <v>88</v>
      </c>
      <c r="Z12" s="53" t="s">
        <v>78</v>
      </c>
      <c r="AA12" s="53" t="s">
        <v>102</v>
      </c>
      <c r="AB12" s="53" t="s">
        <v>236</v>
      </c>
      <c r="AE12" s="22" t="s">
        <v>70</v>
      </c>
      <c r="AG12" s="23" t="s">
        <v>239</v>
      </c>
      <c r="AH12" s="82" t="s">
        <v>244</v>
      </c>
      <c r="AJ12" s="83"/>
      <c r="AP12" s="23" t="s">
        <v>67</v>
      </c>
      <c r="AR12" s="23" t="s">
        <v>124</v>
      </c>
      <c r="AV12" s="23" t="s">
        <v>72</v>
      </c>
    </row>
    <row r="13" spans="1:53" x14ac:dyDescent="0.15">
      <c r="A13" s="53" t="s">
        <v>56</v>
      </c>
      <c r="B13" s="53" t="s">
        <v>232</v>
      </c>
      <c r="C13" s="53">
        <v>2019</v>
      </c>
      <c r="D13" s="81" t="s">
        <v>233</v>
      </c>
      <c r="E13" s="53" t="s">
        <v>249</v>
      </c>
      <c r="F13" s="53" t="s">
        <v>235</v>
      </c>
      <c r="G13" s="53" t="s">
        <v>42</v>
      </c>
      <c r="H13" s="53" t="s">
        <v>160</v>
      </c>
      <c r="I13" s="53" t="s">
        <v>159</v>
      </c>
      <c r="J13" s="53" t="s">
        <v>38</v>
      </c>
      <c r="K13" s="53" t="s">
        <v>161</v>
      </c>
      <c r="L13" s="53">
        <v>3</v>
      </c>
      <c r="N13" s="53">
        <v>5</v>
      </c>
      <c r="O13" s="53">
        <v>0.6</v>
      </c>
      <c r="P13" s="53">
        <v>0.6</v>
      </c>
      <c r="Q13" s="75">
        <f t="shared" si="0"/>
        <v>0.6</v>
      </c>
      <c r="R13" s="53">
        <v>17.3</v>
      </c>
      <c r="S13" s="53">
        <v>110</v>
      </c>
      <c r="T13" s="16">
        <f t="shared" si="1"/>
        <v>33</v>
      </c>
      <c r="U13" s="53">
        <v>518</v>
      </c>
      <c r="V13" s="16">
        <f t="shared" si="2"/>
        <v>3418.7999999999997</v>
      </c>
      <c r="W13" s="53">
        <v>6</v>
      </c>
      <c r="X13" s="53" t="s">
        <v>46</v>
      </c>
      <c r="Y13" s="53" t="s">
        <v>88</v>
      </c>
      <c r="Z13" s="53" t="s">
        <v>78</v>
      </c>
      <c r="AA13" s="53" t="s">
        <v>102</v>
      </c>
      <c r="AB13" s="53" t="s">
        <v>236</v>
      </c>
      <c r="AE13" s="22" t="s">
        <v>73</v>
      </c>
      <c r="AP13" s="23" t="s">
        <v>71</v>
      </c>
      <c r="AR13" s="23" t="s">
        <v>103</v>
      </c>
      <c r="AV13" s="23" t="s">
        <v>75</v>
      </c>
    </row>
    <row r="14" spans="1:53" x14ac:dyDescent="0.15">
      <c r="A14" s="53" t="s">
        <v>56</v>
      </c>
      <c r="B14" s="53" t="s">
        <v>232</v>
      </c>
      <c r="C14" s="53">
        <v>2019</v>
      </c>
      <c r="D14" s="81" t="s">
        <v>233</v>
      </c>
      <c r="E14" s="53" t="s">
        <v>162</v>
      </c>
      <c r="F14" s="53" t="s">
        <v>251</v>
      </c>
      <c r="G14" s="53" t="s">
        <v>42</v>
      </c>
      <c r="H14" s="53" t="s">
        <v>164</v>
      </c>
      <c r="I14" s="53" t="s">
        <v>159</v>
      </c>
      <c r="J14" s="53" t="s">
        <v>38</v>
      </c>
      <c r="K14" s="53" t="s">
        <v>161</v>
      </c>
      <c r="L14" s="53">
        <v>1</v>
      </c>
      <c r="N14" s="53">
        <v>1</v>
      </c>
      <c r="O14" s="53">
        <v>0.5</v>
      </c>
      <c r="P14" s="53">
        <v>0.55000000000000004</v>
      </c>
      <c r="Q14" s="75">
        <f t="shared" si="0"/>
        <v>0.52500000000000002</v>
      </c>
      <c r="R14" s="53">
        <v>16.8</v>
      </c>
      <c r="S14" s="53">
        <v>120</v>
      </c>
      <c r="T14" s="16">
        <f t="shared" si="1"/>
        <v>30</v>
      </c>
      <c r="U14" s="53">
        <v>106</v>
      </c>
      <c r="V14" s="16">
        <f t="shared" si="2"/>
        <v>3180</v>
      </c>
      <c r="W14" s="53">
        <v>2</v>
      </c>
      <c r="X14" s="53" t="s">
        <v>46</v>
      </c>
      <c r="Y14" s="53" t="s">
        <v>88</v>
      </c>
      <c r="Z14" s="53" t="s">
        <v>78</v>
      </c>
      <c r="AA14" s="53" t="s">
        <v>102</v>
      </c>
      <c r="AB14" s="53" t="s">
        <v>236</v>
      </c>
      <c r="AE14" s="22" t="s">
        <v>76</v>
      </c>
      <c r="AP14" s="23" t="s">
        <v>74</v>
      </c>
      <c r="AR14" s="23" t="s">
        <v>125</v>
      </c>
      <c r="AV14" s="23" t="s">
        <v>78</v>
      </c>
    </row>
    <row r="15" spans="1:53" x14ac:dyDescent="0.15">
      <c r="A15" s="53" t="s">
        <v>56</v>
      </c>
      <c r="B15" s="53" t="s">
        <v>232</v>
      </c>
      <c r="C15" s="53">
        <v>2019</v>
      </c>
      <c r="D15" s="81" t="s">
        <v>233</v>
      </c>
      <c r="E15" s="53" t="s">
        <v>162</v>
      </c>
      <c r="F15" s="53" t="s">
        <v>251</v>
      </c>
      <c r="G15" s="53" t="s">
        <v>42</v>
      </c>
      <c r="H15" s="53" t="s">
        <v>164</v>
      </c>
      <c r="I15" s="53" t="s">
        <v>159</v>
      </c>
      <c r="J15" s="53" t="s">
        <v>38</v>
      </c>
      <c r="K15" s="53" t="s">
        <v>161</v>
      </c>
      <c r="L15" s="53">
        <v>2</v>
      </c>
      <c r="N15" s="53">
        <v>1</v>
      </c>
      <c r="O15" s="53">
        <v>0.55000000000000004</v>
      </c>
      <c r="P15" s="53">
        <v>0.55000000000000004</v>
      </c>
      <c r="Q15" s="75">
        <f t="shared" si="0"/>
        <v>0.55000000000000004</v>
      </c>
      <c r="R15" s="53">
        <v>16.2</v>
      </c>
      <c r="S15" s="53">
        <v>120</v>
      </c>
      <c r="T15" s="16">
        <f t="shared" si="1"/>
        <v>30</v>
      </c>
      <c r="U15" s="53">
        <v>106</v>
      </c>
      <c r="V15" s="16">
        <f t="shared" si="2"/>
        <v>3180</v>
      </c>
      <c r="W15" s="53">
        <v>2</v>
      </c>
      <c r="X15" s="53" t="s">
        <v>46</v>
      </c>
      <c r="Y15" s="53" t="s">
        <v>88</v>
      </c>
      <c r="Z15" s="53" t="s">
        <v>78</v>
      </c>
      <c r="AA15" s="53" t="s">
        <v>102</v>
      </c>
      <c r="AB15" s="53" t="s">
        <v>236</v>
      </c>
      <c r="AE15" s="22" t="s">
        <v>79</v>
      </c>
      <c r="AP15" s="23" t="s">
        <v>77</v>
      </c>
      <c r="AR15" s="23" t="s">
        <v>94</v>
      </c>
      <c r="AV15" s="23" t="s">
        <v>107</v>
      </c>
    </row>
    <row r="16" spans="1:53" x14ac:dyDescent="0.15">
      <c r="A16" s="53" t="s">
        <v>56</v>
      </c>
      <c r="B16" s="53" t="s">
        <v>232</v>
      </c>
      <c r="C16" s="53">
        <v>2019</v>
      </c>
      <c r="D16" s="81" t="s">
        <v>233</v>
      </c>
      <c r="E16" s="53" t="s">
        <v>162</v>
      </c>
      <c r="F16" s="53" t="s">
        <v>251</v>
      </c>
      <c r="G16" s="53" t="s">
        <v>42</v>
      </c>
      <c r="H16" s="53" t="s">
        <v>164</v>
      </c>
      <c r="I16" s="53" t="s">
        <v>159</v>
      </c>
      <c r="J16" s="53" t="s">
        <v>38</v>
      </c>
      <c r="K16" s="53" t="s">
        <v>161</v>
      </c>
      <c r="L16" s="53">
        <v>3</v>
      </c>
      <c r="N16" s="53">
        <v>1</v>
      </c>
      <c r="O16" s="53">
        <v>0.5</v>
      </c>
      <c r="P16" s="53">
        <v>0.5</v>
      </c>
      <c r="Q16" s="75">
        <f t="shared" si="0"/>
        <v>0.5</v>
      </c>
      <c r="R16" s="53">
        <v>16.3</v>
      </c>
      <c r="S16" s="53">
        <v>126</v>
      </c>
      <c r="T16" s="16">
        <f t="shared" si="1"/>
        <v>27</v>
      </c>
      <c r="U16" s="53">
        <v>106</v>
      </c>
      <c r="V16" s="16">
        <f t="shared" si="2"/>
        <v>2862</v>
      </c>
      <c r="W16" s="53">
        <v>2</v>
      </c>
      <c r="X16" s="53" t="s">
        <v>46</v>
      </c>
      <c r="Y16" s="53" t="s">
        <v>88</v>
      </c>
      <c r="Z16" s="53" t="s">
        <v>78</v>
      </c>
      <c r="AA16" s="53" t="s">
        <v>102</v>
      </c>
      <c r="AB16" s="53" t="s">
        <v>236</v>
      </c>
      <c r="AE16" s="22" t="s">
        <v>82</v>
      </c>
      <c r="AP16" s="23" t="s">
        <v>80</v>
      </c>
      <c r="AR16" s="23" t="s">
        <v>63</v>
      </c>
      <c r="AV16" s="23" t="s">
        <v>84</v>
      </c>
    </row>
    <row r="17" spans="1:48" x14ac:dyDescent="0.15">
      <c r="A17" s="53" t="s">
        <v>56</v>
      </c>
      <c r="B17" s="53" t="s">
        <v>232</v>
      </c>
      <c r="C17" s="53">
        <v>2019</v>
      </c>
      <c r="D17" s="81" t="s">
        <v>233</v>
      </c>
      <c r="E17" s="53" t="s">
        <v>162</v>
      </c>
      <c r="F17" s="53" t="s">
        <v>251</v>
      </c>
      <c r="G17" s="53" t="s">
        <v>42</v>
      </c>
      <c r="H17" s="53" t="s">
        <v>160</v>
      </c>
      <c r="I17" s="53" t="s">
        <v>159</v>
      </c>
      <c r="J17" s="53" t="s">
        <v>38</v>
      </c>
      <c r="K17" s="53" t="s">
        <v>161</v>
      </c>
      <c r="L17" s="53">
        <v>1</v>
      </c>
      <c r="N17" s="53">
        <v>1</v>
      </c>
      <c r="O17" s="53">
        <v>0.85</v>
      </c>
      <c r="P17" s="53">
        <v>0.7</v>
      </c>
      <c r="Q17" s="75">
        <f t="shared" si="0"/>
        <v>0.77499999999999991</v>
      </c>
      <c r="R17" s="53">
        <v>16.5</v>
      </c>
      <c r="S17" s="53">
        <v>113</v>
      </c>
      <c r="T17" s="16">
        <f t="shared" si="1"/>
        <v>30</v>
      </c>
      <c r="U17" s="53">
        <v>138</v>
      </c>
      <c r="V17" s="16">
        <f t="shared" si="2"/>
        <v>4140</v>
      </c>
      <c r="W17" s="53">
        <v>2</v>
      </c>
      <c r="X17" s="53" t="s">
        <v>46</v>
      </c>
      <c r="Y17" s="53" t="s">
        <v>88</v>
      </c>
      <c r="Z17" s="53" t="s">
        <v>78</v>
      </c>
      <c r="AA17" s="53" t="s">
        <v>102</v>
      </c>
      <c r="AB17" s="53" t="s">
        <v>236</v>
      </c>
      <c r="AE17" s="22" t="s">
        <v>85</v>
      </c>
      <c r="AP17" s="27" t="s">
        <v>110</v>
      </c>
      <c r="AR17" s="23" t="s">
        <v>96</v>
      </c>
      <c r="AV17" s="23" t="s">
        <v>86</v>
      </c>
    </row>
    <row r="18" spans="1:48" x14ac:dyDescent="0.15">
      <c r="A18" s="53" t="s">
        <v>56</v>
      </c>
      <c r="B18" s="53" t="s">
        <v>232</v>
      </c>
      <c r="C18" s="53">
        <v>2019</v>
      </c>
      <c r="D18" s="81" t="s">
        <v>233</v>
      </c>
      <c r="E18" s="53" t="s">
        <v>162</v>
      </c>
      <c r="F18" s="53" t="s">
        <v>251</v>
      </c>
      <c r="G18" s="53" t="s">
        <v>42</v>
      </c>
      <c r="H18" s="53" t="s">
        <v>160</v>
      </c>
      <c r="I18" s="53" t="s">
        <v>159</v>
      </c>
      <c r="J18" s="53" t="s">
        <v>38</v>
      </c>
      <c r="K18" s="53" t="s">
        <v>161</v>
      </c>
      <c r="L18" s="53">
        <v>2</v>
      </c>
      <c r="N18" s="53">
        <v>1</v>
      </c>
      <c r="O18" s="53">
        <v>0.8</v>
      </c>
      <c r="P18" s="53">
        <v>0.75</v>
      </c>
      <c r="Q18" s="75">
        <f t="shared" si="0"/>
        <v>0.77500000000000002</v>
      </c>
      <c r="R18" s="53">
        <v>15.8</v>
      </c>
      <c r="S18" s="53">
        <v>106</v>
      </c>
      <c r="T18" s="16">
        <f t="shared" si="1"/>
        <v>33</v>
      </c>
      <c r="U18" s="53">
        <v>138</v>
      </c>
      <c r="V18" s="16">
        <f t="shared" si="2"/>
        <v>4554</v>
      </c>
      <c r="W18" s="53">
        <v>2</v>
      </c>
      <c r="X18" s="53" t="s">
        <v>46</v>
      </c>
      <c r="Y18" s="53" t="s">
        <v>88</v>
      </c>
      <c r="Z18" s="53" t="s">
        <v>78</v>
      </c>
      <c r="AA18" s="53" t="s">
        <v>102</v>
      </c>
      <c r="AB18" s="53" t="s">
        <v>236</v>
      </c>
      <c r="AE18" s="22" t="s">
        <v>87</v>
      </c>
      <c r="AP18" s="27" t="s">
        <v>111</v>
      </c>
      <c r="AR18" s="23" t="s">
        <v>101</v>
      </c>
      <c r="AV18" s="23" t="s">
        <v>88</v>
      </c>
    </row>
    <row r="19" spans="1:48" x14ac:dyDescent="0.15">
      <c r="A19" s="53" t="s">
        <v>56</v>
      </c>
      <c r="B19" s="53" t="s">
        <v>232</v>
      </c>
      <c r="C19" s="53">
        <v>2019</v>
      </c>
      <c r="D19" s="81" t="s">
        <v>233</v>
      </c>
      <c r="E19" s="53" t="s">
        <v>162</v>
      </c>
      <c r="F19" s="53" t="s">
        <v>251</v>
      </c>
      <c r="G19" s="53" t="s">
        <v>42</v>
      </c>
      <c r="H19" s="53" t="s">
        <v>160</v>
      </c>
      <c r="I19" s="53" t="s">
        <v>159</v>
      </c>
      <c r="J19" s="53" t="s">
        <v>38</v>
      </c>
      <c r="K19" s="53" t="s">
        <v>161</v>
      </c>
      <c r="L19" s="53">
        <v>3</v>
      </c>
      <c r="N19" s="53">
        <v>1</v>
      </c>
      <c r="O19" s="53">
        <v>0.55000000000000004</v>
      </c>
      <c r="P19" s="53">
        <v>0.55000000000000004</v>
      </c>
      <c r="Q19" s="75">
        <f t="shared" si="0"/>
        <v>0.55000000000000004</v>
      </c>
      <c r="R19" s="53">
        <v>17</v>
      </c>
      <c r="S19" s="53">
        <v>112</v>
      </c>
      <c r="T19" s="16">
        <f t="shared" si="1"/>
        <v>33</v>
      </c>
      <c r="U19" s="53">
        <v>138</v>
      </c>
      <c r="V19" s="16">
        <f t="shared" si="2"/>
        <v>4554</v>
      </c>
      <c r="W19" s="53">
        <v>2</v>
      </c>
      <c r="X19" s="53" t="s">
        <v>46</v>
      </c>
      <c r="Y19" s="53" t="s">
        <v>88</v>
      </c>
      <c r="Z19" s="53" t="s">
        <v>78</v>
      </c>
      <c r="AA19" s="53" t="s">
        <v>102</v>
      </c>
      <c r="AB19" s="53" t="s">
        <v>236</v>
      </c>
      <c r="AE19" s="35" t="s">
        <v>89</v>
      </c>
      <c r="AP19" s="27" t="s">
        <v>112</v>
      </c>
      <c r="AR19" s="23" t="s">
        <v>126</v>
      </c>
      <c r="AV19" s="23" t="s">
        <v>90</v>
      </c>
    </row>
    <row r="20" spans="1:48" x14ac:dyDescent="0.15">
      <c r="A20" s="53" t="s">
        <v>56</v>
      </c>
      <c r="B20" s="53" t="s">
        <v>232</v>
      </c>
      <c r="C20" s="53">
        <v>2019</v>
      </c>
      <c r="D20" s="81" t="s">
        <v>233</v>
      </c>
      <c r="E20" s="53" t="s">
        <v>252</v>
      </c>
      <c r="F20" s="53" t="s">
        <v>253</v>
      </c>
      <c r="G20" s="53" t="s">
        <v>42</v>
      </c>
      <c r="H20" s="53" t="s">
        <v>164</v>
      </c>
      <c r="I20" s="53" t="s">
        <v>159</v>
      </c>
      <c r="J20" s="53" t="s">
        <v>38</v>
      </c>
      <c r="K20" s="53" t="s">
        <v>161</v>
      </c>
      <c r="L20" s="53">
        <v>1</v>
      </c>
      <c r="N20" s="53">
        <v>5</v>
      </c>
      <c r="O20" s="53">
        <v>1.1000000000000001</v>
      </c>
      <c r="P20" s="53">
        <v>1.1000000000000001</v>
      </c>
      <c r="Q20" s="75">
        <f t="shared" si="0"/>
        <v>1.1000000000000001</v>
      </c>
      <c r="R20" s="53">
        <v>15.1</v>
      </c>
      <c r="S20" s="53">
        <v>94</v>
      </c>
      <c r="T20" s="16">
        <f t="shared" si="1"/>
        <v>36</v>
      </c>
      <c r="U20" s="53">
        <v>430</v>
      </c>
      <c r="V20" s="16">
        <f t="shared" si="2"/>
        <v>3096</v>
      </c>
      <c r="W20" s="53">
        <v>2</v>
      </c>
      <c r="X20" s="53" t="s">
        <v>46</v>
      </c>
      <c r="Y20" s="53" t="s">
        <v>88</v>
      </c>
      <c r="Z20" s="53" t="s">
        <v>102</v>
      </c>
      <c r="AA20" s="53" t="s">
        <v>78</v>
      </c>
      <c r="AB20" s="53" t="s">
        <v>236</v>
      </c>
      <c r="AP20" s="27" t="s">
        <v>113</v>
      </c>
      <c r="AR20" s="23" t="s">
        <v>105</v>
      </c>
      <c r="AV20" s="27" t="s">
        <v>135</v>
      </c>
    </row>
    <row r="21" spans="1:48" x14ac:dyDescent="0.15">
      <c r="A21" s="53" t="s">
        <v>56</v>
      </c>
      <c r="B21" s="53" t="s">
        <v>232</v>
      </c>
      <c r="C21" s="53">
        <v>2019</v>
      </c>
      <c r="D21" s="81" t="s">
        <v>233</v>
      </c>
      <c r="E21" s="53" t="s">
        <v>252</v>
      </c>
      <c r="F21" s="53" t="s">
        <v>253</v>
      </c>
      <c r="G21" s="53" t="s">
        <v>42</v>
      </c>
      <c r="H21" s="53" t="s">
        <v>164</v>
      </c>
      <c r="I21" s="53" t="s">
        <v>159</v>
      </c>
      <c r="J21" s="53" t="s">
        <v>38</v>
      </c>
      <c r="K21" s="53" t="s">
        <v>161</v>
      </c>
      <c r="L21" s="53">
        <v>2</v>
      </c>
      <c r="N21" s="53">
        <v>5</v>
      </c>
      <c r="O21" s="53">
        <v>0.7</v>
      </c>
      <c r="P21" s="53">
        <v>0.6</v>
      </c>
      <c r="Q21" s="75">
        <f t="shared" si="0"/>
        <v>0.64999999999999991</v>
      </c>
      <c r="R21" s="53">
        <v>15.2</v>
      </c>
      <c r="S21" s="53">
        <v>101</v>
      </c>
      <c r="T21" s="16">
        <f t="shared" si="1"/>
        <v>33</v>
      </c>
      <c r="U21" s="53">
        <v>430</v>
      </c>
      <c r="V21" s="16">
        <f t="shared" si="2"/>
        <v>2838</v>
      </c>
      <c r="W21" s="53">
        <v>2</v>
      </c>
      <c r="X21" s="53" t="s">
        <v>46</v>
      </c>
      <c r="Y21" s="53" t="s">
        <v>88</v>
      </c>
      <c r="Z21" s="53" t="s">
        <v>102</v>
      </c>
      <c r="AA21" s="53" t="s">
        <v>78</v>
      </c>
      <c r="AB21" s="53" t="s">
        <v>236</v>
      </c>
      <c r="AP21" s="27" t="s">
        <v>114</v>
      </c>
      <c r="AR21" s="23" t="s">
        <v>68</v>
      </c>
      <c r="AV21" s="28" t="s">
        <v>254</v>
      </c>
    </row>
    <row r="22" spans="1:48" x14ac:dyDescent="0.15">
      <c r="A22" s="53" t="s">
        <v>56</v>
      </c>
      <c r="B22" s="53" t="s">
        <v>232</v>
      </c>
      <c r="C22" s="53">
        <v>2019</v>
      </c>
      <c r="D22" s="81" t="s">
        <v>233</v>
      </c>
      <c r="E22" s="53" t="s">
        <v>252</v>
      </c>
      <c r="F22" s="53" t="s">
        <v>253</v>
      </c>
      <c r="G22" s="53" t="s">
        <v>42</v>
      </c>
      <c r="H22" s="53" t="s">
        <v>164</v>
      </c>
      <c r="I22" s="53" t="s">
        <v>159</v>
      </c>
      <c r="J22" s="53" t="s">
        <v>38</v>
      </c>
      <c r="K22" s="53" t="s">
        <v>161</v>
      </c>
      <c r="L22" s="53">
        <v>3</v>
      </c>
      <c r="N22" s="53">
        <v>5</v>
      </c>
      <c r="O22" s="53">
        <v>1</v>
      </c>
      <c r="P22" s="53">
        <v>1</v>
      </c>
      <c r="Q22" s="75">
        <f t="shared" si="0"/>
        <v>1</v>
      </c>
      <c r="R22" s="53">
        <v>14</v>
      </c>
      <c r="S22" s="53">
        <v>99</v>
      </c>
      <c r="T22" s="16">
        <f t="shared" si="1"/>
        <v>33</v>
      </c>
      <c r="U22" s="53">
        <v>430</v>
      </c>
      <c r="V22" s="16">
        <f t="shared" si="2"/>
        <v>2838</v>
      </c>
      <c r="W22" s="53">
        <v>2</v>
      </c>
      <c r="X22" s="53" t="s">
        <v>46</v>
      </c>
      <c r="Y22" s="53" t="s">
        <v>88</v>
      </c>
      <c r="Z22" s="53" t="s">
        <v>102</v>
      </c>
      <c r="AA22" s="53" t="s">
        <v>78</v>
      </c>
      <c r="AB22" s="53" t="s">
        <v>236</v>
      </c>
      <c r="AP22" s="27" t="s">
        <v>115</v>
      </c>
      <c r="AR22" s="23" t="s">
        <v>83</v>
      </c>
    </row>
    <row r="23" spans="1:48" x14ac:dyDescent="0.15">
      <c r="A23" s="53" t="s">
        <v>56</v>
      </c>
      <c r="B23" s="53" t="s">
        <v>232</v>
      </c>
      <c r="C23" s="53">
        <v>2019</v>
      </c>
      <c r="D23" s="81" t="s">
        <v>233</v>
      </c>
      <c r="E23" s="53" t="s">
        <v>252</v>
      </c>
      <c r="F23" s="53" t="s">
        <v>253</v>
      </c>
      <c r="G23" s="53" t="s">
        <v>42</v>
      </c>
      <c r="H23" s="53" t="s">
        <v>160</v>
      </c>
      <c r="I23" s="53" t="s">
        <v>159</v>
      </c>
      <c r="J23" s="53" t="s">
        <v>38</v>
      </c>
      <c r="K23" s="53" t="s">
        <v>161</v>
      </c>
      <c r="L23" s="53">
        <v>1</v>
      </c>
      <c r="N23" s="53">
        <v>5</v>
      </c>
      <c r="O23" s="53">
        <v>0.5</v>
      </c>
      <c r="P23" s="53">
        <v>0.5</v>
      </c>
      <c r="Q23" s="75">
        <f t="shared" si="0"/>
        <v>0.5</v>
      </c>
      <c r="R23" s="53">
        <v>17.2</v>
      </c>
      <c r="S23" s="53">
        <v>108</v>
      </c>
      <c r="T23" s="16">
        <f t="shared" si="1"/>
        <v>33</v>
      </c>
      <c r="U23" s="53">
        <v>646</v>
      </c>
      <c r="V23" s="16">
        <f t="shared" si="2"/>
        <v>4263.5999999999995</v>
      </c>
      <c r="W23" s="53">
        <v>2</v>
      </c>
      <c r="X23" s="53" t="s">
        <v>46</v>
      </c>
      <c r="Y23" s="53" t="s">
        <v>88</v>
      </c>
      <c r="Z23" s="53" t="s">
        <v>102</v>
      </c>
      <c r="AA23" s="53" t="s">
        <v>78</v>
      </c>
      <c r="AB23" s="53" t="s">
        <v>236</v>
      </c>
      <c r="AP23" s="27" t="s">
        <v>137</v>
      </c>
      <c r="AR23" s="23" t="s">
        <v>61</v>
      </c>
    </row>
    <row r="24" spans="1:48" x14ac:dyDescent="0.15">
      <c r="A24" s="53" t="s">
        <v>56</v>
      </c>
      <c r="B24" s="53" t="s">
        <v>232</v>
      </c>
      <c r="C24" s="53">
        <v>2019</v>
      </c>
      <c r="D24" s="81" t="s">
        <v>233</v>
      </c>
      <c r="E24" s="53" t="s">
        <v>252</v>
      </c>
      <c r="F24" s="53" t="s">
        <v>253</v>
      </c>
      <c r="G24" s="53" t="s">
        <v>42</v>
      </c>
      <c r="H24" s="53" t="s">
        <v>160</v>
      </c>
      <c r="I24" s="53" t="s">
        <v>159</v>
      </c>
      <c r="J24" s="53" t="s">
        <v>38</v>
      </c>
      <c r="K24" s="53" t="s">
        <v>161</v>
      </c>
      <c r="L24" s="53">
        <v>2</v>
      </c>
      <c r="N24" s="53">
        <v>5</v>
      </c>
      <c r="O24" s="53">
        <v>0.5</v>
      </c>
      <c r="P24" s="53">
        <v>0.5</v>
      </c>
      <c r="Q24" s="75">
        <f t="shared" si="0"/>
        <v>0.5</v>
      </c>
      <c r="R24" s="53">
        <v>16.8</v>
      </c>
      <c r="S24" s="53">
        <v>113</v>
      </c>
      <c r="T24" s="16">
        <f t="shared" si="1"/>
        <v>30</v>
      </c>
      <c r="U24" s="53">
        <v>646</v>
      </c>
      <c r="V24" s="16">
        <f t="shared" si="2"/>
        <v>3875.9999999999995</v>
      </c>
      <c r="W24" s="53">
        <v>2</v>
      </c>
      <c r="X24" s="53" t="s">
        <v>46</v>
      </c>
      <c r="Y24" s="53" t="s">
        <v>88</v>
      </c>
      <c r="Z24" s="53" t="s">
        <v>102</v>
      </c>
      <c r="AA24" s="53" t="s">
        <v>78</v>
      </c>
      <c r="AB24" s="53" t="s">
        <v>236</v>
      </c>
      <c r="AP24" s="27" t="s">
        <v>138</v>
      </c>
      <c r="AR24" s="23" t="s">
        <v>91</v>
      </c>
    </row>
    <row r="25" spans="1:48" x14ac:dyDescent="0.15">
      <c r="A25" s="53" t="s">
        <v>56</v>
      </c>
      <c r="B25" s="53" t="s">
        <v>232</v>
      </c>
      <c r="C25" s="53">
        <v>2019</v>
      </c>
      <c r="D25" s="81" t="s">
        <v>233</v>
      </c>
      <c r="E25" s="53" t="s">
        <v>252</v>
      </c>
      <c r="F25" s="53" t="s">
        <v>253</v>
      </c>
      <c r="G25" s="53" t="s">
        <v>42</v>
      </c>
      <c r="H25" s="53" t="s">
        <v>160</v>
      </c>
      <c r="I25" s="53" t="s">
        <v>159</v>
      </c>
      <c r="J25" s="53" t="s">
        <v>38</v>
      </c>
      <c r="K25" s="53" t="s">
        <v>161</v>
      </c>
      <c r="L25" s="53">
        <v>3</v>
      </c>
      <c r="N25" s="53">
        <v>5</v>
      </c>
      <c r="O25" s="53">
        <v>0.55000000000000004</v>
      </c>
      <c r="P25" s="53">
        <v>0.55000000000000004</v>
      </c>
      <c r="Q25" s="75">
        <f t="shared" si="0"/>
        <v>0.55000000000000004</v>
      </c>
      <c r="R25" s="53">
        <v>14.5</v>
      </c>
      <c r="S25" s="53">
        <v>118</v>
      </c>
      <c r="T25" s="16">
        <f t="shared" si="1"/>
        <v>30</v>
      </c>
      <c r="U25" s="53">
        <v>646</v>
      </c>
      <c r="V25" s="16">
        <f t="shared" si="2"/>
        <v>3875.9999999999995</v>
      </c>
      <c r="W25" s="53">
        <v>2</v>
      </c>
      <c r="X25" s="53" t="s">
        <v>46</v>
      </c>
      <c r="Y25" s="53" t="s">
        <v>88</v>
      </c>
      <c r="Z25" s="53" t="s">
        <v>102</v>
      </c>
      <c r="AA25" s="53" t="s">
        <v>78</v>
      </c>
      <c r="AB25" s="53" t="s">
        <v>236</v>
      </c>
      <c r="AP25" s="27" t="s">
        <v>116</v>
      </c>
      <c r="AR25" s="27" t="s">
        <v>92</v>
      </c>
    </row>
    <row r="26" spans="1:48" x14ac:dyDescent="0.15">
      <c r="A26" s="53" t="s">
        <v>56</v>
      </c>
      <c r="B26" s="53" t="s">
        <v>232</v>
      </c>
      <c r="C26" s="53">
        <v>2019</v>
      </c>
      <c r="D26" s="81" t="s">
        <v>233</v>
      </c>
      <c r="E26" s="53" t="s">
        <v>255</v>
      </c>
      <c r="F26" s="53" t="s">
        <v>251</v>
      </c>
      <c r="G26" s="53" t="s">
        <v>42</v>
      </c>
      <c r="H26" s="53" t="s">
        <v>164</v>
      </c>
      <c r="I26" s="53" t="s">
        <v>159</v>
      </c>
      <c r="J26" s="53" t="s">
        <v>38</v>
      </c>
      <c r="K26" s="53" t="s">
        <v>161</v>
      </c>
      <c r="L26" s="53">
        <v>1</v>
      </c>
      <c r="N26" s="53">
        <v>5</v>
      </c>
      <c r="O26" s="53">
        <v>0.85</v>
      </c>
      <c r="P26" s="53">
        <v>0.9</v>
      </c>
      <c r="Q26" s="16">
        <f t="shared" si="0"/>
        <v>0.875</v>
      </c>
      <c r="R26" s="53">
        <v>13</v>
      </c>
      <c r="S26" s="53">
        <v>95</v>
      </c>
      <c r="T26" s="16">
        <f t="shared" si="1"/>
        <v>36</v>
      </c>
      <c r="U26" s="53">
        <v>418</v>
      </c>
      <c r="V26" s="16">
        <f t="shared" si="2"/>
        <v>3009.6</v>
      </c>
      <c r="W26" s="53">
        <v>2</v>
      </c>
      <c r="X26" s="53" t="s">
        <v>39</v>
      </c>
      <c r="Y26" s="53" t="s">
        <v>78</v>
      </c>
      <c r="Z26" s="53" t="s">
        <v>88</v>
      </c>
      <c r="AA26" s="53" t="s">
        <v>102</v>
      </c>
      <c r="AB26" s="53" t="s">
        <v>236</v>
      </c>
      <c r="AP26" s="27" t="s">
        <v>117</v>
      </c>
      <c r="AR26" s="53" t="s">
        <v>153</v>
      </c>
    </row>
    <row r="27" spans="1:48" x14ac:dyDescent="0.15">
      <c r="A27" s="53" t="s">
        <v>56</v>
      </c>
      <c r="B27" s="53" t="s">
        <v>232</v>
      </c>
      <c r="C27" s="53">
        <v>2019</v>
      </c>
      <c r="D27" s="81" t="s">
        <v>233</v>
      </c>
      <c r="E27" s="53" t="s">
        <v>255</v>
      </c>
      <c r="F27" s="53" t="s">
        <v>251</v>
      </c>
      <c r="G27" s="53" t="s">
        <v>42</v>
      </c>
      <c r="H27" s="53" t="s">
        <v>164</v>
      </c>
      <c r="I27" s="53" t="s">
        <v>159</v>
      </c>
      <c r="J27" s="53" t="s">
        <v>38</v>
      </c>
      <c r="K27" s="53" t="s">
        <v>161</v>
      </c>
      <c r="L27" s="53">
        <v>2</v>
      </c>
      <c r="N27" s="53">
        <v>5</v>
      </c>
      <c r="O27" s="53">
        <v>0.75</v>
      </c>
      <c r="P27" s="53">
        <v>0.85</v>
      </c>
      <c r="Q27" s="16">
        <f t="shared" si="0"/>
        <v>0.8</v>
      </c>
      <c r="R27" s="53">
        <v>13</v>
      </c>
      <c r="S27" s="53">
        <v>91</v>
      </c>
      <c r="T27" s="16">
        <f t="shared" si="1"/>
        <v>36</v>
      </c>
      <c r="U27" s="53">
        <v>418</v>
      </c>
      <c r="V27" s="16">
        <f t="shared" si="2"/>
        <v>3009.6</v>
      </c>
      <c r="W27" s="53">
        <v>2</v>
      </c>
      <c r="X27" s="53" t="s">
        <v>39</v>
      </c>
      <c r="Y27" s="53" t="s">
        <v>78</v>
      </c>
      <c r="Z27" s="53" t="s">
        <v>88</v>
      </c>
      <c r="AA27" s="53" t="s">
        <v>102</v>
      </c>
      <c r="AB27" s="53" t="s">
        <v>236</v>
      </c>
      <c r="AP27" s="27" t="s">
        <v>118</v>
      </c>
    </row>
    <row r="28" spans="1:48" x14ac:dyDescent="0.15">
      <c r="A28" s="53" t="s">
        <v>56</v>
      </c>
      <c r="B28" s="53" t="s">
        <v>232</v>
      </c>
      <c r="C28" s="53">
        <v>2019</v>
      </c>
      <c r="D28" s="81" t="s">
        <v>233</v>
      </c>
      <c r="E28" s="53" t="s">
        <v>255</v>
      </c>
      <c r="F28" s="53" t="s">
        <v>251</v>
      </c>
      <c r="G28" s="53" t="s">
        <v>42</v>
      </c>
      <c r="H28" s="53" t="s">
        <v>164</v>
      </c>
      <c r="I28" s="53" t="s">
        <v>159</v>
      </c>
      <c r="J28" s="53" t="s">
        <v>38</v>
      </c>
      <c r="K28" s="53" t="s">
        <v>161</v>
      </c>
      <c r="L28" s="53">
        <v>3</v>
      </c>
      <c r="N28" s="53">
        <v>5</v>
      </c>
      <c r="O28" s="53">
        <v>0.75</v>
      </c>
      <c r="P28" s="53">
        <v>0.8</v>
      </c>
      <c r="Q28" s="16">
        <f t="shared" si="0"/>
        <v>0.77500000000000002</v>
      </c>
      <c r="R28" s="53">
        <v>13.4</v>
      </c>
      <c r="S28" s="53">
        <v>97</v>
      </c>
      <c r="T28" s="16">
        <f t="shared" si="1"/>
        <v>36</v>
      </c>
      <c r="U28" s="53">
        <v>418</v>
      </c>
      <c r="V28" s="16">
        <f t="shared" si="2"/>
        <v>3009.6</v>
      </c>
      <c r="W28" s="53">
        <v>2</v>
      </c>
      <c r="X28" s="53" t="s">
        <v>39</v>
      </c>
      <c r="Y28" s="53" t="s">
        <v>78</v>
      </c>
      <c r="Z28" s="53" t="s">
        <v>88</v>
      </c>
      <c r="AA28" s="53" t="s">
        <v>102</v>
      </c>
      <c r="AB28" s="53" t="s">
        <v>236</v>
      </c>
    </row>
    <row r="29" spans="1:48" x14ac:dyDescent="0.15">
      <c r="A29" s="53" t="s">
        <v>56</v>
      </c>
      <c r="B29" s="53" t="s">
        <v>232</v>
      </c>
      <c r="C29" s="53">
        <v>2019</v>
      </c>
      <c r="D29" s="81" t="s">
        <v>233</v>
      </c>
      <c r="E29" s="53" t="s">
        <v>255</v>
      </c>
      <c r="F29" s="53" t="s">
        <v>251</v>
      </c>
      <c r="G29" s="53" t="s">
        <v>42</v>
      </c>
      <c r="H29" s="53" t="s">
        <v>160</v>
      </c>
      <c r="I29" s="53" t="s">
        <v>159</v>
      </c>
      <c r="J29" s="53" t="s">
        <v>38</v>
      </c>
      <c r="K29" s="53" t="s">
        <v>161</v>
      </c>
      <c r="L29" s="53">
        <v>1</v>
      </c>
      <c r="N29" s="53">
        <v>4</v>
      </c>
      <c r="O29" s="53">
        <v>0.75</v>
      </c>
      <c r="P29" s="53">
        <v>0.6</v>
      </c>
      <c r="Q29" s="16">
        <f t="shared" si="0"/>
        <v>0.67500000000000004</v>
      </c>
      <c r="R29" s="53">
        <v>13.4</v>
      </c>
      <c r="S29" s="53">
        <v>105</v>
      </c>
      <c r="T29" s="16">
        <f t="shared" si="1"/>
        <v>33</v>
      </c>
      <c r="U29" s="53">
        <v>418</v>
      </c>
      <c r="V29" s="16">
        <f t="shared" si="2"/>
        <v>3448.5</v>
      </c>
      <c r="W29" s="53">
        <v>2</v>
      </c>
      <c r="X29" s="53" t="s">
        <v>39</v>
      </c>
      <c r="Y29" s="53" t="s">
        <v>78</v>
      </c>
      <c r="Z29" s="53" t="s">
        <v>88</v>
      </c>
      <c r="AA29" s="53" t="s">
        <v>102</v>
      </c>
      <c r="AB29" s="53" t="s">
        <v>236</v>
      </c>
    </row>
    <row r="30" spans="1:48" x14ac:dyDescent="0.15">
      <c r="A30" s="53" t="s">
        <v>56</v>
      </c>
      <c r="B30" s="53" t="s">
        <v>232</v>
      </c>
      <c r="C30" s="53">
        <v>2019</v>
      </c>
      <c r="D30" s="81" t="s">
        <v>233</v>
      </c>
      <c r="E30" s="53" t="s">
        <v>255</v>
      </c>
      <c r="F30" s="53" t="s">
        <v>251</v>
      </c>
      <c r="G30" s="53" t="s">
        <v>42</v>
      </c>
      <c r="H30" s="53" t="s">
        <v>160</v>
      </c>
      <c r="I30" s="53" t="s">
        <v>159</v>
      </c>
      <c r="J30" s="53" t="s">
        <v>38</v>
      </c>
      <c r="K30" s="53" t="s">
        <v>161</v>
      </c>
      <c r="L30" s="53">
        <v>2</v>
      </c>
      <c r="N30" s="53">
        <v>4</v>
      </c>
      <c r="O30" s="53">
        <v>0.65</v>
      </c>
      <c r="P30" s="53">
        <v>0.6</v>
      </c>
      <c r="Q30" s="16">
        <f t="shared" si="0"/>
        <v>0.625</v>
      </c>
      <c r="R30" s="53">
        <v>16.7</v>
      </c>
      <c r="S30" s="53">
        <v>108</v>
      </c>
      <c r="T30" s="16">
        <f t="shared" si="1"/>
        <v>33</v>
      </c>
      <c r="U30" s="53">
        <v>418</v>
      </c>
      <c r="V30" s="16">
        <f t="shared" si="2"/>
        <v>3448.5</v>
      </c>
      <c r="W30" s="53">
        <v>2</v>
      </c>
      <c r="X30" s="53" t="s">
        <v>39</v>
      </c>
      <c r="Y30" s="53" t="s">
        <v>78</v>
      </c>
      <c r="Z30" s="53" t="s">
        <v>88</v>
      </c>
      <c r="AA30" s="53" t="s">
        <v>102</v>
      </c>
      <c r="AB30" s="53" t="s">
        <v>236</v>
      </c>
    </row>
    <row r="31" spans="1:48" x14ac:dyDescent="0.15">
      <c r="A31" s="53" t="s">
        <v>56</v>
      </c>
      <c r="B31" s="53" t="s">
        <v>232</v>
      </c>
      <c r="C31" s="53">
        <v>2019</v>
      </c>
      <c r="D31" s="81" t="s">
        <v>233</v>
      </c>
      <c r="E31" s="53" t="s">
        <v>255</v>
      </c>
      <c r="F31" s="53" t="s">
        <v>251</v>
      </c>
      <c r="G31" s="53" t="s">
        <v>42</v>
      </c>
      <c r="H31" s="53" t="s">
        <v>160</v>
      </c>
      <c r="I31" s="53" t="s">
        <v>159</v>
      </c>
      <c r="J31" s="53" t="s">
        <v>38</v>
      </c>
      <c r="K31" s="53" t="s">
        <v>161</v>
      </c>
      <c r="L31" s="53">
        <v>3</v>
      </c>
      <c r="N31" s="53">
        <v>4</v>
      </c>
      <c r="O31" s="53">
        <v>0.75</v>
      </c>
      <c r="P31" s="53">
        <v>0.7</v>
      </c>
      <c r="Q31" s="16">
        <f t="shared" si="0"/>
        <v>0.72499999999999998</v>
      </c>
      <c r="R31" s="53">
        <v>18</v>
      </c>
      <c r="S31" s="53">
        <v>111</v>
      </c>
      <c r="T31" s="16">
        <f t="shared" si="1"/>
        <v>33</v>
      </c>
      <c r="U31" s="53">
        <v>418</v>
      </c>
      <c r="V31" s="16">
        <f t="shared" si="2"/>
        <v>3448.5</v>
      </c>
      <c r="W31" s="53">
        <v>2</v>
      </c>
      <c r="X31" s="53" t="s">
        <v>39</v>
      </c>
      <c r="Y31" s="53" t="s">
        <v>78</v>
      </c>
      <c r="Z31" s="53" t="s">
        <v>88</v>
      </c>
      <c r="AA31" s="53" t="s">
        <v>102</v>
      </c>
      <c r="AB31" s="53" t="s">
        <v>236</v>
      </c>
    </row>
    <row r="32" spans="1:48" x14ac:dyDescent="0.15">
      <c r="A32" s="53" t="s">
        <v>56</v>
      </c>
      <c r="B32" s="53" t="s">
        <v>232</v>
      </c>
      <c r="C32" s="53">
        <v>2019</v>
      </c>
      <c r="D32" s="81" t="s">
        <v>233</v>
      </c>
      <c r="E32" s="53" t="s">
        <v>162</v>
      </c>
      <c r="F32" s="53" t="s">
        <v>248</v>
      </c>
      <c r="G32" s="53" t="s">
        <v>42</v>
      </c>
      <c r="H32" s="53" t="s">
        <v>164</v>
      </c>
      <c r="I32" s="53" t="s">
        <v>159</v>
      </c>
      <c r="J32" s="53" t="s">
        <v>38</v>
      </c>
      <c r="K32" s="53" t="s">
        <v>161</v>
      </c>
      <c r="L32" s="53">
        <v>1</v>
      </c>
      <c r="N32" s="53">
        <v>1</v>
      </c>
      <c r="O32" s="53">
        <v>0.7</v>
      </c>
      <c r="P32" s="53">
        <v>0.7</v>
      </c>
      <c r="Q32" s="16">
        <f t="shared" si="0"/>
        <v>0.7</v>
      </c>
      <c r="R32" s="53">
        <v>15.1</v>
      </c>
      <c r="S32" s="53">
        <v>123</v>
      </c>
      <c r="T32" s="16">
        <f t="shared" si="1"/>
        <v>27</v>
      </c>
      <c r="U32" s="53">
        <v>106</v>
      </c>
      <c r="V32" s="16">
        <f t="shared" si="2"/>
        <v>2862</v>
      </c>
      <c r="W32" s="53">
        <v>2</v>
      </c>
      <c r="X32" s="53" t="s">
        <v>46</v>
      </c>
      <c r="Y32" s="53" t="s">
        <v>78</v>
      </c>
      <c r="Z32" s="53" t="s">
        <v>88</v>
      </c>
      <c r="AA32" s="53" t="s">
        <v>86</v>
      </c>
      <c r="AB32" s="53" t="s">
        <v>236</v>
      </c>
    </row>
    <row r="33" spans="1:28" x14ac:dyDescent="0.15">
      <c r="A33" s="53" t="s">
        <v>56</v>
      </c>
      <c r="B33" s="53" t="s">
        <v>232</v>
      </c>
      <c r="C33" s="53">
        <v>2019</v>
      </c>
      <c r="D33" s="81" t="s">
        <v>233</v>
      </c>
      <c r="E33" s="53" t="s">
        <v>162</v>
      </c>
      <c r="F33" s="53" t="s">
        <v>248</v>
      </c>
      <c r="G33" s="53" t="s">
        <v>42</v>
      </c>
      <c r="H33" s="53" t="s">
        <v>164</v>
      </c>
      <c r="I33" s="53" t="s">
        <v>159</v>
      </c>
      <c r="J33" s="53" t="s">
        <v>38</v>
      </c>
      <c r="K33" s="53" t="s">
        <v>161</v>
      </c>
      <c r="L33" s="53">
        <v>2</v>
      </c>
      <c r="N33" s="53">
        <v>1</v>
      </c>
      <c r="O33" s="53">
        <v>0.65</v>
      </c>
      <c r="P33" s="53">
        <v>0.7</v>
      </c>
      <c r="Q33" s="16">
        <f t="shared" si="0"/>
        <v>0.67500000000000004</v>
      </c>
      <c r="R33" s="53">
        <v>14.8</v>
      </c>
      <c r="S33" s="53">
        <v>116</v>
      </c>
      <c r="T33" s="16">
        <f t="shared" si="1"/>
        <v>30</v>
      </c>
      <c r="U33" s="53">
        <v>106</v>
      </c>
      <c r="V33" s="16">
        <f t="shared" si="2"/>
        <v>3180</v>
      </c>
      <c r="W33" s="53">
        <v>2</v>
      </c>
      <c r="X33" s="53" t="s">
        <v>46</v>
      </c>
      <c r="Y33" s="53" t="s">
        <v>78</v>
      </c>
      <c r="Z33" s="53" t="s">
        <v>88</v>
      </c>
      <c r="AA33" s="53" t="s">
        <v>86</v>
      </c>
      <c r="AB33" s="53" t="s">
        <v>236</v>
      </c>
    </row>
    <row r="34" spans="1:28" x14ac:dyDescent="0.15">
      <c r="A34" s="53" t="s">
        <v>56</v>
      </c>
      <c r="B34" s="53" t="s">
        <v>232</v>
      </c>
      <c r="C34" s="53">
        <v>2019</v>
      </c>
      <c r="D34" s="81" t="s">
        <v>233</v>
      </c>
      <c r="E34" s="53" t="s">
        <v>162</v>
      </c>
      <c r="F34" s="53" t="s">
        <v>248</v>
      </c>
      <c r="G34" s="53" t="s">
        <v>42</v>
      </c>
      <c r="H34" s="53" t="s">
        <v>164</v>
      </c>
      <c r="I34" s="53" t="s">
        <v>159</v>
      </c>
      <c r="J34" s="53" t="s">
        <v>38</v>
      </c>
      <c r="K34" s="53" t="s">
        <v>161</v>
      </c>
      <c r="L34" s="53">
        <v>3</v>
      </c>
      <c r="N34" s="53">
        <v>1</v>
      </c>
      <c r="O34" s="53">
        <v>0.75</v>
      </c>
      <c r="P34" s="53">
        <v>0.65</v>
      </c>
      <c r="Q34" s="16">
        <f t="shared" si="0"/>
        <v>0.7</v>
      </c>
      <c r="R34" s="53">
        <v>12.3</v>
      </c>
      <c r="S34" s="53">
        <v>118</v>
      </c>
      <c r="T34" s="16">
        <f t="shared" si="1"/>
        <v>30</v>
      </c>
      <c r="U34" s="53">
        <v>106</v>
      </c>
      <c r="V34" s="16">
        <f t="shared" si="2"/>
        <v>3180</v>
      </c>
      <c r="W34" s="53">
        <v>2</v>
      </c>
      <c r="X34" s="53" t="s">
        <v>46</v>
      </c>
      <c r="Y34" s="53" t="s">
        <v>78</v>
      </c>
      <c r="Z34" s="53" t="s">
        <v>88</v>
      </c>
      <c r="AA34" s="53" t="s">
        <v>86</v>
      </c>
      <c r="AB34" s="53" t="s">
        <v>236</v>
      </c>
    </row>
    <row r="35" spans="1:28" x14ac:dyDescent="0.15">
      <c r="A35" s="53" t="s">
        <v>56</v>
      </c>
      <c r="B35" s="53" t="s">
        <v>232</v>
      </c>
      <c r="C35" s="53">
        <v>2019</v>
      </c>
      <c r="D35" s="81" t="s">
        <v>233</v>
      </c>
      <c r="E35" s="53" t="s">
        <v>162</v>
      </c>
      <c r="F35" s="53" t="s">
        <v>248</v>
      </c>
      <c r="G35" s="53" t="s">
        <v>42</v>
      </c>
      <c r="H35" s="53" t="s">
        <v>160</v>
      </c>
      <c r="I35" s="53" t="s">
        <v>159</v>
      </c>
      <c r="J35" s="53" t="s">
        <v>38</v>
      </c>
      <c r="K35" s="53" t="s">
        <v>161</v>
      </c>
      <c r="L35" s="53">
        <v>1</v>
      </c>
      <c r="N35" s="53">
        <v>1</v>
      </c>
      <c r="O35" s="53">
        <v>0.55000000000000004</v>
      </c>
      <c r="P35" s="53">
        <v>0.65</v>
      </c>
      <c r="Q35" s="16">
        <f t="shared" si="0"/>
        <v>0.60000000000000009</v>
      </c>
      <c r="R35" s="53">
        <v>17.2</v>
      </c>
      <c r="S35" s="53">
        <v>106</v>
      </c>
      <c r="T35" s="16">
        <f t="shared" si="1"/>
        <v>33</v>
      </c>
      <c r="U35" s="53">
        <v>106</v>
      </c>
      <c r="V35" s="16">
        <f t="shared" si="2"/>
        <v>3498</v>
      </c>
      <c r="W35" s="53">
        <v>2</v>
      </c>
      <c r="X35" s="53" t="s">
        <v>46</v>
      </c>
      <c r="Y35" s="53" t="s">
        <v>78</v>
      </c>
      <c r="Z35" s="53" t="s">
        <v>88</v>
      </c>
      <c r="AA35" s="53" t="s">
        <v>86</v>
      </c>
      <c r="AB35" s="53" t="s">
        <v>236</v>
      </c>
    </row>
    <row r="36" spans="1:28" x14ac:dyDescent="0.15">
      <c r="A36" s="53" t="s">
        <v>56</v>
      </c>
      <c r="B36" s="53" t="s">
        <v>232</v>
      </c>
      <c r="C36" s="53">
        <v>2019</v>
      </c>
      <c r="D36" s="81" t="s">
        <v>233</v>
      </c>
      <c r="E36" s="53" t="s">
        <v>162</v>
      </c>
      <c r="F36" s="53" t="s">
        <v>248</v>
      </c>
      <c r="G36" s="53" t="s">
        <v>42</v>
      </c>
      <c r="H36" s="53" t="s">
        <v>160</v>
      </c>
      <c r="I36" s="53" t="s">
        <v>159</v>
      </c>
      <c r="J36" s="53" t="s">
        <v>38</v>
      </c>
      <c r="K36" s="53" t="s">
        <v>161</v>
      </c>
      <c r="L36" s="53">
        <v>2</v>
      </c>
      <c r="N36" s="53">
        <v>1</v>
      </c>
      <c r="O36" s="53">
        <v>0.75</v>
      </c>
      <c r="P36" s="53">
        <v>0.65</v>
      </c>
      <c r="Q36" s="16">
        <f t="shared" si="0"/>
        <v>0.7</v>
      </c>
      <c r="R36" s="53">
        <v>16</v>
      </c>
      <c r="S36" s="53">
        <v>105</v>
      </c>
      <c r="T36" s="16">
        <f t="shared" si="1"/>
        <v>33</v>
      </c>
      <c r="U36" s="53">
        <v>106</v>
      </c>
      <c r="V36" s="16">
        <f t="shared" si="2"/>
        <v>3498</v>
      </c>
      <c r="W36" s="53">
        <v>2</v>
      </c>
      <c r="X36" s="53" t="s">
        <v>46</v>
      </c>
      <c r="Y36" s="53" t="s">
        <v>78</v>
      </c>
      <c r="Z36" s="53" t="s">
        <v>88</v>
      </c>
      <c r="AA36" s="53" t="s">
        <v>86</v>
      </c>
      <c r="AB36" s="53" t="s">
        <v>236</v>
      </c>
    </row>
    <row r="37" spans="1:28" x14ac:dyDescent="0.15">
      <c r="A37" s="53" t="s">
        <v>56</v>
      </c>
      <c r="B37" s="53" t="s">
        <v>232</v>
      </c>
      <c r="C37" s="53">
        <v>2019</v>
      </c>
      <c r="D37" s="81" t="s">
        <v>233</v>
      </c>
      <c r="E37" s="53" t="s">
        <v>162</v>
      </c>
      <c r="F37" s="53" t="s">
        <v>248</v>
      </c>
      <c r="G37" s="53" t="s">
        <v>42</v>
      </c>
      <c r="H37" s="53" t="s">
        <v>160</v>
      </c>
      <c r="I37" s="53" t="s">
        <v>159</v>
      </c>
      <c r="J37" s="53" t="s">
        <v>38</v>
      </c>
      <c r="K37" s="53" t="s">
        <v>161</v>
      </c>
      <c r="L37" s="53">
        <v>3</v>
      </c>
      <c r="N37" s="53">
        <v>1</v>
      </c>
      <c r="O37" s="53">
        <v>0.75</v>
      </c>
      <c r="P37" s="53">
        <v>0.8</v>
      </c>
      <c r="Q37" s="16">
        <f t="shared" si="0"/>
        <v>0.77500000000000002</v>
      </c>
      <c r="R37" s="53">
        <v>15.8</v>
      </c>
      <c r="S37" s="53">
        <v>107</v>
      </c>
      <c r="T37" s="16">
        <f t="shared" si="1"/>
        <v>33</v>
      </c>
      <c r="U37" s="53">
        <v>106</v>
      </c>
      <c r="V37" s="16">
        <f t="shared" si="2"/>
        <v>3498</v>
      </c>
      <c r="W37" s="53">
        <v>2</v>
      </c>
      <c r="X37" s="53" t="s">
        <v>46</v>
      </c>
      <c r="Y37" s="53" t="s">
        <v>78</v>
      </c>
      <c r="Z37" s="53" t="s">
        <v>88</v>
      </c>
      <c r="AA37" s="53" t="s">
        <v>86</v>
      </c>
      <c r="AB37" s="53" t="s">
        <v>236</v>
      </c>
    </row>
    <row r="38" spans="1:28" x14ac:dyDescent="0.15">
      <c r="A38" s="53" t="s">
        <v>56</v>
      </c>
      <c r="B38" s="53" t="s">
        <v>232</v>
      </c>
      <c r="C38" s="53">
        <v>2019</v>
      </c>
      <c r="D38" s="81" t="s">
        <v>233</v>
      </c>
      <c r="E38" s="53" t="s">
        <v>256</v>
      </c>
      <c r="F38" s="53" t="s">
        <v>248</v>
      </c>
      <c r="G38" s="53" t="s">
        <v>42</v>
      </c>
      <c r="H38" s="53" t="s">
        <v>164</v>
      </c>
      <c r="I38" s="53" t="s">
        <v>159</v>
      </c>
      <c r="J38" s="53" t="s">
        <v>38</v>
      </c>
      <c r="K38" s="53" t="s">
        <v>161</v>
      </c>
      <c r="L38" s="53">
        <v>1</v>
      </c>
      <c r="N38" s="53">
        <v>1</v>
      </c>
      <c r="O38" s="53">
        <v>0.85</v>
      </c>
      <c r="P38" s="53">
        <v>0.85</v>
      </c>
      <c r="Q38" s="16">
        <f t="shared" si="0"/>
        <v>0.85</v>
      </c>
      <c r="R38" s="53">
        <v>13.2</v>
      </c>
      <c r="S38" s="53">
        <v>136</v>
      </c>
      <c r="T38" s="16">
        <f t="shared" si="1"/>
        <v>25</v>
      </c>
      <c r="U38" s="53">
        <v>138</v>
      </c>
      <c r="V38" s="16">
        <f t="shared" si="2"/>
        <v>3450</v>
      </c>
      <c r="W38" s="53">
        <v>1</v>
      </c>
      <c r="X38" s="53" t="s">
        <v>39</v>
      </c>
      <c r="Y38" s="53" t="s">
        <v>88</v>
      </c>
      <c r="Z38" s="53" t="s">
        <v>78</v>
      </c>
      <c r="AA38" s="53" t="s">
        <v>102</v>
      </c>
      <c r="AB38" s="53" t="s">
        <v>236</v>
      </c>
    </row>
    <row r="39" spans="1:28" x14ac:dyDescent="0.15">
      <c r="A39" s="53" t="s">
        <v>56</v>
      </c>
      <c r="B39" s="53" t="s">
        <v>232</v>
      </c>
      <c r="C39" s="53">
        <v>2019</v>
      </c>
      <c r="D39" s="81" t="s">
        <v>233</v>
      </c>
      <c r="E39" s="53" t="s">
        <v>256</v>
      </c>
      <c r="F39" s="53" t="s">
        <v>248</v>
      </c>
      <c r="G39" s="53" t="s">
        <v>42</v>
      </c>
      <c r="H39" s="53" t="s">
        <v>164</v>
      </c>
      <c r="I39" s="53" t="s">
        <v>159</v>
      </c>
      <c r="J39" s="53" t="s">
        <v>38</v>
      </c>
      <c r="K39" s="53" t="s">
        <v>161</v>
      </c>
      <c r="L39" s="53">
        <v>2</v>
      </c>
      <c r="N39" s="53">
        <v>1</v>
      </c>
      <c r="O39" s="53">
        <v>0.75</v>
      </c>
      <c r="P39" s="53">
        <v>0.7</v>
      </c>
      <c r="Q39" s="16">
        <f t="shared" si="0"/>
        <v>0.72499999999999998</v>
      </c>
      <c r="R39" s="53">
        <v>13.6</v>
      </c>
      <c r="S39" s="53">
        <v>135</v>
      </c>
      <c r="T39" s="16">
        <f t="shared" si="1"/>
        <v>25</v>
      </c>
      <c r="U39" s="53">
        <v>138</v>
      </c>
      <c r="V39" s="16">
        <f t="shared" si="2"/>
        <v>3450</v>
      </c>
      <c r="W39" s="53">
        <v>1</v>
      </c>
      <c r="X39" s="53" t="s">
        <v>39</v>
      </c>
      <c r="Y39" s="53" t="s">
        <v>88</v>
      </c>
      <c r="Z39" s="53" t="s">
        <v>78</v>
      </c>
      <c r="AA39" s="53" t="s">
        <v>102</v>
      </c>
      <c r="AB39" s="53" t="s">
        <v>236</v>
      </c>
    </row>
    <row r="40" spans="1:28" x14ac:dyDescent="0.15">
      <c r="A40" s="53" t="s">
        <v>56</v>
      </c>
      <c r="B40" s="53" t="s">
        <v>232</v>
      </c>
      <c r="C40" s="53">
        <v>2019</v>
      </c>
      <c r="D40" s="81" t="s">
        <v>233</v>
      </c>
      <c r="E40" s="53" t="s">
        <v>256</v>
      </c>
      <c r="F40" s="53" t="s">
        <v>248</v>
      </c>
      <c r="G40" s="53" t="s">
        <v>42</v>
      </c>
      <c r="H40" s="53" t="s">
        <v>164</v>
      </c>
      <c r="I40" s="53" t="s">
        <v>159</v>
      </c>
      <c r="J40" s="53" t="s">
        <v>38</v>
      </c>
      <c r="K40" s="53" t="s">
        <v>161</v>
      </c>
      <c r="L40" s="53">
        <v>3</v>
      </c>
      <c r="N40" s="53">
        <v>1</v>
      </c>
      <c r="O40" s="53">
        <v>0.85</v>
      </c>
      <c r="P40" s="53">
        <v>0.75</v>
      </c>
      <c r="Q40" s="16">
        <f t="shared" si="0"/>
        <v>0.8</v>
      </c>
      <c r="R40" s="53">
        <v>14.2</v>
      </c>
      <c r="S40" s="53">
        <v>129</v>
      </c>
      <c r="T40" s="16">
        <f t="shared" si="1"/>
        <v>25</v>
      </c>
      <c r="U40" s="53">
        <v>138</v>
      </c>
      <c r="V40" s="16">
        <f t="shared" si="2"/>
        <v>3450</v>
      </c>
      <c r="W40" s="53">
        <v>1</v>
      </c>
      <c r="X40" s="53" t="s">
        <v>39</v>
      </c>
      <c r="Y40" s="53" t="s">
        <v>88</v>
      </c>
      <c r="Z40" s="53" t="s">
        <v>78</v>
      </c>
      <c r="AA40" s="53" t="s">
        <v>102</v>
      </c>
      <c r="AB40" s="53" t="s">
        <v>236</v>
      </c>
    </row>
    <row r="41" spans="1:28" x14ac:dyDescent="0.15">
      <c r="A41" s="53" t="s">
        <v>56</v>
      </c>
      <c r="B41" s="53" t="s">
        <v>232</v>
      </c>
      <c r="C41" s="53">
        <v>2019</v>
      </c>
      <c r="D41" s="81" t="s">
        <v>233</v>
      </c>
      <c r="E41" s="53" t="s">
        <v>256</v>
      </c>
      <c r="F41" s="53" t="s">
        <v>248</v>
      </c>
      <c r="G41" s="53" t="s">
        <v>42</v>
      </c>
      <c r="H41" s="53" t="s">
        <v>160</v>
      </c>
      <c r="I41" s="53" t="s">
        <v>159</v>
      </c>
      <c r="J41" s="53" t="s">
        <v>38</v>
      </c>
      <c r="K41" s="53" t="s">
        <v>161</v>
      </c>
      <c r="L41" s="53">
        <v>1</v>
      </c>
      <c r="N41" s="53">
        <v>1</v>
      </c>
      <c r="O41" s="53">
        <v>0.6</v>
      </c>
      <c r="P41" s="53">
        <v>0.65</v>
      </c>
      <c r="Q41" s="16">
        <f t="shared" si="0"/>
        <v>0.625</v>
      </c>
      <c r="R41" s="53">
        <v>16.5</v>
      </c>
      <c r="S41" s="53">
        <v>124</v>
      </c>
      <c r="T41" s="16">
        <f t="shared" si="1"/>
        <v>27</v>
      </c>
      <c r="U41" s="53">
        <v>150</v>
      </c>
      <c r="V41" s="16">
        <f t="shared" si="2"/>
        <v>4050</v>
      </c>
      <c r="W41" s="53">
        <v>1</v>
      </c>
      <c r="X41" s="53" t="s">
        <v>39</v>
      </c>
      <c r="Y41" s="53" t="s">
        <v>88</v>
      </c>
      <c r="Z41" s="53" t="s">
        <v>78</v>
      </c>
      <c r="AA41" s="53" t="s">
        <v>102</v>
      </c>
      <c r="AB41" s="53" t="s">
        <v>236</v>
      </c>
    </row>
    <row r="42" spans="1:28" x14ac:dyDescent="0.15">
      <c r="A42" s="53" t="s">
        <v>56</v>
      </c>
      <c r="B42" s="53" t="s">
        <v>232</v>
      </c>
      <c r="C42" s="53">
        <v>2019</v>
      </c>
      <c r="D42" s="81" t="s">
        <v>233</v>
      </c>
      <c r="E42" s="53" t="s">
        <v>256</v>
      </c>
      <c r="F42" s="53" t="s">
        <v>248</v>
      </c>
      <c r="G42" s="53" t="s">
        <v>42</v>
      </c>
      <c r="H42" s="53" t="s">
        <v>160</v>
      </c>
      <c r="I42" s="53" t="s">
        <v>159</v>
      </c>
      <c r="J42" s="53" t="s">
        <v>38</v>
      </c>
      <c r="K42" s="53" t="s">
        <v>161</v>
      </c>
      <c r="L42" s="53">
        <v>2</v>
      </c>
      <c r="N42" s="53">
        <v>1</v>
      </c>
      <c r="O42" s="53">
        <v>0.55000000000000004</v>
      </c>
      <c r="P42" s="53">
        <v>0.55000000000000004</v>
      </c>
      <c r="Q42" s="16">
        <f t="shared" si="0"/>
        <v>0.55000000000000004</v>
      </c>
      <c r="R42" s="53">
        <v>16.7</v>
      </c>
      <c r="S42" s="53">
        <v>130</v>
      </c>
      <c r="T42" s="16">
        <f t="shared" si="1"/>
        <v>25</v>
      </c>
      <c r="U42" s="53">
        <v>150</v>
      </c>
      <c r="V42" s="16">
        <f t="shared" si="2"/>
        <v>3750</v>
      </c>
      <c r="W42" s="53">
        <v>1</v>
      </c>
      <c r="X42" s="53" t="s">
        <v>39</v>
      </c>
      <c r="Y42" s="53" t="s">
        <v>88</v>
      </c>
      <c r="Z42" s="53" t="s">
        <v>78</v>
      </c>
      <c r="AA42" s="53" t="s">
        <v>102</v>
      </c>
      <c r="AB42" s="53" t="s">
        <v>236</v>
      </c>
    </row>
    <row r="43" spans="1:28" x14ac:dyDescent="0.15">
      <c r="A43" s="53" t="s">
        <v>56</v>
      </c>
      <c r="B43" s="53" t="s">
        <v>232</v>
      </c>
      <c r="C43" s="53">
        <v>2019</v>
      </c>
      <c r="D43" s="81" t="s">
        <v>233</v>
      </c>
      <c r="E43" s="53" t="s">
        <v>256</v>
      </c>
      <c r="F43" s="53" t="s">
        <v>248</v>
      </c>
      <c r="G43" s="53" t="s">
        <v>42</v>
      </c>
      <c r="H43" s="53" t="s">
        <v>160</v>
      </c>
      <c r="I43" s="53" t="s">
        <v>159</v>
      </c>
      <c r="J43" s="53" t="s">
        <v>38</v>
      </c>
      <c r="K43" s="53" t="s">
        <v>161</v>
      </c>
      <c r="L43" s="53">
        <v>3</v>
      </c>
      <c r="N43" s="53">
        <v>1</v>
      </c>
      <c r="O43" s="53">
        <v>0.75</v>
      </c>
      <c r="P43" s="53">
        <v>0.75</v>
      </c>
      <c r="Q43" s="16">
        <f t="shared" si="0"/>
        <v>0.75</v>
      </c>
      <c r="R43" s="53">
        <v>16.899999999999999</v>
      </c>
      <c r="S43" s="53">
        <v>124</v>
      </c>
      <c r="T43" s="16">
        <f t="shared" si="1"/>
        <v>27</v>
      </c>
      <c r="U43" s="53">
        <v>150</v>
      </c>
      <c r="V43" s="16">
        <f t="shared" si="2"/>
        <v>4050</v>
      </c>
      <c r="W43" s="53">
        <v>1</v>
      </c>
      <c r="X43" s="53" t="s">
        <v>39</v>
      </c>
      <c r="Y43" s="53" t="s">
        <v>88</v>
      </c>
      <c r="Z43" s="53" t="s">
        <v>78</v>
      </c>
      <c r="AA43" s="53" t="s">
        <v>102</v>
      </c>
      <c r="AB43" s="53" t="s">
        <v>236</v>
      </c>
    </row>
    <row r="44" spans="1:28" x14ac:dyDescent="0.15">
      <c r="A44" s="53" t="s">
        <v>56</v>
      </c>
      <c r="B44" s="53" t="s">
        <v>232</v>
      </c>
      <c r="C44" s="53">
        <v>2019</v>
      </c>
      <c r="D44" s="81" t="s">
        <v>233</v>
      </c>
      <c r="E44" s="53" t="s">
        <v>257</v>
      </c>
      <c r="F44" s="53" t="s">
        <v>238</v>
      </c>
      <c r="G44" s="53" t="s">
        <v>42</v>
      </c>
      <c r="H44" s="53" t="s">
        <v>164</v>
      </c>
      <c r="I44" s="53" t="s">
        <v>159</v>
      </c>
      <c r="J44" s="53" t="s">
        <v>38</v>
      </c>
      <c r="K44" s="53" t="s">
        <v>161</v>
      </c>
      <c r="L44" s="53">
        <v>1</v>
      </c>
      <c r="N44" s="53">
        <v>5</v>
      </c>
      <c r="O44" s="53">
        <v>0.75</v>
      </c>
      <c r="P44" s="53">
        <v>0.75</v>
      </c>
      <c r="Q44" s="16">
        <f t="shared" si="0"/>
        <v>0.75</v>
      </c>
      <c r="R44" s="53">
        <v>14.9</v>
      </c>
      <c r="S44" s="53">
        <v>101</v>
      </c>
      <c r="T44" s="16">
        <f t="shared" si="1"/>
        <v>33</v>
      </c>
      <c r="U44" s="53">
        <v>429</v>
      </c>
      <c r="V44" s="16">
        <f t="shared" si="2"/>
        <v>2831.4</v>
      </c>
      <c r="W44" s="53">
        <v>1</v>
      </c>
      <c r="X44" s="53" t="s">
        <v>39</v>
      </c>
      <c r="Y44" s="53" t="s">
        <v>88</v>
      </c>
      <c r="Z44" s="53" t="s">
        <v>97</v>
      </c>
      <c r="AA44" s="53" t="s">
        <v>55</v>
      </c>
      <c r="AB44" s="53" t="s">
        <v>236</v>
      </c>
    </row>
    <row r="45" spans="1:28" x14ac:dyDescent="0.15">
      <c r="A45" s="53" t="s">
        <v>56</v>
      </c>
      <c r="B45" s="53" t="s">
        <v>232</v>
      </c>
      <c r="C45" s="53">
        <v>2019</v>
      </c>
      <c r="D45" s="81" t="s">
        <v>233</v>
      </c>
      <c r="E45" s="53" t="s">
        <v>257</v>
      </c>
      <c r="F45" s="53" t="s">
        <v>238</v>
      </c>
      <c r="G45" s="53" t="s">
        <v>42</v>
      </c>
      <c r="H45" s="53" t="s">
        <v>164</v>
      </c>
      <c r="I45" s="53" t="s">
        <v>159</v>
      </c>
      <c r="J45" s="53" t="s">
        <v>38</v>
      </c>
      <c r="K45" s="53" t="s">
        <v>161</v>
      </c>
      <c r="L45" s="53">
        <v>2</v>
      </c>
      <c r="N45" s="53">
        <v>5</v>
      </c>
      <c r="O45" s="53">
        <v>0.8</v>
      </c>
      <c r="P45" s="53">
        <v>0.85</v>
      </c>
      <c r="Q45" s="16">
        <f t="shared" si="0"/>
        <v>0.82499999999999996</v>
      </c>
      <c r="R45" s="53">
        <v>13.6</v>
      </c>
      <c r="S45" s="53">
        <v>101</v>
      </c>
      <c r="T45" s="16">
        <f t="shared" si="1"/>
        <v>33</v>
      </c>
      <c r="U45" s="53">
        <v>429</v>
      </c>
      <c r="V45" s="16">
        <f t="shared" si="2"/>
        <v>2831.4</v>
      </c>
      <c r="W45" s="53">
        <v>1</v>
      </c>
      <c r="X45" s="53" t="s">
        <v>39</v>
      </c>
      <c r="Y45" s="53" t="s">
        <v>88</v>
      </c>
      <c r="Z45" s="53" t="s">
        <v>97</v>
      </c>
      <c r="AA45" s="53" t="s">
        <v>55</v>
      </c>
      <c r="AB45" s="53" t="s">
        <v>236</v>
      </c>
    </row>
    <row r="46" spans="1:28" x14ac:dyDescent="0.15">
      <c r="A46" s="53" t="s">
        <v>56</v>
      </c>
      <c r="B46" s="53" t="s">
        <v>232</v>
      </c>
      <c r="C46" s="53">
        <v>2019</v>
      </c>
      <c r="D46" s="81" t="s">
        <v>233</v>
      </c>
      <c r="E46" s="53" t="s">
        <v>257</v>
      </c>
      <c r="F46" s="53" t="s">
        <v>238</v>
      </c>
      <c r="G46" s="53" t="s">
        <v>42</v>
      </c>
      <c r="H46" s="53" t="s">
        <v>164</v>
      </c>
      <c r="I46" s="53" t="s">
        <v>159</v>
      </c>
      <c r="J46" s="53" t="s">
        <v>38</v>
      </c>
      <c r="K46" s="53" t="s">
        <v>161</v>
      </c>
      <c r="L46" s="53">
        <v>3</v>
      </c>
      <c r="N46" s="53">
        <v>5</v>
      </c>
      <c r="O46" s="53">
        <v>0.65</v>
      </c>
      <c r="P46" s="53">
        <v>0.65</v>
      </c>
      <c r="Q46" s="16">
        <f t="shared" si="0"/>
        <v>0.65</v>
      </c>
      <c r="R46" s="53">
        <v>15.1</v>
      </c>
      <c r="S46" s="53">
        <v>98</v>
      </c>
      <c r="T46" s="16">
        <f t="shared" si="1"/>
        <v>36</v>
      </c>
      <c r="U46" s="53">
        <v>429</v>
      </c>
      <c r="V46" s="16">
        <f t="shared" si="2"/>
        <v>3088.7999999999997</v>
      </c>
      <c r="W46" s="53">
        <v>1</v>
      </c>
      <c r="X46" s="53" t="s">
        <v>39</v>
      </c>
      <c r="Y46" s="53" t="s">
        <v>88</v>
      </c>
      <c r="Z46" s="53" t="s">
        <v>97</v>
      </c>
      <c r="AA46" s="53" t="s">
        <v>55</v>
      </c>
      <c r="AB46" s="53" t="s">
        <v>236</v>
      </c>
    </row>
    <row r="47" spans="1:28" x14ac:dyDescent="0.15">
      <c r="A47" s="53" t="s">
        <v>56</v>
      </c>
      <c r="B47" s="53" t="s">
        <v>232</v>
      </c>
      <c r="C47" s="53">
        <v>2019</v>
      </c>
      <c r="D47" s="81" t="s">
        <v>233</v>
      </c>
      <c r="E47" s="53" t="s">
        <v>249</v>
      </c>
      <c r="F47" s="53" t="s">
        <v>251</v>
      </c>
      <c r="G47" s="53" t="s">
        <v>42</v>
      </c>
      <c r="H47" s="53" t="s">
        <v>164</v>
      </c>
      <c r="I47" s="53" t="s">
        <v>159</v>
      </c>
      <c r="J47" s="53" t="s">
        <v>38</v>
      </c>
      <c r="K47" s="53" t="s">
        <v>161</v>
      </c>
      <c r="L47" s="53">
        <v>1</v>
      </c>
      <c r="N47" s="53">
        <v>8</v>
      </c>
      <c r="O47" s="53">
        <v>0.5</v>
      </c>
      <c r="P47" s="53">
        <v>0.5</v>
      </c>
      <c r="Q47" s="16">
        <f t="shared" si="0"/>
        <v>0.5</v>
      </c>
      <c r="R47" s="53">
        <v>14.6</v>
      </c>
      <c r="S47" s="53">
        <v>104</v>
      </c>
      <c r="T47" s="16">
        <f t="shared" si="1"/>
        <v>33</v>
      </c>
      <c r="U47" s="53">
        <v>430</v>
      </c>
      <c r="V47" s="16">
        <f t="shared" si="2"/>
        <v>1773.75</v>
      </c>
      <c r="W47" s="53">
        <v>6</v>
      </c>
      <c r="X47" s="53" t="s">
        <v>46</v>
      </c>
      <c r="Y47" s="53" t="s">
        <v>88</v>
      </c>
      <c r="Z47" s="53" t="s">
        <v>102</v>
      </c>
      <c r="AA47" s="53" t="s">
        <v>97</v>
      </c>
      <c r="AB47" s="53" t="s">
        <v>236</v>
      </c>
    </row>
    <row r="48" spans="1:28" x14ac:dyDescent="0.15">
      <c r="A48" s="53" t="s">
        <v>56</v>
      </c>
      <c r="B48" s="53" t="s">
        <v>232</v>
      </c>
      <c r="C48" s="53">
        <v>2019</v>
      </c>
      <c r="D48" s="81" t="s">
        <v>233</v>
      </c>
      <c r="E48" s="53" t="s">
        <v>249</v>
      </c>
      <c r="F48" s="53" t="s">
        <v>251</v>
      </c>
      <c r="G48" s="53" t="s">
        <v>42</v>
      </c>
      <c r="H48" s="53" t="s">
        <v>164</v>
      </c>
      <c r="I48" s="53" t="s">
        <v>159</v>
      </c>
      <c r="J48" s="53" t="s">
        <v>38</v>
      </c>
      <c r="K48" s="53" t="s">
        <v>161</v>
      </c>
      <c r="L48" s="53">
        <v>2</v>
      </c>
      <c r="N48" s="53">
        <v>8</v>
      </c>
      <c r="O48" s="53">
        <v>0.55000000000000004</v>
      </c>
      <c r="P48" s="53">
        <v>0.5</v>
      </c>
      <c r="Q48" s="16">
        <f t="shared" si="0"/>
        <v>0.52500000000000002</v>
      </c>
      <c r="R48" s="53">
        <v>13.3</v>
      </c>
      <c r="S48" s="53">
        <v>91</v>
      </c>
      <c r="T48" s="16">
        <f t="shared" si="1"/>
        <v>36</v>
      </c>
      <c r="U48" s="53">
        <v>430</v>
      </c>
      <c r="V48" s="16">
        <f t="shared" si="2"/>
        <v>1935</v>
      </c>
      <c r="W48" s="53">
        <v>6</v>
      </c>
      <c r="X48" s="53" t="s">
        <v>46</v>
      </c>
      <c r="Y48" s="53" t="s">
        <v>88</v>
      </c>
      <c r="Z48" s="53" t="s">
        <v>102</v>
      </c>
      <c r="AA48" s="53" t="s">
        <v>97</v>
      </c>
      <c r="AB48" s="53" t="s">
        <v>236</v>
      </c>
    </row>
    <row r="49" spans="1:28" x14ac:dyDescent="0.15">
      <c r="A49" s="53" t="s">
        <v>56</v>
      </c>
      <c r="B49" s="53" t="s">
        <v>232</v>
      </c>
      <c r="C49" s="53">
        <v>2019</v>
      </c>
      <c r="D49" s="81" t="s">
        <v>233</v>
      </c>
      <c r="E49" s="53" t="s">
        <v>249</v>
      </c>
      <c r="F49" s="53" t="s">
        <v>251</v>
      </c>
      <c r="G49" s="53" t="s">
        <v>42</v>
      </c>
      <c r="H49" s="53" t="s">
        <v>164</v>
      </c>
      <c r="I49" s="53" t="s">
        <v>159</v>
      </c>
      <c r="J49" s="53" t="s">
        <v>38</v>
      </c>
      <c r="K49" s="53" t="s">
        <v>161</v>
      </c>
      <c r="L49" s="53">
        <v>3</v>
      </c>
      <c r="N49" s="53">
        <v>8</v>
      </c>
      <c r="O49" s="53">
        <v>0.5</v>
      </c>
      <c r="P49" s="53">
        <v>0.5</v>
      </c>
      <c r="Q49" s="16">
        <f t="shared" si="0"/>
        <v>0.5</v>
      </c>
      <c r="R49" s="53">
        <v>13.6</v>
      </c>
      <c r="S49" s="53">
        <v>96</v>
      </c>
      <c r="T49" s="16">
        <f t="shared" si="1"/>
        <v>36</v>
      </c>
      <c r="U49" s="53">
        <v>430</v>
      </c>
      <c r="V49" s="16">
        <f t="shared" si="2"/>
        <v>1935</v>
      </c>
      <c r="W49" s="53">
        <v>6</v>
      </c>
      <c r="X49" s="53" t="s">
        <v>46</v>
      </c>
      <c r="Y49" s="53" t="s">
        <v>88</v>
      </c>
      <c r="Z49" s="53" t="s">
        <v>102</v>
      </c>
      <c r="AA49" s="53" t="s">
        <v>97</v>
      </c>
      <c r="AB49" s="53" t="s">
        <v>236</v>
      </c>
    </row>
    <row r="50" spans="1:28" x14ac:dyDescent="0.15">
      <c r="A50" s="53" t="s">
        <v>56</v>
      </c>
      <c r="B50" s="53" t="s">
        <v>232</v>
      </c>
      <c r="C50" s="53">
        <v>2019</v>
      </c>
      <c r="D50" s="81" t="s">
        <v>233</v>
      </c>
      <c r="E50" s="53" t="s">
        <v>249</v>
      </c>
      <c r="F50" s="53" t="s">
        <v>251</v>
      </c>
      <c r="G50" s="53" t="s">
        <v>42</v>
      </c>
      <c r="H50" s="53" t="s">
        <v>160</v>
      </c>
      <c r="I50" s="53" t="s">
        <v>159</v>
      </c>
      <c r="J50" s="53" t="s">
        <v>38</v>
      </c>
      <c r="K50" s="53" t="s">
        <v>161</v>
      </c>
      <c r="L50" s="53">
        <v>1</v>
      </c>
      <c r="N50" s="53">
        <v>5</v>
      </c>
      <c r="O50" s="53">
        <v>0.65</v>
      </c>
      <c r="P50" s="53">
        <v>0.65</v>
      </c>
      <c r="Q50" s="16">
        <f t="shared" si="0"/>
        <v>0.65</v>
      </c>
      <c r="R50" s="53">
        <v>16.5</v>
      </c>
      <c r="S50" s="53">
        <v>108</v>
      </c>
      <c r="T50" s="16">
        <f t="shared" si="1"/>
        <v>33</v>
      </c>
      <c r="U50" s="53">
        <v>430</v>
      </c>
      <c r="V50" s="16">
        <f t="shared" si="2"/>
        <v>2838</v>
      </c>
      <c r="W50" s="53">
        <v>6</v>
      </c>
      <c r="X50" s="53" t="s">
        <v>46</v>
      </c>
      <c r="Y50" s="53" t="s">
        <v>88</v>
      </c>
      <c r="Z50" s="53" t="s">
        <v>102</v>
      </c>
      <c r="AA50" s="53" t="s">
        <v>97</v>
      </c>
      <c r="AB50" s="53" t="s">
        <v>236</v>
      </c>
    </row>
    <row r="51" spans="1:28" x14ac:dyDescent="0.15">
      <c r="A51" s="53" t="s">
        <v>56</v>
      </c>
      <c r="B51" s="53" t="s">
        <v>232</v>
      </c>
      <c r="C51" s="53">
        <v>2019</v>
      </c>
      <c r="D51" s="81" t="s">
        <v>233</v>
      </c>
      <c r="E51" s="53" t="s">
        <v>249</v>
      </c>
      <c r="F51" s="53" t="s">
        <v>251</v>
      </c>
      <c r="G51" s="53" t="s">
        <v>42</v>
      </c>
      <c r="H51" s="53" t="s">
        <v>160</v>
      </c>
      <c r="I51" s="53" t="s">
        <v>159</v>
      </c>
      <c r="J51" s="53" t="s">
        <v>38</v>
      </c>
      <c r="K51" s="53" t="s">
        <v>161</v>
      </c>
      <c r="L51" s="53">
        <v>2</v>
      </c>
      <c r="N51" s="53">
        <v>5</v>
      </c>
      <c r="O51" s="53">
        <v>0.55000000000000004</v>
      </c>
      <c r="P51" s="53">
        <v>0.5</v>
      </c>
      <c r="Q51" s="16">
        <f t="shared" si="0"/>
        <v>0.52500000000000002</v>
      </c>
      <c r="R51" s="53">
        <v>14.6</v>
      </c>
      <c r="S51" s="53">
        <v>110</v>
      </c>
      <c r="T51" s="16">
        <f t="shared" si="1"/>
        <v>33</v>
      </c>
      <c r="U51" s="53">
        <v>430</v>
      </c>
      <c r="V51" s="16">
        <f t="shared" si="2"/>
        <v>2838</v>
      </c>
      <c r="W51" s="53">
        <v>6</v>
      </c>
      <c r="X51" s="53" t="s">
        <v>46</v>
      </c>
      <c r="Y51" s="53" t="s">
        <v>88</v>
      </c>
      <c r="Z51" s="53" t="s">
        <v>102</v>
      </c>
      <c r="AA51" s="53" t="s">
        <v>97</v>
      </c>
      <c r="AB51" s="53" t="s">
        <v>236</v>
      </c>
    </row>
    <row r="52" spans="1:28" x14ac:dyDescent="0.15">
      <c r="A52" s="53" t="s">
        <v>56</v>
      </c>
      <c r="B52" s="53" t="s">
        <v>232</v>
      </c>
      <c r="C52" s="53">
        <v>2019</v>
      </c>
      <c r="D52" s="81" t="s">
        <v>233</v>
      </c>
      <c r="E52" s="53" t="s">
        <v>249</v>
      </c>
      <c r="F52" s="53" t="s">
        <v>251</v>
      </c>
      <c r="G52" s="53" t="s">
        <v>42</v>
      </c>
      <c r="H52" s="53" t="s">
        <v>160</v>
      </c>
      <c r="I52" s="53" t="s">
        <v>159</v>
      </c>
      <c r="J52" s="53" t="s">
        <v>38</v>
      </c>
      <c r="K52" s="53" t="s">
        <v>161</v>
      </c>
      <c r="L52" s="53">
        <v>3</v>
      </c>
      <c r="N52" s="53">
        <v>5</v>
      </c>
      <c r="O52" s="53">
        <v>0.5</v>
      </c>
      <c r="P52" s="53">
        <v>0.55000000000000004</v>
      </c>
      <c r="Q52" s="16">
        <f t="shared" si="0"/>
        <v>0.52500000000000002</v>
      </c>
      <c r="R52" s="53">
        <v>16.3</v>
      </c>
      <c r="S52" s="53">
        <v>115</v>
      </c>
      <c r="T52" s="16">
        <f t="shared" si="1"/>
        <v>30</v>
      </c>
      <c r="U52" s="53">
        <v>430</v>
      </c>
      <c r="V52" s="16">
        <f t="shared" si="2"/>
        <v>2580</v>
      </c>
      <c r="W52" s="53">
        <v>6</v>
      </c>
      <c r="X52" s="53" t="s">
        <v>46</v>
      </c>
      <c r="Y52" s="53" t="s">
        <v>88</v>
      </c>
      <c r="Z52" s="53" t="s">
        <v>102</v>
      </c>
      <c r="AA52" s="53" t="s">
        <v>97</v>
      </c>
      <c r="AB52" s="53" t="s">
        <v>236</v>
      </c>
    </row>
    <row r="53" spans="1:28" x14ac:dyDescent="0.15">
      <c r="A53" s="53" t="s">
        <v>56</v>
      </c>
      <c r="B53" s="53" t="s">
        <v>232</v>
      </c>
      <c r="C53" s="53">
        <v>2019</v>
      </c>
      <c r="D53" s="81" t="s">
        <v>233</v>
      </c>
      <c r="E53" s="53" t="s">
        <v>258</v>
      </c>
      <c r="F53" s="53" t="s">
        <v>251</v>
      </c>
      <c r="G53" s="53" t="s">
        <v>42</v>
      </c>
      <c r="H53" s="53" t="s">
        <v>164</v>
      </c>
      <c r="I53" s="53" t="s">
        <v>159</v>
      </c>
      <c r="J53" s="53" t="s">
        <v>38</v>
      </c>
      <c r="K53" s="53" t="s">
        <v>161</v>
      </c>
      <c r="L53" s="53">
        <v>1</v>
      </c>
      <c r="N53" s="53">
        <v>5</v>
      </c>
      <c r="O53" s="53">
        <v>0.75</v>
      </c>
      <c r="P53" s="53">
        <v>0.75</v>
      </c>
      <c r="Q53" s="16">
        <f t="shared" si="0"/>
        <v>0.75</v>
      </c>
      <c r="R53" s="53">
        <v>16</v>
      </c>
      <c r="S53" s="53">
        <v>83</v>
      </c>
      <c r="T53" s="16">
        <f t="shared" si="1"/>
        <v>39</v>
      </c>
      <c r="U53" s="53">
        <v>430</v>
      </c>
      <c r="V53" s="16">
        <f t="shared" si="2"/>
        <v>3354</v>
      </c>
      <c r="W53" s="53">
        <v>6</v>
      </c>
      <c r="X53" s="53" t="s">
        <v>46</v>
      </c>
      <c r="Y53" s="53" t="s">
        <v>88</v>
      </c>
      <c r="Z53" s="53" t="s">
        <v>78</v>
      </c>
      <c r="AA53" s="53" t="s">
        <v>102</v>
      </c>
      <c r="AB53" s="53" t="s">
        <v>236</v>
      </c>
    </row>
    <row r="54" spans="1:28" x14ac:dyDescent="0.15">
      <c r="A54" s="53" t="s">
        <v>56</v>
      </c>
      <c r="B54" s="53" t="s">
        <v>232</v>
      </c>
      <c r="C54" s="53">
        <v>2019</v>
      </c>
      <c r="D54" s="81" t="s">
        <v>233</v>
      </c>
      <c r="E54" s="53" t="s">
        <v>258</v>
      </c>
      <c r="F54" s="53" t="s">
        <v>251</v>
      </c>
      <c r="G54" s="53" t="s">
        <v>42</v>
      </c>
      <c r="H54" s="53" t="s">
        <v>164</v>
      </c>
      <c r="I54" s="53" t="s">
        <v>159</v>
      </c>
      <c r="J54" s="53" t="s">
        <v>38</v>
      </c>
      <c r="K54" s="53" t="s">
        <v>161</v>
      </c>
      <c r="L54" s="53">
        <v>2</v>
      </c>
      <c r="N54" s="53">
        <v>5</v>
      </c>
      <c r="O54" s="53">
        <v>0.75</v>
      </c>
      <c r="P54" s="53">
        <v>0.8</v>
      </c>
      <c r="Q54" s="16">
        <f t="shared" si="0"/>
        <v>0.77500000000000002</v>
      </c>
      <c r="R54" s="53">
        <v>13.3</v>
      </c>
      <c r="S54" s="53">
        <v>86</v>
      </c>
      <c r="T54" s="16">
        <f t="shared" si="1"/>
        <v>36</v>
      </c>
      <c r="U54" s="53">
        <v>430</v>
      </c>
      <c r="V54" s="16">
        <f t="shared" si="2"/>
        <v>3096</v>
      </c>
      <c r="W54" s="53">
        <v>6</v>
      </c>
      <c r="X54" s="53" t="s">
        <v>46</v>
      </c>
      <c r="Y54" s="53" t="s">
        <v>88</v>
      </c>
      <c r="Z54" s="53" t="s">
        <v>78</v>
      </c>
      <c r="AA54" s="53" t="s">
        <v>102</v>
      </c>
      <c r="AB54" s="53" t="s">
        <v>236</v>
      </c>
    </row>
    <row r="55" spans="1:28" x14ac:dyDescent="0.15">
      <c r="A55" s="53" t="s">
        <v>56</v>
      </c>
      <c r="B55" s="53" t="s">
        <v>232</v>
      </c>
      <c r="C55" s="53">
        <v>2019</v>
      </c>
      <c r="D55" s="81" t="s">
        <v>233</v>
      </c>
      <c r="E55" s="53" t="s">
        <v>258</v>
      </c>
      <c r="F55" s="53" t="s">
        <v>251</v>
      </c>
      <c r="G55" s="53" t="s">
        <v>42</v>
      </c>
      <c r="H55" s="53" t="s">
        <v>164</v>
      </c>
      <c r="I55" s="53" t="s">
        <v>159</v>
      </c>
      <c r="J55" s="53" t="s">
        <v>38</v>
      </c>
      <c r="K55" s="53" t="s">
        <v>161</v>
      </c>
      <c r="L55" s="53">
        <v>3</v>
      </c>
      <c r="N55" s="53">
        <v>5</v>
      </c>
      <c r="O55" s="53">
        <v>0.6</v>
      </c>
      <c r="P55" s="53">
        <v>0.6</v>
      </c>
      <c r="Q55" s="16">
        <f t="shared" si="0"/>
        <v>0.6</v>
      </c>
      <c r="R55" s="53">
        <v>13.6</v>
      </c>
      <c r="S55" s="53">
        <v>90</v>
      </c>
      <c r="T55" s="16">
        <f t="shared" si="1"/>
        <v>36</v>
      </c>
      <c r="U55" s="53">
        <v>430</v>
      </c>
      <c r="V55" s="16">
        <f t="shared" si="2"/>
        <v>3096</v>
      </c>
      <c r="W55" s="53">
        <v>6</v>
      </c>
      <c r="X55" s="53" t="s">
        <v>46</v>
      </c>
      <c r="Y55" s="53" t="s">
        <v>88</v>
      </c>
      <c r="Z55" s="53" t="s">
        <v>78</v>
      </c>
      <c r="AA55" s="53" t="s">
        <v>102</v>
      </c>
      <c r="AB55" s="53" t="s">
        <v>236</v>
      </c>
    </row>
    <row r="56" spans="1:28" x14ac:dyDescent="0.15">
      <c r="A56" s="53" t="s">
        <v>56</v>
      </c>
      <c r="B56" s="53" t="s">
        <v>232</v>
      </c>
      <c r="C56" s="53">
        <v>2019</v>
      </c>
      <c r="D56" s="81" t="s">
        <v>233</v>
      </c>
      <c r="E56" s="53" t="s">
        <v>258</v>
      </c>
      <c r="F56" s="53" t="s">
        <v>251</v>
      </c>
      <c r="G56" s="53" t="s">
        <v>42</v>
      </c>
      <c r="H56" s="53" t="s">
        <v>160</v>
      </c>
      <c r="I56" s="53" t="s">
        <v>159</v>
      </c>
      <c r="J56" s="53" t="s">
        <v>38</v>
      </c>
      <c r="K56" s="53" t="s">
        <v>161</v>
      </c>
      <c r="L56" s="53">
        <v>1</v>
      </c>
      <c r="N56" s="53">
        <v>5</v>
      </c>
      <c r="O56" s="53">
        <v>0.75</v>
      </c>
      <c r="P56" s="53">
        <v>0.75</v>
      </c>
      <c r="Q56" s="16">
        <f t="shared" si="0"/>
        <v>0.75</v>
      </c>
      <c r="R56" s="53">
        <v>14.6</v>
      </c>
      <c r="S56" s="53">
        <v>114</v>
      </c>
      <c r="T56" s="16">
        <f t="shared" si="1"/>
        <v>30</v>
      </c>
      <c r="U56" s="53">
        <v>646</v>
      </c>
      <c r="V56" s="16">
        <f t="shared" si="2"/>
        <v>3875.9999999999995</v>
      </c>
      <c r="W56" s="53">
        <v>8</v>
      </c>
      <c r="X56" s="53" t="s">
        <v>46</v>
      </c>
      <c r="Y56" s="53" t="s">
        <v>88</v>
      </c>
      <c r="Z56" s="53" t="s">
        <v>78</v>
      </c>
      <c r="AA56" s="53" t="s">
        <v>102</v>
      </c>
      <c r="AB56" s="53" t="s">
        <v>236</v>
      </c>
    </row>
    <row r="57" spans="1:28" x14ac:dyDescent="0.15">
      <c r="A57" s="53" t="s">
        <v>56</v>
      </c>
      <c r="B57" s="53" t="s">
        <v>232</v>
      </c>
      <c r="C57" s="53">
        <v>2019</v>
      </c>
      <c r="D57" s="81" t="s">
        <v>233</v>
      </c>
      <c r="E57" s="53" t="s">
        <v>258</v>
      </c>
      <c r="F57" s="53" t="s">
        <v>251</v>
      </c>
      <c r="G57" s="53" t="s">
        <v>42</v>
      </c>
      <c r="H57" s="53" t="s">
        <v>160</v>
      </c>
      <c r="I57" s="53" t="s">
        <v>159</v>
      </c>
      <c r="J57" s="53" t="s">
        <v>38</v>
      </c>
      <c r="K57" s="53" t="s">
        <v>161</v>
      </c>
      <c r="L57" s="53">
        <v>2</v>
      </c>
      <c r="N57" s="53">
        <v>5</v>
      </c>
      <c r="O57" s="53">
        <v>0.7</v>
      </c>
      <c r="P57" s="53">
        <v>0.6</v>
      </c>
      <c r="Q57" s="16">
        <f t="shared" si="0"/>
        <v>0.64999999999999991</v>
      </c>
      <c r="R57" s="53">
        <v>17.100000000000001</v>
      </c>
      <c r="S57" s="53">
        <v>118</v>
      </c>
      <c r="T57" s="16">
        <f t="shared" si="1"/>
        <v>30</v>
      </c>
      <c r="U57" s="53">
        <v>646</v>
      </c>
      <c r="V57" s="16">
        <f t="shared" si="2"/>
        <v>3875.9999999999995</v>
      </c>
      <c r="W57" s="53">
        <v>8</v>
      </c>
      <c r="X57" s="53" t="s">
        <v>46</v>
      </c>
      <c r="Y57" s="53" t="s">
        <v>88</v>
      </c>
      <c r="Z57" s="53" t="s">
        <v>78</v>
      </c>
      <c r="AA57" s="53" t="s">
        <v>102</v>
      </c>
      <c r="AB57" s="53" t="s">
        <v>236</v>
      </c>
    </row>
    <row r="58" spans="1:28" x14ac:dyDescent="0.15">
      <c r="A58" s="53" t="s">
        <v>56</v>
      </c>
      <c r="B58" s="53" t="s">
        <v>232</v>
      </c>
      <c r="C58" s="53">
        <v>2019</v>
      </c>
      <c r="D58" s="81" t="s">
        <v>233</v>
      </c>
      <c r="E58" s="53" t="s">
        <v>258</v>
      </c>
      <c r="F58" s="53" t="s">
        <v>251</v>
      </c>
      <c r="G58" s="53" t="s">
        <v>42</v>
      </c>
      <c r="H58" s="53" t="s">
        <v>160</v>
      </c>
      <c r="I58" s="53" t="s">
        <v>159</v>
      </c>
      <c r="J58" s="53" t="s">
        <v>38</v>
      </c>
      <c r="K58" s="53" t="s">
        <v>161</v>
      </c>
      <c r="L58" s="53">
        <v>3</v>
      </c>
      <c r="N58" s="53">
        <v>5</v>
      </c>
      <c r="O58" s="53">
        <v>0.7</v>
      </c>
      <c r="P58" s="53">
        <v>0.7</v>
      </c>
      <c r="Q58" s="16">
        <f t="shared" si="0"/>
        <v>0.7</v>
      </c>
      <c r="R58" s="53">
        <v>16.8</v>
      </c>
      <c r="S58" s="53">
        <v>110</v>
      </c>
      <c r="T58" s="16">
        <f t="shared" si="1"/>
        <v>33</v>
      </c>
      <c r="U58" s="53">
        <v>646</v>
      </c>
      <c r="V58" s="16">
        <f t="shared" si="2"/>
        <v>4263.5999999999995</v>
      </c>
      <c r="W58" s="53">
        <v>8</v>
      </c>
      <c r="X58" s="53" t="s">
        <v>46</v>
      </c>
      <c r="Y58" s="53" t="s">
        <v>88</v>
      </c>
      <c r="Z58" s="53" t="s">
        <v>78</v>
      </c>
      <c r="AA58" s="53" t="s">
        <v>102</v>
      </c>
      <c r="AB58" s="53" t="s">
        <v>236</v>
      </c>
    </row>
    <row r="59" spans="1:28" x14ac:dyDescent="0.15">
      <c r="D59" s="81"/>
    </row>
    <row r="60" spans="1:28" x14ac:dyDescent="0.15">
      <c r="D60" s="81"/>
    </row>
    <row r="61" spans="1:28" x14ac:dyDescent="0.15">
      <c r="D61" s="81"/>
    </row>
    <row r="62" spans="1:28" x14ac:dyDescent="0.15">
      <c r="D62" s="81"/>
    </row>
    <row r="63" spans="1:28" x14ac:dyDescent="0.15">
      <c r="D63" s="81"/>
    </row>
    <row r="64" spans="1:28" x14ac:dyDescent="0.15">
      <c r="D64" s="81"/>
    </row>
    <row r="65" spans="4:4" x14ac:dyDescent="0.15">
      <c r="D65" s="81"/>
    </row>
    <row r="66" spans="4:4" x14ac:dyDescent="0.15">
      <c r="D66" s="81"/>
    </row>
    <row r="67" spans="4:4" x14ac:dyDescent="0.15">
      <c r="D67" s="81"/>
    </row>
    <row r="68" spans="4:4" x14ac:dyDescent="0.15">
      <c r="D68" s="81"/>
    </row>
    <row r="69" spans="4:4" x14ac:dyDescent="0.15">
      <c r="D69" s="81"/>
    </row>
    <row r="70" spans="4:4" x14ac:dyDescent="0.15">
      <c r="D70" s="81"/>
    </row>
    <row r="71" spans="4:4" x14ac:dyDescent="0.15">
      <c r="D71" s="81"/>
    </row>
    <row r="72" spans="4:4" x14ac:dyDescent="0.15">
      <c r="D72" s="81"/>
    </row>
    <row r="73" spans="4:4" x14ac:dyDescent="0.15">
      <c r="D73" s="81"/>
    </row>
    <row r="74" spans="4:4" x14ac:dyDescent="0.15">
      <c r="D74" s="81"/>
    </row>
    <row r="75" spans="4:4" x14ac:dyDescent="0.15">
      <c r="D75" s="81"/>
    </row>
    <row r="76" spans="4:4" x14ac:dyDescent="0.15">
      <c r="D76" s="81"/>
    </row>
    <row r="77" spans="4:4" x14ac:dyDescent="0.15">
      <c r="D77" s="81"/>
    </row>
    <row r="78" spans="4:4" x14ac:dyDescent="0.15">
      <c r="D78" s="81"/>
    </row>
    <row r="79" spans="4:4" x14ac:dyDescent="0.15">
      <c r="D79" s="81"/>
    </row>
    <row r="80" spans="4:4" x14ac:dyDescent="0.15">
      <c r="D80" s="81"/>
    </row>
    <row r="81" spans="4:4" x14ac:dyDescent="0.15">
      <c r="D81" s="81"/>
    </row>
    <row r="82" spans="4:4" x14ac:dyDescent="0.15">
      <c r="D82" s="81"/>
    </row>
  </sheetData>
  <autoFilter ref="A1:BA52" xr:uid="{00000000-0009-0000-0000-000002000000}"/>
  <phoneticPr fontId="3"/>
  <dataValidations count="18">
    <dataValidation type="list" allowBlank="1" showInputMessage="1" showErrorMessage="1" sqref="K2:K450" xr:uid="{B2E4D6C8-C113-4BBC-B493-EB7E3BBD5EC3}">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xr:uid="{F778FA7F-2495-43EE-999E-E964D5582696}">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xr:uid="{1ED8D185-2F15-40ED-8D25-E5FD51FC62CB}">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xr:uid="{E26ADEFB-B0E3-494C-A032-D7E02EF5A1E1}">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xr:uid="{FCD1173E-2DBF-4673-969B-0592C92831DF}">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xr:uid="{4D528A3B-A996-4448-8DAF-50FEF15D9FB5}"/>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xr:uid="{0241966A-DA3A-4965-987B-072930FC639D}">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xr:uid="{AADD62C1-0E6B-46E4-8A81-BC15C6085EDF}">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xr:uid="{A7BAAF1D-F9BD-4CF8-86C3-CD05B911523D}">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xr:uid="{5B89BE87-2CAA-47F2-B476-3C0C5EB6256B}">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xr:uid="{F26FB09D-6470-41BD-9105-A282114FDE69}">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xr:uid="{191D2E13-A59A-4AB4-B815-F35E28525782}">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xr:uid="{1919CCA7-22C4-4C08-A715-DD7CD69261DF}">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xr:uid="{F20EF770-2015-42FF-8932-DBEF10F13319}">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xr:uid="{7D75E65D-8DE0-41ED-B2CA-A364E45D54C3}">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62:O500 P2:P500" xr:uid="{58EB7336-969B-4F08-AA8C-A73E731A3C6B}">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xr:uid="{D6D06DEF-2D6B-4848-A33C-C5D725F056AE}">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xr:uid="{A907D675-C4DA-4913-9C48-271AA377E72F}">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3579C-5DD7-4172-8C0C-1F72C5CEE55D}">
  <dimension ref="A1:BA91"/>
  <sheetViews>
    <sheetView zoomScale="85" zoomScaleNormal="85" workbookViewId="0">
      <selection activeCell="J25" sqref="J25"/>
    </sheetView>
  </sheetViews>
  <sheetFormatPr defaultColWidth="9" defaultRowHeight="13.5" x14ac:dyDescent="0.15"/>
  <cols>
    <col min="1" max="3" width="9" style="93"/>
    <col min="4" max="4" width="10.5" style="93" customWidth="1"/>
    <col min="5" max="16" width="9" style="93"/>
    <col min="17" max="17" width="9" style="103"/>
    <col min="18" max="18" width="9" style="93"/>
    <col min="19" max="19" width="9.5" style="93" customWidth="1"/>
    <col min="20" max="20" width="9" style="103"/>
    <col min="21" max="21" width="9" style="93"/>
    <col min="22" max="22" width="9" style="103"/>
    <col min="23" max="23" width="10.5" style="93" customWidth="1"/>
    <col min="24" max="32" width="9" style="93"/>
    <col min="33" max="33" width="19.625" style="93" customWidth="1"/>
    <col min="34" max="34" width="9.375" style="93" customWidth="1"/>
    <col min="35" max="259" width="9" style="93"/>
    <col min="260" max="260" width="10.5" style="93" customWidth="1"/>
    <col min="261" max="274" width="9" style="93"/>
    <col min="275" max="275" width="9.5" style="93" customWidth="1"/>
    <col min="276" max="278" width="9" style="93"/>
    <col min="279" max="279" width="10.5" style="93" customWidth="1"/>
    <col min="280" max="515" width="9" style="93"/>
    <col min="516" max="516" width="10.5" style="93" customWidth="1"/>
    <col min="517" max="530" width="9" style="93"/>
    <col min="531" max="531" width="9.5" style="93" customWidth="1"/>
    <col min="532" max="534" width="9" style="93"/>
    <col min="535" max="535" width="10.5" style="93" customWidth="1"/>
    <col min="536" max="771" width="9" style="93"/>
    <col min="772" max="772" width="10.5" style="93" customWidth="1"/>
    <col min="773" max="786" width="9" style="93"/>
    <col min="787" max="787" width="9.5" style="93" customWidth="1"/>
    <col min="788" max="790" width="9" style="93"/>
    <col min="791" max="791" width="10.5" style="93" customWidth="1"/>
    <col min="792" max="1027" width="9" style="93"/>
    <col min="1028" max="1028" width="10.5" style="93" customWidth="1"/>
    <col min="1029" max="1042" width="9" style="93"/>
    <col min="1043" max="1043" width="9.5" style="93" customWidth="1"/>
    <col min="1044" max="1046" width="9" style="93"/>
    <col min="1047" max="1047" width="10.5" style="93" customWidth="1"/>
    <col min="1048" max="1283" width="9" style="93"/>
    <col min="1284" max="1284" width="10.5" style="93" customWidth="1"/>
    <col min="1285" max="1298" width="9" style="93"/>
    <col min="1299" max="1299" width="9.5" style="93" customWidth="1"/>
    <col min="1300" max="1302" width="9" style="93"/>
    <col min="1303" max="1303" width="10.5" style="93" customWidth="1"/>
    <col min="1304" max="1539" width="9" style="93"/>
    <col min="1540" max="1540" width="10.5" style="93" customWidth="1"/>
    <col min="1541" max="1554" width="9" style="93"/>
    <col min="1555" max="1555" width="9.5" style="93" customWidth="1"/>
    <col min="1556" max="1558" width="9" style="93"/>
    <col min="1559" max="1559" width="10.5" style="93" customWidth="1"/>
    <col min="1560" max="1795" width="9" style="93"/>
    <col min="1796" max="1796" width="10.5" style="93" customWidth="1"/>
    <col min="1797" max="1810" width="9" style="93"/>
    <col min="1811" max="1811" width="9.5" style="93" customWidth="1"/>
    <col min="1812" max="1814" width="9" style="93"/>
    <col min="1815" max="1815" width="10.5" style="93" customWidth="1"/>
    <col min="1816" max="2051" width="9" style="93"/>
    <col min="2052" max="2052" width="10.5" style="93" customWidth="1"/>
    <col min="2053" max="2066" width="9" style="93"/>
    <col min="2067" max="2067" width="9.5" style="93" customWidth="1"/>
    <col min="2068" max="2070" width="9" style="93"/>
    <col min="2071" max="2071" width="10.5" style="93" customWidth="1"/>
    <col min="2072" max="2307" width="9" style="93"/>
    <col min="2308" max="2308" width="10.5" style="93" customWidth="1"/>
    <col min="2309" max="2322" width="9" style="93"/>
    <col min="2323" max="2323" width="9.5" style="93" customWidth="1"/>
    <col min="2324" max="2326" width="9" style="93"/>
    <col min="2327" max="2327" width="10.5" style="93" customWidth="1"/>
    <col min="2328" max="2563" width="9" style="93"/>
    <col min="2564" max="2564" width="10.5" style="93" customWidth="1"/>
    <col min="2565" max="2578" width="9" style="93"/>
    <col min="2579" max="2579" width="9.5" style="93" customWidth="1"/>
    <col min="2580" max="2582" width="9" style="93"/>
    <col min="2583" max="2583" width="10.5" style="93" customWidth="1"/>
    <col min="2584" max="2819" width="9" style="93"/>
    <col min="2820" max="2820" width="10.5" style="93" customWidth="1"/>
    <col min="2821" max="2834" width="9" style="93"/>
    <col min="2835" max="2835" width="9.5" style="93" customWidth="1"/>
    <col min="2836" max="2838" width="9" style="93"/>
    <col min="2839" max="2839" width="10.5" style="93" customWidth="1"/>
    <col min="2840" max="3075" width="9" style="93"/>
    <col min="3076" max="3076" width="10.5" style="93" customWidth="1"/>
    <col min="3077" max="3090" width="9" style="93"/>
    <col min="3091" max="3091" width="9.5" style="93" customWidth="1"/>
    <col min="3092" max="3094" width="9" style="93"/>
    <col min="3095" max="3095" width="10.5" style="93" customWidth="1"/>
    <col min="3096" max="3331" width="9" style="93"/>
    <col min="3332" max="3332" width="10.5" style="93" customWidth="1"/>
    <col min="3333" max="3346" width="9" style="93"/>
    <col min="3347" max="3347" width="9.5" style="93" customWidth="1"/>
    <col min="3348" max="3350" width="9" style="93"/>
    <col min="3351" max="3351" width="10.5" style="93" customWidth="1"/>
    <col min="3352" max="3587" width="9" style="93"/>
    <col min="3588" max="3588" width="10.5" style="93" customWidth="1"/>
    <col min="3589" max="3602" width="9" style="93"/>
    <col min="3603" max="3603" width="9.5" style="93" customWidth="1"/>
    <col min="3604" max="3606" width="9" style="93"/>
    <col min="3607" max="3607" width="10.5" style="93" customWidth="1"/>
    <col min="3608" max="3843" width="9" style="93"/>
    <col min="3844" max="3844" width="10.5" style="93" customWidth="1"/>
    <col min="3845" max="3858" width="9" style="93"/>
    <col min="3859" max="3859" width="9.5" style="93" customWidth="1"/>
    <col min="3860" max="3862" width="9" style="93"/>
    <col min="3863" max="3863" width="10.5" style="93" customWidth="1"/>
    <col min="3864" max="4099" width="9" style="93"/>
    <col min="4100" max="4100" width="10.5" style="93" customWidth="1"/>
    <col min="4101" max="4114" width="9" style="93"/>
    <col min="4115" max="4115" width="9.5" style="93" customWidth="1"/>
    <col min="4116" max="4118" width="9" style="93"/>
    <col min="4119" max="4119" width="10.5" style="93" customWidth="1"/>
    <col min="4120" max="4355" width="9" style="93"/>
    <col min="4356" max="4356" width="10.5" style="93" customWidth="1"/>
    <col min="4357" max="4370" width="9" style="93"/>
    <col min="4371" max="4371" width="9.5" style="93" customWidth="1"/>
    <col min="4372" max="4374" width="9" style="93"/>
    <col min="4375" max="4375" width="10.5" style="93" customWidth="1"/>
    <col min="4376" max="4611" width="9" style="93"/>
    <col min="4612" max="4612" width="10.5" style="93" customWidth="1"/>
    <col min="4613" max="4626" width="9" style="93"/>
    <col min="4627" max="4627" width="9.5" style="93" customWidth="1"/>
    <col min="4628" max="4630" width="9" style="93"/>
    <col min="4631" max="4631" width="10.5" style="93" customWidth="1"/>
    <col min="4632" max="4867" width="9" style="93"/>
    <col min="4868" max="4868" width="10.5" style="93" customWidth="1"/>
    <col min="4869" max="4882" width="9" style="93"/>
    <col min="4883" max="4883" width="9.5" style="93" customWidth="1"/>
    <col min="4884" max="4886" width="9" style="93"/>
    <col min="4887" max="4887" width="10.5" style="93" customWidth="1"/>
    <col min="4888" max="5123" width="9" style="93"/>
    <col min="5124" max="5124" width="10.5" style="93" customWidth="1"/>
    <col min="5125" max="5138" width="9" style="93"/>
    <col min="5139" max="5139" width="9.5" style="93" customWidth="1"/>
    <col min="5140" max="5142" width="9" style="93"/>
    <col min="5143" max="5143" width="10.5" style="93" customWidth="1"/>
    <col min="5144" max="5379" width="9" style="93"/>
    <col min="5380" max="5380" width="10.5" style="93" customWidth="1"/>
    <col min="5381" max="5394" width="9" style="93"/>
    <col min="5395" max="5395" width="9.5" style="93" customWidth="1"/>
    <col min="5396" max="5398" width="9" style="93"/>
    <col min="5399" max="5399" width="10.5" style="93" customWidth="1"/>
    <col min="5400" max="5635" width="9" style="93"/>
    <col min="5636" max="5636" width="10.5" style="93" customWidth="1"/>
    <col min="5637" max="5650" width="9" style="93"/>
    <col min="5651" max="5651" width="9.5" style="93" customWidth="1"/>
    <col min="5652" max="5654" width="9" style="93"/>
    <col min="5655" max="5655" width="10.5" style="93" customWidth="1"/>
    <col min="5656" max="5891" width="9" style="93"/>
    <col min="5892" max="5892" width="10.5" style="93" customWidth="1"/>
    <col min="5893" max="5906" width="9" style="93"/>
    <col min="5907" max="5907" width="9.5" style="93" customWidth="1"/>
    <col min="5908" max="5910" width="9" style="93"/>
    <col min="5911" max="5911" width="10.5" style="93" customWidth="1"/>
    <col min="5912" max="6147" width="9" style="93"/>
    <col min="6148" max="6148" width="10.5" style="93" customWidth="1"/>
    <col min="6149" max="6162" width="9" style="93"/>
    <col min="6163" max="6163" width="9.5" style="93" customWidth="1"/>
    <col min="6164" max="6166" width="9" style="93"/>
    <col min="6167" max="6167" width="10.5" style="93" customWidth="1"/>
    <col min="6168" max="6403" width="9" style="93"/>
    <col min="6404" max="6404" width="10.5" style="93" customWidth="1"/>
    <col min="6405" max="6418" width="9" style="93"/>
    <col min="6419" max="6419" width="9.5" style="93" customWidth="1"/>
    <col min="6420" max="6422" width="9" style="93"/>
    <col min="6423" max="6423" width="10.5" style="93" customWidth="1"/>
    <col min="6424" max="6659" width="9" style="93"/>
    <col min="6660" max="6660" width="10.5" style="93" customWidth="1"/>
    <col min="6661" max="6674" width="9" style="93"/>
    <col min="6675" max="6675" width="9.5" style="93" customWidth="1"/>
    <col min="6676" max="6678" width="9" style="93"/>
    <col min="6679" max="6679" width="10.5" style="93" customWidth="1"/>
    <col min="6680" max="6915" width="9" style="93"/>
    <col min="6916" max="6916" width="10.5" style="93" customWidth="1"/>
    <col min="6917" max="6930" width="9" style="93"/>
    <col min="6931" max="6931" width="9.5" style="93" customWidth="1"/>
    <col min="6932" max="6934" width="9" style="93"/>
    <col min="6935" max="6935" width="10.5" style="93" customWidth="1"/>
    <col min="6936" max="7171" width="9" style="93"/>
    <col min="7172" max="7172" width="10.5" style="93" customWidth="1"/>
    <col min="7173" max="7186" width="9" style="93"/>
    <col min="7187" max="7187" width="9.5" style="93" customWidth="1"/>
    <col min="7188" max="7190" width="9" style="93"/>
    <col min="7191" max="7191" width="10.5" style="93" customWidth="1"/>
    <col min="7192" max="7427" width="9" style="93"/>
    <col min="7428" max="7428" width="10.5" style="93" customWidth="1"/>
    <col min="7429" max="7442" width="9" style="93"/>
    <col min="7443" max="7443" width="9.5" style="93" customWidth="1"/>
    <col min="7444" max="7446" width="9" style="93"/>
    <col min="7447" max="7447" width="10.5" style="93" customWidth="1"/>
    <col min="7448" max="7683" width="9" style="93"/>
    <col min="7684" max="7684" width="10.5" style="93" customWidth="1"/>
    <col min="7685" max="7698" width="9" style="93"/>
    <col min="7699" max="7699" width="9.5" style="93" customWidth="1"/>
    <col min="7700" max="7702" width="9" style="93"/>
    <col min="7703" max="7703" width="10.5" style="93" customWidth="1"/>
    <col min="7704" max="7939" width="9" style="93"/>
    <col min="7940" max="7940" width="10.5" style="93" customWidth="1"/>
    <col min="7941" max="7954" width="9" style="93"/>
    <col min="7955" max="7955" width="9.5" style="93" customWidth="1"/>
    <col min="7956" max="7958" width="9" style="93"/>
    <col min="7959" max="7959" width="10.5" style="93" customWidth="1"/>
    <col min="7960" max="8195" width="9" style="93"/>
    <col min="8196" max="8196" width="10.5" style="93" customWidth="1"/>
    <col min="8197" max="8210" width="9" style="93"/>
    <col min="8211" max="8211" width="9.5" style="93" customWidth="1"/>
    <col min="8212" max="8214" width="9" style="93"/>
    <col min="8215" max="8215" width="10.5" style="93" customWidth="1"/>
    <col min="8216" max="8451" width="9" style="93"/>
    <col min="8452" max="8452" width="10.5" style="93" customWidth="1"/>
    <col min="8453" max="8466" width="9" style="93"/>
    <col min="8467" max="8467" width="9.5" style="93" customWidth="1"/>
    <col min="8468" max="8470" width="9" style="93"/>
    <col min="8471" max="8471" width="10.5" style="93" customWidth="1"/>
    <col min="8472" max="8707" width="9" style="93"/>
    <col min="8708" max="8708" width="10.5" style="93" customWidth="1"/>
    <col min="8709" max="8722" width="9" style="93"/>
    <col min="8723" max="8723" width="9.5" style="93" customWidth="1"/>
    <col min="8724" max="8726" width="9" style="93"/>
    <col min="8727" max="8727" width="10.5" style="93" customWidth="1"/>
    <col min="8728" max="8963" width="9" style="93"/>
    <col min="8964" max="8964" width="10.5" style="93" customWidth="1"/>
    <col min="8965" max="8978" width="9" style="93"/>
    <col min="8979" max="8979" width="9.5" style="93" customWidth="1"/>
    <col min="8980" max="8982" width="9" style="93"/>
    <col min="8983" max="8983" width="10.5" style="93" customWidth="1"/>
    <col min="8984" max="9219" width="9" style="93"/>
    <col min="9220" max="9220" width="10.5" style="93" customWidth="1"/>
    <col min="9221" max="9234" width="9" style="93"/>
    <col min="9235" max="9235" width="9.5" style="93" customWidth="1"/>
    <col min="9236" max="9238" width="9" style="93"/>
    <col min="9239" max="9239" width="10.5" style="93" customWidth="1"/>
    <col min="9240" max="9475" width="9" style="93"/>
    <col min="9476" max="9476" width="10.5" style="93" customWidth="1"/>
    <col min="9477" max="9490" width="9" style="93"/>
    <col min="9491" max="9491" width="9.5" style="93" customWidth="1"/>
    <col min="9492" max="9494" width="9" style="93"/>
    <col min="9495" max="9495" width="10.5" style="93" customWidth="1"/>
    <col min="9496" max="9731" width="9" style="93"/>
    <col min="9732" max="9732" width="10.5" style="93" customWidth="1"/>
    <col min="9733" max="9746" width="9" style="93"/>
    <col min="9747" max="9747" width="9.5" style="93" customWidth="1"/>
    <col min="9748" max="9750" width="9" style="93"/>
    <col min="9751" max="9751" width="10.5" style="93" customWidth="1"/>
    <col min="9752" max="9987" width="9" style="93"/>
    <col min="9988" max="9988" width="10.5" style="93" customWidth="1"/>
    <col min="9989" max="10002" width="9" style="93"/>
    <col min="10003" max="10003" width="9.5" style="93" customWidth="1"/>
    <col min="10004" max="10006" width="9" style="93"/>
    <col min="10007" max="10007" width="10.5" style="93" customWidth="1"/>
    <col min="10008" max="10243" width="9" style="93"/>
    <col min="10244" max="10244" width="10.5" style="93" customWidth="1"/>
    <col min="10245" max="10258" width="9" style="93"/>
    <col min="10259" max="10259" width="9.5" style="93" customWidth="1"/>
    <col min="10260" max="10262" width="9" style="93"/>
    <col min="10263" max="10263" width="10.5" style="93" customWidth="1"/>
    <col min="10264" max="10499" width="9" style="93"/>
    <col min="10500" max="10500" width="10.5" style="93" customWidth="1"/>
    <col min="10501" max="10514" width="9" style="93"/>
    <col min="10515" max="10515" width="9.5" style="93" customWidth="1"/>
    <col min="10516" max="10518" width="9" style="93"/>
    <col min="10519" max="10519" width="10.5" style="93" customWidth="1"/>
    <col min="10520" max="10755" width="9" style="93"/>
    <col min="10756" max="10756" width="10.5" style="93" customWidth="1"/>
    <col min="10757" max="10770" width="9" style="93"/>
    <col min="10771" max="10771" width="9.5" style="93" customWidth="1"/>
    <col min="10772" max="10774" width="9" style="93"/>
    <col min="10775" max="10775" width="10.5" style="93" customWidth="1"/>
    <col min="10776" max="11011" width="9" style="93"/>
    <col min="11012" max="11012" width="10.5" style="93" customWidth="1"/>
    <col min="11013" max="11026" width="9" style="93"/>
    <col min="11027" max="11027" width="9.5" style="93" customWidth="1"/>
    <col min="11028" max="11030" width="9" style="93"/>
    <col min="11031" max="11031" width="10.5" style="93" customWidth="1"/>
    <col min="11032" max="11267" width="9" style="93"/>
    <col min="11268" max="11268" width="10.5" style="93" customWidth="1"/>
    <col min="11269" max="11282" width="9" style="93"/>
    <col min="11283" max="11283" width="9.5" style="93" customWidth="1"/>
    <col min="11284" max="11286" width="9" style="93"/>
    <col min="11287" max="11287" width="10.5" style="93" customWidth="1"/>
    <col min="11288" max="11523" width="9" style="93"/>
    <col min="11524" max="11524" width="10.5" style="93" customWidth="1"/>
    <col min="11525" max="11538" width="9" style="93"/>
    <col min="11539" max="11539" width="9.5" style="93" customWidth="1"/>
    <col min="11540" max="11542" width="9" style="93"/>
    <col min="11543" max="11543" width="10.5" style="93" customWidth="1"/>
    <col min="11544" max="11779" width="9" style="93"/>
    <col min="11780" max="11780" width="10.5" style="93" customWidth="1"/>
    <col min="11781" max="11794" width="9" style="93"/>
    <col min="11795" max="11795" width="9.5" style="93" customWidth="1"/>
    <col min="11796" max="11798" width="9" style="93"/>
    <col min="11799" max="11799" width="10.5" style="93" customWidth="1"/>
    <col min="11800" max="12035" width="9" style="93"/>
    <col min="12036" max="12036" width="10.5" style="93" customWidth="1"/>
    <col min="12037" max="12050" width="9" style="93"/>
    <col min="12051" max="12051" width="9.5" style="93" customWidth="1"/>
    <col min="12052" max="12054" width="9" style="93"/>
    <col min="12055" max="12055" width="10.5" style="93" customWidth="1"/>
    <col min="12056" max="12291" width="9" style="93"/>
    <col min="12292" max="12292" width="10.5" style="93" customWidth="1"/>
    <col min="12293" max="12306" width="9" style="93"/>
    <col min="12307" max="12307" width="9.5" style="93" customWidth="1"/>
    <col min="12308" max="12310" width="9" style="93"/>
    <col min="12311" max="12311" width="10.5" style="93" customWidth="1"/>
    <col min="12312" max="12547" width="9" style="93"/>
    <col min="12548" max="12548" width="10.5" style="93" customWidth="1"/>
    <col min="12549" max="12562" width="9" style="93"/>
    <col min="12563" max="12563" width="9.5" style="93" customWidth="1"/>
    <col min="12564" max="12566" width="9" style="93"/>
    <col min="12567" max="12567" width="10.5" style="93" customWidth="1"/>
    <col min="12568" max="12803" width="9" style="93"/>
    <col min="12804" max="12804" width="10.5" style="93" customWidth="1"/>
    <col min="12805" max="12818" width="9" style="93"/>
    <col min="12819" max="12819" width="9.5" style="93" customWidth="1"/>
    <col min="12820" max="12822" width="9" style="93"/>
    <col min="12823" max="12823" width="10.5" style="93" customWidth="1"/>
    <col min="12824" max="13059" width="9" style="93"/>
    <col min="13060" max="13060" width="10.5" style="93" customWidth="1"/>
    <col min="13061" max="13074" width="9" style="93"/>
    <col min="13075" max="13075" width="9.5" style="93" customWidth="1"/>
    <col min="13076" max="13078" width="9" style="93"/>
    <col min="13079" max="13079" width="10.5" style="93" customWidth="1"/>
    <col min="13080" max="13315" width="9" style="93"/>
    <col min="13316" max="13316" width="10.5" style="93" customWidth="1"/>
    <col min="13317" max="13330" width="9" style="93"/>
    <col min="13331" max="13331" width="9.5" style="93" customWidth="1"/>
    <col min="13332" max="13334" width="9" style="93"/>
    <col min="13335" max="13335" width="10.5" style="93" customWidth="1"/>
    <col min="13336" max="13571" width="9" style="93"/>
    <col min="13572" max="13572" width="10.5" style="93" customWidth="1"/>
    <col min="13573" max="13586" width="9" style="93"/>
    <col min="13587" max="13587" width="9.5" style="93" customWidth="1"/>
    <col min="13588" max="13590" width="9" style="93"/>
    <col min="13591" max="13591" width="10.5" style="93" customWidth="1"/>
    <col min="13592" max="13827" width="9" style="93"/>
    <col min="13828" max="13828" width="10.5" style="93" customWidth="1"/>
    <col min="13829" max="13842" width="9" style="93"/>
    <col min="13843" max="13843" width="9.5" style="93" customWidth="1"/>
    <col min="13844" max="13846" width="9" style="93"/>
    <col min="13847" max="13847" width="10.5" style="93" customWidth="1"/>
    <col min="13848" max="14083" width="9" style="93"/>
    <col min="14084" max="14084" width="10.5" style="93" customWidth="1"/>
    <col min="14085" max="14098" width="9" style="93"/>
    <col min="14099" max="14099" width="9.5" style="93" customWidth="1"/>
    <col min="14100" max="14102" width="9" style="93"/>
    <col min="14103" max="14103" width="10.5" style="93" customWidth="1"/>
    <col min="14104" max="14339" width="9" style="93"/>
    <col min="14340" max="14340" width="10.5" style="93" customWidth="1"/>
    <col min="14341" max="14354" width="9" style="93"/>
    <col min="14355" max="14355" width="9.5" style="93" customWidth="1"/>
    <col min="14356" max="14358" width="9" style="93"/>
    <col min="14359" max="14359" width="10.5" style="93" customWidth="1"/>
    <col min="14360" max="14595" width="9" style="93"/>
    <col min="14596" max="14596" width="10.5" style="93" customWidth="1"/>
    <col min="14597" max="14610" width="9" style="93"/>
    <col min="14611" max="14611" width="9.5" style="93" customWidth="1"/>
    <col min="14612" max="14614" width="9" style="93"/>
    <col min="14615" max="14615" width="10.5" style="93" customWidth="1"/>
    <col min="14616" max="14851" width="9" style="93"/>
    <col min="14852" max="14852" width="10.5" style="93" customWidth="1"/>
    <col min="14853" max="14866" width="9" style="93"/>
    <col min="14867" max="14867" width="9.5" style="93" customWidth="1"/>
    <col min="14868" max="14870" width="9" style="93"/>
    <col min="14871" max="14871" width="10.5" style="93" customWidth="1"/>
    <col min="14872" max="15107" width="9" style="93"/>
    <col min="15108" max="15108" width="10.5" style="93" customWidth="1"/>
    <col min="15109" max="15122" width="9" style="93"/>
    <col min="15123" max="15123" width="9.5" style="93" customWidth="1"/>
    <col min="15124" max="15126" width="9" style="93"/>
    <col min="15127" max="15127" width="10.5" style="93" customWidth="1"/>
    <col min="15128" max="15363" width="9" style="93"/>
    <col min="15364" max="15364" width="10.5" style="93" customWidth="1"/>
    <col min="15365" max="15378" width="9" style="93"/>
    <col min="15379" max="15379" width="9.5" style="93" customWidth="1"/>
    <col min="15380" max="15382" width="9" style="93"/>
    <col min="15383" max="15383" width="10.5" style="93" customWidth="1"/>
    <col min="15384" max="15619" width="9" style="93"/>
    <col min="15620" max="15620" width="10.5" style="93" customWidth="1"/>
    <col min="15621" max="15634" width="9" style="93"/>
    <col min="15635" max="15635" width="9.5" style="93" customWidth="1"/>
    <col min="15636" max="15638" width="9" style="93"/>
    <col min="15639" max="15639" width="10.5" style="93" customWidth="1"/>
    <col min="15640" max="15875" width="9" style="93"/>
    <col min="15876" max="15876" width="10.5" style="93" customWidth="1"/>
    <col min="15877" max="15890" width="9" style="93"/>
    <col min="15891" max="15891" width="9.5" style="93" customWidth="1"/>
    <col min="15892" max="15894" width="9" style="93"/>
    <col min="15895" max="15895" width="10.5" style="93" customWidth="1"/>
    <col min="15896" max="16131" width="9" style="93"/>
    <col min="16132" max="16132" width="10.5" style="93" customWidth="1"/>
    <col min="16133" max="16146" width="9" style="93"/>
    <col min="16147" max="16147" width="9.5" style="93" customWidth="1"/>
    <col min="16148" max="16150" width="9" style="93"/>
    <col min="16151" max="16151" width="10.5" style="93" customWidth="1"/>
    <col min="16152" max="16384" width="9" style="93"/>
  </cols>
  <sheetData>
    <row r="1" spans="1:53" ht="45" x14ac:dyDescent="0.15">
      <c r="A1" s="84" t="s">
        <v>0</v>
      </c>
      <c r="B1" s="85" t="s">
        <v>168</v>
      </c>
      <c r="C1" s="85" t="s">
        <v>169</v>
      </c>
      <c r="D1" s="86" t="s">
        <v>3</v>
      </c>
      <c r="E1" s="87" t="s">
        <v>4</v>
      </c>
      <c r="F1" s="87" t="s">
        <v>5</v>
      </c>
      <c r="G1" s="87" t="s">
        <v>6</v>
      </c>
      <c r="H1" s="87" t="s">
        <v>7</v>
      </c>
      <c r="I1" s="87" t="s">
        <v>8</v>
      </c>
      <c r="J1" s="87" t="s">
        <v>9</v>
      </c>
      <c r="K1" s="87" t="s">
        <v>10</v>
      </c>
      <c r="L1" s="86" t="s">
        <v>170</v>
      </c>
      <c r="M1" s="86" t="s">
        <v>171</v>
      </c>
      <c r="N1" s="86" t="s">
        <v>13</v>
      </c>
      <c r="O1" s="86" t="s">
        <v>172</v>
      </c>
      <c r="P1" s="86" t="s">
        <v>173</v>
      </c>
      <c r="Q1" s="88" t="s">
        <v>174</v>
      </c>
      <c r="R1" s="86" t="s">
        <v>175</v>
      </c>
      <c r="S1" s="86" t="s">
        <v>176</v>
      </c>
      <c r="T1" s="88" t="s">
        <v>19</v>
      </c>
      <c r="U1" s="89" t="s">
        <v>108</v>
      </c>
      <c r="V1" s="90" t="s">
        <v>20</v>
      </c>
      <c r="W1" s="86" t="s">
        <v>177</v>
      </c>
      <c r="X1" s="87" t="s">
        <v>22</v>
      </c>
      <c r="Y1" s="87" t="s">
        <v>23</v>
      </c>
      <c r="Z1" s="87" t="s">
        <v>24</v>
      </c>
      <c r="AA1" s="91" t="s">
        <v>25</v>
      </c>
      <c r="AB1" s="92" t="s">
        <v>178</v>
      </c>
      <c r="AE1" s="94" t="s">
        <v>0</v>
      </c>
      <c r="AF1" s="95"/>
      <c r="AG1" s="94" t="s">
        <v>4</v>
      </c>
      <c r="AH1" s="94" t="s">
        <v>5</v>
      </c>
      <c r="AI1" s="95"/>
      <c r="AJ1" s="94" t="s">
        <v>6</v>
      </c>
      <c r="AK1" s="95"/>
      <c r="AL1" s="96" t="s">
        <v>7</v>
      </c>
      <c r="AM1" s="95"/>
      <c r="AN1" s="96" t="s">
        <v>8</v>
      </c>
      <c r="AO1" s="95"/>
      <c r="AP1" s="96" t="s">
        <v>27</v>
      </c>
      <c r="AQ1" s="95"/>
      <c r="AR1" s="96" t="s">
        <v>10</v>
      </c>
      <c r="AS1" s="95"/>
      <c r="AT1" s="97" t="s">
        <v>179</v>
      </c>
      <c r="AU1" s="95"/>
      <c r="AV1" s="96" t="s">
        <v>29</v>
      </c>
      <c r="AX1" s="98" t="s">
        <v>259</v>
      </c>
      <c r="AY1" s="99" t="s">
        <v>181</v>
      </c>
      <c r="AZ1" s="99" t="s">
        <v>260</v>
      </c>
      <c r="BA1" s="100" t="s">
        <v>183</v>
      </c>
    </row>
    <row r="2" spans="1:53" x14ac:dyDescent="0.15">
      <c r="A2" s="93" t="s">
        <v>51</v>
      </c>
      <c r="B2" s="93" t="s">
        <v>157</v>
      </c>
      <c r="C2" s="93">
        <v>2019</v>
      </c>
      <c r="D2" s="101" t="s">
        <v>261</v>
      </c>
      <c r="E2" s="93" t="s">
        <v>262</v>
      </c>
      <c r="F2" s="93" t="s">
        <v>263</v>
      </c>
      <c r="G2" s="93" t="s">
        <v>42</v>
      </c>
      <c r="H2" s="93" t="s">
        <v>164</v>
      </c>
      <c r="I2" s="93" t="s">
        <v>159</v>
      </c>
      <c r="J2" s="93" t="s">
        <v>38</v>
      </c>
      <c r="K2" s="93" t="s">
        <v>161</v>
      </c>
      <c r="L2" s="93">
        <v>1</v>
      </c>
      <c r="N2" s="93">
        <v>1</v>
      </c>
      <c r="O2" s="93">
        <v>0.75</v>
      </c>
      <c r="P2" s="93">
        <v>0.7</v>
      </c>
      <c r="Q2" s="102">
        <f t="shared" ref="Q2:Q65" si="0">IF(OR(O2="",P2=""),"",AVERAGE(O2,P2))</f>
        <v>0.72499999999999998</v>
      </c>
      <c r="R2" s="93">
        <v>14.8</v>
      </c>
      <c r="S2" s="93">
        <v>118</v>
      </c>
      <c r="T2" s="103">
        <f t="shared" ref="T2:T65" si="1">IF(H2="","",IF(OR(H2="GREEN",H2="GK"),IF(S2&gt;=$AX$2,VLOOKUP(S2,$AX$2:$AY$12,2,1),""),IF(S2&gt;=$AZ$2,VLOOKUP(S2,$AZ$2:$BA$12,2,1),"")))</f>
        <v>30</v>
      </c>
      <c r="U2" s="93">
        <v>98</v>
      </c>
      <c r="V2" s="104">
        <f t="shared" ref="V2:V65" si="2">IF(OR(N2="",U2="",T2=""),"",U2/N2*T2)</f>
        <v>2940</v>
      </c>
      <c r="W2" s="93">
        <v>4</v>
      </c>
      <c r="X2" s="93" t="s">
        <v>39</v>
      </c>
      <c r="Y2" s="93" t="s">
        <v>102</v>
      </c>
      <c r="Z2" s="93" t="s">
        <v>78</v>
      </c>
      <c r="AA2" s="93" t="s">
        <v>88</v>
      </c>
      <c r="AB2" s="93" t="s">
        <v>158</v>
      </c>
      <c r="AE2" s="105" t="s">
        <v>35</v>
      </c>
      <c r="AG2" s="106" t="s">
        <v>210</v>
      </c>
      <c r="AH2" s="106" t="s">
        <v>264</v>
      </c>
      <c r="AJ2" s="106" t="s">
        <v>36</v>
      </c>
      <c r="AL2" s="106" t="s">
        <v>186</v>
      </c>
      <c r="AN2" s="106" t="s">
        <v>37</v>
      </c>
      <c r="AP2" s="106" t="s">
        <v>38</v>
      </c>
      <c r="AR2" s="106" t="s">
        <v>161</v>
      </c>
      <c r="AT2" s="106" t="s">
        <v>39</v>
      </c>
      <c r="AV2" s="106" t="s">
        <v>40</v>
      </c>
      <c r="AX2" s="107">
        <v>1</v>
      </c>
      <c r="AY2" s="108">
        <v>50</v>
      </c>
      <c r="AZ2" s="108">
        <v>1</v>
      </c>
      <c r="BA2" s="109">
        <v>50</v>
      </c>
    </row>
    <row r="3" spans="1:53" x14ac:dyDescent="0.15">
      <c r="A3" s="93" t="s">
        <v>51</v>
      </c>
      <c r="B3" s="93" t="s">
        <v>157</v>
      </c>
      <c r="C3" s="93">
        <v>2019</v>
      </c>
      <c r="D3" s="101" t="s">
        <v>261</v>
      </c>
      <c r="E3" s="93" t="s">
        <v>262</v>
      </c>
      <c r="F3" s="93" t="s">
        <v>263</v>
      </c>
      <c r="G3" s="93" t="s">
        <v>42</v>
      </c>
      <c r="H3" s="93" t="s">
        <v>164</v>
      </c>
      <c r="I3" s="93" t="s">
        <v>159</v>
      </c>
      <c r="J3" s="93" t="s">
        <v>38</v>
      </c>
      <c r="K3" s="93" t="s">
        <v>161</v>
      </c>
      <c r="L3" s="93">
        <v>2</v>
      </c>
      <c r="N3" s="93">
        <v>1</v>
      </c>
      <c r="O3" s="93">
        <v>0.7</v>
      </c>
      <c r="P3" s="93">
        <v>0.7</v>
      </c>
      <c r="Q3" s="102">
        <f t="shared" si="0"/>
        <v>0.7</v>
      </c>
      <c r="R3" s="93">
        <v>15.3</v>
      </c>
      <c r="S3" s="93">
        <v>126</v>
      </c>
      <c r="T3" s="103">
        <f t="shared" si="1"/>
        <v>27</v>
      </c>
      <c r="U3" s="93">
        <v>98</v>
      </c>
      <c r="V3" s="104">
        <f t="shared" si="2"/>
        <v>2646</v>
      </c>
      <c r="W3" s="93">
        <v>4</v>
      </c>
      <c r="X3" s="93" t="s">
        <v>39</v>
      </c>
      <c r="Y3" s="93" t="s">
        <v>102</v>
      </c>
      <c r="Z3" s="93" t="s">
        <v>78</v>
      </c>
      <c r="AA3" s="93" t="s">
        <v>88</v>
      </c>
      <c r="AB3" s="93" t="s">
        <v>158</v>
      </c>
      <c r="AE3" s="110" t="s">
        <v>41</v>
      </c>
      <c r="AG3" s="106" t="s">
        <v>265</v>
      </c>
      <c r="AH3" s="106" t="s">
        <v>266</v>
      </c>
      <c r="AJ3" s="111" t="s">
        <v>42</v>
      </c>
      <c r="AL3" s="111" t="s">
        <v>188</v>
      </c>
      <c r="AN3" s="111" t="s">
        <v>43</v>
      </c>
      <c r="AP3" s="111" t="s">
        <v>44</v>
      </c>
      <c r="AR3" s="111" t="s">
        <v>45</v>
      </c>
      <c r="AT3" s="111" t="s">
        <v>46</v>
      </c>
      <c r="AV3" s="111" t="s">
        <v>47</v>
      </c>
      <c r="AX3" s="112">
        <v>72</v>
      </c>
      <c r="AY3" s="113">
        <v>46</v>
      </c>
      <c r="AZ3" s="113">
        <v>71</v>
      </c>
      <c r="BA3" s="114">
        <v>42</v>
      </c>
    </row>
    <row r="4" spans="1:53" x14ac:dyDescent="0.15">
      <c r="A4" s="93" t="s">
        <v>51</v>
      </c>
      <c r="B4" s="93" t="s">
        <v>157</v>
      </c>
      <c r="C4" s="93">
        <v>2019</v>
      </c>
      <c r="D4" s="101" t="s">
        <v>261</v>
      </c>
      <c r="E4" s="93" t="s">
        <v>262</v>
      </c>
      <c r="F4" s="93" t="s">
        <v>263</v>
      </c>
      <c r="G4" s="93" t="s">
        <v>42</v>
      </c>
      <c r="H4" s="93" t="s">
        <v>164</v>
      </c>
      <c r="I4" s="93" t="s">
        <v>159</v>
      </c>
      <c r="J4" s="93" t="s">
        <v>38</v>
      </c>
      <c r="K4" s="93" t="s">
        <v>161</v>
      </c>
      <c r="L4" s="93">
        <v>3</v>
      </c>
      <c r="N4" s="93">
        <v>1</v>
      </c>
      <c r="O4" s="93">
        <v>0.75</v>
      </c>
      <c r="P4" s="93">
        <v>0.8</v>
      </c>
      <c r="Q4" s="102">
        <f t="shared" si="0"/>
        <v>0.77500000000000002</v>
      </c>
      <c r="R4" s="93">
        <v>14.5</v>
      </c>
      <c r="S4" s="93">
        <v>122</v>
      </c>
      <c r="T4" s="103">
        <f t="shared" si="1"/>
        <v>27</v>
      </c>
      <c r="U4" s="93">
        <v>98</v>
      </c>
      <c r="V4" s="104">
        <f t="shared" si="2"/>
        <v>2646</v>
      </c>
      <c r="W4" s="93">
        <v>4</v>
      </c>
      <c r="X4" s="93" t="s">
        <v>39</v>
      </c>
      <c r="Y4" s="93" t="s">
        <v>102</v>
      </c>
      <c r="Z4" s="93" t="s">
        <v>78</v>
      </c>
      <c r="AA4" s="93" t="s">
        <v>88</v>
      </c>
      <c r="AB4" s="93" t="s">
        <v>158</v>
      </c>
      <c r="AE4" s="110" t="s">
        <v>34</v>
      </c>
      <c r="AG4" s="106" t="s">
        <v>267</v>
      </c>
      <c r="AH4" s="106" t="s">
        <v>268</v>
      </c>
      <c r="AJ4" s="115" t="s">
        <v>48</v>
      </c>
      <c r="AL4" s="115" t="s">
        <v>190</v>
      </c>
      <c r="AN4" s="116" t="s">
        <v>191</v>
      </c>
      <c r="AP4" s="111" t="s">
        <v>192</v>
      </c>
      <c r="AR4" s="111" t="s">
        <v>193</v>
      </c>
      <c r="AT4" s="116"/>
      <c r="AV4" s="111" t="s">
        <v>50</v>
      </c>
      <c r="AX4" s="112">
        <v>75</v>
      </c>
      <c r="AY4" s="113">
        <v>42</v>
      </c>
      <c r="AZ4" s="113">
        <v>76</v>
      </c>
      <c r="BA4" s="114">
        <v>39</v>
      </c>
    </row>
    <row r="5" spans="1:53" x14ac:dyDescent="0.15">
      <c r="A5" s="93" t="s">
        <v>51</v>
      </c>
      <c r="B5" s="93" t="s">
        <v>157</v>
      </c>
      <c r="C5" s="93">
        <v>2019</v>
      </c>
      <c r="D5" s="101" t="s">
        <v>261</v>
      </c>
      <c r="E5" s="93" t="s">
        <v>262</v>
      </c>
      <c r="F5" s="93" t="s">
        <v>263</v>
      </c>
      <c r="G5" s="93" t="s">
        <v>42</v>
      </c>
      <c r="H5" s="93" t="s">
        <v>160</v>
      </c>
      <c r="I5" s="93" t="s">
        <v>159</v>
      </c>
      <c r="J5" s="93" t="s">
        <v>38</v>
      </c>
      <c r="K5" s="93" t="s">
        <v>161</v>
      </c>
      <c r="L5" s="93">
        <v>1</v>
      </c>
      <c r="N5" s="93">
        <v>1</v>
      </c>
      <c r="O5" s="93">
        <v>0.55000000000000004</v>
      </c>
      <c r="P5" s="93">
        <v>0.6</v>
      </c>
      <c r="Q5" s="102">
        <f t="shared" si="0"/>
        <v>0.57499999999999996</v>
      </c>
      <c r="R5" s="93">
        <v>16.100000000000001</v>
      </c>
      <c r="S5" s="93">
        <v>126</v>
      </c>
      <c r="T5" s="103">
        <f t="shared" si="1"/>
        <v>27</v>
      </c>
      <c r="U5" s="93">
        <v>138</v>
      </c>
      <c r="V5" s="104">
        <f t="shared" si="2"/>
        <v>3726</v>
      </c>
      <c r="W5" s="93">
        <v>4</v>
      </c>
      <c r="X5" s="93" t="s">
        <v>39</v>
      </c>
      <c r="Y5" s="93" t="s">
        <v>102</v>
      </c>
      <c r="Z5" s="93" t="s">
        <v>78</v>
      </c>
      <c r="AA5" s="93" t="s">
        <v>88</v>
      </c>
      <c r="AB5" s="93" t="s">
        <v>158</v>
      </c>
      <c r="AE5" s="110" t="s">
        <v>51</v>
      </c>
      <c r="AG5" s="106" t="s">
        <v>269</v>
      </c>
      <c r="AH5" s="106" t="s">
        <v>263</v>
      </c>
      <c r="AJ5" s="116"/>
      <c r="AL5" s="117" t="s">
        <v>164</v>
      </c>
      <c r="AN5" s="117" t="s">
        <v>159</v>
      </c>
      <c r="AP5" s="111" t="s">
        <v>195</v>
      </c>
      <c r="AR5" s="111" t="s">
        <v>54</v>
      </c>
      <c r="AV5" s="111" t="s">
        <v>55</v>
      </c>
      <c r="AX5" s="112">
        <v>84</v>
      </c>
      <c r="AY5" s="113">
        <v>39</v>
      </c>
      <c r="AZ5" s="113">
        <v>84</v>
      </c>
      <c r="BA5" s="114">
        <v>36</v>
      </c>
    </row>
    <row r="6" spans="1:53" x14ac:dyDescent="0.15">
      <c r="A6" s="93" t="s">
        <v>51</v>
      </c>
      <c r="B6" s="93" t="s">
        <v>157</v>
      </c>
      <c r="C6" s="93">
        <v>2019</v>
      </c>
      <c r="D6" s="101" t="s">
        <v>261</v>
      </c>
      <c r="E6" s="93" t="s">
        <v>262</v>
      </c>
      <c r="F6" s="93" t="s">
        <v>263</v>
      </c>
      <c r="G6" s="93" t="s">
        <v>42</v>
      </c>
      <c r="H6" s="93" t="s">
        <v>160</v>
      </c>
      <c r="I6" s="93" t="s">
        <v>159</v>
      </c>
      <c r="J6" s="93" t="s">
        <v>38</v>
      </c>
      <c r="K6" s="93" t="s">
        <v>161</v>
      </c>
      <c r="L6" s="93">
        <v>2</v>
      </c>
      <c r="N6" s="93">
        <v>1</v>
      </c>
      <c r="O6" s="93">
        <v>0.7</v>
      </c>
      <c r="P6" s="93">
        <v>0.6</v>
      </c>
      <c r="Q6" s="102">
        <f t="shared" si="0"/>
        <v>0.64999999999999991</v>
      </c>
      <c r="R6" s="93">
        <v>16.399999999999999</v>
      </c>
      <c r="S6" s="93">
        <v>134</v>
      </c>
      <c r="T6" s="103">
        <f t="shared" si="1"/>
        <v>25</v>
      </c>
      <c r="U6" s="93">
        <v>138</v>
      </c>
      <c r="V6" s="104">
        <f t="shared" si="2"/>
        <v>3450</v>
      </c>
      <c r="W6" s="93">
        <v>4</v>
      </c>
      <c r="X6" s="93" t="s">
        <v>39</v>
      </c>
      <c r="Y6" s="93" t="s">
        <v>102</v>
      </c>
      <c r="Z6" s="93" t="s">
        <v>78</v>
      </c>
      <c r="AA6" s="93" t="s">
        <v>88</v>
      </c>
      <c r="AB6" s="93" t="s">
        <v>158</v>
      </c>
      <c r="AE6" s="110" t="s">
        <v>56</v>
      </c>
      <c r="AG6" s="106" t="s">
        <v>270</v>
      </c>
      <c r="AH6" s="106" t="s">
        <v>271</v>
      </c>
      <c r="AL6" s="117" t="s">
        <v>197</v>
      </c>
      <c r="AN6" s="117" t="s">
        <v>165</v>
      </c>
      <c r="AP6" s="111" t="s">
        <v>53</v>
      </c>
      <c r="AR6" s="111" t="s">
        <v>59</v>
      </c>
      <c r="AV6" s="111" t="s">
        <v>60</v>
      </c>
      <c r="AX6" s="112">
        <v>97</v>
      </c>
      <c r="AY6" s="113">
        <v>36</v>
      </c>
      <c r="AZ6" s="113">
        <v>99</v>
      </c>
      <c r="BA6" s="114">
        <v>33</v>
      </c>
    </row>
    <row r="7" spans="1:53" x14ac:dyDescent="0.15">
      <c r="A7" s="93" t="s">
        <v>51</v>
      </c>
      <c r="B7" s="93" t="s">
        <v>157</v>
      </c>
      <c r="C7" s="93">
        <v>2019</v>
      </c>
      <c r="D7" s="101" t="s">
        <v>261</v>
      </c>
      <c r="E7" s="93" t="s">
        <v>262</v>
      </c>
      <c r="F7" s="93" t="s">
        <v>263</v>
      </c>
      <c r="G7" s="93" t="s">
        <v>42</v>
      </c>
      <c r="H7" s="93" t="s">
        <v>160</v>
      </c>
      <c r="I7" s="93" t="s">
        <v>159</v>
      </c>
      <c r="J7" s="93" t="s">
        <v>38</v>
      </c>
      <c r="K7" s="93" t="s">
        <v>161</v>
      </c>
      <c r="L7" s="93">
        <v>3</v>
      </c>
      <c r="N7" s="93">
        <v>1</v>
      </c>
      <c r="O7" s="93">
        <v>0.65</v>
      </c>
      <c r="P7" s="93">
        <v>0.65</v>
      </c>
      <c r="Q7" s="102">
        <f t="shared" si="0"/>
        <v>0.65</v>
      </c>
      <c r="R7" s="93">
        <v>15.7</v>
      </c>
      <c r="S7" s="93">
        <v>126</v>
      </c>
      <c r="T7" s="103">
        <f t="shared" si="1"/>
        <v>27</v>
      </c>
      <c r="U7" s="93">
        <v>138</v>
      </c>
      <c r="V7" s="104">
        <f t="shared" si="2"/>
        <v>3726</v>
      </c>
      <c r="W7" s="93">
        <v>4</v>
      </c>
      <c r="X7" s="93" t="s">
        <v>39</v>
      </c>
      <c r="Y7" s="93" t="s">
        <v>102</v>
      </c>
      <c r="Z7" s="93" t="s">
        <v>78</v>
      </c>
      <c r="AA7" s="93" t="s">
        <v>88</v>
      </c>
      <c r="AB7" s="93" t="s">
        <v>158</v>
      </c>
      <c r="AE7" s="110" t="s">
        <v>61</v>
      </c>
      <c r="AG7" s="106" t="s">
        <v>272</v>
      </c>
      <c r="AH7" s="106" t="s">
        <v>264</v>
      </c>
      <c r="AL7" s="93" t="s">
        <v>199</v>
      </c>
      <c r="AP7" s="111" t="s">
        <v>58</v>
      </c>
      <c r="AR7" s="111" t="s">
        <v>200</v>
      </c>
      <c r="AV7" s="111" t="s">
        <v>64</v>
      </c>
      <c r="AX7" s="112">
        <v>109</v>
      </c>
      <c r="AY7" s="113">
        <v>33</v>
      </c>
      <c r="AZ7" s="113">
        <v>113</v>
      </c>
      <c r="BA7" s="114">
        <v>30</v>
      </c>
    </row>
    <row r="8" spans="1:53" x14ac:dyDescent="0.15">
      <c r="A8" s="93" t="s">
        <v>51</v>
      </c>
      <c r="B8" s="93" t="s">
        <v>157</v>
      </c>
      <c r="C8" s="93">
        <v>2019</v>
      </c>
      <c r="D8" s="101" t="s">
        <v>261</v>
      </c>
      <c r="E8" s="93" t="s">
        <v>265</v>
      </c>
      <c r="F8" s="93" t="s">
        <v>266</v>
      </c>
      <c r="G8" s="93" t="s">
        <v>36</v>
      </c>
      <c r="H8" s="93" t="s">
        <v>164</v>
      </c>
      <c r="I8" s="93" t="s">
        <v>159</v>
      </c>
      <c r="J8" s="93" t="s">
        <v>38</v>
      </c>
      <c r="K8" s="93" t="s">
        <v>161</v>
      </c>
      <c r="L8" s="93">
        <v>1</v>
      </c>
      <c r="N8" s="93">
        <v>5</v>
      </c>
      <c r="O8" s="93">
        <v>0.25</v>
      </c>
      <c r="P8" s="93">
        <v>0.25</v>
      </c>
      <c r="Q8" s="102">
        <f t="shared" si="0"/>
        <v>0.25</v>
      </c>
      <c r="R8" s="93">
        <v>14.8</v>
      </c>
      <c r="S8" s="93">
        <v>85</v>
      </c>
      <c r="T8" s="103">
        <f t="shared" si="1"/>
        <v>36</v>
      </c>
      <c r="U8" s="93">
        <v>498</v>
      </c>
      <c r="V8" s="104">
        <f t="shared" si="2"/>
        <v>3585.6</v>
      </c>
      <c r="W8" s="93">
        <v>2</v>
      </c>
      <c r="X8" s="93" t="s">
        <v>46</v>
      </c>
      <c r="Y8" s="93" t="s">
        <v>88</v>
      </c>
      <c r="Z8" s="93" t="s">
        <v>69</v>
      </c>
      <c r="AA8" s="93" t="s">
        <v>97</v>
      </c>
      <c r="AB8" s="93" t="s">
        <v>158</v>
      </c>
      <c r="AE8" s="110" t="s">
        <v>59</v>
      </c>
      <c r="AG8" s="106" t="s">
        <v>273</v>
      </c>
      <c r="AH8" s="106" t="s">
        <v>274</v>
      </c>
      <c r="AL8" s="93" t="s">
        <v>160</v>
      </c>
      <c r="AP8" s="111" t="s">
        <v>62</v>
      </c>
      <c r="AR8" s="111" t="s">
        <v>81</v>
      </c>
      <c r="AV8" s="111" t="s">
        <v>97</v>
      </c>
      <c r="AX8" s="112">
        <v>119</v>
      </c>
      <c r="AY8" s="113">
        <v>30</v>
      </c>
      <c r="AZ8" s="113">
        <v>121</v>
      </c>
      <c r="BA8" s="114">
        <v>27</v>
      </c>
    </row>
    <row r="9" spans="1:53" x14ac:dyDescent="0.15">
      <c r="A9" s="93" t="s">
        <v>51</v>
      </c>
      <c r="B9" s="93" t="s">
        <v>157</v>
      </c>
      <c r="C9" s="93">
        <v>2019</v>
      </c>
      <c r="D9" s="101" t="s">
        <v>261</v>
      </c>
      <c r="E9" s="93" t="s">
        <v>265</v>
      </c>
      <c r="F9" s="93" t="s">
        <v>266</v>
      </c>
      <c r="G9" s="93" t="s">
        <v>36</v>
      </c>
      <c r="H9" s="93" t="s">
        <v>164</v>
      </c>
      <c r="I9" s="93" t="s">
        <v>159</v>
      </c>
      <c r="J9" s="93" t="s">
        <v>38</v>
      </c>
      <c r="K9" s="93" t="s">
        <v>161</v>
      </c>
      <c r="L9" s="93">
        <v>2</v>
      </c>
      <c r="N9" s="93">
        <v>5</v>
      </c>
      <c r="O9" s="93">
        <v>0.5</v>
      </c>
      <c r="P9" s="93">
        <v>0.5</v>
      </c>
      <c r="Q9" s="102">
        <f t="shared" si="0"/>
        <v>0.5</v>
      </c>
      <c r="R9" s="93">
        <v>15</v>
      </c>
      <c r="S9" s="93">
        <v>86</v>
      </c>
      <c r="T9" s="103">
        <f t="shared" si="1"/>
        <v>36</v>
      </c>
      <c r="U9" s="93">
        <v>498</v>
      </c>
      <c r="V9" s="104">
        <f t="shared" si="2"/>
        <v>3585.6</v>
      </c>
      <c r="W9" s="93">
        <v>2</v>
      </c>
      <c r="X9" s="93" t="s">
        <v>46</v>
      </c>
      <c r="Y9" s="93" t="s">
        <v>88</v>
      </c>
      <c r="Z9" s="93" t="s">
        <v>69</v>
      </c>
      <c r="AA9" s="93" t="s">
        <v>97</v>
      </c>
      <c r="AB9" s="93" t="s">
        <v>158</v>
      </c>
      <c r="AE9" s="110" t="s">
        <v>203</v>
      </c>
      <c r="AG9" s="106" t="s">
        <v>275</v>
      </c>
      <c r="AH9" s="106" t="s">
        <v>263</v>
      </c>
      <c r="AL9" s="117"/>
      <c r="AP9" s="111" t="s">
        <v>95</v>
      </c>
      <c r="AR9" s="111" t="s">
        <v>206</v>
      </c>
      <c r="AV9" s="111" t="s">
        <v>102</v>
      </c>
      <c r="AX9" s="112">
        <v>128</v>
      </c>
      <c r="AY9" s="113">
        <v>27</v>
      </c>
      <c r="AZ9" s="113">
        <v>129</v>
      </c>
      <c r="BA9" s="114">
        <v>25</v>
      </c>
    </row>
    <row r="10" spans="1:53" x14ac:dyDescent="0.15">
      <c r="A10" s="93" t="s">
        <v>51</v>
      </c>
      <c r="B10" s="93" t="s">
        <v>157</v>
      </c>
      <c r="C10" s="93">
        <v>2019</v>
      </c>
      <c r="D10" s="101" t="s">
        <v>261</v>
      </c>
      <c r="E10" s="93" t="s">
        <v>265</v>
      </c>
      <c r="F10" s="93" t="s">
        <v>266</v>
      </c>
      <c r="G10" s="93" t="s">
        <v>36</v>
      </c>
      <c r="H10" s="93" t="s">
        <v>164</v>
      </c>
      <c r="I10" s="93" t="s">
        <v>159</v>
      </c>
      <c r="J10" s="93" t="s">
        <v>38</v>
      </c>
      <c r="K10" s="93" t="s">
        <v>161</v>
      </c>
      <c r="L10" s="93">
        <v>3</v>
      </c>
      <c r="N10" s="93">
        <v>5</v>
      </c>
      <c r="O10" s="93">
        <v>0.55000000000000004</v>
      </c>
      <c r="P10" s="93">
        <v>0.6</v>
      </c>
      <c r="Q10" s="102">
        <f t="shared" si="0"/>
        <v>0.57499999999999996</v>
      </c>
      <c r="R10" s="93">
        <v>15.4</v>
      </c>
      <c r="S10" s="93">
        <v>92</v>
      </c>
      <c r="T10" s="103">
        <f t="shared" si="1"/>
        <v>36</v>
      </c>
      <c r="U10" s="93">
        <v>498</v>
      </c>
      <c r="V10" s="104">
        <f t="shared" si="2"/>
        <v>3585.6</v>
      </c>
      <c r="W10" s="93">
        <v>2</v>
      </c>
      <c r="X10" s="93" t="s">
        <v>46</v>
      </c>
      <c r="Y10" s="93" t="s">
        <v>88</v>
      </c>
      <c r="Z10" s="93" t="s">
        <v>69</v>
      </c>
      <c r="AA10" s="93" t="s">
        <v>97</v>
      </c>
      <c r="AB10" s="93" t="s">
        <v>158</v>
      </c>
      <c r="AE10" s="110" t="s">
        <v>207</v>
      </c>
      <c r="AG10" s="106" t="s">
        <v>262</v>
      </c>
      <c r="AH10" s="111" t="s">
        <v>263</v>
      </c>
      <c r="AP10" s="111" t="s">
        <v>100</v>
      </c>
      <c r="AR10" s="111" t="s">
        <v>209</v>
      </c>
      <c r="AV10" s="111" t="s">
        <v>106</v>
      </c>
      <c r="AX10" s="112">
        <v>138</v>
      </c>
      <c r="AY10" s="113">
        <v>25</v>
      </c>
      <c r="AZ10" s="113">
        <v>138</v>
      </c>
      <c r="BA10" s="114">
        <v>22</v>
      </c>
    </row>
    <row r="11" spans="1:53" x14ac:dyDescent="0.15">
      <c r="A11" s="93" t="s">
        <v>51</v>
      </c>
      <c r="B11" s="93" t="s">
        <v>157</v>
      </c>
      <c r="C11" s="93">
        <v>2019</v>
      </c>
      <c r="D11" s="101" t="s">
        <v>261</v>
      </c>
      <c r="E11" s="93" t="s">
        <v>265</v>
      </c>
      <c r="F11" s="93" t="s">
        <v>266</v>
      </c>
      <c r="G11" s="93" t="s">
        <v>36</v>
      </c>
      <c r="H11" s="93" t="s">
        <v>160</v>
      </c>
      <c r="I11" s="93" t="s">
        <v>159</v>
      </c>
      <c r="J11" s="93" t="s">
        <v>38</v>
      </c>
      <c r="K11" s="93" t="s">
        <v>161</v>
      </c>
      <c r="L11" s="93">
        <v>1</v>
      </c>
      <c r="N11" s="93">
        <v>5</v>
      </c>
      <c r="O11" s="93">
        <v>0.7</v>
      </c>
      <c r="P11" s="93">
        <v>0.65</v>
      </c>
      <c r="Q11" s="102">
        <f t="shared" si="0"/>
        <v>0.67500000000000004</v>
      </c>
      <c r="R11" s="93">
        <v>18.899999999999999</v>
      </c>
      <c r="S11" s="93">
        <v>110</v>
      </c>
      <c r="T11" s="103">
        <f t="shared" si="1"/>
        <v>33</v>
      </c>
      <c r="U11" s="93">
        <v>498</v>
      </c>
      <c r="V11" s="104">
        <f t="shared" si="2"/>
        <v>3286.7999999999997</v>
      </c>
      <c r="W11" s="93">
        <v>2</v>
      </c>
      <c r="X11" s="93" t="s">
        <v>46</v>
      </c>
      <c r="Y11" s="93" t="s">
        <v>88</v>
      </c>
      <c r="Z11" s="93" t="s">
        <v>69</v>
      </c>
      <c r="AA11" s="93" t="s">
        <v>97</v>
      </c>
      <c r="AB11" s="93" t="s">
        <v>158</v>
      </c>
      <c r="AE11" s="110" t="s">
        <v>68</v>
      </c>
      <c r="AG11" s="106" t="s">
        <v>139</v>
      </c>
      <c r="AH11" s="111" t="s">
        <v>276</v>
      </c>
      <c r="AP11" s="111" t="s">
        <v>104</v>
      </c>
      <c r="AR11" s="111" t="s">
        <v>212</v>
      </c>
      <c r="AV11" s="111" t="s">
        <v>69</v>
      </c>
      <c r="AX11" s="112">
        <v>151</v>
      </c>
      <c r="AY11" s="113">
        <v>22</v>
      </c>
      <c r="AZ11" s="113">
        <v>152</v>
      </c>
      <c r="BA11" s="114">
        <v>18</v>
      </c>
    </row>
    <row r="12" spans="1:53" x14ac:dyDescent="0.15">
      <c r="A12" s="93" t="s">
        <v>51</v>
      </c>
      <c r="B12" s="93" t="s">
        <v>157</v>
      </c>
      <c r="C12" s="93">
        <v>2019</v>
      </c>
      <c r="D12" s="101" t="s">
        <v>261</v>
      </c>
      <c r="E12" s="93" t="s">
        <v>265</v>
      </c>
      <c r="F12" s="93" t="s">
        <v>266</v>
      </c>
      <c r="G12" s="93" t="s">
        <v>36</v>
      </c>
      <c r="H12" s="93" t="s">
        <v>160</v>
      </c>
      <c r="I12" s="93" t="s">
        <v>159</v>
      </c>
      <c r="J12" s="93" t="s">
        <v>38</v>
      </c>
      <c r="K12" s="93" t="s">
        <v>161</v>
      </c>
      <c r="L12" s="93">
        <v>2</v>
      </c>
      <c r="N12" s="93">
        <v>5</v>
      </c>
      <c r="O12" s="93">
        <v>0.8</v>
      </c>
      <c r="P12" s="93">
        <v>0.7</v>
      </c>
      <c r="Q12" s="102">
        <f t="shared" si="0"/>
        <v>0.75</v>
      </c>
      <c r="R12" s="93">
        <v>17.7</v>
      </c>
      <c r="S12" s="93">
        <v>112</v>
      </c>
      <c r="T12" s="103">
        <f t="shared" si="1"/>
        <v>33</v>
      </c>
      <c r="U12" s="93">
        <v>498</v>
      </c>
      <c r="V12" s="104">
        <f t="shared" si="2"/>
        <v>3286.7999999999997</v>
      </c>
      <c r="W12" s="93">
        <v>2</v>
      </c>
      <c r="X12" s="93" t="s">
        <v>46</v>
      </c>
      <c r="Y12" s="93" t="s">
        <v>88</v>
      </c>
      <c r="Z12" s="93" t="s">
        <v>69</v>
      </c>
      <c r="AA12" s="93" t="s">
        <v>97</v>
      </c>
      <c r="AB12" s="93" t="s">
        <v>158</v>
      </c>
      <c r="AE12" s="110" t="s">
        <v>213</v>
      </c>
      <c r="AG12" s="111"/>
      <c r="AH12" s="111"/>
      <c r="AP12" s="111" t="s">
        <v>67</v>
      </c>
      <c r="AR12" s="111" t="s">
        <v>214</v>
      </c>
      <c r="AV12" s="111" t="s">
        <v>72</v>
      </c>
      <c r="AX12" s="118">
        <v>180</v>
      </c>
      <c r="AY12" s="119">
        <v>18</v>
      </c>
      <c r="AZ12" s="119">
        <v>181</v>
      </c>
      <c r="BA12" s="120">
        <v>16</v>
      </c>
    </row>
    <row r="13" spans="1:53" x14ac:dyDescent="0.15">
      <c r="A13" s="93" t="s">
        <v>51</v>
      </c>
      <c r="B13" s="93" t="s">
        <v>157</v>
      </c>
      <c r="C13" s="93">
        <v>2019</v>
      </c>
      <c r="D13" s="101" t="s">
        <v>261</v>
      </c>
      <c r="E13" s="93" t="s">
        <v>265</v>
      </c>
      <c r="F13" s="93" t="s">
        <v>266</v>
      </c>
      <c r="G13" s="93" t="s">
        <v>36</v>
      </c>
      <c r="H13" s="93" t="s">
        <v>160</v>
      </c>
      <c r="I13" s="93" t="s">
        <v>159</v>
      </c>
      <c r="J13" s="93" t="s">
        <v>38</v>
      </c>
      <c r="K13" s="93" t="s">
        <v>161</v>
      </c>
      <c r="L13" s="93">
        <v>3</v>
      </c>
      <c r="N13" s="93">
        <v>5</v>
      </c>
      <c r="O13" s="93">
        <v>0.65</v>
      </c>
      <c r="P13" s="93">
        <v>0.65</v>
      </c>
      <c r="Q13" s="102">
        <f t="shared" si="0"/>
        <v>0.65</v>
      </c>
      <c r="R13" s="93">
        <v>18.600000000000001</v>
      </c>
      <c r="S13" s="93">
        <v>108</v>
      </c>
      <c r="T13" s="103">
        <f t="shared" si="1"/>
        <v>33</v>
      </c>
      <c r="U13" s="93">
        <v>498</v>
      </c>
      <c r="V13" s="104">
        <f t="shared" si="2"/>
        <v>3286.7999999999997</v>
      </c>
      <c r="W13" s="93">
        <v>2</v>
      </c>
      <c r="X13" s="93" t="s">
        <v>46</v>
      </c>
      <c r="Y13" s="93" t="s">
        <v>88</v>
      </c>
      <c r="Z13" s="93" t="s">
        <v>69</v>
      </c>
      <c r="AA13" s="93" t="s">
        <v>97</v>
      </c>
      <c r="AB13" s="93" t="s">
        <v>158</v>
      </c>
      <c r="AE13" s="110" t="s">
        <v>215</v>
      </c>
      <c r="AG13" s="111"/>
      <c r="AH13" s="111"/>
      <c r="AP13" s="111" t="s">
        <v>71</v>
      </c>
      <c r="AR13" s="111" t="s">
        <v>207</v>
      </c>
      <c r="AV13" s="111" t="s">
        <v>75</v>
      </c>
    </row>
    <row r="14" spans="1:53" x14ac:dyDescent="0.15">
      <c r="A14" s="93" t="s">
        <v>51</v>
      </c>
      <c r="B14" s="93" t="s">
        <v>157</v>
      </c>
      <c r="C14" s="93">
        <v>2019</v>
      </c>
      <c r="D14" s="101" t="s">
        <v>261</v>
      </c>
      <c r="E14" s="93" t="s">
        <v>139</v>
      </c>
      <c r="F14" s="93" t="s">
        <v>276</v>
      </c>
      <c r="G14" s="93" t="s">
        <v>42</v>
      </c>
      <c r="H14" s="93" t="s">
        <v>164</v>
      </c>
      <c r="I14" s="93" t="s">
        <v>159</v>
      </c>
      <c r="J14" s="93" t="s">
        <v>38</v>
      </c>
      <c r="K14" s="93" t="s">
        <v>161</v>
      </c>
      <c r="L14" s="93">
        <v>1</v>
      </c>
      <c r="N14" s="93">
        <v>1</v>
      </c>
      <c r="O14" s="93">
        <v>0.8</v>
      </c>
      <c r="P14" s="93">
        <v>0.75</v>
      </c>
      <c r="Q14" s="102">
        <f t="shared" si="0"/>
        <v>0.77500000000000002</v>
      </c>
      <c r="R14" s="93">
        <v>14.6</v>
      </c>
      <c r="S14" s="93">
        <v>112</v>
      </c>
      <c r="T14" s="103">
        <f t="shared" si="1"/>
        <v>33</v>
      </c>
      <c r="U14" s="93">
        <v>98</v>
      </c>
      <c r="V14" s="104">
        <f t="shared" si="2"/>
        <v>3234</v>
      </c>
      <c r="W14" s="93">
        <v>11</v>
      </c>
      <c r="X14" s="93" t="s">
        <v>46</v>
      </c>
      <c r="Y14" s="93" t="s">
        <v>97</v>
      </c>
      <c r="Z14" s="93" t="s">
        <v>88</v>
      </c>
      <c r="AA14" s="93" t="s">
        <v>69</v>
      </c>
      <c r="AB14" s="93" t="s">
        <v>158</v>
      </c>
      <c r="AE14" s="110" t="s">
        <v>96</v>
      </c>
      <c r="AG14" s="111"/>
      <c r="AH14" s="111"/>
      <c r="AP14" s="111" t="s">
        <v>74</v>
      </c>
      <c r="AR14" s="111" t="s">
        <v>216</v>
      </c>
      <c r="AV14" s="111" t="s">
        <v>78</v>
      </c>
    </row>
    <row r="15" spans="1:53" x14ac:dyDescent="0.15">
      <c r="A15" s="93" t="s">
        <v>51</v>
      </c>
      <c r="B15" s="93" t="s">
        <v>157</v>
      </c>
      <c r="C15" s="93">
        <v>2019</v>
      </c>
      <c r="D15" s="101" t="s">
        <v>261</v>
      </c>
      <c r="E15" s="93" t="s">
        <v>139</v>
      </c>
      <c r="F15" s="93" t="s">
        <v>276</v>
      </c>
      <c r="G15" s="93" t="s">
        <v>42</v>
      </c>
      <c r="H15" s="93" t="s">
        <v>164</v>
      </c>
      <c r="I15" s="93" t="s">
        <v>159</v>
      </c>
      <c r="J15" s="93" t="s">
        <v>38</v>
      </c>
      <c r="K15" s="93" t="s">
        <v>161</v>
      </c>
      <c r="L15" s="93">
        <v>2</v>
      </c>
      <c r="N15" s="93">
        <v>1</v>
      </c>
      <c r="O15" s="93">
        <v>0.75</v>
      </c>
      <c r="P15" s="93">
        <v>0.75</v>
      </c>
      <c r="Q15" s="102">
        <f t="shared" si="0"/>
        <v>0.75</v>
      </c>
      <c r="R15" s="93">
        <v>15.7</v>
      </c>
      <c r="S15" s="93">
        <v>122</v>
      </c>
      <c r="T15" s="103">
        <f t="shared" si="1"/>
        <v>27</v>
      </c>
      <c r="U15" s="93">
        <v>98</v>
      </c>
      <c r="V15" s="104">
        <f t="shared" si="2"/>
        <v>2646</v>
      </c>
      <c r="W15" s="93">
        <v>11</v>
      </c>
      <c r="X15" s="93" t="s">
        <v>46</v>
      </c>
      <c r="Y15" s="93" t="s">
        <v>97</v>
      </c>
      <c r="Z15" s="93" t="s">
        <v>88</v>
      </c>
      <c r="AA15" s="93" t="s">
        <v>69</v>
      </c>
      <c r="AB15" s="93" t="s">
        <v>158</v>
      </c>
      <c r="AE15" s="110" t="s">
        <v>217</v>
      </c>
      <c r="AG15" s="111"/>
      <c r="AH15" s="111"/>
      <c r="AP15" s="111" t="s">
        <v>77</v>
      </c>
      <c r="AR15" s="111" t="s">
        <v>80</v>
      </c>
      <c r="AV15" s="111" t="s">
        <v>107</v>
      </c>
    </row>
    <row r="16" spans="1:53" x14ac:dyDescent="0.15">
      <c r="A16" s="93" t="s">
        <v>51</v>
      </c>
      <c r="B16" s="93" t="s">
        <v>157</v>
      </c>
      <c r="C16" s="93">
        <v>2019</v>
      </c>
      <c r="D16" s="101" t="s">
        <v>261</v>
      </c>
      <c r="E16" s="93" t="s">
        <v>139</v>
      </c>
      <c r="F16" s="93" t="s">
        <v>276</v>
      </c>
      <c r="G16" s="93" t="s">
        <v>42</v>
      </c>
      <c r="H16" s="93" t="s">
        <v>164</v>
      </c>
      <c r="I16" s="93" t="s">
        <v>159</v>
      </c>
      <c r="J16" s="93" t="s">
        <v>38</v>
      </c>
      <c r="K16" s="93" t="s">
        <v>161</v>
      </c>
      <c r="L16" s="93">
        <v>3</v>
      </c>
      <c r="N16" s="93">
        <v>1</v>
      </c>
      <c r="O16" s="93">
        <v>0.7</v>
      </c>
      <c r="P16" s="93">
        <v>0.8</v>
      </c>
      <c r="Q16" s="102">
        <f t="shared" si="0"/>
        <v>0.75</v>
      </c>
      <c r="R16" s="93">
        <v>16.100000000000001</v>
      </c>
      <c r="S16" s="93">
        <v>126</v>
      </c>
      <c r="T16" s="103">
        <f t="shared" si="1"/>
        <v>27</v>
      </c>
      <c r="U16" s="93">
        <v>98</v>
      </c>
      <c r="V16" s="104">
        <f t="shared" si="2"/>
        <v>2646</v>
      </c>
      <c r="W16" s="93">
        <v>11</v>
      </c>
      <c r="X16" s="93" t="s">
        <v>46</v>
      </c>
      <c r="Y16" s="93" t="s">
        <v>97</v>
      </c>
      <c r="Z16" s="93" t="s">
        <v>88</v>
      </c>
      <c r="AA16" s="93" t="s">
        <v>69</v>
      </c>
      <c r="AB16" s="93" t="s">
        <v>158</v>
      </c>
      <c r="AE16" s="110" t="s">
        <v>218</v>
      </c>
      <c r="AG16" s="116"/>
      <c r="AH16" s="116"/>
      <c r="AP16" s="111" t="s">
        <v>80</v>
      </c>
      <c r="AR16" s="111" t="s">
        <v>63</v>
      </c>
      <c r="AV16" s="111" t="s">
        <v>84</v>
      </c>
    </row>
    <row r="17" spans="1:48" x14ac:dyDescent="0.15">
      <c r="A17" s="93" t="s">
        <v>51</v>
      </c>
      <c r="B17" s="93" t="s">
        <v>157</v>
      </c>
      <c r="C17" s="93">
        <v>2019</v>
      </c>
      <c r="D17" s="101" t="s">
        <v>261</v>
      </c>
      <c r="E17" s="93" t="s">
        <v>139</v>
      </c>
      <c r="F17" s="93" t="s">
        <v>276</v>
      </c>
      <c r="G17" s="93" t="s">
        <v>42</v>
      </c>
      <c r="H17" s="93" t="s">
        <v>160</v>
      </c>
      <c r="I17" s="93" t="s">
        <v>159</v>
      </c>
      <c r="J17" s="93" t="s">
        <v>38</v>
      </c>
      <c r="K17" s="93" t="s">
        <v>161</v>
      </c>
      <c r="L17" s="93">
        <v>1</v>
      </c>
      <c r="N17" s="93">
        <v>4</v>
      </c>
      <c r="O17" s="93">
        <v>0.65</v>
      </c>
      <c r="P17" s="93">
        <v>0.65</v>
      </c>
      <c r="Q17" s="102">
        <f t="shared" si="0"/>
        <v>0.65</v>
      </c>
      <c r="R17" s="93">
        <v>17.3</v>
      </c>
      <c r="S17" s="93">
        <v>108</v>
      </c>
      <c r="T17" s="103">
        <f t="shared" si="1"/>
        <v>33</v>
      </c>
      <c r="U17" s="93">
        <v>498</v>
      </c>
      <c r="V17" s="104">
        <f t="shared" si="2"/>
        <v>4108.5</v>
      </c>
      <c r="W17" s="93">
        <v>11</v>
      </c>
      <c r="X17" s="93" t="s">
        <v>46</v>
      </c>
      <c r="Y17" s="93" t="s">
        <v>97</v>
      </c>
      <c r="Z17" s="93" t="s">
        <v>88</v>
      </c>
      <c r="AA17" s="93" t="s">
        <v>69</v>
      </c>
      <c r="AB17" s="93" t="s">
        <v>158</v>
      </c>
      <c r="AE17" s="110" t="s">
        <v>219</v>
      </c>
      <c r="AP17" s="115" t="s">
        <v>220</v>
      </c>
      <c r="AR17" s="111" t="s">
        <v>96</v>
      </c>
      <c r="AV17" s="111" t="s">
        <v>86</v>
      </c>
    </row>
    <row r="18" spans="1:48" x14ac:dyDescent="0.15">
      <c r="A18" s="93" t="s">
        <v>51</v>
      </c>
      <c r="B18" s="93" t="s">
        <v>157</v>
      </c>
      <c r="C18" s="93">
        <v>2019</v>
      </c>
      <c r="D18" s="101" t="s">
        <v>261</v>
      </c>
      <c r="E18" s="93" t="s">
        <v>139</v>
      </c>
      <c r="F18" s="93" t="s">
        <v>276</v>
      </c>
      <c r="G18" s="93" t="s">
        <v>42</v>
      </c>
      <c r="H18" s="93" t="s">
        <v>160</v>
      </c>
      <c r="I18" s="93" t="s">
        <v>159</v>
      </c>
      <c r="J18" s="93" t="s">
        <v>38</v>
      </c>
      <c r="K18" s="93" t="s">
        <v>161</v>
      </c>
      <c r="L18" s="93">
        <v>2</v>
      </c>
      <c r="N18" s="93">
        <v>4</v>
      </c>
      <c r="O18" s="93">
        <v>0.65</v>
      </c>
      <c r="P18" s="93">
        <v>0.75</v>
      </c>
      <c r="Q18" s="102">
        <f t="shared" si="0"/>
        <v>0.7</v>
      </c>
      <c r="R18" s="93">
        <v>16.399999999999999</v>
      </c>
      <c r="S18" s="93">
        <v>104</v>
      </c>
      <c r="T18" s="103">
        <f t="shared" si="1"/>
        <v>33</v>
      </c>
      <c r="U18" s="93">
        <v>498</v>
      </c>
      <c r="V18" s="104">
        <f t="shared" si="2"/>
        <v>4108.5</v>
      </c>
      <c r="W18" s="93">
        <v>11</v>
      </c>
      <c r="X18" s="93" t="s">
        <v>46</v>
      </c>
      <c r="Y18" s="93" t="s">
        <v>97</v>
      </c>
      <c r="Z18" s="93" t="s">
        <v>88</v>
      </c>
      <c r="AA18" s="93" t="s">
        <v>69</v>
      </c>
      <c r="AB18" s="93" t="s">
        <v>158</v>
      </c>
      <c r="AE18" s="110" t="s">
        <v>212</v>
      </c>
      <c r="AP18" s="115" t="s">
        <v>221</v>
      </c>
      <c r="AR18" s="111" t="s">
        <v>101</v>
      </c>
      <c r="AV18" s="111" t="s">
        <v>88</v>
      </c>
    </row>
    <row r="19" spans="1:48" x14ac:dyDescent="0.15">
      <c r="A19" s="93" t="s">
        <v>51</v>
      </c>
      <c r="B19" s="93" t="s">
        <v>157</v>
      </c>
      <c r="C19" s="93">
        <v>2019</v>
      </c>
      <c r="D19" s="101" t="s">
        <v>261</v>
      </c>
      <c r="E19" s="93" t="s">
        <v>139</v>
      </c>
      <c r="F19" s="93" t="s">
        <v>276</v>
      </c>
      <c r="G19" s="93" t="s">
        <v>42</v>
      </c>
      <c r="H19" s="93" t="s">
        <v>160</v>
      </c>
      <c r="I19" s="93" t="s">
        <v>159</v>
      </c>
      <c r="J19" s="93" t="s">
        <v>38</v>
      </c>
      <c r="K19" s="93" t="s">
        <v>161</v>
      </c>
      <c r="L19" s="93">
        <v>3</v>
      </c>
      <c r="N19" s="93">
        <v>4</v>
      </c>
      <c r="O19" s="93">
        <v>0.7</v>
      </c>
      <c r="P19" s="93">
        <v>0.7</v>
      </c>
      <c r="Q19" s="102">
        <f t="shared" si="0"/>
        <v>0.7</v>
      </c>
      <c r="R19" s="93">
        <v>16.8</v>
      </c>
      <c r="S19" s="93">
        <v>106</v>
      </c>
      <c r="T19" s="103">
        <f t="shared" si="1"/>
        <v>33</v>
      </c>
      <c r="U19" s="93">
        <v>498</v>
      </c>
      <c r="V19" s="104">
        <f t="shared" si="2"/>
        <v>4108.5</v>
      </c>
      <c r="W19" s="93">
        <v>11</v>
      </c>
      <c r="X19" s="93" t="s">
        <v>46</v>
      </c>
      <c r="Y19" s="93" t="s">
        <v>97</v>
      </c>
      <c r="Z19" s="93" t="s">
        <v>88</v>
      </c>
      <c r="AA19" s="93" t="s">
        <v>69</v>
      </c>
      <c r="AB19" s="93" t="s">
        <v>158</v>
      </c>
      <c r="AE19" s="121" t="s">
        <v>206</v>
      </c>
      <c r="AP19" s="115" t="s">
        <v>222</v>
      </c>
      <c r="AR19" s="111" t="s">
        <v>223</v>
      </c>
      <c r="AV19" s="111" t="s">
        <v>90</v>
      </c>
    </row>
    <row r="20" spans="1:48" x14ac:dyDescent="0.15">
      <c r="A20" s="93" t="s">
        <v>51</v>
      </c>
      <c r="B20" s="93" t="s">
        <v>157</v>
      </c>
      <c r="C20" s="93">
        <v>2019</v>
      </c>
      <c r="D20" s="101" t="s">
        <v>261</v>
      </c>
      <c r="E20" s="93" t="s">
        <v>270</v>
      </c>
      <c r="F20" s="93" t="s">
        <v>271</v>
      </c>
      <c r="G20" s="93" t="s">
        <v>36</v>
      </c>
      <c r="H20" s="93" t="s">
        <v>164</v>
      </c>
      <c r="I20" s="93" t="s">
        <v>159</v>
      </c>
      <c r="J20" s="93" t="s">
        <v>38</v>
      </c>
      <c r="K20" s="93" t="s">
        <v>161</v>
      </c>
      <c r="L20" s="93">
        <v>1</v>
      </c>
      <c r="N20" s="93">
        <v>1</v>
      </c>
      <c r="O20" s="93">
        <v>0.85</v>
      </c>
      <c r="P20" s="93">
        <v>0.75</v>
      </c>
      <c r="Q20" s="102">
        <f t="shared" si="0"/>
        <v>0.8</v>
      </c>
      <c r="R20" s="93">
        <v>14.7</v>
      </c>
      <c r="S20" s="93">
        <v>140</v>
      </c>
      <c r="T20" s="103">
        <f t="shared" si="1"/>
        <v>22</v>
      </c>
      <c r="U20" s="93">
        <v>98</v>
      </c>
      <c r="V20" s="104">
        <f t="shared" si="2"/>
        <v>2156</v>
      </c>
      <c r="W20" s="93">
        <v>10</v>
      </c>
      <c r="X20" s="93" t="s">
        <v>46</v>
      </c>
      <c r="Y20" s="93" t="s">
        <v>97</v>
      </c>
      <c r="Z20" s="93" t="s">
        <v>69</v>
      </c>
      <c r="AA20" s="93" t="s">
        <v>78</v>
      </c>
      <c r="AB20" s="93" t="s">
        <v>158</v>
      </c>
      <c r="AE20" s="121"/>
      <c r="AP20" s="115" t="s">
        <v>224</v>
      </c>
      <c r="AR20" s="111" t="s">
        <v>105</v>
      </c>
      <c r="AV20" s="115" t="s">
        <v>225</v>
      </c>
    </row>
    <row r="21" spans="1:48" x14ac:dyDescent="0.15">
      <c r="A21" s="93" t="s">
        <v>51</v>
      </c>
      <c r="B21" s="93" t="s">
        <v>157</v>
      </c>
      <c r="C21" s="93">
        <v>2019</v>
      </c>
      <c r="D21" s="101" t="s">
        <v>261</v>
      </c>
      <c r="E21" s="93" t="s">
        <v>270</v>
      </c>
      <c r="F21" s="93" t="s">
        <v>271</v>
      </c>
      <c r="G21" s="93" t="s">
        <v>36</v>
      </c>
      <c r="H21" s="93" t="s">
        <v>164</v>
      </c>
      <c r="I21" s="93" t="s">
        <v>159</v>
      </c>
      <c r="J21" s="93" t="s">
        <v>38</v>
      </c>
      <c r="K21" s="93" t="s">
        <v>161</v>
      </c>
      <c r="L21" s="93">
        <v>2</v>
      </c>
      <c r="N21" s="93">
        <v>1</v>
      </c>
      <c r="O21" s="93">
        <v>0.75</v>
      </c>
      <c r="P21" s="93">
        <v>0.8</v>
      </c>
      <c r="Q21" s="102">
        <f t="shared" si="0"/>
        <v>0.77500000000000002</v>
      </c>
      <c r="R21" s="93">
        <v>16.100000000000001</v>
      </c>
      <c r="S21" s="93">
        <v>148</v>
      </c>
      <c r="T21" s="103">
        <f t="shared" si="1"/>
        <v>22</v>
      </c>
      <c r="U21" s="93">
        <v>98</v>
      </c>
      <c r="V21" s="104">
        <f t="shared" si="2"/>
        <v>2156</v>
      </c>
      <c r="W21" s="93">
        <v>10</v>
      </c>
      <c r="X21" s="93" t="s">
        <v>46</v>
      </c>
      <c r="Y21" s="93" t="s">
        <v>97</v>
      </c>
      <c r="Z21" s="93" t="s">
        <v>69</v>
      </c>
      <c r="AA21" s="93" t="s">
        <v>78</v>
      </c>
      <c r="AB21" s="93" t="s">
        <v>158</v>
      </c>
      <c r="AE21" s="116"/>
      <c r="AP21" s="115" t="s">
        <v>226</v>
      </c>
      <c r="AR21" s="111" t="s">
        <v>68</v>
      </c>
      <c r="AV21" s="115" t="s">
        <v>227</v>
      </c>
    </row>
    <row r="22" spans="1:48" x14ac:dyDescent="0.15">
      <c r="A22" s="93" t="s">
        <v>51</v>
      </c>
      <c r="B22" s="93" t="s">
        <v>157</v>
      </c>
      <c r="C22" s="93">
        <v>2019</v>
      </c>
      <c r="D22" s="101" t="s">
        <v>261</v>
      </c>
      <c r="E22" s="93" t="s">
        <v>270</v>
      </c>
      <c r="F22" s="93" t="s">
        <v>271</v>
      </c>
      <c r="G22" s="93" t="s">
        <v>36</v>
      </c>
      <c r="H22" s="93" t="s">
        <v>164</v>
      </c>
      <c r="I22" s="93" t="s">
        <v>159</v>
      </c>
      <c r="J22" s="93" t="s">
        <v>38</v>
      </c>
      <c r="K22" s="93" t="s">
        <v>161</v>
      </c>
      <c r="L22" s="93">
        <v>3</v>
      </c>
      <c r="N22" s="93">
        <v>1</v>
      </c>
      <c r="O22" s="93">
        <v>0.8</v>
      </c>
      <c r="P22" s="93">
        <v>0.8</v>
      </c>
      <c r="Q22" s="102">
        <f t="shared" si="0"/>
        <v>0.8</v>
      </c>
      <c r="R22" s="93">
        <v>15.2</v>
      </c>
      <c r="S22" s="93">
        <v>142</v>
      </c>
      <c r="T22" s="103">
        <f t="shared" si="1"/>
        <v>22</v>
      </c>
      <c r="U22" s="93">
        <v>98</v>
      </c>
      <c r="V22" s="104">
        <f t="shared" si="2"/>
        <v>2156</v>
      </c>
      <c r="W22" s="93">
        <v>10</v>
      </c>
      <c r="X22" s="93" t="s">
        <v>46</v>
      </c>
      <c r="Y22" s="93" t="s">
        <v>97</v>
      </c>
      <c r="Z22" s="93" t="s">
        <v>69</v>
      </c>
      <c r="AA22" s="93" t="s">
        <v>78</v>
      </c>
      <c r="AB22" s="93" t="s">
        <v>158</v>
      </c>
      <c r="AP22" s="115" t="s">
        <v>228</v>
      </c>
      <c r="AR22" s="111" t="s">
        <v>83</v>
      </c>
      <c r="AV22" s="115"/>
    </row>
    <row r="23" spans="1:48" x14ac:dyDescent="0.15">
      <c r="A23" s="93" t="s">
        <v>51</v>
      </c>
      <c r="B23" s="93" t="s">
        <v>157</v>
      </c>
      <c r="C23" s="93">
        <v>2019</v>
      </c>
      <c r="D23" s="101" t="s">
        <v>261</v>
      </c>
      <c r="E23" s="93" t="s">
        <v>270</v>
      </c>
      <c r="F23" s="93" t="s">
        <v>271</v>
      </c>
      <c r="G23" s="93" t="s">
        <v>36</v>
      </c>
      <c r="H23" s="93" t="s">
        <v>160</v>
      </c>
      <c r="I23" s="93" t="s">
        <v>159</v>
      </c>
      <c r="J23" s="93" t="s">
        <v>38</v>
      </c>
      <c r="K23" s="93" t="s">
        <v>161</v>
      </c>
      <c r="L23" s="93">
        <v>1</v>
      </c>
      <c r="N23" s="93">
        <v>1</v>
      </c>
      <c r="O23" s="93">
        <v>0.6</v>
      </c>
      <c r="P23" s="93">
        <v>0.65</v>
      </c>
      <c r="Q23" s="102">
        <f t="shared" si="0"/>
        <v>0.625</v>
      </c>
      <c r="R23" s="93">
        <v>16.8</v>
      </c>
      <c r="S23" s="93">
        <v>130</v>
      </c>
      <c r="T23" s="103">
        <f t="shared" si="1"/>
        <v>25</v>
      </c>
      <c r="U23" s="93">
        <v>128</v>
      </c>
      <c r="V23" s="104">
        <f t="shared" si="2"/>
        <v>3200</v>
      </c>
      <c r="W23" s="93">
        <v>10</v>
      </c>
      <c r="X23" s="93" t="s">
        <v>46</v>
      </c>
      <c r="Y23" s="93" t="s">
        <v>97</v>
      </c>
      <c r="Z23" s="93" t="s">
        <v>69</v>
      </c>
      <c r="AA23" s="93" t="s">
        <v>78</v>
      </c>
      <c r="AB23" s="93" t="s">
        <v>158</v>
      </c>
      <c r="AP23" s="115" t="s">
        <v>277</v>
      </c>
      <c r="AR23" s="111" t="s">
        <v>61</v>
      </c>
    </row>
    <row r="24" spans="1:48" x14ac:dyDescent="0.15">
      <c r="A24" s="93" t="s">
        <v>51</v>
      </c>
      <c r="B24" s="93" t="s">
        <v>157</v>
      </c>
      <c r="C24" s="93">
        <v>2019</v>
      </c>
      <c r="D24" s="101" t="s">
        <v>261</v>
      </c>
      <c r="E24" s="93" t="s">
        <v>270</v>
      </c>
      <c r="F24" s="93" t="s">
        <v>271</v>
      </c>
      <c r="G24" s="93" t="s">
        <v>36</v>
      </c>
      <c r="H24" s="93" t="s">
        <v>160</v>
      </c>
      <c r="I24" s="93" t="s">
        <v>159</v>
      </c>
      <c r="J24" s="93" t="s">
        <v>38</v>
      </c>
      <c r="K24" s="93" t="s">
        <v>161</v>
      </c>
      <c r="L24" s="93">
        <v>2</v>
      </c>
      <c r="N24" s="93">
        <v>1</v>
      </c>
      <c r="O24" s="93">
        <v>0.65</v>
      </c>
      <c r="P24" s="93">
        <v>0.65</v>
      </c>
      <c r="Q24" s="102">
        <f t="shared" si="0"/>
        <v>0.65</v>
      </c>
      <c r="R24" s="93">
        <v>16.600000000000001</v>
      </c>
      <c r="S24" s="93">
        <v>132</v>
      </c>
      <c r="T24" s="103">
        <f t="shared" si="1"/>
        <v>25</v>
      </c>
      <c r="U24" s="93">
        <v>128</v>
      </c>
      <c r="V24" s="104">
        <f t="shared" si="2"/>
        <v>3200</v>
      </c>
      <c r="W24" s="93">
        <v>10</v>
      </c>
      <c r="X24" s="93" t="s">
        <v>46</v>
      </c>
      <c r="Y24" s="93" t="s">
        <v>97</v>
      </c>
      <c r="Z24" s="93" t="s">
        <v>69</v>
      </c>
      <c r="AA24" s="93" t="s">
        <v>78</v>
      </c>
      <c r="AB24" s="93" t="s">
        <v>158</v>
      </c>
      <c r="AP24" s="115" t="s">
        <v>278</v>
      </c>
      <c r="AR24" s="111" t="s">
        <v>91</v>
      </c>
    </row>
    <row r="25" spans="1:48" x14ac:dyDescent="0.15">
      <c r="A25" s="93" t="s">
        <v>51</v>
      </c>
      <c r="B25" s="93" t="s">
        <v>157</v>
      </c>
      <c r="C25" s="93">
        <v>2019</v>
      </c>
      <c r="D25" s="101" t="s">
        <v>261</v>
      </c>
      <c r="E25" s="93" t="s">
        <v>270</v>
      </c>
      <c r="F25" s="93" t="s">
        <v>271</v>
      </c>
      <c r="G25" s="93" t="s">
        <v>36</v>
      </c>
      <c r="H25" s="93" t="s">
        <v>160</v>
      </c>
      <c r="I25" s="93" t="s">
        <v>159</v>
      </c>
      <c r="J25" s="93" t="s">
        <v>38</v>
      </c>
      <c r="K25" s="93" t="s">
        <v>161</v>
      </c>
      <c r="L25" s="93">
        <v>3</v>
      </c>
      <c r="N25" s="93">
        <v>1</v>
      </c>
      <c r="O25" s="93">
        <v>0.6</v>
      </c>
      <c r="P25" s="93">
        <v>0.55000000000000004</v>
      </c>
      <c r="Q25" s="102">
        <f t="shared" si="0"/>
        <v>0.57499999999999996</v>
      </c>
      <c r="R25" s="93">
        <v>17.7</v>
      </c>
      <c r="S25" s="93">
        <v>136</v>
      </c>
      <c r="T25" s="103">
        <f t="shared" si="1"/>
        <v>25</v>
      </c>
      <c r="U25" s="93">
        <v>128</v>
      </c>
      <c r="V25" s="104">
        <f t="shared" si="2"/>
        <v>3200</v>
      </c>
      <c r="W25" s="93">
        <v>10</v>
      </c>
      <c r="X25" s="93" t="s">
        <v>46</v>
      </c>
      <c r="Y25" s="93" t="s">
        <v>97</v>
      </c>
      <c r="Z25" s="93" t="s">
        <v>69</v>
      </c>
      <c r="AA25" s="93" t="s">
        <v>78</v>
      </c>
      <c r="AB25" s="93" t="s">
        <v>158</v>
      </c>
      <c r="AP25" s="115" t="s">
        <v>279</v>
      </c>
      <c r="AR25" s="115" t="s">
        <v>51</v>
      </c>
    </row>
    <row r="26" spans="1:48" x14ac:dyDescent="0.15">
      <c r="A26" s="93" t="s">
        <v>51</v>
      </c>
      <c r="B26" s="93" t="s">
        <v>157</v>
      </c>
      <c r="C26" s="93">
        <v>2019</v>
      </c>
      <c r="D26" s="101" t="s">
        <v>261</v>
      </c>
      <c r="E26" s="93" t="s">
        <v>210</v>
      </c>
      <c r="F26" s="93" t="s">
        <v>264</v>
      </c>
      <c r="G26" s="93" t="s">
        <v>42</v>
      </c>
      <c r="H26" s="93" t="s">
        <v>164</v>
      </c>
      <c r="I26" s="93" t="s">
        <v>159</v>
      </c>
      <c r="J26" s="93" t="s">
        <v>38</v>
      </c>
      <c r="K26" s="93" t="s">
        <v>161</v>
      </c>
      <c r="L26" s="93">
        <v>1</v>
      </c>
      <c r="N26" s="93">
        <v>1</v>
      </c>
      <c r="O26" s="93">
        <v>0.65</v>
      </c>
      <c r="P26" s="93">
        <v>0.65</v>
      </c>
      <c r="Q26" s="102">
        <f t="shared" si="0"/>
        <v>0.65</v>
      </c>
      <c r="R26" s="93">
        <v>18.100000000000001</v>
      </c>
      <c r="S26" s="93">
        <v>108</v>
      </c>
      <c r="T26" s="103">
        <f t="shared" si="1"/>
        <v>33</v>
      </c>
      <c r="U26" s="93">
        <v>97</v>
      </c>
      <c r="V26" s="104">
        <f t="shared" si="2"/>
        <v>3201</v>
      </c>
      <c r="W26" s="93">
        <v>5</v>
      </c>
      <c r="X26" s="93" t="s">
        <v>46</v>
      </c>
      <c r="Y26" s="93" t="s">
        <v>97</v>
      </c>
      <c r="Z26" s="93" t="s">
        <v>88</v>
      </c>
      <c r="AA26" s="93" t="s">
        <v>69</v>
      </c>
      <c r="AB26" s="93" t="s">
        <v>158</v>
      </c>
      <c r="AP26" s="115" t="s">
        <v>229</v>
      </c>
      <c r="AR26" s="93" t="s">
        <v>230</v>
      </c>
    </row>
    <row r="27" spans="1:48" x14ac:dyDescent="0.15">
      <c r="A27" s="93" t="s">
        <v>51</v>
      </c>
      <c r="B27" s="93" t="s">
        <v>157</v>
      </c>
      <c r="C27" s="93">
        <v>2019</v>
      </c>
      <c r="D27" s="101" t="s">
        <v>261</v>
      </c>
      <c r="E27" s="93" t="s">
        <v>210</v>
      </c>
      <c r="F27" s="93" t="s">
        <v>264</v>
      </c>
      <c r="G27" s="93" t="s">
        <v>42</v>
      </c>
      <c r="H27" s="93" t="s">
        <v>164</v>
      </c>
      <c r="I27" s="93" t="s">
        <v>159</v>
      </c>
      <c r="J27" s="93" t="s">
        <v>38</v>
      </c>
      <c r="K27" s="93" t="s">
        <v>161</v>
      </c>
      <c r="L27" s="93">
        <v>2</v>
      </c>
      <c r="N27" s="93">
        <v>1</v>
      </c>
      <c r="O27" s="93">
        <v>0.7</v>
      </c>
      <c r="P27" s="93">
        <v>0.6</v>
      </c>
      <c r="Q27" s="102">
        <f t="shared" si="0"/>
        <v>0.64999999999999991</v>
      </c>
      <c r="R27" s="93">
        <v>17.5</v>
      </c>
      <c r="S27" s="93">
        <v>114</v>
      </c>
      <c r="T27" s="103">
        <f t="shared" si="1"/>
        <v>30</v>
      </c>
      <c r="U27" s="93">
        <v>97</v>
      </c>
      <c r="V27" s="104">
        <f t="shared" si="2"/>
        <v>2910</v>
      </c>
      <c r="W27" s="93">
        <v>5</v>
      </c>
      <c r="X27" s="93" t="s">
        <v>46</v>
      </c>
      <c r="Y27" s="93" t="s">
        <v>97</v>
      </c>
      <c r="Z27" s="93" t="s">
        <v>88</v>
      </c>
      <c r="AA27" s="93" t="s">
        <v>69</v>
      </c>
      <c r="AB27" s="93" t="s">
        <v>158</v>
      </c>
      <c r="AP27" s="115" t="s">
        <v>231</v>
      </c>
    </row>
    <row r="28" spans="1:48" x14ac:dyDescent="0.15">
      <c r="A28" s="93" t="s">
        <v>51</v>
      </c>
      <c r="B28" s="93" t="s">
        <v>157</v>
      </c>
      <c r="C28" s="93">
        <v>2019</v>
      </c>
      <c r="D28" s="101" t="s">
        <v>261</v>
      </c>
      <c r="E28" s="93" t="s">
        <v>210</v>
      </c>
      <c r="F28" s="93" t="s">
        <v>264</v>
      </c>
      <c r="G28" s="93" t="s">
        <v>42</v>
      </c>
      <c r="H28" s="93" t="s">
        <v>164</v>
      </c>
      <c r="I28" s="93" t="s">
        <v>159</v>
      </c>
      <c r="J28" s="93" t="s">
        <v>38</v>
      </c>
      <c r="K28" s="93" t="s">
        <v>161</v>
      </c>
      <c r="L28" s="93">
        <v>3</v>
      </c>
      <c r="N28" s="93">
        <v>1</v>
      </c>
      <c r="O28" s="93">
        <v>0.7</v>
      </c>
      <c r="P28" s="93">
        <v>0.7</v>
      </c>
      <c r="Q28" s="102">
        <f t="shared" si="0"/>
        <v>0.7</v>
      </c>
      <c r="R28" s="93">
        <v>16.899999999999999</v>
      </c>
      <c r="S28" s="93">
        <v>110</v>
      </c>
      <c r="T28" s="103">
        <f t="shared" si="1"/>
        <v>33</v>
      </c>
      <c r="U28" s="93">
        <v>97</v>
      </c>
      <c r="V28" s="104">
        <f t="shared" si="2"/>
        <v>3201</v>
      </c>
      <c r="W28" s="93">
        <v>5</v>
      </c>
      <c r="X28" s="93" t="s">
        <v>46</v>
      </c>
      <c r="Y28" s="93" t="s">
        <v>97</v>
      </c>
      <c r="Z28" s="93" t="s">
        <v>88</v>
      </c>
      <c r="AA28" s="93" t="s">
        <v>69</v>
      </c>
      <c r="AB28" s="93" t="s">
        <v>158</v>
      </c>
    </row>
    <row r="29" spans="1:48" x14ac:dyDescent="0.15">
      <c r="A29" s="93" t="s">
        <v>51</v>
      </c>
      <c r="B29" s="93" t="s">
        <v>157</v>
      </c>
      <c r="C29" s="93">
        <v>2019</v>
      </c>
      <c r="D29" s="101" t="s">
        <v>261</v>
      </c>
      <c r="E29" s="93" t="s">
        <v>210</v>
      </c>
      <c r="F29" s="93" t="s">
        <v>264</v>
      </c>
      <c r="G29" s="93" t="s">
        <v>42</v>
      </c>
      <c r="H29" s="93" t="s">
        <v>160</v>
      </c>
      <c r="I29" s="93" t="s">
        <v>159</v>
      </c>
      <c r="J29" s="93" t="s">
        <v>38</v>
      </c>
      <c r="K29" s="93" t="s">
        <v>161</v>
      </c>
      <c r="L29" s="93">
        <v>1</v>
      </c>
      <c r="N29" s="93">
        <v>1</v>
      </c>
      <c r="O29" s="93">
        <v>0.75</v>
      </c>
      <c r="P29" s="93">
        <v>0.75</v>
      </c>
      <c r="Q29" s="102">
        <f t="shared" si="0"/>
        <v>0.75</v>
      </c>
      <c r="R29" s="93">
        <v>17.899999999999999</v>
      </c>
      <c r="S29" s="93">
        <v>138</v>
      </c>
      <c r="T29" s="103">
        <f t="shared" si="1"/>
        <v>22</v>
      </c>
      <c r="U29" s="93">
        <v>97</v>
      </c>
      <c r="V29" s="104">
        <f t="shared" si="2"/>
        <v>2134</v>
      </c>
      <c r="W29" s="93">
        <v>5</v>
      </c>
      <c r="X29" s="93" t="s">
        <v>46</v>
      </c>
      <c r="Y29" s="93" t="s">
        <v>97</v>
      </c>
      <c r="Z29" s="93" t="s">
        <v>88</v>
      </c>
      <c r="AA29" s="93" t="s">
        <v>69</v>
      </c>
      <c r="AB29" s="93" t="s">
        <v>158</v>
      </c>
    </row>
    <row r="30" spans="1:48" x14ac:dyDescent="0.15">
      <c r="A30" s="93" t="s">
        <v>51</v>
      </c>
      <c r="B30" s="93" t="s">
        <v>157</v>
      </c>
      <c r="C30" s="93">
        <v>2019</v>
      </c>
      <c r="D30" s="101" t="s">
        <v>261</v>
      </c>
      <c r="E30" s="93" t="s">
        <v>210</v>
      </c>
      <c r="F30" s="93" t="s">
        <v>264</v>
      </c>
      <c r="G30" s="93" t="s">
        <v>42</v>
      </c>
      <c r="H30" s="93" t="s">
        <v>160</v>
      </c>
      <c r="I30" s="93" t="s">
        <v>159</v>
      </c>
      <c r="J30" s="93" t="s">
        <v>38</v>
      </c>
      <c r="K30" s="93" t="s">
        <v>161</v>
      </c>
      <c r="L30" s="93">
        <v>2</v>
      </c>
      <c r="N30" s="93">
        <v>1</v>
      </c>
      <c r="O30" s="93">
        <v>0.65</v>
      </c>
      <c r="P30" s="93">
        <v>0.65</v>
      </c>
      <c r="Q30" s="102">
        <f t="shared" si="0"/>
        <v>0.65</v>
      </c>
      <c r="R30" s="93">
        <v>18.3</v>
      </c>
      <c r="S30" s="93">
        <v>136</v>
      </c>
      <c r="T30" s="103">
        <f t="shared" si="1"/>
        <v>25</v>
      </c>
      <c r="U30" s="93">
        <v>97</v>
      </c>
      <c r="V30" s="104">
        <f t="shared" si="2"/>
        <v>2425</v>
      </c>
      <c r="W30" s="93">
        <v>5</v>
      </c>
      <c r="X30" s="93" t="s">
        <v>46</v>
      </c>
      <c r="Y30" s="93" t="s">
        <v>97</v>
      </c>
      <c r="Z30" s="93" t="s">
        <v>88</v>
      </c>
      <c r="AA30" s="93" t="s">
        <v>69</v>
      </c>
      <c r="AB30" s="93" t="s">
        <v>158</v>
      </c>
    </row>
    <row r="31" spans="1:48" x14ac:dyDescent="0.15">
      <c r="A31" s="93" t="s">
        <v>51</v>
      </c>
      <c r="B31" s="93" t="s">
        <v>157</v>
      </c>
      <c r="C31" s="93">
        <v>2019</v>
      </c>
      <c r="D31" s="101" t="s">
        <v>261</v>
      </c>
      <c r="E31" s="93" t="s">
        <v>210</v>
      </c>
      <c r="F31" s="93" t="s">
        <v>264</v>
      </c>
      <c r="G31" s="93" t="s">
        <v>42</v>
      </c>
      <c r="H31" s="93" t="s">
        <v>160</v>
      </c>
      <c r="I31" s="93" t="s">
        <v>159</v>
      </c>
      <c r="J31" s="93" t="s">
        <v>38</v>
      </c>
      <c r="K31" s="93" t="s">
        <v>161</v>
      </c>
      <c r="L31" s="93">
        <v>3</v>
      </c>
      <c r="N31" s="93">
        <v>1</v>
      </c>
      <c r="O31" s="93">
        <v>0.6</v>
      </c>
      <c r="P31" s="93">
        <v>0.7</v>
      </c>
      <c r="Q31" s="102">
        <f t="shared" si="0"/>
        <v>0.64999999999999991</v>
      </c>
      <c r="R31" s="93">
        <v>17.399999999999999</v>
      </c>
      <c r="S31" s="93">
        <v>130</v>
      </c>
      <c r="T31" s="103">
        <f t="shared" si="1"/>
        <v>25</v>
      </c>
      <c r="U31" s="93">
        <v>97</v>
      </c>
      <c r="V31" s="104">
        <f t="shared" si="2"/>
        <v>2425</v>
      </c>
      <c r="W31" s="93">
        <v>5</v>
      </c>
      <c r="X31" s="93" t="s">
        <v>46</v>
      </c>
      <c r="Y31" s="93" t="s">
        <v>97</v>
      </c>
      <c r="Z31" s="93" t="s">
        <v>88</v>
      </c>
      <c r="AA31" s="93" t="s">
        <v>69</v>
      </c>
      <c r="AB31" s="93" t="s">
        <v>158</v>
      </c>
    </row>
    <row r="32" spans="1:48" x14ac:dyDescent="0.15">
      <c r="A32" s="93" t="s">
        <v>51</v>
      </c>
      <c r="B32" s="93" t="s">
        <v>157</v>
      </c>
      <c r="C32" s="93">
        <v>2019</v>
      </c>
      <c r="D32" s="101" t="s">
        <v>261</v>
      </c>
      <c r="E32" s="93" t="s">
        <v>272</v>
      </c>
      <c r="F32" s="93" t="s">
        <v>264</v>
      </c>
      <c r="G32" s="93" t="s">
        <v>42</v>
      </c>
      <c r="H32" s="93" t="s">
        <v>164</v>
      </c>
      <c r="I32" s="93" t="s">
        <v>159</v>
      </c>
      <c r="J32" s="93" t="s">
        <v>38</v>
      </c>
      <c r="K32" s="93" t="s">
        <v>161</v>
      </c>
      <c r="L32" s="93">
        <v>1</v>
      </c>
      <c r="N32" s="93">
        <v>4</v>
      </c>
      <c r="O32" s="93">
        <v>0.8</v>
      </c>
      <c r="P32" s="93">
        <v>0.8</v>
      </c>
      <c r="Q32" s="102">
        <f t="shared" si="0"/>
        <v>0.8</v>
      </c>
      <c r="R32" s="93">
        <v>16.899999999999999</v>
      </c>
      <c r="S32" s="93">
        <v>144</v>
      </c>
      <c r="T32" s="103">
        <f t="shared" si="1"/>
        <v>22</v>
      </c>
      <c r="U32" s="93">
        <v>498</v>
      </c>
      <c r="V32" s="104">
        <f t="shared" si="2"/>
        <v>2739</v>
      </c>
      <c r="W32" s="93">
        <v>7</v>
      </c>
      <c r="X32" s="93" t="s">
        <v>39</v>
      </c>
      <c r="Y32" s="93" t="s">
        <v>88</v>
      </c>
      <c r="Z32" s="93" t="s">
        <v>97</v>
      </c>
      <c r="AA32" s="93" t="s">
        <v>102</v>
      </c>
      <c r="AB32" s="93" t="s">
        <v>158</v>
      </c>
    </row>
    <row r="33" spans="1:28" x14ac:dyDescent="0.15">
      <c r="A33" s="93" t="s">
        <v>51</v>
      </c>
      <c r="B33" s="93" t="s">
        <v>157</v>
      </c>
      <c r="C33" s="93">
        <v>2019</v>
      </c>
      <c r="D33" s="101" t="s">
        <v>261</v>
      </c>
      <c r="E33" s="93" t="s">
        <v>272</v>
      </c>
      <c r="F33" s="93" t="s">
        <v>264</v>
      </c>
      <c r="G33" s="93" t="s">
        <v>42</v>
      </c>
      <c r="H33" s="93" t="s">
        <v>164</v>
      </c>
      <c r="I33" s="93" t="s">
        <v>159</v>
      </c>
      <c r="J33" s="93" t="s">
        <v>38</v>
      </c>
      <c r="K33" s="93" t="s">
        <v>161</v>
      </c>
      <c r="L33" s="93">
        <v>2</v>
      </c>
      <c r="N33" s="93">
        <v>4</v>
      </c>
      <c r="O33" s="93">
        <v>0.85</v>
      </c>
      <c r="P33" s="93">
        <v>0.85</v>
      </c>
      <c r="Q33" s="102">
        <f t="shared" si="0"/>
        <v>0.85</v>
      </c>
      <c r="R33" s="93">
        <v>16.5</v>
      </c>
      <c r="S33" s="93">
        <v>140</v>
      </c>
      <c r="T33" s="103">
        <f t="shared" si="1"/>
        <v>22</v>
      </c>
      <c r="U33" s="93">
        <v>498</v>
      </c>
      <c r="V33" s="104">
        <f t="shared" si="2"/>
        <v>2739</v>
      </c>
      <c r="W33" s="93">
        <v>7</v>
      </c>
      <c r="X33" s="93" t="s">
        <v>39</v>
      </c>
      <c r="Y33" s="93" t="s">
        <v>88</v>
      </c>
      <c r="Z33" s="93" t="s">
        <v>97</v>
      </c>
      <c r="AA33" s="93" t="s">
        <v>102</v>
      </c>
      <c r="AB33" s="93" t="s">
        <v>158</v>
      </c>
    </row>
    <row r="34" spans="1:28" x14ac:dyDescent="0.15">
      <c r="A34" s="93" t="s">
        <v>51</v>
      </c>
      <c r="B34" s="93" t="s">
        <v>157</v>
      </c>
      <c r="C34" s="93">
        <v>2019</v>
      </c>
      <c r="D34" s="101" t="s">
        <v>261</v>
      </c>
      <c r="E34" s="93" t="s">
        <v>272</v>
      </c>
      <c r="F34" s="93" t="s">
        <v>264</v>
      </c>
      <c r="G34" s="93" t="s">
        <v>42</v>
      </c>
      <c r="H34" s="93" t="s">
        <v>164</v>
      </c>
      <c r="I34" s="93" t="s">
        <v>159</v>
      </c>
      <c r="J34" s="93" t="s">
        <v>38</v>
      </c>
      <c r="K34" s="93" t="s">
        <v>161</v>
      </c>
      <c r="L34" s="93">
        <v>3</v>
      </c>
      <c r="N34" s="93">
        <v>4</v>
      </c>
      <c r="O34" s="93">
        <v>0.85</v>
      </c>
      <c r="P34" s="93">
        <v>0.9</v>
      </c>
      <c r="Q34" s="102">
        <f t="shared" si="0"/>
        <v>0.875</v>
      </c>
      <c r="R34" s="93">
        <v>16.8</v>
      </c>
      <c r="S34" s="93">
        <v>146</v>
      </c>
      <c r="T34" s="103">
        <f t="shared" si="1"/>
        <v>22</v>
      </c>
      <c r="U34" s="93">
        <v>498</v>
      </c>
      <c r="V34" s="104">
        <f t="shared" si="2"/>
        <v>2739</v>
      </c>
      <c r="W34" s="93">
        <v>7</v>
      </c>
      <c r="X34" s="93" t="s">
        <v>39</v>
      </c>
      <c r="Y34" s="93" t="s">
        <v>88</v>
      </c>
      <c r="Z34" s="93" t="s">
        <v>97</v>
      </c>
      <c r="AA34" s="93" t="s">
        <v>102</v>
      </c>
      <c r="AB34" s="93" t="s">
        <v>158</v>
      </c>
    </row>
    <row r="35" spans="1:28" x14ac:dyDescent="0.15">
      <c r="A35" s="93" t="s">
        <v>51</v>
      </c>
      <c r="B35" s="93" t="s">
        <v>157</v>
      </c>
      <c r="C35" s="93">
        <v>2019</v>
      </c>
      <c r="D35" s="101" t="s">
        <v>261</v>
      </c>
      <c r="E35" s="93" t="s">
        <v>272</v>
      </c>
      <c r="F35" s="93" t="s">
        <v>264</v>
      </c>
      <c r="G35" s="93" t="s">
        <v>42</v>
      </c>
      <c r="H35" s="93" t="s">
        <v>160</v>
      </c>
      <c r="I35" s="93" t="s">
        <v>159</v>
      </c>
      <c r="J35" s="93" t="s">
        <v>38</v>
      </c>
      <c r="K35" s="93" t="s">
        <v>161</v>
      </c>
      <c r="L35" s="93">
        <v>1</v>
      </c>
      <c r="N35" s="93">
        <v>4</v>
      </c>
      <c r="O35" s="93">
        <v>0.65</v>
      </c>
      <c r="P35" s="93">
        <v>0.65</v>
      </c>
      <c r="Q35" s="102">
        <f t="shared" si="0"/>
        <v>0.65</v>
      </c>
      <c r="R35" s="93">
        <v>16.899999999999999</v>
      </c>
      <c r="S35" s="93">
        <v>136</v>
      </c>
      <c r="T35" s="103">
        <f t="shared" si="1"/>
        <v>25</v>
      </c>
      <c r="U35" s="93">
        <v>580</v>
      </c>
      <c r="V35" s="104">
        <f t="shared" si="2"/>
        <v>3625</v>
      </c>
      <c r="W35" s="93">
        <v>7</v>
      </c>
      <c r="X35" s="93" t="s">
        <v>39</v>
      </c>
      <c r="Y35" s="93" t="s">
        <v>88</v>
      </c>
      <c r="Z35" s="93" t="s">
        <v>97</v>
      </c>
      <c r="AA35" s="93" t="s">
        <v>102</v>
      </c>
      <c r="AB35" s="93" t="s">
        <v>158</v>
      </c>
    </row>
    <row r="36" spans="1:28" x14ac:dyDescent="0.15">
      <c r="A36" s="93" t="s">
        <v>51</v>
      </c>
      <c r="B36" s="93" t="s">
        <v>157</v>
      </c>
      <c r="C36" s="93">
        <v>2019</v>
      </c>
      <c r="D36" s="101" t="s">
        <v>261</v>
      </c>
      <c r="E36" s="93" t="s">
        <v>272</v>
      </c>
      <c r="F36" s="93" t="s">
        <v>264</v>
      </c>
      <c r="G36" s="93" t="s">
        <v>42</v>
      </c>
      <c r="H36" s="93" t="s">
        <v>160</v>
      </c>
      <c r="I36" s="93" t="s">
        <v>159</v>
      </c>
      <c r="J36" s="93" t="s">
        <v>38</v>
      </c>
      <c r="K36" s="93" t="s">
        <v>161</v>
      </c>
      <c r="L36" s="93">
        <v>2</v>
      </c>
      <c r="N36" s="93">
        <v>4</v>
      </c>
      <c r="O36" s="93">
        <v>0.75</v>
      </c>
      <c r="P36" s="93">
        <v>0.6</v>
      </c>
      <c r="Q36" s="102">
        <f t="shared" si="0"/>
        <v>0.67500000000000004</v>
      </c>
      <c r="R36" s="93">
        <v>17.600000000000001</v>
      </c>
      <c r="S36" s="93">
        <v>142</v>
      </c>
      <c r="T36" s="103">
        <f t="shared" si="1"/>
        <v>22</v>
      </c>
      <c r="U36" s="93">
        <v>580</v>
      </c>
      <c r="V36" s="104">
        <f t="shared" si="2"/>
        <v>3190</v>
      </c>
      <c r="W36" s="93">
        <v>7</v>
      </c>
      <c r="X36" s="93" t="s">
        <v>39</v>
      </c>
      <c r="Y36" s="93" t="s">
        <v>88</v>
      </c>
      <c r="Z36" s="93" t="s">
        <v>97</v>
      </c>
      <c r="AA36" s="93" t="s">
        <v>102</v>
      </c>
      <c r="AB36" s="93" t="s">
        <v>158</v>
      </c>
    </row>
    <row r="37" spans="1:28" x14ac:dyDescent="0.15">
      <c r="A37" s="93" t="s">
        <v>51</v>
      </c>
      <c r="B37" s="93" t="s">
        <v>157</v>
      </c>
      <c r="C37" s="93">
        <v>2019</v>
      </c>
      <c r="D37" s="101" t="s">
        <v>261</v>
      </c>
      <c r="E37" s="93" t="s">
        <v>272</v>
      </c>
      <c r="F37" s="93" t="s">
        <v>264</v>
      </c>
      <c r="G37" s="93" t="s">
        <v>42</v>
      </c>
      <c r="H37" s="93" t="s">
        <v>160</v>
      </c>
      <c r="I37" s="93" t="s">
        <v>159</v>
      </c>
      <c r="J37" s="93" t="s">
        <v>38</v>
      </c>
      <c r="K37" s="93" t="s">
        <v>161</v>
      </c>
      <c r="L37" s="93">
        <v>3</v>
      </c>
      <c r="N37" s="93">
        <v>4</v>
      </c>
      <c r="O37" s="93">
        <v>0.7</v>
      </c>
      <c r="P37" s="93">
        <v>0.75</v>
      </c>
      <c r="Q37" s="102">
        <f t="shared" si="0"/>
        <v>0.72499999999999998</v>
      </c>
      <c r="R37" s="93">
        <v>17.399999999999999</v>
      </c>
      <c r="S37" s="93">
        <v>140</v>
      </c>
      <c r="T37" s="103">
        <f t="shared" si="1"/>
        <v>22</v>
      </c>
      <c r="U37" s="93">
        <v>580</v>
      </c>
      <c r="V37" s="104">
        <f t="shared" si="2"/>
        <v>3190</v>
      </c>
      <c r="W37" s="93">
        <v>7</v>
      </c>
      <c r="X37" s="93" t="s">
        <v>39</v>
      </c>
      <c r="Y37" s="93" t="s">
        <v>88</v>
      </c>
      <c r="Z37" s="93" t="s">
        <v>97</v>
      </c>
      <c r="AA37" s="93" t="s">
        <v>102</v>
      </c>
      <c r="AB37" s="93" t="s">
        <v>158</v>
      </c>
    </row>
    <row r="38" spans="1:28" x14ac:dyDescent="0.15">
      <c r="A38" s="93" t="s">
        <v>51</v>
      </c>
      <c r="B38" s="93" t="s">
        <v>157</v>
      </c>
      <c r="C38" s="93">
        <v>2019</v>
      </c>
      <c r="D38" s="101" t="s">
        <v>261</v>
      </c>
      <c r="E38" s="93" t="s">
        <v>267</v>
      </c>
      <c r="F38" s="93" t="s">
        <v>268</v>
      </c>
      <c r="G38" s="93" t="s">
        <v>42</v>
      </c>
      <c r="H38" s="93" t="s">
        <v>164</v>
      </c>
      <c r="I38" s="93" t="s">
        <v>159</v>
      </c>
      <c r="J38" s="93" t="s">
        <v>38</v>
      </c>
      <c r="K38" s="93" t="s">
        <v>161</v>
      </c>
      <c r="L38" s="93">
        <v>1</v>
      </c>
      <c r="N38" s="93">
        <v>4</v>
      </c>
      <c r="O38" s="93">
        <v>0.6</v>
      </c>
      <c r="P38" s="93">
        <v>0.65</v>
      </c>
      <c r="Q38" s="102">
        <f t="shared" si="0"/>
        <v>0.625</v>
      </c>
      <c r="R38" s="93">
        <v>16</v>
      </c>
      <c r="S38" s="93">
        <v>102</v>
      </c>
      <c r="T38" s="103">
        <f t="shared" si="1"/>
        <v>33</v>
      </c>
      <c r="U38" s="93">
        <v>398</v>
      </c>
      <c r="V38" s="104">
        <f t="shared" si="2"/>
        <v>3283.5</v>
      </c>
      <c r="W38" s="93">
        <v>4</v>
      </c>
      <c r="X38" s="93" t="s">
        <v>39</v>
      </c>
      <c r="Y38" s="93" t="s">
        <v>69</v>
      </c>
      <c r="Z38" s="93" t="s">
        <v>102</v>
      </c>
      <c r="AA38" s="93" t="s">
        <v>88</v>
      </c>
      <c r="AB38" s="93" t="s">
        <v>158</v>
      </c>
    </row>
    <row r="39" spans="1:28" x14ac:dyDescent="0.15">
      <c r="A39" s="93" t="s">
        <v>51</v>
      </c>
      <c r="B39" s="93" t="s">
        <v>157</v>
      </c>
      <c r="C39" s="93">
        <v>2019</v>
      </c>
      <c r="D39" s="101" t="s">
        <v>261</v>
      </c>
      <c r="E39" s="93" t="s">
        <v>267</v>
      </c>
      <c r="F39" s="93" t="s">
        <v>268</v>
      </c>
      <c r="G39" s="93" t="s">
        <v>42</v>
      </c>
      <c r="H39" s="93" t="s">
        <v>164</v>
      </c>
      <c r="I39" s="93" t="s">
        <v>159</v>
      </c>
      <c r="J39" s="93" t="s">
        <v>38</v>
      </c>
      <c r="K39" s="93" t="s">
        <v>161</v>
      </c>
      <c r="L39" s="93">
        <v>2</v>
      </c>
      <c r="N39" s="93">
        <v>4</v>
      </c>
      <c r="O39" s="93">
        <v>0.55000000000000004</v>
      </c>
      <c r="P39" s="93">
        <v>0.5</v>
      </c>
      <c r="Q39" s="102">
        <f t="shared" si="0"/>
        <v>0.52500000000000002</v>
      </c>
      <c r="R39" s="93">
        <v>15.9</v>
      </c>
      <c r="S39" s="93">
        <v>102</v>
      </c>
      <c r="T39" s="103">
        <f t="shared" si="1"/>
        <v>33</v>
      </c>
      <c r="U39" s="93">
        <v>398</v>
      </c>
      <c r="V39" s="104">
        <f t="shared" si="2"/>
        <v>3283.5</v>
      </c>
      <c r="W39" s="93">
        <v>4</v>
      </c>
      <c r="X39" s="93" t="s">
        <v>39</v>
      </c>
      <c r="Y39" s="93" t="s">
        <v>69</v>
      </c>
      <c r="Z39" s="93" t="s">
        <v>102</v>
      </c>
      <c r="AA39" s="93" t="s">
        <v>88</v>
      </c>
      <c r="AB39" s="93" t="s">
        <v>158</v>
      </c>
    </row>
    <row r="40" spans="1:28" x14ac:dyDescent="0.15">
      <c r="A40" s="93" t="s">
        <v>51</v>
      </c>
      <c r="B40" s="93" t="s">
        <v>157</v>
      </c>
      <c r="C40" s="93">
        <v>2019</v>
      </c>
      <c r="D40" s="101" t="s">
        <v>261</v>
      </c>
      <c r="E40" s="93" t="s">
        <v>267</v>
      </c>
      <c r="F40" s="93" t="s">
        <v>268</v>
      </c>
      <c r="G40" s="93" t="s">
        <v>42</v>
      </c>
      <c r="H40" s="93" t="s">
        <v>164</v>
      </c>
      <c r="I40" s="93" t="s">
        <v>159</v>
      </c>
      <c r="J40" s="93" t="s">
        <v>38</v>
      </c>
      <c r="K40" s="93" t="s">
        <v>161</v>
      </c>
      <c r="L40" s="93">
        <v>3</v>
      </c>
      <c r="N40" s="93">
        <v>4</v>
      </c>
      <c r="O40" s="93">
        <v>0.25</v>
      </c>
      <c r="P40" s="93">
        <v>0.5</v>
      </c>
      <c r="Q40" s="102">
        <f t="shared" si="0"/>
        <v>0.375</v>
      </c>
      <c r="R40" s="93">
        <v>15.6</v>
      </c>
      <c r="S40" s="93">
        <v>92</v>
      </c>
      <c r="T40" s="103">
        <f t="shared" si="1"/>
        <v>36</v>
      </c>
      <c r="U40" s="93">
        <v>398</v>
      </c>
      <c r="V40" s="104">
        <f t="shared" si="2"/>
        <v>3582</v>
      </c>
      <c r="W40" s="93">
        <v>4</v>
      </c>
      <c r="X40" s="93" t="s">
        <v>39</v>
      </c>
      <c r="Y40" s="93" t="s">
        <v>69</v>
      </c>
      <c r="Z40" s="93" t="s">
        <v>102</v>
      </c>
      <c r="AA40" s="93" t="s">
        <v>88</v>
      </c>
      <c r="AB40" s="93" t="s">
        <v>158</v>
      </c>
    </row>
    <row r="41" spans="1:28" x14ac:dyDescent="0.15">
      <c r="A41" s="93" t="s">
        <v>51</v>
      </c>
      <c r="B41" s="93" t="s">
        <v>157</v>
      </c>
      <c r="C41" s="93">
        <v>2019</v>
      </c>
      <c r="D41" s="101" t="s">
        <v>261</v>
      </c>
      <c r="E41" s="93" t="s">
        <v>267</v>
      </c>
      <c r="F41" s="93" t="s">
        <v>268</v>
      </c>
      <c r="G41" s="93" t="s">
        <v>42</v>
      </c>
      <c r="H41" s="93" t="s">
        <v>160</v>
      </c>
      <c r="I41" s="93" t="s">
        <v>159</v>
      </c>
      <c r="J41" s="93" t="s">
        <v>38</v>
      </c>
      <c r="K41" s="93" t="s">
        <v>161</v>
      </c>
      <c r="L41" s="93">
        <v>1</v>
      </c>
      <c r="N41" s="93">
        <v>4</v>
      </c>
      <c r="O41" s="93">
        <v>0.8</v>
      </c>
      <c r="P41" s="93">
        <v>0.8</v>
      </c>
      <c r="Q41" s="102">
        <f t="shared" si="0"/>
        <v>0.8</v>
      </c>
      <c r="R41" s="93">
        <v>15.3</v>
      </c>
      <c r="S41" s="93">
        <v>112</v>
      </c>
      <c r="T41" s="103">
        <f t="shared" si="1"/>
        <v>33</v>
      </c>
      <c r="U41" s="93">
        <v>498</v>
      </c>
      <c r="V41" s="104">
        <f t="shared" si="2"/>
        <v>4108.5</v>
      </c>
      <c r="W41" s="93">
        <v>4</v>
      </c>
      <c r="X41" s="93" t="s">
        <v>39</v>
      </c>
      <c r="Y41" s="93" t="s">
        <v>69</v>
      </c>
      <c r="Z41" s="93" t="s">
        <v>102</v>
      </c>
      <c r="AA41" s="93" t="s">
        <v>88</v>
      </c>
      <c r="AB41" s="93" t="s">
        <v>158</v>
      </c>
    </row>
    <row r="42" spans="1:28" x14ac:dyDescent="0.15">
      <c r="A42" s="93" t="s">
        <v>51</v>
      </c>
      <c r="B42" s="93" t="s">
        <v>157</v>
      </c>
      <c r="C42" s="93">
        <v>2019</v>
      </c>
      <c r="D42" s="101" t="s">
        <v>261</v>
      </c>
      <c r="E42" s="93" t="s">
        <v>267</v>
      </c>
      <c r="F42" s="93" t="s">
        <v>268</v>
      </c>
      <c r="G42" s="93" t="s">
        <v>42</v>
      </c>
      <c r="H42" s="93" t="s">
        <v>160</v>
      </c>
      <c r="I42" s="93" t="s">
        <v>159</v>
      </c>
      <c r="J42" s="93" t="s">
        <v>38</v>
      </c>
      <c r="K42" s="93" t="s">
        <v>161</v>
      </c>
      <c r="L42" s="93">
        <v>2</v>
      </c>
      <c r="N42" s="93">
        <v>4</v>
      </c>
      <c r="O42" s="93">
        <v>0.75</v>
      </c>
      <c r="P42" s="93">
        <v>0.8</v>
      </c>
      <c r="Q42" s="102">
        <f t="shared" si="0"/>
        <v>0.77500000000000002</v>
      </c>
      <c r="R42" s="93">
        <v>14.5</v>
      </c>
      <c r="S42" s="93">
        <v>108</v>
      </c>
      <c r="T42" s="103">
        <f t="shared" si="1"/>
        <v>33</v>
      </c>
      <c r="U42" s="93">
        <v>498</v>
      </c>
      <c r="V42" s="104">
        <f t="shared" si="2"/>
        <v>4108.5</v>
      </c>
      <c r="W42" s="93">
        <v>4</v>
      </c>
      <c r="X42" s="93" t="s">
        <v>39</v>
      </c>
      <c r="Y42" s="93" t="s">
        <v>69</v>
      </c>
      <c r="Z42" s="93" t="s">
        <v>102</v>
      </c>
      <c r="AA42" s="93" t="s">
        <v>88</v>
      </c>
      <c r="AB42" s="93" t="s">
        <v>158</v>
      </c>
    </row>
    <row r="43" spans="1:28" x14ac:dyDescent="0.15">
      <c r="A43" s="93" t="s">
        <v>51</v>
      </c>
      <c r="B43" s="93" t="s">
        <v>157</v>
      </c>
      <c r="C43" s="93">
        <v>2019</v>
      </c>
      <c r="D43" s="101" t="s">
        <v>261</v>
      </c>
      <c r="E43" s="93" t="s">
        <v>267</v>
      </c>
      <c r="F43" s="93" t="s">
        <v>268</v>
      </c>
      <c r="G43" s="93" t="s">
        <v>42</v>
      </c>
      <c r="H43" s="93" t="s">
        <v>160</v>
      </c>
      <c r="I43" s="93" t="s">
        <v>159</v>
      </c>
      <c r="J43" s="93" t="s">
        <v>38</v>
      </c>
      <c r="K43" s="93" t="s">
        <v>161</v>
      </c>
      <c r="L43" s="93">
        <v>3</v>
      </c>
      <c r="N43" s="93">
        <v>4</v>
      </c>
      <c r="O43" s="93">
        <v>0.7</v>
      </c>
      <c r="P43" s="93">
        <v>0.75</v>
      </c>
      <c r="Q43" s="102">
        <f t="shared" si="0"/>
        <v>0.72499999999999998</v>
      </c>
      <c r="R43" s="93">
        <v>15.1</v>
      </c>
      <c r="S43" s="93">
        <v>108</v>
      </c>
      <c r="T43" s="103">
        <f t="shared" si="1"/>
        <v>33</v>
      </c>
      <c r="U43" s="93">
        <v>498</v>
      </c>
      <c r="V43" s="104">
        <f t="shared" si="2"/>
        <v>4108.5</v>
      </c>
      <c r="W43" s="93">
        <v>4</v>
      </c>
      <c r="X43" s="93" t="s">
        <v>39</v>
      </c>
      <c r="Y43" s="93" t="s">
        <v>69</v>
      </c>
      <c r="Z43" s="93" t="s">
        <v>102</v>
      </c>
      <c r="AA43" s="93" t="s">
        <v>88</v>
      </c>
      <c r="AB43" s="93" t="s">
        <v>158</v>
      </c>
    </row>
    <row r="44" spans="1:28" x14ac:dyDescent="0.15">
      <c r="A44" s="93" t="s">
        <v>51</v>
      </c>
      <c r="B44" s="93" t="s">
        <v>157</v>
      </c>
      <c r="C44" s="93">
        <v>2019</v>
      </c>
      <c r="D44" s="101" t="s">
        <v>261</v>
      </c>
      <c r="E44" s="93" t="s">
        <v>269</v>
      </c>
      <c r="F44" s="93" t="s">
        <v>263</v>
      </c>
      <c r="G44" s="93" t="s">
        <v>36</v>
      </c>
      <c r="H44" s="93" t="s">
        <v>164</v>
      </c>
      <c r="I44" s="93" t="s">
        <v>159</v>
      </c>
      <c r="J44" s="93" t="s">
        <v>38</v>
      </c>
      <c r="K44" s="93" t="s">
        <v>161</v>
      </c>
      <c r="L44" s="93">
        <v>1</v>
      </c>
      <c r="N44" s="93">
        <v>1</v>
      </c>
      <c r="O44" s="93">
        <v>0.85</v>
      </c>
      <c r="P44" s="93">
        <v>0.85</v>
      </c>
      <c r="Q44" s="102">
        <f t="shared" si="0"/>
        <v>0.85</v>
      </c>
      <c r="R44" s="93">
        <v>14.9</v>
      </c>
      <c r="S44" s="93">
        <v>106</v>
      </c>
      <c r="T44" s="103">
        <f t="shared" si="1"/>
        <v>33</v>
      </c>
      <c r="U44" s="93">
        <v>100</v>
      </c>
      <c r="V44" s="104">
        <f t="shared" si="2"/>
        <v>3300</v>
      </c>
      <c r="W44" s="93">
        <v>3</v>
      </c>
      <c r="X44" s="93" t="s">
        <v>46</v>
      </c>
      <c r="Y44" s="93" t="s">
        <v>69</v>
      </c>
      <c r="Z44" s="93" t="s">
        <v>97</v>
      </c>
      <c r="AA44" s="93" t="s">
        <v>78</v>
      </c>
      <c r="AB44" s="93" t="s">
        <v>158</v>
      </c>
    </row>
    <row r="45" spans="1:28" x14ac:dyDescent="0.15">
      <c r="A45" s="93" t="s">
        <v>51</v>
      </c>
      <c r="B45" s="93" t="s">
        <v>157</v>
      </c>
      <c r="C45" s="93">
        <v>2019</v>
      </c>
      <c r="D45" s="101" t="s">
        <v>261</v>
      </c>
      <c r="E45" s="93" t="s">
        <v>269</v>
      </c>
      <c r="F45" s="93" t="s">
        <v>263</v>
      </c>
      <c r="G45" s="93" t="s">
        <v>36</v>
      </c>
      <c r="H45" s="93" t="s">
        <v>164</v>
      </c>
      <c r="I45" s="93" t="s">
        <v>159</v>
      </c>
      <c r="J45" s="93" t="s">
        <v>38</v>
      </c>
      <c r="K45" s="93" t="s">
        <v>161</v>
      </c>
      <c r="L45" s="93">
        <v>2</v>
      </c>
      <c r="N45" s="93">
        <v>1</v>
      </c>
      <c r="O45" s="93">
        <v>0.8</v>
      </c>
      <c r="P45" s="93">
        <v>0.85</v>
      </c>
      <c r="Q45" s="102">
        <f t="shared" si="0"/>
        <v>0.82499999999999996</v>
      </c>
      <c r="R45" s="93">
        <v>15.2</v>
      </c>
      <c r="S45" s="93">
        <v>108</v>
      </c>
      <c r="T45" s="103">
        <f t="shared" si="1"/>
        <v>33</v>
      </c>
      <c r="U45" s="93">
        <v>100</v>
      </c>
      <c r="V45" s="104">
        <f t="shared" si="2"/>
        <v>3300</v>
      </c>
      <c r="W45" s="93">
        <v>3</v>
      </c>
      <c r="X45" s="93" t="s">
        <v>46</v>
      </c>
      <c r="Y45" s="93" t="s">
        <v>69</v>
      </c>
      <c r="Z45" s="93" t="s">
        <v>97</v>
      </c>
      <c r="AA45" s="93" t="s">
        <v>78</v>
      </c>
      <c r="AB45" s="93" t="s">
        <v>158</v>
      </c>
    </row>
    <row r="46" spans="1:28" x14ac:dyDescent="0.15">
      <c r="A46" s="93" t="s">
        <v>51</v>
      </c>
      <c r="B46" s="93" t="s">
        <v>157</v>
      </c>
      <c r="C46" s="93">
        <v>2019</v>
      </c>
      <c r="D46" s="101" t="s">
        <v>261</v>
      </c>
      <c r="E46" s="93" t="s">
        <v>269</v>
      </c>
      <c r="F46" s="93" t="s">
        <v>263</v>
      </c>
      <c r="G46" s="93" t="s">
        <v>36</v>
      </c>
      <c r="H46" s="93" t="s">
        <v>164</v>
      </c>
      <c r="I46" s="93" t="s">
        <v>159</v>
      </c>
      <c r="J46" s="93" t="s">
        <v>38</v>
      </c>
      <c r="K46" s="93" t="s">
        <v>161</v>
      </c>
      <c r="L46" s="93">
        <v>3</v>
      </c>
      <c r="N46" s="93">
        <v>1</v>
      </c>
      <c r="O46" s="93">
        <v>0.75</v>
      </c>
      <c r="P46" s="93">
        <v>0.8</v>
      </c>
      <c r="Q46" s="102">
        <f t="shared" si="0"/>
        <v>0.77500000000000002</v>
      </c>
      <c r="R46" s="93">
        <v>15.4</v>
      </c>
      <c r="S46" s="93">
        <v>106</v>
      </c>
      <c r="T46" s="103">
        <f t="shared" si="1"/>
        <v>33</v>
      </c>
      <c r="U46" s="93">
        <v>100</v>
      </c>
      <c r="V46" s="104">
        <f t="shared" si="2"/>
        <v>3300</v>
      </c>
      <c r="W46" s="93">
        <v>3</v>
      </c>
      <c r="X46" s="93" t="s">
        <v>46</v>
      </c>
      <c r="Y46" s="93" t="s">
        <v>69</v>
      </c>
      <c r="Z46" s="93" t="s">
        <v>97</v>
      </c>
      <c r="AA46" s="93" t="s">
        <v>78</v>
      </c>
      <c r="AB46" s="93" t="s">
        <v>158</v>
      </c>
    </row>
    <row r="47" spans="1:28" x14ac:dyDescent="0.15">
      <c r="A47" s="93" t="s">
        <v>51</v>
      </c>
      <c r="B47" s="93" t="s">
        <v>157</v>
      </c>
      <c r="C47" s="93">
        <v>2019</v>
      </c>
      <c r="D47" s="101" t="s">
        <v>261</v>
      </c>
      <c r="E47" s="93" t="s">
        <v>269</v>
      </c>
      <c r="F47" s="93" t="s">
        <v>263</v>
      </c>
      <c r="G47" s="93" t="s">
        <v>36</v>
      </c>
      <c r="H47" s="93" t="s">
        <v>160</v>
      </c>
      <c r="I47" s="93" t="s">
        <v>159</v>
      </c>
      <c r="J47" s="93" t="s">
        <v>38</v>
      </c>
      <c r="K47" s="93" t="s">
        <v>161</v>
      </c>
      <c r="L47" s="93">
        <v>1</v>
      </c>
      <c r="N47" s="93">
        <v>1</v>
      </c>
      <c r="O47" s="93">
        <v>0.7</v>
      </c>
      <c r="P47" s="93">
        <v>0.75</v>
      </c>
      <c r="Q47" s="102">
        <f t="shared" si="0"/>
        <v>0.72499999999999998</v>
      </c>
      <c r="R47" s="93">
        <v>19.100000000000001</v>
      </c>
      <c r="S47" s="93">
        <v>108</v>
      </c>
      <c r="T47" s="103">
        <f t="shared" si="1"/>
        <v>33</v>
      </c>
      <c r="U47" s="93">
        <v>128</v>
      </c>
      <c r="V47" s="104">
        <f t="shared" si="2"/>
        <v>4224</v>
      </c>
      <c r="W47" s="93">
        <v>3</v>
      </c>
      <c r="X47" s="93" t="s">
        <v>46</v>
      </c>
      <c r="Y47" s="93" t="s">
        <v>69</v>
      </c>
      <c r="Z47" s="93" t="s">
        <v>97</v>
      </c>
      <c r="AA47" s="93" t="s">
        <v>78</v>
      </c>
      <c r="AB47" s="93" t="s">
        <v>158</v>
      </c>
    </row>
    <row r="48" spans="1:28" x14ac:dyDescent="0.15">
      <c r="A48" s="93" t="s">
        <v>51</v>
      </c>
      <c r="B48" s="93" t="s">
        <v>157</v>
      </c>
      <c r="C48" s="93">
        <v>2019</v>
      </c>
      <c r="D48" s="101" t="s">
        <v>261</v>
      </c>
      <c r="E48" s="93" t="s">
        <v>269</v>
      </c>
      <c r="F48" s="93" t="s">
        <v>263</v>
      </c>
      <c r="G48" s="93" t="s">
        <v>36</v>
      </c>
      <c r="H48" s="93" t="s">
        <v>160</v>
      </c>
      <c r="I48" s="93" t="s">
        <v>159</v>
      </c>
      <c r="J48" s="93" t="s">
        <v>38</v>
      </c>
      <c r="K48" s="93" t="s">
        <v>161</v>
      </c>
      <c r="L48" s="93">
        <v>2</v>
      </c>
      <c r="N48" s="93">
        <v>1</v>
      </c>
      <c r="O48" s="93">
        <v>0.75</v>
      </c>
      <c r="P48" s="93">
        <v>0.7</v>
      </c>
      <c r="Q48" s="102">
        <f t="shared" si="0"/>
        <v>0.72499999999999998</v>
      </c>
      <c r="R48" s="93">
        <v>19.7</v>
      </c>
      <c r="S48" s="93">
        <v>114</v>
      </c>
      <c r="T48" s="103">
        <f t="shared" si="1"/>
        <v>30</v>
      </c>
      <c r="U48" s="93">
        <v>128</v>
      </c>
      <c r="V48" s="104">
        <f t="shared" si="2"/>
        <v>3840</v>
      </c>
      <c r="W48" s="93">
        <v>3</v>
      </c>
      <c r="X48" s="93" t="s">
        <v>46</v>
      </c>
      <c r="Y48" s="93" t="s">
        <v>69</v>
      </c>
      <c r="Z48" s="93" t="s">
        <v>97</v>
      </c>
      <c r="AA48" s="93" t="s">
        <v>78</v>
      </c>
      <c r="AB48" s="93" t="s">
        <v>158</v>
      </c>
    </row>
    <row r="49" spans="1:28" x14ac:dyDescent="0.15">
      <c r="A49" s="93" t="s">
        <v>51</v>
      </c>
      <c r="B49" s="93" t="s">
        <v>157</v>
      </c>
      <c r="C49" s="93">
        <v>2019</v>
      </c>
      <c r="D49" s="101" t="s">
        <v>261</v>
      </c>
      <c r="E49" s="93" t="s">
        <v>269</v>
      </c>
      <c r="F49" s="93" t="s">
        <v>263</v>
      </c>
      <c r="G49" s="93" t="s">
        <v>36</v>
      </c>
      <c r="H49" s="93" t="s">
        <v>160</v>
      </c>
      <c r="I49" s="93" t="s">
        <v>159</v>
      </c>
      <c r="J49" s="93" t="s">
        <v>38</v>
      </c>
      <c r="K49" s="93" t="s">
        <v>161</v>
      </c>
      <c r="L49" s="93">
        <v>3</v>
      </c>
      <c r="N49" s="93">
        <v>1</v>
      </c>
      <c r="O49" s="93">
        <v>0.8</v>
      </c>
      <c r="P49" s="93">
        <v>0.8</v>
      </c>
      <c r="Q49" s="102">
        <f t="shared" si="0"/>
        <v>0.8</v>
      </c>
      <c r="R49" s="93">
        <v>18.3</v>
      </c>
      <c r="S49" s="93">
        <v>108</v>
      </c>
      <c r="T49" s="103">
        <f t="shared" si="1"/>
        <v>33</v>
      </c>
      <c r="U49" s="93">
        <v>128</v>
      </c>
      <c r="V49" s="104">
        <f t="shared" si="2"/>
        <v>4224</v>
      </c>
      <c r="W49" s="93">
        <v>3</v>
      </c>
      <c r="X49" s="93" t="s">
        <v>46</v>
      </c>
      <c r="Y49" s="93" t="s">
        <v>69</v>
      </c>
      <c r="Z49" s="93" t="s">
        <v>97</v>
      </c>
      <c r="AA49" s="93" t="s">
        <v>78</v>
      </c>
      <c r="AB49" s="93" t="s">
        <v>158</v>
      </c>
    </row>
    <row r="50" spans="1:28" x14ac:dyDescent="0.15">
      <c r="A50" s="93" t="s">
        <v>51</v>
      </c>
      <c r="B50" s="93" t="s">
        <v>157</v>
      </c>
      <c r="C50" s="93">
        <v>2019</v>
      </c>
      <c r="D50" s="101" t="s">
        <v>261</v>
      </c>
      <c r="E50" s="93" t="s">
        <v>273</v>
      </c>
      <c r="F50" s="93" t="s">
        <v>274</v>
      </c>
      <c r="G50" s="93" t="s">
        <v>36</v>
      </c>
      <c r="H50" s="93" t="s">
        <v>164</v>
      </c>
      <c r="I50" s="93" t="s">
        <v>159</v>
      </c>
      <c r="J50" s="93" t="s">
        <v>38</v>
      </c>
      <c r="K50" s="93" t="s">
        <v>161</v>
      </c>
      <c r="L50" s="93">
        <v>1</v>
      </c>
      <c r="N50" s="93">
        <v>1</v>
      </c>
      <c r="O50" s="93">
        <v>0.7</v>
      </c>
      <c r="P50" s="93">
        <v>0.7</v>
      </c>
      <c r="Q50" s="102">
        <f t="shared" si="0"/>
        <v>0.7</v>
      </c>
      <c r="R50" s="93">
        <v>16.2</v>
      </c>
      <c r="S50" s="93">
        <v>138</v>
      </c>
      <c r="T50" s="103">
        <f t="shared" si="1"/>
        <v>22</v>
      </c>
      <c r="U50" s="93">
        <v>98</v>
      </c>
      <c r="V50" s="104">
        <f t="shared" si="2"/>
        <v>2156</v>
      </c>
      <c r="W50" s="93">
        <v>6</v>
      </c>
      <c r="X50" s="93" t="s">
        <v>46</v>
      </c>
      <c r="Y50" s="93" t="s">
        <v>69</v>
      </c>
      <c r="Z50" s="93" t="s">
        <v>97</v>
      </c>
      <c r="AA50" s="93" t="s">
        <v>102</v>
      </c>
      <c r="AB50" s="93" t="s">
        <v>158</v>
      </c>
    </row>
    <row r="51" spans="1:28" x14ac:dyDescent="0.15">
      <c r="A51" s="93" t="s">
        <v>51</v>
      </c>
      <c r="B51" s="93" t="s">
        <v>157</v>
      </c>
      <c r="C51" s="93">
        <v>2019</v>
      </c>
      <c r="D51" s="101" t="s">
        <v>261</v>
      </c>
      <c r="E51" s="93" t="s">
        <v>273</v>
      </c>
      <c r="F51" s="93" t="s">
        <v>274</v>
      </c>
      <c r="G51" s="93" t="s">
        <v>36</v>
      </c>
      <c r="H51" s="93" t="s">
        <v>164</v>
      </c>
      <c r="I51" s="93" t="s">
        <v>159</v>
      </c>
      <c r="J51" s="93" t="s">
        <v>38</v>
      </c>
      <c r="K51" s="93" t="s">
        <v>161</v>
      </c>
      <c r="L51" s="93">
        <v>2</v>
      </c>
      <c r="N51" s="93">
        <v>1</v>
      </c>
      <c r="O51" s="93">
        <v>0.65</v>
      </c>
      <c r="P51" s="93">
        <v>0.6</v>
      </c>
      <c r="Q51" s="102">
        <f t="shared" si="0"/>
        <v>0.625</v>
      </c>
      <c r="R51" s="93">
        <v>17.5</v>
      </c>
      <c r="S51" s="93">
        <v>140</v>
      </c>
      <c r="T51" s="103">
        <f t="shared" si="1"/>
        <v>22</v>
      </c>
      <c r="U51" s="93">
        <v>98</v>
      </c>
      <c r="V51" s="104">
        <f t="shared" si="2"/>
        <v>2156</v>
      </c>
      <c r="W51" s="93">
        <v>6</v>
      </c>
      <c r="X51" s="93" t="s">
        <v>46</v>
      </c>
      <c r="Y51" s="93" t="s">
        <v>69</v>
      </c>
      <c r="Z51" s="93" t="s">
        <v>97</v>
      </c>
      <c r="AA51" s="93" t="s">
        <v>102</v>
      </c>
      <c r="AB51" s="93" t="s">
        <v>158</v>
      </c>
    </row>
    <row r="52" spans="1:28" x14ac:dyDescent="0.15">
      <c r="A52" s="93" t="s">
        <v>51</v>
      </c>
      <c r="B52" s="93" t="s">
        <v>157</v>
      </c>
      <c r="C52" s="93">
        <v>2019</v>
      </c>
      <c r="D52" s="101" t="s">
        <v>261</v>
      </c>
      <c r="E52" s="93" t="s">
        <v>273</v>
      </c>
      <c r="F52" s="93" t="s">
        <v>274</v>
      </c>
      <c r="G52" s="93" t="s">
        <v>36</v>
      </c>
      <c r="H52" s="93" t="s">
        <v>164</v>
      </c>
      <c r="I52" s="93" t="s">
        <v>159</v>
      </c>
      <c r="J52" s="93" t="s">
        <v>38</v>
      </c>
      <c r="K52" s="93" t="s">
        <v>161</v>
      </c>
      <c r="L52" s="93">
        <v>3</v>
      </c>
      <c r="N52" s="93">
        <v>1</v>
      </c>
      <c r="O52" s="93">
        <v>0.7</v>
      </c>
      <c r="P52" s="93">
        <v>0.75</v>
      </c>
      <c r="Q52" s="102">
        <f t="shared" si="0"/>
        <v>0.72499999999999998</v>
      </c>
      <c r="R52" s="93">
        <v>16.600000000000001</v>
      </c>
      <c r="S52" s="93">
        <v>138</v>
      </c>
      <c r="T52" s="103">
        <f t="shared" si="1"/>
        <v>22</v>
      </c>
      <c r="U52" s="93">
        <v>98</v>
      </c>
      <c r="V52" s="104">
        <f t="shared" si="2"/>
        <v>2156</v>
      </c>
      <c r="W52" s="93">
        <v>6</v>
      </c>
      <c r="X52" s="93" t="s">
        <v>46</v>
      </c>
      <c r="Y52" s="93" t="s">
        <v>69</v>
      </c>
      <c r="Z52" s="93" t="s">
        <v>97</v>
      </c>
      <c r="AA52" s="93" t="s">
        <v>102</v>
      </c>
      <c r="AB52" s="93" t="s">
        <v>158</v>
      </c>
    </row>
    <row r="53" spans="1:28" x14ac:dyDescent="0.15">
      <c r="A53" s="93" t="s">
        <v>51</v>
      </c>
      <c r="B53" s="93" t="s">
        <v>157</v>
      </c>
      <c r="C53" s="93">
        <v>2019</v>
      </c>
      <c r="D53" s="101" t="s">
        <v>261</v>
      </c>
      <c r="E53" s="93" t="s">
        <v>273</v>
      </c>
      <c r="F53" s="93" t="s">
        <v>274</v>
      </c>
      <c r="G53" s="93" t="s">
        <v>36</v>
      </c>
      <c r="H53" s="93" t="s">
        <v>160</v>
      </c>
      <c r="I53" s="93" t="s">
        <v>159</v>
      </c>
      <c r="J53" s="93" t="s">
        <v>38</v>
      </c>
      <c r="K53" s="93" t="s">
        <v>161</v>
      </c>
      <c r="L53" s="93">
        <v>1</v>
      </c>
      <c r="N53" s="93">
        <v>1</v>
      </c>
      <c r="O53" s="93">
        <v>0.65</v>
      </c>
      <c r="P53" s="93">
        <v>0.65</v>
      </c>
      <c r="Q53" s="102">
        <f t="shared" si="0"/>
        <v>0.65</v>
      </c>
      <c r="R53" s="93">
        <v>18.3</v>
      </c>
      <c r="S53" s="93">
        <v>138</v>
      </c>
      <c r="T53" s="103">
        <f t="shared" si="1"/>
        <v>22</v>
      </c>
      <c r="U53" s="93">
        <v>98</v>
      </c>
      <c r="V53" s="104">
        <f t="shared" si="2"/>
        <v>2156</v>
      </c>
      <c r="W53" s="93">
        <v>6</v>
      </c>
      <c r="X53" s="93" t="s">
        <v>46</v>
      </c>
      <c r="Y53" s="93" t="s">
        <v>69</v>
      </c>
      <c r="Z53" s="93" t="s">
        <v>97</v>
      </c>
      <c r="AA53" s="93" t="s">
        <v>102</v>
      </c>
      <c r="AB53" s="93" t="s">
        <v>158</v>
      </c>
    </row>
    <row r="54" spans="1:28" x14ac:dyDescent="0.15">
      <c r="A54" s="93" t="s">
        <v>51</v>
      </c>
      <c r="B54" s="93" t="s">
        <v>157</v>
      </c>
      <c r="C54" s="93">
        <v>2019</v>
      </c>
      <c r="D54" s="101" t="s">
        <v>261</v>
      </c>
      <c r="E54" s="93" t="s">
        <v>273</v>
      </c>
      <c r="F54" s="93" t="s">
        <v>274</v>
      </c>
      <c r="G54" s="93" t="s">
        <v>36</v>
      </c>
      <c r="H54" s="93" t="s">
        <v>160</v>
      </c>
      <c r="I54" s="93" t="s">
        <v>159</v>
      </c>
      <c r="J54" s="93" t="s">
        <v>38</v>
      </c>
      <c r="K54" s="93" t="s">
        <v>161</v>
      </c>
      <c r="L54" s="93">
        <v>2</v>
      </c>
      <c r="N54" s="93">
        <v>1</v>
      </c>
      <c r="O54" s="93">
        <v>0.65</v>
      </c>
      <c r="P54" s="93">
        <v>0.7</v>
      </c>
      <c r="Q54" s="102">
        <f t="shared" si="0"/>
        <v>0.67500000000000004</v>
      </c>
      <c r="R54" s="93">
        <v>17.7</v>
      </c>
      <c r="S54" s="93">
        <v>136</v>
      </c>
      <c r="T54" s="103">
        <f t="shared" si="1"/>
        <v>25</v>
      </c>
      <c r="U54" s="93">
        <v>98</v>
      </c>
      <c r="V54" s="104">
        <f t="shared" si="2"/>
        <v>2450</v>
      </c>
      <c r="W54" s="93">
        <v>6</v>
      </c>
      <c r="X54" s="93" t="s">
        <v>46</v>
      </c>
      <c r="Y54" s="93" t="s">
        <v>69</v>
      </c>
      <c r="Z54" s="93" t="s">
        <v>97</v>
      </c>
      <c r="AA54" s="93" t="s">
        <v>102</v>
      </c>
      <c r="AB54" s="93" t="s">
        <v>158</v>
      </c>
    </row>
    <row r="55" spans="1:28" x14ac:dyDescent="0.15">
      <c r="A55" s="93" t="s">
        <v>51</v>
      </c>
      <c r="B55" s="93" t="s">
        <v>157</v>
      </c>
      <c r="C55" s="93">
        <v>2019</v>
      </c>
      <c r="D55" s="101" t="s">
        <v>261</v>
      </c>
      <c r="E55" s="93" t="s">
        <v>273</v>
      </c>
      <c r="F55" s="93" t="s">
        <v>274</v>
      </c>
      <c r="G55" s="93" t="s">
        <v>36</v>
      </c>
      <c r="H55" s="93" t="s">
        <v>160</v>
      </c>
      <c r="I55" s="93" t="s">
        <v>159</v>
      </c>
      <c r="J55" s="93" t="s">
        <v>38</v>
      </c>
      <c r="K55" s="93" t="s">
        <v>161</v>
      </c>
      <c r="L55" s="93">
        <v>3</v>
      </c>
      <c r="N55" s="93">
        <v>1</v>
      </c>
      <c r="O55" s="93">
        <v>0.7</v>
      </c>
      <c r="P55" s="93">
        <v>0.6</v>
      </c>
      <c r="Q55" s="102">
        <f t="shared" si="0"/>
        <v>0.64999999999999991</v>
      </c>
      <c r="R55" s="93">
        <v>18</v>
      </c>
      <c r="S55" s="93">
        <v>136</v>
      </c>
      <c r="T55" s="103">
        <f t="shared" si="1"/>
        <v>25</v>
      </c>
      <c r="U55" s="93">
        <v>98</v>
      </c>
      <c r="V55" s="104">
        <f t="shared" si="2"/>
        <v>2450</v>
      </c>
      <c r="W55" s="93">
        <v>6</v>
      </c>
      <c r="X55" s="93" t="s">
        <v>46</v>
      </c>
      <c r="Y55" s="93" t="s">
        <v>69</v>
      </c>
      <c r="Z55" s="93" t="s">
        <v>97</v>
      </c>
      <c r="AA55" s="93" t="s">
        <v>102</v>
      </c>
      <c r="AB55" s="93" t="s">
        <v>158</v>
      </c>
    </row>
    <row r="56" spans="1:28" x14ac:dyDescent="0.15">
      <c r="A56" s="93" t="s">
        <v>51</v>
      </c>
      <c r="B56" s="93" t="s">
        <v>157</v>
      </c>
      <c r="C56" s="93">
        <v>2019</v>
      </c>
      <c r="D56" s="101" t="s">
        <v>261</v>
      </c>
      <c r="E56" s="93" t="s">
        <v>275</v>
      </c>
      <c r="F56" s="93" t="s">
        <v>263</v>
      </c>
      <c r="G56" s="93" t="s">
        <v>42</v>
      </c>
      <c r="H56" s="93" t="s">
        <v>164</v>
      </c>
      <c r="I56" s="93" t="s">
        <v>159</v>
      </c>
      <c r="J56" s="93" t="s">
        <v>38</v>
      </c>
      <c r="K56" s="93" t="s">
        <v>161</v>
      </c>
      <c r="L56" s="93">
        <v>1</v>
      </c>
      <c r="N56" s="93">
        <v>1</v>
      </c>
      <c r="O56" s="93">
        <v>0.75</v>
      </c>
      <c r="P56" s="93">
        <v>0.85</v>
      </c>
      <c r="Q56" s="102">
        <f t="shared" si="0"/>
        <v>0.8</v>
      </c>
      <c r="R56" s="93">
        <v>17.2</v>
      </c>
      <c r="S56" s="93">
        <v>122</v>
      </c>
      <c r="T56" s="103">
        <f t="shared" si="1"/>
        <v>27</v>
      </c>
      <c r="U56" s="93">
        <v>98</v>
      </c>
      <c r="V56" s="104">
        <f t="shared" si="2"/>
        <v>2646</v>
      </c>
      <c r="W56" s="93">
        <v>2</v>
      </c>
      <c r="X56" s="93" t="s">
        <v>46</v>
      </c>
      <c r="Y56" s="93" t="s">
        <v>69</v>
      </c>
      <c r="Z56" s="93" t="s">
        <v>97</v>
      </c>
      <c r="AA56" s="93" t="s">
        <v>88</v>
      </c>
      <c r="AB56" s="93" t="s">
        <v>158</v>
      </c>
    </row>
    <row r="57" spans="1:28" x14ac:dyDescent="0.15">
      <c r="A57" s="93" t="s">
        <v>51</v>
      </c>
      <c r="B57" s="93" t="s">
        <v>157</v>
      </c>
      <c r="C57" s="93">
        <v>2019</v>
      </c>
      <c r="D57" s="101" t="s">
        <v>261</v>
      </c>
      <c r="E57" s="93" t="s">
        <v>275</v>
      </c>
      <c r="F57" s="93" t="s">
        <v>263</v>
      </c>
      <c r="G57" s="93" t="s">
        <v>42</v>
      </c>
      <c r="H57" s="93" t="s">
        <v>164</v>
      </c>
      <c r="I57" s="93" t="s">
        <v>159</v>
      </c>
      <c r="J57" s="93" t="s">
        <v>38</v>
      </c>
      <c r="K57" s="93" t="s">
        <v>161</v>
      </c>
      <c r="L57" s="93">
        <v>2</v>
      </c>
      <c r="N57" s="93">
        <v>1</v>
      </c>
      <c r="O57" s="93">
        <v>0.8</v>
      </c>
      <c r="P57" s="93">
        <v>0.8</v>
      </c>
      <c r="Q57" s="102">
        <f t="shared" si="0"/>
        <v>0.8</v>
      </c>
      <c r="R57" s="93">
        <v>16.899999999999999</v>
      </c>
      <c r="S57" s="93">
        <v>122</v>
      </c>
      <c r="T57" s="103">
        <f t="shared" si="1"/>
        <v>27</v>
      </c>
      <c r="U57" s="93">
        <v>98</v>
      </c>
      <c r="V57" s="104">
        <f t="shared" si="2"/>
        <v>2646</v>
      </c>
      <c r="W57" s="93">
        <v>2</v>
      </c>
      <c r="X57" s="93" t="s">
        <v>46</v>
      </c>
      <c r="Y57" s="93" t="s">
        <v>69</v>
      </c>
      <c r="Z57" s="93" t="s">
        <v>97</v>
      </c>
      <c r="AA57" s="93" t="s">
        <v>88</v>
      </c>
      <c r="AB57" s="93" t="s">
        <v>158</v>
      </c>
    </row>
    <row r="58" spans="1:28" x14ac:dyDescent="0.15">
      <c r="A58" s="93" t="s">
        <v>51</v>
      </c>
      <c r="B58" s="93" t="s">
        <v>157</v>
      </c>
      <c r="C58" s="93">
        <v>2019</v>
      </c>
      <c r="D58" s="101" t="s">
        <v>261</v>
      </c>
      <c r="E58" s="93" t="s">
        <v>275</v>
      </c>
      <c r="F58" s="93" t="s">
        <v>263</v>
      </c>
      <c r="G58" s="93" t="s">
        <v>42</v>
      </c>
      <c r="H58" s="93" t="s">
        <v>164</v>
      </c>
      <c r="I58" s="93" t="s">
        <v>159</v>
      </c>
      <c r="J58" s="93" t="s">
        <v>38</v>
      </c>
      <c r="K58" s="93" t="s">
        <v>161</v>
      </c>
      <c r="L58" s="93">
        <v>3</v>
      </c>
      <c r="N58" s="93">
        <v>1</v>
      </c>
      <c r="O58" s="93">
        <v>0.85</v>
      </c>
      <c r="P58" s="93">
        <v>0.85</v>
      </c>
      <c r="Q58" s="102">
        <f t="shared" si="0"/>
        <v>0.85</v>
      </c>
      <c r="R58" s="93">
        <v>16.600000000000001</v>
      </c>
      <c r="S58" s="93">
        <v>122</v>
      </c>
      <c r="T58" s="103">
        <f t="shared" si="1"/>
        <v>27</v>
      </c>
      <c r="U58" s="93">
        <v>98</v>
      </c>
      <c r="V58" s="104">
        <f t="shared" si="2"/>
        <v>2646</v>
      </c>
      <c r="W58" s="93">
        <v>2</v>
      </c>
      <c r="X58" s="93" t="s">
        <v>46</v>
      </c>
      <c r="Y58" s="93" t="s">
        <v>69</v>
      </c>
      <c r="Z58" s="93" t="s">
        <v>97</v>
      </c>
      <c r="AA58" s="93" t="s">
        <v>88</v>
      </c>
      <c r="AB58" s="93" t="s">
        <v>158</v>
      </c>
    </row>
    <row r="59" spans="1:28" x14ac:dyDescent="0.15">
      <c r="A59" s="93" t="s">
        <v>51</v>
      </c>
      <c r="B59" s="93" t="s">
        <v>157</v>
      </c>
      <c r="C59" s="93">
        <v>2019</v>
      </c>
      <c r="D59" s="101" t="s">
        <v>261</v>
      </c>
      <c r="E59" s="93" t="s">
        <v>275</v>
      </c>
      <c r="F59" s="93" t="s">
        <v>263</v>
      </c>
      <c r="G59" s="93" t="s">
        <v>42</v>
      </c>
      <c r="H59" s="93" t="s">
        <v>160</v>
      </c>
      <c r="I59" s="93" t="s">
        <v>159</v>
      </c>
      <c r="J59" s="93" t="s">
        <v>38</v>
      </c>
      <c r="K59" s="93" t="s">
        <v>161</v>
      </c>
      <c r="L59" s="93">
        <v>1</v>
      </c>
      <c r="N59" s="93">
        <v>1</v>
      </c>
      <c r="O59" s="93">
        <v>0.9</v>
      </c>
      <c r="P59" s="93">
        <v>0.9</v>
      </c>
      <c r="Q59" s="102">
        <f t="shared" si="0"/>
        <v>0.9</v>
      </c>
      <c r="R59" s="93">
        <v>15.2</v>
      </c>
      <c r="S59" s="93">
        <v>140</v>
      </c>
      <c r="T59" s="103">
        <f t="shared" si="1"/>
        <v>22</v>
      </c>
      <c r="U59" s="93">
        <v>138</v>
      </c>
      <c r="V59" s="104">
        <f t="shared" si="2"/>
        <v>3036</v>
      </c>
      <c r="W59" s="93">
        <v>2</v>
      </c>
      <c r="X59" s="93" t="s">
        <v>46</v>
      </c>
      <c r="Y59" s="93" t="s">
        <v>69</v>
      </c>
      <c r="Z59" s="93" t="s">
        <v>97</v>
      </c>
      <c r="AA59" s="93" t="s">
        <v>88</v>
      </c>
      <c r="AB59" s="93" t="s">
        <v>158</v>
      </c>
    </row>
    <row r="60" spans="1:28" x14ac:dyDescent="0.15">
      <c r="A60" s="93" t="s">
        <v>51</v>
      </c>
      <c r="B60" s="93" t="s">
        <v>157</v>
      </c>
      <c r="C60" s="93">
        <v>2019</v>
      </c>
      <c r="D60" s="101" t="s">
        <v>261</v>
      </c>
      <c r="E60" s="93" t="s">
        <v>275</v>
      </c>
      <c r="F60" s="93" t="s">
        <v>263</v>
      </c>
      <c r="G60" s="93" t="s">
        <v>42</v>
      </c>
      <c r="H60" s="93" t="s">
        <v>160</v>
      </c>
      <c r="I60" s="93" t="s">
        <v>159</v>
      </c>
      <c r="J60" s="93" t="s">
        <v>38</v>
      </c>
      <c r="K60" s="93" t="s">
        <v>161</v>
      </c>
      <c r="L60" s="93">
        <v>2</v>
      </c>
      <c r="N60" s="93">
        <v>1</v>
      </c>
      <c r="O60" s="93">
        <v>0.85</v>
      </c>
      <c r="P60" s="93">
        <v>0.8</v>
      </c>
      <c r="Q60" s="102">
        <f t="shared" si="0"/>
        <v>0.82499999999999996</v>
      </c>
      <c r="R60" s="93">
        <v>16.3</v>
      </c>
      <c r="S60" s="93">
        <v>150</v>
      </c>
      <c r="T60" s="103">
        <f t="shared" si="1"/>
        <v>22</v>
      </c>
      <c r="U60" s="93">
        <v>138</v>
      </c>
      <c r="V60" s="104">
        <f t="shared" si="2"/>
        <v>3036</v>
      </c>
      <c r="W60" s="93">
        <v>2</v>
      </c>
      <c r="X60" s="93" t="s">
        <v>46</v>
      </c>
      <c r="Y60" s="93" t="s">
        <v>69</v>
      </c>
      <c r="Z60" s="93" t="s">
        <v>97</v>
      </c>
      <c r="AA60" s="93" t="s">
        <v>88</v>
      </c>
      <c r="AB60" s="93" t="s">
        <v>158</v>
      </c>
    </row>
    <row r="61" spans="1:28" x14ac:dyDescent="0.15">
      <c r="A61" s="93" t="s">
        <v>51</v>
      </c>
      <c r="B61" s="93" t="s">
        <v>157</v>
      </c>
      <c r="C61" s="93">
        <v>2019</v>
      </c>
      <c r="D61" s="101" t="s">
        <v>261</v>
      </c>
      <c r="E61" s="93" t="s">
        <v>275</v>
      </c>
      <c r="F61" s="93" t="s">
        <v>263</v>
      </c>
      <c r="G61" s="93" t="s">
        <v>42</v>
      </c>
      <c r="H61" s="93" t="s">
        <v>160</v>
      </c>
      <c r="I61" s="93" t="s">
        <v>159</v>
      </c>
      <c r="J61" s="93" t="s">
        <v>38</v>
      </c>
      <c r="K61" s="93" t="s">
        <v>161</v>
      </c>
      <c r="L61" s="93">
        <v>3</v>
      </c>
      <c r="N61" s="93">
        <v>1</v>
      </c>
      <c r="O61" s="93">
        <v>0.85</v>
      </c>
      <c r="P61" s="93">
        <v>0.9</v>
      </c>
      <c r="Q61" s="102">
        <f t="shared" si="0"/>
        <v>0.875</v>
      </c>
      <c r="R61" s="93">
        <v>15.5</v>
      </c>
      <c r="S61" s="93">
        <v>144</v>
      </c>
      <c r="T61" s="103">
        <f t="shared" si="1"/>
        <v>22</v>
      </c>
      <c r="U61" s="93">
        <v>138</v>
      </c>
      <c r="V61" s="104">
        <f t="shared" si="2"/>
        <v>3036</v>
      </c>
      <c r="W61" s="93">
        <v>2</v>
      </c>
      <c r="X61" s="93" t="s">
        <v>46</v>
      </c>
      <c r="Y61" s="93" t="s">
        <v>69</v>
      </c>
      <c r="Z61" s="93" t="s">
        <v>97</v>
      </c>
      <c r="AA61" s="93" t="s">
        <v>88</v>
      </c>
      <c r="AB61" s="93" t="s">
        <v>158</v>
      </c>
    </row>
    <row r="62" spans="1:28" x14ac:dyDescent="0.15">
      <c r="D62" s="101"/>
      <c r="Q62" s="102" t="str">
        <f t="shared" si="0"/>
        <v/>
      </c>
      <c r="T62" s="103" t="str">
        <f t="shared" si="1"/>
        <v/>
      </c>
      <c r="V62" s="104" t="str">
        <f t="shared" si="2"/>
        <v/>
      </c>
    </row>
    <row r="63" spans="1:28" x14ac:dyDescent="0.15">
      <c r="D63" s="101"/>
      <c r="Q63" s="102" t="str">
        <f t="shared" si="0"/>
        <v/>
      </c>
      <c r="T63" s="103" t="str">
        <f t="shared" si="1"/>
        <v/>
      </c>
      <c r="V63" s="104" t="str">
        <f t="shared" si="2"/>
        <v/>
      </c>
    </row>
    <row r="64" spans="1:28" x14ac:dyDescent="0.15">
      <c r="D64" s="101"/>
      <c r="Q64" s="102" t="str">
        <f t="shared" si="0"/>
        <v/>
      </c>
      <c r="T64" s="103" t="str">
        <f t="shared" si="1"/>
        <v/>
      </c>
      <c r="V64" s="104" t="str">
        <f t="shared" si="2"/>
        <v/>
      </c>
    </row>
    <row r="65" spans="4:22" x14ac:dyDescent="0.15">
      <c r="D65" s="101"/>
      <c r="Q65" s="103" t="str">
        <f t="shared" si="0"/>
        <v/>
      </c>
      <c r="T65" s="103" t="str">
        <f t="shared" si="1"/>
        <v/>
      </c>
      <c r="V65" s="103" t="str">
        <f t="shared" si="2"/>
        <v/>
      </c>
    </row>
    <row r="66" spans="4:22" x14ac:dyDescent="0.15">
      <c r="D66" s="101"/>
      <c r="Q66" s="103" t="str">
        <f t="shared" ref="Q66:Q85" si="3">IF(OR(O66="",P66=""),"",AVERAGE(O66,P66))</f>
        <v/>
      </c>
      <c r="T66" s="103" t="str">
        <f t="shared" ref="T66:T85" si="4">IF(H66="","",IF(OR(H66="GREEN",H66="GK"),IF(S66&gt;=$AX$2,VLOOKUP(S66,$AX$2:$AY$12,2,1),""),IF(S66&gt;=$AZ$2,VLOOKUP(S66,$AZ$2:$BA$12,2,1),"")))</f>
        <v/>
      </c>
      <c r="V66" s="103" t="str">
        <f t="shared" ref="V66:V85" si="5">IF(OR(N66="",U66="",T66=""),"",U66/N66*T66)</f>
        <v/>
      </c>
    </row>
    <row r="67" spans="4:22" x14ac:dyDescent="0.15">
      <c r="D67" s="101"/>
      <c r="Q67" s="103" t="str">
        <f t="shared" si="3"/>
        <v/>
      </c>
      <c r="T67" s="103" t="str">
        <f t="shared" si="4"/>
        <v/>
      </c>
      <c r="V67" s="103" t="str">
        <f t="shared" si="5"/>
        <v/>
      </c>
    </row>
    <row r="68" spans="4:22" x14ac:dyDescent="0.15">
      <c r="D68" s="101"/>
      <c r="Q68" s="103" t="str">
        <f t="shared" si="3"/>
        <v/>
      </c>
      <c r="T68" s="103" t="str">
        <f t="shared" si="4"/>
        <v/>
      </c>
      <c r="V68" s="103" t="str">
        <f t="shared" si="5"/>
        <v/>
      </c>
    </row>
    <row r="69" spans="4:22" x14ac:dyDescent="0.15">
      <c r="D69" s="101"/>
      <c r="Q69" s="103" t="str">
        <f t="shared" si="3"/>
        <v/>
      </c>
      <c r="T69" s="103" t="str">
        <f t="shared" si="4"/>
        <v/>
      </c>
      <c r="V69" s="103" t="str">
        <f t="shared" si="5"/>
        <v/>
      </c>
    </row>
    <row r="70" spans="4:22" x14ac:dyDescent="0.15">
      <c r="D70" s="101"/>
      <c r="Q70" s="103" t="str">
        <f t="shared" si="3"/>
        <v/>
      </c>
      <c r="T70" s="103" t="str">
        <f t="shared" si="4"/>
        <v/>
      </c>
      <c r="V70" s="103" t="str">
        <f t="shared" si="5"/>
        <v/>
      </c>
    </row>
    <row r="71" spans="4:22" x14ac:dyDescent="0.15">
      <c r="D71" s="101"/>
      <c r="Q71" s="103" t="str">
        <f t="shared" si="3"/>
        <v/>
      </c>
      <c r="T71" s="103" t="str">
        <f t="shared" si="4"/>
        <v/>
      </c>
      <c r="V71" s="103" t="str">
        <f t="shared" si="5"/>
        <v/>
      </c>
    </row>
    <row r="72" spans="4:22" x14ac:dyDescent="0.15">
      <c r="D72" s="101"/>
      <c r="Q72" s="103" t="str">
        <f t="shared" si="3"/>
        <v/>
      </c>
      <c r="T72" s="103" t="str">
        <f t="shared" si="4"/>
        <v/>
      </c>
      <c r="V72" s="103" t="str">
        <f t="shared" si="5"/>
        <v/>
      </c>
    </row>
    <row r="73" spans="4:22" x14ac:dyDescent="0.15">
      <c r="D73" s="101"/>
      <c r="Q73" s="103" t="str">
        <f t="shared" si="3"/>
        <v/>
      </c>
      <c r="T73" s="103" t="str">
        <f t="shared" si="4"/>
        <v/>
      </c>
      <c r="V73" s="103" t="str">
        <f t="shared" si="5"/>
        <v/>
      </c>
    </row>
    <row r="74" spans="4:22" x14ac:dyDescent="0.15">
      <c r="D74" s="101"/>
      <c r="Q74" s="103" t="str">
        <f t="shared" si="3"/>
        <v/>
      </c>
      <c r="T74" s="103" t="str">
        <f t="shared" si="4"/>
        <v/>
      </c>
      <c r="V74" s="103" t="str">
        <f t="shared" si="5"/>
        <v/>
      </c>
    </row>
    <row r="75" spans="4:22" x14ac:dyDescent="0.15">
      <c r="D75" s="101"/>
      <c r="Q75" s="103" t="str">
        <f t="shared" si="3"/>
        <v/>
      </c>
      <c r="T75" s="103" t="str">
        <f t="shared" si="4"/>
        <v/>
      </c>
      <c r="V75" s="103" t="str">
        <f t="shared" si="5"/>
        <v/>
      </c>
    </row>
    <row r="76" spans="4:22" x14ac:dyDescent="0.15">
      <c r="D76" s="101"/>
      <c r="Q76" s="103" t="str">
        <f t="shared" si="3"/>
        <v/>
      </c>
      <c r="T76" s="103" t="str">
        <f t="shared" si="4"/>
        <v/>
      </c>
      <c r="V76" s="103" t="str">
        <f t="shared" si="5"/>
        <v/>
      </c>
    </row>
    <row r="77" spans="4:22" x14ac:dyDescent="0.15">
      <c r="D77" s="101"/>
      <c r="Q77" s="103" t="str">
        <f t="shared" si="3"/>
        <v/>
      </c>
      <c r="T77" s="103" t="str">
        <f t="shared" si="4"/>
        <v/>
      </c>
      <c r="V77" s="103" t="str">
        <f t="shared" si="5"/>
        <v/>
      </c>
    </row>
    <row r="78" spans="4:22" x14ac:dyDescent="0.15">
      <c r="D78" s="101"/>
      <c r="Q78" s="103" t="str">
        <f t="shared" si="3"/>
        <v/>
      </c>
      <c r="T78" s="103" t="str">
        <f t="shared" si="4"/>
        <v/>
      </c>
      <c r="V78" s="103" t="str">
        <f t="shared" si="5"/>
        <v/>
      </c>
    </row>
    <row r="79" spans="4:22" x14ac:dyDescent="0.15">
      <c r="D79" s="101"/>
      <c r="Q79" s="103" t="str">
        <f t="shared" si="3"/>
        <v/>
      </c>
      <c r="T79" s="103" t="str">
        <f t="shared" si="4"/>
        <v/>
      </c>
      <c r="V79" s="103" t="str">
        <f t="shared" si="5"/>
        <v/>
      </c>
    </row>
    <row r="80" spans="4:22" x14ac:dyDescent="0.15">
      <c r="D80" s="122"/>
      <c r="Q80" s="103" t="str">
        <f t="shared" si="3"/>
        <v/>
      </c>
      <c r="T80" s="103" t="str">
        <f t="shared" si="4"/>
        <v/>
      </c>
      <c r="V80" s="103" t="str">
        <f t="shared" si="5"/>
        <v/>
      </c>
    </row>
    <row r="81" spans="4:22" x14ac:dyDescent="0.15">
      <c r="D81" s="122"/>
      <c r="Q81" s="103" t="str">
        <f t="shared" si="3"/>
        <v/>
      </c>
      <c r="T81" s="103" t="str">
        <f t="shared" si="4"/>
        <v/>
      </c>
      <c r="V81" s="103" t="str">
        <f t="shared" si="5"/>
        <v/>
      </c>
    </row>
    <row r="82" spans="4:22" x14ac:dyDescent="0.15">
      <c r="D82" s="122"/>
      <c r="Q82" s="103" t="str">
        <f t="shared" si="3"/>
        <v/>
      </c>
      <c r="T82" s="103" t="str">
        <f t="shared" si="4"/>
        <v/>
      </c>
      <c r="V82" s="103" t="str">
        <f t="shared" si="5"/>
        <v/>
      </c>
    </row>
    <row r="83" spans="4:22" x14ac:dyDescent="0.15">
      <c r="D83" s="122"/>
      <c r="Q83" s="103" t="str">
        <f t="shared" si="3"/>
        <v/>
      </c>
      <c r="T83" s="103" t="str">
        <f t="shared" si="4"/>
        <v/>
      </c>
      <c r="V83" s="103" t="str">
        <f t="shared" si="5"/>
        <v/>
      </c>
    </row>
    <row r="84" spans="4:22" x14ac:dyDescent="0.15">
      <c r="D84" s="122"/>
      <c r="Q84" s="103" t="str">
        <f t="shared" si="3"/>
        <v/>
      </c>
      <c r="T84" s="103" t="str">
        <f t="shared" si="4"/>
        <v/>
      </c>
      <c r="V84" s="103" t="str">
        <f t="shared" si="5"/>
        <v/>
      </c>
    </row>
    <row r="85" spans="4:22" x14ac:dyDescent="0.15">
      <c r="D85" s="122"/>
      <c r="Q85" s="103" t="str">
        <f t="shared" si="3"/>
        <v/>
      </c>
      <c r="T85" s="103" t="str">
        <f t="shared" si="4"/>
        <v/>
      </c>
      <c r="V85" s="103" t="str">
        <f t="shared" si="5"/>
        <v/>
      </c>
    </row>
    <row r="86" spans="4:22" x14ac:dyDescent="0.15">
      <c r="D86" s="122"/>
    </row>
    <row r="87" spans="4:22" x14ac:dyDescent="0.15">
      <c r="D87" s="122"/>
    </row>
    <row r="88" spans="4:22" x14ac:dyDescent="0.15">
      <c r="D88" s="122"/>
    </row>
    <row r="89" spans="4:22" x14ac:dyDescent="0.15">
      <c r="D89" s="122"/>
    </row>
    <row r="90" spans="4:22" x14ac:dyDescent="0.15">
      <c r="D90" s="122"/>
    </row>
    <row r="91" spans="4:22" x14ac:dyDescent="0.15">
      <c r="D91" s="122"/>
    </row>
  </sheetData>
  <autoFilter ref="A1:BA85" xr:uid="{00000000-0009-0000-0000-000000000000}"/>
  <phoneticPr fontId="3"/>
  <dataValidations count="15">
    <dataValidation type="decimal" allowBlank="1" showInputMessage="1" showErrorMessage="1" error="硬度を正しく入力して下さい。" sqref="O2:P500" xr:uid="{CAADF28D-8879-453C-84D2-55EF130CDDE2}">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1F45F114-DADB-40BA-89C6-440377195EA2}">
      <formula1>$AV$2:$AV$20</formula1>
    </dataValidation>
    <dataValidation type="list" allowBlank="1" showInputMessage="1" showErrorMessage="1" sqref="Y2:AA500" xr:uid="{A8A5B290-7F85-4F84-B64B-D0D0FA6D70F9}">
      <formula1>$AV$2:$AV$21</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98B064E1-7014-4B48-8549-00A3C31E156F}">
      <formula1>$AT$2:$AT$3</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E67E701C-3114-4351-8622-653B6E7FD760}">
      <formula1>$AN$5:$AN$6</formula1>
    </dataValidation>
    <dataValidation type="list" allowBlank="1" showInputMessage="1" showErrorMessage="1" sqref="H2:H500" xr:uid="{A0265180-9277-483C-A45F-D66AFD8C7274}">
      <formula1>$AL$2:$AL$8</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D4748971-4B0A-4EF8-8FA1-96494638CB96}">
      <formula1>$AP$2:$AP$27</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902CBE7E-2B1F-47D7-839B-3DA9C95075AA}">
      <formula1>$AH$2:$AH$11</formula1>
    </dataValidation>
    <dataValidation type="list" allowBlank="1" showInputMessage="1" showErrorMessage="1" sqref="K2:K89" xr:uid="{1B7A20F6-022E-43B8-ADD0-EC90EC1E09E9}">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E26B6F82-18A2-465C-8589-E63323CF072E}">
      <formula1>$AR$2:$AR$25</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766127C9-EBAA-40F6-AC90-C06E9A08F53C}"/>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1BB2F91D-5C89-49A5-BF41-8067E7705E4A}">
      <formula1>$AG$2:$AG$11</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C3801B0B-DE6E-43B3-8EDB-72835B2FCB06}">
      <formula1>$AL$4:$AL$12</formula1>
    </dataValidation>
    <dataValidation type="list" allowBlank="1" showInputMessage="1" showErrorMessage="1" sqref="WVI983042:WVI983119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A2:A500" xr:uid="{95855DAF-9A35-4755-B135-5B963F20B502}">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493418CC-6155-4203-B776-8E7250BA008C}">
      <formula1>$AJ$2:$AJ$4</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4502B-9D5A-40AB-B883-A58F6028E0EC}">
  <sheetPr>
    <pageSetUpPr fitToPage="1"/>
  </sheetPr>
  <dimension ref="A1:BA108"/>
  <sheetViews>
    <sheetView topLeftCell="A16" zoomScale="85" zoomScaleNormal="85" workbookViewId="0">
      <selection activeCell="AC6" sqref="AC6"/>
    </sheetView>
  </sheetViews>
  <sheetFormatPr defaultRowHeight="13.5" x14ac:dyDescent="0.15"/>
  <cols>
    <col min="1" max="3" width="9" style="53" customWidth="1"/>
    <col min="4" max="4" width="10.375" style="53" customWidth="1"/>
    <col min="5" max="5" width="11.25" style="53" bestFit="1" customWidth="1"/>
    <col min="6" max="7" width="9" style="53"/>
    <col min="8" max="10" width="9" style="53" customWidth="1"/>
    <col min="11" max="11" width="11.375" style="53" customWidth="1"/>
    <col min="12" max="16" width="9" style="53" customWidth="1"/>
    <col min="17" max="17" width="9" style="16" customWidth="1"/>
    <col min="18" max="18" width="9" style="53"/>
    <col min="19" max="19" width="9.375" style="53" bestFit="1" customWidth="1"/>
    <col min="20" max="20" width="9" style="16" customWidth="1"/>
    <col min="21" max="21" width="9" style="53"/>
    <col min="22" max="22" width="9" style="16" customWidth="1"/>
    <col min="23" max="28" width="9" style="53"/>
    <col min="29" max="29" width="26.375" style="53" customWidth="1"/>
    <col min="30" max="32" width="9" style="53"/>
    <col min="33" max="33" width="15.75" style="53" bestFit="1" customWidth="1"/>
    <col min="34" max="34" width="15" style="53" bestFit="1" customWidth="1"/>
    <col min="35" max="256" width="9" style="53"/>
    <col min="257" max="259" width="9" style="53" customWidth="1"/>
    <col min="260" max="260" width="10.375" style="53" customWidth="1"/>
    <col min="261" max="261" width="11.25" style="53" bestFit="1" customWidth="1"/>
    <col min="262" max="263" width="9" style="53"/>
    <col min="264" max="273" width="9" style="53" customWidth="1"/>
    <col min="274" max="274" width="9" style="53"/>
    <col min="275" max="275" width="9.375" style="53" bestFit="1" customWidth="1"/>
    <col min="276" max="276" width="9" style="53" customWidth="1"/>
    <col min="277" max="277" width="9" style="53"/>
    <col min="278" max="278" width="9" style="53" customWidth="1"/>
    <col min="279" max="284" width="9" style="53"/>
    <col min="285" max="285" width="26.375" style="53" customWidth="1"/>
    <col min="286" max="288" width="9" style="53"/>
    <col min="289" max="289" width="14.75" style="53" bestFit="1" customWidth="1"/>
    <col min="290" max="512" width="9" style="53"/>
    <col min="513" max="515" width="9" style="53" customWidth="1"/>
    <col min="516" max="516" width="10.375" style="53" customWidth="1"/>
    <col min="517" max="517" width="11.25" style="53" bestFit="1" customWidth="1"/>
    <col min="518" max="519" width="9" style="53"/>
    <col min="520" max="529" width="9" style="53" customWidth="1"/>
    <col min="530" max="530" width="9" style="53"/>
    <col min="531" max="531" width="9.375" style="53" bestFit="1" customWidth="1"/>
    <col min="532" max="532" width="9" style="53" customWidth="1"/>
    <col min="533" max="533" width="9" style="53"/>
    <col min="534" max="534" width="9" style="53" customWidth="1"/>
    <col min="535" max="540" width="9" style="53"/>
    <col min="541" max="541" width="26.375" style="53" customWidth="1"/>
    <col min="542" max="544" width="9" style="53"/>
    <col min="545" max="545" width="14.75" style="53" bestFit="1" customWidth="1"/>
    <col min="546" max="768" width="9" style="53"/>
    <col min="769" max="771" width="9" style="53" customWidth="1"/>
    <col min="772" max="772" width="10.375" style="53" customWidth="1"/>
    <col min="773" max="773" width="11.25" style="53" bestFit="1" customWidth="1"/>
    <col min="774" max="775" width="9" style="53"/>
    <col min="776" max="785" width="9" style="53" customWidth="1"/>
    <col min="786" max="786" width="9" style="53"/>
    <col min="787" max="787" width="9.375" style="53" bestFit="1" customWidth="1"/>
    <col min="788" max="788" width="9" style="53" customWidth="1"/>
    <col min="789" max="789" width="9" style="53"/>
    <col min="790" max="790" width="9" style="53" customWidth="1"/>
    <col min="791" max="796" width="9" style="53"/>
    <col min="797" max="797" width="26.375" style="53" customWidth="1"/>
    <col min="798" max="800" width="9" style="53"/>
    <col min="801" max="801" width="14.75" style="53" bestFit="1" customWidth="1"/>
    <col min="802" max="1024" width="9" style="53"/>
    <col min="1025" max="1027" width="9" style="53" customWidth="1"/>
    <col min="1028" max="1028" width="10.375" style="53" customWidth="1"/>
    <col min="1029" max="1029" width="11.25" style="53" bestFit="1" customWidth="1"/>
    <col min="1030" max="1031" width="9" style="53"/>
    <col min="1032" max="1041" width="9" style="53" customWidth="1"/>
    <col min="1042" max="1042" width="9" style="53"/>
    <col min="1043" max="1043" width="9.375" style="53" bestFit="1" customWidth="1"/>
    <col min="1044" max="1044" width="9" style="53" customWidth="1"/>
    <col min="1045" max="1045" width="9" style="53"/>
    <col min="1046" max="1046" width="9" style="53" customWidth="1"/>
    <col min="1047" max="1052" width="9" style="53"/>
    <col min="1053" max="1053" width="26.375" style="53" customWidth="1"/>
    <col min="1054" max="1056" width="9" style="53"/>
    <col min="1057" max="1057" width="14.75" style="53" bestFit="1" customWidth="1"/>
    <col min="1058" max="1280" width="9" style="53"/>
    <col min="1281" max="1283" width="9" style="53" customWidth="1"/>
    <col min="1284" max="1284" width="10.375" style="53" customWidth="1"/>
    <col min="1285" max="1285" width="11.25" style="53" bestFit="1" customWidth="1"/>
    <col min="1286" max="1287" width="9" style="53"/>
    <col min="1288" max="1297" width="9" style="53" customWidth="1"/>
    <col min="1298" max="1298" width="9" style="53"/>
    <col min="1299" max="1299" width="9.375" style="53" bestFit="1" customWidth="1"/>
    <col min="1300" max="1300" width="9" style="53" customWidth="1"/>
    <col min="1301" max="1301" width="9" style="53"/>
    <col min="1302" max="1302" width="9" style="53" customWidth="1"/>
    <col min="1303" max="1308" width="9" style="53"/>
    <col min="1309" max="1309" width="26.375" style="53" customWidth="1"/>
    <col min="1310" max="1312" width="9" style="53"/>
    <col min="1313" max="1313" width="14.75" style="53" bestFit="1" customWidth="1"/>
    <col min="1314" max="1536" width="9" style="53"/>
    <col min="1537" max="1539" width="9" style="53" customWidth="1"/>
    <col min="1540" max="1540" width="10.375" style="53" customWidth="1"/>
    <col min="1541" max="1541" width="11.25" style="53" bestFit="1" customWidth="1"/>
    <col min="1542" max="1543" width="9" style="53"/>
    <col min="1544" max="1553" width="9" style="53" customWidth="1"/>
    <col min="1554" max="1554" width="9" style="53"/>
    <col min="1555" max="1555" width="9.375" style="53" bestFit="1" customWidth="1"/>
    <col min="1556" max="1556" width="9" style="53" customWidth="1"/>
    <col min="1557" max="1557" width="9" style="53"/>
    <col min="1558" max="1558" width="9" style="53" customWidth="1"/>
    <col min="1559" max="1564" width="9" style="53"/>
    <col min="1565" max="1565" width="26.375" style="53" customWidth="1"/>
    <col min="1566" max="1568" width="9" style="53"/>
    <col min="1569" max="1569" width="14.75" style="53" bestFit="1" customWidth="1"/>
    <col min="1570" max="1792" width="9" style="53"/>
    <col min="1793" max="1795" width="9" style="53" customWidth="1"/>
    <col min="1796" max="1796" width="10.375" style="53" customWidth="1"/>
    <col min="1797" max="1797" width="11.25" style="53" bestFit="1" customWidth="1"/>
    <col min="1798" max="1799" width="9" style="53"/>
    <col min="1800" max="1809" width="9" style="53" customWidth="1"/>
    <col min="1810" max="1810" width="9" style="53"/>
    <col min="1811" max="1811" width="9.375" style="53" bestFit="1" customWidth="1"/>
    <col min="1812" max="1812" width="9" style="53" customWidth="1"/>
    <col min="1813" max="1813" width="9" style="53"/>
    <col min="1814" max="1814" width="9" style="53" customWidth="1"/>
    <col min="1815" max="1820" width="9" style="53"/>
    <col min="1821" max="1821" width="26.375" style="53" customWidth="1"/>
    <col min="1822" max="1824" width="9" style="53"/>
    <col min="1825" max="1825" width="14.75" style="53" bestFit="1" customWidth="1"/>
    <col min="1826" max="2048" width="9" style="53"/>
    <col min="2049" max="2051" width="9" style="53" customWidth="1"/>
    <col min="2052" max="2052" width="10.375" style="53" customWidth="1"/>
    <col min="2053" max="2053" width="11.25" style="53" bestFit="1" customWidth="1"/>
    <col min="2054" max="2055" width="9" style="53"/>
    <col min="2056" max="2065" width="9" style="53" customWidth="1"/>
    <col min="2066" max="2066" width="9" style="53"/>
    <col min="2067" max="2067" width="9.375" style="53" bestFit="1" customWidth="1"/>
    <col min="2068" max="2068" width="9" style="53" customWidth="1"/>
    <col min="2069" max="2069" width="9" style="53"/>
    <col min="2070" max="2070" width="9" style="53" customWidth="1"/>
    <col min="2071" max="2076" width="9" style="53"/>
    <col min="2077" max="2077" width="26.375" style="53" customWidth="1"/>
    <col min="2078" max="2080" width="9" style="53"/>
    <col min="2081" max="2081" width="14.75" style="53" bestFit="1" customWidth="1"/>
    <col min="2082" max="2304" width="9" style="53"/>
    <col min="2305" max="2307" width="9" style="53" customWidth="1"/>
    <col min="2308" max="2308" width="10.375" style="53" customWidth="1"/>
    <col min="2309" max="2309" width="11.25" style="53" bestFit="1" customWidth="1"/>
    <col min="2310" max="2311" width="9" style="53"/>
    <col min="2312" max="2321" width="9" style="53" customWidth="1"/>
    <col min="2322" max="2322" width="9" style="53"/>
    <col min="2323" max="2323" width="9.375" style="53" bestFit="1" customWidth="1"/>
    <col min="2324" max="2324" width="9" style="53" customWidth="1"/>
    <col min="2325" max="2325" width="9" style="53"/>
    <col min="2326" max="2326" width="9" style="53" customWidth="1"/>
    <col min="2327" max="2332" width="9" style="53"/>
    <col min="2333" max="2333" width="26.375" style="53" customWidth="1"/>
    <col min="2334" max="2336" width="9" style="53"/>
    <col min="2337" max="2337" width="14.75" style="53" bestFit="1" customWidth="1"/>
    <col min="2338" max="2560" width="9" style="53"/>
    <col min="2561" max="2563" width="9" style="53" customWidth="1"/>
    <col min="2564" max="2564" width="10.375" style="53" customWidth="1"/>
    <col min="2565" max="2565" width="11.25" style="53" bestFit="1" customWidth="1"/>
    <col min="2566" max="2567" width="9" style="53"/>
    <col min="2568" max="2577" width="9" style="53" customWidth="1"/>
    <col min="2578" max="2578" width="9" style="53"/>
    <col min="2579" max="2579" width="9.375" style="53" bestFit="1" customWidth="1"/>
    <col min="2580" max="2580" width="9" style="53" customWidth="1"/>
    <col min="2581" max="2581" width="9" style="53"/>
    <col min="2582" max="2582" width="9" style="53" customWidth="1"/>
    <col min="2583" max="2588" width="9" style="53"/>
    <col min="2589" max="2589" width="26.375" style="53" customWidth="1"/>
    <col min="2590" max="2592" width="9" style="53"/>
    <col min="2593" max="2593" width="14.75" style="53" bestFit="1" customWidth="1"/>
    <col min="2594" max="2816" width="9" style="53"/>
    <col min="2817" max="2819" width="9" style="53" customWidth="1"/>
    <col min="2820" max="2820" width="10.375" style="53" customWidth="1"/>
    <col min="2821" max="2821" width="11.25" style="53" bestFit="1" customWidth="1"/>
    <col min="2822" max="2823" width="9" style="53"/>
    <col min="2824" max="2833" width="9" style="53" customWidth="1"/>
    <col min="2834" max="2834" width="9" style="53"/>
    <col min="2835" max="2835" width="9.375" style="53" bestFit="1" customWidth="1"/>
    <col min="2836" max="2836" width="9" style="53" customWidth="1"/>
    <col min="2837" max="2837" width="9" style="53"/>
    <col min="2838" max="2838" width="9" style="53" customWidth="1"/>
    <col min="2839" max="2844" width="9" style="53"/>
    <col min="2845" max="2845" width="26.375" style="53" customWidth="1"/>
    <col min="2846" max="2848" width="9" style="53"/>
    <col min="2849" max="2849" width="14.75" style="53" bestFit="1" customWidth="1"/>
    <col min="2850" max="3072" width="9" style="53"/>
    <col min="3073" max="3075" width="9" style="53" customWidth="1"/>
    <col min="3076" max="3076" width="10.375" style="53" customWidth="1"/>
    <col min="3077" max="3077" width="11.25" style="53" bestFit="1" customWidth="1"/>
    <col min="3078" max="3079" width="9" style="53"/>
    <col min="3080" max="3089" width="9" style="53" customWidth="1"/>
    <col min="3090" max="3090" width="9" style="53"/>
    <col min="3091" max="3091" width="9.375" style="53" bestFit="1" customWidth="1"/>
    <col min="3092" max="3092" width="9" style="53" customWidth="1"/>
    <col min="3093" max="3093" width="9" style="53"/>
    <col min="3094" max="3094" width="9" style="53" customWidth="1"/>
    <col min="3095" max="3100" width="9" style="53"/>
    <col min="3101" max="3101" width="26.375" style="53" customWidth="1"/>
    <col min="3102" max="3104" width="9" style="53"/>
    <col min="3105" max="3105" width="14.75" style="53" bestFit="1" customWidth="1"/>
    <col min="3106" max="3328" width="9" style="53"/>
    <col min="3329" max="3331" width="9" style="53" customWidth="1"/>
    <col min="3332" max="3332" width="10.375" style="53" customWidth="1"/>
    <col min="3333" max="3333" width="11.25" style="53" bestFit="1" customWidth="1"/>
    <col min="3334" max="3335" width="9" style="53"/>
    <col min="3336" max="3345" width="9" style="53" customWidth="1"/>
    <col min="3346" max="3346" width="9" style="53"/>
    <col min="3347" max="3347" width="9.375" style="53" bestFit="1" customWidth="1"/>
    <col min="3348" max="3348" width="9" style="53" customWidth="1"/>
    <col min="3349" max="3349" width="9" style="53"/>
    <col min="3350" max="3350" width="9" style="53" customWidth="1"/>
    <col min="3351" max="3356" width="9" style="53"/>
    <col min="3357" max="3357" width="26.375" style="53" customWidth="1"/>
    <col min="3358" max="3360" width="9" style="53"/>
    <col min="3361" max="3361" width="14.75" style="53" bestFit="1" customWidth="1"/>
    <col min="3362" max="3584" width="9" style="53"/>
    <col min="3585" max="3587" width="9" style="53" customWidth="1"/>
    <col min="3588" max="3588" width="10.375" style="53" customWidth="1"/>
    <col min="3589" max="3589" width="11.25" style="53" bestFit="1" customWidth="1"/>
    <col min="3590" max="3591" width="9" style="53"/>
    <col min="3592" max="3601" width="9" style="53" customWidth="1"/>
    <col min="3602" max="3602" width="9" style="53"/>
    <col min="3603" max="3603" width="9.375" style="53" bestFit="1" customWidth="1"/>
    <col min="3604" max="3604" width="9" style="53" customWidth="1"/>
    <col min="3605" max="3605" width="9" style="53"/>
    <col min="3606" max="3606" width="9" style="53" customWidth="1"/>
    <col min="3607" max="3612" width="9" style="53"/>
    <col min="3613" max="3613" width="26.375" style="53" customWidth="1"/>
    <col min="3614" max="3616" width="9" style="53"/>
    <col min="3617" max="3617" width="14.75" style="53" bestFit="1" customWidth="1"/>
    <col min="3618" max="3840" width="9" style="53"/>
    <col min="3841" max="3843" width="9" style="53" customWidth="1"/>
    <col min="3844" max="3844" width="10.375" style="53" customWidth="1"/>
    <col min="3845" max="3845" width="11.25" style="53" bestFit="1" customWidth="1"/>
    <col min="3846" max="3847" width="9" style="53"/>
    <col min="3848" max="3857" width="9" style="53" customWidth="1"/>
    <col min="3858" max="3858" width="9" style="53"/>
    <col min="3859" max="3859" width="9.375" style="53" bestFit="1" customWidth="1"/>
    <col min="3860" max="3860" width="9" style="53" customWidth="1"/>
    <col min="3861" max="3861" width="9" style="53"/>
    <col min="3862" max="3862" width="9" style="53" customWidth="1"/>
    <col min="3863" max="3868" width="9" style="53"/>
    <col min="3869" max="3869" width="26.375" style="53" customWidth="1"/>
    <col min="3870" max="3872" width="9" style="53"/>
    <col min="3873" max="3873" width="14.75" style="53" bestFit="1" customWidth="1"/>
    <col min="3874" max="4096" width="9" style="53"/>
    <col min="4097" max="4099" width="9" style="53" customWidth="1"/>
    <col min="4100" max="4100" width="10.375" style="53" customWidth="1"/>
    <col min="4101" max="4101" width="11.25" style="53" bestFit="1" customWidth="1"/>
    <col min="4102" max="4103" width="9" style="53"/>
    <col min="4104" max="4113" width="9" style="53" customWidth="1"/>
    <col min="4114" max="4114" width="9" style="53"/>
    <col min="4115" max="4115" width="9.375" style="53" bestFit="1" customWidth="1"/>
    <col min="4116" max="4116" width="9" style="53" customWidth="1"/>
    <col min="4117" max="4117" width="9" style="53"/>
    <col min="4118" max="4118" width="9" style="53" customWidth="1"/>
    <col min="4119" max="4124" width="9" style="53"/>
    <col min="4125" max="4125" width="26.375" style="53" customWidth="1"/>
    <col min="4126" max="4128" width="9" style="53"/>
    <col min="4129" max="4129" width="14.75" style="53" bestFit="1" customWidth="1"/>
    <col min="4130" max="4352" width="9" style="53"/>
    <col min="4353" max="4355" width="9" style="53" customWidth="1"/>
    <col min="4356" max="4356" width="10.375" style="53" customWidth="1"/>
    <col min="4357" max="4357" width="11.25" style="53" bestFit="1" customWidth="1"/>
    <col min="4358" max="4359" width="9" style="53"/>
    <col min="4360" max="4369" width="9" style="53" customWidth="1"/>
    <col min="4370" max="4370" width="9" style="53"/>
    <col min="4371" max="4371" width="9.375" style="53" bestFit="1" customWidth="1"/>
    <col min="4372" max="4372" width="9" style="53" customWidth="1"/>
    <col min="4373" max="4373" width="9" style="53"/>
    <col min="4374" max="4374" width="9" style="53" customWidth="1"/>
    <col min="4375" max="4380" width="9" style="53"/>
    <col min="4381" max="4381" width="26.375" style="53" customWidth="1"/>
    <col min="4382" max="4384" width="9" style="53"/>
    <col min="4385" max="4385" width="14.75" style="53" bestFit="1" customWidth="1"/>
    <col min="4386" max="4608" width="9" style="53"/>
    <col min="4609" max="4611" width="9" style="53" customWidth="1"/>
    <col min="4612" max="4612" width="10.375" style="53" customWidth="1"/>
    <col min="4613" max="4613" width="11.25" style="53" bestFit="1" customWidth="1"/>
    <col min="4614" max="4615" width="9" style="53"/>
    <col min="4616" max="4625" width="9" style="53" customWidth="1"/>
    <col min="4626" max="4626" width="9" style="53"/>
    <col min="4627" max="4627" width="9.375" style="53" bestFit="1" customWidth="1"/>
    <col min="4628" max="4628" width="9" style="53" customWidth="1"/>
    <col min="4629" max="4629" width="9" style="53"/>
    <col min="4630" max="4630" width="9" style="53" customWidth="1"/>
    <col min="4631" max="4636" width="9" style="53"/>
    <col min="4637" max="4637" width="26.375" style="53" customWidth="1"/>
    <col min="4638" max="4640" width="9" style="53"/>
    <col min="4641" max="4641" width="14.75" style="53" bestFit="1" customWidth="1"/>
    <col min="4642" max="4864" width="9" style="53"/>
    <col min="4865" max="4867" width="9" style="53" customWidth="1"/>
    <col min="4868" max="4868" width="10.375" style="53" customWidth="1"/>
    <col min="4869" max="4869" width="11.25" style="53" bestFit="1" customWidth="1"/>
    <col min="4870" max="4871" width="9" style="53"/>
    <col min="4872" max="4881" width="9" style="53" customWidth="1"/>
    <col min="4882" max="4882" width="9" style="53"/>
    <col min="4883" max="4883" width="9.375" style="53" bestFit="1" customWidth="1"/>
    <col min="4884" max="4884" width="9" style="53" customWidth="1"/>
    <col min="4885" max="4885" width="9" style="53"/>
    <col min="4886" max="4886" width="9" style="53" customWidth="1"/>
    <col min="4887" max="4892" width="9" style="53"/>
    <col min="4893" max="4893" width="26.375" style="53" customWidth="1"/>
    <col min="4894" max="4896" width="9" style="53"/>
    <col min="4897" max="4897" width="14.75" style="53" bestFit="1" customWidth="1"/>
    <col min="4898" max="5120" width="9" style="53"/>
    <col min="5121" max="5123" width="9" style="53" customWidth="1"/>
    <col min="5124" max="5124" width="10.375" style="53" customWidth="1"/>
    <col min="5125" max="5125" width="11.25" style="53" bestFit="1" customWidth="1"/>
    <col min="5126" max="5127" width="9" style="53"/>
    <col min="5128" max="5137" width="9" style="53" customWidth="1"/>
    <col min="5138" max="5138" width="9" style="53"/>
    <col min="5139" max="5139" width="9.375" style="53" bestFit="1" customWidth="1"/>
    <col min="5140" max="5140" width="9" style="53" customWidth="1"/>
    <col min="5141" max="5141" width="9" style="53"/>
    <col min="5142" max="5142" width="9" style="53" customWidth="1"/>
    <col min="5143" max="5148" width="9" style="53"/>
    <col min="5149" max="5149" width="26.375" style="53" customWidth="1"/>
    <col min="5150" max="5152" width="9" style="53"/>
    <col min="5153" max="5153" width="14.75" style="53" bestFit="1" customWidth="1"/>
    <col min="5154" max="5376" width="9" style="53"/>
    <col min="5377" max="5379" width="9" style="53" customWidth="1"/>
    <col min="5380" max="5380" width="10.375" style="53" customWidth="1"/>
    <col min="5381" max="5381" width="11.25" style="53" bestFit="1" customWidth="1"/>
    <col min="5382" max="5383" width="9" style="53"/>
    <col min="5384" max="5393" width="9" style="53" customWidth="1"/>
    <col min="5394" max="5394" width="9" style="53"/>
    <col min="5395" max="5395" width="9.375" style="53" bestFit="1" customWidth="1"/>
    <col min="5396" max="5396" width="9" style="53" customWidth="1"/>
    <col min="5397" max="5397" width="9" style="53"/>
    <col min="5398" max="5398" width="9" style="53" customWidth="1"/>
    <col min="5399" max="5404" width="9" style="53"/>
    <col min="5405" max="5405" width="26.375" style="53" customWidth="1"/>
    <col min="5406" max="5408" width="9" style="53"/>
    <col min="5409" max="5409" width="14.75" style="53" bestFit="1" customWidth="1"/>
    <col min="5410" max="5632" width="9" style="53"/>
    <col min="5633" max="5635" width="9" style="53" customWidth="1"/>
    <col min="5636" max="5636" width="10.375" style="53" customWidth="1"/>
    <col min="5637" max="5637" width="11.25" style="53" bestFit="1" customWidth="1"/>
    <col min="5638" max="5639" width="9" style="53"/>
    <col min="5640" max="5649" width="9" style="53" customWidth="1"/>
    <col min="5650" max="5650" width="9" style="53"/>
    <col min="5651" max="5651" width="9.375" style="53" bestFit="1" customWidth="1"/>
    <col min="5652" max="5652" width="9" style="53" customWidth="1"/>
    <col min="5653" max="5653" width="9" style="53"/>
    <col min="5654" max="5654" width="9" style="53" customWidth="1"/>
    <col min="5655" max="5660" width="9" style="53"/>
    <col min="5661" max="5661" width="26.375" style="53" customWidth="1"/>
    <col min="5662" max="5664" width="9" style="53"/>
    <col min="5665" max="5665" width="14.75" style="53" bestFit="1" customWidth="1"/>
    <col min="5666" max="5888" width="9" style="53"/>
    <col min="5889" max="5891" width="9" style="53" customWidth="1"/>
    <col min="5892" max="5892" width="10.375" style="53" customWidth="1"/>
    <col min="5893" max="5893" width="11.25" style="53" bestFit="1" customWidth="1"/>
    <col min="5894" max="5895" width="9" style="53"/>
    <col min="5896" max="5905" width="9" style="53" customWidth="1"/>
    <col min="5906" max="5906" width="9" style="53"/>
    <col min="5907" max="5907" width="9.375" style="53" bestFit="1" customWidth="1"/>
    <col min="5908" max="5908" width="9" style="53" customWidth="1"/>
    <col min="5909" max="5909" width="9" style="53"/>
    <col min="5910" max="5910" width="9" style="53" customWidth="1"/>
    <col min="5911" max="5916" width="9" style="53"/>
    <col min="5917" max="5917" width="26.375" style="53" customWidth="1"/>
    <col min="5918" max="5920" width="9" style="53"/>
    <col min="5921" max="5921" width="14.75" style="53" bestFit="1" customWidth="1"/>
    <col min="5922" max="6144" width="9" style="53"/>
    <col min="6145" max="6147" width="9" style="53" customWidth="1"/>
    <col min="6148" max="6148" width="10.375" style="53" customWidth="1"/>
    <col min="6149" max="6149" width="11.25" style="53" bestFit="1" customWidth="1"/>
    <col min="6150" max="6151" width="9" style="53"/>
    <col min="6152" max="6161" width="9" style="53" customWidth="1"/>
    <col min="6162" max="6162" width="9" style="53"/>
    <col min="6163" max="6163" width="9.375" style="53" bestFit="1" customWidth="1"/>
    <col min="6164" max="6164" width="9" style="53" customWidth="1"/>
    <col min="6165" max="6165" width="9" style="53"/>
    <col min="6166" max="6166" width="9" style="53" customWidth="1"/>
    <col min="6167" max="6172" width="9" style="53"/>
    <col min="6173" max="6173" width="26.375" style="53" customWidth="1"/>
    <col min="6174" max="6176" width="9" style="53"/>
    <col min="6177" max="6177" width="14.75" style="53" bestFit="1" customWidth="1"/>
    <col min="6178" max="6400" width="9" style="53"/>
    <col min="6401" max="6403" width="9" style="53" customWidth="1"/>
    <col min="6404" max="6404" width="10.375" style="53" customWidth="1"/>
    <col min="6405" max="6405" width="11.25" style="53" bestFit="1" customWidth="1"/>
    <col min="6406" max="6407" width="9" style="53"/>
    <col min="6408" max="6417" width="9" style="53" customWidth="1"/>
    <col min="6418" max="6418" width="9" style="53"/>
    <col min="6419" max="6419" width="9.375" style="53" bestFit="1" customWidth="1"/>
    <col min="6420" max="6420" width="9" style="53" customWidth="1"/>
    <col min="6421" max="6421" width="9" style="53"/>
    <col min="6422" max="6422" width="9" style="53" customWidth="1"/>
    <col min="6423" max="6428" width="9" style="53"/>
    <col min="6429" max="6429" width="26.375" style="53" customWidth="1"/>
    <col min="6430" max="6432" width="9" style="53"/>
    <col min="6433" max="6433" width="14.75" style="53" bestFit="1" customWidth="1"/>
    <col min="6434" max="6656" width="9" style="53"/>
    <col min="6657" max="6659" width="9" style="53" customWidth="1"/>
    <col min="6660" max="6660" width="10.375" style="53" customWidth="1"/>
    <col min="6661" max="6661" width="11.25" style="53" bestFit="1" customWidth="1"/>
    <col min="6662" max="6663" width="9" style="53"/>
    <col min="6664" max="6673" width="9" style="53" customWidth="1"/>
    <col min="6674" max="6674" width="9" style="53"/>
    <col min="6675" max="6675" width="9.375" style="53" bestFit="1" customWidth="1"/>
    <col min="6676" max="6676" width="9" style="53" customWidth="1"/>
    <col min="6677" max="6677" width="9" style="53"/>
    <col min="6678" max="6678" width="9" style="53" customWidth="1"/>
    <col min="6679" max="6684" width="9" style="53"/>
    <col min="6685" max="6685" width="26.375" style="53" customWidth="1"/>
    <col min="6686" max="6688" width="9" style="53"/>
    <col min="6689" max="6689" width="14.75" style="53" bestFit="1" customWidth="1"/>
    <col min="6690" max="6912" width="9" style="53"/>
    <col min="6913" max="6915" width="9" style="53" customWidth="1"/>
    <col min="6916" max="6916" width="10.375" style="53" customWidth="1"/>
    <col min="6917" max="6917" width="11.25" style="53" bestFit="1" customWidth="1"/>
    <col min="6918" max="6919" width="9" style="53"/>
    <col min="6920" max="6929" width="9" style="53" customWidth="1"/>
    <col min="6930" max="6930" width="9" style="53"/>
    <col min="6931" max="6931" width="9.375" style="53" bestFit="1" customWidth="1"/>
    <col min="6932" max="6932" width="9" style="53" customWidth="1"/>
    <col min="6933" max="6933" width="9" style="53"/>
    <col min="6934" max="6934" width="9" style="53" customWidth="1"/>
    <col min="6935" max="6940" width="9" style="53"/>
    <col min="6941" max="6941" width="26.375" style="53" customWidth="1"/>
    <col min="6942" max="6944" width="9" style="53"/>
    <col min="6945" max="6945" width="14.75" style="53" bestFit="1" customWidth="1"/>
    <col min="6946" max="7168" width="9" style="53"/>
    <col min="7169" max="7171" width="9" style="53" customWidth="1"/>
    <col min="7172" max="7172" width="10.375" style="53" customWidth="1"/>
    <col min="7173" max="7173" width="11.25" style="53" bestFit="1" customWidth="1"/>
    <col min="7174" max="7175" width="9" style="53"/>
    <col min="7176" max="7185" width="9" style="53" customWidth="1"/>
    <col min="7186" max="7186" width="9" style="53"/>
    <col min="7187" max="7187" width="9.375" style="53" bestFit="1" customWidth="1"/>
    <col min="7188" max="7188" width="9" style="53" customWidth="1"/>
    <col min="7189" max="7189" width="9" style="53"/>
    <col min="7190" max="7190" width="9" style="53" customWidth="1"/>
    <col min="7191" max="7196" width="9" style="53"/>
    <col min="7197" max="7197" width="26.375" style="53" customWidth="1"/>
    <col min="7198" max="7200" width="9" style="53"/>
    <col min="7201" max="7201" width="14.75" style="53" bestFit="1" customWidth="1"/>
    <col min="7202" max="7424" width="9" style="53"/>
    <col min="7425" max="7427" width="9" style="53" customWidth="1"/>
    <col min="7428" max="7428" width="10.375" style="53" customWidth="1"/>
    <col min="7429" max="7429" width="11.25" style="53" bestFit="1" customWidth="1"/>
    <col min="7430" max="7431" width="9" style="53"/>
    <col min="7432" max="7441" width="9" style="53" customWidth="1"/>
    <col min="7442" max="7442" width="9" style="53"/>
    <col min="7443" max="7443" width="9.375" style="53" bestFit="1" customWidth="1"/>
    <col min="7444" max="7444" width="9" style="53" customWidth="1"/>
    <col min="7445" max="7445" width="9" style="53"/>
    <col min="7446" max="7446" width="9" style="53" customWidth="1"/>
    <col min="7447" max="7452" width="9" style="53"/>
    <col min="7453" max="7453" width="26.375" style="53" customWidth="1"/>
    <col min="7454" max="7456" width="9" style="53"/>
    <col min="7457" max="7457" width="14.75" style="53" bestFit="1" customWidth="1"/>
    <col min="7458" max="7680" width="9" style="53"/>
    <col min="7681" max="7683" width="9" style="53" customWidth="1"/>
    <col min="7684" max="7684" width="10.375" style="53" customWidth="1"/>
    <col min="7685" max="7685" width="11.25" style="53" bestFit="1" customWidth="1"/>
    <col min="7686" max="7687" width="9" style="53"/>
    <col min="7688" max="7697" width="9" style="53" customWidth="1"/>
    <col min="7698" max="7698" width="9" style="53"/>
    <col min="7699" max="7699" width="9.375" style="53" bestFit="1" customWidth="1"/>
    <col min="7700" max="7700" width="9" style="53" customWidth="1"/>
    <col min="7701" max="7701" width="9" style="53"/>
    <col min="7702" max="7702" width="9" style="53" customWidth="1"/>
    <col min="7703" max="7708" width="9" style="53"/>
    <col min="7709" max="7709" width="26.375" style="53" customWidth="1"/>
    <col min="7710" max="7712" width="9" style="53"/>
    <col min="7713" max="7713" width="14.75" style="53" bestFit="1" customWidth="1"/>
    <col min="7714" max="7936" width="9" style="53"/>
    <col min="7937" max="7939" width="9" style="53" customWidth="1"/>
    <col min="7940" max="7940" width="10.375" style="53" customWidth="1"/>
    <col min="7941" max="7941" width="11.25" style="53" bestFit="1" customWidth="1"/>
    <col min="7942" max="7943" width="9" style="53"/>
    <col min="7944" max="7953" width="9" style="53" customWidth="1"/>
    <col min="7954" max="7954" width="9" style="53"/>
    <col min="7955" max="7955" width="9.375" style="53" bestFit="1" customWidth="1"/>
    <col min="7956" max="7956" width="9" style="53" customWidth="1"/>
    <col min="7957" max="7957" width="9" style="53"/>
    <col min="7958" max="7958" width="9" style="53" customWidth="1"/>
    <col min="7959" max="7964" width="9" style="53"/>
    <col min="7965" max="7965" width="26.375" style="53" customWidth="1"/>
    <col min="7966" max="7968" width="9" style="53"/>
    <col min="7969" max="7969" width="14.75" style="53" bestFit="1" customWidth="1"/>
    <col min="7970" max="8192" width="9" style="53"/>
    <col min="8193" max="8195" width="9" style="53" customWidth="1"/>
    <col min="8196" max="8196" width="10.375" style="53" customWidth="1"/>
    <col min="8197" max="8197" width="11.25" style="53" bestFit="1" customWidth="1"/>
    <col min="8198" max="8199" width="9" style="53"/>
    <col min="8200" max="8209" width="9" style="53" customWidth="1"/>
    <col min="8210" max="8210" width="9" style="53"/>
    <col min="8211" max="8211" width="9.375" style="53" bestFit="1" customWidth="1"/>
    <col min="8212" max="8212" width="9" style="53" customWidth="1"/>
    <col min="8213" max="8213" width="9" style="53"/>
    <col min="8214" max="8214" width="9" style="53" customWidth="1"/>
    <col min="8215" max="8220" width="9" style="53"/>
    <col min="8221" max="8221" width="26.375" style="53" customWidth="1"/>
    <col min="8222" max="8224" width="9" style="53"/>
    <col min="8225" max="8225" width="14.75" style="53" bestFit="1" customWidth="1"/>
    <col min="8226" max="8448" width="9" style="53"/>
    <col min="8449" max="8451" width="9" style="53" customWidth="1"/>
    <col min="8452" max="8452" width="10.375" style="53" customWidth="1"/>
    <col min="8453" max="8453" width="11.25" style="53" bestFit="1" customWidth="1"/>
    <col min="8454" max="8455" width="9" style="53"/>
    <col min="8456" max="8465" width="9" style="53" customWidth="1"/>
    <col min="8466" max="8466" width="9" style="53"/>
    <col min="8467" max="8467" width="9.375" style="53" bestFit="1" customWidth="1"/>
    <col min="8468" max="8468" width="9" style="53" customWidth="1"/>
    <col min="8469" max="8469" width="9" style="53"/>
    <col min="8470" max="8470" width="9" style="53" customWidth="1"/>
    <col min="8471" max="8476" width="9" style="53"/>
    <col min="8477" max="8477" width="26.375" style="53" customWidth="1"/>
    <col min="8478" max="8480" width="9" style="53"/>
    <col min="8481" max="8481" width="14.75" style="53" bestFit="1" customWidth="1"/>
    <col min="8482" max="8704" width="9" style="53"/>
    <col min="8705" max="8707" width="9" style="53" customWidth="1"/>
    <col min="8708" max="8708" width="10.375" style="53" customWidth="1"/>
    <col min="8709" max="8709" width="11.25" style="53" bestFit="1" customWidth="1"/>
    <col min="8710" max="8711" width="9" style="53"/>
    <col min="8712" max="8721" width="9" style="53" customWidth="1"/>
    <col min="8722" max="8722" width="9" style="53"/>
    <col min="8723" max="8723" width="9.375" style="53" bestFit="1" customWidth="1"/>
    <col min="8724" max="8724" width="9" style="53" customWidth="1"/>
    <col min="8725" max="8725" width="9" style="53"/>
    <col min="8726" max="8726" width="9" style="53" customWidth="1"/>
    <col min="8727" max="8732" width="9" style="53"/>
    <col min="8733" max="8733" width="26.375" style="53" customWidth="1"/>
    <col min="8734" max="8736" width="9" style="53"/>
    <col min="8737" max="8737" width="14.75" style="53" bestFit="1" customWidth="1"/>
    <col min="8738" max="8960" width="9" style="53"/>
    <col min="8961" max="8963" width="9" style="53" customWidth="1"/>
    <col min="8964" max="8964" width="10.375" style="53" customWidth="1"/>
    <col min="8965" max="8965" width="11.25" style="53" bestFit="1" customWidth="1"/>
    <col min="8966" max="8967" width="9" style="53"/>
    <col min="8968" max="8977" width="9" style="53" customWidth="1"/>
    <col min="8978" max="8978" width="9" style="53"/>
    <col min="8979" max="8979" width="9.375" style="53" bestFit="1" customWidth="1"/>
    <col min="8980" max="8980" width="9" style="53" customWidth="1"/>
    <col min="8981" max="8981" width="9" style="53"/>
    <col min="8982" max="8982" width="9" style="53" customWidth="1"/>
    <col min="8983" max="8988" width="9" style="53"/>
    <col min="8989" max="8989" width="26.375" style="53" customWidth="1"/>
    <col min="8990" max="8992" width="9" style="53"/>
    <col min="8993" max="8993" width="14.75" style="53" bestFit="1" customWidth="1"/>
    <col min="8994" max="9216" width="9" style="53"/>
    <col min="9217" max="9219" width="9" style="53" customWidth="1"/>
    <col min="9220" max="9220" width="10.375" style="53" customWidth="1"/>
    <col min="9221" max="9221" width="11.25" style="53" bestFit="1" customWidth="1"/>
    <col min="9222" max="9223" width="9" style="53"/>
    <col min="9224" max="9233" width="9" style="53" customWidth="1"/>
    <col min="9234" max="9234" width="9" style="53"/>
    <col min="9235" max="9235" width="9.375" style="53" bestFit="1" customWidth="1"/>
    <col min="9236" max="9236" width="9" style="53" customWidth="1"/>
    <col min="9237" max="9237" width="9" style="53"/>
    <col min="9238" max="9238" width="9" style="53" customWidth="1"/>
    <col min="9239" max="9244" width="9" style="53"/>
    <col min="9245" max="9245" width="26.375" style="53" customWidth="1"/>
    <col min="9246" max="9248" width="9" style="53"/>
    <col min="9249" max="9249" width="14.75" style="53" bestFit="1" customWidth="1"/>
    <col min="9250" max="9472" width="9" style="53"/>
    <col min="9473" max="9475" width="9" style="53" customWidth="1"/>
    <col min="9476" max="9476" width="10.375" style="53" customWidth="1"/>
    <col min="9477" max="9477" width="11.25" style="53" bestFit="1" customWidth="1"/>
    <col min="9478" max="9479" width="9" style="53"/>
    <col min="9480" max="9489" width="9" style="53" customWidth="1"/>
    <col min="9490" max="9490" width="9" style="53"/>
    <col min="9491" max="9491" width="9.375" style="53" bestFit="1" customWidth="1"/>
    <col min="9492" max="9492" width="9" style="53" customWidth="1"/>
    <col min="9493" max="9493" width="9" style="53"/>
    <col min="9494" max="9494" width="9" style="53" customWidth="1"/>
    <col min="9495" max="9500" width="9" style="53"/>
    <col min="9501" max="9501" width="26.375" style="53" customWidth="1"/>
    <col min="9502" max="9504" width="9" style="53"/>
    <col min="9505" max="9505" width="14.75" style="53" bestFit="1" customWidth="1"/>
    <col min="9506" max="9728" width="9" style="53"/>
    <col min="9729" max="9731" width="9" style="53" customWidth="1"/>
    <col min="9732" max="9732" width="10.375" style="53" customWidth="1"/>
    <col min="9733" max="9733" width="11.25" style="53" bestFit="1" customWidth="1"/>
    <col min="9734" max="9735" width="9" style="53"/>
    <col min="9736" max="9745" width="9" style="53" customWidth="1"/>
    <col min="9746" max="9746" width="9" style="53"/>
    <col min="9747" max="9747" width="9.375" style="53" bestFit="1" customWidth="1"/>
    <col min="9748" max="9748" width="9" style="53" customWidth="1"/>
    <col min="9749" max="9749" width="9" style="53"/>
    <col min="9750" max="9750" width="9" style="53" customWidth="1"/>
    <col min="9751" max="9756" width="9" style="53"/>
    <col min="9757" max="9757" width="26.375" style="53" customWidth="1"/>
    <col min="9758" max="9760" width="9" style="53"/>
    <col min="9761" max="9761" width="14.75" style="53" bestFit="1" customWidth="1"/>
    <col min="9762" max="9984" width="9" style="53"/>
    <col min="9985" max="9987" width="9" style="53" customWidth="1"/>
    <col min="9988" max="9988" width="10.375" style="53" customWidth="1"/>
    <col min="9989" max="9989" width="11.25" style="53" bestFit="1" customWidth="1"/>
    <col min="9990" max="9991" width="9" style="53"/>
    <col min="9992" max="10001" width="9" style="53" customWidth="1"/>
    <col min="10002" max="10002" width="9" style="53"/>
    <col min="10003" max="10003" width="9.375" style="53" bestFit="1" customWidth="1"/>
    <col min="10004" max="10004" width="9" style="53" customWidth="1"/>
    <col min="10005" max="10005" width="9" style="53"/>
    <col min="10006" max="10006" width="9" style="53" customWidth="1"/>
    <col min="10007" max="10012" width="9" style="53"/>
    <col min="10013" max="10013" width="26.375" style="53" customWidth="1"/>
    <col min="10014" max="10016" width="9" style="53"/>
    <col min="10017" max="10017" width="14.75" style="53" bestFit="1" customWidth="1"/>
    <col min="10018" max="10240" width="9" style="53"/>
    <col min="10241" max="10243" width="9" style="53" customWidth="1"/>
    <col min="10244" max="10244" width="10.375" style="53" customWidth="1"/>
    <col min="10245" max="10245" width="11.25" style="53" bestFit="1" customWidth="1"/>
    <col min="10246" max="10247" width="9" style="53"/>
    <col min="10248" max="10257" width="9" style="53" customWidth="1"/>
    <col min="10258" max="10258" width="9" style="53"/>
    <col min="10259" max="10259" width="9.375" style="53" bestFit="1" customWidth="1"/>
    <col min="10260" max="10260" width="9" style="53" customWidth="1"/>
    <col min="10261" max="10261" width="9" style="53"/>
    <col min="10262" max="10262" width="9" style="53" customWidth="1"/>
    <col min="10263" max="10268" width="9" style="53"/>
    <col min="10269" max="10269" width="26.375" style="53" customWidth="1"/>
    <col min="10270" max="10272" width="9" style="53"/>
    <col min="10273" max="10273" width="14.75" style="53" bestFit="1" customWidth="1"/>
    <col min="10274" max="10496" width="9" style="53"/>
    <col min="10497" max="10499" width="9" style="53" customWidth="1"/>
    <col min="10500" max="10500" width="10.375" style="53" customWidth="1"/>
    <col min="10501" max="10501" width="11.25" style="53" bestFit="1" customWidth="1"/>
    <col min="10502" max="10503" width="9" style="53"/>
    <col min="10504" max="10513" width="9" style="53" customWidth="1"/>
    <col min="10514" max="10514" width="9" style="53"/>
    <col min="10515" max="10515" width="9.375" style="53" bestFit="1" customWidth="1"/>
    <col min="10516" max="10516" width="9" style="53" customWidth="1"/>
    <col min="10517" max="10517" width="9" style="53"/>
    <col min="10518" max="10518" width="9" style="53" customWidth="1"/>
    <col min="10519" max="10524" width="9" style="53"/>
    <col min="10525" max="10525" width="26.375" style="53" customWidth="1"/>
    <col min="10526" max="10528" width="9" style="53"/>
    <col min="10529" max="10529" width="14.75" style="53" bestFit="1" customWidth="1"/>
    <col min="10530" max="10752" width="9" style="53"/>
    <col min="10753" max="10755" width="9" style="53" customWidth="1"/>
    <col min="10756" max="10756" width="10.375" style="53" customWidth="1"/>
    <col min="10757" max="10757" width="11.25" style="53" bestFit="1" customWidth="1"/>
    <col min="10758" max="10759" width="9" style="53"/>
    <col min="10760" max="10769" width="9" style="53" customWidth="1"/>
    <col min="10770" max="10770" width="9" style="53"/>
    <col min="10771" max="10771" width="9.375" style="53" bestFit="1" customWidth="1"/>
    <col min="10772" max="10772" width="9" style="53" customWidth="1"/>
    <col min="10773" max="10773" width="9" style="53"/>
    <col min="10774" max="10774" width="9" style="53" customWidth="1"/>
    <col min="10775" max="10780" width="9" style="53"/>
    <col min="10781" max="10781" width="26.375" style="53" customWidth="1"/>
    <col min="10782" max="10784" width="9" style="53"/>
    <col min="10785" max="10785" width="14.75" style="53" bestFit="1" customWidth="1"/>
    <col min="10786" max="11008" width="9" style="53"/>
    <col min="11009" max="11011" width="9" style="53" customWidth="1"/>
    <col min="11012" max="11012" width="10.375" style="53" customWidth="1"/>
    <col min="11013" max="11013" width="11.25" style="53" bestFit="1" customWidth="1"/>
    <col min="11014" max="11015" width="9" style="53"/>
    <col min="11016" max="11025" width="9" style="53" customWidth="1"/>
    <col min="11026" max="11026" width="9" style="53"/>
    <col min="11027" max="11027" width="9.375" style="53" bestFit="1" customWidth="1"/>
    <col min="11028" max="11028" width="9" style="53" customWidth="1"/>
    <col min="11029" max="11029" width="9" style="53"/>
    <col min="11030" max="11030" width="9" style="53" customWidth="1"/>
    <col min="11031" max="11036" width="9" style="53"/>
    <col min="11037" max="11037" width="26.375" style="53" customWidth="1"/>
    <col min="11038" max="11040" width="9" style="53"/>
    <col min="11041" max="11041" width="14.75" style="53" bestFit="1" customWidth="1"/>
    <col min="11042" max="11264" width="9" style="53"/>
    <col min="11265" max="11267" width="9" style="53" customWidth="1"/>
    <col min="11268" max="11268" width="10.375" style="53" customWidth="1"/>
    <col min="11269" max="11269" width="11.25" style="53" bestFit="1" customWidth="1"/>
    <col min="11270" max="11271" width="9" style="53"/>
    <col min="11272" max="11281" width="9" style="53" customWidth="1"/>
    <col min="11282" max="11282" width="9" style="53"/>
    <col min="11283" max="11283" width="9.375" style="53" bestFit="1" customWidth="1"/>
    <col min="11284" max="11284" width="9" style="53" customWidth="1"/>
    <col min="11285" max="11285" width="9" style="53"/>
    <col min="11286" max="11286" width="9" style="53" customWidth="1"/>
    <col min="11287" max="11292" width="9" style="53"/>
    <col min="11293" max="11293" width="26.375" style="53" customWidth="1"/>
    <col min="11294" max="11296" width="9" style="53"/>
    <col min="11297" max="11297" width="14.75" style="53" bestFit="1" customWidth="1"/>
    <col min="11298" max="11520" width="9" style="53"/>
    <col min="11521" max="11523" width="9" style="53" customWidth="1"/>
    <col min="11524" max="11524" width="10.375" style="53" customWidth="1"/>
    <col min="11525" max="11525" width="11.25" style="53" bestFit="1" customWidth="1"/>
    <col min="11526" max="11527" width="9" style="53"/>
    <col min="11528" max="11537" width="9" style="53" customWidth="1"/>
    <col min="11538" max="11538" width="9" style="53"/>
    <col min="11539" max="11539" width="9.375" style="53" bestFit="1" customWidth="1"/>
    <col min="11540" max="11540" width="9" style="53" customWidth="1"/>
    <col min="11541" max="11541" width="9" style="53"/>
    <col min="11542" max="11542" width="9" style="53" customWidth="1"/>
    <col min="11543" max="11548" width="9" style="53"/>
    <col min="11549" max="11549" width="26.375" style="53" customWidth="1"/>
    <col min="11550" max="11552" width="9" style="53"/>
    <col min="11553" max="11553" width="14.75" style="53" bestFit="1" customWidth="1"/>
    <col min="11554" max="11776" width="9" style="53"/>
    <col min="11777" max="11779" width="9" style="53" customWidth="1"/>
    <col min="11780" max="11780" width="10.375" style="53" customWidth="1"/>
    <col min="11781" max="11781" width="11.25" style="53" bestFit="1" customWidth="1"/>
    <col min="11782" max="11783" width="9" style="53"/>
    <col min="11784" max="11793" width="9" style="53" customWidth="1"/>
    <col min="11794" max="11794" width="9" style="53"/>
    <col min="11795" max="11795" width="9.375" style="53" bestFit="1" customWidth="1"/>
    <col min="11796" max="11796" width="9" style="53" customWidth="1"/>
    <col min="11797" max="11797" width="9" style="53"/>
    <col min="11798" max="11798" width="9" style="53" customWidth="1"/>
    <col min="11799" max="11804" width="9" style="53"/>
    <col min="11805" max="11805" width="26.375" style="53" customWidth="1"/>
    <col min="11806" max="11808" width="9" style="53"/>
    <col min="11809" max="11809" width="14.75" style="53" bestFit="1" customWidth="1"/>
    <col min="11810" max="12032" width="9" style="53"/>
    <col min="12033" max="12035" width="9" style="53" customWidth="1"/>
    <col min="12036" max="12036" width="10.375" style="53" customWidth="1"/>
    <col min="12037" max="12037" width="11.25" style="53" bestFit="1" customWidth="1"/>
    <col min="12038" max="12039" width="9" style="53"/>
    <col min="12040" max="12049" width="9" style="53" customWidth="1"/>
    <col min="12050" max="12050" width="9" style="53"/>
    <col min="12051" max="12051" width="9.375" style="53" bestFit="1" customWidth="1"/>
    <col min="12052" max="12052" width="9" style="53" customWidth="1"/>
    <col min="12053" max="12053" width="9" style="53"/>
    <col min="12054" max="12054" width="9" style="53" customWidth="1"/>
    <col min="12055" max="12060" width="9" style="53"/>
    <col min="12061" max="12061" width="26.375" style="53" customWidth="1"/>
    <col min="12062" max="12064" width="9" style="53"/>
    <col min="12065" max="12065" width="14.75" style="53" bestFit="1" customWidth="1"/>
    <col min="12066" max="12288" width="9" style="53"/>
    <col min="12289" max="12291" width="9" style="53" customWidth="1"/>
    <col min="12292" max="12292" width="10.375" style="53" customWidth="1"/>
    <col min="12293" max="12293" width="11.25" style="53" bestFit="1" customWidth="1"/>
    <col min="12294" max="12295" width="9" style="53"/>
    <col min="12296" max="12305" width="9" style="53" customWidth="1"/>
    <col min="12306" max="12306" width="9" style="53"/>
    <col min="12307" max="12307" width="9.375" style="53" bestFit="1" customWidth="1"/>
    <col min="12308" max="12308" width="9" style="53" customWidth="1"/>
    <col min="12309" max="12309" width="9" style="53"/>
    <col min="12310" max="12310" width="9" style="53" customWidth="1"/>
    <col min="12311" max="12316" width="9" style="53"/>
    <col min="12317" max="12317" width="26.375" style="53" customWidth="1"/>
    <col min="12318" max="12320" width="9" style="53"/>
    <col min="12321" max="12321" width="14.75" style="53" bestFit="1" customWidth="1"/>
    <col min="12322" max="12544" width="9" style="53"/>
    <col min="12545" max="12547" width="9" style="53" customWidth="1"/>
    <col min="12548" max="12548" width="10.375" style="53" customWidth="1"/>
    <col min="12549" max="12549" width="11.25" style="53" bestFit="1" customWidth="1"/>
    <col min="12550" max="12551" width="9" style="53"/>
    <col min="12552" max="12561" width="9" style="53" customWidth="1"/>
    <col min="12562" max="12562" width="9" style="53"/>
    <col min="12563" max="12563" width="9.375" style="53" bestFit="1" customWidth="1"/>
    <col min="12564" max="12564" width="9" style="53" customWidth="1"/>
    <col min="12565" max="12565" width="9" style="53"/>
    <col min="12566" max="12566" width="9" style="53" customWidth="1"/>
    <col min="12567" max="12572" width="9" style="53"/>
    <col min="12573" max="12573" width="26.375" style="53" customWidth="1"/>
    <col min="12574" max="12576" width="9" style="53"/>
    <col min="12577" max="12577" width="14.75" style="53" bestFit="1" customWidth="1"/>
    <col min="12578" max="12800" width="9" style="53"/>
    <col min="12801" max="12803" width="9" style="53" customWidth="1"/>
    <col min="12804" max="12804" width="10.375" style="53" customWidth="1"/>
    <col min="12805" max="12805" width="11.25" style="53" bestFit="1" customWidth="1"/>
    <col min="12806" max="12807" width="9" style="53"/>
    <col min="12808" max="12817" width="9" style="53" customWidth="1"/>
    <col min="12818" max="12818" width="9" style="53"/>
    <col min="12819" max="12819" width="9.375" style="53" bestFit="1" customWidth="1"/>
    <col min="12820" max="12820" width="9" style="53" customWidth="1"/>
    <col min="12821" max="12821" width="9" style="53"/>
    <col min="12822" max="12822" width="9" style="53" customWidth="1"/>
    <col min="12823" max="12828" width="9" style="53"/>
    <col min="12829" max="12829" width="26.375" style="53" customWidth="1"/>
    <col min="12830" max="12832" width="9" style="53"/>
    <col min="12833" max="12833" width="14.75" style="53" bestFit="1" customWidth="1"/>
    <col min="12834" max="13056" width="9" style="53"/>
    <col min="13057" max="13059" width="9" style="53" customWidth="1"/>
    <col min="13060" max="13060" width="10.375" style="53" customWidth="1"/>
    <col min="13061" max="13061" width="11.25" style="53" bestFit="1" customWidth="1"/>
    <col min="13062" max="13063" width="9" style="53"/>
    <col min="13064" max="13073" width="9" style="53" customWidth="1"/>
    <col min="13074" max="13074" width="9" style="53"/>
    <col min="13075" max="13075" width="9.375" style="53" bestFit="1" customWidth="1"/>
    <col min="13076" max="13076" width="9" style="53" customWidth="1"/>
    <col min="13077" max="13077" width="9" style="53"/>
    <col min="13078" max="13078" width="9" style="53" customWidth="1"/>
    <col min="13079" max="13084" width="9" style="53"/>
    <col min="13085" max="13085" width="26.375" style="53" customWidth="1"/>
    <col min="13086" max="13088" width="9" style="53"/>
    <col min="13089" max="13089" width="14.75" style="53" bestFit="1" customWidth="1"/>
    <col min="13090" max="13312" width="9" style="53"/>
    <col min="13313" max="13315" width="9" style="53" customWidth="1"/>
    <col min="13316" max="13316" width="10.375" style="53" customWidth="1"/>
    <col min="13317" max="13317" width="11.25" style="53" bestFit="1" customWidth="1"/>
    <col min="13318" max="13319" width="9" style="53"/>
    <col min="13320" max="13329" width="9" style="53" customWidth="1"/>
    <col min="13330" max="13330" width="9" style="53"/>
    <col min="13331" max="13331" width="9.375" style="53" bestFit="1" customWidth="1"/>
    <col min="13332" max="13332" width="9" style="53" customWidth="1"/>
    <col min="13333" max="13333" width="9" style="53"/>
    <col min="13334" max="13334" width="9" style="53" customWidth="1"/>
    <col min="13335" max="13340" width="9" style="53"/>
    <col min="13341" max="13341" width="26.375" style="53" customWidth="1"/>
    <col min="13342" max="13344" width="9" style="53"/>
    <col min="13345" max="13345" width="14.75" style="53" bestFit="1" customWidth="1"/>
    <col min="13346" max="13568" width="9" style="53"/>
    <col min="13569" max="13571" width="9" style="53" customWidth="1"/>
    <col min="13572" max="13572" width="10.375" style="53" customWidth="1"/>
    <col min="13573" max="13573" width="11.25" style="53" bestFit="1" customWidth="1"/>
    <col min="13574" max="13575" width="9" style="53"/>
    <col min="13576" max="13585" width="9" style="53" customWidth="1"/>
    <col min="13586" max="13586" width="9" style="53"/>
    <col min="13587" max="13587" width="9.375" style="53" bestFit="1" customWidth="1"/>
    <col min="13588" max="13588" width="9" style="53" customWidth="1"/>
    <col min="13589" max="13589" width="9" style="53"/>
    <col min="13590" max="13590" width="9" style="53" customWidth="1"/>
    <col min="13591" max="13596" width="9" style="53"/>
    <col min="13597" max="13597" width="26.375" style="53" customWidth="1"/>
    <col min="13598" max="13600" width="9" style="53"/>
    <col min="13601" max="13601" width="14.75" style="53" bestFit="1" customWidth="1"/>
    <col min="13602" max="13824" width="9" style="53"/>
    <col min="13825" max="13827" width="9" style="53" customWidth="1"/>
    <col min="13828" max="13828" width="10.375" style="53" customWidth="1"/>
    <col min="13829" max="13829" width="11.25" style="53" bestFit="1" customWidth="1"/>
    <col min="13830" max="13831" width="9" style="53"/>
    <col min="13832" max="13841" width="9" style="53" customWidth="1"/>
    <col min="13842" max="13842" width="9" style="53"/>
    <col min="13843" max="13843" width="9.375" style="53" bestFit="1" customWidth="1"/>
    <col min="13844" max="13844" width="9" style="53" customWidth="1"/>
    <col min="13845" max="13845" width="9" style="53"/>
    <col min="13846" max="13846" width="9" style="53" customWidth="1"/>
    <col min="13847" max="13852" width="9" style="53"/>
    <col min="13853" max="13853" width="26.375" style="53" customWidth="1"/>
    <col min="13854" max="13856" width="9" style="53"/>
    <col min="13857" max="13857" width="14.75" style="53" bestFit="1" customWidth="1"/>
    <col min="13858" max="14080" width="9" style="53"/>
    <col min="14081" max="14083" width="9" style="53" customWidth="1"/>
    <col min="14084" max="14084" width="10.375" style="53" customWidth="1"/>
    <col min="14085" max="14085" width="11.25" style="53" bestFit="1" customWidth="1"/>
    <col min="14086" max="14087" width="9" style="53"/>
    <col min="14088" max="14097" width="9" style="53" customWidth="1"/>
    <col min="14098" max="14098" width="9" style="53"/>
    <col min="14099" max="14099" width="9.375" style="53" bestFit="1" customWidth="1"/>
    <col min="14100" max="14100" width="9" style="53" customWidth="1"/>
    <col min="14101" max="14101" width="9" style="53"/>
    <col min="14102" max="14102" width="9" style="53" customWidth="1"/>
    <col min="14103" max="14108" width="9" style="53"/>
    <col min="14109" max="14109" width="26.375" style="53" customWidth="1"/>
    <col min="14110" max="14112" width="9" style="53"/>
    <col min="14113" max="14113" width="14.75" style="53" bestFit="1" customWidth="1"/>
    <col min="14114" max="14336" width="9" style="53"/>
    <col min="14337" max="14339" width="9" style="53" customWidth="1"/>
    <col min="14340" max="14340" width="10.375" style="53" customWidth="1"/>
    <col min="14341" max="14341" width="11.25" style="53" bestFit="1" customWidth="1"/>
    <col min="14342" max="14343" width="9" style="53"/>
    <col min="14344" max="14353" width="9" style="53" customWidth="1"/>
    <col min="14354" max="14354" width="9" style="53"/>
    <col min="14355" max="14355" width="9.375" style="53" bestFit="1" customWidth="1"/>
    <col min="14356" max="14356" width="9" style="53" customWidth="1"/>
    <col min="14357" max="14357" width="9" style="53"/>
    <col min="14358" max="14358" width="9" style="53" customWidth="1"/>
    <col min="14359" max="14364" width="9" style="53"/>
    <col min="14365" max="14365" width="26.375" style="53" customWidth="1"/>
    <col min="14366" max="14368" width="9" style="53"/>
    <col min="14369" max="14369" width="14.75" style="53" bestFit="1" customWidth="1"/>
    <col min="14370" max="14592" width="9" style="53"/>
    <col min="14593" max="14595" width="9" style="53" customWidth="1"/>
    <col min="14596" max="14596" width="10.375" style="53" customWidth="1"/>
    <col min="14597" max="14597" width="11.25" style="53" bestFit="1" customWidth="1"/>
    <col min="14598" max="14599" width="9" style="53"/>
    <col min="14600" max="14609" width="9" style="53" customWidth="1"/>
    <col min="14610" max="14610" width="9" style="53"/>
    <col min="14611" max="14611" width="9.375" style="53" bestFit="1" customWidth="1"/>
    <col min="14612" max="14612" width="9" style="53" customWidth="1"/>
    <col min="14613" max="14613" width="9" style="53"/>
    <col min="14614" max="14614" width="9" style="53" customWidth="1"/>
    <col min="14615" max="14620" width="9" style="53"/>
    <col min="14621" max="14621" width="26.375" style="53" customWidth="1"/>
    <col min="14622" max="14624" width="9" style="53"/>
    <col min="14625" max="14625" width="14.75" style="53" bestFit="1" customWidth="1"/>
    <col min="14626" max="14848" width="9" style="53"/>
    <col min="14849" max="14851" width="9" style="53" customWidth="1"/>
    <col min="14852" max="14852" width="10.375" style="53" customWidth="1"/>
    <col min="14853" max="14853" width="11.25" style="53" bestFit="1" customWidth="1"/>
    <col min="14854" max="14855" width="9" style="53"/>
    <col min="14856" max="14865" width="9" style="53" customWidth="1"/>
    <col min="14866" max="14866" width="9" style="53"/>
    <col min="14867" max="14867" width="9.375" style="53" bestFit="1" customWidth="1"/>
    <col min="14868" max="14868" width="9" style="53" customWidth="1"/>
    <col min="14869" max="14869" width="9" style="53"/>
    <col min="14870" max="14870" width="9" style="53" customWidth="1"/>
    <col min="14871" max="14876" width="9" style="53"/>
    <col min="14877" max="14877" width="26.375" style="53" customWidth="1"/>
    <col min="14878" max="14880" width="9" style="53"/>
    <col min="14881" max="14881" width="14.75" style="53" bestFit="1" customWidth="1"/>
    <col min="14882" max="15104" width="9" style="53"/>
    <col min="15105" max="15107" width="9" style="53" customWidth="1"/>
    <col min="15108" max="15108" width="10.375" style="53" customWidth="1"/>
    <col min="15109" max="15109" width="11.25" style="53" bestFit="1" customWidth="1"/>
    <col min="15110" max="15111" width="9" style="53"/>
    <col min="15112" max="15121" width="9" style="53" customWidth="1"/>
    <col min="15122" max="15122" width="9" style="53"/>
    <col min="15123" max="15123" width="9.375" style="53" bestFit="1" customWidth="1"/>
    <col min="15124" max="15124" width="9" style="53" customWidth="1"/>
    <col min="15125" max="15125" width="9" style="53"/>
    <col min="15126" max="15126" width="9" style="53" customWidth="1"/>
    <col min="15127" max="15132" width="9" style="53"/>
    <col min="15133" max="15133" width="26.375" style="53" customWidth="1"/>
    <col min="15134" max="15136" width="9" style="53"/>
    <col min="15137" max="15137" width="14.75" style="53" bestFit="1" customWidth="1"/>
    <col min="15138" max="15360" width="9" style="53"/>
    <col min="15361" max="15363" width="9" style="53" customWidth="1"/>
    <col min="15364" max="15364" width="10.375" style="53" customWidth="1"/>
    <col min="15365" max="15365" width="11.25" style="53" bestFit="1" customWidth="1"/>
    <col min="15366" max="15367" width="9" style="53"/>
    <col min="15368" max="15377" width="9" style="53" customWidth="1"/>
    <col min="15378" max="15378" width="9" style="53"/>
    <col min="15379" max="15379" width="9.375" style="53" bestFit="1" customWidth="1"/>
    <col min="15380" max="15380" width="9" style="53" customWidth="1"/>
    <col min="15381" max="15381" width="9" style="53"/>
    <col min="15382" max="15382" width="9" style="53" customWidth="1"/>
    <col min="15383" max="15388" width="9" style="53"/>
    <col min="15389" max="15389" width="26.375" style="53" customWidth="1"/>
    <col min="15390" max="15392" width="9" style="53"/>
    <col min="15393" max="15393" width="14.75" style="53" bestFit="1" customWidth="1"/>
    <col min="15394" max="15616" width="9" style="53"/>
    <col min="15617" max="15619" width="9" style="53" customWidth="1"/>
    <col min="15620" max="15620" width="10.375" style="53" customWidth="1"/>
    <col min="15621" max="15621" width="11.25" style="53" bestFit="1" customWidth="1"/>
    <col min="15622" max="15623" width="9" style="53"/>
    <col min="15624" max="15633" width="9" style="53" customWidth="1"/>
    <col min="15634" max="15634" width="9" style="53"/>
    <col min="15635" max="15635" width="9.375" style="53" bestFit="1" customWidth="1"/>
    <col min="15636" max="15636" width="9" style="53" customWidth="1"/>
    <col min="15637" max="15637" width="9" style="53"/>
    <col min="15638" max="15638" width="9" style="53" customWidth="1"/>
    <col min="15639" max="15644" width="9" style="53"/>
    <col min="15645" max="15645" width="26.375" style="53" customWidth="1"/>
    <col min="15646" max="15648" width="9" style="53"/>
    <col min="15649" max="15649" width="14.75" style="53" bestFit="1" customWidth="1"/>
    <col min="15650" max="15872" width="9" style="53"/>
    <col min="15873" max="15875" width="9" style="53" customWidth="1"/>
    <col min="15876" max="15876" width="10.375" style="53" customWidth="1"/>
    <col min="15877" max="15877" width="11.25" style="53" bestFit="1" customWidth="1"/>
    <col min="15878" max="15879" width="9" style="53"/>
    <col min="15880" max="15889" width="9" style="53" customWidth="1"/>
    <col min="15890" max="15890" width="9" style="53"/>
    <col min="15891" max="15891" width="9.375" style="53" bestFit="1" customWidth="1"/>
    <col min="15892" max="15892" width="9" style="53" customWidth="1"/>
    <col min="15893" max="15893" width="9" style="53"/>
    <col min="15894" max="15894" width="9" style="53" customWidth="1"/>
    <col min="15895" max="15900" width="9" style="53"/>
    <col min="15901" max="15901" width="26.375" style="53" customWidth="1"/>
    <col min="15902" max="15904" width="9" style="53"/>
    <col min="15905" max="15905" width="14.75" style="53" bestFit="1" customWidth="1"/>
    <col min="15906" max="16128" width="9" style="53"/>
    <col min="16129" max="16131" width="9" style="53" customWidth="1"/>
    <col min="16132" max="16132" width="10.375" style="53" customWidth="1"/>
    <col min="16133" max="16133" width="11.25" style="53" bestFit="1" customWidth="1"/>
    <col min="16134" max="16135" width="9" style="53"/>
    <col min="16136" max="16145" width="9" style="53" customWidth="1"/>
    <col min="16146" max="16146" width="9" style="53"/>
    <col min="16147" max="16147" width="9.375" style="53" bestFit="1" customWidth="1"/>
    <col min="16148" max="16148" width="9" style="53" customWidth="1"/>
    <col min="16149" max="16149" width="9" style="53"/>
    <col min="16150" max="16150" width="9" style="53" customWidth="1"/>
    <col min="16151" max="16156" width="9" style="53"/>
    <col min="16157" max="16157" width="26.375" style="53" customWidth="1"/>
    <col min="16158" max="16160" width="9" style="53"/>
    <col min="16161" max="16161" width="14.75" style="53" bestFit="1" customWidth="1"/>
    <col min="16162" max="16384" width="9" style="53"/>
  </cols>
  <sheetData>
    <row r="1" spans="1:53" ht="44.25" customHeight="1" x14ac:dyDescent="0.15">
      <c r="A1" s="123" t="s">
        <v>280</v>
      </c>
      <c r="B1" s="55" t="s">
        <v>1</v>
      </c>
      <c r="C1" s="55" t="s">
        <v>2</v>
      </c>
      <c r="D1" s="56" t="s">
        <v>3</v>
      </c>
      <c r="E1" s="56" t="s">
        <v>281</v>
      </c>
      <c r="F1" s="56" t="s">
        <v>5</v>
      </c>
      <c r="G1" s="56" t="s">
        <v>6</v>
      </c>
      <c r="H1" s="56" t="s">
        <v>282</v>
      </c>
      <c r="I1" s="56" t="s">
        <v>8</v>
      </c>
      <c r="J1" s="56" t="s">
        <v>9</v>
      </c>
      <c r="K1" s="56" t="s">
        <v>10</v>
      </c>
      <c r="L1" s="56" t="s">
        <v>11</v>
      </c>
      <c r="M1" s="56" t="s">
        <v>12</v>
      </c>
      <c r="N1" s="56" t="s">
        <v>13</v>
      </c>
      <c r="O1" s="56" t="s">
        <v>14</v>
      </c>
      <c r="P1" s="56" t="s">
        <v>15</v>
      </c>
      <c r="Q1" s="3" t="s">
        <v>16</v>
      </c>
      <c r="R1" s="56" t="s">
        <v>388</v>
      </c>
      <c r="S1" s="56" t="s">
        <v>18</v>
      </c>
      <c r="T1" s="3" t="s">
        <v>19</v>
      </c>
      <c r="U1" s="58" t="s">
        <v>108</v>
      </c>
      <c r="V1" s="5" t="s">
        <v>20</v>
      </c>
      <c r="W1" s="56" t="s">
        <v>21</v>
      </c>
      <c r="X1" s="56" t="s">
        <v>22</v>
      </c>
      <c r="Y1" s="56" t="s">
        <v>23</v>
      </c>
      <c r="Z1" s="56" t="s">
        <v>24</v>
      </c>
      <c r="AA1" s="124" t="s">
        <v>25</v>
      </c>
      <c r="AB1" s="125" t="s">
        <v>26</v>
      </c>
      <c r="AC1" s="126"/>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s="127" customFormat="1" x14ac:dyDescent="0.15">
      <c r="A2" s="127" t="s">
        <v>61</v>
      </c>
      <c r="B2" s="127" t="s">
        <v>232</v>
      </c>
      <c r="C2" s="127">
        <v>2019</v>
      </c>
      <c r="D2" s="128" t="s">
        <v>283</v>
      </c>
      <c r="E2" s="127" t="s">
        <v>284</v>
      </c>
      <c r="F2" s="127" t="s">
        <v>285</v>
      </c>
      <c r="G2" s="127" t="s">
        <v>42</v>
      </c>
      <c r="H2" s="53" t="s">
        <v>164</v>
      </c>
      <c r="I2" s="53" t="s">
        <v>159</v>
      </c>
      <c r="J2" s="127" t="s">
        <v>38</v>
      </c>
      <c r="K2" s="53" t="s">
        <v>161</v>
      </c>
      <c r="L2" s="53">
        <v>1</v>
      </c>
      <c r="M2" s="53"/>
      <c r="N2" s="53">
        <v>4</v>
      </c>
      <c r="O2" s="53">
        <v>0.65</v>
      </c>
      <c r="P2" s="53">
        <v>0.6</v>
      </c>
      <c r="Q2" s="75">
        <f t="shared" ref="Q2:Q65" si="0">IF(OR(O2="",P2=""),"",AVERAGE(O2,P2))</f>
        <v>0.625</v>
      </c>
      <c r="R2" s="53">
        <v>16</v>
      </c>
      <c r="S2" s="53">
        <v>103</v>
      </c>
      <c r="T2" s="16">
        <f t="shared" ref="T2:T65" si="1">IF(H2="","",IF(OR(H2="GREEN",H2="GK"),IF(S2&gt;=$AX$2,VLOOKUP(S2,$AX$2:$AY$15,2,1),""),IF(S2&gt;=$AZ$2,VLOOKUP(S2,$AZ$2:$BA$15,2,1),"")))</f>
        <v>33</v>
      </c>
      <c r="U2" s="53">
        <v>350</v>
      </c>
      <c r="V2" s="129">
        <f t="shared" ref="V2:V65" si="2">IF(OR(N2="",U2="",T2=""),"",U2/N2*T2)</f>
        <v>2887.5</v>
      </c>
      <c r="W2" s="53">
        <v>4</v>
      </c>
      <c r="X2" s="127" t="s">
        <v>39</v>
      </c>
      <c r="Y2" s="53" t="s">
        <v>88</v>
      </c>
      <c r="Z2" s="53" t="s">
        <v>78</v>
      </c>
      <c r="AA2" s="53" t="s">
        <v>97</v>
      </c>
      <c r="AB2" s="127" t="s">
        <v>236</v>
      </c>
      <c r="AC2" s="34"/>
      <c r="AE2" s="64" t="s">
        <v>35</v>
      </c>
      <c r="AG2" s="49" t="s">
        <v>284</v>
      </c>
      <c r="AH2" s="49" t="s">
        <v>285</v>
      </c>
      <c r="AJ2" s="130" t="s">
        <v>36</v>
      </c>
      <c r="AL2" s="67" t="s">
        <v>127</v>
      </c>
      <c r="AN2" s="130" t="s">
        <v>37</v>
      </c>
      <c r="AP2" s="67" t="s">
        <v>38</v>
      </c>
      <c r="AR2" s="67" t="s">
        <v>120</v>
      </c>
      <c r="AT2" s="130" t="s">
        <v>39</v>
      </c>
      <c r="AV2" s="67" t="s">
        <v>40</v>
      </c>
      <c r="AX2" s="131">
        <v>1</v>
      </c>
      <c r="AY2" s="132">
        <v>50</v>
      </c>
      <c r="AZ2" s="132">
        <v>1</v>
      </c>
      <c r="BA2" s="133">
        <v>50</v>
      </c>
    </row>
    <row r="3" spans="1:53" x14ac:dyDescent="0.15">
      <c r="A3" s="127" t="s">
        <v>61</v>
      </c>
      <c r="B3" s="127" t="s">
        <v>232</v>
      </c>
      <c r="C3" s="127">
        <v>2019</v>
      </c>
      <c r="D3" s="128" t="s">
        <v>283</v>
      </c>
      <c r="E3" s="127" t="s">
        <v>284</v>
      </c>
      <c r="F3" s="127" t="s">
        <v>285</v>
      </c>
      <c r="G3" s="127" t="s">
        <v>42</v>
      </c>
      <c r="H3" s="53" t="s">
        <v>164</v>
      </c>
      <c r="I3" s="53" t="s">
        <v>159</v>
      </c>
      <c r="J3" s="127" t="s">
        <v>38</v>
      </c>
      <c r="K3" s="53" t="s">
        <v>161</v>
      </c>
      <c r="L3" s="53">
        <v>2</v>
      </c>
      <c r="N3" s="53">
        <v>4</v>
      </c>
      <c r="O3" s="53">
        <v>0.6</v>
      </c>
      <c r="P3" s="53">
        <v>0.5</v>
      </c>
      <c r="Q3" s="75">
        <f t="shared" si="0"/>
        <v>0.55000000000000004</v>
      </c>
      <c r="R3" s="53">
        <v>16.3</v>
      </c>
      <c r="S3" s="53">
        <v>107</v>
      </c>
      <c r="T3" s="16">
        <f t="shared" si="1"/>
        <v>33</v>
      </c>
      <c r="U3" s="53">
        <v>350</v>
      </c>
      <c r="V3" s="129">
        <f t="shared" si="2"/>
        <v>2887.5</v>
      </c>
      <c r="W3" s="53">
        <v>4</v>
      </c>
      <c r="X3" s="127" t="s">
        <v>39</v>
      </c>
      <c r="Y3" s="53" t="s">
        <v>88</v>
      </c>
      <c r="Z3" s="53" t="s">
        <v>78</v>
      </c>
      <c r="AA3" s="53" t="s">
        <v>97</v>
      </c>
      <c r="AB3" s="127" t="s">
        <v>236</v>
      </c>
      <c r="AC3" s="34"/>
      <c r="AE3" s="22" t="s">
        <v>41</v>
      </c>
      <c r="AG3" s="49" t="s">
        <v>286</v>
      </c>
      <c r="AH3" s="49" t="s">
        <v>287</v>
      </c>
      <c r="AJ3" s="23" t="s">
        <v>42</v>
      </c>
      <c r="AL3" s="23" t="s">
        <v>128</v>
      </c>
      <c r="AN3" s="23" t="s">
        <v>43</v>
      </c>
      <c r="AP3" s="23" t="s">
        <v>44</v>
      </c>
      <c r="AR3" s="23" t="s">
        <v>45</v>
      </c>
      <c r="AT3" s="23" t="s">
        <v>46</v>
      </c>
      <c r="AV3" s="23" t="s">
        <v>47</v>
      </c>
      <c r="AX3" s="24">
        <v>72</v>
      </c>
      <c r="AY3" s="25">
        <v>46</v>
      </c>
      <c r="AZ3" s="25">
        <v>71</v>
      </c>
      <c r="BA3" s="26">
        <v>42</v>
      </c>
    </row>
    <row r="4" spans="1:53" x14ac:dyDescent="0.15">
      <c r="A4" s="127" t="s">
        <v>61</v>
      </c>
      <c r="B4" s="127" t="s">
        <v>232</v>
      </c>
      <c r="C4" s="127">
        <v>2019</v>
      </c>
      <c r="D4" s="128" t="s">
        <v>283</v>
      </c>
      <c r="E4" s="127" t="s">
        <v>284</v>
      </c>
      <c r="F4" s="127" t="s">
        <v>285</v>
      </c>
      <c r="G4" s="127" t="s">
        <v>42</v>
      </c>
      <c r="H4" s="53" t="s">
        <v>164</v>
      </c>
      <c r="I4" s="53" t="s">
        <v>159</v>
      </c>
      <c r="J4" s="127" t="s">
        <v>38</v>
      </c>
      <c r="K4" s="53" t="s">
        <v>161</v>
      </c>
      <c r="L4" s="53">
        <v>3</v>
      </c>
      <c r="N4" s="53">
        <v>4</v>
      </c>
      <c r="O4" s="53">
        <v>0.5</v>
      </c>
      <c r="P4" s="53">
        <v>0.5</v>
      </c>
      <c r="Q4" s="75">
        <f t="shared" si="0"/>
        <v>0.5</v>
      </c>
      <c r="R4" s="53">
        <v>16.100000000000001</v>
      </c>
      <c r="S4" s="53">
        <v>97</v>
      </c>
      <c r="T4" s="16">
        <f t="shared" si="1"/>
        <v>36</v>
      </c>
      <c r="U4" s="53">
        <v>350</v>
      </c>
      <c r="V4" s="129">
        <f t="shared" si="2"/>
        <v>3150</v>
      </c>
      <c r="W4" s="53">
        <v>4</v>
      </c>
      <c r="X4" s="127" t="s">
        <v>39</v>
      </c>
      <c r="Y4" s="53" t="s">
        <v>88</v>
      </c>
      <c r="Z4" s="53" t="s">
        <v>78</v>
      </c>
      <c r="AA4" s="53" t="s">
        <v>97</v>
      </c>
      <c r="AB4" s="127" t="s">
        <v>236</v>
      </c>
      <c r="AC4" s="34"/>
      <c r="AE4" s="22" t="s">
        <v>34</v>
      </c>
      <c r="AG4" s="49" t="s">
        <v>288</v>
      </c>
      <c r="AH4" s="49" t="s">
        <v>289</v>
      </c>
      <c r="AJ4" s="27" t="s">
        <v>48</v>
      </c>
      <c r="AL4" s="27" t="s">
        <v>129</v>
      </c>
      <c r="AN4" s="28" t="s">
        <v>49</v>
      </c>
      <c r="AP4" s="23" t="s">
        <v>93</v>
      </c>
      <c r="AR4" s="23" t="s">
        <v>121</v>
      </c>
      <c r="AT4" s="28"/>
      <c r="AV4" s="23" t="s">
        <v>50</v>
      </c>
      <c r="AX4" s="24">
        <v>75</v>
      </c>
      <c r="AY4" s="25">
        <v>42</v>
      </c>
      <c r="AZ4" s="25">
        <v>76</v>
      </c>
      <c r="BA4" s="26">
        <v>39</v>
      </c>
    </row>
    <row r="5" spans="1:53" x14ac:dyDescent="0.15">
      <c r="A5" s="127" t="s">
        <v>61</v>
      </c>
      <c r="B5" s="127" t="s">
        <v>232</v>
      </c>
      <c r="C5" s="127">
        <v>2019</v>
      </c>
      <c r="D5" s="128" t="s">
        <v>283</v>
      </c>
      <c r="E5" s="127" t="s">
        <v>284</v>
      </c>
      <c r="F5" s="127" t="s">
        <v>285</v>
      </c>
      <c r="G5" s="127" t="s">
        <v>42</v>
      </c>
      <c r="H5" s="53" t="s">
        <v>160</v>
      </c>
      <c r="I5" s="53" t="s">
        <v>159</v>
      </c>
      <c r="J5" s="127" t="s">
        <v>38</v>
      </c>
      <c r="K5" s="53" t="s">
        <v>161</v>
      </c>
      <c r="L5" s="53">
        <v>1</v>
      </c>
      <c r="N5" s="53">
        <v>1</v>
      </c>
      <c r="O5" s="53">
        <v>0.5</v>
      </c>
      <c r="P5" s="53">
        <v>0.5</v>
      </c>
      <c r="Q5" s="75">
        <f t="shared" si="0"/>
        <v>0.5</v>
      </c>
      <c r="R5" s="53">
        <v>16.2</v>
      </c>
      <c r="S5" s="53">
        <v>131</v>
      </c>
      <c r="T5" s="16">
        <f t="shared" si="1"/>
        <v>25</v>
      </c>
      <c r="U5" s="53">
        <v>138</v>
      </c>
      <c r="V5" s="129">
        <f t="shared" si="2"/>
        <v>3450</v>
      </c>
      <c r="W5" s="53">
        <v>4</v>
      </c>
      <c r="X5" s="127" t="s">
        <v>39</v>
      </c>
      <c r="Y5" s="53" t="s">
        <v>88</v>
      </c>
      <c r="Z5" s="53" t="s">
        <v>78</v>
      </c>
      <c r="AA5" s="53" t="s">
        <v>97</v>
      </c>
      <c r="AB5" s="127" t="s">
        <v>236</v>
      </c>
      <c r="AC5" s="34"/>
      <c r="AE5" s="22" t="s">
        <v>51</v>
      </c>
      <c r="AG5" s="49" t="s">
        <v>290</v>
      </c>
      <c r="AH5" s="49" t="s">
        <v>291</v>
      </c>
      <c r="AJ5" s="27"/>
      <c r="AL5" s="73" t="s">
        <v>66</v>
      </c>
      <c r="AN5" s="73" t="s">
        <v>52</v>
      </c>
      <c r="AP5" s="23" t="s">
        <v>119</v>
      </c>
      <c r="AR5" s="23" t="s">
        <v>54</v>
      </c>
      <c r="AV5" s="23" t="s">
        <v>55</v>
      </c>
      <c r="AX5" s="24">
        <v>84</v>
      </c>
      <c r="AY5" s="25">
        <v>39</v>
      </c>
      <c r="AZ5" s="25">
        <v>84</v>
      </c>
      <c r="BA5" s="26">
        <v>36</v>
      </c>
    </row>
    <row r="6" spans="1:53" x14ac:dyDescent="0.15">
      <c r="A6" s="127" t="s">
        <v>61</v>
      </c>
      <c r="B6" s="127" t="s">
        <v>232</v>
      </c>
      <c r="C6" s="127">
        <v>2019</v>
      </c>
      <c r="D6" s="128" t="s">
        <v>283</v>
      </c>
      <c r="E6" s="127" t="s">
        <v>284</v>
      </c>
      <c r="F6" s="127" t="s">
        <v>285</v>
      </c>
      <c r="G6" s="127" t="s">
        <v>42</v>
      </c>
      <c r="H6" s="53" t="s">
        <v>160</v>
      </c>
      <c r="I6" s="53" t="s">
        <v>159</v>
      </c>
      <c r="J6" s="127" t="s">
        <v>38</v>
      </c>
      <c r="K6" s="53" t="s">
        <v>161</v>
      </c>
      <c r="L6" s="53">
        <v>2</v>
      </c>
      <c r="N6" s="53">
        <v>1</v>
      </c>
      <c r="O6" s="53">
        <v>0.65</v>
      </c>
      <c r="P6" s="53">
        <v>0.65</v>
      </c>
      <c r="Q6" s="75">
        <f t="shared" si="0"/>
        <v>0.65</v>
      </c>
      <c r="R6" s="53">
        <v>16.399999999999999</v>
      </c>
      <c r="S6" s="53">
        <v>129</v>
      </c>
      <c r="T6" s="16">
        <f t="shared" si="1"/>
        <v>25</v>
      </c>
      <c r="U6" s="53">
        <v>138</v>
      </c>
      <c r="V6" s="129">
        <f t="shared" si="2"/>
        <v>3450</v>
      </c>
      <c r="W6" s="53">
        <v>4</v>
      </c>
      <c r="X6" s="127" t="s">
        <v>39</v>
      </c>
      <c r="Y6" s="53" t="s">
        <v>88</v>
      </c>
      <c r="Z6" s="53" t="s">
        <v>78</v>
      </c>
      <c r="AA6" s="53" t="s">
        <v>97</v>
      </c>
      <c r="AB6" s="127" t="s">
        <v>236</v>
      </c>
      <c r="AC6" s="34"/>
      <c r="AE6" s="22" t="s">
        <v>56</v>
      </c>
      <c r="AG6" s="49" t="s">
        <v>292</v>
      </c>
      <c r="AH6" s="49" t="s">
        <v>293</v>
      </c>
      <c r="AJ6" s="27"/>
      <c r="AL6" s="73" t="s">
        <v>99</v>
      </c>
      <c r="AN6" s="73" t="s">
        <v>57</v>
      </c>
      <c r="AP6" s="23" t="s">
        <v>53</v>
      </c>
      <c r="AR6" s="23" t="s">
        <v>59</v>
      </c>
      <c r="AV6" s="23" t="s">
        <v>60</v>
      </c>
      <c r="AX6" s="24">
        <v>97</v>
      </c>
      <c r="AY6" s="25">
        <v>36</v>
      </c>
      <c r="AZ6" s="25">
        <v>99</v>
      </c>
      <c r="BA6" s="26">
        <v>33</v>
      </c>
    </row>
    <row r="7" spans="1:53" x14ac:dyDescent="0.15">
      <c r="A7" s="127" t="s">
        <v>61</v>
      </c>
      <c r="B7" s="127" t="s">
        <v>232</v>
      </c>
      <c r="C7" s="127">
        <v>2019</v>
      </c>
      <c r="D7" s="128" t="s">
        <v>283</v>
      </c>
      <c r="E7" s="127" t="s">
        <v>284</v>
      </c>
      <c r="F7" s="127" t="s">
        <v>285</v>
      </c>
      <c r="G7" s="127" t="s">
        <v>42</v>
      </c>
      <c r="H7" s="53" t="s">
        <v>160</v>
      </c>
      <c r="I7" s="53" t="s">
        <v>159</v>
      </c>
      <c r="J7" s="127" t="s">
        <v>38</v>
      </c>
      <c r="K7" s="53" t="s">
        <v>161</v>
      </c>
      <c r="L7" s="53">
        <v>3</v>
      </c>
      <c r="N7" s="53">
        <v>1</v>
      </c>
      <c r="O7" s="53">
        <v>0.5</v>
      </c>
      <c r="P7" s="53">
        <v>0.5</v>
      </c>
      <c r="Q7" s="75">
        <f t="shared" si="0"/>
        <v>0.5</v>
      </c>
      <c r="R7" s="53">
        <v>19.899999999999999</v>
      </c>
      <c r="S7" s="53">
        <v>129</v>
      </c>
      <c r="T7" s="16">
        <f t="shared" si="1"/>
        <v>25</v>
      </c>
      <c r="U7" s="53">
        <v>138</v>
      </c>
      <c r="V7" s="129">
        <f t="shared" si="2"/>
        <v>3450</v>
      </c>
      <c r="W7" s="53">
        <v>4</v>
      </c>
      <c r="X7" s="127" t="s">
        <v>39</v>
      </c>
      <c r="Y7" s="53" t="s">
        <v>88</v>
      </c>
      <c r="Z7" s="53" t="s">
        <v>78</v>
      </c>
      <c r="AA7" s="53" t="s">
        <v>97</v>
      </c>
      <c r="AB7" s="127" t="s">
        <v>236</v>
      </c>
      <c r="AC7" s="34"/>
      <c r="AE7" s="22" t="s">
        <v>61</v>
      </c>
      <c r="AG7" s="49" t="s">
        <v>294</v>
      </c>
      <c r="AH7" s="49" t="s">
        <v>295</v>
      </c>
      <c r="AJ7" s="27"/>
      <c r="AL7" s="34" t="s">
        <v>109</v>
      </c>
      <c r="AN7" s="73"/>
      <c r="AP7" s="23" t="s">
        <v>58</v>
      </c>
      <c r="AR7" s="23" t="s">
        <v>122</v>
      </c>
      <c r="AV7" s="23" t="s">
        <v>64</v>
      </c>
      <c r="AX7" s="24">
        <v>109</v>
      </c>
      <c r="AY7" s="25">
        <v>33</v>
      </c>
      <c r="AZ7" s="25">
        <v>113</v>
      </c>
      <c r="BA7" s="26">
        <v>30</v>
      </c>
    </row>
    <row r="8" spans="1:53" x14ac:dyDescent="0.15">
      <c r="A8" s="127" t="s">
        <v>61</v>
      </c>
      <c r="B8" s="127" t="s">
        <v>232</v>
      </c>
      <c r="C8" s="127">
        <v>2019</v>
      </c>
      <c r="D8" s="128" t="s">
        <v>283</v>
      </c>
      <c r="E8" s="127" t="s">
        <v>286</v>
      </c>
      <c r="F8" s="127" t="s">
        <v>287</v>
      </c>
      <c r="G8" s="127" t="s">
        <v>42</v>
      </c>
      <c r="H8" s="53" t="s">
        <v>164</v>
      </c>
      <c r="I8" s="53" t="s">
        <v>159</v>
      </c>
      <c r="J8" s="127" t="s">
        <v>38</v>
      </c>
      <c r="K8" s="53" t="s">
        <v>161</v>
      </c>
      <c r="L8" s="53">
        <v>1</v>
      </c>
      <c r="N8" s="53">
        <v>4</v>
      </c>
      <c r="O8" s="53">
        <v>1.05</v>
      </c>
      <c r="P8" s="53">
        <v>1.05</v>
      </c>
      <c r="Q8" s="75">
        <f t="shared" si="0"/>
        <v>1.05</v>
      </c>
      <c r="R8" s="53">
        <v>15.9</v>
      </c>
      <c r="S8" s="53">
        <v>102</v>
      </c>
      <c r="T8" s="16">
        <f t="shared" si="1"/>
        <v>33</v>
      </c>
      <c r="U8" s="53">
        <v>398</v>
      </c>
      <c r="V8" s="129">
        <f t="shared" si="2"/>
        <v>3283.5</v>
      </c>
      <c r="W8" s="53">
        <v>5</v>
      </c>
      <c r="X8" s="127" t="s">
        <v>46</v>
      </c>
      <c r="Y8" s="53" t="s">
        <v>97</v>
      </c>
      <c r="Z8" s="53" t="s">
        <v>88</v>
      </c>
      <c r="AA8" s="53" t="s">
        <v>78</v>
      </c>
      <c r="AB8" s="127" t="s">
        <v>236</v>
      </c>
      <c r="AC8" s="34"/>
      <c r="AE8" s="22" t="s">
        <v>59</v>
      </c>
      <c r="AG8" s="49" t="s">
        <v>296</v>
      </c>
      <c r="AH8" s="49" t="s">
        <v>297</v>
      </c>
      <c r="AJ8" s="28"/>
      <c r="AL8" s="34" t="s">
        <v>134</v>
      </c>
      <c r="AN8" s="73"/>
      <c r="AP8" s="23" t="s">
        <v>62</v>
      </c>
      <c r="AR8" s="23" t="s">
        <v>81</v>
      </c>
      <c r="AV8" s="23" t="s">
        <v>97</v>
      </c>
      <c r="AX8" s="24">
        <v>119</v>
      </c>
      <c r="AY8" s="25">
        <v>30</v>
      </c>
      <c r="AZ8" s="25">
        <v>121</v>
      </c>
      <c r="BA8" s="26">
        <v>27</v>
      </c>
    </row>
    <row r="9" spans="1:53" x14ac:dyDescent="0.15">
      <c r="A9" s="127" t="s">
        <v>61</v>
      </c>
      <c r="B9" s="127" t="s">
        <v>232</v>
      </c>
      <c r="C9" s="127">
        <v>2019</v>
      </c>
      <c r="D9" s="128" t="s">
        <v>283</v>
      </c>
      <c r="E9" s="127" t="s">
        <v>286</v>
      </c>
      <c r="F9" s="127" t="s">
        <v>287</v>
      </c>
      <c r="G9" s="127" t="s">
        <v>42</v>
      </c>
      <c r="H9" s="53" t="s">
        <v>164</v>
      </c>
      <c r="I9" s="53" t="s">
        <v>159</v>
      </c>
      <c r="J9" s="127" t="s">
        <v>38</v>
      </c>
      <c r="K9" s="53" t="s">
        <v>161</v>
      </c>
      <c r="L9" s="53">
        <v>2</v>
      </c>
      <c r="N9" s="53">
        <v>4</v>
      </c>
      <c r="O9" s="53">
        <v>0.5</v>
      </c>
      <c r="P9" s="53">
        <v>0.9</v>
      </c>
      <c r="Q9" s="75">
        <f t="shared" si="0"/>
        <v>0.7</v>
      </c>
      <c r="R9" s="34">
        <v>15.9</v>
      </c>
      <c r="S9" s="53">
        <v>100</v>
      </c>
      <c r="T9" s="16">
        <f t="shared" si="1"/>
        <v>33</v>
      </c>
      <c r="U9" s="53">
        <v>398</v>
      </c>
      <c r="V9" s="129">
        <f t="shared" si="2"/>
        <v>3283.5</v>
      </c>
      <c r="W9" s="53">
        <v>5</v>
      </c>
      <c r="X9" s="127" t="s">
        <v>46</v>
      </c>
      <c r="Y9" s="53" t="s">
        <v>97</v>
      </c>
      <c r="Z9" s="53" t="s">
        <v>88</v>
      </c>
      <c r="AA9" s="53" t="s">
        <v>78</v>
      </c>
      <c r="AB9" s="127" t="s">
        <v>236</v>
      </c>
      <c r="AC9" s="34"/>
      <c r="AE9" s="22" t="s">
        <v>98</v>
      </c>
      <c r="AG9" s="49" t="s">
        <v>133</v>
      </c>
      <c r="AH9" s="49" t="s">
        <v>298</v>
      </c>
      <c r="AL9" s="73"/>
      <c r="AN9" s="73"/>
      <c r="AP9" s="23" t="s">
        <v>95</v>
      </c>
      <c r="AR9" s="23" t="s">
        <v>89</v>
      </c>
      <c r="AV9" s="23" t="s">
        <v>102</v>
      </c>
      <c r="AX9" s="24">
        <v>128</v>
      </c>
      <c r="AY9" s="25">
        <v>27</v>
      </c>
      <c r="AZ9" s="25">
        <v>129</v>
      </c>
      <c r="BA9" s="26">
        <v>25</v>
      </c>
    </row>
    <row r="10" spans="1:53" x14ac:dyDescent="0.15">
      <c r="A10" s="127" t="s">
        <v>61</v>
      </c>
      <c r="B10" s="127" t="s">
        <v>232</v>
      </c>
      <c r="C10" s="127">
        <v>2019</v>
      </c>
      <c r="D10" s="128" t="s">
        <v>283</v>
      </c>
      <c r="E10" s="127" t="s">
        <v>286</v>
      </c>
      <c r="F10" s="127" t="s">
        <v>287</v>
      </c>
      <c r="G10" s="127" t="s">
        <v>42</v>
      </c>
      <c r="H10" s="53" t="s">
        <v>164</v>
      </c>
      <c r="I10" s="53" t="s">
        <v>159</v>
      </c>
      <c r="J10" s="127" t="s">
        <v>38</v>
      </c>
      <c r="K10" s="53" t="s">
        <v>161</v>
      </c>
      <c r="L10" s="53">
        <v>3</v>
      </c>
      <c r="N10" s="53">
        <v>4</v>
      </c>
      <c r="O10" s="53">
        <v>0.8</v>
      </c>
      <c r="P10" s="53">
        <v>0.75</v>
      </c>
      <c r="Q10" s="75">
        <f t="shared" si="0"/>
        <v>0.77500000000000002</v>
      </c>
      <c r="R10" s="53">
        <v>14.4</v>
      </c>
      <c r="S10" s="53">
        <v>98</v>
      </c>
      <c r="T10" s="16">
        <f t="shared" si="1"/>
        <v>36</v>
      </c>
      <c r="U10" s="53">
        <v>398</v>
      </c>
      <c r="V10" s="129">
        <f t="shared" si="2"/>
        <v>3582</v>
      </c>
      <c r="W10" s="53">
        <v>5</v>
      </c>
      <c r="X10" s="127" t="s">
        <v>46</v>
      </c>
      <c r="Y10" s="53" t="s">
        <v>97</v>
      </c>
      <c r="Z10" s="53" t="s">
        <v>88</v>
      </c>
      <c r="AA10" s="53" t="s">
        <v>78</v>
      </c>
      <c r="AB10" s="127" t="s">
        <v>236</v>
      </c>
      <c r="AC10" s="34"/>
      <c r="AE10" s="22" t="s">
        <v>103</v>
      </c>
      <c r="AG10" s="49" t="s">
        <v>299</v>
      </c>
      <c r="AH10" s="49" t="s">
        <v>300</v>
      </c>
      <c r="AL10" s="27"/>
      <c r="AP10" s="23" t="s">
        <v>100</v>
      </c>
      <c r="AR10" s="23" t="s">
        <v>123</v>
      </c>
      <c r="AV10" s="23" t="s">
        <v>106</v>
      </c>
      <c r="AX10" s="24">
        <v>138</v>
      </c>
      <c r="AY10" s="25">
        <v>25</v>
      </c>
      <c r="AZ10" s="25">
        <v>138</v>
      </c>
      <c r="BA10" s="26">
        <v>22</v>
      </c>
    </row>
    <row r="11" spans="1:53" x14ac:dyDescent="0.15">
      <c r="A11" s="127" t="s">
        <v>61</v>
      </c>
      <c r="B11" s="127" t="s">
        <v>232</v>
      </c>
      <c r="C11" s="127">
        <v>2019</v>
      </c>
      <c r="D11" s="128" t="s">
        <v>283</v>
      </c>
      <c r="E11" s="127" t="s">
        <v>286</v>
      </c>
      <c r="F11" s="127" t="s">
        <v>287</v>
      </c>
      <c r="G11" s="127" t="s">
        <v>42</v>
      </c>
      <c r="H11" s="53" t="s">
        <v>160</v>
      </c>
      <c r="I11" s="53" t="s">
        <v>159</v>
      </c>
      <c r="J11" s="127" t="s">
        <v>38</v>
      </c>
      <c r="K11" s="53" t="s">
        <v>161</v>
      </c>
      <c r="L11" s="53">
        <v>1</v>
      </c>
      <c r="N11" s="53">
        <v>1</v>
      </c>
      <c r="O11" s="53">
        <v>0.5</v>
      </c>
      <c r="P11" s="53">
        <v>0.5</v>
      </c>
      <c r="Q11" s="75">
        <f t="shared" si="0"/>
        <v>0.5</v>
      </c>
      <c r="R11" s="53">
        <v>15.6</v>
      </c>
      <c r="S11" s="53">
        <v>124</v>
      </c>
      <c r="T11" s="16">
        <f t="shared" si="1"/>
        <v>27</v>
      </c>
      <c r="U11" s="53">
        <v>158</v>
      </c>
      <c r="V11" s="129">
        <f t="shared" si="2"/>
        <v>4266</v>
      </c>
      <c r="W11" s="53">
        <v>5</v>
      </c>
      <c r="X11" s="127" t="s">
        <v>46</v>
      </c>
      <c r="Y11" s="53" t="s">
        <v>97</v>
      </c>
      <c r="Z11" s="53" t="s">
        <v>88</v>
      </c>
      <c r="AA11" s="53" t="s">
        <v>78</v>
      </c>
      <c r="AB11" s="127" t="s">
        <v>236</v>
      </c>
      <c r="AC11" s="34"/>
      <c r="AE11" s="22" t="s">
        <v>65</v>
      </c>
      <c r="AG11" s="49" t="s">
        <v>301</v>
      </c>
      <c r="AH11" s="49" t="s">
        <v>300</v>
      </c>
      <c r="AL11" s="134"/>
      <c r="AP11" s="23" t="s">
        <v>104</v>
      </c>
      <c r="AR11" s="23" t="s">
        <v>87</v>
      </c>
      <c r="AV11" s="135" t="s">
        <v>302</v>
      </c>
      <c r="AX11" s="24">
        <v>151</v>
      </c>
      <c r="AY11" s="25">
        <v>22</v>
      </c>
      <c r="AZ11" s="25">
        <v>152</v>
      </c>
      <c r="BA11" s="26">
        <v>18</v>
      </c>
    </row>
    <row r="12" spans="1:53" x14ac:dyDescent="0.15">
      <c r="A12" s="127" t="s">
        <v>61</v>
      </c>
      <c r="B12" s="127" t="s">
        <v>232</v>
      </c>
      <c r="C12" s="127">
        <v>2019</v>
      </c>
      <c r="D12" s="128" t="s">
        <v>283</v>
      </c>
      <c r="E12" s="127" t="s">
        <v>286</v>
      </c>
      <c r="F12" s="127" t="s">
        <v>287</v>
      </c>
      <c r="G12" s="127" t="s">
        <v>42</v>
      </c>
      <c r="H12" s="53" t="s">
        <v>160</v>
      </c>
      <c r="I12" s="53" t="s">
        <v>159</v>
      </c>
      <c r="J12" s="127" t="s">
        <v>38</v>
      </c>
      <c r="K12" s="53" t="s">
        <v>161</v>
      </c>
      <c r="L12" s="53">
        <v>2</v>
      </c>
      <c r="N12" s="53">
        <v>1</v>
      </c>
      <c r="O12" s="53">
        <v>0.65</v>
      </c>
      <c r="P12" s="53">
        <v>0.5</v>
      </c>
      <c r="Q12" s="75">
        <f t="shared" si="0"/>
        <v>0.57499999999999996</v>
      </c>
      <c r="R12" s="34">
        <v>20.9</v>
      </c>
      <c r="S12" s="53">
        <v>116</v>
      </c>
      <c r="T12" s="16">
        <f t="shared" si="1"/>
        <v>30</v>
      </c>
      <c r="U12" s="53">
        <v>158</v>
      </c>
      <c r="V12" s="129">
        <f t="shared" si="2"/>
        <v>4740</v>
      </c>
      <c r="W12" s="53">
        <v>5</v>
      </c>
      <c r="X12" s="127" t="s">
        <v>46</v>
      </c>
      <c r="Y12" s="53" t="s">
        <v>97</v>
      </c>
      <c r="Z12" s="53" t="s">
        <v>88</v>
      </c>
      <c r="AA12" s="53" t="s">
        <v>78</v>
      </c>
      <c r="AB12" s="127" t="s">
        <v>236</v>
      </c>
      <c r="AC12" s="34"/>
      <c r="AE12" s="22" t="s">
        <v>70</v>
      </c>
      <c r="AG12" s="23"/>
      <c r="AH12" s="22"/>
      <c r="AL12" s="134"/>
      <c r="AP12" s="23" t="s">
        <v>67</v>
      </c>
      <c r="AR12" s="23" t="s">
        <v>124</v>
      </c>
      <c r="AV12" s="135" t="s">
        <v>303</v>
      </c>
      <c r="AX12" s="24">
        <v>180</v>
      </c>
      <c r="AY12" s="25">
        <v>18</v>
      </c>
      <c r="AZ12" s="25">
        <v>181</v>
      </c>
      <c r="BA12" s="26">
        <v>16</v>
      </c>
    </row>
    <row r="13" spans="1:53" x14ac:dyDescent="0.15">
      <c r="A13" s="127" t="s">
        <v>61</v>
      </c>
      <c r="B13" s="127" t="s">
        <v>232</v>
      </c>
      <c r="C13" s="127">
        <v>2019</v>
      </c>
      <c r="D13" s="128" t="s">
        <v>283</v>
      </c>
      <c r="E13" s="127" t="s">
        <v>286</v>
      </c>
      <c r="F13" s="127" t="s">
        <v>287</v>
      </c>
      <c r="G13" s="127" t="s">
        <v>42</v>
      </c>
      <c r="H13" s="53" t="s">
        <v>160</v>
      </c>
      <c r="I13" s="53" t="s">
        <v>159</v>
      </c>
      <c r="J13" s="127" t="s">
        <v>38</v>
      </c>
      <c r="K13" s="53" t="s">
        <v>161</v>
      </c>
      <c r="L13" s="53">
        <v>3</v>
      </c>
      <c r="N13" s="53">
        <v>1</v>
      </c>
      <c r="O13" s="53">
        <v>0.5</v>
      </c>
      <c r="P13" s="53">
        <v>0.5</v>
      </c>
      <c r="Q13" s="75">
        <f t="shared" si="0"/>
        <v>0.5</v>
      </c>
      <c r="R13" s="53">
        <v>20.399999999999999</v>
      </c>
      <c r="S13" s="53">
        <v>142</v>
      </c>
      <c r="T13" s="16">
        <f t="shared" si="1"/>
        <v>22</v>
      </c>
      <c r="U13" s="53">
        <v>158</v>
      </c>
      <c r="V13" s="129">
        <f t="shared" si="2"/>
        <v>3476</v>
      </c>
      <c r="W13" s="53">
        <v>5</v>
      </c>
      <c r="X13" s="127" t="s">
        <v>46</v>
      </c>
      <c r="Y13" s="53" t="s">
        <v>97</v>
      </c>
      <c r="Z13" s="53" t="s">
        <v>88</v>
      </c>
      <c r="AA13" s="53" t="s">
        <v>78</v>
      </c>
      <c r="AB13" s="127" t="s">
        <v>236</v>
      </c>
      <c r="AC13" s="34"/>
      <c r="AE13" s="22" t="s">
        <v>73</v>
      </c>
      <c r="AG13" s="23"/>
      <c r="AH13" s="22"/>
      <c r="AL13" s="136"/>
      <c r="AP13" s="23" t="s">
        <v>71</v>
      </c>
      <c r="AR13" s="23" t="s">
        <v>103</v>
      </c>
      <c r="AV13" s="135" t="s">
        <v>304</v>
      </c>
      <c r="AX13" s="24"/>
      <c r="AY13" s="25"/>
      <c r="AZ13" s="25"/>
      <c r="BA13" s="26"/>
    </row>
    <row r="14" spans="1:53" x14ac:dyDescent="0.15">
      <c r="A14" s="127" t="s">
        <v>61</v>
      </c>
      <c r="B14" s="127" t="s">
        <v>232</v>
      </c>
      <c r="C14" s="127">
        <v>2019</v>
      </c>
      <c r="D14" s="128" t="s">
        <v>283</v>
      </c>
      <c r="E14" s="127" t="s">
        <v>288</v>
      </c>
      <c r="F14" s="127" t="s">
        <v>289</v>
      </c>
      <c r="G14" s="127" t="s">
        <v>42</v>
      </c>
      <c r="H14" s="53" t="s">
        <v>164</v>
      </c>
      <c r="I14" s="53" t="s">
        <v>159</v>
      </c>
      <c r="J14" s="127" t="s">
        <v>38</v>
      </c>
      <c r="K14" s="53" t="s">
        <v>161</v>
      </c>
      <c r="L14" s="53">
        <v>1</v>
      </c>
      <c r="N14" s="53">
        <v>4</v>
      </c>
      <c r="O14" s="53">
        <v>1.3</v>
      </c>
      <c r="P14" s="53">
        <v>1.25</v>
      </c>
      <c r="Q14" s="75">
        <f t="shared" si="0"/>
        <v>1.2749999999999999</v>
      </c>
      <c r="R14" s="53">
        <v>19.100000000000001</v>
      </c>
      <c r="S14" s="53">
        <v>92</v>
      </c>
      <c r="T14" s="16">
        <f t="shared" si="1"/>
        <v>36</v>
      </c>
      <c r="U14" s="53">
        <v>298</v>
      </c>
      <c r="V14" s="129">
        <f t="shared" si="2"/>
        <v>2682</v>
      </c>
      <c r="W14" s="53">
        <v>10</v>
      </c>
      <c r="X14" s="127" t="s">
        <v>46</v>
      </c>
      <c r="Y14" s="53" t="s">
        <v>88</v>
      </c>
      <c r="Z14" s="53" t="s">
        <v>97</v>
      </c>
      <c r="AA14" s="53" t="s">
        <v>78</v>
      </c>
      <c r="AB14" s="127" t="s">
        <v>236</v>
      </c>
      <c r="AC14" s="34"/>
      <c r="AE14" s="22" t="s">
        <v>76</v>
      </c>
      <c r="AG14" s="23"/>
      <c r="AH14" s="22"/>
      <c r="AL14" s="34"/>
      <c r="AP14" s="23" t="s">
        <v>74</v>
      </c>
      <c r="AR14" s="23" t="s">
        <v>125</v>
      </c>
      <c r="AV14" s="135" t="s">
        <v>305</v>
      </c>
      <c r="AX14" s="24"/>
      <c r="AY14" s="25"/>
      <c r="AZ14" s="25"/>
      <c r="BA14" s="26"/>
    </row>
    <row r="15" spans="1:53" x14ac:dyDescent="0.15">
      <c r="A15" s="127" t="s">
        <v>61</v>
      </c>
      <c r="B15" s="127" t="s">
        <v>232</v>
      </c>
      <c r="C15" s="127">
        <v>2019</v>
      </c>
      <c r="D15" s="128" t="s">
        <v>283</v>
      </c>
      <c r="E15" s="127" t="s">
        <v>288</v>
      </c>
      <c r="F15" s="127" t="s">
        <v>289</v>
      </c>
      <c r="G15" s="127" t="s">
        <v>42</v>
      </c>
      <c r="H15" s="53" t="s">
        <v>164</v>
      </c>
      <c r="I15" s="53" t="s">
        <v>159</v>
      </c>
      <c r="J15" s="127" t="s">
        <v>38</v>
      </c>
      <c r="K15" s="53" t="s">
        <v>161</v>
      </c>
      <c r="L15" s="53">
        <v>2</v>
      </c>
      <c r="N15" s="53">
        <v>4</v>
      </c>
      <c r="O15" s="53">
        <v>1.1000000000000001</v>
      </c>
      <c r="P15" s="53">
        <v>1.2</v>
      </c>
      <c r="Q15" s="75">
        <f t="shared" si="0"/>
        <v>1.1499999999999999</v>
      </c>
      <c r="R15" s="34">
        <v>15.6</v>
      </c>
      <c r="S15" s="53">
        <v>91</v>
      </c>
      <c r="T15" s="16">
        <f t="shared" si="1"/>
        <v>36</v>
      </c>
      <c r="U15" s="53">
        <v>298</v>
      </c>
      <c r="V15" s="129">
        <f t="shared" si="2"/>
        <v>2682</v>
      </c>
      <c r="W15" s="53">
        <v>10</v>
      </c>
      <c r="X15" s="127" t="s">
        <v>46</v>
      </c>
      <c r="Y15" s="53" t="s">
        <v>88</v>
      </c>
      <c r="Z15" s="53" t="s">
        <v>97</v>
      </c>
      <c r="AA15" s="53" t="s">
        <v>78</v>
      </c>
      <c r="AB15" s="127" t="s">
        <v>236</v>
      </c>
      <c r="AC15" s="34"/>
      <c r="AE15" s="22" t="s">
        <v>79</v>
      </c>
      <c r="AG15" s="23"/>
      <c r="AH15" s="23"/>
      <c r="AL15" s="34"/>
      <c r="AP15" s="23" t="s">
        <v>77</v>
      </c>
      <c r="AR15" s="23" t="s">
        <v>94</v>
      </c>
      <c r="AV15" s="135" t="s">
        <v>306</v>
      </c>
      <c r="AX15" s="31"/>
      <c r="AY15" s="32"/>
      <c r="AZ15" s="32"/>
      <c r="BA15" s="33"/>
    </row>
    <row r="16" spans="1:53" x14ac:dyDescent="0.15">
      <c r="A16" s="127" t="s">
        <v>61</v>
      </c>
      <c r="B16" s="127" t="s">
        <v>232</v>
      </c>
      <c r="C16" s="127">
        <v>2019</v>
      </c>
      <c r="D16" s="128" t="s">
        <v>283</v>
      </c>
      <c r="E16" s="127" t="s">
        <v>288</v>
      </c>
      <c r="F16" s="127" t="s">
        <v>289</v>
      </c>
      <c r="G16" s="127" t="s">
        <v>42</v>
      </c>
      <c r="H16" s="53" t="s">
        <v>164</v>
      </c>
      <c r="I16" s="53" t="s">
        <v>159</v>
      </c>
      <c r="J16" s="127" t="s">
        <v>38</v>
      </c>
      <c r="K16" s="53" t="s">
        <v>161</v>
      </c>
      <c r="L16" s="53">
        <v>3</v>
      </c>
      <c r="N16" s="53">
        <v>4</v>
      </c>
      <c r="O16" s="53">
        <v>1.7</v>
      </c>
      <c r="P16" s="53">
        <v>1.75</v>
      </c>
      <c r="Q16" s="75">
        <f t="shared" si="0"/>
        <v>1.7250000000000001</v>
      </c>
      <c r="R16" s="53">
        <v>10.8</v>
      </c>
      <c r="S16" s="53">
        <v>85</v>
      </c>
      <c r="T16" s="16">
        <f t="shared" si="1"/>
        <v>36</v>
      </c>
      <c r="U16" s="53">
        <v>298</v>
      </c>
      <c r="V16" s="129">
        <f t="shared" si="2"/>
        <v>2682</v>
      </c>
      <c r="W16" s="53">
        <v>10</v>
      </c>
      <c r="X16" s="127" t="s">
        <v>46</v>
      </c>
      <c r="Y16" s="53" t="s">
        <v>88</v>
      </c>
      <c r="Z16" s="53" t="s">
        <v>97</v>
      </c>
      <c r="AA16" s="53" t="s">
        <v>78</v>
      </c>
      <c r="AB16" s="127" t="s">
        <v>236</v>
      </c>
      <c r="AC16" s="34"/>
      <c r="AE16" s="22" t="s">
        <v>82</v>
      </c>
      <c r="AG16" s="23"/>
      <c r="AH16" s="23"/>
      <c r="AP16" s="23" t="s">
        <v>80</v>
      </c>
      <c r="AR16" s="23" t="s">
        <v>63</v>
      </c>
      <c r="AV16" s="135" t="s">
        <v>307</v>
      </c>
    </row>
    <row r="17" spans="1:48" x14ac:dyDescent="0.15">
      <c r="A17" s="127" t="s">
        <v>61</v>
      </c>
      <c r="B17" s="127" t="s">
        <v>232</v>
      </c>
      <c r="C17" s="127">
        <v>2019</v>
      </c>
      <c r="D17" s="128" t="s">
        <v>283</v>
      </c>
      <c r="E17" s="127" t="s">
        <v>288</v>
      </c>
      <c r="F17" s="127" t="s">
        <v>289</v>
      </c>
      <c r="G17" s="127" t="s">
        <v>42</v>
      </c>
      <c r="H17" s="53" t="s">
        <v>160</v>
      </c>
      <c r="I17" s="53" t="s">
        <v>159</v>
      </c>
      <c r="J17" s="127" t="s">
        <v>38</v>
      </c>
      <c r="K17" s="53" t="s">
        <v>161</v>
      </c>
      <c r="L17" s="53">
        <v>1</v>
      </c>
      <c r="N17" s="53">
        <v>1</v>
      </c>
      <c r="O17" s="53">
        <v>0.7</v>
      </c>
      <c r="P17" s="53">
        <v>0.8</v>
      </c>
      <c r="Q17" s="75">
        <f t="shared" si="0"/>
        <v>0.75</v>
      </c>
      <c r="R17" s="53">
        <v>17.600000000000001</v>
      </c>
      <c r="S17" s="53">
        <v>164</v>
      </c>
      <c r="T17" s="16">
        <f t="shared" si="1"/>
        <v>18</v>
      </c>
      <c r="U17" s="53">
        <v>158</v>
      </c>
      <c r="V17" s="129">
        <f t="shared" si="2"/>
        <v>2844</v>
      </c>
      <c r="W17" s="53">
        <v>10</v>
      </c>
      <c r="X17" s="127" t="s">
        <v>46</v>
      </c>
      <c r="Y17" s="53" t="s">
        <v>88</v>
      </c>
      <c r="Z17" s="53" t="s">
        <v>97</v>
      </c>
      <c r="AA17" s="53" t="s">
        <v>78</v>
      </c>
      <c r="AB17" s="127" t="s">
        <v>236</v>
      </c>
      <c r="AC17" s="34"/>
      <c r="AE17" s="22" t="s">
        <v>85</v>
      </c>
      <c r="AP17" s="27" t="s">
        <v>110</v>
      </c>
      <c r="AR17" s="23" t="s">
        <v>96</v>
      </c>
      <c r="AV17" s="135" t="s">
        <v>254</v>
      </c>
    </row>
    <row r="18" spans="1:48" x14ac:dyDescent="0.15">
      <c r="A18" s="127" t="s">
        <v>61</v>
      </c>
      <c r="B18" s="127" t="s">
        <v>232</v>
      </c>
      <c r="C18" s="127">
        <v>2019</v>
      </c>
      <c r="D18" s="128" t="s">
        <v>283</v>
      </c>
      <c r="E18" s="127" t="s">
        <v>288</v>
      </c>
      <c r="F18" s="127" t="s">
        <v>289</v>
      </c>
      <c r="G18" s="127" t="s">
        <v>42</v>
      </c>
      <c r="H18" s="53" t="s">
        <v>160</v>
      </c>
      <c r="I18" s="53" t="s">
        <v>159</v>
      </c>
      <c r="J18" s="127" t="s">
        <v>38</v>
      </c>
      <c r="K18" s="53" t="s">
        <v>161</v>
      </c>
      <c r="L18" s="53">
        <v>2</v>
      </c>
      <c r="N18" s="53">
        <v>1</v>
      </c>
      <c r="O18" s="53">
        <v>0.8</v>
      </c>
      <c r="P18" s="53">
        <v>0.5</v>
      </c>
      <c r="Q18" s="75">
        <f t="shared" si="0"/>
        <v>0.65</v>
      </c>
      <c r="R18" s="34">
        <v>20.8</v>
      </c>
      <c r="S18" s="53">
        <v>159</v>
      </c>
      <c r="T18" s="16">
        <f t="shared" si="1"/>
        <v>18</v>
      </c>
      <c r="U18" s="53">
        <v>158</v>
      </c>
      <c r="V18" s="129">
        <f t="shared" si="2"/>
        <v>2844</v>
      </c>
      <c r="W18" s="53">
        <v>10</v>
      </c>
      <c r="X18" s="127" t="s">
        <v>46</v>
      </c>
      <c r="Y18" s="53" t="s">
        <v>88</v>
      </c>
      <c r="Z18" s="53" t="s">
        <v>97</v>
      </c>
      <c r="AA18" s="53" t="s">
        <v>78</v>
      </c>
      <c r="AB18" s="127" t="s">
        <v>236</v>
      </c>
      <c r="AC18" s="34"/>
      <c r="AE18" s="22" t="s">
        <v>87</v>
      </c>
      <c r="AP18" s="27" t="s">
        <v>111</v>
      </c>
      <c r="AR18" s="23" t="s">
        <v>101</v>
      </c>
      <c r="AV18" s="135" t="s">
        <v>135</v>
      </c>
    </row>
    <row r="19" spans="1:48" x14ac:dyDescent="0.15">
      <c r="A19" s="127" t="s">
        <v>61</v>
      </c>
      <c r="B19" s="127" t="s">
        <v>232</v>
      </c>
      <c r="C19" s="127">
        <v>2019</v>
      </c>
      <c r="D19" s="128" t="s">
        <v>283</v>
      </c>
      <c r="E19" s="127" t="s">
        <v>288</v>
      </c>
      <c r="F19" s="127" t="s">
        <v>289</v>
      </c>
      <c r="G19" s="127" t="s">
        <v>42</v>
      </c>
      <c r="H19" s="53" t="s">
        <v>160</v>
      </c>
      <c r="I19" s="53" t="s">
        <v>159</v>
      </c>
      <c r="J19" s="127" t="s">
        <v>38</v>
      </c>
      <c r="K19" s="53" t="s">
        <v>161</v>
      </c>
      <c r="L19" s="53">
        <v>3</v>
      </c>
      <c r="N19" s="53">
        <v>1</v>
      </c>
      <c r="O19" s="34">
        <v>0.7</v>
      </c>
      <c r="P19" s="53">
        <v>0.65</v>
      </c>
      <c r="Q19" s="75">
        <f t="shared" si="0"/>
        <v>0.67500000000000004</v>
      </c>
      <c r="R19" s="53">
        <v>20.399999999999999</v>
      </c>
      <c r="S19" s="53">
        <v>153</v>
      </c>
      <c r="T19" s="16">
        <f t="shared" si="1"/>
        <v>18</v>
      </c>
      <c r="U19" s="53">
        <v>158</v>
      </c>
      <c r="V19" s="129">
        <f t="shared" si="2"/>
        <v>2844</v>
      </c>
      <c r="W19" s="53">
        <v>10</v>
      </c>
      <c r="X19" s="127" t="s">
        <v>46</v>
      </c>
      <c r="Y19" s="53" t="s">
        <v>88</v>
      </c>
      <c r="Z19" s="53" t="s">
        <v>97</v>
      </c>
      <c r="AA19" s="53" t="s">
        <v>78</v>
      </c>
      <c r="AB19" s="127" t="s">
        <v>236</v>
      </c>
      <c r="AC19" s="34"/>
      <c r="AE19" s="35" t="s">
        <v>89</v>
      </c>
      <c r="AP19" s="27" t="s">
        <v>112</v>
      </c>
      <c r="AR19" s="23" t="s">
        <v>126</v>
      </c>
      <c r="AV19" s="135" t="s">
        <v>308</v>
      </c>
    </row>
    <row r="20" spans="1:48" x14ac:dyDescent="0.15">
      <c r="A20" s="127" t="s">
        <v>61</v>
      </c>
      <c r="B20" s="127" t="s">
        <v>232</v>
      </c>
      <c r="C20" s="127">
        <v>2019</v>
      </c>
      <c r="D20" s="128" t="s">
        <v>283</v>
      </c>
      <c r="E20" s="127" t="s">
        <v>290</v>
      </c>
      <c r="F20" s="127" t="s">
        <v>291</v>
      </c>
      <c r="G20" s="127" t="s">
        <v>42</v>
      </c>
      <c r="H20" s="53" t="s">
        <v>164</v>
      </c>
      <c r="I20" s="53" t="s">
        <v>159</v>
      </c>
      <c r="J20" s="127" t="s">
        <v>38</v>
      </c>
      <c r="K20" s="53" t="s">
        <v>161</v>
      </c>
      <c r="L20" s="53">
        <v>1</v>
      </c>
      <c r="N20" s="53">
        <v>1</v>
      </c>
      <c r="O20" s="53">
        <v>0.5</v>
      </c>
      <c r="P20" s="53">
        <v>0.5</v>
      </c>
      <c r="Q20" s="75">
        <f t="shared" si="0"/>
        <v>0.5</v>
      </c>
      <c r="R20" s="53">
        <v>17.399999999999999</v>
      </c>
      <c r="S20" s="53">
        <v>129</v>
      </c>
      <c r="T20" s="16">
        <f t="shared" si="1"/>
        <v>25</v>
      </c>
      <c r="U20" s="53">
        <v>128</v>
      </c>
      <c r="V20" s="129">
        <f t="shared" si="2"/>
        <v>3200</v>
      </c>
      <c r="W20" s="53">
        <v>12</v>
      </c>
      <c r="X20" s="127" t="s">
        <v>46</v>
      </c>
      <c r="Y20" s="53" t="s">
        <v>97</v>
      </c>
      <c r="Z20" s="53" t="s">
        <v>78</v>
      </c>
      <c r="AA20" s="53" t="s">
        <v>88</v>
      </c>
      <c r="AB20" s="127" t="s">
        <v>236</v>
      </c>
      <c r="AC20" s="34"/>
      <c r="AE20" s="22"/>
      <c r="AP20" s="27" t="s">
        <v>113</v>
      </c>
      <c r="AR20" s="23" t="s">
        <v>105</v>
      </c>
      <c r="AV20" s="135" t="s">
        <v>309</v>
      </c>
    </row>
    <row r="21" spans="1:48" x14ac:dyDescent="0.15">
      <c r="A21" s="127" t="s">
        <v>61</v>
      </c>
      <c r="B21" s="127" t="s">
        <v>232</v>
      </c>
      <c r="C21" s="127">
        <v>2019</v>
      </c>
      <c r="D21" s="128" t="s">
        <v>283</v>
      </c>
      <c r="E21" s="127" t="s">
        <v>290</v>
      </c>
      <c r="F21" s="127" t="s">
        <v>291</v>
      </c>
      <c r="G21" s="127" t="s">
        <v>42</v>
      </c>
      <c r="H21" s="53" t="s">
        <v>164</v>
      </c>
      <c r="I21" s="53" t="s">
        <v>159</v>
      </c>
      <c r="J21" s="127" t="s">
        <v>38</v>
      </c>
      <c r="K21" s="53" t="s">
        <v>161</v>
      </c>
      <c r="L21" s="53">
        <v>2</v>
      </c>
      <c r="N21" s="53">
        <v>1</v>
      </c>
      <c r="O21" s="53">
        <v>0.6</v>
      </c>
      <c r="P21" s="53">
        <v>0.85</v>
      </c>
      <c r="Q21" s="75">
        <f t="shared" si="0"/>
        <v>0.72499999999999998</v>
      </c>
      <c r="R21" s="53">
        <v>16.3</v>
      </c>
      <c r="S21" s="53">
        <v>129</v>
      </c>
      <c r="T21" s="16">
        <f t="shared" si="1"/>
        <v>25</v>
      </c>
      <c r="U21" s="53">
        <v>128</v>
      </c>
      <c r="V21" s="129">
        <f t="shared" si="2"/>
        <v>3200</v>
      </c>
      <c r="W21" s="53">
        <v>12</v>
      </c>
      <c r="X21" s="127" t="s">
        <v>46</v>
      </c>
      <c r="Y21" s="53" t="s">
        <v>97</v>
      </c>
      <c r="Z21" s="53" t="s">
        <v>78</v>
      </c>
      <c r="AA21" s="53" t="s">
        <v>88</v>
      </c>
      <c r="AB21" s="127" t="s">
        <v>236</v>
      </c>
      <c r="AC21" s="34"/>
      <c r="AE21" s="22"/>
      <c r="AP21" s="27" t="s">
        <v>114</v>
      </c>
      <c r="AR21" s="23" t="s">
        <v>68</v>
      </c>
      <c r="AV21" s="135" t="s">
        <v>310</v>
      </c>
    </row>
    <row r="22" spans="1:48" x14ac:dyDescent="0.15">
      <c r="A22" s="127" t="s">
        <v>61</v>
      </c>
      <c r="B22" s="127" t="s">
        <v>232</v>
      </c>
      <c r="C22" s="127">
        <v>2019</v>
      </c>
      <c r="D22" s="128" t="s">
        <v>283</v>
      </c>
      <c r="E22" s="127" t="s">
        <v>290</v>
      </c>
      <c r="F22" s="127" t="s">
        <v>291</v>
      </c>
      <c r="G22" s="127" t="s">
        <v>42</v>
      </c>
      <c r="H22" s="53" t="s">
        <v>164</v>
      </c>
      <c r="I22" s="53" t="s">
        <v>159</v>
      </c>
      <c r="J22" s="127" t="s">
        <v>38</v>
      </c>
      <c r="K22" s="53" t="s">
        <v>161</v>
      </c>
      <c r="L22" s="53">
        <v>3</v>
      </c>
      <c r="N22" s="53">
        <v>1</v>
      </c>
      <c r="O22" s="53">
        <v>0.75</v>
      </c>
      <c r="P22" s="53">
        <v>0.5</v>
      </c>
      <c r="Q22" s="75">
        <f t="shared" si="0"/>
        <v>0.625</v>
      </c>
      <c r="R22" s="53">
        <v>16.899999999999999</v>
      </c>
      <c r="S22" s="53">
        <v>124</v>
      </c>
      <c r="T22" s="16">
        <f t="shared" si="1"/>
        <v>27</v>
      </c>
      <c r="U22" s="53">
        <v>128</v>
      </c>
      <c r="V22" s="129">
        <f t="shared" si="2"/>
        <v>3456</v>
      </c>
      <c r="W22" s="53">
        <v>12</v>
      </c>
      <c r="X22" s="127" t="s">
        <v>46</v>
      </c>
      <c r="Y22" s="53" t="s">
        <v>97</v>
      </c>
      <c r="Z22" s="53" t="s">
        <v>78</v>
      </c>
      <c r="AA22" s="53" t="s">
        <v>88</v>
      </c>
      <c r="AB22" s="127" t="s">
        <v>236</v>
      </c>
      <c r="AC22" s="34"/>
      <c r="AE22" s="35"/>
      <c r="AP22" s="27" t="s">
        <v>115</v>
      </c>
      <c r="AR22" s="23" t="s">
        <v>83</v>
      </c>
      <c r="AV22" s="23"/>
    </row>
    <row r="23" spans="1:48" x14ac:dyDescent="0.15">
      <c r="A23" s="127" t="s">
        <v>61</v>
      </c>
      <c r="B23" s="127" t="s">
        <v>232</v>
      </c>
      <c r="C23" s="127">
        <v>2019</v>
      </c>
      <c r="D23" s="128" t="s">
        <v>283</v>
      </c>
      <c r="E23" s="127" t="s">
        <v>290</v>
      </c>
      <c r="F23" s="127" t="s">
        <v>291</v>
      </c>
      <c r="G23" s="127" t="s">
        <v>42</v>
      </c>
      <c r="H23" s="53" t="s">
        <v>160</v>
      </c>
      <c r="I23" s="53" t="s">
        <v>159</v>
      </c>
      <c r="J23" s="127" t="s">
        <v>38</v>
      </c>
      <c r="K23" s="53" t="s">
        <v>161</v>
      </c>
      <c r="L23" s="53">
        <v>1</v>
      </c>
      <c r="N23" s="53">
        <v>1</v>
      </c>
      <c r="O23" s="53">
        <v>0.6</v>
      </c>
      <c r="P23" s="53">
        <v>0.75</v>
      </c>
      <c r="Q23" s="75">
        <f t="shared" si="0"/>
        <v>0.67500000000000004</v>
      </c>
      <c r="R23" s="53">
        <v>15.9</v>
      </c>
      <c r="S23" s="53">
        <v>132</v>
      </c>
      <c r="T23" s="16">
        <f t="shared" si="1"/>
        <v>25</v>
      </c>
      <c r="U23" s="53">
        <v>138</v>
      </c>
      <c r="V23" s="129">
        <f t="shared" si="2"/>
        <v>3450</v>
      </c>
      <c r="W23" s="53">
        <v>12</v>
      </c>
      <c r="X23" s="127" t="s">
        <v>46</v>
      </c>
      <c r="Y23" s="53" t="s">
        <v>97</v>
      </c>
      <c r="Z23" s="53" t="s">
        <v>78</v>
      </c>
      <c r="AA23" s="53" t="s">
        <v>88</v>
      </c>
      <c r="AB23" s="127" t="s">
        <v>236</v>
      </c>
      <c r="AC23" s="34"/>
      <c r="AE23" s="22"/>
      <c r="AP23" s="27" t="s">
        <v>137</v>
      </c>
      <c r="AR23" s="23" t="s">
        <v>61</v>
      </c>
    </row>
    <row r="24" spans="1:48" x14ac:dyDescent="0.15">
      <c r="A24" s="127" t="s">
        <v>61</v>
      </c>
      <c r="B24" s="127" t="s">
        <v>232</v>
      </c>
      <c r="C24" s="127">
        <v>2019</v>
      </c>
      <c r="D24" s="128" t="s">
        <v>283</v>
      </c>
      <c r="E24" s="127" t="s">
        <v>290</v>
      </c>
      <c r="F24" s="127" t="s">
        <v>291</v>
      </c>
      <c r="G24" s="127" t="s">
        <v>42</v>
      </c>
      <c r="H24" s="53" t="s">
        <v>160</v>
      </c>
      <c r="I24" s="53" t="s">
        <v>159</v>
      </c>
      <c r="J24" s="127" t="s">
        <v>38</v>
      </c>
      <c r="K24" s="53" t="s">
        <v>161</v>
      </c>
      <c r="L24" s="53">
        <v>2</v>
      </c>
      <c r="N24" s="53">
        <v>1</v>
      </c>
      <c r="O24" s="53">
        <v>0.7</v>
      </c>
      <c r="P24" s="53">
        <v>0.5</v>
      </c>
      <c r="Q24" s="75">
        <f t="shared" si="0"/>
        <v>0.6</v>
      </c>
      <c r="R24" s="53">
        <v>16.2</v>
      </c>
      <c r="S24" s="53">
        <v>131</v>
      </c>
      <c r="T24" s="16">
        <f t="shared" si="1"/>
        <v>25</v>
      </c>
      <c r="U24" s="53">
        <v>138</v>
      </c>
      <c r="V24" s="129">
        <f t="shared" si="2"/>
        <v>3450</v>
      </c>
      <c r="W24" s="53">
        <v>12</v>
      </c>
      <c r="X24" s="127" t="s">
        <v>46</v>
      </c>
      <c r="Y24" s="53" t="s">
        <v>97</v>
      </c>
      <c r="Z24" s="53" t="s">
        <v>78</v>
      </c>
      <c r="AA24" s="53" t="s">
        <v>88</v>
      </c>
      <c r="AB24" s="127" t="s">
        <v>236</v>
      </c>
      <c r="AC24" s="34"/>
      <c r="AE24" s="22"/>
      <c r="AP24" s="27" t="s">
        <v>138</v>
      </c>
      <c r="AR24" s="23" t="s">
        <v>91</v>
      </c>
    </row>
    <row r="25" spans="1:48" x14ac:dyDescent="0.15">
      <c r="A25" s="127" t="s">
        <v>61</v>
      </c>
      <c r="B25" s="127" t="s">
        <v>232</v>
      </c>
      <c r="C25" s="127">
        <v>2019</v>
      </c>
      <c r="D25" s="128" t="s">
        <v>283</v>
      </c>
      <c r="E25" s="127" t="s">
        <v>290</v>
      </c>
      <c r="F25" s="127" t="s">
        <v>291</v>
      </c>
      <c r="G25" s="127" t="s">
        <v>42</v>
      </c>
      <c r="H25" s="53" t="s">
        <v>160</v>
      </c>
      <c r="I25" s="53" t="s">
        <v>159</v>
      </c>
      <c r="J25" s="127" t="s">
        <v>38</v>
      </c>
      <c r="K25" s="53" t="s">
        <v>161</v>
      </c>
      <c r="L25" s="53">
        <v>3</v>
      </c>
      <c r="N25" s="53">
        <v>1</v>
      </c>
      <c r="O25" s="34">
        <v>1.25</v>
      </c>
      <c r="P25" s="53">
        <v>0.65</v>
      </c>
      <c r="Q25" s="75">
        <f t="shared" si="0"/>
        <v>0.95</v>
      </c>
      <c r="R25" s="53">
        <v>13.3</v>
      </c>
      <c r="S25" s="53">
        <v>96</v>
      </c>
      <c r="T25" s="16">
        <f t="shared" si="1"/>
        <v>36</v>
      </c>
      <c r="U25" s="53">
        <v>138</v>
      </c>
      <c r="V25" s="129">
        <f t="shared" si="2"/>
        <v>4968</v>
      </c>
      <c r="W25" s="53">
        <v>12</v>
      </c>
      <c r="X25" s="127" t="s">
        <v>46</v>
      </c>
      <c r="Y25" s="53" t="s">
        <v>97</v>
      </c>
      <c r="Z25" s="53" t="s">
        <v>78</v>
      </c>
      <c r="AA25" s="53" t="s">
        <v>88</v>
      </c>
      <c r="AB25" s="127" t="s">
        <v>236</v>
      </c>
      <c r="AC25" s="34"/>
      <c r="AE25" s="35"/>
      <c r="AP25" s="27" t="s">
        <v>116</v>
      </c>
      <c r="AR25" s="27" t="s">
        <v>92</v>
      </c>
    </row>
    <row r="26" spans="1:48" x14ac:dyDescent="0.15">
      <c r="A26" s="127" t="s">
        <v>61</v>
      </c>
      <c r="B26" s="127" t="s">
        <v>232</v>
      </c>
      <c r="C26" s="127">
        <v>2019</v>
      </c>
      <c r="D26" s="128" t="s">
        <v>283</v>
      </c>
      <c r="E26" s="127" t="s">
        <v>292</v>
      </c>
      <c r="F26" s="127" t="s">
        <v>293</v>
      </c>
      <c r="G26" s="127" t="s">
        <v>42</v>
      </c>
      <c r="H26" s="53" t="s">
        <v>164</v>
      </c>
      <c r="I26" s="53" t="s">
        <v>165</v>
      </c>
      <c r="J26" s="127" t="s">
        <v>38</v>
      </c>
      <c r="K26" s="53" t="s">
        <v>161</v>
      </c>
      <c r="L26" s="53">
        <v>1</v>
      </c>
      <c r="N26" s="53">
        <v>1</v>
      </c>
      <c r="O26" s="34">
        <v>0.8</v>
      </c>
      <c r="P26" s="53">
        <v>0.6</v>
      </c>
      <c r="Q26" s="75">
        <f t="shared" si="0"/>
        <v>0.7</v>
      </c>
      <c r="R26" s="53">
        <v>11.6</v>
      </c>
      <c r="S26" s="53">
        <v>129</v>
      </c>
      <c r="T26" s="16">
        <f t="shared" si="1"/>
        <v>25</v>
      </c>
      <c r="U26" s="53">
        <v>100</v>
      </c>
      <c r="V26" s="129">
        <f t="shared" si="2"/>
        <v>2500</v>
      </c>
      <c r="W26" s="53">
        <v>8</v>
      </c>
      <c r="X26" s="127" t="s">
        <v>39</v>
      </c>
      <c r="Y26" s="53" t="s">
        <v>78</v>
      </c>
      <c r="Z26" s="53" t="s">
        <v>88</v>
      </c>
      <c r="AA26" s="53" t="s">
        <v>69</v>
      </c>
      <c r="AB26" s="127" t="s">
        <v>236</v>
      </c>
      <c r="AC26" s="34"/>
      <c r="AD26" s="34"/>
      <c r="AE26" s="35"/>
      <c r="AP26" s="27" t="s">
        <v>117</v>
      </c>
      <c r="AR26" s="23" t="s">
        <v>153</v>
      </c>
    </row>
    <row r="27" spans="1:48" x14ac:dyDescent="0.15">
      <c r="A27" s="127" t="s">
        <v>61</v>
      </c>
      <c r="B27" s="127" t="s">
        <v>232</v>
      </c>
      <c r="C27" s="127">
        <v>2019</v>
      </c>
      <c r="D27" s="128" t="s">
        <v>283</v>
      </c>
      <c r="E27" s="127" t="s">
        <v>292</v>
      </c>
      <c r="F27" s="127" t="s">
        <v>293</v>
      </c>
      <c r="G27" s="127" t="s">
        <v>42</v>
      </c>
      <c r="H27" s="53" t="s">
        <v>164</v>
      </c>
      <c r="I27" s="53" t="s">
        <v>165</v>
      </c>
      <c r="J27" s="127" t="s">
        <v>38</v>
      </c>
      <c r="K27" s="53" t="s">
        <v>161</v>
      </c>
      <c r="L27" s="53">
        <v>2</v>
      </c>
      <c r="N27" s="53">
        <v>1</v>
      </c>
      <c r="O27" s="34">
        <v>0.85</v>
      </c>
      <c r="P27" s="53">
        <v>1.25</v>
      </c>
      <c r="Q27" s="75">
        <f t="shared" si="0"/>
        <v>1.05</v>
      </c>
      <c r="R27" s="53">
        <v>17.3</v>
      </c>
      <c r="S27" s="53">
        <v>136</v>
      </c>
      <c r="T27" s="16">
        <f t="shared" si="1"/>
        <v>25</v>
      </c>
      <c r="U27" s="53">
        <v>100</v>
      </c>
      <c r="V27" s="129">
        <f t="shared" si="2"/>
        <v>2500</v>
      </c>
      <c r="W27" s="53">
        <v>8</v>
      </c>
      <c r="X27" s="127" t="s">
        <v>39</v>
      </c>
      <c r="Y27" s="53" t="s">
        <v>78</v>
      </c>
      <c r="Z27" s="53" t="s">
        <v>88</v>
      </c>
      <c r="AA27" s="53" t="s">
        <v>69</v>
      </c>
      <c r="AB27" s="127" t="s">
        <v>236</v>
      </c>
      <c r="AC27" s="34"/>
      <c r="AD27" s="34"/>
      <c r="AE27" s="28"/>
      <c r="AP27" s="27" t="s">
        <v>118</v>
      </c>
      <c r="AR27" s="23"/>
    </row>
    <row r="28" spans="1:48" x14ac:dyDescent="0.15">
      <c r="A28" s="127" t="s">
        <v>61</v>
      </c>
      <c r="B28" s="127" t="s">
        <v>232</v>
      </c>
      <c r="C28" s="127">
        <v>2019</v>
      </c>
      <c r="D28" s="128" t="s">
        <v>283</v>
      </c>
      <c r="E28" s="127" t="s">
        <v>292</v>
      </c>
      <c r="F28" s="127" t="s">
        <v>293</v>
      </c>
      <c r="G28" s="127" t="s">
        <v>42</v>
      </c>
      <c r="H28" s="53" t="s">
        <v>164</v>
      </c>
      <c r="I28" s="53" t="s">
        <v>165</v>
      </c>
      <c r="J28" s="127" t="s">
        <v>38</v>
      </c>
      <c r="K28" s="53" t="s">
        <v>161</v>
      </c>
      <c r="L28" s="53">
        <v>3</v>
      </c>
      <c r="N28" s="53">
        <v>1</v>
      </c>
      <c r="O28" s="34">
        <v>0.5</v>
      </c>
      <c r="P28" s="53">
        <v>0.75</v>
      </c>
      <c r="Q28" s="75">
        <f t="shared" si="0"/>
        <v>0.625</v>
      </c>
      <c r="R28" s="53">
        <v>15.3</v>
      </c>
      <c r="S28" s="53">
        <v>123</v>
      </c>
      <c r="T28" s="16">
        <f t="shared" si="1"/>
        <v>27</v>
      </c>
      <c r="U28" s="53">
        <v>100</v>
      </c>
      <c r="V28" s="129">
        <f t="shared" si="2"/>
        <v>2700</v>
      </c>
      <c r="W28" s="53">
        <v>8</v>
      </c>
      <c r="X28" s="127" t="s">
        <v>39</v>
      </c>
      <c r="Y28" s="53" t="s">
        <v>78</v>
      </c>
      <c r="Z28" s="53" t="s">
        <v>88</v>
      </c>
      <c r="AA28" s="53" t="s">
        <v>69</v>
      </c>
      <c r="AB28" s="127" t="s">
        <v>236</v>
      </c>
      <c r="AC28" s="34"/>
      <c r="AD28" s="34"/>
      <c r="AP28" s="27"/>
      <c r="AR28" s="23"/>
    </row>
    <row r="29" spans="1:48" x14ac:dyDescent="0.15">
      <c r="A29" s="127" t="s">
        <v>61</v>
      </c>
      <c r="B29" s="127" t="s">
        <v>232</v>
      </c>
      <c r="C29" s="127">
        <v>2019</v>
      </c>
      <c r="D29" s="128" t="s">
        <v>283</v>
      </c>
      <c r="E29" s="127" t="s">
        <v>292</v>
      </c>
      <c r="F29" s="127" t="s">
        <v>293</v>
      </c>
      <c r="G29" s="127" t="s">
        <v>42</v>
      </c>
      <c r="H29" s="53" t="s">
        <v>160</v>
      </c>
      <c r="I29" s="53" t="s">
        <v>159</v>
      </c>
      <c r="J29" s="127" t="s">
        <v>38</v>
      </c>
      <c r="K29" s="53" t="s">
        <v>161</v>
      </c>
      <c r="L29" s="53">
        <v>1</v>
      </c>
      <c r="N29" s="53">
        <v>1</v>
      </c>
      <c r="O29" s="34">
        <v>0.65</v>
      </c>
      <c r="P29" s="53">
        <v>0.6</v>
      </c>
      <c r="Q29" s="75">
        <f t="shared" si="0"/>
        <v>0.625</v>
      </c>
      <c r="R29" s="53">
        <v>15.3</v>
      </c>
      <c r="S29" s="53">
        <v>136</v>
      </c>
      <c r="T29" s="16">
        <f t="shared" si="1"/>
        <v>25</v>
      </c>
      <c r="U29" s="53">
        <v>128</v>
      </c>
      <c r="V29" s="129">
        <f t="shared" si="2"/>
        <v>3200</v>
      </c>
      <c r="W29" s="53">
        <v>8</v>
      </c>
      <c r="X29" s="127" t="s">
        <v>39</v>
      </c>
      <c r="Y29" s="53" t="s">
        <v>78</v>
      </c>
      <c r="Z29" s="53" t="s">
        <v>88</v>
      </c>
      <c r="AA29" s="53" t="s">
        <v>69</v>
      </c>
      <c r="AB29" s="127" t="s">
        <v>236</v>
      </c>
      <c r="AC29" s="34"/>
    </row>
    <row r="30" spans="1:48" x14ac:dyDescent="0.15">
      <c r="A30" s="127" t="s">
        <v>61</v>
      </c>
      <c r="B30" s="127" t="s">
        <v>232</v>
      </c>
      <c r="C30" s="127">
        <v>2019</v>
      </c>
      <c r="D30" s="128" t="s">
        <v>283</v>
      </c>
      <c r="E30" s="127" t="s">
        <v>292</v>
      </c>
      <c r="F30" s="127" t="s">
        <v>293</v>
      </c>
      <c r="G30" s="127" t="s">
        <v>42</v>
      </c>
      <c r="H30" s="53" t="s">
        <v>160</v>
      </c>
      <c r="I30" s="53" t="s">
        <v>159</v>
      </c>
      <c r="J30" s="127" t="s">
        <v>38</v>
      </c>
      <c r="K30" s="53" t="s">
        <v>161</v>
      </c>
      <c r="L30" s="53">
        <v>2</v>
      </c>
      <c r="N30" s="53">
        <v>1</v>
      </c>
      <c r="O30" s="34">
        <v>0.65</v>
      </c>
      <c r="P30" s="53">
        <v>0.5</v>
      </c>
      <c r="Q30" s="75">
        <f t="shared" si="0"/>
        <v>0.57499999999999996</v>
      </c>
      <c r="R30" s="53">
        <v>16.3</v>
      </c>
      <c r="S30" s="53">
        <v>142</v>
      </c>
      <c r="T30" s="16">
        <f t="shared" si="1"/>
        <v>22</v>
      </c>
      <c r="U30" s="53">
        <v>128</v>
      </c>
      <c r="V30" s="129">
        <f t="shared" si="2"/>
        <v>2816</v>
      </c>
      <c r="W30" s="53">
        <v>8</v>
      </c>
      <c r="X30" s="127" t="s">
        <v>39</v>
      </c>
      <c r="Y30" s="53" t="s">
        <v>78</v>
      </c>
      <c r="Z30" s="53" t="s">
        <v>88</v>
      </c>
      <c r="AA30" s="53" t="s">
        <v>69</v>
      </c>
      <c r="AB30" s="127" t="s">
        <v>236</v>
      </c>
      <c r="AC30" s="34"/>
    </row>
    <row r="31" spans="1:48" x14ac:dyDescent="0.15">
      <c r="A31" s="127" t="s">
        <v>61</v>
      </c>
      <c r="B31" s="127" t="s">
        <v>232</v>
      </c>
      <c r="C31" s="127">
        <v>2019</v>
      </c>
      <c r="D31" s="128" t="s">
        <v>283</v>
      </c>
      <c r="E31" s="127" t="s">
        <v>292</v>
      </c>
      <c r="F31" s="127" t="s">
        <v>293</v>
      </c>
      <c r="G31" s="127" t="s">
        <v>42</v>
      </c>
      <c r="H31" s="53" t="s">
        <v>160</v>
      </c>
      <c r="I31" s="53" t="s">
        <v>159</v>
      </c>
      <c r="J31" s="127" t="s">
        <v>38</v>
      </c>
      <c r="K31" s="53" t="s">
        <v>161</v>
      </c>
      <c r="L31" s="53">
        <v>3</v>
      </c>
      <c r="N31" s="53">
        <v>1</v>
      </c>
      <c r="O31" s="34">
        <v>0.7</v>
      </c>
      <c r="P31" s="53">
        <v>0.5</v>
      </c>
      <c r="Q31" s="75">
        <f t="shared" si="0"/>
        <v>0.6</v>
      </c>
      <c r="R31" s="53">
        <v>15.7</v>
      </c>
      <c r="S31" s="53">
        <v>141</v>
      </c>
      <c r="T31" s="16">
        <f t="shared" si="1"/>
        <v>22</v>
      </c>
      <c r="U31" s="53">
        <v>128</v>
      </c>
      <c r="V31" s="129">
        <f t="shared" si="2"/>
        <v>2816</v>
      </c>
      <c r="W31" s="53">
        <v>8</v>
      </c>
      <c r="X31" s="127" t="s">
        <v>39</v>
      </c>
      <c r="Y31" s="53" t="s">
        <v>78</v>
      </c>
      <c r="Z31" s="53" t="s">
        <v>88</v>
      </c>
      <c r="AA31" s="53" t="s">
        <v>69</v>
      </c>
      <c r="AB31" s="127" t="s">
        <v>236</v>
      </c>
      <c r="AC31" s="34"/>
    </row>
    <row r="32" spans="1:48" x14ac:dyDescent="0.15">
      <c r="A32" s="127" t="s">
        <v>61</v>
      </c>
      <c r="B32" s="127" t="s">
        <v>232</v>
      </c>
      <c r="C32" s="127">
        <v>2019</v>
      </c>
      <c r="D32" s="128" t="s">
        <v>283</v>
      </c>
      <c r="E32" s="127" t="s">
        <v>292</v>
      </c>
      <c r="F32" s="127" t="s">
        <v>293</v>
      </c>
      <c r="G32" s="127" t="s">
        <v>42</v>
      </c>
      <c r="H32" s="53" t="s">
        <v>160</v>
      </c>
      <c r="I32" s="53" t="s">
        <v>165</v>
      </c>
      <c r="J32" s="127" t="s">
        <v>38</v>
      </c>
      <c r="K32" s="53" t="s">
        <v>161</v>
      </c>
      <c r="L32" s="53">
        <v>1</v>
      </c>
      <c r="N32" s="53">
        <v>1</v>
      </c>
      <c r="O32" s="34">
        <v>0.5</v>
      </c>
      <c r="P32" s="53">
        <v>0.5</v>
      </c>
      <c r="Q32" s="75">
        <f t="shared" si="0"/>
        <v>0.5</v>
      </c>
      <c r="R32" s="53">
        <v>17.3</v>
      </c>
      <c r="S32" s="53">
        <v>126</v>
      </c>
      <c r="T32" s="16">
        <f t="shared" si="1"/>
        <v>27</v>
      </c>
      <c r="U32" s="53">
        <v>128</v>
      </c>
      <c r="V32" s="129">
        <f t="shared" si="2"/>
        <v>3456</v>
      </c>
      <c r="W32" s="53">
        <v>8</v>
      </c>
      <c r="X32" s="127" t="s">
        <v>39</v>
      </c>
      <c r="Y32" s="53" t="s">
        <v>78</v>
      </c>
      <c r="Z32" s="53" t="s">
        <v>88</v>
      </c>
      <c r="AA32" s="53" t="s">
        <v>69</v>
      </c>
      <c r="AB32" s="127" t="s">
        <v>236</v>
      </c>
      <c r="AC32" s="34"/>
    </row>
    <row r="33" spans="1:29" x14ac:dyDescent="0.15">
      <c r="A33" s="127" t="s">
        <v>61</v>
      </c>
      <c r="B33" s="127" t="s">
        <v>232</v>
      </c>
      <c r="C33" s="127">
        <v>2019</v>
      </c>
      <c r="D33" s="128" t="s">
        <v>283</v>
      </c>
      <c r="E33" s="127" t="s">
        <v>292</v>
      </c>
      <c r="F33" s="127" t="s">
        <v>293</v>
      </c>
      <c r="G33" s="127" t="s">
        <v>42</v>
      </c>
      <c r="H33" s="53" t="s">
        <v>160</v>
      </c>
      <c r="I33" s="53" t="s">
        <v>165</v>
      </c>
      <c r="J33" s="127" t="s">
        <v>38</v>
      </c>
      <c r="K33" s="53" t="s">
        <v>161</v>
      </c>
      <c r="L33" s="53">
        <v>2</v>
      </c>
      <c r="N33" s="53">
        <v>1</v>
      </c>
      <c r="O33" s="34">
        <v>0.7</v>
      </c>
      <c r="P33" s="53">
        <v>0.65</v>
      </c>
      <c r="Q33" s="75">
        <f t="shared" si="0"/>
        <v>0.67500000000000004</v>
      </c>
      <c r="R33" s="53">
        <v>16.5</v>
      </c>
      <c r="S33" s="53">
        <v>118</v>
      </c>
      <c r="T33" s="16">
        <f t="shared" si="1"/>
        <v>30</v>
      </c>
      <c r="U33" s="53">
        <v>128</v>
      </c>
      <c r="V33" s="129">
        <f t="shared" si="2"/>
        <v>3840</v>
      </c>
      <c r="W33" s="53">
        <v>8</v>
      </c>
      <c r="X33" s="127" t="s">
        <v>39</v>
      </c>
      <c r="Y33" s="53" t="s">
        <v>78</v>
      </c>
      <c r="Z33" s="53" t="s">
        <v>88</v>
      </c>
      <c r="AA33" s="53" t="s">
        <v>69</v>
      </c>
      <c r="AB33" s="127" t="s">
        <v>236</v>
      </c>
      <c r="AC33" s="34"/>
    </row>
    <row r="34" spans="1:29" x14ac:dyDescent="0.15">
      <c r="A34" s="127" t="s">
        <v>61</v>
      </c>
      <c r="B34" s="127" t="s">
        <v>232</v>
      </c>
      <c r="C34" s="127">
        <v>2019</v>
      </c>
      <c r="D34" s="128" t="s">
        <v>283</v>
      </c>
      <c r="E34" s="127" t="s">
        <v>292</v>
      </c>
      <c r="F34" s="127" t="s">
        <v>293</v>
      </c>
      <c r="G34" s="127" t="s">
        <v>42</v>
      </c>
      <c r="H34" s="53" t="s">
        <v>160</v>
      </c>
      <c r="I34" s="53" t="s">
        <v>165</v>
      </c>
      <c r="J34" s="127" t="s">
        <v>38</v>
      </c>
      <c r="K34" s="53" t="s">
        <v>161</v>
      </c>
      <c r="L34" s="53">
        <v>3</v>
      </c>
      <c r="N34" s="53">
        <v>1</v>
      </c>
      <c r="O34" s="34">
        <v>0.5</v>
      </c>
      <c r="P34" s="53">
        <v>0.5</v>
      </c>
      <c r="Q34" s="75">
        <f t="shared" si="0"/>
        <v>0.5</v>
      </c>
      <c r="R34" s="53">
        <v>15.4</v>
      </c>
      <c r="S34" s="53">
        <v>121</v>
      </c>
      <c r="T34" s="16">
        <f t="shared" si="1"/>
        <v>27</v>
      </c>
      <c r="U34" s="53">
        <v>128</v>
      </c>
      <c r="V34" s="129">
        <f t="shared" si="2"/>
        <v>3456</v>
      </c>
      <c r="W34" s="53">
        <v>8</v>
      </c>
      <c r="X34" s="127" t="s">
        <v>39</v>
      </c>
      <c r="Y34" s="53" t="s">
        <v>78</v>
      </c>
      <c r="Z34" s="53" t="s">
        <v>88</v>
      </c>
      <c r="AA34" s="53" t="s">
        <v>69</v>
      </c>
      <c r="AB34" s="127" t="s">
        <v>236</v>
      </c>
      <c r="AC34" s="34"/>
    </row>
    <row r="35" spans="1:29" x14ac:dyDescent="0.15">
      <c r="A35" s="127" t="s">
        <v>61</v>
      </c>
      <c r="B35" s="127" t="s">
        <v>232</v>
      </c>
      <c r="C35" s="127">
        <v>2019</v>
      </c>
      <c r="D35" s="128" t="s">
        <v>283</v>
      </c>
      <c r="E35" s="127" t="s">
        <v>294</v>
      </c>
      <c r="F35" s="127" t="s">
        <v>295</v>
      </c>
      <c r="G35" s="127" t="s">
        <v>42</v>
      </c>
      <c r="H35" s="53" t="s">
        <v>164</v>
      </c>
      <c r="I35" s="53" t="s">
        <v>159</v>
      </c>
      <c r="J35" s="127" t="s">
        <v>38</v>
      </c>
      <c r="K35" s="53" t="s">
        <v>161</v>
      </c>
      <c r="L35" s="53">
        <v>1</v>
      </c>
      <c r="N35" s="53">
        <v>1</v>
      </c>
      <c r="O35" s="34">
        <v>1.1000000000000001</v>
      </c>
      <c r="P35" s="53">
        <v>1.05</v>
      </c>
      <c r="Q35" s="75">
        <f t="shared" si="0"/>
        <v>1.0750000000000002</v>
      </c>
      <c r="R35" s="53">
        <v>19.899999999999999</v>
      </c>
      <c r="S35" s="53">
        <v>106</v>
      </c>
      <c r="T35" s="16">
        <f t="shared" si="1"/>
        <v>33</v>
      </c>
      <c r="U35" s="53">
        <v>98</v>
      </c>
      <c r="V35" s="129">
        <f t="shared" si="2"/>
        <v>3234</v>
      </c>
      <c r="W35" s="53">
        <v>12</v>
      </c>
      <c r="X35" s="127" t="s">
        <v>46</v>
      </c>
      <c r="Y35" s="53" t="s">
        <v>69</v>
      </c>
      <c r="Z35" s="53" t="s">
        <v>55</v>
      </c>
      <c r="AA35" s="53" t="s">
        <v>90</v>
      </c>
      <c r="AB35" s="127" t="s">
        <v>236</v>
      </c>
      <c r="AC35" s="34"/>
    </row>
    <row r="36" spans="1:29" x14ac:dyDescent="0.15">
      <c r="A36" s="127" t="s">
        <v>61</v>
      </c>
      <c r="B36" s="127" t="s">
        <v>232</v>
      </c>
      <c r="C36" s="127">
        <v>2019</v>
      </c>
      <c r="D36" s="128" t="s">
        <v>283</v>
      </c>
      <c r="E36" s="127" t="s">
        <v>294</v>
      </c>
      <c r="F36" s="127" t="s">
        <v>295</v>
      </c>
      <c r="G36" s="127" t="s">
        <v>42</v>
      </c>
      <c r="H36" s="53" t="s">
        <v>164</v>
      </c>
      <c r="I36" s="53" t="s">
        <v>159</v>
      </c>
      <c r="J36" s="127" t="s">
        <v>38</v>
      </c>
      <c r="K36" s="53" t="s">
        <v>161</v>
      </c>
      <c r="L36" s="53">
        <v>2</v>
      </c>
      <c r="N36" s="53">
        <v>1</v>
      </c>
      <c r="O36" s="34">
        <v>0.7</v>
      </c>
      <c r="P36" s="53">
        <v>0.65</v>
      </c>
      <c r="Q36" s="75">
        <f t="shared" si="0"/>
        <v>0.67500000000000004</v>
      </c>
      <c r="R36" s="53">
        <v>18.2</v>
      </c>
      <c r="S36" s="53">
        <v>107</v>
      </c>
      <c r="T36" s="16">
        <f t="shared" si="1"/>
        <v>33</v>
      </c>
      <c r="U36" s="53">
        <v>98</v>
      </c>
      <c r="V36" s="129">
        <f t="shared" si="2"/>
        <v>3234</v>
      </c>
      <c r="W36" s="53">
        <v>12</v>
      </c>
      <c r="X36" s="127" t="s">
        <v>46</v>
      </c>
      <c r="Y36" s="53" t="s">
        <v>69</v>
      </c>
      <c r="Z36" s="53" t="s">
        <v>55</v>
      </c>
      <c r="AA36" s="53" t="s">
        <v>90</v>
      </c>
      <c r="AB36" s="127" t="s">
        <v>236</v>
      </c>
      <c r="AC36" s="34"/>
    </row>
    <row r="37" spans="1:29" x14ac:dyDescent="0.15">
      <c r="A37" s="127" t="s">
        <v>61</v>
      </c>
      <c r="B37" s="127" t="s">
        <v>232</v>
      </c>
      <c r="C37" s="127">
        <v>2019</v>
      </c>
      <c r="D37" s="128" t="s">
        <v>283</v>
      </c>
      <c r="E37" s="127" t="s">
        <v>294</v>
      </c>
      <c r="F37" s="127" t="s">
        <v>295</v>
      </c>
      <c r="G37" s="127" t="s">
        <v>42</v>
      </c>
      <c r="H37" s="53" t="s">
        <v>164</v>
      </c>
      <c r="I37" s="53" t="s">
        <v>159</v>
      </c>
      <c r="J37" s="127" t="s">
        <v>38</v>
      </c>
      <c r="K37" s="53" t="s">
        <v>161</v>
      </c>
      <c r="L37" s="53">
        <v>3</v>
      </c>
      <c r="N37" s="53">
        <v>1</v>
      </c>
      <c r="O37" s="34">
        <v>0.55000000000000004</v>
      </c>
      <c r="P37" s="53">
        <v>0.7</v>
      </c>
      <c r="Q37" s="75">
        <f t="shared" si="0"/>
        <v>0.625</v>
      </c>
      <c r="R37" s="53">
        <v>12.9</v>
      </c>
      <c r="S37" s="53">
        <v>142</v>
      </c>
      <c r="T37" s="16">
        <f t="shared" si="1"/>
        <v>22</v>
      </c>
      <c r="U37" s="53">
        <v>98</v>
      </c>
      <c r="V37" s="129">
        <f t="shared" si="2"/>
        <v>2156</v>
      </c>
      <c r="W37" s="53">
        <v>12</v>
      </c>
      <c r="X37" s="127" t="s">
        <v>46</v>
      </c>
      <c r="Y37" s="53" t="s">
        <v>69</v>
      </c>
      <c r="Z37" s="53" t="s">
        <v>55</v>
      </c>
      <c r="AA37" s="53" t="s">
        <v>90</v>
      </c>
      <c r="AB37" s="127" t="s">
        <v>236</v>
      </c>
      <c r="AC37" s="34"/>
    </row>
    <row r="38" spans="1:29" x14ac:dyDescent="0.15">
      <c r="A38" s="127" t="s">
        <v>61</v>
      </c>
      <c r="B38" s="127" t="s">
        <v>232</v>
      </c>
      <c r="C38" s="127">
        <v>2019</v>
      </c>
      <c r="D38" s="128" t="s">
        <v>283</v>
      </c>
      <c r="E38" s="127" t="s">
        <v>294</v>
      </c>
      <c r="F38" s="127" t="s">
        <v>295</v>
      </c>
      <c r="G38" s="127" t="s">
        <v>42</v>
      </c>
      <c r="H38" s="53" t="s">
        <v>160</v>
      </c>
      <c r="I38" s="53" t="s">
        <v>159</v>
      </c>
      <c r="J38" s="127" t="s">
        <v>38</v>
      </c>
      <c r="K38" s="53" t="s">
        <v>161</v>
      </c>
      <c r="L38" s="53">
        <v>1</v>
      </c>
      <c r="N38" s="53">
        <v>1</v>
      </c>
      <c r="O38" s="34">
        <v>0.95</v>
      </c>
      <c r="P38" s="53">
        <v>0.7</v>
      </c>
      <c r="Q38" s="75">
        <f t="shared" si="0"/>
        <v>0.82499999999999996</v>
      </c>
      <c r="R38" s="53">
        <v>14.5</v>
      </c>
      <c r="S38" s="53">
        <v>144</v>
      </c>
      <c r="T38" s="16">
        <f t="shared" si="1"/>
        <v>22</v>
      </c>
      <c r="U38" s="53">
        <v>128</v>
      </c>
      <c r="V38" s="129">
        <f t="shared" si="2"/>
        <v>2816</v>
      </c>
      <c r="W38" s="53">
        <v>12</v>
      </c>
      <c r="X38" s="127" t="s">
        <v>46</v>
      </c>
      <c r="Y38" s="53" t="s">
        <v>69</v>
      </c>
      <c r="Z38" s="53" t="s">
        <v>55</v>
      </c>
      <c r="AA38" s="53" t="s">
        <v>90</v>
      </c>
      <c r="AB38" s="127" t="s">
        <v>236</v>
      </c>
      <c r="AC38" s="34"/>
    </row>
    <row r="39" spans="1:29" x14ac:dyDescent="0.15">
      <c r="A39" s="127" t="s">
        <v>61</v>
      </c>
      <c r="B39" s="127" t="s">
        <v>232</v>
      </c>
      <c r="C39" s="127">
        <v>2019</v>
      </c>
      <c r="D39" s="128" t="s">
        <v>283</v>
      </c>
      <c r="E39" s="127" t="s">
        <v>294</v>
      </c>
      <c r="F39" s="127" t="s">
        <v>295</v>
      </c>
      <c r="G39" s="127" t="s">
        <v>42</v>
      </c>
      <c r="H39" s="53" t="s">
        <v>160</v>
      </c>
      <c r="I39" s="53" t="s">
        <v>159</v>
      </c>
      <c r="J39" s="127" t="s">
        <v>38</v>
      </c>
      <c r="K39" s="53" t="s">
        <v>161</v>
      </c>
      <c r="L39" s="53">
        <v>2</v>
      </c>
      <c r="N39" s="53">
        <v>1</v>
      </c>
      <c r="O39" s="34">
        <v>0.5</v>
      </c>
      <c r="P39" s="53">
        <v>0.75</v>
      </c>
      <c r="Q39" s="75">
        <f t="shared" si="0"/>
        <v>0.625</v>
      </c>
      <c r="R39" s="53">
        <v>15.5</v>
      </c>
      <c r="S39" s="53">
        <v>138</v>
      </c>
      <c r="T39" s="16">
        <f t="shared" si="1"/>
        <v>22</v>
      </c>
      <c r="U39" s="53">
        <v>128</v>
      </c>
      <c r="V39" s="129">
        <f t="shared" si="2"/>
        <v>2816</v>
      </c>
      <c r="W39" s="53">
        <v>12</v>
      </c>
      <c r="X39" s="127" t="s">
        <v>46</v>
      </c>
      <c r="Y39" s="53" t="s">
        <v>69</v>
      </c>
      <c r="Z39" s="53" t="s">
        <v>55</v>
      </c>
      <c r="AA39" s="53" t="s">
        <v>90</v>
      </c>
      <c r="AB39" s="127" t="s">
        <v>236</v>
      </c>
      <c r="AC39" s="34"/>
    </row>
    <row r="40" spans="1:29" x14ac:dyDescent="0.15">
      <c r="A40" s="127" t="s">
        <v>61</v>
      </c>
      <c r="B40" s="127" t="s">
        <v>232</v>
      </c>
      <c r="C40" s="127">
        <v>2019</v>
      </c>
      <c r="D40" s="128" t="s">
        <v>283</v>
      </c>
      <c r="E40" s="127" t="s">
        <v>294</v>
      </c>
      <c r="F40" s="127" t="s">
        <v>295</v>
      </c>
      <c r="G40" s="127" t="s">
        <v>42</v>
      </c>
      <c r="H40" s="53" t="s">
        <v>160</v>
      </c>
      <c r="I40" s="53" t="s">
        <v>159</v>
      </c>
      <c r="J40" s="127" t="s">
        <v>38</v>
      </c>
      <c r="K40" s="53" t="s">
        <v>161</v>
      </c>
      <c r="L40" s="53">
        <v>3</v>
      </c>
      <c r="N40" s="53">
        <v>1</v>
      </c>
      <c r="O40" s="53">
        <v>0.7</v>
      </c>
      <c r="P40" s="53">
        <v>0.5</v>
      </c>
      <c r="Q40" s="75">
        <f t="shared" si="0"/>
        <v>0.6</v>
      </c>
      <c r="R40" s="53">
        <v>16.399999999999999</v>
      </c>
      <c r="S40" s="53">
        <v>77</v>
      </c>
      <c r="T40" s="16">
        <f t="shared" si="1"/>
        <v>39</v>
      </c>
      <c r="U40" s="53">
        <v>128</v>
      </c>
      <c r="V40" s="129">
        <f t="shared" si="2"/>
        <v>4992</v>
      </c>
      <c r="W40" s="53">
        <v>12</v>
      </c>
      <c r="X40" s="127" t="s">
        <v>46</v>
      </c>
      <c r="Y40" s="53" t="s">
        <v>69</v>
      </c>
      <c r="Z40" s="53" t="s">
        <v>55</v>
      </c>
      <c r="AA40" s="53" t="s">
        <v>90</v>
      </c>
      <c r="AB40" s="127" t="s">
        <v>236</v>
      </c>
      <c r="AC40" s="34"/>
    </row>
    <row r="41" spans="1:29" x14ac:dyDescent="0.15">
      <c r="A41" s="127" t="s">
        <v>61</v>
      </c>
      <c r="B41" s="127" t="s">
        <v>232</v>
      </c>
      <c r="C41" s="127">
        <v>2019</v>
      </c>
      <c r="D41" s="128" t="s">
        <v>283</v>
      </c>
      <c r="E41" s="127" t="s">
        <v>296</v>
      </c>
      <c r="F41" s="127" t="s">
        <v>297</v>
      </c>
      <c r="G41" s="127" t="s">
        <v>42</v>
      </c>
      <c r="H41" s="53" t="s">
        <v>164</v>
      </c>
      <c r="I41" s="53" t="s">
        <v>159</v>
      </c>
      <c r="J41" s="127" t="s">
        <v>38</v>
      </c>
      <c r="K41" s="53" t="s">
        <v>161</v>
      </c>
      <c r="L41" s="53">
        <v>1</v>
      </c>
      <c r="N41" s="53">
        <v>5</v>
      </c>
      <c r="O41" s="34">
        <v>0.7</v>
      </c>
      <c r="P41" s="53">
        <v>0.5</v>
      </c>
      <c r="Q41" s="75">
        <f t="shared" si="0"/>
        <v>0.6</v>
      </c>
      <c r="R41" s="53">
        <v>13.1</v>
      </c>
      <c r="S41" s="53">
        <v>82</v>
      </c>
      <c r="T41" s="16">
        <f t="shared" si="1"/>
        <v>39</v>
      </c>
      <c r="U41" s="53">
        <v>321</v>
      </c>
      <c r="V41" s="129">
        <f t="shared" si="2"/>
        <v>2503.8000000000002</v>
      </c>
      <c r="W41" s="53">
        <v>6</v>
      </c>
      <c r="X41" s="127" t="s">
        <v>39</v>
      </c>
      <c r="Y41" s="53" t="s">
        <v>97</v>
      </c>
      <c r="Z41" s="53" t="s">
        <v>88</v>
      </c>
      <c r="AA41" s="53" t="s">
        <v>47</v>
      </c>
      <c r="AB41" s="127" t="s">
        <v>236</v>
      </c>
    </row>
    <row r="42" spans="1:29" x14ac:dyDescent="0.15">
      <c r="A42" s="127" t="s">
        <v>61</v>
      </c>
      <c r="B42" s="127" t="s">
        <v>232</v>
      </c>
      <c r="C42" s="127">
        <v>2020</v>
      </c>
      <c r="D42" s="128" t="s">
        <v>283</v>
      </c>
      <c r="E42" s="127" t="s">
        <v>296</v>
      </c>
      <c r="F42" s="127" t="s">
        <v>297</v>
      </c>
      <c r="G42" s="127" t="s">
        <v>42</v>
      </c>
      <c r="H42" s="53" t="s">
        <v>164</v>
      </c>
      <c r="I42" s="53" t="s">
        <v>159</v>
      </c>
      <c r="J42" s="127" t="s">
        <v>38</v>
      </c>
      <c r="K42" s="53" t="s">
        <v>161</v>
      </c>
      <c r="L42" s="53">
        <v>2</v>
      </c>
      <c r="N42" s="53">
        <v>5</v>
      </c>
      <c r="O42" s="34">
        <v>0.75</v>
      </c>
      <c r="P42" s="53">
        <v>0.85</v>
      </c>
      <c r="Q42" s="75">
        <f t="shared" si="0"/>
        <v>0.8</v>
      </c>
      <c r="R42" s="53">
        <v>14.7</v>
      </c>
      <c r="S42" s="53">
        <v>80</v>
      </c>
      <c r="T42" s="16">
        <f t="shared" si="1"/>
        <v>39</v>
      </c>
      <c r="U42" s="53">
        <v>321</v>
      </c>
      <c r="V42" s="129">
        <f t="shared" si="2"/>
        <v>2503.8000000000002</v>
      </c>
      <c r="W42" s="53">
        <v>6</v>
      </c>
      <c r="X42" s="127" t="s">
        <v>39</v>
      </c>
      <c r="Y42" s="53" t="s">
        <v>97</v>
      </c>
      <c r="Z42" s="53" t="s">
        <v>88</v>
      </c>
      <c r="AA42" s="53" t="s">
        <v>47</v>
      </c>
      <c r="AB42" s="127" t="s">
        <v>236</v>
      </c>
    </row>
    <row r="43" spans="1:29" x14ac:dyDescent="0.15">
      <c r="A43" s="127" t="s">
        <v>61</v>
      </c>
      <c r="B43" s="127" t="s">
        <v>232</v>
      </c>
      <c r="C43" s="127">
        <v>2021</v>
      </c>
      <c r="D43" s="128" t="s">
        <v>283</v>
      </c>
      <c r="E43" s="127" t="s">
        <v>296</v>
      </c>
      <c r="F43" s="127" t="s">
        <v>297</v>
      </c>
      <c r="G43" s="127" t="s">
        <v>42</v>
      </c>
      <c r="H43" s="53" t="s">
        <v>164</v>
      </c>
      <c r="I43" s="53" t="s">
        <v>159</v>
      </c>
      <c r="J43" s="127" t="s">
        <v>38</v>
      </c>
      <c r="K43" s="53" t="s">
        <v>161</v>
      </c>
      <c r="L43" s="53">
        <v>3</v>
      </c>
      <c r="N43" s="53">
        <v>5</v>
      </c>
      <c r="O43" s="34">
        <v>0.5</v>
      </c>
      <c r="P43" s="53">
        <v>0.5</v>
      </c>
      <c r="Q43" s="75">
        <f t="shared" si="0"/>
        <v>0.5</v>
      </c>
      <c r="R43" s="53">
        <v>15.2</v>
      </c>
      <c r="S43" s="53">
        <v>139</v>
      </c>
      <c r="T43" s="16">
        <f t="shared" si="1"/>
        <v>22</v>
      </c>
      <c r="U43" s="53">
        <v>321</v>
      </c>
      <c r="V43" s="129">
        <f t="shared" si="2"/>
        <v>1412.4</v>
      </c>
      <c r="W43" s="53">
        <v>6</v>
      </c>
      <c r="X43" s="127" t="s">
        <v>39</v>
      </c>
      <c r="Y43" s="53" t="s">
        <v>97</v>
      </c>
      <c r="Z43" s="53" t="s">
        <v>88</v>
      </c>
      <c r="AA43" s="53" t="s">
        <v>47</v>
      </c>
      <c r="AB43" s="127" t="s">
        <v>236</v>
      </c>
    </row>
    <row r="44" spans="1:29" x14ac:dyDescent="0.15">
      <c r="A44" s="127" t="s">
        <v>61</v>
      </c>
      <c r="B44" s="127" t="s">
        <v>232</v>
      </c>
      <c r="C44" s="127">
        <v>2022</v>
      </c>
      <c r="D44" s="128" t="s">
        <v>283</v>
      </c>
      <c r="E44" s="127" t="s">
        <v>296</v>
      </c>
      <c r="F44" s="127" t="s">
        <v>297</v>
      </c>
      <c r="G44" s="127" t="s">
        <v>42</v>
      </c>
      <c r="H44" s="53" t="s">
        <v>160</v>
      </c>
      <c r="I44" s="53" t="s">
        <v>159</v>
      </c>
      <c r="J44" s="127" t="s">
        <v>38</v>
      </c>
      <c r="K44" s="53" t="s">
        <v>161</v>
      </c>
      <c r="L44" s="53">
        <v>1</v>
      </c>
      <c r="N44" s="53">
        <v>1</v>
      </c>
      <c r="O44" s="34">
        <v>0.8</v>
      </c>
      <c r="P44" s="53">
        <v>0.75</v>
      </c>
      <c r="Q44" s="75">
        <f t="shared" si="0"/>
        <v>0.77500000000000002</v>
      </c>
      <c r="R44" s="53">
        <v>15.6</v>
      </c>
      <c r="S44" s="53">
        <v>148</v>
      </c>
      <c r="T44" s="16">
        <f t="shared" si="1"/>
        <v>22</v>
      </c>
      <c r="U44" s="53">
        <v>138</v>
      </c>
      <c r="V44" s="129">
        <f t="shared" si="2"/>
        <v>3036</v>
      </c>
      <c r="W44" s="53">
        <v>6</v>
      </c>
      <c r="X44" s="127" t="s">
        <v>39</v>
      </c>
      <c r="Y44" s="53" t="s">
        <v>97</v>
      </c>
      <c r="Z44" s="53" t="s">
        <v>88</v>
      </c>
      <c r="AA44" s="53" t="s">
        <v>47</v>
      </c>
      <c r="AB44" s="127" t="s">
        <v>236</v>
      </c>
      <c r="AC44" s="34"/>
    </row>
    <row r="45" spans="1:29" x14ac:dyDescent="0.15">
      <c r="A45" s="127" t="s">
        <v>61</v>
      </c>
      <c r="B45" s="127" t="s">
        <v>232</v>
      </c>
      <c r="C45" s="127">
        <v>2023</v>
      </c>
      <c r="D45" s="128" t="s">
        <v>283</v>
      </c>
      <c r="E45" s="127" t="s">
        <v>296</v>
      </c>
      <c r="F45" s="127" t="s">
        <v>297</v>
      </c>
      <c r="G45" s="127" t="s">
        <v>42</v>
      </c>
      <c r="H45" s="53" t="s">
        <v>160</v>
      </c>
      <c r="I45" s="53" t="s">
        <v>159</v>
      </c>
      <c r="J45" s="127" t="s">
        <v>38</v>
      </c>
      <c r="K45" s="53" t="s">
        <v>161</v>
      </c>
      <c r="L45" s="53">
        <v>2</v>
      </c>
      <c r="N45" s="53">
        <v>1</v>
      </c>
      <c r="O45" s="34">
        <v>0.8</v>
      </c>
      <c r="P45" s="53">
        <v>0.7</v>
      </c>
      <c r="Q45" s="75">
        <f t="shared" si="0"/>
        <v>0.75</v>
      </c>
      <c r="R45" s="53">
        <v>15.6</v>
      </c>
      <c r="S45" s="53">
        <v>149</v>
      </c>
      <c r="T45" s="16">
        <f t="shared" si="1"/>
        <v>22</v>
      </c>
      <c r="U45" s="53">
        <v>138</v>
      </c>
      <c r="V45" s="129">
        <f t="shared" si="2"/>
        <v>3036</v>
      </c>
      <c r="W45" s="53">
        <v>6</v>
      </c>
      <c r="X45" s="127" t="s">
        <v>39</v>
      </c>
      <c r="Y45" s="53" t="s">
        <v>97</v>
      </c>
      <c r="Z45" s="53" t="s">
        <v>88</v>
      </c>
      <c r="AA45" s="53" t="s">
        <v>47</v>
      </c>
      <c r="AB45" s="127" t="s">
        <v>236</v>
      </c>
      <c r="AC45" s="34"/>
    </row>
    <row r="46" spans="1:29" x14ac:dyDescent="0.15">
      <c r="A46" s="127" t="s">
        <v>61</v>
      </c>
      <c r="B46" s="127" t="s">
        <v>232</v>
      </c>
      <c r="C46" s="127">
        <v>2024</v>
      </c>
      <c r="D46" s="128" t="s">
        <v>283</v>
      </c>
      <c r="E46" s="127" t="s">
        <v>296</v>
      </c>
      <c r="F46" s="127" t="s">
        <v>297</v>
      </c>
      <c r="G46" s="127" t="s">
        <v>42</v>
      </c>
      <c r="H46" s="53" t="s">
        <v>160</v>
      </c>
      <c r="I46" s="53" t="s">
        <v>159</v>
      </c>
      <c r="J46" s="127" t="s">
        <v>38</v>
      </c>
      <c r="K46" s="53" t="s">
        <v>161</v>
      </c>
      <c r="L46" s="53">
        <v>3</v>
      </c>
      <c r="N46" s="53">
        <v>1</v>
      </c>
      <c r="O46" s="34">
        <v>0.75</v>
      </c>
      <c r="P46" s="53">
        <v>0.55000000000000004</v>
      </c>
      <c r="Q46" s="75">
        <f t="shared" si="0"/>
        <v>0.65</v>
      </c>
      <c r="R46" s="34">
        <v>15.5</v>
      </c>
      <c r="S46" s="53">
        <v>116</v>
      </c>
      <c r="T46" s="16">
        <f t="shared" si="1"/>
        <v>30</v>
      </c>
      <c r="U46" s="53">
        <v>138</v>
      </c>
      <c r="V46" s="129">
        <f t="shared" si="2"/>
        <v>4140</v>
      </c>
      <c r="W46" s="53">
        <v>6</v>
      </c>
      <c r="X46" s="127" t="s">
        <v>39</v>
      </c>
      <c r="Y46" s="53" t="s">
        <v>97</v>
      </c>
      <c r="Z46" s="53" t="s">
        <v>88</v>
      </c>
      <c r="AA46" s="53" t="s">
        <v>47</v>
      </c>
      <c r="AB46" s="127" t="s">
        <v>236</v>
      </c>
      <c r="AC46" s="34"/>
    </row>
    <row r="47" spans="1:29" x14ac:dyDescent="0.15">
      <c r="A47" s="127" t="s">
        <v>61</v>
      </c>
      <c r="B47" s="127" t="s">
        <v>232</v>
      </c>
      <c r="C47" s="127">
        <v>2019</v>
      </c>
      <c r="D47" s="128" t="s">
        <v>283</v>
      </c>
      <c r="E47" s="127" t="s">
        <v>133</v>
      </c>
      <c r="F47" s="127" t="s">
        <v>298</v>
      </c>
      <c r="G47" s="127" t="s">
        <v>42</v>
      </c>
      <c r="H47" s="53" t="s">
        <v>164</v>
      </c>
      <c r="I47" s="53" t="s">
        <v>159</v>
      </c>
      <c r="J47" s="127" t="s">
        <v>38</v>
      </c>
      <c r="K47" s="53" t="s">
        <v>161</v>
      </c>
      <c r="L47" s="53">
        <v>1</v>
      </c>
      <c r="N47" s="53">
        <v>1</v>
      </c>
      <c r="O47" s="53">
        <v>1.25</v>
      </c>
      <c r="P47" s="53">
        <v>1.45</v>
      </c>
      <c r="Q47" s="75">
        <f t="shared" si="0"/>
        <v>1.35</v>
      </c>
      <c r="R47" s="53">
        <v>16.8</v>
      </c>
      <c r="S47" s="53">
        <v>116</v>
      </c>
      <c r="T47" s="16">
        <f t="shared" si="1"/>
        <v>30</v>
      </c>
      <c r="U47" s="53">
        <v>98</v>
      </c>
      <c r="V47" s="129">
        <f t="shared" si="2"/>
        <v>2940</v>
      </c>
      <c r="W47" s="53">
        <v>20</v>
      </c>
      <c r="X47" s="127" t="s">
        <v>46</v>
      </c>
      <c r="Y47" s="53" t="s">
        <v>88</v>
      </c>
      <c r="Z47" s="53" t="s">
        <v>97</v>
      </c>
      <c r="AA47" s="53" t="s">
        <v>78</v>
      </c>
      <c r="AB47" s="127" t="s">
        <v>236</v>
      </c>
      <c r="AC47" s="34"/>
    </row>
    <row r="48" spans="1:29" x14ac:dyDescent="0.15">
      <c r="A48" s="127" t="s">
        <v>61</v>
      </c>
      <c r="B48" s="127" t="s">
        <v>232</v>
      </c>
      <c r="C48" s="127">
        <v>2019</v>
      </c>
      <c r="D48" s="128" t="s">
        <v>283</v>
      </c>
      <c r="E48" s="127" t="s">
        <v>133</v>
      </c>
      <c r="F48" s="127" t="s">
        <v>298</v>
      </c>
      <c r="G48" s="127" t="s">
        <v>42</v>
      </c>
      <c r="H48" s="53" t="s">
        <v>164</v>
      </c>
      <c r="I48" s="53" t="s">
        <v>159</v>
      </c>
      <c r="J48" s="127" t="s">
        <v>38</v>
      </c>
      <c r="K48" s="53" t="s">
        <v>161</v>
      </c>
      <c r="L48" s="53">
        <v>2</v>
      </c>
      <c r="N48" s="53">
        <v>1</v>
      </c>
      <c r="O48" s="53">
        <v>0.8</v>
      </c>
      <c r="P48" s="53">
        <v>0.65</v>
      </c>
      <c r="Q48" s="75">
        <f t="shared" si="0"/>
        <v>0.72500000000000009</v>
      </c>
      <c r="R48" s="53">
        <v>15.7</v>
      </c>
      <c r="S48" s="53">
        <v>112</v>
      </c>
      <c r="T48" s="16">
        <f t="shared" si="1"/>
        <v>33</v>
      </c>
      <c r="U48" s="53">
        <v>98</v>
      </c>
      <c r="V48" s="129">
        <f t="shared" si="2"/>
        <v>3234</v>
      </c>
      <c r="W48" s="53">
        <v>20</v>
      </c>
      <c r="X48" s="127" t="s">
        <v>46</v>
      </c>
      <c r="Y48" s="53" t="s">
        <v>88</v>
      </c>
      <c r="Z48" s="53" t="s">
        <v>97</v>
      </c>
      <c r="AA48" s="53" t="s">
        <v>78</v>
      </c>
      <c r="AB48" s="127" t="s">
        <v>236</v>
      </c>
      <c r="AC48" s="34"/>
    </row>
    <row r="49" spans="1:29" x14ac:dyDescent="0.15">
      <c r="A49" s="127" t="s">
        <v>61</v>
      </c>
      <c r="B49" s="127" t="s">
        <v>232</v>
      </c>
      <c r="C49" s="127">
        <v>2019</v>
      </c>
      <c r="D49" s="128" t="s">
        <v>283</v>
      </c>
      <c r="E49" s="127" t="s">
        <v>133</v>
      </c>
      <c r="F49" s="127" t="s">
        <v>298</v>
      </c>
      <c r="G49" s="127" t="s">
        <v>42</v>
      </c>
      <c r="H49" s="53" t="s">
        <v>164</v>
      </c>
      <c r="I49" s="53" t="s">
        <v>159</v>
      </c>
      <c r="J49" s="127" t="s">
        <v>38</v>
      </c>
      <c r="K49" s="53" t="s">
        <v>161</v>
      </c>
      <c r="L49" s="53">
        <v>3</v>
      </c>
      <c r="N49" s="53">
        <v>1</v>
      </c>
      <c r="O49" s="53">
        <v>0.8</v>
      </c>
      <c r="P49" s="53">
        <v>1.05</v>
      </c>
      <c r="Q49" s="75">
        <f t="shared" si="0"/>
        <v>0.92500000000000004</v>
      </c>
      <c r="R49" s="53">
        <v>15.7</v>
      </c>
      <c r="S49" s="53">
        <v>96</v>
      </c>
      <c r="T49" s="16">
        <f t="shared" si="1"/>
        <v>36</v>
      </c>
      <c r="U49" s="53">
        <v>98</v>
      </c>
      <c r="V49" s="129">
        <f t="shared" si="2"/>
        <v>3528</v>
      </c>
      <c r="W49" s="53">
        <v>20</v>
      </c>
      <c r="X49" s="127" t="s">
        <v>46</v>
      </c>
      <c r="Y49" s="53" t="s">
        <v>88</v>
      </c>
      <c r="Z49" s="53" t="s">
        <v>97</v>
      </c>
      <c r="AA49" s="53" t="s">
        <v>78</v>
      </c>
      <c r="AB49" s="127" t="s">
        <v>236</v>
      </c>
      <c r="AC49" s="34"/>
    </row>
    <row r="50" spans="1:29" x14ac:dyDescent="0.15">
      <c r="A50" s="127" t="s">
        <v>61</v>
      </c>
      <c r="B50" s="127" t="s">
        <v>232</v>
      </c>
      <c r="C50" s="127">
        <v>2019</v>
      </c>
      <c r="D50" s="128" t="s">
        <v>283</v>
      </c>
      <c r="E50" s="127" t="s">
        <v>133</v>
      </c>
      <c r="F50" s="127" t="s">
        <v>298</v>
      </c>
      <c r="G50" s="127" t="s">
        <v>42</v>
      </c>
      <c r="H50" s="53" t="s">
        <v>160</v>
      </c>
      <c r="I50" s="53" t="s">
        <v>159</v>
      </c>
      <c r="J50" s="127" t="s">
        <v>38</v>
      </c>
      <c r="K50" s="53" t="s">
        <v>161</v>
      </c>
      <c r="L50" s="53">
        <v>1</v>
      </c>
      <c r="N50" s="53">
        <v>1</v>
      </c>
      <c r="O50" s="53">
        <v>0.75</v>
      </c>
      <c r="P50" s="53">
        <v>0.5</v>
      </c>
      <c r="Q50" s="75">
        <f t="shared" si="0"/>
        <v>0.625</v>
      </c>
      <c r="R50" s="53">
        <v>19.399999999999999</v>
      </c>
      <c r="S50" s="53">
        <v>102</v>
      </c>
      <c r="T50" s="16">
        <f t="shared" si="1"/>
        <v>33</v>
      </c>
      <c r="U50" s="53">
        <v>98</v>
      </c>
      <c r="V50" s="129">
        <f t="shared" si="2"/>
        <v>3234</v>
      </c>
      <c r="W50" s="53">
        <v>20</v>
      </c>
      <c r="X50" s="127" t="s">
        <v>46</v>
      </c>
      <c r="Y50" s="53" t="s">
        <v>88</v>
      </c>
      <c r="Z50" s="53" t="s">
        <v>97</v>
      </c>
      <c r="AA50" s="53" t="s">
        <v>78</v>
      </c>
      <c r="AB50" s="127" t="s">
        <v>236</v>
      </c>
      <c r="AC50" s="34"/>
    </row>
    <row r="51" spans="1:29" x14ac:dyDescent="0.15">
      <c r="A51" s="127" t="s">
        <v>61</v>
      </c>
      <c r="B51" s="127" t="s">
        <v>232</v>
      </c>
      <c r="C51" s="127">
        <v>2019</v>
      </c>
      <c r="D51" s="128" t="s">
        <v>283</v>
      </c>
      <c r="E51" s="127" t="s">
        <v>133</v>
      </c>
      <c r="F51" s="127" t="s">
        <v>298</v>
      </c>
      <c r="G51" s="127" t="s">
        <v>42</v>
      </c>
      <c r="H51" s="53" t="s">
        <v>160</v>
      </c>
      <c r="I51" s="53" t="s">
        <v>159</v>
      </c>
      <c r="J51" s="127" t="s">
        <v>38</v>
      </c>
      <c r="K51" s="53" t="s">
        <v>161</v>
      </c>
      <c r="L51" s="53">
        <v>2</v>
      </c>
      <c r="N51" s="53">
        <v>1</v>
      </c>
      <c r="O51" s="53">
        <v>0.85</v>
      </c>
      <c r="P51" s="53">
        <v>0.5</v>
      </c>
      <c r="Q51" s="75">
        <f t="shared" si="0"/>
        <v>0.67500000000000004</v>
      </c>
      <c r="R51" s="53">
        <v>16.2</v>
      </c>
      <c r="S51" s="53">
        <v>99</v>
      </c>
      <c r="T51" s="16">
        <f t="shared" si="1"/>
        <v>33</v>
      </c>
      <c r="U51" s="53">
        <v>98</v>
      </c>
      <c r="V51" s="129">
        <f t="shared" si="2"/>
        <v>3234</v>
      </c>
      <c r="W51" s="53">
        <v>20</v>
      </c>
      <c r="X51" s="127" t="s">
        <v>46</v>
      </c>
      <c r="Y51" s="53" t="s">
        <v>88</v>
      </c>
      <c r="Z51" s="53" t="s">
        <v>97</v>
      </c>
      <c r="AA51" s="53" t="s">
        <v>78</v>
      </c>
      <c r="AB51" s="127" t="s">
        <v>236</v>
      </c>
      <c r="AC51" s="34"/>
    </row>
    <row r="52" spans="1:29" x14ac:dyDescent="0.15">
      <c r="A52" s="127" t="s">
        <v>61</v>
      </c>
      <c r="B52" s="127" t="s">
        <v>232</v>
      </c>
      <c r="C52" s="127">
        <v>2019</v>
      </c>
      <c r="D52" s="128" t="s">
        <v>283</v>
      </c>
      <c r="E52" s="127" t="s">
        <v>133</v>
      </c>
      <c r="F52" s="127" t="s">
        <v>298</v>
      </c>
      <c r="G52" s="127" t="s">
        <v>42</v>
      </c>
      <c r="H52" s="53" t="s">
        <v>160</v>
      </c>
      <c r="I52" s="53" t="s">
        <v>159</v>
      </c>
      <c r="J52" s="127" t="s">
        <v>38</v>
      </c>
      <c r="K52" s="53" t="s">
        <v>161</v>
      </c>
      <c r="L52" s="53">
        <v>3</v>
      </c>
      <c r="N52" s="53">
        <v>1</v>
      </c>
      <c r="O52" s="53">
        <v>0.8</v>
      </c>
      <c r="P52" s="53">
        <v>0.65</v>
      </c>
      <c r="Q52" s="75">
        <f t="shared" si="0"/>
        <v>0.72500000000000009</v>
      </c>
      <c r="R52" s="53">
        <v>14</v>
      </c>
      <c r="S52" s="53">
        <v>99</v>
      </c>
      <c r="T52" s="16">
        <f t="shared" si="1"/>
        <v>33</v>
      </c>
      <c r="U52" s="53">
        <v>98</v>
      </c>
      <c r="V52" s="129">
        <f t="shared" si="2"/>
        <v>3234</v>
      </c>
      <c r="W52" s="53">
        <v>20</v>
      </c>
      <c r="X52" s="127" t="s">
        <v>46</v>
      </c>
      <c r="Y52" s="53" t="s">
        <v>88</v>
      </c>
      <c r="Z52" s="53" t="s">
        <v>97</v>
      </c>
      <c r="AA52" s="53" t="s">
        <v>78</v>
      </c>
      <c r="AB52" s="127" t="s">
        <v>236</v>
      </c>
      <c r="AC52" s="34"/>
    </row>
    <row r="53" spans="1:29" x14ac:dyDescent="0.15">
      <c r="A53" s="127" t="s">
        <v>61</v>
      </c>
      <c r="B53" s="127" t="s">
        <v>232</v>
      </c>
      <c r="C53" s="127">
        <v>2019</v>
      </c>
      <c r="D53" s="128" t="s">
        <v>283</v>
      </c>
      <c r="E53" s="127" t="s">
        <v>299</v>
      </c>
      <c r="F53" s="127" t="s">
        <v>300</v>
      </c>
      <c r="G53" s="127" t="s">
        <v>42</v>
      </c>
      <c r="H53" s="53" t="s">
        <v>164</v>
      </c>
      <c r="I53" s="53" t="s">
        <v>159</v>
      </c>
      <c r="J53" s="127" t="s">
        <v>38</v>
      </c>
      <c r="K53" s="53" t="s">
        <v>161</v>
      </c>
      <c r="L53" s="53">
        <v>1</v>
      </c>
      <c r="N53" s="53">
        <v>4</v>
      </c>
      <c r="O53" s="53">
        <v>0.75</v>
      </c>
      <c r="P53" s="53">
        <v>0.85</v>
      </c>
      <c r="Q53" s="75">
        <f t="shared" si="0"/>
        <v>0.8</v>
      </c>
      <c r="R53" s="53">
        <v>15.7</v>
      </c>
      <c r="S53" s="53">
        <v>103</v>
      </c>
      <c r="T53" s="16">
        <f t="shared" si="1"/>
        <v>33</v>
      </c>
      <c r="U53" s="53">
        <v>298</v>
      </c>
      <c r="V53" s="129">
        <f t="shared" si="2"/>
        <v>2458.5</v>
      </c>
      <c r="W53" s="53">
        <v>12</v>
      </c>
      <c r="X53" s="127" t="s">
        <v>46</v>
      </c>
      <c r="Y53" s="53" t="s">
        <v>78</v>
      </c>
      <c r="Z53" s="53" t="s">
        <v>88</v>
      </c>
      <c r="AA53" s="53" t="s">
        <v>97</v>
      </c>
      <c r="AB53" s="127" t="s">
        <v>236</v>
      </c>
      <c r="AC53" s="34"/>
    </row>
    <row r="54" spans="1:29" x14ac:dyDescent="0.15">
      <c r="A54" s="127" t="s">
        <v>61</v>
      </c>
      <c r="B54" s="127" t="s">
        <v>232</v>
      </c>
      <c r="C54" s="127">
        <v>2019</v>
      </c>
      <c r="D54" s="128" t="s">
        <v>283</v>
      </c>
      <c r="E54" s="127" t="s">
        <v>299</v>
      </c>
      <c r="F54" s="127" t="s">
        <v>300</v>
      </c>
      <c r="G54" s="127" t="s">
        <v>42</v>
      </c>
      <c r="H54" s="53" t="s">
        <v>164</v>
      </c>
      <c r="I54" s="53" t="s">
        <v>159</v>
      </c>
      <c r="J54" s="127" t="s">
        <v>38</v>
      </c>
      <c r="K54" s="53" t="s">
        <v>161</v>
      </c>
      <c r="L54" s="53">
        <v>2</v>
      </c>
      <c r="N54" s="53">
        <v>4</v>
      </c>
      <c r="O54" s="53">
        <v>0.85</v>
      </c>
      <c r="P54" s="53">
        <v>0.8</v>
      </c>
      <c r="Q54" s="75">
        <f t="shared" si="0"/>
        <v>0.82499999999999996</v>
      </c>
      <c r="R54" s="53">
        <v>11.3</v>
      </c>
      <c r="S54" s="53">
        <v>104</v>
      </c>
      <c r="T54" s="16">
        <f t="shared" si="1"/>
        <v>33</v>
      </c>
      <c r="U54" s="53">
        <v>298</v>
      </c>
      <c r="V54" s="129">
        <f t="shared" si="2"/>
        <v>2458.5</v>
      </c>
      <c r="W54" s="53">
        <v>12</v>
      </c>
      <c r="X54" s="127" t="s">
        <v>46</v>
      </c>
      <c r="Y54" s="53" t="s">
        <v>78</v>
      </c>
      <c r="Z54" s="53" t="s">
        <v>311</v>
      </c>
      <c r="AA54" s="53" t="s">
        <v>97</v>
      </c>
      <c r="AB54" s="127" t="s">
        <v>236</v>
      </c>
      <c r="AC54" s="34"/>
    </row>
    <row r="55" spans="1:29" x14ac:dyDescent="0.15">
      <c r="A55" s="127" t="s">
        <v>61</v>
      </c>
      <c r="B55" s="127" t="s">
        <v>232</v>
      </c>
      <c r="C55" s="127">
        <v>2019</v>
      </c>
      <c r="D55" s="128" t="s">
        <v>283</v>
      </c>
      <c r="E55" s="127" t="s">
        <v>299</v>
      </c>
      <c r="F55" s="127" t="s">
        <v>300</v>
      </c>
      <c r="G55" s="127" t="s">
        <v>42</v>
      </c>
      <c r="H55" s="53" t="s">
        <v>164</v>
      </c>
      <c r="I55" s="53" t="s">
        <v>159</v>
      </c>
      <c r="J55" s="127" t="s">
        <v>38</v>
      </c>
      <c r="K55" s="53" t="s">
        <v>161</v>
      </c>
      <c r="L55" s="53">
        <v>3</v>
      </c>
      <c r="N55" s="53">
        <v>4</v>
      </c>
      <c r="O55" s="53">
        <v>0.65</v>
      </c>
      <c r="P55" s="53">
        <v>0.75</v>
      </c>
      <c r="Q55" s="75">
        <f t="shared" si="0"/>
        <v>0.7</v>
      </c>
      <c r="R55" s="53">
        <v>16.3</v>
      </c>
      <c r="S55" s="53">
        <v>108</v>
      </c>
      <c r="T55" s="16">
        <f t="shared" si="1"/>
        <v>33</v>
      </c>
      <c r="U55" s="53">
        <v>298</v>
      </c>
      <c r="V55" s="129">
        <f t="shared" si="2"/>
        <v>2458.5</v>
      </c>
      <c r="W55" s="53">
        <v>12</v>
      </c>
      <c r="X55" s="127" t="s">
        <v>46</v>
      </c>
      <c r="Y55" s="53" t="s">
        <v>78</v>
      </c>
      <c r="Z55" s="53" t="s">
        <v>88</v>
      </c>
      <c r="AA55" s="53" t="s">
        <v>97</v>
      </c>
      <c r="AB55" s="127" t="s">
        <v>236</v>
      </c>
      <c r="AC55" s="34"/>
    </row>
    <row r="56" spans="1:29" x14ac:dyDescent="0.15">
      <c r="A56" s="127" t="s">
        <v>61</v>
      </c>
      <c r="B56" s="127" t="s">
        <v>232</v>
      </c>
      <c r="C56" s="127">
        <v>2019</v>
      </c>
      <c r="D56" s="128" t="s">
        <v>283</v>
      </c>
      <c r="E56" s="127" t="s">
        <v>301</v>
      </c>
      <c r="F56" s="127" t="s">
        <v>300</v>
      </c>
      <c r="G56" s="127" t="s">
        <v>42</v>
      </c>
      <c r="H56" s="53" t="s">
        <v>164</v>
      </c>
      <c r="I56" s="53" t="s">
        <v>159</v>
      </c>
      <c r="J56" s="127" t="s">
        <v>38</v>
      </c>
      <c r="K56" s="53" t="s">
        <v>161</v>
      </c>
      <c r="L56" s="53">
        <v>1</v>
      </c>
      <c r="N56" s="53">
        <v>1</v>
      </c>
      <c r="O56" s="53">
        <v>0.8</v>
      </c>
      <c r="P56" s="53">
        <v>0.85</v>
      </c>
      <c r="Q56" s="75">
        <f t="shared" si="0"/>
        <v>0.82499999999999996</v>
      </c>
      <c r="R56" s="53">
        <v>17.2</v>
      </c>
      <c r="S56" s="53">
        <v>139</v>
      </c>
      <c r="T56" s="16">
        <f t="shared" si="1"/>
        <v>22</v>
      </c>
      <c r="U56" s="53">
        <v>138</v>
      </c>
      <c r="V56" s="129">
        <f t="shared" si="2"/>
        <v>3036</v>
      </c>
      <c r="W56" s="53">
        <v>16</v>
      </c>
      <c r="X56" s="127" t="s">
        <v>46</v>
      </c>
      <c r="Y56" s="53" t="s">
        <v>97</v>
      </c>
      <c r="Z56" s="53" t="s">
        <v>78</v>
      </c>
      <c r="AA56" s="53" t="s">
        <v>88</v>
      </c>
      <c r="AB56" s="127" t="s">
        <v>236</v>
      </c>
      <c r="AC56" s="34"/>
    </row>
    <row r="57" spans="1:29" x14ac:dyDescent="0.15">
      <c r="A57" s="127" t="s">
        <v>61</v>
      </c>
      <c r="B57" s="127" t="s">
        <v>232</v>
      </c>
      <c r="C57" s="127">
        <v>2019</v>
      </c>
      <c r="D57" s="128" t="s">
        <v>283</v>
      </c>
      <c r="E57" s="127" t="s">
        <v>301</v>
      </c>
      <c r="F57" s="127" t="s">
        <v>300</v>
      </c>
      <c r="G57" s="127" t="s">
        <v>42</v>
      </c>
      <c r="H57" s="53" t="s">
        <v>164</v>
      </c>
      <c r="I57" s="53" t="s">
        <v>159</v>
      </c>
      <c r="J57" s="127" t="s">
        <v>38</v>
      </c>
      <c r="K57" s="53" t="s">
        <v>161</v>
      </c>
      <c r="L57" s="53">
        <v>2</v>
      </c>
      <c r="N57" s="53">
        <v>1</v>
      </c>
      <c r="O57" s="53">
        <v>0.85</v>
      </c>
      <c r="P57" s="53">
        <v>0.85</v>
      </c>
      <c r="Q57" s="75">
        <f t="shared" si="0"/>
        <v>0.85</v>
      </c>
      <c r="R57" s="53">
        <v>16.2</v>
      </c>
      <c r="S57" s="53">
        <v>137</v>
      </c>
      <c r="T57" s="16">
        <f t="shared" si="1"/>
        <v>25</v>
      </c>
      <c r="U57" s="53">
        <v>138</v>
      </c>
      <c r="V57" s="129">
        <f t="shared" si="2"/>
        <v>3450</v>
      </c>
      <c r="W57" s="53">
        <v>16</v>
      </c>
      <c r="X57" s="127" t="s">
        <v>46</v>
      </c>
      <c r="Y57" s="53" t="s">
        <v>97</v>
      </c>
      <c r="Z57" s="53" t="s">
        <v>78</v>
      </c>
      <c r="AA57" s="53" t="s">
        <v>88</v>
      </c>
      <c r="AB57" s="127" t="s">
        <v>236</v>
      </c>
      <c r="AC57" s="34"/>
    </row>
    <row r="58" spans="1:29" x14ac:dyDescent="0.15">
      <c r="A58" s="127" t="s">
        <v>61</v>
      </c>
      <c r="B58" s="127" t="s">
        <v>232</v>
      </c>
      <c r="C58" s="127">
        <v>2019</v>
      </c>
      <c r="D58" s="128" t="s">
        <v>283</v>
      </c>
      <c r="E58" s="127" t="s">
        <v>301</v>
      </c>
      <c r="F58" s="127" t="s">
        <v>300</v>
      </c>
      <c r="G58" s="127" t="s">
        <v>42</v>
      </c>
      <c r="H58" s="53" t="s">
        <v>164</v>
      </c>
      <c r="I58" s="53" t="s">
        <v>159</v>
      </c>
      <c r="J58" s="127" t="s">
        <v>38</v>
      </c>
      <c r="K58" s="53" t="s">
        <v>161</v>
      </c>
      <c r="L58" s="53">
        <v>3</v>
      </c>
      <c r="N58" s="53">
        <v>1</v>
      </c>
      <c r="O58" s="53">
        <v>0.55000000000000004</v>
      </c>
      <c r="P58" s="53">
        <v>0.7</v>
      </c>
      <c r="Q58" s="75">
        <f t="shared" si="0"/>
        <v>0.625</v>
      </c>
      <c r="R58" s="53">
        <v>15.9</v>
      </c>
      <c r="S58" s="53">
        <v>143</v>
      </c>
      <c r="T58" s="16">
        <f t="shared" si="1"/>
        <v>22</v>
      </c>
      <c r="U58" s="53">
        <v>138</v>
      </c>
      <c r="V58" s="129">
        <f t="shared" si="2"/>
        <v>3036</v>
      </c>
      <c r="W58" s="53">
        <v>16</v>
      </c>
      <c r="X58" s="127" t="s">
        <v>46</v>
      </c>
      <c r="Y58" s="53" t="s">
        <v>97</v>
      </c>
      <c r="Z58" s="53" t="s">
        <v>78</v>
      </c>
      <c r="AA58" s="53" t="s">
        <v>88</v>
      </c>
      <c r="AB58" s="127" t="s">
        <v>236</v>
      </c>
      <c r="AC58" s="34"/>
    </row>
    <row r="59" spans="1:29" x14ac:dyDescent="0.15">
      <c r="A59" s="127" t="s">
        <v>61</v>
      </c>
      <c r="B59" s="127" t="s">
        <v>232</v>
      </c>
      <c r="C59" s="127">
        <v>2019</v>
      </c>
      <c r="D59" s="128" t="s">
        <v>283</v>
      </c>
      <c r="E59" s="127" t="s">
        <v>301</v>
      </c>
      <c r="F59" s="127" t="s">
        <v>300</v>
      </c>
      <c r="G59" s="127" t="s">
        <v>42</v>
      </c>
      <c r="H59" s="53" t="s">
        <v>160</v>
      </c>
      <c r="I59" s="53" t="s">
        <v>159</v>
      </c>
      <c r="J59" s="127" t="s">
        <v>38</v>
      </c>
      <c r="K59" s="53" t="s">
        <v>161</v>
      </c>
      <c r="L59" s="53">
        <v>1</v>
      </c>
      <c r="N59" s="53">
        <v>1</v>
      </c>
      <c r="O59" s="53">
        <v>1.2</v>
      </c>
      <c r="P59" s="53">
        <v>0.8</v>
      </c>
      <c r="Q59" s="75">
        <f t="shared" si="0"/>
        <v>1</v>
      </c>
      <c r="R59" s="53">
        <v>16.2</v>
      </c>
      <c r="S59" s="53">
        <v>136</v>
      </c>
      <c r="T59" s="16">
        <f t="shared" si="1"/>
        <v>25</v>
      </c>
      <c r="U59" s="53">
        <v>138</v>
      </c>
      <c r="V59" s="129">
        <f t="shared" si="2"/>
        <v>3450</v>
      </c>
      <c r="W59" s="53">
        <v>16</v>
      </c>
      <c r="X59" s="127" t="s">
        <v>46</v>
      </c>
      <c r="Y59" s="53" t="s">
        <v>97</v>
      </c>
      <c r="Z59" s="53" t="s">
        <v>78</v>
      </c>
      <c r="AA59" s="53" t="s">
        <v>88</v>
      </c>
      <c r="AB59" s="127" t="s">
        <v>236</v>
      </c>
    </row>
    <row r="60" spans="1:29" x14ac:dyDescent="0.15">
      <c r="A60" s="127" t="s">
        <v>61</v>
      </c>
      <c r="B60" s="127" t="s">
        <v>232</v>
      </c>
      <c r="C60" s="127">
        <v>2019</v>
      </c>
      <c r="D60" s="128" t="s">
        <v>283</v>
      </c>
      <c r="E60" s="127" t="s">
        <v>301</v>
      </c>
      <c r="F60" s="127" t="s">
        <v>300</v>
      </c>
      <c r="G60" s="127" t="s">
        <v>42</v>
      </c>
      <c r="H60" s="53" t="s">
        <v>160</v>
      </c>
      <c r="I60" s="53" t="s">
        <v>159</v>
      </c>
      <c r="J60" s="127" t="s">
        <v>38</v>
      </c>
      <c r="K60" s="53" t="s">
        <v>161</v>
      </c>
      <c r="L60" s="53">
        <v>2</v>
      </c>
      <c r="N60" s="53">
        <v>1</v>
      </c>
      <c r="O60" s="53">
        <v>0.75</v>
      </c>
      <c r="P60" s="53">
        <v>0.75</v>
      </c>
      <c r="Q60" s="75">
        <f t="shared" si="0"/>
        <v>0.75</v>
      </c>
      <c r="R60" s="53">
        <v>16.3</v>
      </c>
      <c r="S60" s="53">
        <v>136</v>
      </c>
      <c r="T60" s="16">
        <f t="shared" si="1"/>
        <v>25</v>
      </c>
      <c r="U60" s="53">
        <v>138</v>
      </c>
      <c r="V60" s="129">
        <f t="shared" si="2"/>
        <v>3450</v>
      </c>
      <c r="W60" s="53">
        <v>16</v>
      </c>
      <c r="X60" s="127" t="s">
        <v>46</v>
      </c>
      <c r="Y60" s="53" t="s">
        <v>97</v>
      </c>
      <c r="Z60" s="53" t="s">
        <v>78</v>
      </c>
      <c r="AA60" s="53" t="s">
        <v>88</v>
      </c>
      <c r="AB60" s="127" t="s">
        <v>236</v>
      </c>
    </row>
    <row r="61" spans="1:29" x14ac:dyDescent="0.15">
      <c r="A61" s="127" t="s">
        <v>61</v>
      </c>
      <c r="B61" s="127" t="s">
        <v>232</v>
      </c>
      <c r="C61" s="127">
        <v>2019</v>
      </c>
      <c r="D61" s="128" t="s">
        <v>283</v>
      </c>
      <c r="E61" s="127" t="s">
        <v>301</v>
      </c>
      <c r="F61" s="127" t="s">
        <v>300</v>
      </c>
      <c r="G61" s="127" t="s">
        <v>42</v>
      </c>
      <c r="H61" s="53" t="s">
        <v>160</v>
      </c>
      <c r="I61" s="53" t="s">
        <v>159</v>
      </c>
      <c r="J61" s="127" t="s">
        <v>38</v>
      </c>
      <c r="K61" s="53" t="s">
        <v>161</v>
      </c>
      <c r="L61" s="53">
        <v>3</v>
      </c>
      <c r="N61" s="53">
        <v>1</v>
      </c>
      <c r="O61" s="53">
        <v>0.65</v>
      </c>
      <c r="P61" s="53">
        <v>0.7</v>
      </c>
      <c r="Q61" s="75">
        <f t="shared" si="0"/>
        <v>0.67500000000000004</v>
      </c>
      <c r="R61" s="53">
        <v>15.9</v>
      </c>
      <c r="S61" s="53">
        <v>139</v>
      </c>
      <c r="T61" s="16">
        <f t="shared" si="1"/>
        <v>22</v>
      </c>
      <c r="U61" s="53">
        <v>138</v>
      </c>
      <c r="V61" s="129">
        <f t="shared" si="2"/>
        <v>3036</v>
      </c>
      <c r="W61" s="53">
        <v>16</v>
      </c>
      <c r="X61" s="127" t="s">
        <v>46</v>
      </c>
      <c r="Y61" s="53" t="s">
        <v>97</v>
      </c>
      <c r="Z61" s="53" t="s">
        <v>78</v>
      </c>
      <c r="AA61" s="53" t="s">
        <v>88</v>
      </c>
      <c r="AB61" s="127" t="s">
        <v>236</v>
      </c>
    </row>
    <row r="62" spans="1:29" x14ac:dyDescent="0.15">
      <c r="A62" s="127"/>
      <c r="B62" s="127"/>
      <c r="C62" s="127"/>
      <c r="D62" s="128"/>
      <c r="E62" s="127"/>
      <c r="F62" s="127"/>
      <c r="G62" s="127"/>
      <c r="J62" s="127"/>
      <c r="Q62" s="75" t="str">
        <f t="shared" si="0"/>
        <v/>
      </c>
      <c r="T62" s="16" t="str">
        <f t="shared" si="1"/>
        <v/>
      </c>
      <c r="V62" s="129" t="str">
        <f t="shared" si="2"/>
        <v/>
      </c>
      <c r="X62" s="127"/>
      <c r="AB62" s="127"/>
      <c r="AC62" s="34"/>
    </row>
    <row r="63" spans="1:29" x14ac:dyDescent="0.15">
      <c r="A63" s="127"/>
      <c r="B63" s="127"/>
      <c r="C63" s="127"/>
      <c r="D63" s="128"/>
      <c r="E63" s="127"/>
      <c r="F63" s="127"/>
      <c r="G63" s="127"/>
      <c r="J63" s="127"/>
      <c r="Q63" s="75" t="str">
        <f t="shared" si="0"/>
        <v/>
      </c>
      <c r="R63" s="34"/>
      <c r="T63" s="16" t="str">
        <f t="shared" si="1"/>
        <v/>
      </c>
      <c r="V63" s="129" t="str">
        <f t="shared" si="2"/>
        <v/>
      </c>
      <c r="X63" s="127"/>
      <c r="AB63" s="127"/>
      <c r="AC63" s="34"/>
    </row>
    <row r="64" spans="1:29" x14ac:dyDescent="0.15">
      <c r="A64" s="127"/>
      <c r="B64" s="127"/>
      <c r="C64" s="127"/>
      <c r="D64" s="128"/>
      <c r="F64" s="127"/>
      <c r="G64" s="127"/>
      <c r="J64" s="127"/>
      <c r="Q64" s="75" t="str">
        <f t="shared" si="0"/>
        <v/>
      </c>
      <c r="R64" s="34"/>
      <c r="T64" s="16" t="str">
        <f t="shared" si="1"/>
        <v/>
      </c>
      <c r="V64" s="129" t="str">
        <f t="shared" si="2"/>
        <v/>
      </c>
      <c r="X64" s="127"/>
      <c r="AB64" s="127"/>
      <c r="AC64" s="34"/>
    </row>
    <row r="65" spans="1:29" x14ac:dyDescent="0.15">
      <c r="A65" s="127"/>
      <c r="B65" s="127"/>
      <c r="C65" s="127"/>
      <c r="D65" s="128"/>
      <c r="F65" s="127"/>
      <c r="G65" s="127"/>
      <c r="J65" s="127"/>
      <c r="Q65" s="75" t="str">
        <f t="shared" si="0"/>
        <v/>
      </c>
      <c r="T65" s="16" t="str">
        <f t="shared" si="1"/>
        <v/>
      </c>
      <c r="V65" s="129" t="str">
        <f t="shared" si="2"/>
        <v/>
      </c>
      <c r="X65" s="127"/>
      <c r="AB65" s="127"/>
      <c r="AC65" s="34"/>
    </row>
    <row r="66" spans="1:29" x14ac:dyDescent="0.15">
      <c r="A66" s="127"/>
      <c r="B66" s="127"/>
      <c r="C66" s="127"/>
      <c r="D66" s="128"/>
      <c r="F66" s="127"/>
      <c r="G66" s="127"/>
      <c r="J66" s="127"/>
      <c r="Q66" s="75" t="str">
        <f t="shared" ref="Q66:Q71" si="3">IF(OR(O66="",P66=""),"",AVERAGE(O66,P66))</f>
        <v/>
      </c>
      <c r="T66" s="16" t="str">
        <f t="shared" ref="T66:T73" si="4">IF(H66="","",IF(OR(H66="GREEN",H66="GK"),IF(S66&gt;=$AX$2,VLOOKUP(S66,$AX$2:$AY$15,2,1),""),IF(S66&gt;=$AZ$2,VLOOKUP(S66,$AZ$2:$BA$15,2,1),"")))</f>
        <v/>
      </c>
      <c r="V66" s="129" t="str">
        <f t="shared" ref="V66:V71" si="5">IF(OR(N66="",U66="",T66=""),"",U66/N66*T66)</f>
        <v/>
      </c>
      <c r="X66" s="127"/>
      <c r="AB66" s="127"/>
      <c r="AC66" s="34"/>
    </row>
    <row r="67" spans="1:29" x14ac:dyDescent="0.15">
      <c r="A67" s="127"/>
      <c r="B67" s="127"/>
      <c r="C67" s="127"/>
      <c r="D67" s="128"/>
      <c r="G67" s="127"/>
      <c r="J67" s="127"/>
      <c r="Q67" s="75" t="str">
        <f t="shared" si="3"/>
        <v/>
      </c>
      <c r="T67" s="16" t="str">
        <f t="shared" si="4"/>
        <v/>
      </c>
      <c r="V67" s="129" t="str">
        <f t="shared" si="5"/>
        <v/>
      </c>
      <c r="X67" s="127"/>
      <c r="AB67" s="127"/>
      <c r="AC67" s="34"/>
    </row>
    <row r="68" spans="1:29" x14ac:dyDescent="0.15">
      <c r="A68" s="127"/>
      <c r="B68" s="127"/>
      <c r="C68" s="127"/>
      <c r="D68" s="128"/>
      <c r="G68" s="127"/>
      <c r="J68" s="127"/>
      <c r="Q68" s="75"/>
      <c r="V68" s="129"/>
      <c r="X68" s="127"/>
      <c r="AB68" s="127"/>
    </row>
    <row r="69" spans="1:29" x14ac:dyDescent="0.15">
      <c r="A69" s="127"/>
      <c r="B69" s="127"/>
      <c r="C69" s="127"/>
      <c r="D69" s="128"/>
      <c r="G69" s="127"/>
      <c r="J69" s="127"/>
      <c r="Q69" s="75"/>
      <c r="V69" s="129"/>
      <c r="X69" s="127"/>
      <c r="AB69" s="127"/>
    </row>
    <row r="70" spans="1:29" x14ac:dyDescent="0.15">
      <c r="A70" s="127"/>
      <c r="B70" s="127"/>
      <c r="C70" s="127"/>
      <c r="D70" s="128"/>
      <c r="G70" s="127"/>
      <c r="J70" s="127"/>
      <c r="Q70" s="75"/>
      <c r="V70" s="129"/>
      <c r="X70" s="127"/>
      <c r="AB70" s="127"/>
    </row>
    <row r="71" spans="1:29" x14ac:dyDescent="0.15">
      <c r="A71" s="127"/>
      <c r="B71" s="127"/>
      <c r="C71" s="127"/>
      <c r="D71" s="128"/>
      <c r="G71" s="127"/>
      <c r="J71" s="127"/>
      <c r="Q71" s="75" t="str">
        <f t="shared" ref="Q71:Q73" si="6">IF(OR(O71="",P71=""),"",AVERAGE(O71,P71))</f>
        <v/>
      </c>
      <c r="T71" s="16" t="str">
        <f>IF(H71="","",IF(OR(H71="GREEN",H71="GK"),IF(S71&gt;=$AX$2,VLOOKUP(S71,$AX$2:$AY$15,2,1),""),IF(S71&gt;=$AZ$2,VLOOKUP(S71,$AZ$2:$BA$15,2,1),"")))</f>
        <v/>
      </c>
      <c r="V71" s="129" t="str">
        <f t="shared" ref="V71:V73" si="7">IF(OR(N71="",U71="",T71=""),"",U71/N71*T71)</f>
        <v/>
      </c>
      <c r="X71" s="127"/>
      <c r="AB71" s="127"/>
    </row>
    <row r="72" spans="1:29" x14ac:dyDescent="0.15">
      <c r="A72" s="127"/>
      <c r="B72" s="127"/>
      <c r="C72" s="127"/>
      <c r="D72" s="128"/>
      <c r="G72" s="127"/>
      <c r="J72" s="127"/>
      <c r="Q72" s="75" t="str">
        <f t="shared" si="6"/>
        <v/>
      </c>
      <c r="T72" s="16" t="str">
        <f>IF(H72="","",IF(OR(H72="GREEN",H72="GK"),IF(S72&gt;=$AX$2,VLOOKUP(S72,$AX$2:$AY$15,2,1),""),IF(S72&gt;=$AZ$2,VLOOKUP(S72,$AZ$2:$BA$15,2,1),"")))</f>
        <v/>
      </c>
      <c r="V72" s="129" t="str">
        <f t="shared" si="7"/>
        <v/>
      </c>
      <c r="X72" s="127"/>
      <c r="AB72" s="127"/>
    </row>
    <row r="73" spans="1:29" x14ac:dyDescent="0.15">
      <c r="A73" s="127"/>
      <c r="B73" s="127"/>
      <c r="C73" s="127"/>
      <c r="D73" s="128"/>
      <c r="G73" s="127"/>
      <c r="J73" s="127"/>
      <c r="Q73" s="75" t="str">
        <f t="shared" si="6"/>
        <v/>
      </c>
      <c r="T73" s="16" t="str">
        <f>IF(H73="","",IF(OR(H73="GREEN",H73="GK"),IF(S73&gt;=$AX$2,VLOOKUP(S73,$AX$2:$AY$15,2,1),""),IF(S73&gt;=$AZ$2,VLOOKUP(S73,$AZ$2:$BA$15,2,1),"")))</f>
        <v/>
      </c>
      <c r="V73" s="129" t="str">
        <f t="shared" si="7"/>
        <v/>
      </c>
      <c r="X73" s="127"/>
      <c r="AB73" s="127"/>
    </row>
    <row r="74" spans="1:29" x14ac:dyDescent="0.15">
      <c r="A74" s="127"/>
      <c r="B74" s="127"/>
      <c r="C74" s="127"/>
      <c r="D74" s="128"/>
      <c r="G74" s="127"/>
      <c r="J74" s="127"/>
      <c r="Q74" s="75"/>
      <c r="V74" s="129"/>
      <c r="X74" s="127"/>
      <c r="AB74" s="127"/>
    </row>
    <row r="75" spans="1:29" x14ac:dyDescent="0.15">
      <c r="A75" s="127"/>
      <c r="B75" s="127"/>
      <c r="C75" s="127"/>
      <c r="D75" s="128"/>
      <c r="G75" s="127"/>
      <c r="J75" s="127"/>
      <c r="Q75" s="75"/>
      <c r="V75" s="129"/>
      <c r="X75" s="127"/>
      <c r="AB75" s="127"/>
    </row>
    <row r="76" spans="1:29" x14ac:dyDescent="0.15">
      <c r="A76" s="127"/>
      <c r="B76" s="127"/>
      <c r="C76" s="127"/>
      <c r="D76" s="128"/>
      <c r="G76" s="127"/>
      <c r="J76" s="127"/>
      <c r="Q76" s="75"/>
      <c r="V76" s="129"/>
      <c r="X76" s="127"/>
      <c r="AB76" s="127"/>
    </row>
    <row r="77" spans="1:29" x14ac:dyDescent="0.15">
      <c r="A77" s="127"/>
      <c r="B77" s="127"/>
      <c r="C77" s="127"/>
      <c r="D77" s="128"/>
      <c r="G77" s="127"/>
      <c r="J77" s="127"/>
      <c r="Q77" s="75"/>
      <c r="V77" s="129"/>
      <c r="X77" s="127"/>
      <c r="AB77" s="127"/>
    </row>
    <row r="78" spans="1:29" x14ac:dyDescent="0.15">
      <c r="A78" s="127"/>
      <c r="B78" s="127"/>
      <c r="C78" s="127"/>
      <c r="D78" s="128"/>
      <c r="G78" s="127"/>
      <c r="J78" s="127"/>
      <c r="Q78" s="75"/>
      <c r="V78" s="129"/>
      <c r="X78" s="127"/>
      <c r="AB78" s="127"/>
    </row>
    <row r="79" spans="1:29" x14ac:dyDescent="0.15">
      <c r="A79" s="127"/>
      <c r="B79" s="127"/>
      <c r="C79" s="127"/>
      <c r="D79" s="128"/>
      <c r="G79" s="127"/>
      <c r="J79" s="127"/>
      <c r="Q79" s="75"/>
      <c r="V79" s="129"/>
      <c r="X79" s="127"/>
      <c r="AB79" s="127"/>
    </row>
    <row r="80" spans="1:29" x14ac:dyDescent="0.15">
      <c r="A80" s="127"/>
      <c r="B80" s="127"/>
      <c r="C80" s="127"/>
      <c r="D80" s="128"/>
      <c r="G80" s="127"/>
      <c r="J80" s="127"/>
      <c r="Q80" s="75"/>
      <c r="V80" s="129"/>
      <c r="X80" s="127"/>
      <c r="AB80" s="127"/>
    </row>
    <row r="81" spans="1:28" x14ac:dyDescent="0.15">
      <c r="A81" s="127"/>
      <c r="B81" s="127"/>
      <c r="C81" s="127"/>
      <c r="D81" s="128"/>
      <c r="G81" s="127"/>
      <c r="J81" s="127"/>
      <c r="Q81" s="75"/>
      <c r="V81" s="129"/>
      <c r="X81" s="127"/>
      <c r="AB81" s="127"/>
    </row>
    <row r="82" spans="1:28" x14ac:dyDescent="0.15">
      <c r="A82" s="127"/>
      <c r="B82" s="127"/>
      <c r="C82" s="127"/>
      <c r="D82" s="128"/>
      <c r="G82" s="127"/>
      <c r="J82" s="127"/>
      <c r="Q82" s="75"/>
      <c r="V82" s="129"/>
      <c r="X82" s="127"/>
      <c r="AB82" s="127"/>
    </row>
    <row r="83" spans="1:28" x14ac:dyDescent="0.15">
      <c r="A83" s="127"/>
      <c r="B83" s="127"/>
      <c r="C83" s="127"/>
      <c r="D83" s="128"/>
      <c r="G83" s="127"/>
      <c r="J83" s="127"/>
      <c r="Q83" s="75"/>
      <c r="V83" s="129"/>
      <c r="X83" s="127"/>
      <c r="AB83" s="127"/>
    </row>
    <row r="84" spans="1:28" x14ac:dyDescent="0.15">
      <c r="A84" s="127"/>
      <c r="B84" s="127"/>
      <c r="C84" s="127"/>
      <c r="D84" s="128"/>
      <c r="G84" s="127"/>
      <c r="J84" s="127"/>
      <c r="Q84" s="75"/>
      <c r="V84" s="129"/>
      <c r="X84" s="127"/>
      <c r="AB84" s="127"/>
    </row>
    <row r="85" spans="1:28" x14ac:dyDescent="0.15">
      <c r="A85" s="127"/>
      <c r="B85" s="127"/>
      <c r="C85" s="127"/>
      <c r="D85" s="128"/>
      <c r="G85" s="127"/>
      <c r="J85" s="127"/>
      <c r="Q85" s="75"/>
      <c r="V85" s="129"/>
      <c r="X85" s="127"/>
      <c r="AB85" s="127"/>
    </row>
    <row r="86" spans="1:28" x14ac:dyDescent="0.15">
      <c r="A86" s="127"/>
      <c r="B86" s="127"/>
      <c r="C86" s="127"/>
      <c r="D86" s="128"/>
      <c r="G86" s="127"/>
      <c r="J86" s="127"/>
      <c r="Q86" s="75"/>
      <c r="V86" s="129"/>
      <c r="X86" s="127"/>
      <c r="AB86" s="127"/>
    </row>
    <row r="87" spans="1:28" x14ac:dyDescent="0.15">
      <c r="A87" s="127"/>
      <c r="B87" s="127"/>
      <c r="C87" s="127"/>
      <c r="D87" s="128"/>
      <c r="G87" s="127"/>
      <c r="J87" s="127"/>
      <c r="Q87" s="75"/>
      <c r="V87" s="129"/>
      <c r="X87" s="127"/>
      <c r="AB87" s="127"/>
    </row>
    <row r="88" spans="1:28" x14ac:dyDescent="0.15">
      <c r="A88" s="127"/>
      <c r="B88" s="127"/>
      <c r="C88" s="127"/>
      <c r="D88" s="128"/>
      <c r="G88" s="127"/>
      <c r="J88" s="127"/>
      <c r="Q88" s="75"/>
      <c r="V88" s="129"/>
      <c r="X88" s="127"/>
      <c r="AB88" s="127"/>
    </row>
    <row r="89" spans="1:28" x14ac:dyDescent="0.15">
      <c r="D89" s="128"/>
    </row>
    <row r="90" spans="1:28" x14ac:dyDescent="0.15">
      <c r="A90" s="127"/>
      <c r="B90" s="127"/>
      <c r="C90" s="127"/>
      <c r="D90" s="128"/>
      <c r="G90" s="127"/>
      <c r="J90" s="127"/>
      <c r="Q90" s="75"/>
      <c r="V90" s="129"/>
      <c r="X90" s="127"/>
      <c r="AB90" s="127"/>
    </row>
    <row r="91" spans="1:28" x14ac:dyDescent="0.15">
      <c r="A91" s="127"/>
      <c r="B91" s="127"/>
      <c r="C91" s="127"/>
      <c r="G91" s="127"/>
      <c r="J91" s="127"/>
      <c r="Q91" s="75"/>
      <c r="V91" s="129"/>
      <c r="X91" s="127"/>
      <c r="AB91" s="127"/>
    </row>
    <row r="92" spans="1:28" x14ac:dyDescent="0.15">
      <c r="A92" s="127"/>
      <c r="B92" s="127"/>
      <c r="C92" s="127"/>
      <c r="D92" s="128"/>
      <c r="G92" s="127"/>
      <c r="J92" s="127"/>
      <c r="Q92" s="75"/>
      <c r="V92" s="129"/>
      <c r="X92" s="127"/>
      <c r="AB92" s="127"/>
    </row>
    <row r="93" spans="1:28" x14ac:dyDescent="0.15">
      <c r="A93" s="127"/>
      <c r="B93" s="127"/>
      <c r="C93" s="127"/>
      <c r="D93" s="128"/>
      <c r="G93" s="127"/>
      <c r="J93" s="127"/>
      <c r="Q93" s="75"/>
      <c r="V93" s="129"/>
      <c r="X93" s="127"/>
      <c r="AB93" s="127"/>
    </row>
    <row r="94" spans="1:28" x14ac:dyDescent="0.15">
      <c r="A94" s="127"/>
      <c r="B94" s="127"/>
      <c r="C94" s="127"/>
      <c r="D94" s="128"/>
      <c r="G94" s="127"/>
      <c r="J94" s="127"/>
      <c r="Q94" s="75"/>
      <c r="V94" s="129"/>
      <c r="X94" s="127"/>
      <c r="AB94" s="127"/>
    </row>
    <row r="95" spans="1:28" x14ac:dyDescent="0.15">
      <c r="A95" s="127"/>
      <c r="B95" s="127"/>
      <c r="C95" s="127"/>
      <c r="D95" s="128"/>
      <c r="G95" s="127"/>
      <c r="J95" s="127"/>
      <c r="Q95" s="75"/>
      <c r="V95" s="129"/>
      <c r="X95" s="127"/>
      <c r="AB95" s="127"/>
    </row>
    <row r="96" spans="1:28" x14ac:dyDescent="0.15">
      <c r="A96" s="127"/>
      <c r="B96" s="127"/>
      <c r="C96" s="127"/>
      <c r="D96" s="128"/>
      <c r="G96" s="127"/>
      <c r="J96" s="127"/>
      <c r="Q96" s="75"/>
      <c r="V96" s="129"/>
      <c r="X96" s="127"/>
      <c r="AB96" s="127"/>
    </row>
    <row r="97" spans="1:28" x14ac:dyDescent="0.15">
      <c r="A97" s="127"/>
      <c r="B97" s="127"/>
      <c r="C97" s="127"/>
      <c r="D97" s="128"/>
      <c r="G97" s="127"/>
      <c r="J97" s="127"/>
      <c r="Q97" s="75"/>
      <c r="V97" s="129"/>
      <c r="X97" s="127"/>
      <c r="AB97" s="127"/>
    </row>
    <row r="98" spans="1:28" x14ac:dyDescent="0.15">
      <c r="A98" s="127"/>
      <c r="B98" s="127"/>
      <c r="C98" s="127"/>
      <c r="D98" s="128"/>
      <c r="G98" s="127"/>
      <c r="J98" s="127"/>
      <c r="Q98" s="75"/>
      <c r="V98" s="129"/>
      <c r="X98" s="127"/>
      <c r="AB98" s="127"/>
    </row>
    <row r="99" spans="1:28" x14ac:dyDescent="0.15">
      <c r="A99" s="127"/>
      <c r="B99" s="127"/>
      <c r="C99" s="127"/>
      <c r="D99" s="128"/>
      <c r="G99" s="127"/>
      <c r="J99" s="127"/>
      <c r="Q99" s="75"/>
      <c r="V99" s="129"/>
      <c r="X99" s="127"/>
      <c r="AB99" s="127"/>
    </row>
    <row r="100" spans="1:28" x14ac:dyDescent="0.15">
      <c r="A100" s="127"/>
      <c r="B100" s="127"/>
      <c r="C100" s="127"/>
      <c r="D100" s="128"/>
      <c r="G100" s="127"/>
      <c r="J100" s="127"/>
      <c r="Q100" s="75"/>
      <c r="V100" s="129"/>
      <c r="X100" s="127"/>
      <c r="AB100" s="127"/>
    </row>
    <row r="101" spans="1:28" x14ac:dyDescent="0.15">
      <c r="A101" s="127"/>
      <c r="B101" s="127"/>
      <c r="C101" s="127"/>
      <c r="D101" s="128"/>
      <c r="G101" s="127"/>
      <c r="J101" s="127"/>
      <c r="Q101" s="75"/>
      <c r="V101" s="129"/>
      <c r="X101" s="127"/>
      <c r="AB101" s="127"/>
    </row>
    <row r="102" spans="1:28" x14ac:dyDescent="0.15">
      <c r="A102" s="127"/>
      <c r="B102" s="127"/>
      <c r="C102" s="127"/>
      <c r="D102" s="128"/>
      <c r="G102" s="127"/>
      <c r="J102" s="127"/>
      <c r="Q102" s="75"/>
      <c r="V102" s="129"/>
      <c r="X102" s="127"/>
      <c r="AB102" s="127"/>
    </row>
    <row r="103" spans="1:28" x14ac:dyDescent="0.15">
      <c r="A103" s="127"/>
      <c r="B103" s="127"/>
      <c r="C103" s="127"/>
      <c r="D103" s="128"/>
      <c r="G103" s="127"/>
      <c r="J103" s="127"/>
      <c r="Q103" s="75"/>
      <c r="V103" s="129"/>
      <c r="X103" s="127"/>
      <c r="AB103" s="127"/>
    </row>
    <row r="104" spans="1:28" x14ac:dyDescent="0.15">
      <c r="A104" s="127"/>
      <c r="B104" s="127"/>
      <c r="C104" s="127"/>
      <c r="D104" s="128"/>
      <c r="G104" s="127"/>
      <c r="J104" s="127"/>
      <c r="Q104" s="75"/>
      <c r="V104" s="129"/>
      <c r="X104" s="127"/>
      <c r="AB104" s="127"/>
    </row>
    <row r="105" spans="1:28" x14ac:dyDescent="0.15">
      <c r="A105" s="127"/>
      <c r="B105" s="127"/>
      <c r="C105" s="127"/>
      <c r="D105" s="128"/>
      <c r="G105" s="127"/>
      <c r="J105" s="127"/>
      <c r="Q105" s="75"/>
      <c r="V105" s="129"/>
      <c r="X105" s="127"/>
      <c r="AB105" s="127"/>
    </row>
    <row r="106" spans="1:28" x14ac:dyDescent="0.15">
      <c r="A106" s="127"/>
      <c r="B106" s="127"/>
      <c r="C106" s="127"/>
      <c r="D106" s="128"/>
      <c r="G106" s="127"/>
      <c r="J106" s="127"/>
      <c r="Q106" s="75"/>
      <c r="V106" s="129"/>
      <c r="X106" s="127"/>
      <c r="AB106" s="127"/>
    </row>
    <row r="107" spans="1:28" x14ac:dyDescent="0.15">
      <c r="D107" s="128"/>
    </row>
    <row r="108" spans="1:28" x14ac:dyDescent="0.15">
      <c r="D108" s="128"/>
    </row>
  </sheetData>
  <autoFilter ref="A1:BA1" xr:uid="{00000000-0009-0000-0000-000004000000}"/>
  <phoneticPr fontId="3"/>
  <dataValidations count="20">
    <dataValidation type="list" allowBlank="1" showInputMessage="1" showErrorMessage="1" sqref="K2:K494" xr:uid="{701B0383-8CFA-4481-862B-1C32F13B3ED8}">
      <formula1>$AR$2:$AR$25</formula1>
    </dataValidation>
    <dataValidation type="list" allowBlank="1" showInputMessage="1" showErrorMessage="1" sqref="I64400:I64405 WVQ981883:WVQ981888 WLU981883:WLU981888 WBY981883:WBY981888 VSC981883:VSC981888 VIG981883:VIG981888 UYK981883:UYK981888 UOO981883:UOO981888 UES981883:UES981888 TUW981883:TUW981888 TLA981883:TLA981888 TBE981883:TBE981888 SRI981883:SRI981888 SHM981883:SHM981888 RXQ981883:RXQ981888 RNU981883:RNU981888 RDY981883:RDY981888 QUC981883:QUC981888 QKG981883:QKG981888 QAK981883:QAK981888 PQO981883:PQO981888 PGS981883:PGS981888 OWW981883:OWW981888 ONA981883:ONA981888 ODE981883:ODE981888 NTI981883:NTI981888 NJM981883:NJM981888 MZQ981883:MZQ981888 MPU981883:MPU981888 MFY981883:MFY981888 LWC981883:LWC981888 LMG981883:LMG981888 LCK981883:LCK981888 KSO981883:KSO981888 KIS981883:KIS981888 JYW981883:JYW981888 JPA981883:JPA981888 JFE981883:JFE981888 IVI981883:IVI981888 ILM981883:ILM981888 IBQ981883:IBQ981888 HRU981883:HRU981888 HHY981883:HHY981888 GYC981883:GYC981888 GOG981883:GOG981888 GEK981883:GEK981888 FUO981883:FUO981888 FKS981883:FKS981888 FAW981883:FAW981888 ERA981883:ERA981888 EHE981883:EHE981888 DXI981883:DXI981888 DNM981883:DNM981888 DDQ981883:DDQ981888 CTU981883:CTU981888 CJY981883:CJY981888 CAC981883:CAC981888 BQG981883:BQG981888 BGK981883:BGK981888 AWO981883:AWO981888 AMS981883:AMS981888 ACW981883:ACW981888 TA981883:TA981888 JE981883:JE981888 I981904:I981909 WVQ916347:WVQ916352 WLU916347:WLU916352 WBY916347:WBY916352 VSC916347:VSC916352 VIG916347:VIG916352 UYK916347:UYK916352 UOO916347:UOO916352 UES916347:UES916352 TUW916347:TUW916352 TLA916347:TLA916352 TBE916347:TBE916352 SRI916347:SRI916352 SHM916347:SHM916352 RXQ916347:RXQ916352 RNU916347:RNU916352 RDY916347:RDY916352 QUC916347:QUC916352 QKG916347:QKG916352 QAK916347:QAK916352 PQO916347:PQO916352 PGS916347:PGS916352 OWW916347:OWW916352 ONA916347:ONA916352 ODE916347:ODE916352 NTI916347:NTI916352 NJM916347:NJM916352 MZQ916347:MZQ916352 MPU916347:MPU916352 MFY916347:MFY916352 LWC916347:LWC916352 LMG916347:LMG916352 LCK916347:LCK916352 KSO916347:KSO916352 KIS916347:KIS916352 JYW916347:JYW916352 JPA916347:JPA916352 JFE916347:JFE916352 IVI916347:IVI916352 ILM916347:ILM916352 IBQ916347:IBQ916352 HRU916347:HRU916352 HHY916347:HHY916352 GYC916347:GYC916352 GOG916347:GOG916352 GEK916347:GEK916352 FUO916347:FUO916352 FKS916347:FKS916352 FAW916347:FAW916352 ERA916347:ERA916352 EHE916347:EHE916352 DXI916347:DXI916352 DNM916347:DNM916352 DDQ916347:DDQ916352 CTU916347:CTU916352 CJY916347:CJY916352 CAC916347:CAC916352 BQG916347:BQG916352 BGK916347:BGK916352 AWO916347:AWO916352 AMS916347:AMS916352 ACW916347:ACW916352 TA916347:TA916352 JE916347:JE916352 I916368:I916373 WVQ850811:WVQ850816 WLU850811:WLU850816 WBY850811:WBY850816 VSC850811:VSC850816 VIG850811:VIG850816 UYK850811:UYK850816 UOO850811:UOO850816 UES850811:UES850816 TUW850811:TUW850816 TLA850811:TLA850816 TBE850811:TBE850816 SRI850811:SRI850816 SHM850811:SHM850816 RXQ850811:RXQ850816 RNU850811:RNU850816 RDY850811:RDY850816 QUC850811:QUC850816 QKG850811:QKG850816 QAK850811:QAK850816 PQO850811:PQO850816 PGS850811:PGS850816 OWW850811:OWW850816 ONA850811:ONA850816 ODE850811:ODE850816 NTI850811:NTI850816 NJM850811:NJM850816 MZQ850811:MZQ850816 MPU850811:MPU850816 MFY850811:MFY850816 LWC850811:LWC850816 LMG850811:LMG850816 LCK850811:LCK850816 KSO850811:KSO850816 KIS850811:KIS850816 JYW850811:JYW850816 JPA850811:JPA850816 JFE850811:JFE850816 IVI850811:IVI850816 ILM850811:ILM850816 IBQ850811:IBQ850816 HRU850811:HRU850816 HHY850811:HHY850816 GYC850811:GYC850816 GOG850811:GOG850816 GEK850811:GEK850816 FUO850811:FUO850816 FKS850811:FKS850816 FAW850811:FAW850816 ERA850811:ERA850816 EHE850811:EHE850816 DXI850811:DXI850816 DNM850811:DNM850816 DDQ850811:DDQ850816 CTU850811:CTU850816 CJY850811:CJY850816 CAC850811:CAC850816 BQG850811:BQG850816 BGK850811:BGK850816 AWO850811:AWO850816 AMS850811:AMS850816 ACW850811:ACW850816 TA850811:TA850816 JE850811:JE850816 I850832:I850837 WVQ785275:WVQ785280 WLU785275:WLU785280 WBY785275:WBY785280 VSC785275:VSC785280 VIG785275:VIG785280 UYK785275:UYK785280 UOO785275:UOO785280 UES785275:UES785280 TUW785275:TUW785280 TLA785275:TLA785280 TBE785275:TBE785280 SRI785275:SRI785280 SHM785275:SHM785280 RXQ785275:RXQ785280 RNU785275:RNU785280 RDY785275:RDY785280 QUC785275:QUC785280 QKG785275:QKG785280 QAK785275:QAK785280 PQO785275:PQO785280 PGS785275:PGS785280 OWW785275:OWW785280 ONA785275:ONA785280 ODE785275:ODE785280 NTI785275:NTI785280 NJM785275:NJM785280 MZQ785275:MZQ785280 MPU785275:MPU785280 MFY785275:MFY785280 LWC785275:LWC785280 LMG785275:LMG785280 LCK785275:LCK785280 KSO785275:KSO785280 KIS785275:KIS785280 JYW785275:JYW785280 JPA785275:JPA785280 JFE785275:JFE785280 IVI785275:IVI785280 ILM785275:ILM785280 IBQ785275:IBQ785280 HRU785275:HRU785280 HHY785275:HHY785280 GYC785275:GYC785280 GOG785275:GOG785280 GEK785275:GEK785280 FUO785275:FUO785280 FKS785275:FKS785280 FAW785275:FAW785280 ERA785275:ERA785280 EHE785275:EHE785280 DXI785275:DXI785280 DNM785275:DNM785280 DDQ785275:DDQ785280 CTU785275:CTU785280 CJY785275:CJY785280 CAC785275:CAC785280 BQG785275:BQG785280 BGK785275:BGK785280 AWO785275:AWO785280 AMS785275:AMS785280 ACW785275:ACW785280 TA785275:TA785280 JE785275:JE785280 I785296:I785301 WVQ719739:WVQ719744 WLU719739:WLU719744 WBY719739:WBY719744 VSC719739:VSC719744 VIG719739:VIG719744 UYK719739:UYK719744 UOO719739:UOO719744 UES719739:UES719744 TUW719739:TUW719744 TLA719739:TLA719744 TBE719739:TBE719744 SRI719739:SRI719744 SHM719739:SHM719744 RXQ719739:RXQ719744 RNU719739:RNU719744 RDY719739:RDY719744 QUC719739:QUC719744 QKG719739:QKG719744 QAK719739:QAK719744 PQO719739:PQO719744 PGS719739:PGS719744 OWW719739:OWW719744 ONA719739:ONA719744 ODE719739:ODE719744 NTI719739:NTI719744 NJM719739:NJM719744 MZQ719739:MZQ719744 MPU719739:MPU719744 MFY719739:MFY719744 LWC719739:LWC719744 LMG719739:LMG719744 LCK719739:LCK719744 KSO719739:KSO719744 KIS719739:KIS719744 JYW719739:JYW719744 JPA719739:JPA719744 JFE719739:JFE719744 IVI719739:IVI719744 ILM719739:ILM719744 IBQ719739:IBQ719744 HRU719739:HRU719744 HHY719739:HHY719744 GYC719739:GYC719744 GOG719739:GOG719744 GEK719739:GEK719744 FUO719739:FUO719744 FKS719739:FKS719744 FAW719739:FAW719744 ERA719739:ERA719744 EHE719739:EHE719744 DXI719739:DXI719744 DNM719739:DNM719744 DDQ719739:DDQ719744 CTU719739:CTU719744 CJY719739:CJY719744 CAC719739:CAC719744 BQG719739:BQG719744 BGK719739:BGK719744 AWO719739:AWO719744 AMS719739:AMS719744 ACW719739:ACW719744 TA719739:TA719744 JE719739:JE719744 I719760:I719765 WVQ654203:WVQ654208 WLU654203:WLU654208 WBY654203:WBY654208 VSC654203:VSC654208 VIG654203:VIG654208 UYK654203:UYK654208 UOO654203:UOO654208 UES654203:UES654208 TUW654203:TUW654208 TLA654203:TLA654208 TBE654203:TBE654208 SRI654203:SRI654208 SHM654203:SHM654208 RXQ654203:RXQ654208 RNU654203:RNU654208 RDY654203:RDY654208 QUC654203:QUC654208 QKG654203:QKG654208 QAK654203:QAK654208 PQO654203:PQO654208 PGS654203:PGS654208 OWW654203:OWW654208 ONA654203:ONA654208 ODE654203:ODE654208 NTI654203:NTI654208 NJM654203:NJM654208 MZQ654203:MZQ654208 MPU654203:MPU654208 MFY654203:MFY654208 LWC654203:LWC654208 LMG654203:LMG654208 LCK654203:LCK654208 KSO654203:KSO654208 KIS654203:KIS654208 JYW654203:JYW654208 JPA654203:JPA654208 JFE654203:JFE654208 IVI654203:IVI654208 ILM654203:ILM654208 IBQ654203:IBQ654208 HRU654203:HRU654208 HHY654203:HHY654208 GYC654203:GYC654208 GOG654203:GOG654208 GEK654203:GEK654208 FUO654203:FUO654208 FKS654203:FKS654208 FAW654203:FAW654208 ERA654203:ERA654208 EHE654203:EHE654208 DXI654203:DXI654208 DNM654203:DNM654208 DDQ654203:DDQ654208 CTU654203:CTU654208 CJY654203:CJY654208 CAC654203:CAC654208 BQG654203:BQG654208 BGK654203:BGK654208 AWO654203:AWO654208 AMS654203:AMS654208 ACW654203:ACW654208 TA654203:TA654208 JE654203:JE654208 I654224:I654229 WVQ588667:WVQ588672 WLU588667:WLU588672 WBY588667:WBY588672 VSC588667:VSC588672 VIG588667:VIG588672 UYK588667:UYK588672 UOO588667:UOO588672 UES588667:UES588672 TUW588667:TUW588672 TLA588667:TLA588672 TBE588667:TBE588672 SRI588667:SRI588672 SHM588667:SHM588672 RXQ588667:RXQ588672 RNU588667:RNU588672 RDY588667:RDY588672 QUC588667:QUC588672 QKG588667:QKG588672 QAK588667:QAK588672 PQO588667:PQO588672 PGS588667:PGS588672 OWW588667:OWW588672 ONA588667:ONA588672 ODE588667:ODE588672 NTI588667:NTI588672 NJM588667:NJM588672 MZQ588667:MZQ588672 MPU588667:MPU588672 MFY588667:MFY588672 LWC588667:LWC588672 LMG588667:LMG588672 LCK588667:LCK588672 KSO588667:KSO588672 KIS588667:KIS588672 JYW588667:JYW588672 JPA588667:JPA588672 JFE588667:JFE588672 IVI588667:IVI588672 ILM588667:ILM588672 IBQ588667:IBQ588672 HRU588667:HRU588672 HHY588667:HHY588672 GYC588667:GYC588672 GOG588667:GOG588672 GEK588667:GEK588672 FUO588667:FUO588672 FKS588667:FKS588672 FAW588667:FAW588672 ERA588667:ERA588672 EHE588667:EHE588672 DXI588667:DXI588672 DNM588667:DNM588672 DDQ588667:DDQ588672 CTU588667:CTU588672 CJY588667:CJY588672 CAC588667:CAC588672 BQG588667:BQG588672 BGK588667:BGK588672 AWO588667:AWO588672 AMS588667:AMS588672 ACW588667:ACW588672 TA588667:TA588672 JE588667:JE588672 I588688:I588693 WVQ523131:WVQ523136 WLU523131:WLU523136 WBY523131:WBY523136 VSC523131:VSC523136 VIG523131:VIG523136 UYK523131:UYK523136 UOO523131:UOO523136 UES523131:UES523136 TUW523131:TUW523136 TLA523131:TLA523136 TBE523131:TBE523136 SRI523131:SRI523136 SHM523131:SHM523136 RXQ523131:RXQ523136 RNU523131:RNU523136 RDY523131:RDY523136 QUC523131:QUC523136 QKG523131:QKG523136 QAK523131:QAK523136 PQO523131:PQO523136 PGS523131:PGS523136 OWW523131:OWW523136 ONA523131:ONA523136 ODE523131:ODE523136 NTI523131:NTI523136 NJM523131:NJM523136 MZQ523131:MZQ523136 MPU523131:MPU523136 MFY523131:MFY523136 LWC523131:LWC523136 LMG523131:LMG523136 LCK523131:LCK523136 KSO523131:KSO523136 KIS523131:KIS523136 JYW523131:JYW523136 JPA523131:JPA523136 JFE523131:JFE523136 IVI523131:IVI523136 ILM523131:ILM523136 IBQ523131:IBQ523136 HRU523131:HRU523136 HHY523131:HHY523136 GYC523131:GYC523136 GOG523131:GOG523136 GEK523131:GEK523136 FUO523131:FUO523136 FKS523131:FKS523136 FAW523131:FAW523136 ERA523131:ERA523136 EHE523131:EHE523136 DXI523131:DXI523136 DNM523131:DNM523136 DDQ523131:DDQ523136 CTU523131:CTU523136 CJY523131:CJY523136 CAC523131:CAC523136 BQG523131:BQG523136 BGK523131:BGK523136 AWO523131:AWO523136 AMS523131:AMS523136 ACW523131:ACW523136 TA523131:TA523136 JE523131:JE523136 I523152:I523157 WVQ457595:WVQ457600 WLU457595:WLU457600 WBY457595:WBY457600 VSC457595:VSC457600 VIG457595:VIG457600 UYK457595:UYK457600 UOO457595:UOO457600 UES457595:UES457600 TUW457595:TUW457600 TLA457595:TLA457600 TBE457595:TBE457600 SRI457595:SRI457600 SHM457595:SHM457600 RXQ457595:RXQ457600 RNU457595:RNU457600 RDY457595:RDY457600 QUC457595:QUC457600 QKG457595:QKG457600 QAK457595:QAK457600 PQO457595:PQO457600 PGS457595:PGS457600 OWW457595:OWW457600 ONA457595:ONA457600 ODE457595:ODE457600 NTI457595:NTI457600 NJM457595:NJM457600 MZQ457595:MZQ457600 MPU457595:MPU457600 MFY457595:MFY457600 LWC457595:LWC457600 LMG457595:LMG457600 LCK457595:LCK457600 KSO457595:KSO457600 KIS457595:KIS457600 JYW457595:JYW457600 JPA457595:JPA457600 JFE457595:JFE457600 IVI457595:IVI457600 ILM457595:ILM457600 IBQ457595:IBQ457600 HRU457595:HRU457600 HHY457595:HHY457600 GYC457595:GYC457600 GOG457595:GOG457600 GEK457595:GEK457600 FUO457595:FUO457600 FKS457595:FKS457600 FAW457595:FAW457600 ERA457595:ERA457600 EHE457595:EHE457600 DXI457595:DXI457600 DNM457595:DNM457600 DDQ457595:DDQ457600 CTU457595:CTU457600 CJY457595:CJY457600 CAC457595:CAC457600 BQG457595:BQG457600 BGK457595:BGK457600 AWO457595:AWO457600 AMS457595:AMS457600 ACW457595:ACW457600 TA457595:TA457600 JE457595:JE457600 I457616:I457621 WVQ392059:WVQ392064 WLU392059:WLU392064 WBY392059:WBY392064 VSC392059:VSC392064 VIG392059:VIG392064 UYK392059:UYK392064 UOO392059:UOO392064 UES392059:UES392064 TUW392059:TUW392064 TLA392059:TLA392064 TBE392059:TBE392064 SRI392059:SRI392064 SHM392059:SHM392064 RXQ392059:RXQ392064 RNU392059:RNU392064 RDY392059:RDY392064 QUC392059:QUC392064 QKG392059:QKG392064 QAK392059:QAK392064 PQO392059:PQO392064 PGS392059:PGS392064 OWW392059:OWW392064 ONA392059:ONA392064 ODE392059:ODE392064 NTI392059:NTI392064 NJM392059:NJM392064 MZQ392059:MZQ392064 MPU392059:MPU392064 MFY392059:MFY392064 LWC392059:LWC392064 LMG392059:LMG392064 LCK392059:LCK392064 KSO392059:KSO392064 KIS392059:KIS392064 JYW392059:JYW392064 JPA392059:JPA392064 JFE392059:JFE392064 IVI392059:IVI392064 ILM392059:ILM392064 IBQ392059:IBQ392064 HRU392059:HRU392064 HHY392059:HHY392064 GYC392059:GYC392064 GOG392059:GOG392064 GEK392059:GEK392064 FUO392059:FUO392064 FKS392059:FKS392064 FAW392059:FAW392064 ERA392059:ERA392064 EHE392059:EHE392064 DXI392059:DXI392064 DNM392059:DNM392064 DDQ392059:DDQ392064 CTU392059:CTU392064 CJY392059:CJY392064 CAC392059:CAC392064 BQG392059:BQG392064 BGK392059:BGK392064 AWO392059:AWO392064 AMS392059:AMS392064 ACW392059:ACW392064 TA392059:TA392064 JE392059:JE392064 I392080:I392085 WVQ326523:WVQ326528 WLU326523:WLU326528 WBY326523:WBY326528 VSC326523:VSC326528 VIG326523:VIG326528 UYK326523:UYK326528 UOO326523:UOO326528 UES326523:UES326528 TUW326523:TUW326528 TLA326523:TLA326528 TBE326523:TBE326528 SRI326523:SRI326528 SHM326523:SHM326528 RXQ326523:RXQ326528 RNU326523:RNU326528 RDY326523:RDY326528 QUC326523:QUC326528 QKG326523:QKG326528 QAK326523:QAK326528 PQO326523:PQO326528 PGS326523:PGS326528 OWW326523:OWW326528 ONA326523:ONA326528 ODE326523:ODE326528 NTI326523:NTI326528 NJM326523:NJM326528 MZQ326523:MZQ326528 MPU326523:MPU326528 MFY326523:MFY326528 LWC326523:LWC326528 LMG326523:LMG326528 LCK326523:LCK326528 KSO326523:KSO326528 KIS326523:KIS326528 JYW326523:JYW326528 JPA326523:JPA326528 JFE326523:JFE326528 IVI326523:IVI326528 ILM326523:ILM326528 IBQ326523:IBQ326528 HRU326523:HRU326528 HHY326523:HHY326528 GYC326523:GYC326528 GOG326523:GOG326528 GEK326523:GEK326528 FUO326523:FUO326528 FKS326523:FKS326528 FAW326523:FAW326528 ERA326523:ERA326528 EHE326523:EHE326528 DXI326523:DXI326528 DNM326523:DNM326528 DDQ326523:DDQ326528 CTU326523:CTU326528 CJY326523:CJY326528 CAC326523:CAC326528 BQG326523:BQG326528 BGK326523:BGK326528 AWO326523:AWO326528 AMS326523:AMS326528 ACW326523:ACW326528 TA326523:TA326528 JE326523:JE326528 I326544:I326549 WVQ260987:WVQ260992 WLU260987:WLU260992 WBY260987:WBY260992 VSC260987:VSC260992 VIG260987:VIG260992 UYK260987:UYK260992 UOO260987:UOO260992 UES260987:UES260992 TUW260987:TUW260992 TLA260987:TLA260992 TBE260987:TBE260992 SRI260987:SRI260992 SHM260987:SHM260992 RXQ260987:RXQ260992 RNU260987:RNU260992 RDY260987:RDY260992 QUC260987:QUC260992 QKG260987:QKG260992 QAK260987:QAK260992 PQO260987:PQO260992 PGS260987:PGS260992 OWW260987:OWW260992 ONA260987:ONA260992 ODE260987:ODE260992 NTI260987:NTI260992 NJM260987:NJM260992 MZQ260987:MZQ260992 MPU260987:MPU260992 MFY260987:MFY260992 LWC260987:LWC260992 LMG260987:LMG260992 LCK260987:LCK260992 KSO260987:KSO260992 KIS260987:KIS260992 JYW260987:JYW260992 JPA260987:JPA260992 JFE260987:JFE260992 IVI260987:IVI260992 ILM260987:ILM260992 IBQ260987:IBQ260992 HRU260987:HRU260992 HHY260987:HHY260992 GYC260987:GYC260992 GOG260987:GOG260992 GEK260987:GEK260992 FUO260987:FUO260992 FKS260987:FKS260992 FAW260987:FAW260992 ERA260987:ERA260992 EHE260987:EHE260992 DXI260987:DXI260992 DNM260987:DNM260992 DDQ260987:DDQ260992 CTU260987:CTU260992 CJY260987:CJY260992 CAC260987:CAC260992 BQG260987:BQG260992 BGK260987:BGK260992 AWO260987:AWO260992 AMS260987:AMS260992 ACW260987:ACW260992 TA260987:TA260992 JE260987:JE260992 I261008:I261013 WVQ195451:WVQ195456 WLU195451:WLU195456 WBY195451:WBY195456 VSC195451:VSC195456 VIG195451:VIG195456 UYK195451:UYK195456 UOO195451:UOO195456 UES195451:UES195456 TUW195451:TUW195456 TLA195451:TLA195456 TBE195451:TBE195456 SRI195451:SRI195456 SHM195451:SHM195456 RXQ195451:RXQ195456 RNU195451:RNU195456 RDY195451:RDY195456 QUC195451:QUC195456 QKG195451:QKG195456 QAK195451:QAK195456 PQO195451:PQO195456 PGS195451:PGS195456 OWW195451:OWW195456 ONA195451:ONA195456 ODE195451:ODE195456 NTI195451:NTI195456 NJM195451:NJM195456 MZQ195451:MZQ195456 MPU195451:MPU195456 MFY195451:MFY195456 LWC195451:LWC195456 LMG195451:LMG195456 LCK195451:LCK195456 KSO195451:KSO195456 KIS195451:KIS195456 JYW195451:JYW195456 JPA195451:JPA195456 JFE195451:JFE195456 IVI195451:IVI195456 ILM195451:ILM195456 IBQ195451:IBQ195456 HRU195451:HRU195456 HHY195451:HHY195456 GYC195451:GYC195456 GOG195451:GOG195456 GEK195451:GEK195456 FUO195451:FUO195456 FKS195451:FKS195456 FAW195451:FAW195456 ERA195451:ERA195456 EHE195451:EHE195456 DXI195451:DXI195456 DNM195451:DNM195456 DDQ195451:DDQ195456 CTU195451:CTU195456 CJY195451:CJY195456 CAC195451:CAC195456 BQG195451:BQG195456 BGK195451:BGK195456 AWO195451:AWO195456 AMS195451:AMS195456 ACW195451:ACW195456 TA195451:TA195456 JE195451:JE195456 I195472:I195477 WVQ129915:WVQ129920 WLU129915:WLU129920 WBY129915:WBY129920 VSC129915:VSC129920 VIG129915:VIG129920 UYK129915:UYK129920 UOO129915:UOO129920 UES129915:UES129920 TUW129915:TUW129920 TLA129915:TLA129920 TBE129915:TBE129920 SRI129915:SRI129920 SHM129915:SHM129920 RXQ129915:RXQ129920 RNU129915:RNU129920 RDY129915:RDY129920 QUC129915:QUC129920 QKG129915:QKG129920 QAK129915:QAK129920 PQO129915:PQO129920 PGS129915:PGS129920 OWW129915:OWW129920 ONA129915:ONA129920 ODE129915:ODE129920 NTI129915:NTI129920 NJM129915:NJM129920 MZQ129915:MZQ129920 MPU129915:MPU129920 MFY129915:MFY129920 LWC129915:LWC129920 LMG129915:LMG129920 LCK129915:LCK129920 KSO129915:KSO129920 KIS129915:KIS129920 JYW129915:JYW129920 JPA129915:JPA129920 JFE129915:JFE129920 IVI129915:IVI129920 ILM129915:ILM129920 IBQ129915:IBQ129920 HRU129915:HRU129920 HHY129915:HHY129920 GYC129915:GYC129920 GOG129915:GOG129920 GEK129915:GEK129920 FUO129915:FUO129920 FKS129915:FKS129920 FAW129915:FAW129920 ERA129915:ERA129920 EHE129915:EHE129920 DXI129915:DXI129920 DNM129915:DNM129920 DDQ129915:DDQ129920 CTU129915:CTU129920 CJY129915:CJY129920 CAC129915:CAC129920 BQG129915:BQG129920 BGK129915:BGK129920 AWO129915:AWO129920 AMS129915:AMS129920 ACW129915:ACW129920 TA129915:TA129920 JE129915:JE129920 I129936:I129941 WVQ64379:WVQ64384 WLU64379:WLU64384 WBY64379:WBY64384 VSC64379:VSC64384 VIG64379:VIG64384 UYK64379:UYK64384 UOO64379:UOO64384 UES64379:UES64384 TUW64379:TUW64384 TLA64379:TLA64384 TBE64379:TBE64384 SRI64379:SRI64384 SHM64379:SHM64384 RXQ64379:RXQ64384 RNU64379:RNU64384 RDY64379:RDY64384 QUC64379:QUC64384 QKG64379:QKG64384 QAK64379:QAK64384 PQO64379:PQO64384 PGS64379:PGS64384 OWW64379:OWW64384 ONA64379:ONA64384 ODE64379:ODE64384 NTI64379:NTI64384 NJM64379:NJM64384 MZQ64379:MZQ64384 MPU64379:MPU64384 MFY64379:MFY64384 LWC64379:LWC64384 LMG64379:LMG64384 LCK64379:LCK64384 KSO64379:KSO64384 KIS64379:KIS64384 JYW64379:JYW64384 JPA64379:JPA64384 JFE64379:JFE64384 IVI64379:IVI64384 ILM64379:ILM64384 IBQ64379:IBQ64384 HRU64379:HRU64384 HHY64379:HHY64384 GYC64379:GYC64384 GOG64379:GOG64384 GEK64379:GEK64384 FUO64379:FUO64384 FKS64379:FKS64384 FAW64379:FAW64384 ERA64379:ERA64384 EHE64379:EHE64384 DXI64379:DXI64384 DNM64379:DNM64384 DDQ64379:DDQ64384 CTU64379:CTU64384 CJY64379:CJY64384 CAC64379:CAC64384 BQG64379:BQG64384 BGK64379:BGK64384 AWO64379:AWO64384 AMS64379:AMS64384 ACW64379:ACW64384 TA64379:TA64384 JE64379:JE64384" xr:uid="{88538B07-A3E8-4C6F-8E19-5BCB7D00DB76}">
      <formula1>$AN$8:$AN$9</formula1>
    </dataValidation>
    <dataValidation type="list" allowBlank="1" showInputMessage="1" showErrorMessage="1" sqref="WVS981799:WVS981888 WLW981799:WLW981888 WCA981799:WCA981888 VSE981799:VSE981888 VII981799:VII981888 UYM981799:UYM981888 UOQ981799:UOQ981888 UEU981799:UEU981888 TUY981799:TUY981888 TLC981799:TLC981888 TBG981799:TBG981888 SRK981799:SRK981888 SHO981799:SHO981888 RXS981799:RXS981888 RNW981799:RNW981888 REA981799:REA981888 QUE981799:QUE981888 QKI981799:QKI981888 QAM981799:QAM981888 PQQ981799:PQQ981888 PGU981799:PGU981888 OWY981799:OWY981888 ONC981799:ONC981888 ODG981799:ODG981888 NTK981799:NTK981888 NJO981799:NJO981888 MZS981799:MZS981888 MPW981799:MPW981888 MGA981799:MGA981888 LWE981799:LWE981888 LMI981799:LMI981888 LCM981799:LCM981888 KSQ981799:KSQ981888 KIU981799:KIU981888 JYY981799:JYY981888 JPC981799:JPC981888 JFG981799:JFG981888 IVK981799:IVK981888 ILO981799:ILO981888 IBS981799:IBS981888 HRW981799:HRW981888 HIA981799:HIA981888 GYE981799:GYE981888 GOI981799:GOI981888 GEM981799:GEM981888 FUQ981799:FUQ981888 FKU981799:FKU981888 FAY981799:FAY981888 ERC981799:ERC981888 EHG981799:EHG981888 DXK981799:DXK981888 DNO981799:DNO981888 DDS981799:DDS981888 CTW981799:CTW981888 CKA981799:CKA981888 CAE981799:CAE981888 BQI981799:BQI981888 BGM981799:BGM981888 AWQ981799:AWQ981888 AMU981799:AMU981888 ACY981799:ACY981888 TC981799:TC981888 JG981799:JG981888 K981808:K981897 WVS916263:WVS916352 WLW916263:WLW916352 WCA916263:WCA916352 VSE916263:VSE916352 VII916263:VII916352 UYM916263:UYM916352 UOQ916263:UOQ916352 UEU916263:UEU916352 TUY916263:TUY916352 TLC916263:TLC916352 TBG916263:TBG916352 SRK916263:SRK916352 SHO916263:SHO916352 RXS916263:RXS916352 RNW916263:RNW916352 REA916263:REA916352 QUE916263:QUE916352 QKI916263:QKI916352 QAM916263:QAM916352 PQQ916263:PQQ916352 PGU916263:PGU916352 OWY916263:OWY916352 ONC916263:ONC916352 ODG916263:ODG916352 NTK916263:NTK916352 NJO916263:NJO916352 MZS916263:MZS916352 MPW916263:MPW916352 MGA916263:MGA916352 LWE916263:LWE916352 LMI916263:LMI916352 LCM916263:LCM916352 KSQ916263:KSQ916352 KIU916263:KIU916352 JYY916263:JYY916352 JPC916263:JPC916352 JFG916263:JFG916352 IVK916263:IVK916352 ILO916263:ILO916352 IBS916263:IBS916352 HRW916263:HRW916352 HIA916263:HIA916352 GYE916263:GYE916352 GOI916263:GOI916352 GEM916263:GEM916352 FUQ916263:FUQ916352 FKU916263:FKU916352 FAY916263:FAY916352 ERC916263:ERC916352 EHG916263:EHG916352 DXK916263:DXK916352 DNO916263:DNO916352 DDS916263:DDS916352 CTW916263:CTW916352 CKA916263:CKA916352 CAE916263:CAE916352 BQI916263:BQI916352 BGM916263:BGM916352 AWQ916263:AWQ916352 AMU916263:AMU916352 ACY916263:ACY916352 TC916263:TC916352 JG916263:JG916352 K916272:K916361 WVS850727:WVS850816 WLW850727:WLW850816 WCA850727:WCA850816 VSE850727:VSE850816 VII850727:VII850816 UYM850727:UYM850816 UOQ850727:UOQ850816 UEU850727:UEU850816 TUY850727:TUY850816 TLC850727:TLC850816 TBG850727:TBG850816 SRK850727:SRK850816 SHO850727:SHO850816 RXS850727:RXS850816 RNW850727:RNW850816 REA850727:REA850816 QUE850727:QUE850816 QKI850727:QKI850816 QAM850727:QAM850816 PQQ850727:PQQ850816 PGU850727:PGU850816 OWY850727:OWY850816 ONC850727:ONC850816 ODG850727:ODG850816 NTK850727:NTK850816 NJO850727:NJO850816 MZS850727:MZS850816 MPW850727:MPW850816 MGA850727:MGA850816 LWE850727:LWE850816 LMI850727:LMI850816 LCM850727:LCM850816 KSQ850727:KSQ850816 KIU850727:KIU850816 JYY850727:JYY850816 JPC850727:JPC850816 JFG850727:JFG850816 IVK850727:IVK850816 ILO850727:ILO850816 IBS850727:IBS850816 HRW850727:HRW850816 HIA850727:HIA850816 GYE850727:GYE850816 GOI850727:GOI850816 GEM850727:GEM850816 FUQ850727:FUQ850816 FKU850727:FKU850816 FAY850727:FAY850816 ERC850727:ERC850816 EHG850727:EHG850816 DXK850727:DXK850816 DNO850727:DNO850816 DDS850727:DDS850816 CTW850727:CTW850816 CKA850727:CKA850816 CAE850727:CAE850816 BQI850727:BQI850816 BGM850727:BGM850816 AWQ850727:AWQ850816 AMU850727:AMU850816 ACY850727:ACY850816 TC850727:TC850816 JG850727:JG850816 K850736:K850825 WVS785191:WVS785280 WLW785191:WLW785280 WCA785191:WCA785280 VSE785191:VSE785280 VII785191:VII785280 UYM785191:UYM785280 UOQ785191:UOQ785280 UEU785191:UEU785280 TUY785191:TUY785280 TLC785191:TLC785280 TBG785191:TBG785280 SRK785191:SRK785280 SHO785191:SHO785280 RXS785191:RXS785280 RNW785191:RNW785280 REA785191:REA785280 QUE785191:QUE785280 QKI785191:QKI785280 QAM785191:QAM785280 PQQ785191:PQQ785280 PGU785191:PGU785280 OWY785191:OWY785280 ONC785191:ONC785280 ODG785191:ODG785280 NTK785191:NTK785280 NJO785191:NJO785280 MZS785191:MZS785280 MPW785191:MPW785280 MGA785191:MGA785280 LWE785191:LWE785280 LMI785191:LMI785280 LCM785191:LCM785280 KSQ785191:KSQ785280 KIU785191:KIU785280 JYY785191:JYY785280 JPC785191:JPC785280 JFG785191:JFG785280 IVK785191:IVK785280 ILO785191:ILO785280 IBS785191:IBS785280 HRW785191:HRW785280 HIA785191:HIA785280 GYE785191:GYE785280 GOI785191:GOI785280 GEM785191:GEM785280 FUQ785191:FUQ785280 FKU785191:FKU785280 FAY785191:FAY785280 ERC785191:ERC785280 EHG785191:EHG785280 DXK785191:DXK785280 DNO785191:DNO785280 DDS785191:DDS785280 CTW785191:CTW785280 CKA785191:CKA785280 CAE785191:CAE785280 BQI785191:BQI785280 BGM785191:BGM785280 AWQ785191:AWQ785280 AMU785191:AMU785280 ACY785191:ACY785280 TC785191:TC785280 JG785191:JG785280 K785200:K785289 WVS719655:WVS719744 WLW719655:WLW719744 WCA719655:WCA719744 VSE719655:VSE719744 VII719655:VII719744 UYM719655:UYM719744 UOQ719655:UOQ719744 UEU719655:UEU719744 TUY719655:TUY719744 TLC719655:TLC719744 TBG719655:TBG719744 SRK719655:SRK719744 SHO719655:SHO719744 RXS719655:RXS719744 RNW719655:RNW719744 REA719655:REA719744 QUE719655:QUE719744 QKI719655:QKI719744 QAM719655:QAM719744 PQQ719655:PQQ719744 PGU719655:PGU719744 OWY719655:OWY719744 ONC719655:ONC719744 ODG719655:ODG719744 NTK719655:NTK719744 NJO719655:NJO719744 MZS719655:MZS719744 MPW719655:MPW719744 MGA719655:MGA719744 LWE719655:LWE719744 LMI719655:LMI719744 LCM719655:LCM719744 KSQ719655:KSQ719744 KIU719655:KIU719744 JYY719655:JYY719744 JPC719655:JPC719744 JFG719655:JFG719744 IVK719655:IVK719744 ILO719655:ILO719744 IBS719655:IBS719744 HRW719655:HRW719744 HIA719655:HIA719744 GYE719655:GYE719744 GOI719655:GOI719744 GEM719655:GEM719744 FUQ719655:FUQ719744 FKU719655:FKU719744 FAY719655:FAY719744 ERC719655:ERC719744 EHG719655:EHG719744 DXK719655:DXK719744 DNO719655:DNO719744 DDS719655:DDS719744 CTW719655:CTW719744 CKA719655:CKA719744 CAE719655:CAE719744 BQI719655:BQI719744 BGM719655:BGM719744 AWQ719655:AWQ719744 AMU719655:AMU719744 ACY719655:ACY719744 TC719655:TC719744 JG719655:JG719744 K719664:K719753 WVS654119:WVS654208 WLW654119:WLW654208 WCA654119:WCA654208 VSE654119:VSE654208 VII654119:VII654208 UYM654119:UYM654208 UOQ654119:UOQ654208 UEU654119:UEU654208 TUY654119:TUY654208 TLC654119:TLC654208 TBG654119:TBG654208 SRK654119:SRK654208 SHO654119:SHO654208 RXS654119:RXS654208 RNW654119:RNW654208 REA654119:REA654208 QUE654119:QUE654208 QKI654119:QKI654208 QAM654119:QAM654208 PQQ654119:PQQ654208 PGU654119:PGU654208 OWY654119:OWY654208 ONC654119:ONC654208 ODG654119:ODG654208 NTK654119:NTK654208 NJO654119:NJO654208 MZS654119:MZS654208 MPW654119:MPW654208 MGA654119:MGA654208 LWE654119:LWE654208 LMI654119:LMI654208 LCM654119:LCM654208 KSQ654119:KSQ654208 KIU654119:KIU654208 JYY654119:JYY654208 JPC654119:JPC654208 JFG654119:JFG654208 IVK654119:IVK654208 ILO654119:ILO654208 IBS654119:IBS654208 HRW654119:HRW654208 HIA654119:HIA654208 GYE654119:GYE654208 GOI654119:GOI654208 GEM654119:GEM654208 FUQ654119:FUQ654208 FKU654119:FKU654208 FAY654119:FAY654208 ERC654119:ERC654208 EHG654119:EHG654208 DXK654119:DXK654208 DNO654119:DNO654208 DDS654119:DDS654208 CTW654119:CTW654208 CKA654119:CKA654208 CAE654119:CAE654208 BQI654119:BQI654208 BGM654119:BGM654208 AWQ654119:AWQ654208 AMU654119:AMU654208 ACY654119:ACY654208 TC654119:TC654208 JG654119:JG654208 K654128:K654217 WVS588583:WVS588672 WLW588583:WLW588672 WCA588583:WCA588672 VSE588583:VSE588672 VII588583:VII588672 UYM588583:UYM588672 UOQ588583:UOQ588672 UEU588583:UEU588672 TUY588583:TUY588672 TLC588583:TLC588672 TBG588583:TBG588672 SRK588583:SRK588672 SHO588583:SHO588672 RXS588583:RXS588672 RNW588583:RNW588672 REA588583:REA588672 QUE588583:QUE588672 QKI588583:QKI588672 QAM588583:QAM588672 PQQ588583:PQQ588672 PGU588583:PGU588672 OWY588583:OWY588672 ONC588583:ONC588672 ODG588583:ODG588672 NTK588583:NTK588672 NJO588583:NJO588672 MZS588583:MZS588672 MPW588583:MPW588672 MGA588583:MGA588672 LWE588583:LWE588672 LMI588583:LMI588672 LCM588583:LCM588672 KSQ588583:KSQ588672 KIU588583:KIU588672 JYY588583:JYY588672 JPC588583:JPC588672 JFG588583:JFG588672 IVK588583:IVK588672 ILO588583:ILO588672 IBS588583:IBS588672 HRW588583:HRW588672 HIA588583:HIA588672 GYE588583:GYE588672 GOI588583:GOI588672 GEM588583:GEM588672 FUQ588583:FUQ588672 FKU588583:FKU588672 FAY588583:FAY588672 ERC588583:ERC588672 EHG588583:EHG588672 DXK588583:DXK588672 DNO588583:DNO588672 DDS588583:DDS588672 CTW588583:CTW588672 CKA588583:CKA588672 CAE588583:CAE588672 BQI588583:BQI588672 BGM588583:BGM588672 AWQ588583:AWQ588672 AMU588583:AMU588672 ACY588583:ACY588672 TC588583:TC588672 JG588583:JG588672 K588592:K588681 WVS523047:WVS523136 WLW523047:WLW523136 WCA523047:WCA523136 VSE523047:VSE523136 VII523047:VII523136 UYM523047:UYM523136 UOQ523047:UOQ523136 UEU523047:UEU523136 TUY523047:TUY523136 TLC523047:TLC523136 TBG523047:TBG523136 SRK523047:SRK523136 SHO523047:SHO523136 RXS523047:RXS523136 RNW523047:RNW523136 REA523047:REA523136 QUE523047:QUE523136 QKI523047:QKI523136 QAM523047:QAM523136 PQQ523047:PQQ523136 PGU523047:PGU523136 OWY523047:OWY523136 ONC523047:ONC523136 ODG523047:ODG523136 NTK523047:NTK523136 NJO523047:NJO523136 MZS523047:MZS523136 MPW523047:MPW523136 MGA523047:MGA523136 LWE523047:LWE523136 LMI523047:LMI523136 LCM523047:LCM523136 KSQ523047:KSQ523136 KIU523047:KIU523136 JYY523047:JYY523136 JPC523047:JPC523136 JFG523047:JFG523136 IVK523047:IVK523136 ILO523047:ILO523136 IBS523047:IBS523136 HRW523047:HRW523136 HIA523047:HIA523136 GYE523047:GYE523136 GOI523047:GOI523136 GEM523047:GEM523136 FUQ523047:FUQ523136 FKU523047:FKU523136 FAY523047:FAY523136 ERC523047:ERC523136 EHG523047:EHG523136 DXK523047:DXK523136 DNO523047:DNO523136 DDS523047:DDS523136 CTW523047:CTW523136 CKA523047:CKA523136 CAE523047:CAE523136 BQI523047:BQI523136 BGM523047:BGM523136 AWQ523047:AWQ523136 AMU523047:AMU523136 ACY523047:ACY523136 TC523047:TC523136 JG523047:JG523136 K523056:K523145 WVS457511:WVS457600 WLW457511:WLW457600 WCA457511:WCA457600 VSE457511:VSE457600 VII457511:VII457600 UYM457511:UYM457600 UOQ457511:UOQ457600 UEU457511:UEU457600 TUY457511:TUY457600 TLC457511:TLC457600 TBG457511:TBG457600 SRK457511:SRK457600 SHO457511:SHO457600 RXS457511:RXS457600 RNW457511:RNW457600 REA457511:REA457600 QUE457511:QUE457600 QKI457511:QKI457600 QAM457511:QAM457600 PQQ457511:PQQ457600 PGU457511:PGU457600 OWY457511:OWY457600 ONC457511:ONC457600 ODG457511:ODG457600 NTK457511:NTK457600 NJO457511:NJO457600 MZS457511:MZS457600 MPW457511:MPW457600 MGA457511:MGA457600 LWE457511:LWE457600 LMI457511:LMI457600 LCM457511:LCM457600 KSQ457511:KSQ457600 KIU457511:KIU457600 JYY457511:JYY457600 JPC457511:JPC457600 JFG457511:JFG457600 IVK457511:IVK457600 ILO457511:ILO457600 IBS457511:IBS457600 HRW457511:HRW457600 HIA457511:HIA457600 GYE457511:GYE457600 GOI457511:GOI457600 GEM457511:GEM457600 FUQ457511:FUQ457600 FKU457511:FKU457600 FAY457511:FAY457600 ERC457511:ERC457600 EHG457511:EHG457600 DXK457511:DXK457600 DNO457511:DNO457600 DDS457511:DDS457600 CTW457511:CTW457600 CKA457511:CKA457600 CAE457511:CAE457600 BQI457511:BQI457600 BGM457511:BGM457600 AWQ457511:AWQ457600 AMU457511:AMU457600 ACY457511:ACY457600 TC457511:TC457600 JG457511:JG457600 K457520:K457609 WVS391975:WVS392064 WLW391975:WLW392064 WCA391975:WCA392064 VSE391975:VSE392064 VII391975:VII392064 UYM391975:UYM392064 UOQ391975:UOQ392064 UEU391975:UEU392064 TUY391975:TUY392064 TLC391975:TLC392064 TBG391975:TBG392064 SRK391975:SRK392064 SHO391975:SHO392064 RXS391975:RXS392064 RNW391975:RNW392064 REA391975:REA392064 QUE391975:QUE392064 QKI391975:QKI392064 QAM391975:QAM392064 PQQ391975:PQQ392064 PGU391975:PGU392064 OWY391975:OWY392064 ONC391975:ONC392064 ODG391975:ODG392064 NTK391975:NTK392064 NJO391975:NJO392064 MZS391975:MZS392064 MPW391975:MPW392064 MGA391975:MGA392064 LWE391975:LWE392064 LMI391975:LMI392064 LCM391975:LCM392064 KSQ391975:KSQ392064 KIU391975:KIU392064 JYY391975:JYY392064 JPC391975:JPC392064 JFG391975:JFG392064 IVK391975:IVK392064 ILO391975:ILO392064 IBS391975:IBS392064 HRW391975:HRW392064 HIA391975:HIA392064 GYE391975:GYE392064 GOI391975:GOI392064 GEM391975:GEM392064 FUQ391975:FUQ392064 FKU391975:FKU392064 FAY391975:FAY392064 ERC391975:ERC392064 EHG391975:EHG392064 DXK391975:DXK392064 DNO391975:DNO392064 DDS391975:DDS392064 CTW391975:CTW392064 CKA391975:CKA392064 CAE391975:CAE392064 BQI391975:BQI392064 BGM391975:BGM392064 AWQ391975:AWQ392064 AMU391975:AMU392064 ACY391975:ACY392064 TC391975:TC392064 JG391975:JG392064 K391984:K392073 WVS326439:WVS326528 WLW326439:WLW326528 WCA326439:WCA326528 VSE326439:VSE326528 VII326439:VII326528 UYM326439:UYM326528 UOQ326439:UOQ326528 UEU326439:UEU326528 TUY326439:TUY326528 TLC326439:TLC326528 TBG326439:TBG326528 SRK326439:SRK326528 SHO326439:SHO326528 RXS326439:RXS326528 RNW326439:RNW326528 REA326439:REA326528 QUE326439:QUE326528 QKI326439:QKI326528 QAM326439:QAM326528 PQQ326439:PQQ326528 PGU326439:PGU326528 OWY326439:OWY326528 ONC326439:ONC326528 ODG326439:ODG326528 NTK326439:NTK326528 NJO326439:NJO326528 MZS326439:MZS326528 MPW326439:MPW326528 MGA326439:MGA326528 LWE326439:LWE326528 LMI326439:LMI326528 LCM326439:LCM326528 KSQ326439:KSQ326528 KIU326439:KIU326528 JYY326439:JYY326528 JPC326439:JPC326528 JFG326439:JFG326528 IVK326439:IVK326528 ILO326439:ILO326528 IBS326439:IBS326528 HRW326439:HRW326528 HIA326439:HIA326528 GYE326439:GYE326528 GOI326439:GOI326528 GEM326439:GEM326528 FUQ326439:FUQ326528 FKU326439:FKU326528 FAY326439:FAY326528 ERC326439:ERC326528 EHG326439:EHG326528 DXK326439:DXK326528 DNO326439:DNO326528 DDS326439:DDS326528 CTW326439:CTW326528 CKA326439:CKA326528 CAE326439:CAE326528 BQI326439:BQI326528 BGM326439:BGM326528 AWQ326439:AWQ326528 AMU326439:AMU326528 ACY326439:ACY326528 TC326439:TC326528 JG326439:JG326528 K326448:K326537 WVS260903:WVS260992 WLW260903:WLW260992 WCA260903:WCA260992 VSE260903:VSE260992 VII260903:VII260992 UYM260903:UYM260992 UOQ260903:UOQ260992 UEU260903:UEU260992 TUY260903:TUY260992 TLC260903:TLC260992 TBG260903:TBG260992 SRK260903:SRK260992 SHO260903:SHO260992 RXS260903:RXS260992 RNW260903:RNW260992 REA260903:REA260992 QUE260903:QUE260992 QKI260903:QKI260992 QAM260903:QAM260992 PQQ260903:PQQ260992 PGU260903:PGU260992 OWY260903:OWY260992 ONC260903:ONC260992 ODG260903:ODG260992 NTK260903:NTK260992 NJO260903:NJO260992 MZS260903:MZS260992 MPW260903:MPW260992 MGA260903:MGA260992 LWE260903:LWE260992 LMI260903:LMI260992 LCM260903:LCM260992 KSQ260903:KSQ260992 KIU260903:KIU260992 JYY260903:JYY260992 JPC260903:JPC260992 JFG260903:JFG260992 IVK260903:IVK260992 ILO260903:ILO260992 IBS260903:IBS260992 HRW260903:HRW260992 HIA260903:HIA260992 GYE260903:GYE260992 GOI260903:GOI260992 GEM260903:GEM260992 FUQ260903:FUQ260992 FKU260903:FKU260992 FAY260903:FAY260992 ERC260903:ERC260992 EHG260903:EHG260992 DXK260903:DXK260992 DNO260903:DNO260992 DDS260903:DDS260992 CTW260903:CTW260992 CKA260903:CKA260992 CAE260903:CAE260992 BQI260903:BQI260992 BGM260903:BGM260992 AWQ260903:AWQ260992 AMU260903:AMU260992 ACY260903:ACY260992 TC260903:TC260992 JG260903:JG260992 K260912:K261001 WVS195367:WVS195456 WLW195367:WLW195456 WCA195367:WCA195456 VSE195367:VSE195456 VII195367:VII195456 UYM195367:UYM195456 UOQ195367:UOQ195456 UEU195367:UEU195456 TUY195367:TUY195456 TLC195367:TLC195456 TBG195367:TBG195456 SRK195367:SRK195456 SHO195367:SHO195456 RXS195367:RXS195456 RNW195367:RNW195456 REA195367:REA195456 QUE195367:QUE195456 QKI195367:QKI195456 QAM195367:QAM195456 PQQ195367:PQQ195456 PGU195367:PGU195456 OWY195367:OWY195456 ONC195367:ONC195456 ODG195367:ODG195456 NTK195367:NTK195456 NJO195367:NJO195456 MZS195367:MZS195456 MPW195367:MPW195456 MGA195367:MGA195456 LWE195367:LWE195456 LMI195367:LMI195456 LCM195367:LCM195456 KSQ195367:KSQ195456 KIU195367:KIU195456 JYY195367:JYY195456 JPC195367:JPC195456 JFG195367:JFG195456 IVK195367:IVK195456 ILO195367:ILO195456 IBS195367:IBS195456 HRW195367:HRW195456 HIA195367:HIA195456 GYE195367:GYE195456 GOI195367:GOI195456 GEM195367:GEM195456 FUQ195367:FUQ195456 FKU195367:FKU195456 FAY195367:FAY195456 ERC195367:ERC195456 EHG195367:EHG195456 DXK195367:DXK195456 DNO195367:DNO195456 DDS195367:DDS195456 CTW195367:CTW195456 CKA195367:CKA195456 CAE195367:CAE195456 BQI195367:BQI195456 BGM195367:BGM195456 AWQ195367:AWQ195456 AMU195367:AMU195456 ACY195367:ACY195456 TC195367:TC195456 JG195367:JG195456 K195376:K195465 WVS129831:WVS129920 WLW129831:WLW129920 WCA129831:WCA129920 VSE129831:VSE129920 VII129831:VII129920 UYM129831:UYM129920 UOQ129831:UOQ129920 UEU129831:UEU129920 TUY129831:TUY129920 TLC129831:TLC129920 TBG129831:TBG129920 SRK129831:SRK129920 SHO129831:SHO129920 RXS129831:RXS129920 RNW129831:RNW129920 REA129831:REA129920 QUE129831:QUE129920 QKI129831:QKI129920 QAM129831:QAM129920 PQQ129831:PQQ129920 PGU129831:PGU129920 OWY129831:OWY129920 ONC129831:ONC129920 ODG129831:ODG129920 NTK129831:NTK129920 NJO129831:NJO129920 MZS129831:MZS129920 MPW129831:MPW129920 MGA129831:MGA129920 LWE129831:LWE129920 LMI129831:LMI129920 LCM129831:LCM129920 KSQ129831:KSQ129920 KIU129831:KIU129920 JYY129831:JYY129920 JPC129831:JPC129920 JFG129831:JFG129920 IVK129831:IVK129920 ILO129831:ILO129920 IBS129831:IBS129920 HRW129831:HRW129920 HIA129831:HIA129920 GYE129831:GYE129920 GOI129831:GOI129920 GEM129831:GEM129920 FUQ129831:FUQ129920 FKU129831:FKU129920 FAY129831:FAY129920 ERC129831:ERC129920 EHG129831:EHG129920 DXK129831:DXK129920 DNO129831:DNO129920 DDS129831:DDS129920 CTW129831:CTW129920 CKA129831:CKA129920 CAE129831:CAE129920 BQI129831:BQI129920 BGM129831:BGM129920 AWQ129831:AWQ129920 AMU129831:AMU129920 ACY129831:ACY129920 TC129831:TC129920 JG129831:JG129920 K129840:K129929 WVS64295:WVS64384 WLW64295:WLW64384 WCA64295:WCA64384 VSE64295:VSE64384 VII64295:VII64384 UYM64295:UYM64384 UOQ64295:UOQ64384 UEU64295:UEU64384 TUY64295:TUY64384 TLC64295:TLC64384 TBG64295:TBG64384 SRK64295:SRK64384 SHO64295:SHO64384 RXS64295:RXS64384 RNW64295:RNW64384 REA64295:REA64384 QUE64295:QUE64384 QKI64295:QKI64384 QAM64295:QAM64384 PQQ64295:PQQ64384 PGU64295:PGU64384 OWY64295:OWY64384 ONC64295:ONC64384 ODG64295:ODG64384 NTK64295:NTK64384 NJO64295:NJO64384 MZS64295:MZS64384 MPW64295:MPW64384 MGA64295:MGA64384 LWE64295:LWE64384 LMI64295:LMI64384 LCM64295:LCM64384 KSQ64295:KSQ64384 KIU64295:KIU64384 JYY64295:JYY64384 JPC64295:JPC64384 JFG64295:JFG64384 IVK64295:IVK64384 ILO64295:ILO64384 IBS64295:IBS64384 HRW64295:HRW64384 HIA64295:HIA64384 GYE64295:GYE64384 GOI64295:GOI64384 GEM64295:GEM64384 FUQ64295:FUQ64384 FKU64295:FKU64384 FAY64295:FAY64384 ERC64295:ERC64384 EHG64295:EHG64384 DXK64295:DXK64384 DNO64295:DNO64384 DDS64295:DDS64384 CTW64295:CTW64384 CKA64295:CKA64384 CAE64295:CAE64384 BQI64295:BQI64384 BGM64295:BGM64384 AWQ64295:AWQ64384 AMU64295:AMU64384 ACY64295:ACY64384 TC64295:TC64384 JG64295:JG64384 K64304:K64393 JG2:JG67 TC2:TC67 ACY2:ACY67 AMU2:AMU67 AWQ2:AWQ67 BGM2:BGM67 BQI2:BQI67 CAE2:CAE67 CKA2:CKA67 CTW2:CTW67 DDS2:DDS67 DNO2:DNO67 DXK2:DXK67 EHG2:EHG67 ERC2:ERC67 FAY2:FAY67 FKU2:FKU67 FUQ2:FUQ67 GEM2:GEM67 GOI2:GOI67 GYE2:GYE67 HIA2:HIA67 HRW2:HRW67 IBS2:IBS67 ILO2:ILO67 IVK2:IVK67 JFG2:JFG67 JPC2:JPC67 JYY2:JYY67 KIU2:KIU67 KSQ2:KSQ67 LCM2:LCM67 LMI2:LMI67 LWE2:LWE67 MGA2:MGA67 MPW2:MPW67 MZS2:MZS67 NJO2:NJO67 NTK2:NTK67 ODG2:ODG67 ONC2:ONC67 OWY2:OWY67 PGU2:PGU67 PQQ2:PQQ67 QAM2:QAM67 QKI2:QKI67 QUE2:QUE67 REA2:REA67 RNW2:RNW67 RXS2:RXS67 SHO2:SHO67 SRK2:SRK67 TBG2:TBG67 TLC2:TLC67 TUY2:TUY67 UEU2:UEU67 UOQ2:UOQ67 UYM2:UYM67 VII2:VII67 VSE2:VSE67 WCA2:WCA67 WLW2:WLW67 WVS2:WVS67" xr:uid="{1FA30616-D3B8-4496-98F3-B13FE1EEFB4B}">
      <formula1>$AR$2:$AR$24</formula1>
    </dataValidation>
    <dataValidation type="list" allowBlank="1" showInputMessage="1" showErrorMessage="1" sqref="WVR981799:WVR981888 WLV981799:WLV981888 WBZ981799:WBZ981888 VSD981799:VSD981888 VIH981799:VIH981888 UYL981799:UYL981888 UOP981799:UOP981888 UET981799:UET981888 TUX981799:TUX981888 TLB981799:TLB981888 TBF981799:TBF981888 SRJ981799:SRJ981888 SHN981799:SHN981888 RXR981799:RXR981888 RNV981799:RNV981888 RDZ981799:RDZ981888 QUD981799:QUD981888 QKH981799:QKH981888 QAL981799:QAL981888 PQP981799:PQP981888 PGT981799:PGT981888 OWX981799:OWX981888 ONB981799:ONB981888 ODF981799:ODF981888 NTJ981799:NTJ981888 NJN981799:NJN981888 MZR981799:MZR981888 MPV981799:MPV981888 MFZ981799:MFZ981888 LWD981799:LWD981888 LMH981799:LMH981888 LCL981799:LCL981888 KSP981799:KSP981888 KIT981799:KIT981888 JYX981799:JYX981888 JPB981799:JPB981888 JFF981799:JFF981888 IVJ981799:IVJ981888 ILN981799:ILN981888 IBR981799:IBR981888 HRV981799:HRV981888 HHZ981799:HHZ981888 GYD981799:GYD981888 GOH981799:GOH981888 GEL981799:GEL981888 FUP981799:FUP981888 FKT981799:FKT981888 FAX981799:FAX981888 ERB981799:ERB981888 EHF981799:EHF981888 DXJ981799:DXJ981888 DNN981799:DNN981888 DDR981799:DDR981888 CTV981799:CTV981888 CJZ981799:CJZ981888 CAD981799:CAD981888 BQH981799:BQH981888 BGL981799:BGL981888 AWP981799:AWP981888 AMT981799:AMT981888 ACX981799:ACX981888 TB981799:TB981888 JF981799:JF981888 J981808:J981897 WVR916263:WVR916352 WLV916263:WLV916352 WBZ916263:WBZ916352 VSD916263:VSD916352 VIH916263:VIH916352 UYL916263:UYL916352 UOP916263:UOP916352 UET916263:UET916352 TUX916263:TUX916352 TLB916263:TLB916352 TBF916263:TBF916352 SRJ916263:SRJ916352 SHN916263:SHN916352 RXR916263:RXR916352 RNV916263:RNV916352 RDZ916263:RDZ916352 QUD916263:QUD916352 QKH916263:QKH916352 QAL916263:QAL916352 PQP916263:PQP916352 PGT916263:PGT916352 OWX916263:OWX916352 ONB916263:ONB916352 ODF916263:ODF916352 NTJ916263:NTJ916352 NJN916263:NJN916352 MZR916263:MZR916352 MPV916263:MPV916352 MFZ916263:MFZ916352 LWD916263:LWD916352 LMH916263:LMH916352 LCL916263:LCL916352 KSP916263:KSP916352 KIT916263:KIT916352 JYX916263:JYX916352 JPB916263:JPB916352 JFF916263:JFF916352 IVJ916263:IVJ916352 ILN916263:ILN916352 IBR916263:IBR916352 HRV916263:HRV916352 HHZ916263:HHZ916352 GYD916263:GYD916352 GOH916263:GOH916352 GEL916263:GEL916352 FUP916263:FUP916352 FKT916263:FKT916352 FAX916263:FAX916352 ERB916263:ERB916352 EHF916263:EHF916352 DXJ916263:DXJ916352 DNN916263:DNN916352 DDR916263:DDR916352 CTV916263:CTV916352 CJZ916263:CJZ916352 CAD916263:CAD916352 BQH916263:BQH916352 BGL916263:BGL916352 AWP916263:AWP916352 AMT916263:AMT916352 ACX916263:ACX916352 TB916263:TB916352 JF916263:JF916352 J916272:J916361 WVR850727:WVR850816 WLV850727:WLV850816 WBZ850727:WBZ850816 VSD850727:VSD850816 VIH850727:VIH850816 UYL850727:UYL850816 UOP850727:UOP850816 UET850727:UET850816 TUX850727:TUX850816 TLB850727:TLB850816 TBF850727:TBF850816 SRJ850727:SRJ850816 SHN850727:SHN850816 RXR850727:RXR850816 RNV850727:RNV850816 RDZ850727:RDZ850816 QUD850727:QUD850816 QKH850727:QKH850816 QAL850727:QAL850816 PQP850727:PQP850816 PGT850727:PGT850816 OWX850727:OWX850816 ONB850727:ONB850816 ODF850727:ODF850816 NTJ850727:NTJ850816 NJN850727:NJN850816 MZR850727:MZR850816 MPV850727:MPV850816 MFZ850727:MFZ850816 LWD850727:LWD850816 LMH850727:LMH850816 LCL850727:LCL850816 KSP850727:KSP850816 KIT850727:KIT850816 JYX850727:JYX850816 JPB850727:JPB850816 JFF850727:JFF850816 IVJ850727:IVJ850816 ILN850727:ILN850816 IBR850727:IBR850816 HRV850727:HRV850816 HHZ850727:HHZ850816 GYD850727:GYD850816 GOH850727:GOH850816 GEL850727:GEL850816 FUP850727:FUP850816 FKT850727:FKT850816 FAX850727:FAX850816 ERB850727:ERB850816 EHF850727:EHF850816 DXJ850727:DXJ850816 DNN850727:DNN850816 DDR850727:DDR850816 CTV850727:CTV850816 CJZ850727:CJZ850816 CAD850727:CAD850816 BQH850727:BQH850816 BGL850727:BGL850816 AWP850727:AWP850816 AMT850727:AMT850816 ACX850727:ACX850816 TB850727:TB850816 JF850727:JF850816 J850736:J850825 WVR785191:WVR785280 WLV785191:WLV785280 WBZ785191:WBZ785280 VSD785191:VSD785280 VIH785191:VIH785280 UYL785191:UYL785280 UOP785191:UOP785280 UET785191:UET785280 TUX785191:TUX785280 TLB785191:TLB785280 TBF785191:TBF785280 SRJ785191:SRJ785280 SHN785191:SHN785280 RXR785191:RXR785280 RNV785191:RNV785280 RDZ785191:RDZ785280 QUD785191:QUD785280 QKH785191:QKH785280 QAL785191:QAL785280 PQP785191:PQP785280 PGT785191:PGT785280 OWX785191:OWX785280 ONB785191:ONB785280 ODF785191:ODF785280 NTJ785191:NTJ785280 NJN785191:NJN785280 MZR785191:MZR785280 MPV785191:MPV785280 MFZ785191:MFZ785280 LWD785191:LWD785280 LMH785191:LMH785280 LCL785191:LCL785280 KSP785191:KSP785280 KIT785191:KIT785280 JYX785191:JYX785280 JPB785191:JPB785280 JFF785191:JFF785280 IVJ785191:IVJ785280 ILN785191:ILN785280 IBR785191:IBR785280 HRV785191:HRV785280 HHZ785191:HHZ785280 GYD785191:GYD785280 GOH785191:GOH785280 GEL785191:GEL785280 FUP785191:FUP785280 FKT785191:FKT785280 FAX785191:FAX785280 ERB785191:ERB785280 EHF785191:EHF785280 DXJ785191:DXJ785280 DNN785191:DNN785280 DDR785191:DDR785280 CTV785191:CTV785280 CJZ785191:CJZ785280 CAD785191:CAD785280 BQH785191:BQH785280 BGL785191:BGL785280 AWP785191:AWP785280 AMT785191:AMT785280 ACX785191:ACX785280 TB785191:TB785280 JF785191:JF785280 J785200:J785289 WVR719655:WVR719744 WLV719655:WLV719744 WBZ719655:WBZ719744 VSD719655:VSD719744 VIH719655:VIH719744 UYL719655:UYL719744 UOP719655:UOP719744 UET719655:UET719744 TUX719655:TUX719744 TLB719655:TLB719744 TBF719655:TBF719744 SRJ719655:SRJ719744 SHN719655:SHN719744 RXR719655:RXR719744 RNV719655:RNV719744 RDZ719655:RDZ719744 QUD719655:QUD719744 QKH719655:QKH719744 QAL719655:QAL719744 PQP719655:PQP719744 PGT719655:PGT719744 OWX719655:OWX719744 ONB719655:ONB719744 ODF719655:ODF719744 NTJ719655:NTJ719744 NJN719655:NJN719744 MZR719655:MZR719744 MPV719655:MPV719744 MFZ719655:MFZ719744 LWD719655:LWD719744 LMH719655:LMH719744 LCL719655:LCL719744 KSP719655:KSP719744 KIT719655:KIT719744 JYX719655:JYX719744 JPB719655:JPB719744 JFF719655:JFF719744 IVJ719655:IVJ719744 ILN719655:ILN719744 IBR719655:IBR719744 HRV719655:HRV719744 HHZ719655:HHZ719744 GYD719655:GYD719744 GOH719655:GOH719744 GEL719655:GEL719744 FUP719655:FUP719744 FKT719655:FKT719744 FAX719655:FAX719744 ERB719655:ERB719744 EHF719655:EHF719744 DXJ719655:DXJ719744 DNN719655:DNN719744 DDR719655:DDR719744 CTV719655:CTV719744 CJZ719655:CJZ719744 CAD719655:CAD719744 BQH719655:BQH719744 BGL719655:BGL719744 AWP719655:AWP719744 AMT719655:AMT719744 ACX719655:ACX719744 TB719655:TB719744 JF719655:JF719744 J719664:J719753 WVR654119:WVR654208 WLV654119:WLV654208 WBZ654119:WBZ654208 VSD654119:VSD654208 VIH654119:VIH654208 UYL654119:UYL654208 UOP654119:UOP654208 UET654119:UET654208 TUX654119:TUX654208 TLB654119:TLB654208 TBF654119:TBF654208 SRJ654119:SRJ654208 SHN654119:SHN654208 RXR654119:RXR654208 RNV654119:RNV654208 RDZ654119:RDZ654208 QUD654119:QUD654208 QKH654119:QKH654208 QAL654119:QAL654208 PQP654119:PQP654208 PGT654119:PGT654208 OWX654119:OWX654208 ONB654119:ONB654208 ODF654119:ODF654208 NTJ654119:NTJ654208 NJN654119:NJN654208 MZR654119:MZR654208 MPV654119:MPV654208 MFZ654119:MFZ654208 LWD654119:LWD654208 LMH654119:LMH654208 LCL654119:LCL654208 KSP654119:KSP654208 KIT654119:KIT654208 JYX654119:JYX654208 JPB654119:JPB654208 JFF654119:JFF654208 IVJ654119:IVJ654208 ILN654119:ILN654208 IBR654119:IBR654208 HRV654119:HRV654208 HHZ654119:HHZ654208 GYD654119:GYD654208 GOH654119:GOH654208 GEL654119:GEL654208 FUP654119:FUP654208 FKT654119:FKT654208 FAX654119:FAX654208 ERB654119:ERB654208 EHF654119:EHF654208 DXJ654119:DXJ654208 DNN654119:DNN654208 DDR654119:DDR654208 CTV654119:CTV654208 CJZ654119:CJZ654208 CAD654119:CAD654208 BQH654119:BQH654208 BGL654119:BGL654208 AWP654119:AWP654208 AMT654119:AMT654208 ACX654119:ACX654208 TB654119:TB654208 JF654119:JF654208 J654128:J654217 WVR588583:WVR588672 WLV588583:WLV588672 WBZ588583:WBZ588672 VSD588583:VSD588672 VIH588583:VIH588672 UYL588583:UYL588672 UOP588583:UOP588672 UET588583:UET588672 TUX588583:TUX588672 TLB588583:TLB588672 TBF588583:TBF588672 SRJ588583:SRJ588672 SHN588583:SHN588672 RXR588583:RXR588672 RNV588583:RNV588672 RDZ588583:RDZ588672 QUD588583:QUD588672 QKH588583:QKH588672 QAL588583:QAL588672 PQP588583:PQP588672 PGT588583:PGT588672 OWX588583:OWX588672 ONB588583:ONB588672 ODF588583:ODF588672 NTJ588583:NTJ588672 NJN588583:NJN588672 MZR588583:MZR588672 MPV588583:MPV588672 MFZ588583:MFZ588672 LWD588583:LWD588672 LMH588583:LMH588672 LCL588583:LCL588672 KSP588583:KSP588672 KIT588583:KIT588672 JYX588583:JYX588672 JPB588583:JPB588672 JFF588583:JFF588672 IVJ588583:IVJ588672 ILN588583:ILN588672 IBR588583:IBR588672 HRV588583:HRV588672 HHZ588583:HHZ588672 GYD588583:GYD588672 GOH588583:GOH588672 GEL588583:GEL588672 FUP588583:FUP588672 FKT588583:FKT588672 FAX588583:FAX588672 ERB588583:ERB588672 EHF588583:EHF588672 DXJ588583:DXJ588672 DNN588583:DNN588672 DDR588583:DDR588672 CTV588583:CTV588672 CJZ588583:CJZ588672 CAD588583:CAD588672 BQH588583:BQH588672 BGL588583:BGL588672 AWP588583:AWP588672 AMT588583:AMT588672 ACX588583:ACX588672 TB588583:TB588672 JF588583:JF588672 J588592:J588681 WVR523047:WVR523136 WLV523047:WLV523136 WBZ523047:WBZ523136 VSD523047:VSD523136 VIH523047:VIH523136 UYL523047:UYL523136 UOP523047:UOP523136 UET523047:UET523136 TUX523047:TUX523136 TLB523047:TLB523136 TBF523047:TBF523136 SRJ523047:SRJ523136 SHN523047:SHN523136 RXR523047:RXR523136 RNV523047:RNV523136 RDZ523047:RDZ523136 QUD523047:QUD523136 QKH523047:QKH523136 QAL523047:QAL523136 PQP523047:PQP523136 PGT523047:PGT523136 OWX523047:OWX523136 ONB523047:ONB523136 ODF523047:ODF523136 NTJ523047:NTJ523136 NJN523047:NJN523136 MZR523047:MZR523136 MPV523047:MPV523136 MFZ523047:MFZ523136 LWD523047:LWD523136 LMH523047:LMH523136 LCL523047:LCL523136 KSP523047:KSP523136 KIT523047:KIT523136 JYX523047:JYX523136 JPB523047:JPB523136 JFF523047:JFF523136 IVJ523047:IVJ523136 ILN523047:ILN523136 IBR523047:IBR523136 HRV523047:HRV523136 HHZ523047:HHZ523136 GYD523047:GYD523136 GOH523047:GOH523136 GEL523047:GEL523136 FUP523047:FUP523136 FKT523047:FKT523136 FAX523047:FAX523136 ERB523047:ERB523136 EHF523047:EHF523136 DXJ523047:DXJ523136 DNN523047:DNN523136 DDR523047:DDR523136 CTV523047:CTV523136 CJZ523047:CJZ523136 CAD523047:CAD523136 BQH523047:BQH523136 BGL523047:BGL523136 AWP523047:AWP523136 AMT523047:AMT523136 ACX523047:ACX523136 TB523047:TB523136 JF523047:JF523136 J523056:J523145 WVR457511:WVR457600 WLV457511:WLV457600 WBZ457511:WBZ457600 VSD457511:VSD457600 VIH457511:VIH457600 UYL457511:UYL457600 UOP457511:UOP457600 UET457511:UET457600 TUX457511:TUX457600 TLB457511:TLB457600 TBF457511:TBF457600 SRJ457511:SRJ457600 SHN457511:SHN457600 RXR457511:RXR457600 RNV457511:RNV457600 RDZ457511:RDZ457600 QUD457511:QUD457600 QKH457511:QKH457600 QAL457511:QAL457600 PQP457511:PQP457600 PGT457511:PGT457600 OWX457511:OWX457600 ONB457511:ONB457600 ODF457511:ODF457600 NTJ457511:NTJ457600 NJN457511:NJN457600 MZR457511:MZR457600 MPV457511:MPV457600 MFZ457511:MFZ457600 LWD457511:LWD457600 LMH457511:LMH457600 LCL457511:LCL457600 KSP457511:KSP457600 KIT457511:KIT457600 JYX457511:JYX457600 JPB457511:JPB457600 JFF457511:JFF457600 IVJ457511:IVJ457600 ILN457511:ILN457600 IBR457511:IBR457600 HRV457511:HRV457600 HHZ457511:HHZ457600 GYD457511:GYD457600 GOH457511:GOH457600 GEL457511:GEL457600 FUP457511:FUP457600 FKT457511:FKT457600 FAX457511:FAX457600 ERB457511:ERB457600 EHF457511:EHF457600 DXJ457511:DXJ457600 DNN457511:DNN457600 DDR457511:DDR457600 CTV457511:CTV457600 CJZ457511:CJZ457600 CAD457511:CAD457600 BQH457511:BQH457600 BGL457511:BGL457600 AWP457511:AWP457600 AMT457511:AMT457600 ACX457511:ACX457600 TB457511:TB457600 JF457511:JF457600 J457520:J457609 WVR391975:WVR392064 WLV391975:WLV392064 WBZ391975:WBZ392064 VSD391975:VSD392064 VIH391975:VIH392064 UYL391975:UYL392064 UOP391975:UOP392064 UET391975:UET392064 TUX391975:TUX392064 TLB391975:TLB392064 TBF391975:TBF392064 SRJ391975:SRJ392064 SHN391975:SHN392064 RXR391975:RXR392064 RNV391975:RNV392064 RDZ391975:RDZ392064 QUD391975:QUD392064 QKH391975:QKH392064 QAL391975:QAL392064 PQP391975:PQP392064 PGT391975:PGT392064 OWX391975:OWX392064 ONB391975:ONB392064 ODF391975:ODF392064 NTJ391975:NTJ392064 NJN391975:NJN392064 MZR391975:MZR392064 MPV391975:MPV392064 MFZ391975:MFZ392064 LWD391975:LWD392064 LMH391975:LMH392064 LCL391975:LCL392064 KSP391975:KSP392064 KIT391975:KIT392064 JYX391975:JYX392064 JPB391975:JPB392064 JFF391975:JFF392064 IVJ391975:IVJ392064 ILN391975:ILN392064 IBR391975:IBR392064 HRV391975:HRV392064 HHZ391975:HHZ392064 GYD391975:GYD392064 GOH391975:GOH392064 GEL391975:GEL392064 FUP391975:FUP392064 FKT391975:FKT392064 FAX391975:FAX392064 ERB391975:ERB392064 EHF391975:EHF392064 DXJ391975:DXJ392064 DNN391975:DNN392064 DDR391975:DDR392064 CTV391975:CTV392064 CJZ391975:CJZ392064 CAD391975:CAD392064 BQH391975:BQH392064 BGL391975:BGL392064 AWP391975:AWP392064 AMT391975:AMT392064 ACX391975:ACX392064 TB391975:TB392064 JF391975:JF392064 J391984:J392073 WVR326439:WVR326528 WLV326439:WLV326528 WBZ326439:WBZ326528 VSD326439:VSD326528 VIH326439:VIH326528 UYL326439:UYL326528 UOP326439:UOP326528 UET326439:UET326528 TUX326439:TUX326528 TLB326439:TLB326528 TBF326439:TBF326528 SRJ326439:SRJ326528 SHN326439:SHN326528 RXR326439:RXR326528 RNV326439:RNV326528 RDZ326439:RDZ326528 QUD326439:QUD326528 QKH326439:QKH326528 QAL326439:QAL326528 PQP326439:PQP326528 PGT326439:PGT326528 OWX326439:OWX326528 ONB326439:ONB326528 ODF326439:ODF326528 NTJ326439:NTJ326528 NJN326439:NJN326528 MZR326439:MZR326528 MPV326439:MPV326528 MFZ326439:MFZ326528 LWD326439:LWD326528 LMH326439:LMH326528 LCL326439:LCL326528 KSP326439:KSP326528 KIT326439:KIT326528 JYX326439:JYX326528 JPB326439:JPB326528 JFF326439:JFF326528 IVJ326439:IVJ326528 ILN326439:ILN326528 IBR326439:IBR326528 HRV326439:HRV326528 HHZ326439:HHZ326528 GYD326439:GYD326528 GOH326439:GOH326528 GEL326439:GEL326528 FUP326439:FUP326528 FKT326439:FKT326528 FAX326439:FAX326528 ERB326439:ERB326528 EHF326439:EHF326528 DXJ326439:DXJ326528 DNN326439:DNN326528 DDR326439:DDR326528 CTV326439:CTV326528 CJZ326439:CJZ326528 CAD326439:CAD326528 BQH326439:BQH326528 BGL326439:BGL326528 AWP326439:AWP326528 AMT326439:AMT326528 ACX326439:ACX326528 TB326439:TB326528 JF326439:JF326528 J326448:J326537 WVR260903:WVR260992 WLV260903:WLV260992 WBZ260903:WBZ260992 VSD260903:VSD260992 VIH260903:VIH260992 UYL260903:UYL260992 UOP260903:UOP260992 UET260903:UET260992 TUX260903:TUX260992 TLB260903:TLB260992 TBF260903:TBF260992 SRJ260903:SRJ260992 SHN260903:SHN260992 RXR260903:RXR260992 RNV260903:RNV260992 RDZ260903:RDZ260992 QUD260903:QUD260992 QKH260903:QKH260992 QAL260903:QAL260992 PQP260903:PQP260992 PGT260903:PGT260992 OWX260903:OWX260992 ONB260903:ONB260992 ODF260903:ODF260992 NTJ260903:NTJ260992 NJN260903:NJN260992 MZR260903:MZR260992 MPV260903:MPV260992 MFZ260903:MFZ260992 LWD260903:LWD260992 LMH260903:LMH260992 LCL260903:LCL260992 KSP260903:KSP260992 KIT260903:KIT260992 JYX260903:JYX260992 JPB260903:JPB260992 JFF260903:JFF260992 IVJ260903:IVJ260992 ILN260903:ILN260992 IBR260903:IBR260992 HRV260903:HRV260992 HHZ260903:HHZ260992 GYD260903:GYD260992 GOH260903:GOH260992 GEL260903:GEL260992 FUP260903:FUP260992 FKT260903:FKT260992 FAX260903:FAX260992 ERB260903:ERB260992 EHF260903:EHF260992 DXJ260903:DXJ260992 DNN260903:DNN260992 DDR260903:DDR260992 CTV260903:CTV260992 CJZ260903:CJZ260992 CAD260903:CAD260992 BQH260903:BQH260992 BGL260903:BGL260992 AWP260903:AWP260992 AMT260903:AMT260992 ACX260903:ACX260992 TB260903:TB260992 JF260903:JF260992 J260912:J261001 WVR195367:WVR195456 WLV195367:WLV195456 WBZ195367:WBZ195456 VSD195367:VSD195456 VIH195367:VIH195456 UYL195367:UYL195456 UOP195367:UOP195456 UET195367:UET195456 TUX195367:TUX195456 TLB195367:TLB195456 TBF195367:TBF195456 SRJ195367:SRJ195456 SHN195367:SHN195456 RXR195367:RXR195456 RNV195367:RNV195456 RDZ195367:RDZ195456 QUD195367:QUD195456 QKH195367:QKH195456 QAL195367:QAL195456 PQP195367:PQP195456 PGT195367:PGT195456 OWX195367:OWX195456 ONB195367:ONB195456 ODF195367:ODF195456 NTJ195367:NTJ195456 NJN195367:NJN195456 MZR195367:MZR195456 MPV195367:MPV195456 MFZ195367:MFZ195456 LWD195367:LWD195456 LMH195367:LMH195456 LCL195367:LCL195456 KSP195367:KSP195456 KIT195367:KIT195456 JYX195367:JYX195456 JPB195367:JPB195456 JFF195367:JFF195456 IVJ195367:IVJ195456 ILN195367:ILN195456 IBR195367:IBR195456 HRV195367:HRV195456 HHZ195367:HHZ195456 GYD195367:GYD195456 GOH195367:GOH195456 GEL195367:GEL195456 FUP195367:FUP195456 FKT195367:FKT195456 FAX195367:FAX195456 ERB195367:ERB195456 EHF195367:EHF195456 DXJ195367:DXJ195456 DNN195367:DNN195456 DDR195367:DDR195456 CTV195367:CTV195456 CJZ195367:CJZ195456 CAD195367:CAD195456 BQH195367:BQH195456 BGL195367:BGL195456 AWP195367:AWP195456 AMT195367:AMT195456 ACX195367:ACX195456 TB195367:TB195456 JF195367:JF195456 J195376:J195465 WVR129831:WVR129920 WLV129831:WLV129920 WBZ129831:WBZ129920 VSD129831:VSD129920 VIH129831:VIH129920 UYL129831:UYL129920 UOP129831:UOP129920 UET129831:UET129920 TUX129831:TUX129920 TLB129831:TLB129920 TBF129831:TBF129920 SRJ129831:SRJ129920 SHN129831:SHN129920 RXR129831:RXR129920 RNV129831:RNV129920 RDZ129831:RDZ129920 QUD129831:QUD129920 QKH129831:QKH129920 QAL129831:QAL129920 PQP129831:PQP129920 PGT129831:PGT129920 OWX129831:OWX129920 ONB129831:ONB129920 ODF129831:ODF129920 NTJ129831:NTJ129920 NJN129831:NJN129920 MZR129831:MZR129920 MPV129831:MPV129920 MFZ129831:MFZ129920 LWD129831:LWD129920 LMH129831:LMH129920 LCL129831:LCL129920 KSP129831:KSP129920 KIT129831:KIT129920 JYX129831:JYX129920 JPB129831:JPB129920 JFF129831:JFF129920 IVJ129831:IVJ129920 ILN129831:ILN129920 IBR129831:IBR129920 HRV129831:HRV129920 HHZ129831:HHZ129920 GYD129831:GYD129920 GOH129831:GOH129920 GEL129831:GEL129920 FUP129831:FUP129920 FKT129831:FKT129920 FAX129831:FAX129920 ERB129831:ERB129920 EHF129831:EHF129920 DXJ129831:DXJ129920 DNN129831:DNN129920 DDR129831:DDR129920 CTV129831:CTV129920 CJZ129831:CJZ129920 CAD129831:CAD129920 BQH129831:BQH129920 BGL129831:BGL129920 AWP129831:AWP129920 AMT129831:AMT129920 ACX129831:ACX129920 TB129831:TB129920 JF129831:JF129920 J129840:J129929 WVR64295:WVR64384 WLV64295:WLV64384 WBZ64295:WBZ64384 VSD64295:VSD64384 VIH64295:VIH64384 UYL64295:UYL64384 UOP64295:UOP64384 UET64295:UET64384 TUX64295:TUX64384 TLB64295:TLB64384 TBF64295:TBF64384 SRJ64295:SRJ64384 SHN64295:SHN64384 RXR64295:RXR64384 RNV64295:RNV64384 RDZ64295:RDZ64384 QUD64295:QUD64384 QKH64295:QKH64384 QAL64295:QAL64384 PQP64295:PQP64384 PGT64295:PGT64384 OWX64295:OWX64384 ONB64295:ONB64384 ODF64295:ODF64384 NTJ64295:NTJ64384 NJN64295:NJN64384 MZR64295:MZR64384 MPV64295:MPV64384 MFZ64295:MFZ64384 LWD64295:LWD64384 LMH64295:LMH64384 LCL64295:LCL64384 KSP64295:KSP64384 KIT64295:KIT64384 JYX64295:JYX64384 JPB64295:JPB64384 JFF64295:JFF64384 IVJ64295:IVJ64384 ILN64295:ILN64384 IBR64295:IBR64384 HRV64295:HRV64384 HHZ64295:HHZ64384 GYD64295:GYD64384 GOH64295:GOH64384 GEL64295:GEL64384 FUP64295:FUP64384 FKT64295:FKT64384 FAX64295:FAX64384 ERB64295:ERB64384 EHF64295:EHF64384 DXJ64295:DXJ64384 DNN64295:DNN64384 DDR64295:DDR64384 CTV64295:CTV64384 CJZ64295:CJZ64384 CAD64295:CAD64384 BQH64295:BQH64384 BGL64295:BGL64384 AWP64295:AWP64384 AMT64295:AMT64384 ACX64295:ACX64384 TB64295:TB64384 JF64295:JF64384 J64304:J64393 WVR2:WVR67 WLV2:WLV67 WBZ2:WBZ67 VSD2:VSD67 VIH2:VIH67 UYL2:UYL67 UOP2:UOP67 UET2:UET67 TUX2:TUX67 TLB2:TLB67 TBF2:TBF67 SRJ2:SRJ67 SHN2:SHN67 RXR2:RXR67 RNV2:RNV67 RDZ2:RDZ67 QUD2:QUD67 QKH2:QKH67 QAL2:QAL67 PQP2:PQP67 PGT2:PGT67 OWX2:OWX67 ONB2:ONB67 ODF2:ODF67 NTJ2:NTJ67 NJN2:NJN67 MZR2:MZR67 MPV2:MPV67 MFZ2:MFZ67 LWD2:LWD67 LMH2:LMH67 LCL2:LCL67 KSP2:KSP67 KIT2:KIT67 JYX2:JYX67 JPB2:JPB67 JFF2:JFF67 IVJ2:IVJ67 ILN2:ILN67 IBR2:IBR67 HRV2:HRV67 HHZ2:HHZ67 GYD2:GYD67 GOH2:GOH67 GEL2:GEL67 FUP2:FUP67 FKT2:FKT67 FAX2:FAX67 ERB2:ERB67 EHF2:EHF67 DXJ2:DXJ67 DNN2:DNN67 DDR2:DDR67 CTV2:CTV67 CJZ2:CJZ67 CAD2:CAD67 BQH2:BQH67 BGL2:BGL67 AWP2:AWP67 AMT2:AMT67 ACX2:ACX67 TB2:TB67 JF2:JF67" xr:uid="{67B2E894-3DD0-4E47-ADA9-6ACF441623A4}">
      <formula1>$AP$2:$AP$15</formula1>
    </dataValidation>
    <dataValidation type="list" allowBlank="1" showInputMessage="1" showErrorMessage="1" sqref="WVN981799:WVN981888 WLR981799:WLR981888 WBV981799:WBV981888 VRZ981799:VRZ981888 VID981799:VID981888 UYH981799:UYH981888 UOL981799:UOL981888 UEP981799:UEP981888 TUT981799:TUT981888 TKX981799:TKX981888 TBB981799:TBB981888 SRF981799:SRF981888 SHJ981799:SHJ981888 RXN981799:RXN981888 RNR981799:RNR981888 RDV981799:RDV981888 QTZ981799:QTZ981888 QKD981799:QKD981888 QAH981799:QAH981888 PQL981799:PQL981888 PGP981799:PGP981888 OWT981799:OWT981888 OMX981799:OMX981888 ODB981799:ODB981888 NTF981799:NTF981888 NJJ981799:NJJ981888 MZN981799:MZN981888 MPR981799:MPR981888 MFV981799:MFV981888 LVZ981799:LVZ981888 LMD981799:LMD981888 LCH981799:LCH981888 KSL981799:KSL981888 KIP981799:KIP981888 JYT981799:JYT981888 JOX981799:JOX981888 JFB981799:JFB981888 IVF981799:IVF981888 ILJ981799:ILJ981888 IBN981799:IBN981888 HRR981799:HRR981888 HHV981799:HHV981888 GXZ981799:GXZ981888 GOD981799:GOD981888 GEH981799:GEH981888 FUL981799:FUL981888 FKP981799:FKP981888 FAT981799:FAT981888 EQX981799:EQX981888 EHB981799:EHB981888 DXF981799:DXF981888 DNJ981799:DNJ981888 DDN981799:DDN981888 CTR981799:CTR981888 CJV981799:CJV981888 BZZ981799:BZZ981888 BQD981799:BQD981888 BGH981799:BGH981888 AWL981799:AWL981888 AMP981799:AMP981888 ACT981799:ACT981888 SX981799:SX981888 JB981799:JB981888 F981810:F981899 WVN916263:WVN916352 WLR916263:WLR916352 WBV916263:WBV916352 VRZ916263:VRZ916352 VID916263:VID916352 UYH916263:UYH916352 UOL916263:UOL916352 UEP916263:UEP916352 TUT916263:TUT916352 TKX916263:TKX916352 TBB916263:TBB916352 SRF916263:SRF916352 SHJ916263:SHJ916352 RXN916263:RXN916352 RNR916263:RNR916352 RDV916263:RDV916352 QTZ916263:QTZ916352 QKD916263:QKD916352 QAH916263:QAH916352 PQL916263:PQL916352 PGP916263:PGP916352 OWT916263:OWT916352 OMX916263:OMX916352 ODB916263:ODB916352 NTF916263:NTF916352 NJJ916263:NJJ916352 MZN916263:MZN916352 MPR916263:MPR916352 MFV916263:MFV916352 LVZ916263:LVZ916352 LMD916263:LMD916352 LCH916263:LCH916352 KSL916263:KSL916352 KIP916263:KIP916352 JYT916263:JYT916352 JOX916263:JOX916352 JFB916263:JFB916352 IVF916263:IVF916352 ILJ916263:ILJ916352 IBN916263:IBN916352 HRR916263:HRR916352 HHV916263:HHV916352 GXZ916263:GXZ916352 GOD916263:GOD916352 GEH916263:GEH916352 FUL916263:FUL916352 FKP916263:FKP916352 FAT916263:FAT916352 EQX916263:EQX916352 EHB916263:EHB916352 DXF916263:DXF916352 DNJ916263:DNJ916352 DDN916263:DDN916352 CTR916263:CTR916352 CJV916263:CJV916352 BZZ916263:BZZ916352 BQD916263:BQD916352 BGH916263:BGH916352 AWL916263:AWL916352 AMP916263:AMP916352 ACT916263:ACT916352 SX916263:SX916352 JB916263:JB916352 F916274:F916363 WVN850727:WVN850816 WLR850727:WLR850816 WBV850727:WBV850816 VRZ850727:VRZ850816 VID850727:VID850816 UYH850727:UYH850816 UOL850727:UOL850816 UEP850727:UEP850816 TUT850727:TUT850816 TKX850727:TKX850816 TBB850727:TBB850816 SRF850727:SRF850816 SHJ850727:SHJ850816 RXN850727:RXN850816 RNR850727:RNR850816 RDV850727:RDV850816 QTZ850727:QTZ850816 QKD850727:QKD850816 QAH850727:QAH850816 PQL850727:PQL850816 PGP850727:PGP850816 OWT850727:OWT850816 OMX850727:OMX850816 ODB850727:ODB850816 NTF850727:NTF850816 NJJ850727:NJJ850816 MZN850727:MZN850816 MPR850727:MPR850816 MFV850727:MFV850816 LVZ850727:LVZ850816 LMD850727:LMD850816 LCH850727:LCH850816 KSL850727:KSL850816 KIP850727:KIP850816 JYT850727:JYT850816 JOX850727:JOX850816 JFB850727:JFB850816 IVF850727:IVF850816 ILJ850727:ILJ850816 IBN850727:IBN850816 HRR850727:HRR850816 HHV850727:HHV850816 GXZ850727:GXZ850816 GOD850727:GOD850816 GEH850727:GEH850816 FUL850727:FUL850816 FKP850727:FKP850816 FAT850727:FAT850816 EQX850727:EQX850816 EHB850727:EHB850816 DXF850727:DXF850816 DNJ850727:DNJ850816 DDN850727:DDN850816 CTR850727:CTR850816 CJV850727:CJV850816 BZZ850727:BZZ850816 BQD850727:BQD850816 BGH850727:BGH850816 AWL850727:AWL850816 AMP850727:AMP850816 ACT850727:ACT850816 SX850727:SX850816 JB850727:JB850816 F850738:F850827 WVN785191:WVN785280 WLR785191:WLR785280 WBV785191:WBV785280 VRZ785191:VRZ785280 VID785191:VID785280 UYH785191:UYH785280 UOL785191:UOL785280 UEP785191:UEP785280 TUT785191:TUT785280 TKX785191:TKX785280 TBB785191:TBB785280 SRF785191:SRF785280 SHJ785191:SHJ785280 RXN785191:RXN785280 RNR785191:RNR785280 RDV785191:RDV785280 QTZ785191:QTZ785280 QKD785191:QKD785280 QAH785191:QAH785280 PQL785191:PQL785280 PGP785191:PGP785280 OWT785191:OWT785280 OMX785191:OMX785280 ODB785191:ODB785280 NTF785191:NTF785280 NJJ785191:NJJ785280 MZN785191:MZN785280 MPR785191:MPR785280 MFV785191:MFV785280 LVZ785191:LVZ785280 LMD785191:LMD785280 LCH785191:LCH785280 KSL785191:KSL785280 KIP785191:KIP785280 JYT785191:JYT785280 JOX785191:JOX785280 JFB785191:JFB785280 IVF785191:IVF785280 ILJ785191:ILJ785280 IBN785191:IBN785280 HRR785191:HRR785280 HHV785191:HHV785280 GXZ785191:GXZ785280 GOD785191:GOD785280 GEH785191:GEH785280 FUL785191:FUL785280 FKP785191:FKP785280 FAT785191:FAT785280 EQX785191:EQX785280 EHB785191:EHB785280 DXF785191:DXF785280 DNJ785191:DNJ785280 DDN785191:DDN785280 CTR785191:CTR785280 CJV785191:CJV785280 BZZ785191:BZZ785280 BQD785191:BQD785280 BGH785191:BGH785280 AWL785191:AWL785280 AMP785191:AMP785280 ACT785191:ACT785280 SX785191:SX785280 JB785191:JB785280 F785202:F785291 WVN719655:WVN719744 WLR719655:WLR719744 WBV719655:WBV719744 VRZ719655:VRZ719744 VID719655:VID719744 UYH719655:UYH719744 UOL719655:UOL719744 UEP719655:UEP719744 TUT719655:TUT719744 TKX719655:TKX719744 TBB719655:TBB719744 SRF719655:SRF719744 SHJ719655:SHJ719744 RXN719655:RXN719744 RNR719655:RNR719744 RDV719655:RDV719744 QTZ719655:QTZ719744 QKD719655:QKD719744 QAH719655:QAH719744 PQL719655:PQL719744 PGP719655:PGP719744 OWT719655:OWT719744 OMX719655:OMX719744 ODB719655:ODB719744 NTF719655:NTF719744 NJJ719655:NJJ719744 MZN719655:MZN719744 MPR719655:MPR719744 MFV719655:MFV719744 LVZ719655:LVZ719744 LMD719655:LMD719744 LCH719655:LCH719744 KSL719655:KSL719744 KIP719655:KIP719744 JYT719655:JYT719744 JOX719655:JOX719744 JFB719655:JFB719744 IVF719655:IVF719744 ILJ719655:ILJ719744 IBN719655:IBN719744 HRR719655:HRR719744 HHV719655:HHV719744 GXZ719655:GXZ719744 GOD719655:GOD719744 GEH719655:GEH719744 FUL719655:FUL719744 FKP719655:FKP719744 FAT719655:FAT719744 EQX719655:EQX719744 EHB719655:EHB719744 DXF719655:DXF719744 DNJ719655:DNJ719744 DDN719655:DDN719744 CTR719655:CTR719744 CJV719655:CJV719744 BZZ719655:BZZ719744 BQD719655:BQD719744 BGH719655:BGH719744 AWL719655:AWL719744 AMP719655:AMP719744 ACT719655:ACT719744 SX719655:SX719744 JB719655:JB719744 F719666:F719755 WVN654119:WVN654208 WLR654119:WLR654208 WBV654119:WBV654208 VRZ654119:VRZ654208 VID654119:VID654208 UYH654119:UYH654208 UOL654119:UOL654208 UEP654119:UEP654208 TUT654119:TUT654208 TKX654119:TKX654208 TBB654119:TBB654208 SRF654119:SRF654208 SHJ654119:SHJ654208 RXN654119:RXN654208 RNR654119:RNR654208 RDV654119:RDV654208 QTZ654119:QTZ654208 QKD654119:QKD654208 QAH654119:QAH654208 PQL654119:PQL654208 PGP654119:PGP654208 OWT654119:OWT654208 OMX654119:OMX654208 ODB654119:ODB654208 NTF654119:NTF654208 NJJ654119:NJJ654208 MZN654119:MZN654208 MPR654119:MPR654208 MFV654119:MFV654208 LVZ654119:LVZ654208 LMD654119:LMD654208 LCH654119:LCH654208 KSL654119:KSL654208 KIP654119:KIP654208 JYT654119:JYT654208 JOX654119:JOX654208 JFB654119:JFB654208 IVF654119:IVF654208 ILJ654119:ILJ654208 IBN654119:IBN654208 HRR654119:HRR654208 HHV654119:HHV654208 GXZ654119:GXZ654208 GOD654119:GOD654208 GEH654119:GEH654208 FUL654119:FUL654208 FKP654119:FKP654208 FAT654119:FAT654208 EQX654119:EQX654208 EHB654119:EHB654208 DXF654119:DXF654208 DNJ654119:DNJ654208 DDN654119:DDN654208 CTR654119:CTR654208 CJV654119:CJV654208 BZZ654119:BZZ654208 BQD654119:BQD654208 BGH654119:BGH654208 AWL654119:AWL654208 AMP654119:AMP654208 ACT654119:ACT654208 SX654119:SX654208 JB654119:JB654208 F654130:F654219 WVN588583:WVN588672 WLR588583:WLR588672 WBV588583:WBV588672 VRZ588583:VRZ588672 VID588583:VID588672 UYH588583:UYH588672 UOL588583:UOL588672 UEP588583:UEP588672 TUT588583:TUT588672 TKX588583:TKX588672 TBB588583:TBB588672 SRF588583:SRF588672 SHJ588583:SHJ588672 RXN588583:RXN588672 RNR588583:RNR588672 RDV588583:RDV588672 QTZ588583:QTZ588672 QKD588583:QKD588672 QAH588583:QAH588672 PQL588583:PQL588672 PGP588583:PGP588672 OWT588583:OWT588672 OMX588583:OMX588672 ODB588583:ODB588672 NTF588583:NTF588672 NJJ588583:NJJ588672 MZN588583:MZN588672 MPR588583:MPR588672 MFV588583:MFV588672 LVZ588583:LVZ588672 LMD588583:LMD588672 LCH588583:LCH588672 KSL588583:KSL588672 KIP588583:KIP588672 JYT588583:JYT588672 JOX588583:JOX588672 JFB588583:JFB588672 IVF588583:IVF588672 ILJ588583:ILJ588672 IBN588583:IBN588672 HRR588583:HRR588672 HHV588583:HHV588672 GXZ588583:GXZ588672 GOD588583:GOD588672 GEH588583:GEH588672 FUL588583:FUL588672 FKP588583:FKP588672 FAT588583:FAT588672 EQX588583:EQX588672 EHB588583:EHB588672 DXF588583:DXF588672 DNJ588583:DNJ588672 DDN588583:DDN588672 CTR588583:CTR588672 CJV588583:CJV588672 BZZ588583:BZZ588672 BQD588583:BQD588672 BGH588583:BGH588672 AWL588583:AWL588672 AMP588583:AMP588672 ACT588583:ACT588672 SX588583:SX588672 JB588583:JB588672 F588594:F588683 WVN523047:WVN523136 WLR523047:WLR523136 WBV523047:WBV523136 VRZ523047:VRZ523136 VID523047:VID523136 UYH523047:UYH523136 UOL523047:UOL523136 UEP523047:UEP523136 TUT523047:TUT523136 TKX523047:TKX523136 TBB523047:TBB523136 SRF523047:SRF523136 SHJ523047:SHJ523136 RXN523047:RXN523136 RNR523047:RNR523136 RDV523047:RDV523136 QTZ523047:QTZ523136 QKD523047:QKD523136 QAH523047:QAH523136 PQL523047:PQL523136 PGP523047:PGP523136 OWT523047:OWT523136 OMX523047:OMX523136 ODB523047:ODB523136 NTF523047:NTF523136 NJJ523047:NJJ523136 MZN523047:MZN523136 MPR523047:MPR523136 MFV523047:MFV523136 LVZ523047:LVZ523136 LMD523047:LMD523136 LCH523047:LCH523136 KSL523047:KSL523136 KIP523047:KIP523136 JYT523047:JYT523136 JOX523047:JOX523136 JFB523047:JFB523136 IVF523047:IVF523136 ILJ523047:ILJ523136 IBN523047:IBN523136 HRR523047:HRR523136 HHV523047:HHV523136 GXZ523047:GXZ523136 GOD523047:GOD523136 GEH523047:GEH523136 FUL523047:FUL523136 FKP523047:FKP523136 FAT523047:FAT523136 EQX523047:EQX523136 EHB523047:EHB523136 DXF523047:DXF523136 DNJ523047:DNJ523136 DDN523047:DDN523136 CTR523047:CTR523136 CJV523047:CJV523136 BZZ523047:BZZ523136 BQD523047:BQD523136 BGH523047:BGH523136 AWL523047:AWL523136 AMP523047:AMP523136 ACT523047:ACT523136 SX523047:SX523136 JB523047:JB523136 F523058:F523147 WVN457511:WVN457600 WLR457511:WLR457600 WBV457511:WBV457600 VRZ457511:VRZ457600 VID457511:VID457600 UYH457511:UYH457600 UOL457511:UOL457600 UEP457511:UEP457600 TUT457511:TUT457600 TKX457511:TKX457600 TBB457511:TBB457600 SRF457511:SRF457600 SHJ457511:SHJ457600 RXN457511:RXN457600 RNR457511:RNR457600 RDV457511:RDV457600 QTZ457511:QTZ457600 QKD457511:QKD457600 QAH457511:QAH457600 PQL457511:PQL457600 PGP457511:PGP457600 OWT457511:OWT457600 OMX457511:OMX457600 ODB457511:ODB457600 NTF457511:NTF457600 NJJ457511:NJJ457600 MZN457511:MZN457600 MPR457511:MPR457600 MFV457511:MFV457600 LVZ457511:LVZ457600 LMD457511:LMD457600 LCH457511:LCH457600 KSL457511:KSL457600 KIP457511:KIP457600 JYT457511:JYT457600 JOX457511:JOX457600 JFB457511:JFB457600 IVF457511:IVF457600 ILJ457511:ILJ457600 IBN457511:IBN457600 HRR457511:HRR457600 HHV457511:HHV457600 GXZ457511:GXZ457600 GOD457511:GOD457600 GEH457511:GEH457600 FUL457511:FUL457600 FKP457511:FKP457600 FAT457511:FAT457600 EQX457511:EQX457600 EHB457511:EHB457600 DXF457511:DXF457600 DNJ457511:DNJ457600 DDN457511:DDN457600 CTR457511:CTR457600 CJV457511:CJV457600 BZZ457511:BZZ457600 BQD457511:BQD457600 BGH457511:BGH457600 AWL457511:AWL457600 AMP457511:AMP457600 ACT457511:ACT457600 SX457511:SX457600 JB457511:JB457600 F457522:F457611 WVN391975:WVN392064 WLR391975:WLR392064 WBV391975:WBV392064 VRZ391975:VRZ392064 VID391975:VID392064 UYH391975:UYH392064 UOL391975:UOL392064 UEP391975:UEP392064 TUT391975:TUT392064 TKX391975:TKX392064 TBB391975:TBB392064 SRF391975:SRF392064 SHJ391975:SHJ392064 RXN391975:RXN392064 RNR391975:RNR392064 RDV391975:RDV392064 QTZ391975:QTZ392064 QKD391975:QKD392064 QAH391975:QAH392064 PQL391975:PQL392064 PGP391975:PGP392064 OWT391975:OWT392064 OMX391975:OMX392064 ODB391975:ODB392064 NTF391975:NTF392064 NJJ391975:NJJ392064 MZN391975:MZN392064 MPR391975:MPR392064 MFV391975:MFV392064 LVZ391975:LVZ392064 LMD391975:LMD392064 LCH391975:LCH392064 KSL391975:KSL392064 KIP391975:KIP392064 JYT391975:JYT392064 JOX391975:JOX392064 JFB391975:JFB392064 IVF391975:IVF392064 ILJ391975:ILJ392064 IBN391975:IBN392064 HRR391975:HRR392064 HHV391975:HHV392064 GXZ391975:GXZ392064 GOD391975:GOD392064 GEH391975:GEH392064 FUL391975:FUL392064 FKP391975:FKP392064 FAT391975:FAT392064 EQX391975:EQX392064 EHB391975:EHB392064 DXF391975:DXF392064 DNJ391975:DNJ392064 DDN391975:DDN392064 CTR391975:CTR392064 CJV391975:CJV392064 BZZ391975:BZZ392064 BQD391975:BQD392064 BGH391975:BGH392064 AWL391975:AWL392064 AMP391975:AMP392064 ACT391975:ACT392064 SX391975:SX392064 JB391975:JB392064 F391986:F392075 WVN326439:WVN326528 WLR326439:WLR326528 WBV326439:WBV326528 VRZ326439:VRZ326528 VID326439:VID326528 UYH326439:UYH326528 UOL326439:UOL326528 UEP326439:UEP326528 TUT326439:TUT326528 TKX326439:TKX326528 TBB326439:TBB326528 SRF326439:SRF326528 SHJ326439:SHJ326528 RXN326439:RXN326528 RNR326439:RNR326528 RDV326439:RDV326528 QTZ326439:QTZ326528 QKD326439:QKD326528 QAH326439:QAH326528 PQL326439:PQL326528 PGP326439:PGP326528 OWT326439:OWT326528 OMX326439:OMX326528 ODB326439:ODB326528 NTF326439:NTF326528 NJJ326439:NJJ326528 MZN326439:MZN326528 MPR326439:MPR326528 MFV326439:MFV326528 LVZ326439:LVZ326528 LMD326439:LMD326528 LCH326439:LCH326528 KSL326439:KSL326528 KIP326439:KIP326528 JYT326439:JYT326528 JOX326439:JOX326528 JFB326439:JFB326528 IVF326439:IVF326528 ILJ326439:ILJ326528 IBN326439:IBN326528 HRR326439:HRR326528 HHV326439:HHV326528 GXZ326439:GXZ326528 GOD326439:GOD326528 GEH326439:GEH326528 FUL326439:FUL326528 FKP326439:FKP326528 FAT326439:FAT326528 EQX326439:EQX326528 EHB326439:EHB326528 DXF326439:DXF326528 DNJ326439:DNJ326528 DDN326439:DDN326528 CTR326439:CTR326528 CJV326439:CJV326528 BZZ326439:BZZ326528 BQD326439:BQD326528 BGH326439:BGH326528 AWL326439:AWL326528 AMP326439:AMP326528 ACT326439:ACT326528 SX326439:SX326528 JB326439:JB326528 F326450:F326539 WVN260903:WVN260992 WLR260903:WLR260992 WBV260903:WBV260992 VRZ260903:VRZ260992 VID260903:VID260992 UYH260903:UYH260992 UOL260903:UOL260992 UEP260903:UEP260992 TUT260903:TUT260992 TKX260903:TKX260992 TBB260903:TBB260992 SRF260903:SRF260992 SHJ260903:SHJ260992 RXN260903:RXN260992 RNR260903:RNR260992 RDV260903:RDV260992 QTZ260903:QTZ260992 QKD260903:QKD260992 QAH260903:QAH260992 PQL260903:PQL260992 PGP260903:PGP260992 OWT260903:OWT260992 OMX260903:OMX260992 ODB260903:ODB260992 NTF260903:NTF260992 NJJ260903:NJJ260992 MZN260903:MZN260992 MPR260903:MPR260992 MFV260903:MFV260992 LVZ260903:LVZ260992 LMD260903:LMD260992 LCH260903:LCH260992 KSL260903:KSL260992 KIP260903:KIP260992 JYT260903:JYT260992 JOX260903:JOX260992 JFB260903:JFB260992 IVF260903:IVF260992 ILJ260903:ILJ260992 IBN260903:IBN260992 HRR260903:HRR260992 HHV260903:HHV260992 GXZ260903:GXZ260992 GOD260903:GOD260992 GEH260903:GEH260992 FUL260903:FUL260992 FKP260903:FKP260992 FAT260903:FAT260992 EQX260903:EQX260992 EHB260903:EHB260992 DXF260903:DXF260992 DNJ260903:DNJ260992 DDN260903:DDN260992 CTR260903:CTR260992 CJV260903:CJV260992 BZZ260903:BZZ260992 BQD260903:BQD260992 BGH260903:BGH260992 AWL260903:AWL260992 AMP260903:AMP260992 ACT260903:ACT260992 SX260903:SX260992 JB260903:JB260992 F260914:F261003 WVN195367:WVN195456 WLR195367:WLR195456 WBV195367:WBV195456 VRZ195367:VRZ195456 VID195367:VID195456 UYH195367:UYH195456 UOL195367:UOL195456 UEP195367:UEP195456 TUT195367:TUT195456 TKX195367:TKX195456 TBB195367:TBB195456 SRF195367:SRF195456 SHJ195367:SHJ195456 RXN195367:RXN195456 RNR195367:RNR195456 RDV195367:RDV195456 QTZ195367:QTZ195456 QKD195367:QKD195456 QAH195367:QAH195456 PQL195367:PQL195456 PGP195367:PGP195456 OWT195367:OWT195456 OMX195367:OMX195456 ODB195367:ODB195456 NTF195367:NTF195456 NJJ195367:NJJ195456 MZN195367:MZN195456 MPR195367:MPR195456 MFV195367:MFV195456 LVZ195367:LVZ195456 LMD195367:LMD195456 LCH195367:LCH195456 KSL195367:KSL195456 KIP195367:KIP195456 JYT195367:JYT195456 JOX195367:JOX195456 JFB195367:JFB195456 IVF195367:IVF195456 ILJ195367:ILJ195456 IBN195367:IBN195456 HRR195367:HRR195456 HHV195367:HHV195456 GXZ195367:GXZ195456 GOD195367:GOD195456 GEH195367:GEH195456 FUL195367:FUL195456 FKP195367:FKP195456 FAT195367:FAT195456 EQX195367:EQX195456 EHB195367:EHB195456 DXF195367:DXF195456 DNJ195367:DNJ195456 DDN195367:DDN195456 CTR195367:CTR195456 CJV195367:CJV195456 BZZ195367:BZZ195456 BQD195367:BQD195456 BGH195367:BGH195456 AWL195367:AWL195456 AMP195367:AMP195456 ACT195367:ACT195456 SX195367:SX195456 JB195367:JB195456 F195378:F195467 WVN129831:WVN129920 WLR129831:WLR129920 WBV129831:WBV129920 VRZ129831:VRZ129920 VID129831:VID129920 UYH129831:UYH129920 UOL129831:UOL129920 UEP129831:UEP129920 TUT129831:TUT129920 TKX129831:TKX129920 TBB129831:TBB129920 SRF129831:SRF129920 SHJ129831:SHJ129920 RXN129831:RXN129920 RNR129831:RNR129920 RDV129831:RDV129920 QTZ129831:QTZ129920 QKD129831:QKD129920 QAH129831:QAH129920 PQL129831:PQL129920 PGP129831:PGP129920 OWT129831:OWT129920 OMX129831:OMX129920 ODB129831:ODB129920 NTF129831:NTF129920 NJJ129831:NJJ129920 MZN129831:MZN129920 MPR129831:MPR129920 MFV129831:MFV129920 LVZ129831:LVZ129920 LMD129831:LMD129920 LCH129831:LCH129920 KSL129831:KSL129920 KIP129831:KIP129920 JYT129831:JYT129920 JOX129831:JOX129920 JFB129831:JFB129920 IVF129831:IVF129920 ILJ129831:ILJ129920 IBN129831:IBN129920 HRR129831:HRR129920 HHV129831:HHV129920 GXZ129831:GXZ129920 GOD129831:GOD129920 GEH129831:GEH129920 FUL129831:FUL129920 FKP129831:FKP129920 FAT129831:FAT129920 EQX129831:EQX129920 EHB129831:EHB129920 DXF129831:DXF129920 DNJ129831:DNJ129920 DDN129831:DDN129920 CTR129831:CTR129920 CJV129831:CJV129920 BZZ129831:BZZ129920 BQD129831:BQD129920 BGH129831:BGH129920 AWL129831:AWL129920 AMP129831:AMP129920 ACT129831:ACT129920 SX129831:SX129920 JB129831:JB129920 F129842:F129931 WVN64295:WVN64384 WLR64295:WLR64384 WBV64295:WBV64384 VRZ64295:VRZ64384 VID64295:VID64384 UYH64295:UYH64384 UOL64295:UOL64384 UEP64295:UEP64384 TUT64295:TUT64384 TKX64295:TKX64384 TBB64295:TBB64384 SRF64295:SRF64384 SHJ64295:SHJ64384 RXN64295:RXN64384 RNR64295:RNR64384 RDV64295:RDV64384 QTZ64295:QTZ64384 QKD64295:QKD64384 QAH64295:QAH64384 PQL64295:PQL64384 PGP64295:PGP64384 OWT64295:OWT64384 OMX64295:OMX64384 ODB64295:ODB64384 NTF64295:NTF64384 NJJ64295:NJJ64384 MZN64295:MZN64384 MPR64295:MPR64384 MFV64295:MFV64384 LVZ64295:LVZ64384 LMD64295:LMD64384 LCH64295:LCH64384 KSL64295:KSL64384 KIP64295:KIP64384 JYT64295:JYT64384 JOX64295:JOX64384 JFB64295:JFB64384 IVF64295:IVF64384 ILJ64295:ILJ64384 IBN64295:IBN64384 HRR64295:HRR64384 HHV64295:HHV64384 GXZ64295:GXZ64384 GOD64295:GOD64384 GEH64295:GEH64384 FUL64295:FUL64384 FKP64295:FKP64384 FAT64295:FAT64384 EQX64295:EQX64384 EHB64295:EHB64384 DXF64295:DXF64384 DNJ64295:DNJ64384 DDN64295:DDN64384 CTR64295:CTR64384 CJV64295:CJV64384 BZZ64295:BZZ64384 BQD64295:BQD64384 BGH64295:BGH64384 AWL64295:AWL64384 AMP64295:AMP64384 ACT64295:ACT64384 SX64295:SX64384 JB64295:JB64384 F64306:F64395 JB2:JB67 SX2:SX67 ACT2:ACT67 AMP2:AMP67 AWL2:AWL67 BGH2:BGH67 BQD2:BQD67 BZZ2:BZZ67 CJV2:CJV67 CTR2:CTR67 DDN2:DDN67 DNJ2:DNJ67 DXF2:DXF67 EHB2:EHB67 EQX2:EQX67 FAT2:FAT67 FKP2:FKP67 FUL2:FUL67 GEH2:GEH67 GOD2:GOD67 GXZ2:GXZ67 HHV2:HHV67 HRR2:HRR67 IBN2:IBN67 ILJ2:ILJ67 IVF2:IVF67 JFB2:JFB67 JOX2:JOX67 JYT2:JYT67 KIP2:KIP67 KSL2:KSL67 LCH2:LCH67 LMD2:LMD67 LVZ2:LVZ67 MFV2:MFV67 MPR2:MPR67 MZN2:MZN67 NJJ2:NJJ67 NTF2:NTF67 ODB2:ODB67 OMX2:OMX67 OWT2:OWT67 PGP2:PGP67 PQL2:PQL67 QAH2:QAH67 QKD2:QKD67 QTZ2:QTZ67 RDV2:RDV67 RNR2:RNR67 RXN2:RXN67 SHJ2:SHJ67 SRF2:SRF67 TBB2:TBB67 TKX2:TKX67 TUT2:TUT67 UEP2:UEP67 UOL2:UOL67 UYH2:UYH67 VID2:VID67 VRZ2:VRZ67 WBV2:WBV67 WLR2:WLR67 WVN2:WVN67" xr:uid="{9A40CF69-C872-476F-96BF-AE8E0DD8DB40}">
      <formula1>$AH$2:$AH$13</formula1>
    </dataValidation>
    <dataValidation type="list" allowBlank="1" showInputMessage="1" showErrorMessage="1" sqref="WVM981799:WVM981888 WLQ981799:WLQ981888 WBU981799:WBU981888 VRY981799:VRY981888 VIC981799:VIC981888 UYG981799:UYG981888 UOK981799:UOK981888 UEO981799:UEO981888 TUS981799:TUS981888 TKW981799:TKW981888 TBA981799:TBA981888 SRE981799:SRE981888 SHI981799:SHI981888 RXM981799:RXM981888 RNQ981799:RNQ981888 RDU981799:RDU981888 QTY981799:QTY981888 QKC981799:QKC981888 QAG981799:QAG981888 PQK981799:PQK981888 PGO981799:PGO981888 OWS981799:OWS981888 OMW981799:OMW981888 ODA981799:ODA981888 NTE981799:NTE981888 NJI981799:NJI981888 MZM981799:MZM981888 MPQ981799:MPQ981888 MFU981799:MFU981888 LVY981799:LVY981888 LMC981799:LMC981888 LCG981799:LCG981888 KSK981799:KSK981888 KIO981799:KIO981888 JYS981799:JYS981888 JOW981799:JOW981888 JFA981799:JFA981888 IVE981799:IVE981888 ILI981799:ILI981888 IBM981799:IBM981888 HRQ981799:HRQ981888 HHU981799:HHU981888 GXY981799:GXY981888 GOC981799:GOC981888 GEG981799:GEG981888 FUK981799:FUK981888 FKO981799:FKO981888 FAS981799:FAS981888 EQW981799:EQW981888 EHA981799:EHA981888 DXE981799:DXE981888 DNI981799:DNI981888 DDM981799:DDM981888 CTQ981799:CTQ981888 CJU981799:CJU981888 BZY981799:BZY981888 BQC981799:BQC981888 BGG981799:BGG981888 AWK981799:AWK981888 AMO981799:AMO981888 ACS981799:ACS981888 SW981799:SW981888 JA981799:JA981888 E981810:E981899 WVM916263:WVM916352 WLQ916263:WLQ916352 WBU916263:WBU916352 VRY916263:VRY916352 VIC916263:VIC916352 UYG916263:UYG916352 UOK916263:UOK916352 UEO916263:UEO916352 TUS916263:TUS916352 TKW916263:TKW916352 TBA916263:TBA916352 SRE916263:SRE916352 SHI916263:SHI916352 RXM916263:RXM916352 RNQ916263:RNQ916352 RDU916263:RDU916352 QTY916263:QTY916352 QKC916263:QKC916352 QAG916263:QAG916352 PQK916263:PQK916352 PGO916263:PGO916352 OWS916263:OWS916352 OMW916263:OMW916352 ODA916263:ODA916352 NTE916263:NTE916352 NJI916263:NJI916352 MZM916263:MZM916352 MPQ916263:MPQ916352 MFU916263:MFU916352 LVY916263:LVY916352 LMC916263:LMC916352 LCG916263:LCG916352 KSK916263:KSK916352 KIO916263:KIO916352 JYS916263:JYS916352 JOW916263:JOW916352 JFA916263:JFA916352 IVE916263:IVE916352 ILI916263:ILI916352 IBM916263:IBM916352 HRQ916263:HRQ916352 HHU916263:HHU916352 GXY916263:GXY916352 GOC916263:GOC916352 GEG916263:GEG916352 FUK916263:FUK916352 FKO916263:FKO916352 FAS916263:FAS916352 EQW916263:EQW916352 EHA916263:EHA916352 DXE916263:DXE916352 DNI916263:DNI916352 DDM916263:DDM916352 CTQ916263:CTQ916352 CJU916263:CJU916352 BZY916263:BZY916352 BQC916263:BQC916352 BGG916263:BGG916352 AWK916263:AWK916352 AMO916263:AMO916352 ACS916263:ACS916352 SW916263:SW916352 JA916263:JA916352 E916274:E916363 WVM850727:WVM850816 WLQ850727:WLQ850816 WBU850727:WBU850816 VRY850727:VRY850816 VIC850727:VIC850816 UYG850727:UYG850816 UOK850727:UOK850816 UEO850727:UEO850816 TUS850727:TUS850816 TKW850727:TKW850816 TBA850727:TBA850816 SRE850727:SRE850816 SHI850727:SHI850816 RXM850727:RXM850816 RNQ850727:RNQ850816 RDU850727:RDU850816 QTY850727:QTY850816 QKC850727:QKC850816 QAG850727:QAG850816 PQK850727:PQK850816 PGO850727:PGO850816 OWS850727:OWS850816 OMW850727:OMW850816 ODA850727:ODA850816 NTE850727:NTE850816 NJI850727:NJI850816 MZM850727:MZM850816 MPQ850727:MPQ850816 MFU850727:MFU850816 LVY850727:LVY850816 LMC850727:LMC850816 LCG850727:LCG850816 KSK850727:KSK850816 KIO850727:KIO850816 JYS850727:JYS850816 JOW850727:JOW850816 JFA850727:JFA850816 IVE850727:IVE850816 ILI850727:ILI850816 IBM850727:IBM850816 HRQ850727:HRQ850816 HHU850727:HHU850816 GXY850727:GXY850816 GOC850727:GOC850816 GEG850727:GEG850816 FUK850727:FUK850816 FKO850727:FKO850816 FAS850727:FAS850816 EQW850727:EQW850816 EHA850727:EHA850816 DXE850727:DXE850816 DNI850727:DNI850816 DDM850727:DDM850816 CTQ850727:CTQ850816 CJU850727:CJU850816 BZY850727:BZY850816 BQC850727:BQC850816 BGG850727:BGG850816 AWK850727:AWK850816 AMO850727:AMO850816 ACS850727:ACS850816 SW850727:SW850816 JA850727:JA850816 E850738:E850827 WVM785191:WVM785280 WLQ785191:WLQ785280 WBU785191:WBU785280 VRY785191:VRY785280 VIC785191:VIC785280 UYG785191:UYG785280 UOK785191:UOK785280 UEO785191:UEO785280 TUS785191:TUS785280 TKW785191:TKW785280 TBA785191:TBA785280 SRE785191:SRE785280 SHI785191:SHI785280 RXM785191:RXM785280 RNQ785191:RNQ785280 RDU785191:RDU785280 QTY785191:QTY785280 QKC785191:QKC785280 QAG785191:QAG785280 PQK785191:PQK785280 PGO785191:PGO785280 OWS785191:OWS785280 OMW785191:OMW785280 ODA785191:ODA785280 NTE785191:NTE785280 NJI785191:NJI785280 MZM785191:MZM785280 MPQ785191:MPQ785280 MFU785191:MFU785280 LVY785191:LVY785280 LMC785191:LMC785280 LCG785191:LCG785280 KSK785191:KSK785280 KIO785191:KIO785280 JYS785191:JYS785280 JOW785191:JOW785280 JFA785191:JFA785280 IVE785191:IVE785280 ILI785191:ILI785280 IBM785191:IBM785280 HRQ785191:HRQ785280 HHU785191:HHU785280 GXY785191:GXY785280 GOC785191:GOC785280 GEG785191:GEG785280 FUK785191:FUK785280 FKO785191:FKO785280 FAS785191:FAS785280 EQW785191:EQW785280 EHA785191:EHA785280 DXE785191:DXE785280 DNI785191:DNI785280 DDM785191:DDM785280 CTQ785191:CTQ785280 CJU785191:CJU785280 BZY785191:BZY785280 BQC785191:BQC785280 BGG785191:BGG785280 AWK785191:AWK785280 AMO785191:AMO785280 ACS785191:ACS785280 SW785191:SW785280 JA785191:JA785280 E785202:E785291 WVM719655:WVM719744 WLQ719655:WLQ719744 WBU719655:WBU719744 VRY719655:VRY719744 VIC719655:VIC719744 UYG719655:UYG719744 UOK719655:UOK719744 UEO719655:UEO719744 TUS719655:TUS719744 TKW719655:TKW719744 TBA719655:TBA719744 SRE719655:SRE719744 SHI719655:SHI719744 RXM719655:RXM719744 RNQ719655:RNQ719744 RDU719655:RDU719744 QTY719655:QTY719744 QKC719655:QKC719744 QAG719655:QAG719744 PQK719655:PQK719744 PGO719655:PGO719744 OWS719655:OWS719744 OMW719655:OMW719744 ODA719655:ODA719744 NTE719655:NTE719744 NJI719655:NJI719744 MZM719655:MZM719744 MPQ719655:MPQ719744 MFU719655:MFU719744 LVY719655:LVY719744 LMC719655:LMC719744 LCG719655:LCG719744 KSK719655:KSK719744 KIO719655:KIO719744 JYS719655:JYS719744 JOW719655:JOW719744 JFA719655:JFA719744 IVE719655:IVE719744 ILI719655:ILI719744 IBM719655:IBM719744 HRQ719655:HRQ719744 HHU719655:HHU719744 GXY719655:GXY719744 GOC719655:GOC719744 GEG719655:GEG719744 FUK719655:FUK719744 FKO719655:FKO719744 FAS719655:FAS719744 EQW719655:EQW719744 EHA719655:EHA719744 DXE719655:DXE719744 DNI719655:DNI719744 DDM719655:DDM719744 CTQ719655:CTQ719744 CJU719655:CJU719744 BZY719655:BZY719744 BQC719655:BQC719744 BGG719655:BGG719744 AWK719655:AWK719744 AMO719655:AMO719744 ACS719655:ACS719744 SW719655:SW719744 JA719655:JA719744 E719666:E719755 WVM654119:WVM654208 WLQ654119:WLQ654208 WBU654119:WBU654208 VRY654119:VRY654208 VIC654119:VIC654208 UYG654119:UYG654208 UOK654119:UOK654208 UEO654119:UEO654208 TUS654119:TUS654208 TKW654119:TKW654208 TBA654119:TBA654208 SRE654119:SRE654208 SHI654119:SHI654208 RXM654119:RXM654208 RNQ654119:RNQ654208 RDU654119:RDU654208 QTY654119:QTY654208 QKC654119:QKC654208 QAG654119:QAG654208 PQK654119:PQK654208 PGO654119:PGO654208 OWS654119:OWS654208 OMW654119:OMW654208 ODA654119:ODA654208 NTE654119:NTE654208 NJI654119:NJI654208 MZM654119:MZM654208 MPQ654119:MPQ654208 MFU654119:MFU654208 LVY654119:LVY654208 LMC654119:LMC654208 LCG654119:LCG654208 KSK654119:KSK654208 KIO654119:KIO654208 JYS654119:JYS654208 JOW654119:JOW654208 JFA654119:JFA654208 IVE654119:IVE654208 ILI654119:ILI654208 IBM654119:IBM654208 HRQ654119:HRQ654208 HHU654119:HHU654208 GXY654119:GXY654208 GOC654119:GOC654208 GEG654119:GEG654208 FUK654119:FUK654208 FKO654119:FKO654208 FAS654119:FAS654208 EQW654119:EQW654208 EHA654119:EHA654208 DXE654119:DXE654208 DNI654119:DNI654208 DDM654119:DDM654208 CTQ654119:CTQ654208 CJU654119:CJU654208 BZY654119:BZY654208 BQC654119:BQC654208 BGG654119:BGG654208 AWK654119:AWK654208 AMO654119:AMO654208 ACS654119:ACS654208 SW654119:SW654208 JA654119:JA654208 E654130:E654219 WVM588583:WVM588672 WLQ588583:WLQ588672 WBU588583:WBU588672 VRY588583:VRY588672 VIC588583:VIC588672 UYG588583:UYG588672 UOK588583:UOK588672 UEO588583:UEO588672 TUS588583:TUS588672 TKW588583:TKW588672 TBA588583:TBA588672 SRE588583:SRE588672 SHI588583:SHI588672 RXM588583:RXM588672 RNQ588583:RNQ588672 RDU588583:RDU588672 QTY588583:QTY588672 QKC588583:QKC588672 QAG588583:QAG588672 PQK588583:PQK588672 PGO588583:PGO588672 OWS588583:OWS588672 OMW588583:OMW588672 ODA588583:ODA588672 NTE588583:NTE588672 NJI588583:NJI588672 MZM588583:MZM588672 MPQ588583:MPQ588672 MFU588583:MFU588672 LVY588583:LVY588672 LMC588583:LMC588672 LCG588583:LCG588672 KSK588583:KSK588672 KIO588583:KIO588672 JYS588583:JYS588672 JOW588583:JOW588672 JFA588583:JFA588672 IVE588583:IVE588672 ILI588583:ILI588672 IBM588583:IBM588672 HRQ588583:HRQ588672 HHU588583:HHU588672 GXY588583:GXY588672 GOC588583:GOC588672 GEG588583:GEG588672 FUK588583:FUK588672 FKO588583:FKO588672 FAS588583:FAS588672 EQW588583:EQW588672 EHA588583:EHA588672 DXE588583:DXE588672 DNI588583:DNI588672 DDM588583:DDM588672 CTQ588583:CTQ588672 CJU588583:CJU588672 BZY588583:BZY588672 BQC588583:BQC588672 BGG588583:BGG588672 AWK588583:AWK588672 AMO588583:AMO588672 ACS588583:ACS588672 SW588583:SW588672 JA588583:JA588672 E588594:E588683 WVM523047:WVM523136 WLQ523047:WLQ523136 WBU523047:WBU523136 VRY523047:VRY523136 VIC523047:VIC523136 UYG523047:UYG523136 UOK523047:UOK523136 UEO523047:UEO523136 TUS523047:TUS523136 TKW523047:TKW523136 TBA523047:TBA523136 SRE523047:SRE523136 SHI523047:SHI523136 RXM523047:RXM523136 RNQ523047:RNQ523136 RDU523047:RDU523136 QTY523047:QTY523136 QKC523047:QKC523136 QAG523047:QAG523136 PQK523047:PQK523136 PGO523047:PGO523136 OWS523047:OWS523136 OMW523047:OMW523136 ODA523047:ODA523136 NTE523047:NTE523136 NJI523047:NJI523136 MZM523047:MZM523136 MPQ523047:MPQ523136 MFU523047:MFU523136 LVY523047:LVY523136 LMC523047:LMC523136 LCG523047:LCG523136 KSK523047:KSK523136 KIO523047:KIO523136 JYS523047:JYS523136 JOW523047:JOW523136 JFA523047:JFA523136 IVE523047:IVE523136 ILI523047:ILI523136 IBM523047:IBM523136 HRQ523047:HRQ523136 HHU523047:HHU523136 GXY523047:GXY523136 GOC523047:GOC523136 GEG523047:GEG523136 FUK523047:FUK523136 FKO523047:FKO523136 FAS523047:FAS523136 EQW523047:EQW523136 EHA523047:EHA523136 DXE523047:DXE523136 DNI523047:DNI523136 DDM523047:DDM523136 CTQ523047:CTQ523136 CJU523047:CJU523136 BZY523047:BZY523136 BQC523047:BQC523136 BGG523047:BGG523136 AWK523047:AWK523136 AMO523047:AMO523136 ACS523047:ACS523136 SW523047:SW523136 JA523047:JA523136 E523058:E523147 WVM457511:WVM457600 WLQ457511:WLQ457600 WBU457511:WBU457600 VRY457511:VRY457600 VIC457511:VIC457600 UYG457511:UYG457600 UOK457511:UOK457600 UEO457511:UEO457600 TUS457511:TUS457600 TKW457511:TKW457600 TBA457511:TBA457600 SRE457511:SRE457600 SHI457511:SHI457600 RXM457511:RXM457600 RNQ457511:RNQ457600 RDU457511:RDU457600 QTY457511:QTY457600 QKC457511:QKC457600 QAG457511:QAG457600 PQK457511:PQK457600 PGO457511:PGO457600 OWS457511:OWS457600 OMW457511:OMW457600 ODA457511:ODA457600 NTE457511:NTE457600 NJI457511:NJI457600 MZM457511:MZM457600 MPQ457511:MPQ457600 MFU457511:MFU457600 LVY457511:LVY457600 LMC457511:LMC457600 LCG457511:LCG457600 KSK457511:KSK457600 KIO457511:KIO457600 JYS457511:JYS457600 JOW457511:JOW457600 JFA457511:JFA457600 IVE457511:IVE457600 ILI457511:ILI457600 IBM457511:IBM457600 HRQ457511:HRQ457600 HHU457511:HHU457600 GXY457511:GXY457600 GOC457511:GOC457600 GEG457511:GEG457600 FUK457511:FUK457600 FKO457511:FKO457600 FAS457511:FAS457600 EQW457511:EQW457600 EHA457511:EHA457600 DXE457511:DXE457600 DNI457511:DNI457600 DDM457511:DDM457600 CTQ457511:CTQ457600 CJU457511:CJU457600 BZY457511:BZY457600 BQC457511:BQC457600 BGG457511:BGG457600 AWK457511:AWK457600 AMO457511:AMO457600 ACS457511:ACS457600 SW457511:SW457600 JA457511:JA457600 E457522:E457611 WVM391975:WVM392064 WLQ391975:WLQ392064 WBU391975:WBU392064 VRY391975:VRY392064 VIC391975:VIC392064 UYG391975:UYG392064 UOK391975:UOK392064 UEO391975:UEO392064 TUS391975:TUS392064 TKW391975:TKW392064 TBA391975:TBA392064 SRE391975:SRE392064 SHI391975:SHI392064 RXM391975:RXM392064 RNQ391975:RNQ392064 RDU391975:RDU392064 QTY391975:QTY392064 QKC391975:QKC392064 QAG391975:QAG392064 PQK391975:PQK392064 PGO391975:PGO392064 OWS391975:OWS392064 OMW391975:OMW392064 ODA391975:ODA392064 NTE391975:NTE392064 NJI391975:NJI392064 MZM391975:MZM392064 MPQ391975:MPQ392064 MFU391975:MFU392064 LVY391975:LVY392064 LMC391975:LMC392064 LCG391975:LCG392064 KSK391975:KSK392064 KIO391975:KIO392064 JYS391975:JYS392064 JOW391975:JOW392064 JFA391975:JFA392064 IVE391975:IVE392064 ILI391975:ILI392064 IBM391975:IBM392064 HRQ391975:HRQ392064 HHU391975:HHU392064 GXY391975:GXY392064 GOC391975:GOC392064 GEG391975:GEG392064 FUK391975:FUK392064 FKO391975:FKO392064 FAS391975:FAS392064 EQW391975:EQW392064 EHA391975:EHA392064 DXE391975:DXE392064 DNI391975:DNI392064 DDM391975:DDM392064 CTQ391975:CTQ392064 CJU391975:CJU392064 BZY391975:BZY392064 BQC391975:BQC392064 BGG391975:BGG392064 AWK391975:AWK392064 AMO391975:AMO392064 ACS391975:ACS392064 SW391975:SW392064 JA391975:JA392064 E391986:E392075 WVM326439:WVM326528 WLQ326439:WLQ326528 WBU326439:WBU326528 VRY326439:VRY326528 VIC326439:VIC326528 UYG326439:UYG326528 UOK326439:UOK326528 UEO326439:UEO326528 TUS326439:TUS326528 TKW326439:TKW326528 TBA326439:TBA326528 SRE326439:SRE326528 SHI326439:SHI326528 RXM326439:RXM326528 RNQ326439:RNQ326528 RDU326439:RDU326528 QTY326439:QTY326528 QKC326439:QKC326528 QAG326439:QAG326528 PQK326439:PQK326528 PGO326439:PGO326528 OWS326439:OWS326528 OMW326439:OMW326528 ODA326439:ODA326528 NTE326439:NTE326528 NJI326439:NJI326528 MZM326439:MZM326528 MPQ326439:MPQ326528 MFU326439:MFU326528 LVY326439:LVY326528 LMC326439:LMC326528 LCG326439:LCG326528 KSK326439:KSK326528 KIO326439:KIO326528 JYS326439:JYS326528 JOW326439:JOW326528 JFA326439:JFA326528 IVE326439:IVE326528 ILI326439:ILI326528 IBM326439:IBM326528 HRQ326439:HRQ326528 HHU326439:HHU326528 GXY326439:GXY326528 GOC326439:GOC326528 GEG326439:GEG326528 FUK326439:FUK326528 FKO326439:FKO326528 FAS326439:FAS326528 EQW326439:EQW326528 EHA326439:EHA326528 DXE326439:DXE326528 DNI326439:DNI326528 DDM326439:DDM326528 CTQ326439:CTQ326528 CJU326439:CJU326528 BZY326439:BZY326528 BQC326439:BQC326528 BGG326439:BGG326528 AWK326439:AWK326528 AMO326439:AMO326528 ACS326439:ACS326528 SW326439:SW326528 JA326439:JA326528 E326450:E326539 WVM260903:WVM260992 WLQ260903:WLQ260992 WBU260903:WBU260992 VRY260903:VRY260992 VIC260903:VIC260992 UYG260903:UYG260992 UOK260903:UOK260992 UEO260903:UEO260992 TUS260903:TUS260992 TKW260903:TKW260992 TBA260903:TBA260992 SRE260903:SRE260992 SHI260903:SHI260992 RXM260903:RXM260992 RNQ260903:RNQ260992 RDU260903:RDU260992 QTY260903:QTY260992 QKC260903:QKC260992 QAG260903:QAG260992 PQK260903:PQK260992 PGO260903:PGO260992 OWS260903:OWS260992 OMW260903:OMW260992 ODA260903:ODA260992 NTE260903:NTE260992 NJI260903:NJI260992 MZM260903:MZM260992 MPQ260903:MPQ260992 MFU260903:MFU260992 LVY260903:LVY260992 LMC260903:LMC260992 LCG260903:LCG260992 KSK260903:KSK260992 KIO260903:KIO260992 JYS260903:JYS260992 JOW260903:JOW260992 JFA260903:JFA260992 IVE260903:IVE260992 ILI260903:ILI260992 IBM260903:IBM260992 HRQ260903:HRQ260992 HHU260903:HHU260992 GXY260903:GXY260992 GOC260903:GOC260992 GEG260903:GEG260992 FUK260903:FUK260992 FKO260903:FKO260992 FAS260903:FAS260992 EQW260903:EQW260992 EHA260903:EHA260992 DXE260903:DXE260992 DNI260903:DNI260992 DDM260903:DDM260992 CTQ260903:CTQ260992 CJU260903:CJU260992 BZY260903:BZY260992 BQC260903:BQC260992 BGG260903:BGG260992 AWK260903:AWK260992 AMO260903:AMO260992 ACS260903:ACS260992 SW260903:SW260992 JA260903:JA260992 E260914:E261003 WVM195367:WVM195456 WLQ195367:WLQ195456 WBU195367:WBU195456 VRY195367:VRY195456 VIC195367:VIC195456 UYG195367:UYG195456 UOK195367:UOK195456 UEO195367:UEO195456 TUS195367:TUS195456 TKW195367:TKW195456 TBA195367:TBA195456 SRE195367:SRE195456 SHI195367:SHI195456 RXM195367:RXM195456 RNQ195367:RNQ195456 RDU195367:RDU195456 QTY195367:QTY195456 QKC195367:QKC195456 QAG195367:QAG195456 PQK195367:PQK195456 PGO195367:PGO195456 OWS195367:OWS195456 OMW195367:OMW195456 ODA195367:ODA195456 NTE195367:NTE195456 NJI195367:NJI195456 MZM195367:MZM195456 MPQ195367:MPQ195456 MFU195367:MFU195456 LVY195367:LVY195456 LMC195367:LMC195456 LCG195367:LCG195456 KSK195367:KSK195456 KIO195367:KIO195456 JYS195367:JYS195456 JOW195367:JOW195456 JFA195367:JFA195456 IVE195367:IVE195456 ILI195367:ILI195456 IBM195367:IBM195456 HRQ195367:HRQ195456 HHU195367:HHU195456 GXY195367:GXY195456 GOC195367:GOC195456 GEG195367:GEG195456 FUK195367:FUK195456 FKO195367:FKO195456 FAS195367:FAS195456 EQW195367:EQW195456 EHA195367:EHA195456 DXE195367:DXE195456 DNI195367:DNI195456 DDM195367:DDM195456 CTQ195367:CTQ195456 CJU195367:CJU195456 BZY195367:BZY195456 BQC195367:BQC195456 BGG195367:BGG195456 AWK195367:AWK195456 AMO195367:AMO195456 ACS195367:ACS195456 SW195367:SW195456 JA195367:JA195456 E195378:E195467 WVM129831:WVM129920 WLQ129831:WLQ129920 WBU129831:WBU129920 VRY129831:VRY129920 VIC129831:VIC129920 UYG129831:UYG129920 UOK129831:UOK129920 UEO129831:UEO129920 TUS129831:TUS129920 TKW129831:TKW129920 TBA129831:TBA129920 SRE129831:SRE129920 SHI129831:SHI129920 RXM129831:RXM129920 RNQ129831:RNQ129920 RDU129831:RDU129920 QTY129831:QTY129920 QKC129831:QKC129920 QAG129831:QAG129920 PQK129831:PQK129920 PGO129831:PGO129920 OWS129831:OWS129920 OMW129831:OMW129920 ODA129831:ODA129920 NTE129831:NTE129920 NJI129831:NJI129920 MZM129831:MZM129920 MPQ129831:MPQ129920 MFU129831:MFU129920 LVY129831:LVY129920 LMC129831:LMC129920 LCG129831:LCG129920 KSK129831:KSK129920 KIO129831:KIO129920 JYS129831:JYS129920 JOW129831:JOW129920 JFA129831:JFA129920 IVE129831:IVE129920 ILI129831:ILI129920 IBM129831:IBM129920 HRQ129831:HRQ129920 HHU129831:HHU129920 GXY129831:GXY129920 GOC129831:GOC129920 GEG129831:GEG129920 FUK129831:FUK129920 FKO129831:FKO129920 FAS129831:FAS129920 EQW129831:EQW129920 EHA129831:EHA129920 DXE129831:DXE129920 DNI129831:DNI129920 DDM129831:DDM129920 CTQ129831:CTQ129920 CJU129831:CJU129920 BZY129831:BZY129920 BQC129831:BQC129920 BGG129831:BGG129920 AWK129831:AWK129920 AMO129831:AMO129920 ACS129831:ACS129920 SW129831:SW129920 JA129831:JA129920 E129842:E129931 WVM64295:WVM64384 WLQ64295:WLQ64384 WBU64295:WBU64384 VRY64295:VRY64384 VIC64295:VIC64384 UYG64295:UYG64384 UOK64295:UOK64384 UEO64295:UEO64384 TUS64295:TUS64384 TKW64295:TKW64384 TBA64295:TBA64384 SRE64295:SRE64384 SHI64295:SHI64384 RXM64295:RXM64384 RNQ64295:RNQ64384 RDU64295:RDU64384 QTY64295:QTY64384 QKC64295:QKC64384 QAG64295:QAG64384 PQK64295:PQK64384 PGO64295:PGO64384 OWS64295:OWS64384 OMW64295:OMW64384 ODA64295:ODA64384 NTE64295:NTE64384 NJI64295:NJI64384 MZM64295:MZM64384 MPQ64295:MPQ64384 MFU64295:MFU64384 LVY64295:LVY64384 LMC64295:LMC64384 LCG64295:LCG64384 KSK64295:KSK64384 KIO64295:KIO64384 JYS64295:JYS64384 JOW64295:JOW64384 JFA64295:JFA64384 IVE64295:IVE64384 ILI64295:ILI64384 IBM64295:IBM64384 HRQ64295:HRQ64384 HHU64295:HHU64384 GXY64295:GXY64384 GOC64295:GOC64384 GEG64295:GEG64384 FUK64295:FUK64384 FKO64295:FKO64384 FAS64295:FAS64384 EQW64295:EQW64384 EHA64295:EHA64384 DXE64295:DXE64384 DNI64295:DNI64384 DDM64295:DDM64384 CTQ64295:CTQ64384 CJU64295:CJU64384 BZY64295:BZY64384 BQC64295:BQC64384 BGG64295:BGG64384 AWK64295:AWK64384 AMO64295:AMO64384 ACS64295:ACS64384 SW64295:SW64384 JA64295:JA64384 E64306:E64395 JA2:JA67 SW2:SW67 ACS2:ACS67 AMO2:AMO67 AWK2:AWK67 BGG2:BGG67 BQC2:BQC67 BZY2:BZY67 CJU2:CJU67 CTQ2:CTQ67 DDM2:DDM67 DNI2:DNI67 DXE2:DXE67 EHA2:EHA67 EQW2:EQW67 FAS2:FAS67 FKO2:FKO67 FUK2:FUK67 GEG2:GEG67 GOC2:GOC67 GXY2:GXY67 HHU2:HHU67 HRQ2:HRQ67 IBM2:IBM67 ILI2:ILI67 IVE2:IVE67 JFA2:JFA67 JOW2:JOW67 JYS2:JYS67 KIO2:KIO67 KSK2:KSK67 LCG2:LCG67 LMC2:LMC67 LVY2:LVY67 MFU2:MFU67 MPQ2:MPQ67 MZM2:MZM67 NJI2:NJI67 NTE2:NTE67 ODA2:ODA67 OMW2:OMW67 OWS2:OWS67 PGO2:PGO67 PQK2:PQK67 QAG2:QAG67 QKC2:QKC67 QTY2:QTY67 RDU2:RDU67 RNQ2:RNQ67 RXM2:RXM67 SHI2:SHI67 SRE2:SRE67 TBA2:TBA67 TKW2:TKW67 TUS2:TUS67 UEO2:UEO67 UOK2:UOK67 UYG2:UYG67 VIC2:VIC67 VRY2:VRY67 WBU2:WBU67 WLQ2:WLQ67 WVM2:WVM67" xr:uid="{0C5721F0-76AB-47D4-A4BE-90DF3BA0EA60}">
      <formula1>$AG$2:$AG$13</formula1>
    </dataValidation>
    <dataValidation type="list" allowBlank="1" showInputMessage="1" showErrorMessage="1" sqref="WWF981799:WWF981882 WMJ981799:WMJ981882 WCN981799:WCN981882 VSR981799:VSR981882 VIV981799:VIV981882 UYZ981799:UYZ981882 UPD981799:UPD981882 UFH981799:UFH981882 TVL981799:TVL981882 TLP981799:TLP981882 TBT981799:TBT981882 SRX981799:SRX981882 SIB981799:SIB981882 RYF981799:RYF981882 ROJ981799:ROJ981882 REN981799:REN981882 QUR981799:QUR981882 QKV981799:QKV981882 QAZ981799:QAZ981882 PRD981799:PRD981882 PHH981799:PHH981882 OXL981799:OXL981882 ONP981799:ONP981882 ODT981799:ODT981882 NTX981799:NTX981882 NKB981799:NKB981882 NAF981799:NAF981882 MQJ981799:MQJ981882 MGN981799:MGN981882 LWR981799:LWR981882 LMV981799:LMV981882 LCZ981799:LCZ981882 KTD981799:KTD981882 KJH981799:KJH981882 JZL981799:JZL981882 JPP981799:JPP981882 JFT981799:JFT981882 IVX981799:IVX981882 IMB981799:IMB981882 ICF981799:ICF981882 HSJ981799:HSJ981882 HIN981799:HIN981882 GYR981799:GYR981882 GOV981799:GOV981882 GEZ981799:GEZ981882 FVD981799:FVD981882 FLH981799:FLH981882 FBL981799:FBL981882 ERP981799:ERP981882 EHT981799:EHT981882 DXX981799:DXX981882 DOB981799:DOB981882 DEF981799:DEF981882 CUJ981799:CUJ981882 CKN981799:CKN981882 CAR981799:CAR981882 BQV981799:BQV981882 BGZ981799:BGZ981882 AXD981799:AXD981882 ANH981799:ANH981882 ADL981799:ADL981882 TP981799:TP981882 JT981799:JT981882 X981799:X981882 WWF916263:WWF916346 WMJ916263:WMJ916346 WCN916263:WCN916346 VSR916263:VSR916346 VIV916263:VIV916346 UYZ916263:UYZ916346 UPD916263:UPD916346 UFH916263:UFH916346 TVL916263:TVL916346 TLP916263:TLP916346 TBT916263:TBT916346 SRX916263:SRX916346 SIB916263:SIB916346 RYF916263:RYF916346 ROJ916263:ROJ916346 REN916263:REN916346 QUR916263:QUR916346 QKV916263:QKV916346 QAZ916263:QAZ916346 PRD916263:PRD916346 PHH916263:PHH916346 OXL916263:OXL916346 ONP916263:ONP916346 ODT916263:ODT916346 NTX916263:NTX916346 NKB916263:NKB916346 NAF916263:NAF916346 MQJ916263:MQJ916346 MGN916263:MGN916346 LWR916263:LWR916346 LMV916263:LMV916346 LCZ916263:LCZ916346 KTD916263:KTD916346 KJH916263:KJH916346 JZL916263:JZL916346 JPP916263:JPP916346 JFT916263:JFT916346 IVX916263:IVX916346 IMB916263:IMB916346 ICF916263:ICF916346 HSJ916263:HSJ916346 HIN916263:HIN916346 GYR916263:GYR916346 GOV916263:GOV916346 GEZ916263:GEZ916346 FVD916263:FVD916346 FLH916263:FLH916346 FBL916263:FBL916346 ERP916263:ERP916346 EHT916263:EHT916346 DXX916263:DXX916346 DOB916263:DOB916346 DEF916263:DEF916346 CUJ916263:CUJ916346 CKN916263:CKN916346 CAR916263:CAR916346 BQV916263:BQV916346 BGZ916263:BGZ916346 AXD916263:AXD916346 ANH916263:ANH916346 ADL916263:ADL916346 TP916263:TP916346 JT916263:JT916346 X916263:X916346 WWF850727:WWF850810 WMJ850727:WMJ850810 WCN850727:WCN850810 VSR850727:VSR850810 VIV850727:VIV850810 UYZ850727:UYZ850810 UPD850727:UPD850810 UFH850727:UFH850810 TVL850727:TVL850810 TLP850727:TLP850810 TBT850727:TBT850810 SRX850727:SRX850810 SIB850727:SIB850810 RYF850727:RYF850810 ROJ850727:ROJ850810 REN850727:REN850810 QUR850727:QUR850810 QKV850727:QKV850810 QAZ850727:QAZ850810 PRD850727:PRD850810 PHH850727:PHH850810 OXL850727:OXL850810 ONP850727:ONP850810 ODT850727:ODT850810 NTX850727:NTX850810 NKB850727:NKB850810 NAF850727:NAF850810 MQJ850727:MQJ850810 MGN850727:MGN850810 LWR850727:LWR850810 LMV850727:LMV850810 LCZ850727:LCZ850810 KTD850727:KTD850810 KJH850727:KJH850810 JZL850727:JZL850810 JPP850727:JPP850810 JFT850727:JFT850810 IVX850727:IVX850810 IMB850727:IMB850810 ICF850727:ICF850810 HSJ850727:HSJ850810 HIN850727:HIN850810 GYR850727:GYR850810 GOV850727:GOV850810 GEZ850727:GEZ850810 FVD850727:FVD850810 FLH850727:FLH850810 FBL850727:FBL850810 ERP850727:ERP850810 EHT850727:EHT850810 DXX850727:DXX850810 DOB850727:DOB850810 DEF850727:DEF850810 CUJ850727:CUJ850810 CKN850727:CKN850810 CAR850727:CAR850810 BQV850727:BQV850810 BGZ850727:BGZ850810 AXD850727:AXD850810 ANH850727:ANH850810 ADL850727:ADL850810 TP850727:TP850810 JT850727:JT850810 X850727:X850810 WWF785191:WWF785274 WMJ785191:WMJ785274 WCN785191:WCN785274 VSR785191:VSR785274 VIV785191:VIV785274 UYZ785191:UYZ785274 UPD785191:UPD785274 UFH785191:UFH785274 TVL785191:TVL785274 TLP785191:TLP785274 TBT785191:TBT785274 SRX785191:SRX785274 SIB785191:SIB785274 RYF785191:RYF785274 ROJ785191:ROJ785274 REN785191:REN785274 QUR785191:QUR785274 QKV785191:QKV785274 QAZ785191:QAZ785274 PRD785191:PRD785274 PHH785191:PHH785274 OXL785191:OXL785274 ONP785191:ONP785274 ODT785191:ODT785274 NTX785191:NTX785274 NKB785191:NKB785274 NAF785191:NAF785274 MQJ785191:MQJ785274 MGN785191:MGN785274 LWR785191:LWR785274 LMV785191:LMV785274 LCZ785191:LCZ785274 KTD785191:KTD785274 KJH785191:KJH785274 JZL785191:JZL785274 JPP785191:JPP785274 JFT785191:JFT785274 IVX785191:IVX785274 IMB785191:IMB785274 ICF785191:ICF785274 HSJ785191:HSJ785274 HIN785191:HIN785274 GYR785191:GYR785274 GOV785191:GOV785274 GEZ785191:GEZ785274 FVD785191:FVD785274 FLH785191:FLH785274 FBL785191:FBL785274 ERP785191:ERP785274 EHT785191:EHT785274 DXX785191:DXX785274 DOB785191:DOB785274 DEF785191:DEF785274 CUJ785191:CUJ785274 CKN785191:CKN785274 CAR785191:CAR785274 BQV785191:BQV785274 BGZ785191:BGZ785274 AXD785191:AXD785274 ANH785191:ANH785274 ADL785191:ADL785274 TP785191:TP785274 JT785191:JT785274 X785191:X785274 WWF719655:WWF719738 WMJ719655:WMJ719738 WCN719655:WCN719738 VSR719655:VSR719738 VIV719655:VIV719738 UYZ719655:UYZ719738 UPD719655:UPD719738 UFH719655:UFH719738 TVL719655:TVL719738 TLP719655:TLP719738 TBT719655:TBT719738 SRX719655:SRX719738 SIB719655:SIB719738 RYF719655:RYF719738 ROJ719655:ROJ719738 REN719655:REN719738 QUR719655:QUR719738 QKV719655:QKV719738 QAZ719655:QAZ719738 PRD719655:PRD719738 PHH719655:PHH719738 OXL719655:OXL719738 ONP719655:ONP719738 ODT719655:ODT719738 NTX719655:NTX719738 NKB719655:NKB719738 NAF719655:NAF719738 MQJ719655:MQJ719738 MGN719655:MGN719738 LWR719655:LWR719738 LMV719655:LMV719738 LCZ719655:LCZ719738 KTD719655:KTD719738 KJH719655:KJH719738 JZL719655:JZL719738 JPP719655:JPP719738 JFT719655:JFT719738 IVX719655:IVX719738 IMB719655:IMB719738 ICF719655:ICF719738 HSJ719655:HSJ719738 HIN719655:HIN719738 GYR719655:GYR719738 GOV719655:GOV719738 GEZ719655:GEZ719738 FVD719655:FVD719738 FLH719655:FLH719738 FBL719655:FBL719738 ERP719655:ERP719738 EHT719655:EHT719738 DXX719655:DXX719738 DOB719655:DOB719738 DEF719655:DEF719738 CUJ719655:CUJ719738 CKN719655:CKN719738 CAR719655:CAR719738 BQV719655:BQV719738 BGZ719655:BGZ719738 AXD719655:AXD719738 ANH719655:ANH719738 ADL719655:ADL719738 TP719655:TP719738 JT719655:JT719738 X719655:X719738 WWF654119:WWF654202 WMJ654119:WMJ654202 WCN654119:WCN654202 VSR654119:VSR654202 VIV654119:VIV654202 UYZ654119:UYZ654202 UPD654119:UPD654202 UFH654119:UFH654202 TVL654119:TVL654202 TLP654119:TLP654202 TBT654119:TBT654202 SRX654119:SRX654202 SIB654119:SIB654202 RYF654119:RYF654202 ROJ654119:ROJ654202 REN654119:REN654202 QUR654119:QUR654202 QKV654119:QKV654202 QAZ654119:QAZ654202 PRD654119:PRD654202 PHH654119:PHH654202 OXL654119:OXL654202 ONP654119:ONP654202 ODT654119:ODT654202 NTX654119:NTX654202 NKB654119:NKB654202 NAF654119:NAF654202 MQJ654119:MQJ654202 MGN654119:MGN654202 LWR654119:LWR654202 LMV654119:LMV654202 LCZ654119:LCZ654202 KTD654119:KTD654202 KJH654119:KJH654202 JZL654119:JZL654202 JPP654119:JPP654202 JFT654119:JFT654202 IVX654119:IVX654202 IMB654119:IMB654202 ICF654119:ICF654202 HSJ654119:HSJ654202 HIN654119:HIN654202 GYR654119:GYR654202 GOV654119:GOV654202 GEZ654119:GEZ654202 FVD654119:FVD654202 FLH654119:FLH654202 FBL654119:FBL654202 ERP654119:ERP654202 EHT654119:EHT654202 DXX654119:DXX654202 DOB654119:DOB654202 DEF654119:DEF654202 CUJ654119:CUJ654202 CKN654119:CKN654202 CAR654119:CAR654202 BQV654119:BQV654202 BGZ654119:BGZ654202 AXD654119:AXD654202 ANH654119:ANH654202 ADL654119:ADL654202 TP654119:TP654202 JT654119:JT654202 X654119:X654202 WWF588583:WWF588666 WMJ588583:WMJ588666 WCN588583:WCN588666 VSR588583:VSR588666 VIV588583:VIV588666 UYZ588583:UYZ588666 UPD588583:UPD588666 UFH588583:UFH588666 TVL588583:TVL588666 TLP588583:TLP588666 TBT588583:TBT588666 SRX588583:SRX588666 SIB588583:SIB588666 RYF588583:RYF588666 ROJ588583:ROJ588666 REN588583:REN588666 QUR588583:QUR588666 QKV588583:QKV588666 QAZ588583:QAZ588666 PRD588583:PRD588666 PHH588583:PHH588666 OXL588583:OXL588666 ONP588583:ONP588666 ODT588583:ODT588666 NTX588583:NTX588666 NKB588583:NKB588666 NAF588583:NAF588666 MQJ588583:MQJ588666 MGN588583:MGN588666 LWR588583:LWR588666 LMV588583:LMV588666 LCZ588583:LCZ588666 KTD588583:KTD588666 KJH588583:KJH588666 JZL588583:JZL588666 JPP588583:JPP588666 JFT588583:JFT588666 IVX588583:IVX588666 IMB588583:IMB588666 ICF588583:ICF588666 HSJ588583:HSJ588666 HIN588583:HIN588666 GYR588583:GYR588666 GOV588583:GOV588666 GEZ588583:GEZ588666 FVD588583:FVD588666 FLH588583:FLH588666 FBL588583:FBL588666 ERP588583:ERP588666 EHT588583:EHT588666 DXX588583:DXX588666 DOB588583:DOB588666 DEF588583:DEF588666 CUJ588583:CUJ588666 CKN588583:CKN588666 CAR588583:CAR588666 BQV588583:BQV588666 BGZ588583:BGZ588666 AXD588583:AXD588666 ANH588583:ANH588666 ADL588583:ADL588666 TP588583:TP588666 JT588583:JT588666 X588583:X588666 WWF523047:WWF523130 WMJ523047:WMJ523130 WCN523047:WCN523130 VSR523047:VSR523130 VIV523047:VIV523130 UYZ523047:UYZ523130 UPD523047:UPD523130 UFH523047:UFH523130 TVL523047:TVL523130 TLP523047:TLP523130 TBT523047:TBT523130 SRX523047:SRX523130 SIB523047:SIB523130 RYF523047:RYF523130 ROJ523047:ROJ523130 REN523047:REN523130 QUR523047:QUR523130 QKV523047:QKV523130 QAZ523047:QAZ523130 PRD523047:PRD523130 PHH523047:PHH523130 OXL523047:OXL523130 ONP523047:ONP523130 ODT523047:ODT523130 NTX523047:NTX523130 NKB523047:NKB523130 NAF523047:NAF523130 MQJ523047:MQJ523130 MGN523047:MGN523130 LWR523047:LWR523130 LMV523047:LMV523130 LCZ523047:LCZ523130 KTD523047:KTD523130 KJH523047:KJH523130 JZL523047:JZL523130 JPP523047:JPP523130 JFT523047:JFT523130 IVX523047:IVX523130 IMB523047:IMB523130 ICF523047:ICF523130 HSJ523047:HSJ523130 HIN523047:HIN523130 GYR523047:GYR523130 GOV523047:GOV523130 GEZ523047:GEZ523130 FVD523047:FVD523130 FLH523047:FLH523130 FBL523047:FBL523130 ERP523047:ERP523130 EHT523047:EHT523130 DXX523047:DXX523130 DOB523047:DOB523130 DEF523047:DEF523130 CUJ523047:CUJ523130 CKN523047:CKN523130 CAR523047:CAR523130 BQV523047:BQV523130 BGZ523047:BGZ523130 AXD523047:AXD523130 ANH523047:ANH523130 ADL523047:ADL523130 TP523047:TP523130 JT523047:JT523130 X523047:X523130 WWF457511:WWF457594 WMJ457511:WMJ457594 WCN457511:WCN457594 VSR457511:VSR457594 VIV457511:VIV457594 UYZ457511:UYZ457594 UPD457511:UPD457594 UFH457511:UFH457594 TVL457511:TVL457594 TLP457511:TLP457594 TBT457511:TBT457594 SRX457511:SRX457594 SIB457511:SIB457594 RYF457511:RYF457594 ROJ457511:ROJ457594 REN457511:REN457594 QUR457511:QUR457594 QKV457511:QKV457594 QAZ457511:QAZ457594 PRD457511:PRD457594 PHH457511:PHH457594 OXL457511:OXL457594 ONP457511:ONP457594 ODT457511:ODT457594 NTX457511:NTX457594 NKB457511:NKB457594 NAF457511:NAF457594 MQJ457511:MQJ457594 MGN457511:MGN457594 LWR457511:LWR457594 LMV457511:LMV457594 LCZ457511:LCZ457594 KTD457511:KTD457594 KJH457511:KJH457594 JZL457511:JZL457594 JPP457511:JPP457594 JFT457511:JFT457594 IVX457511:IVX457594 IMB457511:IMB457594 ICF457511:ICF457594 HSJ457511:HSJ457594 HIN457511:HIN457594 GYR457511:GYR457594 GOV457511:GOV457594 GEZ457511:GEZ457594 FVD457511:FVD457594 FLH457511:FLH457594 FBL457511:FBL457594 ERP457511:ERP457594 EHT457511:EHT457594 DXX457511:DXX457594 DOB457511:DOB457594 DEF457511:DEF457594 CUJ457511:CUJ457594 CKN457511:CKN457594 CAR457511:CAR457594 BQV457511:BQV457594 BGZ457511:BGZ457594 AXD457511:AXD457594 ANH457511:ANH457594 ADL457511:ADL457594 TP457511:TP457594 JT457511:JT457594 X457511:X457594 WWF391975:WWF392058 WMJ391975:WMJ392058 WCN391975:WCN392058 VSR391975:VSR392058 VIV391975:VIV392058 UYZ391975:UYZ392058 UPD391975:UPD392058 UFH391975:UFH392058 TVL391975:TVL392058 TLP391975:TLP392058 TBT391975:TBT392058 SRX391975:SRX392058 SIB391975:SIB392058 RYF391975:RYF392058 ROJ391975:ROJ392058 REN391975:REN392058 QUR391975:QUR392058 QKV391975:QKV392058 QAZ391975:QAZ392058 PRD391975:PRD392058 PHH391975:PHH392058 OXL391975:OXL392058 ONP391975:ONP392058 ODT391975:ODT392058 NTX391975:NTX392058 NKB391975:NKB392058 NAF391975:NAF392058 MQJ391975:MQJ392058 MGN391975:MGN392058 LWR391975:LWR392058 LMV391975:LMV392058 LCZ391975:LCZ392058 KTD391975:KTD392058 KJH391975:KJH392058 JZL391975:JZL392058 JPP391975:JPP392058 JFT391975:JFT392058 IVX391975:IVX392058 IMB391975:IMB392058 ICF391975:ICF392058 HSJ391975:HSJ392058 HIN391975:HIN392058 GYR391975:GYR392058 GOV391975:GOV392058 GEZ391975:GEZ392058 FVD391975:FVD392058 FLH391975:FLH392058 FBL391975:FBL392058 ERP391975:ERP392058 EHT391975:EHT392058 DXX391975:DXX392058 DOB391975:DOB392058 DEF391975:DEF392058 CUJ391975:CUJ392058 CKN391975:CKN392058 CAR391975:CAR392058 BQV391975:BQV392058 BGZ391975:BGZ392058 AXD391975:AXD392058 ANH391975:ANH392058 ADL391975:ADL392058 TP391975:TP392058 JT391975:JT392058 X391975:X392058 WWF326439:WWF326522 WMJ326439:WMJ326522 WCN326439:WCN326522 VSR326439:VSR326522 VIV326439:VIV326522 UYZ326439:UYZ326522 UPD326439:UPD326522 UFH326439:UFH326522 TVL326439:TVL326522 TLP326439:TLP326522 TBT326439:TBT326522 SRX326439:SRX326522 SIB326439:SIB326522 RYF326439:RYF326522 ROJ326439:ROJ326522 REN326439:REN326522 QUR326439:QUR326522 QKV326439:QKV326522 QAZ326439:QAZ326522 PRD326439:PRD326522 PHH326439:PHH326522 OXL326439:OXL326522 ONP326439:ONP326522 ODT326439:ODT326522 NTX326439:NTX326522 NKB326439:NKB326522 NAF326439:NAF326522 MQJ326439:MQJ326522 MGN326439:MGN326522 LWR326439:LWR326522 LMV326439:LMV326522 LCZ326439:LCZ326522 KTD326439:KTD326522 KJH326439:KJH326522 JZL326439:JZL326522 JPP326439:JPP326522 JFT326439:JFT326522 IVX326439:IVX326522 IMB326439:IMB326522 ICF326439:ICF326522 HSJ326439:HSJ326522 HIN326439:HIN326522 GYR326439:GYR326522 GOV326439:GOV326522 GEZ326439:GEZ326522 FVD326439:FVD326522 FLH326439:FLH326522 FBL326439:FBL326522 ERP326439:ERP326522 EHT326439:EHT326522 DXX326439:DXX326522 DOB326439:DOB326522 DEF326439:DEF326522 CUJ326439:CUJ326522 CKN326439:CKN326522 CAR326439:CAR326522 BQV326439:BQV326522 BGZ326439:BGZ326522 AXD326439:AXD326522 ANH326439:ANH326522 ADL326439:ADL326522 TP326439:TP326522 JT326439:JT326522 X326439:X326522 WWF260903:WWF260986 WMJ260903:WMJ260986 WCN260903:WCN260986 VSR260903:VSR260986 VIV260903:VIV260986 UYZ260903:UYZ260986 UPD260903:UPD260986 UFH260903:UFH260986 TVL260903:TVL260986 TLP260903:TLP260986 TBT260903:TBT260986 SRX260903:SRX260986 SIB260903:SIB260986 RYF260903:RYF260986 ROJ260903:ROJ260986 REN260903:REN260986 QUR260903:QUR260986 QKV260903:QKV260986 QAZ260903:QAZ260986 PRD260903:PRD260986 PHH260903:PHH260986 OXL260903:OXL260986 ONP260903:ONP260986 ODT260903:ODT260986 NTX260903:NTX260986 NKB260903:NKB260986 NAF260903:NAF260986 MQJ260903:MQJ260986 MGN260903:MGN260986 LWR260903:LWR260986 LMV260903:LMV260986 LCZ260903:LCZ260986 KTD260903:KTD260986 KJH260903:KJH260986 JZL260903:JZL260986 JPP260903:JPP260986 JFT260903:JFT260986 IVX260903:IVX260986 IMB260903:IMB260986 ICF260903:ICF260986 HSJ260903:HSJ260986 HIN260903:HIN260986 GYR260903:GYR260986 GOV260903:GOV260986 GEZ260903:GEZ260986 FVD260903:FVD260986 FLH260903:FLH260986 FBL260903:FBL260986 ERP260903:ERP260986 EHT260903:EHT260986 DXX260903:DXX260986 DOB260903:DOB260986 DEF260903:DEF260986 CUJ260903:CUJ260986 CKN260903:CKN260986 CAR260903:CAR260986 BQV260903:BQV260986 BGZ260903:BGZ260986 AXD260903:AXD260986 ANH260903:ANH260986 ADL260903:ADL260986 TP260903:TP260986 JT260903:JT260986 X260903:X260986 WWF195367:WWF195450 WMJ195367:WMJ195450 WCN195367:WCN195450 VSR195367:VSR195450 VIV195367:VIV195450 UYZ195367:UYZ195450 UPD195367:UPD195450 UFH195367:UFH195450 TVL195367:TVL195450 TLP195367:TLP195450 TBT195367:TBT195450 SRX195367:SRX195450 SIB195367:SIB195450 RYF195367:RYF195450 ROJ195367:ROJ195450 REN195367:REN195450 QUR195367:QUR195450 QKV195367:QKV195450 QAZ195367:QAZ195450 PRD195367:PRD195450 PHH195367:PHH195450 OXL195367:OXL195450 ONP195367:ONP195450 ODT195367:ODT195450 NTX195367:NTX195450 NKB195367:NKB195450 NAF195367:NAF195450 MQJ195367:MQJ195450 MGN195367:MGN195450 LWR195367:LWR195450 LMV195367:LMV195450 LCZ195367:LCZ195450 KTD195367:KTD195450 KJH195367:KJH195450 JZL195367:JZL195450 JPP195367:JPP195450 JFT195367:JFT195450 IVX195367:IVX195450 IMB195367:IMB195450 ICF195367:ICF195450 HSJ195367:HSJ195450 HIN195367:HIN195450 GYR195367:GYR195450 GOV195367:GOV195450 GEZ195367:GEZ195450 FVD195367:FVD195450 FLH195367:FLH195450 FBL195367:FBL195450 ERP195367:ERP195450 EHT195367:EHT195450 DXX195367:DXX195450 DOB195367:DOB195450 DEF195367:DEF195450 CUJ195367:CUJ195450 CKN195367:CKN195450 CAR195367:CAR195450 BQV195367:BQV195450 BGZ195367:BGZ195450 AXD195367:AXD195450 ANH195367:ANH195450 ADL195367:ADL195450 TP195367:TP195450 JT195367:JT195450 X195367:X195450 WWF129831:WWF129914 WMJ129831:WMJ129914 WCN129831:WCN129914 VSR129831:VSR129914 VIV129831:VIV129914 UYZ129831:UYZ129914 UPD129831:UPD129914 UFH129831:UFH129914 TVL129831:TVL129914 TLP129831:TLP129914 TBT129831:TBT129914 SRX129831:SRX129914 SIB129831:SIB129914 RYF129831:RYF129914 ROJ129831:ROJ129914 REN129831:REN129914 QUR129831:QUR129914 QKV129831:QKV129914 QAZ129831:QAZ129914 PRD129831:PRD129914 PHH129831:PHH129914 OXL129831:OXL129914 ONP129831:ONP129914 ODT129831:ODT129914 NTX129831:NTX129914 NKB129831:NKB129914 NAF129831:NAF129914 MQJ129831:MQJ129914 MGN129831:MGN129914 LWR129831:LWR129914 LMV129831:LMV129914 LCZ129831:LCZ129914 KTD129831:KTD129914 KJH129831:KJH129914 JZL129831:JZL129914 JPP129831:JPP129914 JFT129831:JFT129914 IVX129831:IVX129914 IMB129831:IMB129914 ICF129831:ICF129914 HSJ129831:HSJ129914 HIN129831:HIN129914 GYR129831:GYR129914 GOV129831:GOV129914 GEZ129831:GEZ129914 FVD129831:FVD129914 FLH129831:FLH129914 FBL129831:FBL129914 ERP129831:ERP129914 EHT129831:EHT129914 DXX129831:DXX129914 DOB129831:DOB129914 DEF129831:DEF129914 CUJ129831:CUJ129914 CKN129831:CKN129914 CAR129831:CAR129914 BQV129831:BQV129914 BGZ129831:BGZ129914 AXD129831:AXD129914 ANH129831:ANH129914 ADL129831:ADL129914 TP129831:TP129914 JT129831:JT129914 X129831:X129914 WWF64295:WWF64378 WMJ64295:WMJ64378 WCN64295:WCN64378 VSR64295:VSR64378 VIV64295:VIV64378 UYZ64295:UYZ64378 UPD64295:UPD64378 UFH64295:UFH64378 TVL64295:TVL64378 TLP64295:TLP64378 TBT64295:TBT64378 SRX64295:SRX64378 SIB64295:SIB64378 RYF64295:RYF64378 ROJ64295:ROJ64378 REN64295:REN64378 QUR64295:QUR64378 QKV64295:QKV64378 QAZ64295:QAZ64378 PRD64295:PRD64378 PHH64295:PHH64378 OXL64295:OXL64378 ONP64295:ONP64378 ODT64295:ODT64378 NTX64295:NTX64378 NKB64295:NKB64378 NAF64295:NAF64378 MQJ64295:MQJ64378 MGN64295:MGN64378 LWR64295:LWR64378 LMV64295:LMV64378 LCZ64295:LCZ64378 KTD64295:KTD64378 KJH64295:KJH64378 JZL64295:JZL64378 JPP64295:JPP64378 JFT64295:JFT64378 IVX64295:IVX64378 IMB64295:IMB64378 ICF64295:ICF64378 HSJ64295:HSJ64378 HIN64295:HIN64378 GYR64295:GYR64378 GOV64295:GOV64378 GEZ64295:GEZ64378 FVD64295:FVD64378 FLH64295:FLH64378 FBL64295:FBL64378 ERP64295:ERP64378 EHT64295:EHT64378 DXX64295:DXX64378 DOB64295:DOB64378 DEF64295:DEF64378 CUJ64295:CUJ64378 CKN64295:CKN64378 CAR64295:CAR64378 BQV64295:BQV64378 BGZ64295:BGZ64378 AXD64295:AXD64378 ANH64295:ANH64378 ADL64295:ADL64378 TP64295:TP64378 JT64295:JT64378 X64295:X64378 X90:X494 JT2:JT67 TP2:TP67 ADL2:ADL67 ANH2:ANH67 AXD2:AXD67 BGZ2:BGZ67 BQV2:BQV67 CAR2:CAR67 CKN2:CKN67 CUJ2:CUJ67 DEF2:DEF67 DOB2:DOB67 DXX2:DXX67 EHT2:EHT67 ERP2:ERP67 FBL2:FBL67 FLH2:FLH67 FVD2:FVD67 GEZ2:GEZ67 GOV2:GOV67 GYR2:GYR67 HIN2:HIN67 HSJ2:HSJ67 ICF2:ICF67 IMB2:IMB67 IVX2:IVX67 JFT2:JFT67 JPP2:JPP67 JZL2:JZL67 KJH2:KJH67 KTD2:KTD67 LCZ2:LCZ67 LMV2:LMV67 LWR2:LWR67 MGN2:MGN67 MQJ2:MQJ67 NAF2:NAF67 NKB2:NKB67 NTX2:NTX67 ODT2:ODT67 ONP2:ONP67 OXL2:OXL67 PHH2:PHH67 PRD2:PRD67 QAZ2:QAZ67 QKV2:QKV67 QUR2:QUR67 REN2:REN67 ROJ2:ROJ67 RYF2:RYF67 SIB2:SIB67 SRX2:SRX67 TBT2:TBT67 TLP2:TLP67 TVL2:TVL67 UFH2:UFH67 UPD2:UPD67 UYZ2:UYZ67 VIV2:VIV67 VSR2:VSR67 WCN2:WCN67 WMJ2:WMJ67 WWF2:WWF67 X2:X88" xr:uid="{0BA5011A-6B29-423F-A2B8-BA17063FC0A9}">
      <formula1>$AT$2:$AT$3</formula1>
    </dataValidation>
    <dataValidation operator="equal" allowBlank="1" showInputMessage="1" showErrorMessage="1" sqref="WVJ981799:WVJ981888 WLN981799:WLN981888 WBR981799:WBR981888 VRV981799:VRV981888 VHZ981799:VHZ981888 UYD981799:UYD981888 UOH981799:UOH981888 UEL981799:UEL981888 TUP981799:TUP981888 TKT981799:TKT981888 TAX981799:TAX981888 SRB981799:SRB981888 SHF981799:SHF981888 RXJ981799:RXJ981888 RNN981799:RNN981888 RDR981799:RDR981888 QTV981799:QTV981888 QJZ981799:QJZ981888 QAD981799:QAD981888 PQH981799:PQH981888 PGL981799:PGL981888 OWP981799:OWP981888 OMT981799:OMT981888 OCX981799:OCX981888 NTB981799:NTB981888 NJF981799:NJF981888 MZJ981799:MZJ981888 MPN981799:MPN981888 MFR981799:MFR981888 LVV981799:LVV981888 LLZ981799:LLZ981888 LCD981799:LCD981888 KSH981799:KSH981888 KIL981799:KIL981888 JYP981799:JYP981888 JOT981799:JOT981888 JEX981799:JEX981888 IVB981799:IVB981888 ILF981799:ILF981888 IBJ981799:IBJ981888 HRN981799:HRN981888 HHR981799:HHR981888 GXV981799:GXV981888 GNZ981799:GNZ981888 GED981799:GED981888 FUH981799:FUH981888 FKL981799:FKL981888 FAP981799:FAP981888 EQT981799:EQT981888 EGX981799:EGX981888 DXB981799:DXB981888 DNF981799:DNF981888 DDJ981799:DDJ981888 CTN981799:CTN981888 CJR981799:CJR981888 BZV981799:BZV981888 BPZ981799:BPZ981888 BGD981799:BGD981888 AWH981799:AWH981888 AML981799:AML981888 ACP981799:ACP981888 ST981799:ST981888 IX981799:IX981888 B981805:B981894 WVJ916263:WVJ916352 WLN916263:WLN916352 WBR916263:WBR916352 VRV916263:VRV916352 VHZ916263:VHZ916352 UYD916263:UYD916352 UOH916263:UOH916352 UEL916263:UEL916352 TUP916263:TUP916352 TKT916263:TKT916352 TAX916263:TAX916352 SRB916263:SRB916352 SHF916263:SHF916352 RXJ916263:RXJ916352 RNN916263:RNN916352 RDR916263:RDR916352 QTV916263:QTV916352 QJZ916263:QJZ916352 QAD916263:QAD916352 PQH916263:PQH916352 PGL916263:PGL916352 OWP916263:OWP916352 OMT916263:OMT916352 OCX916263:OCX916352 NTB916263:NTB916352 NJF916263:NJF916352 MZJ916263:MZJ916352 MPN916263:MPN916352 MFR916263:MFR916352 LVV916263:LVV916352 LLZ916263:LLZ916352 LCD916263:LCD916352 KSH916263:KSH916352 KIL916263:KIL916352 JYP916263:JYP916352 JOT916263:JOT916352 JEX916263:JEX916352 IVB916263:IVB916352 ILF916263:ILF916352 IBJ916263:IBJ916352 HRN916263:HRN916352 HHR916263:HHR916352 GXV916263:GXV916352 GNZ916263:GNZ916352 GED916263:GED916352 FUH916263:FUH916352 FKL916263:FKL916352 FAP916263:FAP916352 EQT916263:EQT916352 EGX916263:EGX916352 DXB916263:DXB916352 DNF916263:DNF916352 DDJ916263:DDJ916352 CTN916263:CTN916352 CJR916263:CJR916352 BZV916263:BZV916352 BPZ916263:BPZ916352 BGD916263:BGD916352 AWH916263:AWH916352 AML916263:AML916352 ACP916263:ACP916352 ST916263:ST916352 IX916263:IX916352 B916269:B916358 WVJ850727:WVJ850816 WLN850727:WLN850816 WBR850727:WBR850816 VRV850727:VRV850816 VHZ850727:VHZ850816 UYD850727:UYD850816 UOH850727:UOH850816 UEL850727:UEL850816 TUP850727:TUP850816 TKT850727:TKT850816 TAX850727:TAX850816 SRB850727:SRB850816 SHF850727:SHF850816 RXJ850727:RXJ850816 RNN850727:RNN850816 RDR850727:RDR850816 QTV850727:QTV850816 QJZ850727:QJZ850816 QAD850727:QAD850816 PQH850727:PQH850816 PGL850727:PGL850816 OWP850727:OWP850816 OMT850727:OMT850816 OCX850727:OCX850816 NTB850727:NTB850816 NJF850727:NJF850816 MZJ850727:MZJ850816 MPN850727:MPN850816 MFR850727:MFR850816 LVV850727:LVV850816 LLZ850727:LLZ850816 LCD850727:LCD850816 KSH850727:KSH850816 KIL850727:KIL850816 JYP850727:JYP850816 JOT850727:JOT850816 JEX850727:JEX850816 IVB850727:IVB850816 ILF850727:ILF850816 IBJ850727:IBJ850816 HRN850727:HRN850816 HHR850727:HHR850816 GXV850727:GXV850816 GNZ850727:GNZ850816 GED850727:GED850816 FUH850727:FUH850816 FKL850727:FKL850816 FAP850727:FAP850816 EQT850727:EQT850816 EGX850727:EGX850816 DXB850727:DXB850816 DNF850727:DNF850816 DDJ850727:DDJ850816 CTN850727:CTN850816 CJR850727:CJR850816 BZV850727:BZV850816 BPZ850727:BPZ850816 BGD850727:BGD850816 AWH850727:AWH850816 AML850727:AML850816 ACP850727:ACP850816 ST850727:ST850816 IX850727:IX850816 B850733:B850822 WVJ785191:WVJ785280 WLN785191:WLN785280 WBR785191:WBR785280 VRV785191:VRV785280 VHZ785191:VHZ785280 UYD785191:UYD785280 UOH785191:UOH785280 UEL785191:UEL785280 TUP785191:TUP785280 TKT785191:TKT785280 TAX785191:TAX785280 SRB785191:SRB785280 SHF785191:SHF785280 RXJ785191:RXJ785280 RNN785191:RNN785280 RDR785191:RDR785280 QTV785191:QTV785280 QJZ785191:QJZ785280 QAD785191:QAD785280 PQH785191:PQH785280 PGL785191:PGL785280 OWP785191:OWP785280 OMT785191:OMT785280 OCX785191:OCX785280 NTB785191:NTB785280 NJF785191:NJF785280 MZJ785191:MZJ785280 MPN785191:MPN785280 MFR785191:MFR785280 LVV785191:LVV785280 LLZ785191:LLZ785280 LCD785191:LCD785280 KSH785191:KSH785280 KIL785191:KIL785280 JYP785191:JYP785280 JOT785191:JOT785280 JEX785191:JEX785280 IVB785191:IVB785280 ILF785191:ILF785280 IBJ785191:IBJ785280 HRN785191:HRN785280 HHR785191:HHR785280 GXV785191:GXV785280 GNZ785191:GNZ785280 GED785191:GED785280 FUH785191:FUH785280 FKL785191:FKL785280 FAP785191:FAP785280 EQT785191:EQT785280 EGX785191:EGX785280 DXB785191:DXB785280 DNF785191:DNF785280 DDJ785191:DDJ785280 CTN785191:CTN785280 CJR785191:CJR785280 BZV785191:BZV785280 BPZ785191:BPZ785280 BGD785191:BGD785280 AWH785191:AWH785280 AML785191:AML785280 ACP785191:ACP785280 ST785191:ST785280 IX785191:IX785280 B785197:B785286 WVJ719655:WVJ719744 WLN719655:WLN719744 WBR719655:WBR719744 VRV719655:VRV719744 VHZ719655:VHZ719744 UYD719655:UYD719744 UOH719655:UOH719744 UEL719655:UEL719744 TUP719655:TUP719744 TKT719655:TKT719744 TAX719655:TAX719744 SRB719655:SRB719744 SHF719655:SHF719744 RXJ719655:RXJ719744 RNN719655:RNN719744 RDR719655:RDR719744 QTV719655:QTV719744 QJZ719655:QJZ719744 QAD719655:QAD719744 PQH719655:PQH719744 PGL719655:PGL719744 OWP719655:OWP719744 OMT719655:OMT719744 OCX719655:OCX719744 NTB719655:NTB719744 NJF719655:NJF719744 MZJ719655:MZJ719744 MPN719655:MPN719744 MFR719655:MFR719744 LVV719655:LVV719744 LLZ719655:LLZ719744 LCD719655:LCD719744 KSH719655:KSH719744 KIL719655:KIL719744 JYP719655:JYP719744 JOT719655:JOT719744 JEX719655:JEX719744 IVB719655:IVB719744 ILF719655:ILF719744 IBJ719655:IBJ719744 HRN719655:HRN719744 HHR719655:HHR719744 GXV719655:GXV719744 GNZ719655:GNZ719744 GED719655:GED719744 FUH719655:FUH719744 FKL719655:FKL719744 FAP719655:FAP719744 EQT719655:EQT719744 EGX719655:EGX719744 DXB719655:DXB719744 DNF719655:DNF719744 DDJ719655:DDJ719744 CTN719655:CTN719744 CJR719655:CJR719744 BZV719655:BZV719744 BPZ719655:BPZ719744 BGD719655:BGD719744 AWH719655:AWH719744 AML719655:AML719744 ACP719655:ACP719744 ST719655:ST719744 IX719655:IX719744 B719661:B719750 WVJ654119:WVJ654208 WLN654119:WLN654208 WBR654119:WBR654208 VRV654119:VRV654208 VHZ654119:VHZ654208 UYD654119:UYD654208 UOH654119:UOH654208 UEL654119:UEL654208 TUP654119:TUP654208 TKT654119:TKT654208 TAX654119:TAX654208 SRB654119:SRB654208 SHF654119:SHF654208 RXJ654119:RXJ654208 RNN654119:RNN654208 RDR654119:RDR654208 QTV654119:QTV654208 QJZ654119:QJZ654208 QAD654119:QAD654208 PQH654119:PQH654208 PGL654119:PGL654208 OWP654119:OWP654208 OMT654119:OMT654208 OCX654119:OCX654208 NTB654119:NTB654208 NJF654119:NJF654208 MZJ654119:MZJ654208 MPN654119:MPN654208 MFR654119:MFR654208 LVV654119:LVV654208 LLZ654119:LLZ654208 LCD654119:LCD654208 KSH654119:KSH654208 KIL654119:KIL654208 JYP654119:JYP654208 JOT654119:JOT654208 JEX654119:JEX654208 IVB654119:IVB654208 ILF654119:ILF654208 IBJ654119:IBJ654208 HRN654119:HRN654208 HHR654119:HHR654208 GXV654119:GXV654208 GNZ654119:GNZ654208 GED654119:GED654208 FUH654119:FUH654208 FKL654119:FKL654208 FAP654119:FAP654208 EQT654119:EQT654208 EGX654119:EGX654208 DXB654119:DXB654208 DNF654119:DNF654208 DDJ654119:DDJ654208 CTN654119:CTN654208 CJR654119:CJR654208 BZV654119:BZV654208 BPZ654119:BPZ654208 BGD654119:BGD654208 AWH654119:AWH654208 AML654119:AML654208 ACP654119:ACP654208 ST654119:ST654208 IX654119:IX654208 B654125:B654214 WVJ588583:WVJ588672 WLN588583:WLN588672 WBR588583:WBR588672 VRV588583:VRV588672 VHZ588583:VHZ588672 UYD588583:UYD588672 UOH588583:UOH588672 UEL588583:UEL588672 TUP588583:TUP588672 TKT588583:TKT588672 TAX588583:TAX588672 SRB588583:SRB588672 SHF588583:SHF588672 RXJ588583:RXJ588672 RNN588583:RNN588672 RDR588583:RDR588672 QTV588583:QTV588672 QJZ588583:QJZ588672 QAD588583:QAD588672 PQH588583:PQH588672 PGL588583:PGL588672 OWP588583:OWP588672 OMT588583:OMT588672 OCX588583:OCX588672 NTB588583:NTB588672 NJF588583:NJF588672 MZJ588583:MZJ588672 MPN588583:MPN588672 MFR588583:MFR588672 LVV588583:LVV588672 LLZ588583:LLZ588672 LCD588583:LCD588672 KSH588583:KSH588672 KIL588583:KIL588672 JYP588583:JYP588672 JOT588583:JOT588672 JEX588583:JEX588672 IVB588583:IVB588672 ILF588583:ILF588672 IBJ588583:IBJ588672 HRN588583:HRN588672 HHR588583:HHR588672 GXV588583:GXV588672 GNZ588583:GNZ588672 GED588583:GED588672 FUH588583:FUH588672 FKL588583:FKL588672 FAP588583:FAP588672 EQT588583:EQT588672 EGX588583:EGX588672 DXB588583:DXB588672 DNF588583:DNF588672 DDJ588583:DDJ588672 CTN588583:CTN588672 CJR588583:CJR588672 BZV588583:BZV588672 BPZ588583:BPZ588672 BGD588583:BGD588672 AWH588583:AWH588672 AML588583:AML588672 ACP588583:ACP588672 ST588583:ST588672 IX588583:IX588672 B588589:B588678 WVJ523047:WVJ523136 WLN523047:WLN523136 WBR523047:WBR523136 VRV523047:VRV523136 VHZ523047:VHZ523136 UYD523047:UYD523136 UOH523047:UOH523136 UEL523047:UEL523136 TUP523047:TUP523136 TKT523047:TKT523136 TAX523047:TAX523136 SRB523047:SRB523136 SHF523047:SHF523136 RXJ523047:RXJ523136 RNN523047:RNN523136 RDR523047:RDR523136 QTV523047:QTV523136 QJZ523047:QJZ523136 QAD523047:QAD523136 PQH523047:PQH523136 PGL523047:PGL523136 OWP523047:OWP523136 OMT523047:OMT523136 OCX523047:OCX523136 NTB523047:NTB523136 NJF523047:NJF523136 MZJ523047:MZJ523136 MPN523047:MPN523136 MFR523047:MFR523136 LVV523047:LVV523136 LLZ523047:LLZ523136 LCD523047:LCD523136 KSH523047:KSH523136 KIL523047:KIL523136 JYP523047:JYP523136 JOT523047:JOT523136 JEX523047:JEX523136 IVB523047:IVB523136 ILF523047:ILF523136 IBJ523047:IBJ523136 HRN523047:HRN523136 HHR523047:HHR523136 GXV523047:GXV523136 GNZ523047:GNZ523136 GED523047:GED523136 FUH523047:FUH523136 FKL523047:FKL523136 FAP523047:FAP523136 EQT523047:EQT523136 EGX523047:EGX523136 DXB523047:DXB523136 DNF523047:DNF523136 DDJ523047:DDJ523136 CTN523047:CTN523136 CJR523047:CJR523136 BZV523047:BZV523136 BPZ523047:BPZ523136 BGD523047:BGD523136 AWH523047:AWH523136 AML523047:AML523136 ACP523047:ACP523136 ST523047:ST523136 IX523047:IX523136 B523053:B523142 WVJ457511:WVJ457600 WLN457511:WLN457600 WBR457511:WBR457600 VRV457511:VRV457600 VHZ457511:VHZ457600 UYD457511:UYD457600 UOH457511:UOH457600 UEL457511:UEL457600 TUP457511:TUP457600 TKT457511:TKT457600 TAX457511:TAX457600 SRB457511:SRB457600 SHF457511:SHF457600 RXJ457511:RXJ457600 RNN457511:RNN457600 RDR457511:RDR457600 QTV457511:QTV457600 QJZ457511:QJZ457600 QAD457511:QAD457600 PQH457511:PQH457600 PGL457511:PGL457600 OWP457511:OWP457600 OMT457511:OMT457600 OCX457511:OCX457600 NTB457511:NTB457600 NJF457511:NJF457600 MZJ457511:MZJ457600 MPN457511:MPN457600 MFR457511:MFR457600 LVV457511:LVV457600 LLZ457511:LLZ457600 LCD457511:LCD457600 KSH457511:KSH457600 KIL457511:KIL457600 JYP457511:JYP457600 JOT457511:JOT457600 JEX457511:JEX457600 IVB457511:IVB457600 ILF457511:ILF457600 IBJ457511:IBJ457600 HRN457511:HRN457600 HHR457511:HHR457600 GXV457511:GXV457600 GNZ457511:GNZ457600 GED457511:GED457600 FUH457511:FUH457600 FKL457511:FKL457600 FAP457511:FAP457600 EQT457511:EQT457600 EGX457511:EGX457600 DXB457511:DXB457600 DNF457511:DNF457600 DDJ457511:DDJ457600 CTN457511:CTN457600 CJR457511:CJR457600 BZV457511:BZV457600 BPZ457511:BPZ457600 BGD457511:BGD457600 AWH457511:AWH457600 AML457511:AML457600 ACP457511:ACP457600 ST457511:ST457600 IX457511:IX457600 B457517:B457606 WVJ391975:WVJ392064 WLN391975:WLN392064 WBR391975:WBR392064 VRV391975:VRV392064 VHZ391975:VHZ392064 UYD391975:UYD392064 UOH391975:UOH392064 UEL391975:UEL392064 TUP391975:TUP392064 TKT391975:TKT392064 TAX391975:TAX392064 SRB391975:SRB392064 SHF391975:SHF392064 RXJ391975:RXJ392064 RNN391975:RNN392064 RDR391975:RDR392064 QTV391975:QTV392064 QJZ391975:QJZ392064 QAD391975:QAD392064 PQH391975:PQH392064 PGL391975:PGL392064 OWP391975:OWP392064 OMT391975:OMT392064 OCX391975:OCX392064 NTB391975:NTB392064 NJF391975:NJF392064 MZJ391975:MZJ392064 MPN391975:MPN392064 MFR391975:MFR392064 LVV391975:LVV392064 LLZ391975:LLZ392064 LCD391975:LCD392064 KSH391975:KSH392064 KIL391975:KIL392064 JYP391975:JYP392064 JOT391975:JOT392064 JEX391975:JEX392064 IVB391975:IVB392064 ILF391975:ILF392064 IBJ391975:IBJ392064 HRN391975:HRN392064 HHR391975:HHR392064 GXV391975:GXV392064 GNZ391975:GNZ392064 GED391975:GED392064 FUH391975:FUH392064 FKL391975:FKL392064 FAP391975:FAP392064 EQT391975:EQT392064 EGX391975:EGX392064 DXB391975:DXB392064 DNF391975:DNF392064 DDJ391975:DDJ392064 CTN391975:CTN392064 CJR391975:CJR392064 BZV391975:BZV392064 BPZ391975:BPZ392064 BGD391975:BGD392064 AWH391975:AWH392064 AML391975:AML392064 ACP391975:ACP392064 ST391975:ST392064 IX391975:IX392064 B391981:B392070 WVJ326439:WVJ326528 WLN326439:WLN326528 WBR326439:WBR326528 VRV326439:VRV326528 VHZ326439:VHZ326528 UYD326439:UYD326528 UOH326439:UOH326528 UEL326439:UEL326528 TUP326439:TUP326528 TKT326439:TKT326528 TAX326439:TAX326528 SRB326439:SRB326528 SHF326439:SHF326528 RXJ326439:RXJ326528 RNN326439:RNN326528 RDR326439:RDR326528 QTV326439:QTV326528 QJZ326439:QJZ326528 QAD326439:QAD326528 PQH326439:PQH326528 PGL326439:PGL326528 OWP326439:OWP326528 OMT326439:OMT326528 OCX326439:OCX326528 NTB326439:NTB326528 NJF326439:NJF326528 MZJ326439:MZJ326528 MPN326439:MPN326528 MFR326439:MFR326528 LVV326439:LVV326528 LLZ326439:LLZ326528 LCD326439:LCD326528 KSH326439:KSH326528 KIL326439:KIL326528 JYP326439:JYP326528 JOT326439:JOT326528 JEX326439:JEX326528 IVB326439:IVB326528 ILF326439:ILF326528 IBJ326439:IBJ326528 HRN326439:HRN326528 HHR326439:HHR326528 GXV326439:GXV326528 GNZ326439:GNZ326528 GED326439:GED326528 FUH326439:FUH326528 FKL326439:FKL326528 FAP326439:FAP326528 EQT326439:EQT326528 EGX326439:EGX326528 DXB326439:DXB326528 DNF326439:DNF326528 DDJ326439:DDJ326528 CTN326439:CTN326528 CJR326439:CJR326528 BZV326439:BZV326528 BPZ326439:BPZ326528 BGD326439:BGD326528 AWH326439:AWH326528 AML326439:AML326528 ACP326439:ACP326528 ST326439:ST326528 IX326439:IX326528 B326445:B326534 WVJ260903:WVJ260992 WLN260903:WLN260992 WBR260903:WBR260992 VRV260903:VRV260992 VHZ260903:VHZ260992 UYD260903:UYD260992 UOH260903:UOH260992 UEL260903:UEL260992 TUP260903:TUP260992 TKT260903:TKT260992 TAX260903:TAX260992 SRB260903:SRB260992 SHF260903:SHF260992 RXJ260903:RXJ260992 RNN260903:RNN260992 RDR260903:RDR260992 QTV260903:QTV260992 QJZ260903:QJZ260992 QAD260903:QAD260992 PQH260903:PQH260992 PGL260903:PGL260992 OWP260903:OWP260992 OMT260903:OMT260992 OCX260903:OCX260992 NTB260903:NTB260992 NJF260903:NJF260992 MZJ260903:MZJ260992 MPN260903:MPN260992 MFR260903:MFR260992 LVV260903:LVV260992 LLZ260903:LLZ260992 LCD260903:LCD260992 KSH260903:KSH260992 KIL260903:KIL260992 JYP260903:JYP260992 JOT260903:JOT260992 JEX260903:JEX260992 IVB260903:IVB260992 ILF260903:ILF260992 IBJ260903:IBJ260992 HRN260903:HRN260992 HHR260903:HHR260992 GXV260903:GXV260992 GNZ260903:GNZ260992 GED260903:GED260992 FUH260903:FUH260992 FKL260903:FKL260992 FAP260903:FAP260992 EQT260903:EQT260992 EGX260903:EGX260992 DXB260903:DXB260992 DNF260903:DNF260992 DDJ260903:DDJ260992 CTN260903:CTN260992 CJR260903:CJR260992 BZV260903:BZV260992 BPZ260903:BPZ260992 BGD260903:BGD260992 AWH260903:AWH260992 AML260903:AML260992 ACP260903:ACP260992 ST260903:ST260992 IX260903:IX260992 B260909:B260998 WVJ195367:WVJ195456 WLN195367:WLN195456 WBR195367:WBR195456 VRV195367:VRV195456 VHZ195367:VHZ195456 UYD195367:UYD195456 UOH195367:UOH195456 UEL195367:UEL195456 TUP195367:TUP195456 TKT195367:TKT195456 TAX195367:TAX195456 SRB195367:SRB195456 SHF195367:SHF195456 RXJ195367:RXJ195456 RNN195367:RNN195456 RDR195367:RDR195456 QTV195367:QTV195456 QJZ195367:QJZ195456 QAD195367:QAD195456 PQH195367:PQH195456 PGL195367:PGL195456 OWP195367:OWP195456 OMT195367:OMT195456 OCX195367:OCX195456 NTB195367:NTB195456 NJF195367:NJF195456 MZJ195367:MZJ195456 MPN195367:MPN195456 MFR195367:MFR195456 LVV195367:LVV195456 LLZ195367:LLZ195456 LCD195367:LCD195456 KSH195367:KSH195456 KIL195367:KIL195456 JYP195367:JYP195456 JOT195367:JOT195456 JEX195367:JEX195456 IVB195367:IVB195456 ILF195367:ILF195456 IBJ195367:IBJ195456 HRN195367:HRN195456 HHR195367:HHR195456 GXV195367:GXV195456 GNZ195367:GNZ195456 GED195367:GED195456 FUH195367:FUH195456 FKL195367:FKL195456 FAP195367:FAP195456 EQT195367:EQT195456 EGX195367:EGX195456 DXB195367:DXB195456 DNF195367:DNF195456 DDJ195367:DDJ195456 CTN195367:CTN195456 CJR195367:CJR195456 BZV195367:BZV195456 BPZ195367:BPZ195456 BGD195367:BGD195456 AWH195367:AWH195456 AML195367:AML195456 ACP195367:ACP195456 ST195367:ST195456 IX195367:IX195456 B195373:B195462 WVJ129831:WVJ129920 WLN129831:WLN129920 WBR129831:WBR129920 VRV129831:VRV129920 VHZ129831:VHZ129920 UYD129831:UYD129920 UOH129831:UOH129920 UEL129831:UEL129920 TUP129831:TUP129920 TKT129831:TKT129920 TAX129831:TAX129920 SRB129831:SRB129920 SHF129831:SHF129920 RXJ129831:RXJ129920 RNN129831:RNN129920 RDR129831:RDR129920 QTV129831:QTV129920 QJZ129831:QJZ129920 QAD129831:QAD129920 PQH129831:PQH129920 PGL129831:PGL129920 OWP129831:OWP129920 OMT129831:OMT129920 OCX129831:OCX129920 NTB129831:NTB129920 NJF129831:NJF129920 MZJ129831:MZJ129920 MPN129831:MPN129920 MFR129831:MFR129920 LVV129831:LVV129920 LLZ129831:LLZ129920 LCD129831:LCD129920 KSH129831:KSH129920 KIL129831:KIL129920 JYP129831:JYP129920 JOT129831:JOT129920 JEX129831:JEX129920 IVB129831:IVB129920 ILF129831:ILF129920 IBJ129831:IBJ129920 HRN129831:HRN129920 HHR129831:HHR129920 GXV129831:GXV129920 GNZ129831:GNZ129920 GED129831:GED129920 FUH129831:FUH129920 FKL129831:FKL129920 FAP129831:FAP129920 EQT129831:EQT129920 EGX129831:EGX129920 DXB129831:DXB129920 DNF129831:DNF129920 DDJ129831:DDJ129920 CTN129831:CTN129920 CJR129831:CJR129920 BZV129831:BZV129920 BPZ129831:BPZ129920 BGD129831:BGD129920 AWH129831:AWH129920 AML129831:AML129920 ACP129831:ACP129920 ST129831:ST129920 IX129831:IX129920 B129837:B129926 WVJ64295:WVJ64384 WLN64295:WLN64384 WBR64295:WBR64384 VRV64295:VRV64384 VHZ64295:VHZ64384 UYD64295:UYD64384 UOH64295:UOH64384 UEL64295:UEL64384 TUP64295:TUP64384 TKT64295:TKT64384 TAX64295:TAX64384 SRB64295:SRB64384 SHF64295:SHF64384 RXJ64295:RXJ64384 RNN64295:RNN64384 RDR64295:RDR64384 QTV64295:QTV64384 QJZ64295:QJZ64384 QAD64295:QAD64384 PQH64295:PQH64384 PGL64295:PGL64384 OWP64295:OWP64384 OMT64295:OMT64384 OCX64295:OCX64384 NTB64295:NTB64384 NJF64295:NJF64384 MZJ64295:MZJ64384 MPN64295:MPN64384 MFR64295:MFR64384 LVV64295:LVV64384 LLZ64295:LLZ64384 LCD64295:LCD64384 KSH64295:KSH64384 KIL64295:KIL64384 JYP64295:JYP64384 JOT64295:JOT64384 JEX64295:JEX64384 IVB64295:IVB64384 ILF64295:ILF64384 IBJ64295:IBJ64384 HRN64295:HRN64384 HHR64295:HHR64384 GXV64295:GXV64384 GNZ64295:GNZ64384 GED64295:GED64384 FUH64295:FUH64384 FKL64295:FKL64384 FAP64295:FAP64384 EQT64295:EQT64384 EGX64295:EGX64384 DXB64295:DXB64384 DNF64295:DNF64384 DDJ64295:DDJ64384 CTN64295:CTN64384 CJR64295:CJR64384 BZV64295:BZV64384 BPZ64295:BPZ64384 BGD64295:BGD64384 AWH64295:AWH64384 AML64295:AML64384 ACP64295:ACP64384 ST64295:ST64384 IX64295:IX64384 B64301:B64390 B90:B106 B2:B88 ST2:ST67 ACP2:ACP67 AML2:AML67 AWH2:AWH67 BGD2:BGD67 BPZ2:BPZ67 BZV2:BZV67 CJR2:CJR67 CTN2:CTN67 DDJ2:DDJ67 DNF2:DNF67 DXB2:DXB67 EGX2:EGX67 EQT2:EQT67 FAP2:FAP67 FKL2:FKL67 FUH2:FUH67 GED2:GED67 GNZ2:GNZ67 GXV2:GXV67 HHR2:HHR67 HRN2:HRN67 IBJ2:IBJ67 ILF2:ILF67 IVB2:IVB67 JEX2:JEX67 JOT2:JOT67 JYP2:JYP67 KIL2:KIL67 KSH2:KSH67 LCD2:LCD67 LLZ2:LLZ67 LVV2:LVV67 MFR2:MFR67 MPN2:MPN67 MZJ2:MZJ67 NJF2:NJF67 NTB2:NTB67 OCX2:OCX67 OMT2:OMT67 OWP2:OWP67 PGL2:PGL67 PQH2:PQH67 QAD2:QAD67 QJZ2:QJZ67 QTV2:QTV67 RDR2:RDR67 RNN2:RNN67 RXJ2:RXJ67 SHF2:SHF67 SRB2:SRB67 TAX2:TAX67 TKT2:TKT67 TUP2:TUP67 UEL2:UEL67 UOH2:UOH67 UYD2:UYD67 VHZ2:VHZ67 VRV2:VRV67 WBR2:WBR67 WLN2:WLN67 WVJ2:WVJ67 IX2:IX67" xr:uid="{BFBB0F67-7EE1-4070-B8E8-261B17A1F606}"/>
    <dataValidation type="list" allowBlank="1" showInputMessage="1" showErrorMessage="1" sqref="WVI981799:WVI981888 WLM981799:WLM981888 WBQ981799:WBQ981888 VRU981799:VRU981888 VHY981799:VHY981888 UYC981799:UYC981888 UOG981799:UOG981888 UEK981799:UEK981888 TUO981799:TUO981888 TKS981799:TKS981888 TAW981799:TAW981888 SRA981799:SRA981888 SHE981799:SHE981888 RXI981799:RXI981888 RNM981799:RNM981888 RDQ981799:RDQ981888 QTU981799:QTU981888 QJY981799:QJY981888 QAC981799:QAC981888 PQG981799:PQG981888 PGK981799:PGK981888 OWO981799:OWO981888 OMS981799:OMS981888 OCW981799:OCW981888 NTA981799:NTA981888 NJE981799:NJE981888 MZI981799:MZI981888 MPM981799:MPM981888 MFQ981799:MFQ981888 LVU981799:LVU981888 LLY981799:LLY981888 LCC981799:LCC981888 KSG981799:KSG981888 KIK981799:KIK981888 JYO981799:JYO981888 JOS981799:JOS981888 JEW981799:JEW981888 IVA981799:IVA981888 ILE981799:ILE981888 IBI981799:IBI981888 HRM981799:HRM981888 HHQ981799:HHQ981888 GXU981799:GXU981888 GNY981799:GNY981888 GEC981799:GEC981888 FUG981799:FUG981888 FKK981799:FKK981888 FAO981799:FAO981888 EQS981799:EQS981888 EGW981799:EGW981888 DXA981799:DXA981888 DNE981799:DNE981888 DDI981799:DDI981888 CTM981799:CTM981888 CJQ981799:CJQ981888 BZU981799:BZU981888 BPY981799:BPY981888 BGC981799:BGC981888 AWG981799:AWG981888 AMK981799:AMK981888 ACO981799:ACO981888 SS981799:SS981888 IW981799:IW981888 A981805:A981894 WVI916263:WVI916352 WLM916263:WLM916352 WBQ916263:WBQ916352 VRU916263:VRU916352 VHY916263:VHY916352 UYC916263:UYC916352 UOG916263:UOG916352 UEK916263:UEK916352 TUO916263:TUO916352 TKS916263:TKS916352 TAW916263:TAW916352 SRA916263:SRA916352 SHE916263:SHE916352 RXI916263:RXI916352 RNM916263:RNM916352 RDQ916263:RDQ916352 QTU916263:QTU916352 QJY916263:QJY916352 QAC916263:QAC916352 PQG916263:PQG916352 PGK916263:PGK916352 OWO916263:OWO916352 OMS916263:OMS916352 OCW916263:OCW916352 NTA916263:NTA916352 NJE916263:NJE916352 MZI916263:MZI916352 MPM916263:MPM916352 MFQ916263:MFQ916352 LVU916263:LVU916352 LLY916263:LLY916352 LCC916263:LCC916352 KSG916263:KSG916352 KIK916263:KIK916352 JYO916263:JYO916352 JOS916263:JOS916352 JEW916263:JEW916352 IVA916263:IVA916352 ILE916263:ILE916352 IBI916263:IBI916352 HRM916263:HRM916352 HHQ916263:HHQ916352 GXU916263:GXU916352 GNY916263:GNY916352 GEC916263:GEC916352 FUG916263:FUG916352 FKK916263:FKK916352 FAO916263:FAO916352 EQS916263:EQS916352 EGW916263:EGW916352 DXA916263:DXA916352 DNE916263:DNE916352 DDI916263:DDI916352 CTM916263:CTM916352 CJQ916263:CJQ916352 BZU916263:BZU916352 BPY916263:BPY916352 BGC916263:BGC916352 AWG916263:AWG916352 AMK916263:AMK916352 ACO916263:ACO916352 SS916263:SS916352 IW916263:IW916352 A916269:A916358 WVI850727:WVI850816 WLM850727:WLM850816 WBQ850727:WBQ850816 VRU850727:VRU850816 VHY850727:VHY850816 UYC850727:UYC850816 UOG850727:UOG850816 UEK850727:UEK850816 TUO850727:TUO850816 TKS850727:TKS850816 TAW850727:TAW850816 SRA850727:SRA850816 SHE850727:SHE850816 RXI850727:RXI850816 RNM850727:RNM850816 RDQ850727:RDQ850816 QTU850727:QTU850816 QJY850727:QJY850816 QAC850727:QAC850816 PQG850727:PQG850816 PGK850727:PGK850816 OWO850727:OWO850816 OMS850727:OMS850816 OCW850727:OCW850816 NTA850727:NTA850816 NJE850727:NJE850816 MZI850727:MZI850816 MPM850727:MPM850816 MFQ850727:MFQ850816 LVU850727:LVU850816 LLY850727:LLY850816 LCC850727:LCC850816 KSG850727:KSG850816 KIK850727:KIK850816 JYO850727:JYO850816 JOS850727:JOS850816 JEW850727:JEW850816 IVA850727:IVA850816 ILE850727:ILE850816 IBI850727:IBI850816 HRM850727:HRM850816 HHQ850727:HHQ850816 GXU850727:GXU850816 GNY850727:GNY850816 GEC850727:GEC850816 FUG850727:FUG850816 FKK850727:FKK850816 FAO850727:FAO850816 EQS850727:EQS850816 EGW850727:EGW850816 DXA850727:DXA850816 DNE850727:DNE850816 DDI850727:DDI850816 CTM850727:CTM850816 CJQ850727:CJQ850816 BZU850727:BZU850816 BPY850727:BPY850816 BGC850727:BGC850816 AWG850727:AWG850816 AMK850727:AMK850816 ACO850727:ACO850816 SS850727:SS850816 IW850727:IW850816 A850733:A850822 WVI785191:WVI785280 WLM785191:WLM785280 WBQ785191:WBQ785280 VRU785191:VRU785280 VHY785191:VHY785280 UYC785191:UYC785280 UOG785191:UOG785280 UEK785191:UEK785280 TUO785191:TUO785280 TKS785191:TKS785280 TAW785191:TAW785280 SRA785191:SRA785280 SHE785191:SHE785280 RXI785191:RXI785280 RNM785191:RNM785280 RDQ785191:RDQ785280 QTU785191:QTU785280 QJY785191:QJY785280 QAC785191:QAC785280 PQG785191:PQG785280 PGK785191:PGK785280 OWO785191:OWO785280 OMS785191:OMS785280 OCW785191:OCW785280 NTA785191:NTA785280 NJE785191:NJE785280 MZI785191:MZI785280 MPM785191:MPM785280 MFQ785191:MFQ785280 LVU785191:LVU785280 LLY785191:LLY785280 LCC785191:LCC785280 KSG785191:KSG785280 KIK785191:KIK785280 JYO785191:JYO785280 JOS785191:JOS785280 JEW785191:JEW785280 IVA785191:IVA785280 ILE785191:ILE785280 IBI785191:IBI785280 HRM785191:HRM785280 HHQ785191:HHQ785280 GXU785191:GXU785280 GNY785191:GNY785280 GEC785191:GEC785280 FUG785191:FUG785280 FKK785191:FKK785280 FAO785191:FAO785280 EQS785191:EQS785280 EGW785191:EGW785280 DXA785191:DXA785280 DNE785191:DNE785280 DDI785191:DDI785280 CTM785191:CTM785280 CJQ785191:CJQ785280 BZU785191:BZU785280 BPY785191:BPY785280 BGC785191:BGC785280 AWG785191:AWG785280 AMK785191:AMK785280 ACO785191:ACO785280 SS785191:SS785280 IW785191:IW785280 A785197:A785286 WVI719655:WVI719744 WLM719655:WLM719744 WBQ719655:WBQ719744 VRU719655:VRU719744 VHY719655:VHY719744 UYC719655:UYC719744 UOG719655:UOG719744 UEK719655:UEK719744 TUO719655:TUO719744 TKS719655:TKS719744 TAW719655:TAW719744 SRA719655:SRA719744 SHE719655:SHE719744 RXI719655:RXI719744 RNM719655:RNM719744 RDQ719655:RDQ719744 QTU719655:QTU719744 QJY719655:QJY719744 QAC719655:QAC719744 PQG719655:PQG719744 PGK719655:PGK719744 OWO719655:OWO719744 OMS719655:OMS719744 OCW719655:OCW719744 NTA719655:NTA719744 NJE719655:NJE719744 MZI719655:MZI719744 MPM719655:MPM719744 MFQ719655:MFQ719744 LVU719655:LVU719744 LLY719655:LLY719744 LCC719655:LCC719744 KSG719655:KSG719744 KIK719655:KIK719744 JYO719655:JYO719744 JOS719655:JOS719744 JEW719655:JEW719744 IVA719655:IVA719744 ILE719655:ILE719744 IBI719655:IBI719744 HRM719655:HRM719744 HHQ719655:HHQ719744 GXU719655:GXU719744 GNY719655:GNY719744 GEC719655:GEC719744 FUG719655:FUG719744 FKK719655:FKK719744 FAO719655:FAO719744 EQS719655:EQS719744 EGW719655:EGW719744 DXA719655:DXA719744 DNE719655:DNE719744 DDI719655:DDI719744 CTM719655:CTM719744 CJQ719655:CJQ719744 BZU719655:BZU719744 BPY719655:BPY719744 BGC719655:BGC719744 AWG719655:AWG719744 AMK719655:AMK719744 ACO719655:ACO719744 SS719655:SS719744 IW719655:IW719744 A719661:A719750 WVI654119:WVI654208 WLM654119:WLM654208 WBQ654119:WBQ654208 VRU654119:VRU654208 VHY654119:VHY654208 UYC654119:UYC654208 UOG654119:UOG654208 UEK654119:UEK654208 TUO654119:TUO654208 TKS654119:TKS654208 TAW654119:TAW654208 SRA654119:SRA654208 SHE654119:SHE654208 RXI654119:RXI654208 RNM654119:RNM654208 RDQ654119:RDQ654208 QTU654119:QTU654208 QJY654119:QJY654208 QAC654119:QAC654208 PQG654119:PQG654208 PGK654119:PGK654208 OWO654119:OWO654208 OMS654119:OMS654208 OCW654119:OCW654208 NTA654119:NTA654208 NJE654119:NJE654208 MZI654119:MZI654208 MPM654119:MPM654208 MFQ654119:MFQ654208 LVU654119:LVU654208 LLY654119:LLY654208 LCC654119:LCC654208 KSG654119:KSG654208 KIK654119:KIK654208 JYO654119:JYO654208 JOS654119:JOS654208 JEW654119:JEW654208 IVA654119:IVA654208 ILE654119:ILE654208 IBI654119:IBI654208 HRM654119:HRM654208 HHQ654119:HHQ654208 GXU654119:GXU654208 GNY654119:GNY654208 GEC654119:GEC654208 FUG654119:FUG654208 FKK654119:FKK654208 FAO654119:FAO654208 EQS654119:EQS654208 EGW654119:EGW654208 DXA654119:DXA654208 DNE654119:DNE654208 DDI654119:DDI654208 CTM654119:CTM654208 CJQ654119:CJQ654208 BZU654119:BZU654208 BPY654119:BPY654208 BGC654119:BGC654208 AWG654119:AWG654208 AMK654119:AMK654208 ACO654119:ACO654208 SS654119:SS654208 IW654119:IW654208 A654125:A654214 WVI588583:WVI588672 WLM588583:WLM588672 WBQ588583:WBQ588672 VRU588583:VRU588672 VHY588583:VHY588672 UYC588583:UYC588672 UOG588583:UOG588672 UEK588583:UEK588672 TUO588583:TUO588672 TKS588583:TKS588672 TAW588583:TAW588672 SRA588583:SRA588672 SHE588583:SHE588672 RXI588583:RXI588672 RNM588583:RNM588672 RDQ588583:RDQ588672 QTU588583:QTU588672 QJY588583:QJY588672 QAC588583:QAC588672 PQG588583:PQG588672 PGK588583:PGK588672 OWO588583:OWO588672 OMS588583:OMS588672 OCW588583:OCW588672 NTA588583:NTA588672 NJE588583:NJE588672 MZI588583:MZI588672 MPM588583:MPM588672 MFQ588583:MFQ588672 LVU588583:LVU588672 LLY588583:LLY588672 LCC588583:LCC588672 KSG588583:KSG588672 KIK588583:KIK588672 JYO588583:JYO588672 JOS588583:JOS588672 JEW588583:JEW588672 IVA588583:IVA588672 ILE588583:ILE588672 IBI588583:IBI588672 HRM588583:HRM588672 HHQ588583:HHQ588672 GXU588583:GXU588672 GNY588583:GNY588672 GEC588583:GEC588672 FUG588583:FUG588672 FKK588583:FKK588672 FAO588583:FAO588672 EQS588583:EQS588672 EGW588583:EGW588672 DXA588583:DXA588672 DNE588583:DNE588672 DDI588583:DDI588672 CTM588583:CTM588672 CJQ588583:CJQ588672 BZU588583:BZU588672 BPY588583:BPY588672 BGC588583:BGC588672 AWG588583:AWG588672 AMK588583:AMK588672 ACO588583:ACO588672 SS588583:SS588672 IW588583:IW588672 A588589:A588678 WVI523047:WVI523136 WLM523047:WLM523136 WBQ523047:WBQ523136 VRU523047:VRU523136 VHY523047:VHY523136 UYC523047:UYC523136 UOG523047:UOG523136 UEK523047:UEK523136 TUO523047:TUO523136 TKS523047:TKS523136 TAW523047:TAW523136 SRA523047:SRA523136 SHE523047:SHE523136 RXI523047:RXI523136 RNM523047:RNM523136 RDQ523047:RDQ523136 QTU523047:QTU523136 QJY523047:QJY523136 QAC523047:QAC523136 PQG523047:PQG523136 PGK523047:PGK523136 OWO523047:OWO523136 OMS523047:OMS523136 OCW523047:OCW523136 NTA523047:NTA523136 NJE523047:NJE523136 MZI523047:MZI523136 MPM523047:MPM523136 MFQ523047:MFQ523136 LVU523047:LVU523136 LLY523047:LLY523136 LCC523047:LCC523136 KSG523047:KSG523136 KIK523047:KIK523136 JYO523047:JYO523136 JOS523047:JOS523136 JEW523047:JEW523136 IVA523047:IVA523136 ILE523047:ILE523136 IBI523047:IBI523136 HRM523047:HRM523136 HHQ523047:HHQ523136 GXU523047:GXU523136 GNY523047:GNY523136 GEC523047:GEC523136 FUG523047:FUG523136 FKK523047:FKK523136 FAO523047:FAO523136 EQS523047:EQS523136 EGW523047:EGW523136 DXA523047:DXA523136 DNE523047:DNE523136 DDI523047:DDI523136 CTM523047:CTM523136 CJQ523047:CJQ523136 BZU523047:BZU523136 BPY523047:BPY523136 BGC523047:BGC523136 AWG523047:AWG523136 AMK523047:AMK523136 ACO523047:ACO523136 SS523047:SS523136 IW523047:IW523136 A523053:A523142 WVI457511:WVI457600 WLM457511:WLM457600 WBQ457511:WBQ457600 VRU457511:VRU457600 VHY457511:VHY457600 UYC457511:UYC457600 UOG457511:UOG457600 UEK457511:UEK457600 TUO457511:TUO457600 TKS457511:TKS457600 TAW457511:TAW457600 SRA457511:SRA457600 SHE457511:SHE457600 RXI457511:RXI457600 RNM457511:RNM457600 RDQ457511:RDQ457600 QTU457511:QTU457600 QJY457511:QJY457600 QAC457511:QAC457600 PQG457511:PQG457600 PGK457511:PGK457600 OWO457511:OWO457600 OMS457511:OMS457600 OCW457511:OCW457600 NTA457511:NTA457600 NJE457511:NJE457600 MZI457511:MZI457600 MPM457511:MPM457600 MFQ457511:MFQ457600 LVU457511:LVU457600 LLY457511:LLY457600 LCC457511:LCC457600 KSG457511:KSG457600 KIK457511:KIK457600 JYO457511:JYO457600 JOS457511:JOS457600 JEW457511:JEW457600 IVA457511:IVA457600 ILE457511:ILE457600 IBI457511:IBI457600 HRM457511:HRM457600 HHQ457511:HHQ457600 GXU457511:GXU457600 GNY457511:GNY457600 GEC457511:GEC457600 FUG457511:FUG457600 FKK457511:FKK457600 FAO457511:FAO457600 EQS457511:EQS457600 EGW457511:EGW457600 DXA457511:DXA457600 DNE457511:DNE457600 DDI457511:DDI457600 CTM457511:CTM457600 CJQ457511:CJQ457600 BZU457511:BZU457600 BPY457511:BPY457600 BGC457511:BGC457600 AWG457511:AWG457600 AMK457511:AMK457600 ACO457511:ACO457600 SS457511:SS457600 IW457511:IW457600 A457517:A457606 WVI391975:WVI392064 WLM391975:WLM392064 WBQ391975:WBQ392064 VRU391975:VRU392064 VHY391975:VHY392064 UYC391975:UYC392064 UOG391975:UOG392064 UEK391975:UEK392064 TUO391975:TUO392064 TKS391975:TKS392064 TAW391975:TAW392064 SRA391975:SRA392064 SHE391975:SHE392064 RXI391975:RXI392064 RNM391975:RNM392064 RDQ391975:RDQ392064 QTU391975:QTU392064 QJY391975:QJY392064 QAC391975:QAC392064 PQG391975:PQG392064 PGK391975:PGK392064 OWO391975:OWO392064 OMS391975:OMS392064 OCW391975:OCW392064 NTA391975:NTA392064 NJE391975:NJE392064 MZI391975:MZI392064 MPM391975:MPM392064 MFQ391975:MFQ392064 LVU391975:LVU392064 LLY391975:LLY392064 LCC391975:LCC392064 KSG391975:KSG392064 KIK391975:KIK392064 JYO391975:JYO392064 JOS391975:JOS392064 JEW391975:JEW392064 IVA391975:IVA392064 ILE391975:ILE392064 IBI391975:IBI392064 HRM391975:HRM392064 HHQ391975:HHQ392064 GXU391975:GXU392064 GNY391975:GNY392064 GEC391975:GEC392064 FUG391975:FUG392064 FKK391975:FKK392064 FAO391975:FAO392064 EQS391975:EQS392064 EGW391975:EGW392064 DXA391975:DXA392064 DNE391975:DNE392064 DDI391975:DDI392064 CTM391975:CTM392064 CJQ391975:CJQ392064 BZU391975:BZU392064 BPY391975:BPY392064 BGC391975:BGC392064 AWG391975:AWG392064 AMK391975:AMK392064 ACO391975:ACO392064 SS391975:SS392064 IW391975:IW392064 A391981:A392070 WVI326439:WVI326528 WLM326439:WLM326528 WBQ326439:WBQ326528 VRU326439:VRU326528 VHY326439:VHY326528 UYC326439:UYC326528 UOG326439:UOG326528 UEK326439:UEK326528 TUO326439:TUO326528 TKS326439:TKS326528 TAW326439:TAW326528 SRA326439:SRA326528 SHE326439:SHE326528 RXI326439:RXI326528 RNM326439:RNM326528 RDQ326439:RDQ326528 QTU326439:QTU326528 QJY326439:QJY326528 QAC326439:QAC326528 PQG326439:PQG326528 PGK326439:PGK326528 OWO326439:OWO326528 OMS326439:OMS326528 OCW326439:OCW326528 NTA326439:NTA326528 NJE326439:NJE326528 MZI326439:MZI326528 MPM326439:MPM326528 MFQ326439:MFQ326528 LVU326439:LVU326528 LLY326439:LLY326528 LCC326439:LCC326528 KSG326439:KSG326528 KIK326439:KIK326528 JYO326439:JYO326528 JOS326439:JOS326528 JEW326439:JEW326528 IVA326439:IVA326528 ILE326439:ILE326528 IBI326439:IBI326528 HRM326439:HRM326528 HHQ326439:HHQ326528 GXU326439:GXU326528 GNY326439:GNY326528 GEC326439:GEC326528 FUG326439:FUG326528 FKK326439:FKK326528 FAO326439:FAO326528 EQS326439:EQS326528 EGW326439:EGW326528 DXA326439:DXA326528 DNE326439:DNE326528 DDI326439:DDI326528 CTM326439:CTM326528 CJQ326439:CJQ326528 BZU326439:BZU326528 BPY326439:BPY326528 BGC326439:BGC326528 AWG326439:AWG326528 AMK326439:AMK326528 ACO326439:ACO326528 SS326439:SS326528 IW326439:IW326528 A326445:A326534 WVI260903:WVI260992 WLM260903:WLM260992 WBQ260903:WBQ260992 VRU260903:VRU260992 VHY260903:VHY260992 UYC260903:UYC260992 UOG260903:UOG260992 UEK260903:UEK260992 TUO260903:TUO260992 TKS260903:TKS260992 TAW260903:TAW260992 SRA260903:SRA260992 SHE260903:SHE260992 RXI260903:RXI260992 RNM260903:RNM260992 RDQ260903:RDQ260992 QTU260903:QTU260992 QJY260903:QJY260992 QAC260903:QAC260992 PQG260903:PQG260992 PGK260903:PGK260992 OWO260903:OWO260992 OMS260903:OMS260992 OCW260903:OCW260992 NTA260903:NTA260992 NJE260903:NJE260992 MZI260903:MZI260992 MPM260903:MPM260992 MFQ260903:MFQ260992 LVU260903:LVU260992 LLY260903:LLY260992 LCC260903:LCC260992 KSG260903:KSG260992 KIK260903:KIK260992 JYO260903:JYO260992 JOS260903:JOS260992 JEW260903:JEW260992 IVA260903:IVA260992 ILE260903:ILE260992 IBI260903:IBI260992 HRM260903:HRM260992 HHQ260903:HHQ260992 GXU260903:GXU260992 GNY260903:GNY260992 GEC260903:GEC260992 FUG260903:FUG260992 FKK260903:FKK260992 FAO260903:FAO260992 EQS260903:EQS260992 EGW260903:EGW260992 DXA260903:DXA260992 DNE260903:DNE260992 DDI260903:DDI260992 CTM260903:CTM260992 CJQ260903:CJQ260992 BZU260903:BZU260992 BPY260903:BPY260992 BGC260903:BGC260992 AWG260903:AWG260992 AMK260903:AMK260992 ACO260903:ACO260992 SS260903:SS260992 IW260903:IW260992 A260909:A260998 WVI195367:WVI195456 WLM195367:WLM195456 WBQ195367:WBQ195456 VRU195367:VRU195456 VHY195367:VHY195456 UYC195367:UYC195456 UOG195367:UOG195456 UEK195367:UEK195456 TUO195367:TUO195456 TKS195367:TKS195456 TAW195367:TAW195456 SRA195367:SRA195456 SHE195367:SHE195456 RXI195367:RXI195456 RNM195367:RNM195456 RDQ195367:RDQ195456 QTU195367:QTU195456 QJY195367:QJY195456 QAC195367:QAC195456 PQG195367:PQG195456 PGK195367:PGK195456 OWO195367:OWO195456 OMS195367:OMS195456 OCW195367:OCW195456 NTA195367:NTA195456 NJE195367:NJE195456 MZI195367:MZI195456 MPM195367:MPM195456 MFQ195367:MFQ195456 LVU195367:LVU195456 LLY195367:LLY195456 LCC195367:LCC195456 KSG195367:KSG195456 KIK195367:KIK195456 JYO195367:JYO195456 JOS195367:JOS195456 JEW195367:JEW195456 IVA195367:IVA195456 ILE195367:ILE195456 IBI195367:IBI195456 HRM195367:HRM195456 HHQ195367:HHQ195456 GXU195367:GXU195456 GNY195367:GNY195456 GEC195367:GEC195456 FUG195367:FUG195456 FKK195367:FKK195456 FAO195367:FAO195456 EQS195367:EQS195456 EGW195367:EGW195456 DXA195367:DXA195456 DNE195367:DNE195456 DDI195367:DDI195456 CTM195367:CTM195456 CJQ195367:CJQ195456 BZU195367:BZU195456 BPY195367:BPY195456 BGC195367:BGC195456 AWG195367:AWG195456 AMK195367:AMK195456 ACO195367:ACO195456 SS195367:SS195456 IW195367:IW195456 A195373:A195462 WVI129831:WVI129920 WLM129831:WLM129920 WBQ129831:WBQ129920 VRU129831:VRU129920 VHY129831:VHY129920 UYC129831:UYC129920 UOG129831:UOG129920 UEK129831:UEK129920 TUO129831:TUO129920 TKS129831:TKS129920 TAW129831:TAW129920 SRA129831:SRA129920 SHE129831:SHE129920 RXI129831:RXI129920 RNM129831:RNM129920 RDQ129831:RDQ129920 QTU129831:QTU129920 QJY129831:QJY129920 QAC129831:QAC129920 PQG129831:PQG129920 PGK129831:PGK129920 OWO129831:OWO129920 OMS129831:OMS129920 OCW129831:OCW129920 NTA129831:NTA129920 NJE129831:NJE129920 MZI129831:MZI129920 MPM129831:MPM129920 MFQ129831:MFQ129920 LVU129831:LVU129920 LLY129831:LLY129920 LCC129831:LCC129920 KSG129831:KSG129920 KIK129831:KIK129920 JYO129831:JYO129920 JOS129831:JOS129920 JEW129831:JEW129920 IVA129831:IVA129920 ILE129831:ILE129920 IBI129831:IBI129920 HRM129831:HRM129920 HHQ129831:HHQ129920 GXU129831:GXU129920 GNY129831:GNY129920 GEC129831:GEC129920 FUG129831:FUG129920 FKK129831:FKK129920 FAO129831:FAO129920 EQS129831:EQS129920 EGW129831:EGW129920 DXA129831:DXA129920 DNE129831:DNE129920 DDI129831:DDI129920 CTM129831:CTM129920 CJQ129831:CJQ129920 BZU129831:BZU129920 BPY129831:BPY129920 BGC129831:BGC129920 AWG129831:AWG129920 AMK129831:AMK129920 ACO129831:ACO129920 SS129831:SS129920 IW129831:IW129920 A129837:A129926 WVI64295:WVI64384 WLM64295:WLM64384 WBQ64295:WBQ64384 VRU64295:VRU64384 VHY64295:VHY64384 UYC64295:UYC64384 UOG64295:UOG64384 UEK64295:UEK64384 TUO64295:TUO64384 TKS64295:TKS64384 TAW64295:TAW64384 SRA64295:SRA64384 SHE64295:SHE64384 RXI64295:RXI64384 RNM64295:RNM64384 RDQ64295:RDQ64384 QTU64295:QTU64384 QJY64295:QJY64384 QAC64295:QAC64384 PQG64295:PQG64384 PGK64295:PGK64384 OWO64295:OWO64384 OMS64295:OMS64384 OCW64295:OCW64384 NTA64295:NTA64384 NJE64295:NJE64384 MZI64295:MZI64384 MPM64295:MPM64384 MFQ64295:MFQ64384 LVU64295:LVU64384 LLY64295:LLY64384 LCC64295:LCC64384 KSG64295:KSG64384 KIK64295:KIK64384 JYO64295:JYO64384 JOS64295:JOS64384 JEW64295:JEW64384 IVA64295:IVA64384 ILE64295:ILE64384 IBI64295:IBI64384 HRM64295:HRM64384 HHQ64295:HHQ64384 GXU64295:GXU64384 GNY64295:GNY64384 GEC64295:GEC64384 FUG64295:FUG64384 FKK64295:FKK64384 FAO64295:FAO64384 EQS64295:EQS64384 EGW64295:EGW64384 DXA64295:DXA64384 DNE64295:DNE64384 DDI64295:DDI64384 CTM64295:CTM64384 CJQ64295:CJQ64384 BZU64295:BZU64384 BPY64295:BPY64384 BGC64295:BGC64384 AWG64295:AWG64384 AMK64295:AMK64384 ACO64295:ACO64384 SS64295:SS64384 IW64295:IW64384 A64301:A64390 WVI2:WVI67 WLM2:WLM67 WBQ2:WBQ67 VRU2:VRU67 VHY2:VHY67 UYC2:UYC67 UOG2:UOG67 UEK2:UEK67 TUO2:TUO67 TKS2:TKS67 TAW2:TAW67 SRA2:SRA67 SHE2:SHE67 RXI2:RXI67 RNM2:RNM67 RDQ2:RDQ67 QTU2:QTU67 QJY2:QJY67 QAC2:QAC67 PQG2:PQG67 PGK2:PGK67 OWO2:OWO67 OMS2:OMS67 OCW2:OCW67 NTA2:NTA67 NJE2:NJE67 MZI2:MZI67 MPM2:MPM67 MFQ2:MFQ67 LVU2:LVU67 LLY2:LLY67 LCC2:LCC67 KSG2:KSG67 KIK2:KIK67 JYO2:JYO67 JOS2:JOS67 JEW2:JEW67 IVA2:IVA67 ILE2:ILE67 IBI2:IBI67 HRM2:HRM67 HHQ2:HHQ67 GXU2:GXU67 GNY2:GNY67 GEC2:GEC67 FUG2:FUG67 FKK2:FKK67 FAO2:FAO67 EQS2:EQS67 EGW2:EGW67 DXA2:DXA67 DNE2:DNE67 DDI2:DDI67 CTM2:CTM67 CJQ2:CJQ67 BZU2:BZU67 BPY2:BPY67 BGC2:BGC67 AWG2:AWG67 AMK2:AMK67 ACO2:ACO67 SS2:SS67 IW2:IW67" xr:uid="{BDAD983C-4CAD-440D-99F0-02DA02A1ED05}">
      <formula1>$AE$2:$AE$22</formula1>
    </dataValidation>
    <dataValidation type="list" allowBlank="1" showInputMessage="1" showErrorMessage="1" sqref="WVO981799:WVO981888 WLS981799:WLS981888 WBW981799:WBW981888 VSA981799:VSA981888 VIE981799:VIE981888 UYI981799:UYI981888 UOM981799:UOM981888 UEQ981799:UEQ981888 TUU981799:TUU981888 TKY981799:TKY981888 TBC981799:TBC981888 SRG981799:SRG981888 SHK981799:SHK981888 RXO981799:RXO981888 RNS981799:RNS981888 RDW981799:RDW981888 QUA981799:QUA981888 QKE981799:QKE981888 QAI981799:QAI981888 PQM981799:PQM981888 PGQ981799:PGQ981888 OWU981799:OWU981888 OMY981799:OMY981888 ODC981799:ODC981888 NTG981799:NTG981888 NJK981799:NJK981888 MZO981799:MZO981888 MPS981799:MPS981888 MFW981799:MFW981888 LWA981799:LWA981888 LME981799:LME981888 LCI981799:LCI981888 KSM981799:KSM981888 KIQ981799:KIQ981888 JYU981799:JYU981888 JOY981799:JOY981888 JFC981799:JFC981888 IVG981799:IVG981888 ILK981799:ILK981888 IBO981799:IBO981888 HRS981799:HRS981888 HHW981799:HHW981888 GYA981799:GYA981888 GOE981799:GOE981888 GEI981799:GEI981888 FUM981799:FUM981888 FKQ981799:FKQ981888 FAU981799:FAU981888 EQY981799:EQY981888 EHC981799:EHC981888 DXG981799:DXG981888 DNK981799:DNK981888 DDO981799:DDO981888 CTS981799:CTS981888 CJW981799:CJW981888 CAA981799:CAA981888 BQE981799:BQE981888 BGI981799:BGI981888 AWM981799:AWM981888 AMQ981799:AMQ981888 ACU981799:ACU981888 SY981799:SY981888 JC981799:JC981888 G981808:G981897 WVO916263:WVO916352 WLS916263:WLS916352 WBW916263:WBW916352 VSA916263:VSA916352 VIE916263:VIE916352 UYI916263:UYI916352 UOM916263:UOM916352 UEQ916263:UEQ916352 TUU916263:TUU916352 TKY916263:TKY916352 TBC916263:TBC916352 SRG916263:SRG916352 SHK916263:SHK916352 RXO916263:RXO916352 RNS916263:RNS916352 RDW916263:RDW916352 QUA916263:QUA916352 QKE916263:QKE916352 QAI916263:QAI916352 PQM916263:PQM916352 PGQ916263:PGQ916352 OWU916263:OWU916352 OMY916263:OMY916352 ODC916263:ODC916352 NTG916263:NTG916352 NJK916263:NJK916352 MZO916263:MZO916352 MPS916263:MPS916352 MFW916263:MFW916352 LWA916263:LWA916352 LME916263:LME916352 LCI916263:LCI916352 KSM916263:KSM916352 KIQ916263:KIQ916352 JYU916263:JYU916352 JOY916263:JOY916352 JFC916263:JFC916352 IVG916263:IVG916352 ILK916263:ILK916352 IBO916263:IBO916352 HRS916263:HRS916352 HHW916263:HHW916352 GYA916263:GYA916352 GOE916263:GOE916352 GEI916263:GEI916352 FUM916263:FUM916352 FKQ916263:FKQ916352 FAU916263:FAU916352 EQY916263:EQY916352 EHC916263:EHC916352 DXG916263:DXG916352 DNK916263:DNK916352 DDO916263:DDO916352 CTS916263:CTS916352 CJW916263:CJW916352 CAA916263:CAA916352 BQE916263:BQE916352 BGI916263:BGI916352 AWM916263:AWM916352 AMQ916263:AMQ916352 ACU916263:ACU916352 SY916263:SY916352 JC916263:JC916352 G916272:G916361 WVO850727:WVO850816 WLS850727:WLS850816 WBW850727:WBW850816 VSA850727:VSA850816 VIE850727:VIE850816 UYI850727:UYI850816 UOM850727:UOM850816 UEQ850727:UEQ850816 TUU850727:TUU850816 TKY850727:TKY850816 TBC850727:TBC850816 SRG850727:SRG850816 SHK850727:SHK850816 RXO850727:RXO850816 RNS850727:RNS850816 RDW850727:RDW850816 QUA850727:QUA850816 QKE850727:QKE850816 QAI850727:QAI850816 PQM850727:PQM850816 PGQ850727:PGQ850816 OWU850727:OWU850816 OMY850727:OMY850816 ODC850727:ODC850816 NTG850727:NTG850816 NJK850727:NJK850816 MZO850727:MZO850816 MPS850727:MPS850816 MFW850727:MFW850816 LWA850727:LWA850816 LME850727:LME850816 LCI850727:LCI850816 KSM850727:KSM850816 KIQ850727:KIQ850816 JYU850727:JYU850816 JOY850727:JOY850816 JFC850727:JFC850816 IVG850727:IVG850816 ILK850727:ILK850816 IBO850727:IBO850816 HRS850727:HRS850816 HHW850727:HHW850816 GYA850727:GYA850816 GOE850727:GOE850816 GEI850727:GEI850816 FUM850727:FUM850816 FKQ850727:FKQ850816 FAU850727:FAU850816 EQY850727:EQY850816 EHC850727:EHC850816 DXG850727:DXG850816 DNK850727:DNK850816 DDO850727:DDO850816 CTS850727:CTS850816 CJW850727:CJW850816 CAA850727:CAA850816 BQE850727:BQE850816 BGI850727:BGI850816 AWM850727:AWM850816 AMQ850727:AMQ850816 ACU850727:ACU850816 SY850727:SY850816 JC850727:JC850816 G850736:G850825 WVO785191:WVO785280 WLS785191:WLS785280 WBW785191:WBW785280 VSA785191:VSA785280 VIE785191:VIE785280 UYI785191:UYI785280 UOM785191:UOM785280 UEQ785191:UEQ785280 TUU785191:TUU785280 TKY785191:TKY785280 TBC785191:TBC785280 SRG785191:SRG785280 SHK785191:SHK785280 RXO785191:RXO785280 RNS785191:RNS785280 RDW785191:RDW785280 QUA785191:QUA785280 QKE785191:QKE785280 QAI785191:QAI785280 PQM785191:PQM785280 PGQ785191:PGQ785280 OWU785191:OWU785280 OMY785191:OMY785280 ODC785191:ODC785280 NTG785191:NTG785280 NJK785191:NJK785280 MZO785191:MZO785280 MPS785191:MPS785280 MFW785191:MFW785280 LWA785191:LWA785280 LME785191:LME785280 LCI785191:LCI785280 KSM785191:KSM785280 KIQ785191:KIQ785280 JYU785191:JYU785280 JOY785191:JOY785280 JFC785191:JFC785280 IVG785191:IVG785280 ILK785191:ILK785280 IBO785191:IBO785280 HRS785191:HRS785280 HHW785191:HHW785280 GYA785191:GYA785280 GOE785191:GOE785280 GEI785191:GEI785280 FUM785191:FUM785280 FKQ785191:FKQ785280 FAU785191:FAU785280 EQY785191:EQY785280 EHC785191:EHC785280 DXG785191:DXG785280 DNK785191:DNK785280 DDO785191:DDO785280 CTS785191:CTS785280 CJW785191:CJW785280 CAA785191:CAA785280 BQE785191:BQE785280 BGI785191:BGI785280 AWM785191:AWM785280 AMQ785191:AMQ785280 ACU785191:ACU785280 SY785191:SY785280 JC785191:JC785280 G785200:G785289 WVO719655:WVO719744 WLS719655:WLS719744 WBW719655:WBW719744 VSA719655:VSA719744 VIE719655:VIE719744 UYI719655:UYI719744 UOM719655:UOM719744 UEQ719655:UEQ719744 TUU719655:TUU719744 TKY719655:TKY719744 TBC719655:TBC719744 SRG719655:SRG719744 SHK719655:SHK719744 RXO719655:RXO719744 RNS719655:RNS719744 RDW719655:RDW719744 QUA719655:QUA719744 QKE719655:QKE719744 QAI719655:QAI719744 PQM719655:PQM719744 PGQ719655:PGQ719744 OWU719655:OWU719744 OMY719655:OMY719744 ODC719655:ODC719744 NTG719655:NTG719744 NJK719655:NJK719744 MZO719655:MZO719744 MPS719655:MPS719744 MFW719655:MFW719744 LWA719655:LWA719744 LME719655:LME719744 LCI719655:LCI719744 KSM719655:KSM719744 KIQ719655:KIQ719744 JYU719655:JYU719744 JOY719655:JOY719744 JFC719655:JFC719744 IVG719655:IVG719744 ILK719655:ILK719744 IBO719655:IBO719744 HRS719655:HRS719744 HHW719655:HHW719744 GYA719655:GYA719744 GOE719655:GOE719744 GEI719655:GEI719744 FUM719655:FUM719744 FKQ719655:FKQ719744 FAU719655:FAU719744 EQY719655:EQY719744 EHC719655:EHC719744 DXG719655:DXG719744 DNK719655:DNK719744 DDO719655:DDO719744 CTS719655:CTS719744 CJW719655:CJW719744 CAA719655:CAA719744 BQE719655:BQE719744 BGI719655:BGI719744 AWM719655:AWM719744 AMQ719655:AMQ719744 ACU719655:ACU719744 SY719655:SY719744 JC719655:JC719744 G719664:G719753 WVO654119:WVO654208 WLS654119:WLS654208 WBW654119:WBW654208 VSA654119:VSA654208 VIE654119:VIE654208 UYI654119:UYI654208 UOM654119:UOM654208 UEQ654119:UEQ654208 TUU654119:TUU654208 TKY654119:TKY654208 TBC654119:TBC654208 SRG654119:SRG654208 SHK654119:SHK654208 RXO654119:RXO654208 RNS654119:RNS654208 RDW654119:RDW654208 QUA654119:QUA654208 QKE654119:QKE654208 QAI654119:QAI654208 PQM654119:PQM654208 PGQ654119:PGQ654208 OWU654119:OWU654208 OMY654119:OMY654208 ODC654119:ODC654208 NTG654119:NTG654208 NJK654119:NJK654208 MZO654119:MZO654208 MPS654119:MPS654208 MFW654119:MFW654208 LWA654119:LWA654208 LME654119:LME654208 LCI654119:LCI654208 KSM654119:KSM654208 KIQ654119:KIQ654208 JYU654119:JYU654208 JOY654119:JOY654208 JFC654119:JFC654208 IVG654119:IVG654208 ILK654119:ILK654208 IBO654119:IBO654208 HRS654119:HRS654208 HHW654119:HHW654208 GYA654119:GYA654208 GOE654119:GOE654208 GEI654119:GEI654208 FUM654119:FUM654208 FKQ654119:FKQ654208 FAU654119:FAU654208 EQY654119:EQY654208 EHC654119:EHC654208 DXG654119:DXG654208 DNK654119:DNK654208 DDO654119:DDO654208 CTS654119:CTS654208 CJW654119:CJW654208 CAA654119:CAA654208 BQE654119:BQE654208 BGI654119:BGI654208 AWM654119:AWM654208 AMQ654119:AMQ654208 ACU654119:ACU654208 SY654119:SY654208 JC654119:JC654208 G654128:G654217 WVO588583:WVO588672 WLS588583:WLS588672 WBW588583:WBW588672 VSA588583:VSA588672 VIE588583:VIE588672 UYI588583:UYI588672 UOM588583:UOM588672 UEQ588583:UEQ588672 TUU588583:TUU588672 TKY588583:TKY588672 TBC588583:TBC588672 SRG588583:SRG588672 SHK588583:SHK588672 RXO588583:RXO588672 RNS588583:RNS588672 RDW588583:RDW588672 QUA588583:QUA588672 QKE588583:QKE588672 QAI588583:QAI588672 PQM588583:PQM588672 PGQ588583:PGQ588672 OWU588583:OWU588672 OMY588583:OMY588672 ODC588583:ODC588672 NTG588583:NTG588672 NJK588583:NJK588672 MZO588583:MZO588672 MPS588583:MPS588672 MFW588583:MFW588672 LWA588583:LWA588672 LME588583:LME588672 LCI588583:LCI588672 KSM588583:KSM588672 KIQ588583:KIQ588672 JYU588583:JYU588672 JOY588583:JOY588672 JFC588583:JFC588672 IVG588583:IVG588672 ILK588583:ILK588672 IBO588583:IBO588672 HRS588583:HRS588672 HHW588583:HHW588672 GYA588583:GYA588672 GOE588583:GOE588672 GEI588583:GEI588672 FUM588583:FUM588672 FKQ588583:FKQ588672 FAU588583:FAU588672 EQY588583:EQY588672 EHC588583:EHC588672 DXG588583:DXG588672 DNK588583:DNK588672 DDO588583:DDO588672 CTS588583:CTS588672 CJW588583:CJW588672 CAA588583:CAA588672 BQE588583:BQE588672 BGI588583:BGI588672 AWM588583:AWM588672 AMQ588583:AMQ588672 ACU588583:ACU588672 SY588583:SY588672 JC588583:JC588672 G588592:G588681 WVO523047:WVO523136 WLS523047:WLS523136 WBW523047:WBW523136 VSA523047:VSA523136 VIE523047:VIE523136 UYI523047:UYI523136 UOM523047:UOM523136 UEQ523047:UEQ523136 TUU523047:TUU523136 TKY523047:TKY523136 TBC523047:TBC523136 SRG523047:SRG523136 SHK523047:SHK523136 RXO523047:RXO523136 RNS523047:RNS523136 RDW523047:RDW523136 QUA523047:QUA523136 QKE523047:QKE523136 QAI523047:QAI523136 PQM523047:PQM523136 PGQ523047:PGQ523136 OWU523047:OWU523136 OMY523047:OMY523136 ODC523047:ODC523136 NTG523047:NTG523136 NJK523047:NJK523136 MZO523047:MZO523136 MPS523047:MPS523136 MFW523047:MFW523136 LWA523047:LWA523136 LME523047:LME523136 LCI523047:LCI523136 KSM523047:KSM523136 KIQ523047:KIQ523136 JYU523047:JYU523136 JOY523047:JOY523136 JFC523047:JFC523136 IVG523047:IVG523136 ILK523047:ILK523136 IBO523047:IBO523136 HRS523047:HRS523136 HHW523047:HHW523136 GYA523047:GYA523136 GOE523047:GOE523136 GEI523047:GEI523136 FUM523047:FUM523136 FKQ523047:FKQ523136 FAU523047:FAU523136 EQY523047:EQY523136 EHC523047:EHC523136 DXG523047:DXG523136 DNK523047:DNK523136 DDO523047:DDO523136 CTS523047:CTS523136 CJW523047:CJW523136 CAA523047:CAA523136 BQE523047:BQE523136 BGI523047:BGI523136 AWM523047:AWM523136 AMQ523047:AMQ523136 ACU523047:ACU523136 SY523047:SY523136 JC523047:JC523136 G523056:G523145 WVO457511:WVO457600 WLS457511:WLS457600 WBW457511:WBW457600 VSA457511:VSA457600 VIE457511:VIE457600 UYI457511:UYI457600 UOM457511:UOM457600 UEQ457511:UEQ457600 TUU457511:TUU457600 TKY457511:TKY457600 TBC457511:TBC457600 SRG457511:SRG457600 SHK457511:SHK457600 RXO457511:RXO457600 RNS457511:RNS457600 RDW457511:RDW457600 QUA457511:QUA457600 QKE457511:QKE457600 QAI457511:QAI457600 PQM457511:PQM457600 PGQ457511:PGQ457600 OWU457511:OWU457600 OMY457511:OMY457600 ODC457511:ODC457600 NTG457511:NTG457600 NJK457511:NJK457600 MZO457511:MZO457600 MPS457511:MPS457600 MFW457511:MFW457600 LWA457511:LWA457600 LME457511:LME457600 LCI457511:LCI457600 KSM457511:KSM457600 KIQ457511:KIQ457600 JYU457511:JYU457600 JOY457511:JOY457600 JFC457511:JFC457600 IVG457511:IVG457600 ILK457511:ILK457600 IBO457511:IBO457600 HRS457511:HRS457600 HHW457511:HHW457600 GYA457511:GYA457600 GOE457511:GOE457600 GEI457511:GEI457600 FUM457511:FUM457600 FKQ457511:FKQ457600 FAU457511:FAU457600 EQY457511:EQY457600 EHC457511:EHC457600 DXG457511:DXG457600 DNK457511:DNK457600 DDO457511:DDO457600 CTS457511:CTS457600 CJW457511:CJW457600 CAA457511:CAA457600 BQE457511:BQE457600 BGI457511:BGI457600 AWM457511:AWM457600 AMQ457511:AMQ457600 ACU457511:ACU457600 SY457511:SY457600 JC457511:JC457600 G457520:G457609 WVO391975:WVO392064 WLS391975:WLS392064 WBW391975:WBW392064 VSA391975:VSA392064 VIE391975:VIE392064 UYI391975:UYI392064 UOM391975:UOM392064 UEQ391975:UEQ392064 TUU391975:TUU392064 TKY391975:TKY392064 TBC391975:TBC392064 SRG391975:SRG392064 SHK391975:SHK392064 RXO391975:RXO392064 RNS391975:RNS392064 RDW391975:RDW392064 QUA391975:QUA392064 QKE391975:QKE392064 QAI391975:QAI392064 PQM391975:PQM392064 PGQ391975:PGQ392064 OWU391975:OWU392064 OMY391975:OMY392064 ODC391975:ODC392064 NTG391975:NTG392064 NJK391975:NJK392064 MZO391975:MZO392064 MPS391975:MPS392064 MFW391975:MFW392064 LWA391975:LWA392064 LME391975:LME392064 LCI391975:LCI392064 KSM391975:KSM392064 KIQ391975:KIQ392064 JYU391975:JYU392064 JOY391975:JOY392064 JFC391975:JFC392064 IVG391975:IVG392064 ILK391975:ILK392064 IBO391975:IBO392064 HRS391975:HRS392064 HHW391975:HHW392064 GYA391975:GYA392064 GOE391975:GOE392064 GEI391975:GEI392064 FUM391975:FUM392064 FKQ391975:FKQ392064 FAU391975:FAU392064 EQY391975:EQY392064 EHC391975:EHC392064 DXG391975:DXG392064 DNK391975:DNK392064 DDO391975:DDO392064 CTS391975:CTS392064 CJW391975:CJW392064 CAA391975:CAA392064 BQE391975:BQE392064 BGI391975:BGI392064 AWM391975:AWM392064 AMQ391975:AMQ392064 ACU391975:ACU392064 SY391975:SY392064 JC391975:JC392064 G391984:G392073 WVO326439:WVO326528 WLS326439:WLS326528 WBW326439:WBW326528 VSA326439:VSA326528 VIE326439:VIE326528 UYI326439:UYI326528 UOM326439:UOM326528 UEQ326439:UEQ326528 TUU326439:TUU326528 TKY326439:TKY326528 TBC326439:TBC326528 SRG326439:SRG326528 SHK326439:SHK326528 RXO326439:RXO326528 RNS326439:RNS326528 RDW326439:RDW326528 QUA326439:QUA326528 QKE326439:QKE326528 QAI326439:QAI326528 PQM326439:PQM326528 PGQ326439:PGQ326528 OWU326439:OWU326528 OMY326439:OMY326528 ODC326439:ODC326528 NTG326439:NTG326528 NJK326439:NJK326528 MZO326439:MZO326528 MPS326439:MPS326528 MFW326439:MFW326528 LWA326439:LWA326528 LME326439:LME326528 LCI326439:LCI326528 KSM326439:KSM326528 KIQ326439:KIQ326528 JYU326439:JYU326528 JOY326439:JOY326528 JFC326439:JFC326528 IVG326439:IVG326528 ILK326439:ILK326528 IBO326439:IBO326528 HRS326439:HRS326528 HHW326439:HHW326528 GYA326439:GYA326528 GOE326439:GOE326528 GEI326439:GEI326528 FUM326439:FUM326528 FKQ326439:FKQ326528 FAU326439:FAU326528 EQY326439:EQY326528 EHC326439:EHC326528 DXG326439:DXG326528 DNK326439:DNK326528 DDO326439:DDO326528 CTS326439:CTS326528 CJW326439:CJW326528 CAA326439:CAA326528 BQE326439:BQE326528 BGI326439:BGI326528 AWM326439:AWM326528 AMQ326439:AMQ326528 ACU326439:ACU326528 SY326439:SY326528 JC326439:JC326528 G326448:G326537 WVO260903:WVO260992 WLS260903:WLS260992 WBW260903:WBW260992 VSA260903:VSA260992 VIE260903:VIE260992 UYI260903:UYI260992 UOM260903:UOM260992 UEQ260903:UEQ260992 TUU260903:TUU260992 TKY260903:TKY260992 TBC260903:TBC260992 SRG260903:SRG260992 SHK260903:SHK260992 RXO260903:RXO260992 RNS260903:RNS260992 RDW260903:RDW260992 QUA260903:QUA260992 QKE260903:QKE260992 QAI260903:QAI260992 PQM260903:PQM260992 PGQ260903:PGQ260992 OWU260903:OWU260992 OMY260903:OMY260992 ODC260903:ODC260992 NTG260903:NTG260992 NJK260903:NJK260992 MZO260903:MZO260992 MPS260903:MPS260992 MFW260903:MFW260992 LWA260903:LWA260992 LME260903:LME260992 LCI260903:LCI260992 KSM260903:KSM260992 KIQ260903:KIQ260992 JYU260903:JYU260992 JOY260903:JOY260992 JFC260903:JFC260992 IVG260903:IVG260992 ILK260903:ILK260992 IBO260903:IBO260992 HRS260903:HRS260992 HHW260903:HHW260992 GYA260903:GYA260992 GOE260903:GOE260992 GEI260903:GEI260992 FUM260903:FUM260992 FKQ260903:FKQ260992 FAU260903:FAU260992 EQY260903:EQY260992 EHC260903:EHC260992 DXG260903:DXG260992 DNK260903:DNK260992 DDO260903:DDO260992 CTS260903:CTS260992 CJW260903:CJW260992 CAA260903:CAA260992 BQE260903:BQE260992 BGI260903:BGI260992 AWM260903:AWM260992 AMQ260903:AMQ260992 ACU260903:ACU260992 SY260903:SY260992 JC260903:JC260992 G260912:G261001 WVO195367:WVO195456 WLS195367:WLS195456 WBW195367:WBW195456 VSA195367:VSA195456 VIE195367:VIE195456 UYI195367:UYI195456 UOM195367:UOM195456 UEQ195367:UEQ195456 TUU195367:TUU195456 TKY195367:TKY195456 TBC195367:TBC195456 SRG195367:SRG195456 SHK195367:SHK195456 RXO195367:RXO195456 RNS195367:RNS195456 RDW195367:RDW195456 QUA195367:QUA195456 QKE195367:QKE195456 QAI195367:QAI195456 PQM195367:PQM195456 PGQ195367:PGQ195456 OWU195367:OWU195456 OMY195367:OMY195456 ODC195367:ODC195456 NTG195367:NTG195456 NJK195367:NJK195456 MZO195367:MZO195456 MPS195367:MPS195456 MFW195367:MFW195456 LWA195367:LWA195456 LME195367:LME195456 LCI195367:LCI195456 KSM195367:KSM195456 KIQ195367:KIQ195456 JYU195367:JYU195456 JOY195367:JOY195456 JFC195367:JFC195456 IVG195367:IVG195456 ILK195367:ILK195456 IBO195367:IBO195456 HRS195367:HRS195456 HHW195367:HHW195456 GYA195367:GYA195456 GOE195367:GOE195456 GEI195367:GEI195456 FUM195367:FUM195456 FKQ195367:FKQ195456 FAU195367:FAU195456 EQY195367:EQY195456 EHC195367:EHC195456 DXG195367:DXG195456 DNK195367:DNK195456 DDO195367:DDO195456 CTS195367:CTS195456 CJW195367:CJW195456 CAA195367:CAA195456 BQE195367:BQE195456 BGI195367:BGI195456 AWM195367:AWM195456 AMQ195367:AMQ195456 ACU195367:ACU195456 SY195367:SY195456 JC195367:JC195456 G195376:G195465 WVO129831:WVO129920 WLS129831:WLS129920 WBW129831:WBW129920 VSA129831:VSA129920 VIE129831:VIE129920 UYI129831:UYI129920 UOM129831:UOM129920 UEQ129831:UEQ129920 TUU129831:TUU129920 TKY129831:TKY129920 TBC129831:TBC129920 SRG129831:SRG129920 SHK129831:SHK129920 RXO129831:RXO129920 RNS129831:RNS129920 RDW129831:RDW129920 QUA129831:QUA129920 QKE129831:QKE129920 QAI129831:QAI129920 PQM129831:PQM129920 PGQ129831:PGQ129920 OWU129831:OWU129920 OMY129831:OMY129920 ODC129831:ODC129920 NTG129831:NTG129920 NJK129831:NJK129920 MZO129831:MZO129920 MPS129831:MPS129920 MFW129831:MFW129920 LWA129831:LWA129920 LME129831:LME129920 LCI129831:LCI129920 KSM129831:KSM129920 KIQ129831:KIQ129920 JYU129831:JYU129920 JOY129831:JOY129920 JFC129831:JFC129920 IVG129831:IVG129920 ILK129831:ILK129920 IBO129831:IBO129920 HRS129831:HRS129920 HHW129831:HHW129920 GYA129831:GYA129920 GOE129831:GOE129920 GEI129831:GEI129920 FUM129831:FUM129920 FKQ129831:FKQ129920 FAU129831:FAU129920 EQY129831:EQY129920 EHC129831:EHC129920 DXG129831:DXG129920 DNK129831:DNK129920 DDO129831:DDO129920 CTS129831:CTS129920 CJW129831:CJW129920 CAA129831:CAA129920 BQE129831:BQE129920 BGI129831:BGI129920 AWM129831:AWM129920 AMQ129831:AMQ129920 ACU129831:ACU129920 SY129831:SY129920 JC129831:JC129920 G129840:G129929 WVO64295:WVO64384 WLS64295:WLS64384 WBW64295:WBW64384 VSA64295:VSA64384 VIE64295:VIE64384 UYI64295:UYI64384 UOM64295:UOM64384 UEQ64295:UEQ64384 TUU64295:TUU64384 TKY64295:TKY64384 TBC64295:TBC64384 SRG64295:SRG64384 SHK64295:SHK64384 RXO64295:RXO64384 RNS64295:RNS64384 RDW64295:RDW64384 QUA64295:QUA64384 QKE64295:QKE64384 QAI64295:QAI64384 PQM64295:PQM64384 PGQ64295:PGQ64384 OWU64295:OWU64384 OMY64295:OMY64384 ODC64295:ODC64384 NTG64295:NTG64384 NJK64295:NJK64384 MZO64295:MZO64384 MPS64295:MPS64384 MFW64295:MFW64384 LWA64295:LWA64384 LME64295:LME64384 LCI64295:LCI64384 KSM64295:KSM64384 KIQ64295:KIQ64384 JYU64295:JYU64384 JOY64295:JOY64384 JFC64295:JFC64384 IVG64295:IVG64384 ILK64295:ILK64384 IBO64295:IBO64384 HRS64295:HRS64384 HHW64295:HHW64384 GYA64295:GYA64384 GOE64295:GOE64384 GEI64295:GEI64384 FUM64295:FUM64384 FKQ64295:FKQ64384 FAU64295:FAU64384 EQY64295:EQY64384 EHC64295:EHC64384 DXG64295:DXG64384 DNK64295:DNK64384 DDO64295:DDO64384 CTS64295:CTS64384 CJW64295:CJW64384 CAA64295:CAA64384 BQE64295:BQE64384 BGI64295:BGI64384 AWM64295:AWM64384 AMQ64295:AMQ64384 ACU64295:ACU64384 SY64295:SY64384 JC64295:JC64384 G64304:G64393 G90:G494 G2:G88 SY2:SY67 ACU2:ACU67 AMQ2:AMQ67 AWM2:AWM67 BGI2:BGI67 BQE2:BQE67 CAA2:CAA67 CJW2:CJW67 CTS2:CTS67 DDO2:DDO67 DNK2:DNK67 DXG2:DXG67 EHC2:EHC67 EQY2:EQY67 FAU2:FAU67 FKQ2:FKQ67 FUM2:FUM67 GEI2:GEI67 GOE2:GOE67 GYA2:GYA67 HHW2:HHW67 HRS2:HRS67 IBO2:IBO67 ILK2:ILK67 IVG2:IVG67 JFC2:JFC67 JOY2:JOY67 JYU2:JYU67 KIQ2:KIQ67 KSM2:KSM67 LCI2:LCI67 LME2:LME67 LWA2:LWA67 MFW2:MFW67 MPS2:MPS67 MZO2:MZO67 NJK2:NJK67 NTG2:NTG67 ODC2:ODC67 OMY2:OMY67 OWU2:OWU67 PGQ2:PGQ67 PQM2:PQM67 QAI2:QAI67 QKE2:QKE67 QUA2:QUA67 RDW2:RDW67 RNS2:RNS67 RXO2:RXO67 SHK2:SHK67 SRG2:SRG67 TBC2:TBC67 TKY2:TKY67 TUU2:TUU67 UEQ2:UEQ67 UOM2:UOM67 UYI2:UYI67 VIE2:VIE67 VSA2:VSA67 WBW2:WBW67 WLS2:WLS67 WVO2:WVO67 JC2:JC67" xr:uid="{6E18EDE1-163D-4B4C-AEA2-36ECD3E6A20A}">
      <formula1>$AJ$2:$AJ$4</formula1>
    </dataValidation>
    <dataValidation type="list" allowBlank="1" showInputMessage="1" showErrorMessage="1" sqref="WVP981799:WVP981888 WLT981799:WLT981888 WBX981799:WBX981888 VSB981799:VSB981888 VIF981799:VIF981888 UYJ981799:UYJ981888 UON981799:UON981888 UER981799:UER981888 TUV981799:TUV981888 TKZ981799:TKZ981888 TBD981799:TBD981888 SRH981799:SRH981888 SHL981799:SHL981888 RXP981799:RXP981888 RNT981799:RNT981888 RDX981799:RDX981888 QUB981799:QUB981888 QKF981799:QKF981888 QAJ981799:QAJ981888 PQN981799:PQN981888 PGR981799:PGR981888 OWV981799:OWV981888 OMZ981799:OMZ981888 ODD981799:ODD981888 NTH981799:NTH981888 NJL981799:NJL981888 MZP981799:MZP981888 MPT981799:MPT981888 MFX981799:MFX981888 LWB981799:LWB981888 LMF981799:LMF981888 LCJ981799:LCJ981888 KSN981799:KSN981888 KIR981799:KIR981888 JYV981799:JYV981888 JOZ981799:JOZ981888 JFD981799:JFD981888 IVH981799:IVH981888 ILL981799:ILL981888 IBP981799:IBP981888 HRT981799:HRT981888 HHX981799:HHX981888 GYB981799:GYB981888 GOF981799:GOF981888 GEJ981799:GEJ981888 FUN981799:FUN981888 FKR981799:FKR981888 FAV981799:FAV981888 EQZ981799:EQZ981888 EHD981799:EHD981888 DXH981799:DXH981888 DNL981799:DNL981888 DDP981799:DDP981888 CTT981799:CTT981888 CJX981799:CJX981888 CAB981799:CAB981888 BQF981799:BQF981888 BGJ981799:BGJ981888 AWN981799:AWN981888 AMR981799:AMR981888 ACV981799:ACV981888 SZ981799:SZ981888 JD981799:JD981888 H981820:H981909 WVP916263:WVP916352 WLT916263:WLT916352 WBX916263:WBX916352 VSB916263:VSB916352 VIF916263:VIF916352 UYJ916263:UYJ916352 UON916263:UON916352 UER916263:UER916352 TUV916263:TUV916352 TKZ916263:TKZ916352 TBD916263:TBD916352 SRH916263:SRH916352 SHL916263:SHL916352 RXP916263:RXP916352 RNT916263:RNT916352 RDX916263:RDX916352 QUB916263:QUB916352 QKF916263:QKF916352 QAJ916263:QAJ916352 PQN916263:PQN916352 PGR916263:PGR916352 OWV916263:OWV916352 OMZ916263:OMZ916352 ODD916263:ODD916352 NTH916263:NTH916352 NJL916263:NJL916352 MZP916263:MZP916352 MPT916263:MPT916352 MFX916263:MFX916352 LWB916263:LWB916352 LMF916263:LMF916352 LCJ916263:LCJ916352 KSN916263:KSN916352 KIR916263:KIR916352 JYV916263:JYV916352 JOZ916263:JOZ916352 JFD916263:JFD916352 IVH916263:IVH916352 ILL916263:ILL916352 IBP916263:IBP916352 HRT916263:HRT916352 HHX916263:HHX916352 GYB916263:GYB916352 GOF916263:GOF916352 GEJ916263:GEJ916352 FUN916263:FUN916352 FKR916263:FKR916352 FAV916263:FAV916352 EQZ916263:EQZ916352 EHD916263:EHD916352 DXH916263:DXH916352 DNL916263:DNL916352 DDP916263:DDP916352 CTT916263:CTT916352 CJX916263:CJX916352 CAB916263:CAB916352 BQF916263:BQF916352 BGJ916263:BGJ916352 AWN916263:AWN916352 AMR916263:AMR916352 ACV916263:ACV916352 SZ916263:SZ916352 JD916263:JD916352 H916284:H916373 WVP850727:WVP850816 WLT850727:WLT850816 WBX850727:WBX850816 VSB850727:VSB850816 VIF850727:VIF850816 UYJ850727:UYJ850816 UON850727:UON850816 UER850727:UER850816 TUV850727:TUV850816 TKZ850727:TKZ850816 TBD850727:TBD850816 SRH850727:SRH850816 SHL850727:SHL850816 RXP850727:RXP850816 RNT850727:RNT850816 RDX850727:RDX850816 QUB850727:QUB850816 QKF850727:QKF850816 QAJ850727:QAJ850816 PQN850727:PQN850816 PGR850727:PGR850816 OWV850727:OWV850816 OMZ850727:OMZ850816 ODD850727:ODD850816 NTH850727:NTH850816 NJL850727:NJL850816 MZP850727:MZP850816 MPT850727:MPT850816 MFX850727:MFX850816 LWB850727:LWB850816 LMF850727:LMF850816 LCJ850727:LCJ850816 KSN850727:KSN850816 KIR850727:KIR850816 JYV850727:JYV850816 JOZ850727:JOZ850816 JFD850727:JFD850816 IVH850727:IVH850816 ILL850727:ILL850816 IBP850727:IBP850816 HRT850727:HRT850816 HHX850727:HHX850816 GYB850727:GYB850816 GOF850727:GOF850816 GEJ850727:GEJ850816 FUN850727:FUN850816 FKR850727:FKR850816 FAV850727:FAV850816 EQZ850727:EQZ850816 EHD850727:EHD850816 DXH850727:DXH850816 DNL850727:DNL850816 DDP850727:DDP850816 CTT850727:CTT850816 CJX850727:CJX850816 CAB850727:CAB850816 BQF850727:BQF850816 BGJ850727:BGJ850816 AWN850727:AWN850816 AMR850727:AMR850816 ACV850727:ACV850816 SZ850727:SZ850816 JD850727:JD850816 H850748:H850837 WVP785191:WVP785280 WLT785191:WLT785280 WBX785191:WBX785280 VSB785191:VSB785280 VIF785191:VIF785280 UYJ785191:UYJ785280 UON785191:UON785280 UER785191:UER785280 TUV785191:TUV785280 TKZ785191:TKZ785280 TBD785191:TBD785280 SRH785191:SRH785280 SHL785191:SHL785280 RXP785191:RXP785280 RNT785191:RNT785280 RDX785191:RDX785280 QUB785191:QUB785280 QKF785191:QKF785280 QAJ785191:QAJ785280 PQN785191:PQN785280 PGR785191:PGR785280 OWV785191:OWV785280 OMZ785191:OMZ785280 ODD785191:ODD785280 NTH785191:NTH785280 NJL785191:NJL785280 MZP785191:MZP785280 MPT785191:MPT785280 MFX785191:MFX785280 LWB785191:LWB785280 LMF785191:LMF785280 LCJ785191:LCJ785280 KSN785191:KSN785280 KIR785191:KIR785280 JYV785191:JYV785280 JOZ785191:JOZ785280 JFD785191:JFD785280 IVH785191:IVH785280 ILL785191:ILL785280 IBP785191:IBP785280 HRT785191:HRT785280 HHX785191:HHX785280 GYB785191:GYB785280 GOF785191:GOF785280 GEJ785191:GEJ785280 FUN785191:FUN785280 FKR785191:FKR785280 FAV785191:FAV785280 EQZ785191:EQZ785280 EHD785191:EHD785280 DXH785191:DXH785280 DNL785191:DNL785280 DDP785191:DDP785280 CTT785191:CTT785280 CJX785191:CJX785280 CAB785191:CAB785280 BQF785191:BQF785280 BGJ785191:BGJ785280 AWN785191:AWN785280 AMR785191:AMR785280 ACV785191:ACV785280 SZ785191:SZ785280 JD785191:JD785280 H785212:H785301 WVP719655:WVP719744 WLT719655:WLT719744 WBX719655:WBX719744 VSB719655:VSB719744 VIF719655:VIF719744 UYJ719655:UYJ719744 UON719655:UON719744 UER719655:UER719744 TUV719655:TUV719744 TKZ719655:TKZ719744 TBD719655:TBD719744 SRH719655:SRH719744 SHL719655:SHL719744 RXP719655:RXP719744 RNT719655:RNT719744 RDX719655:RDX719744 QUB719655:QUB719744 QKF719655:QKF719744 QAJ719655:QAJ719744 PQN719655:PQN719744 PGR719655:PGR719744 OWV719655:OWV719744 OMZ719655:OMZ719744 ODD719655:ODD719744 NTH719655:NTH719744 NJL719655:NJL719744 MZP719655:MZP719744 MPT719655:MPT719744 MFX719655:MFX719744 LWB719655:LWB719744 LMF719655:LMF719744 LCJ719655:LCJ719744 KSN719655:KSN719744 KIR719655:KIR719744 JYV719655:JYV719744 JOZ719655:JOZ719744 JFD719655:JFD719744 IVH719655:IVH719744 ILL719655:ILL719744 IBP719655:IBP719744 HRT719655:HRT719744 HHX719655:HHX719744 GYB719655:GYB719744 GOF719655:GOF719744 GEJ719655:GEJ719744 FUN719655:FUN719744 FKR719655:FKR719744 FAV719655:FAV719744 EQZ719655:EQZ719744 EHD719655:EHD719744 DXH719655:DXH719744 DNL719655:DNL719744 DDP719655:DDP719744 CTT719655:CTT719744 CJX719655:CJX719744 CAB719655:CAB719744 BQF719655:BQF719744 BGJ719655:BGJ719744 AWN719655:AWN719744 AMR719655:AMR719744 ACV719655:ACV719744 SZ719655:SZ719744 JD719655:JD719744 H719676:H719765 WVP654119:WVP654208 WLT654119:WLT654208 WBX654119:WBX654208 VSB654119:VSB654208 VIF654119:VIF654208 UYJ654119:UYJ654208 UON654119:UON654208 UER654119:UER654208 TUV654119:TUV654208 TKZ654119:TKZ654208 TBD654119:TBD654208 SRH654119:SRH654208 SHL654119:SHL654208 RXP654119:RXP654208 RNT654119:RNT654208 RDX654119:RDX654208 QUB654119:QUB654208 QKF654119:QKF654208 QAJ654119:QAJ654208 PQN654119:PQN654208 PGR654119:PGR654208 OWV654119:OWV654208 OMZ654119:OMZ654208 ODD654119:ODD654208 NTH654119:NTH654208 NJL654119:NJL654208 MZP654119:MZP654208 MPT654119:MPT654208 MFX654119:MFX654208 LWB654119:LWB654208 LMF654119:LMF654208 LCJ654119:LCJ654208 KSN654119:KSN654208 KIR654119:KIR654208 JYV654119:JYV654208 JOZ654119:JOZ654208 JFD654119:JFD654208 IVH654119:IVH654208 ILL654119:ILL654208 IBP654119:IBP654208 HRT654119:HRT654208 HHX654119:HHX654208 GYB654119:GYB654208 GOF654119:GOF654208 GEJ654119:GEJ654208 FUN654119:FUN654208 FKR654119:FKR654208 FAV654119:FAV654208 EQZ654119:EQZ654208 EHD654119:EHD654208 DXH654119:DXH654208 DNL654119:DNL654208 DDP654119:DDP654208 CTT654119:CTT654208 CJX654119:CJX654208 CAB654119:CAB654208 BQF654119:BQF654208 BGJ654119:BGJ654208 AWN654119:AWN654208 AMR654119:AMR654208 ACV654119:ACV654208 SZ654119:SZ654208 JD654119:JD654208 H654140:H654229 WVP588583:WVP588672 WLT588583:WLT588672 WBX588583:WBX588672 VSB588583:VSB588672 VIF588583:VIF588672 UYJ588583:UYJ588672 UON588583:UON588672 UER588583:UER588672 TUV588583:TUV588672 TKZ588583:TKZ588672 TBD588583:TBD588672 SRH588583:SRH588672 SHL588583:SHL588672 RXP588583:RXP588672 RNT588583:RNT588672 RDX588583:RDX588672 QUB588583:QUB588672 QKF588583:QKF588672 QAJ588583:QAJ588672 PQN588583:PQN588672 PGR588583:PGR588672 OWV588583:OWV588672 OMZ588583:OMZ588672 ODD588583:ODD588672 NTH588583:NTH588672 NJL588583:NJL588672 MZP588583:MZP588672 MPT588583:MPT588672 MFX588583:MFX588672 LWB588583:LWB588672 LMF588583:LMF588672 LCJ588583:LCJ588672 KSN588583:KSN588672 KIR588583:KIR588672 JYV588583:JYV588672 JOZ588583:JOZ588672 JFD588583:JFD588672 IVH588583:IVH588672 ILL588583:ILL588672 IBP588583:IBP588672 HRT588583:HRT588672 HHX588583:HHX588672 GYB588583:GYB588672 GOF588583:GOF588672 GEJ588583:GEJ588672 FUN588583:FUN588672 FKR588583:FKR588672 FAV588583:FAV588672 EQZ588583:EQZ588672 EHD588583:EHD588672 DXH588583:DXH588672 DNL588583:DNL588672 DDP588583:DDP588672 CTT588583:CTT588672 CJX588583:CJX588672 CAB588583:CAB588672 BQF588583:BQF588672 BGJ588583:BGJ588672 AWN588583:AWN588672 AMR588583:AMR588672 ACV588583:ACV588672 SZ588583:SZ588672 JD588583:JD588672 H588604:H588693 WVP523047:WVP523136 WLT523047:WLT523136 WBX523047:WBX523136 VSB523047:VSB523136 VIF523047:VIF523136 UYJ523047:UYJ523136 UON523047:UON523136 UER523047:UER523136 TUV523047:TUV523136 TKZ523047:TKZ523136 TBD523047:TBD523136 SRH523047:SRH523136 SHL523047:SHL523136 RXP523047:RXP523136 RNT523047:RNT523136 RDX523047:RDX523136 QUB523047:QUB523136 QKF523047:QKF523136 QAJ523047:QAJ523136 PQN523047:PQN523136 PGR523047:PGR523136 OWV523047:OWV523136 OMZ523047:OMZ523136 ODD523047:ODD523136 NTH523047:NTH523136 NJL523047:NJL523136 MZP523047:MZP523136 MPT523047:MPT523136 MFX523047:MFX523136 LWB523047:LWB523136 LMF523047:LMF523136 LCJ523047:LCJ523136 KSN523047:KSN523136 KIR523047:KIR523136 JYV523047:JYV523136 JOZ523047:JOZ523136 JFD523047:JFD523136 IVH523047:IVH523136 ILL523047:ILL523136 IBP523047:IBP523136 HRT523047:HRT523136 HHX523047:HHX523136 GYB523047:GYB523136 GOF523047:GOF523136 GEJ523047:GEJ523136 FUN523047:FUN523136 FKR523047:FKR523136 FAV523047:FAV523136 EQZ523047:EQZ523136 EHD523047:EHD523136 DXH523047:DXH523136 DNL523047:DNL523136 DDP523047:DDP523136 CTT523047:CTT523136 CJX523047:CJX523136 CAB523047:CAB523136 BQF523047:BQF523136 BGJ523047:BGJ523136 AWN523047:AWN523136 AMR523047:AMR523136 ACV523047:ACV523136 SZ523047:SZ523136 JD523047:JD523136 H523068:H523157 WVP457511:WVP457600 WLT457511:WLT457600 WBX457511:WBX457600 VSB457511:VSB457600 VIF457511:VIF457600 UYJ457511:UYJ457600 UON457511:UON457600 UER457511:UER457600 TUV457511:TUV457600 TKZ457511:TKZ457600 TBD457511:TBD457600 SRH457511:SRH457600 SHL457511:SHL457600 RXP457511:RXP457600 RNT457511:RNT457600 RDX457511:RDX457600 QUB457511:QUB457600 QKF457511:QKF457600 QAJ457511:QAJ457600 PQN457511:PQN457600 PGR457511:PGR457600 OWV457511:OWV457600 OMZ457511:OMZ457600 ODD457511:ODD457600 NTH457511:NTH457600 NJL457511:NJL457600 MZP457511:MZP457600 MPT457511:MPT457600 MFX457511:MFX457600 LWB457511:LWB457600 LMF457511:LMF457600 LCJ457511:LCJ457600 KSN457511:KSN457600 KIR457511:KIR457600 JYV457511:JYV457600 JOZ457511:JOZ457600 JFD457511:JFD457600 IVH457511:IVH457600 ILL457511:ILL457600 IBP457511:IBP457600 HRT457511:HRT457600 HHX457511:HHX457600 GYB457511:GYB457600 GOF457511:GOF457600 GEJ457511:GEJ457600 FUN457511:FUN457600 FKR457511:FKR457600 FAV457511:FAV457600 EQZ457511:EQZ457600 EHD457511:EHD457600 DXH457511:DXH457600 DNL457511:DNL457600 DDP457511:DDP457600 CTT457511:CTT457600 CJX457511:CJX457600 CAB457511:CAB457600 BQF457511:BQF457600 BGJ457511:BGJ457600 AWN457511:AWN457600 AMR457511:AMR457600 ACV457511:ACV457600 SZ457511:SZ457600 JD457511:JD457600 H457532:H457621 WVP391975:WVP392064 WLT391975:WLT392064 WBX391975:WBX392064 VSB391975:VSB392064 VIF391975:VIF392064 UYJ391975:UYJ392064 UON391975:UON392064 UER391975:UER392064 TUV391975:TUV392064 TKZ391975:TKZ392064 TBD391975:TBD392064 SRH391975:SRH392064 SHL391975:SHL392064 RXP391975:RXP392064 RNT391975:RNT392064 RDX391975:RDX392064 QUB391975:QUB392064 QKF391975:QKF392064 QAJ391975:QAJ392064 PQN391975:PQN392064 PGR391975:PGR392064 OWV391975:OWV392064 OMZ391975:OMZ392064 ODD391975:ODD392064 NTH391975:NTH392064 NJL391975:NJL392064 MZP391975:MZP392064 MPT391975:MPT392064 MFX391975:MFX392064 LWB391975:LWB392064 LMF391975:LMF392064 LCJ391975:LCJ392064 KSN391975:KSN392064 KIR391975:KIR392064 JYV391975:JYV392064 JOZ391975:JOZ392064 JFD391975:JFD392064 IVH391975:IVH392064 ILL391975:ILL392064 IBP391975:IBP392064 HRT391975:HRT392064 HHX391975:HHX392064 GYB391975:GYB392064 GOF391975:GOF392064 GEJ391975:GEJ392064 FUN391975:FUN392064 FKR391975:FKR392064 FAV391975:FAV392064 EQZ391975:EQZ392064 EHD391975:EHD392064 DXH391975:DXH392064 DNL391975:DNL392064 DDP391975:DDP392064 CTT391975:CTT392064 CJX391975:CJX392064 CAB391975:CAB392064 BQF391975:BQF392064 BGJ391975:BGJ392064 AWN391975:AWN392064 AMR391975:AMR392064 ACV391975:ACV392064 SZ391975:SZ392064 JD391975:JD392064 H391996:H392085 WVP326439:WVP326528 WLT326439:WLT326528 WBX326439:WBX326528 VSB326439:VSB326528 VIF326439:VIF326528 UYJ326439:UYJ326528 UON326439:UON326528 UER326439:UER326528 TUV326439:TUV326528 TKZ326439:TKZ326528 TBD326439:TBD326528 SRH326439:SRH326528 SHL326439:SHL326528 RXP326439:RXP326528 RNT326439:RNT326528 RDX326439:RDX326528 QUB326439:QUB326528 QKF326439:QKF326528 QAJ326439:QAJ326528 PQN326439:PQN326528 PGR326439:PGR326528 OWV326439:OWV326528 OMZ326439:OMZ326528 ODD326439:ODD326528 NTH326439:NTH326528 NJL326439:NJL326528 MZP326439:MZP326528 MPT326439:MPT326528 MFX326439:MFX326528 LWB326439:LWB326528 LMF326439:LMF326528 LCJ326439:LCJ326528 KSN326439:KSN326528 KIR326439:KIR326528 JYV326439:JYV326528 JOZ326439:JOZ326528 JFD326439:JFD326528 IVH326439:IVH326528 ILL326439:ILL326528 IBP326439:IBP326528 HRT326439:HRT326528 HHX326439:HHX326528 GYB326439:GYB326528 GOF326439:GOF326528 GEJ326439:GEJ326528 FUN326439:FUN326528 FKR326439:FKR326528 FAV326439:FAV326528 EQZ326439:EQZ326528 EHD326439:EHD326528 DXH326439:DXH326528 DNL326439:DNL326528 DDP326439:DDP326528 CTT326439:CTT326528 CJX326439:CJX326528 CAB326439:CAB326528 BQF326439:BQF326528 BGJ326439:BGJ326528 AWN326439:AWN326528 AMR326439:AMR326528 ACV326439:ACV326528 SZ326439:SZ326528 JD326439:JD326528 H326460:H326549 WVP260903:WVP260992 WLT260903:WLT260992 WBX260903:WBX260992 VSB260903:VSB260992 VIF260903:VIF260992 UYJ260903:UYJ260992 UON260903:UON260992 UER260903:UER260992 TUV260903:TUV260992 TKZ260903:TKZ260992 TBD260903:TBD260992 SRH260903:SRH260992 SHL260903:SHL260992 RXP260903:RXP260992 RNT260903:RNT260992 RDX260903:RDX260992 QUB260903:QUB260992 QKF260903:QKF260992 QAJ260903:QAJ260992 PQN260903:PQN260992 PGR260903:PGR260992 OWV260903:OWV260992 OMZ260903:OMZ260992 ODD260903:ODD260992 NTH260903:NTH260992 NJL260903:NJL260992 MZP260903:MZP260992 MPT260903:MPT260992 MFX260903:MFX260992 LWB260903:LWB260992 LMF260903:LMF260992 LCJ260903:LCJ260992 KSN260903:KSN260992 KIR260903:KIR260992 JYV260903:JYV260992 JOZ260903:JOZ260992 JFD260903:JFD260992 IVH260903:IVH260992 ILL260903:ILL260992 IBP260903:IBP260992 HRT260903:HRT260992 HHX260903:HHX260992 GYB260903:GYB260992 GOF260903:GOF260992 GEJ260903:GEJ260992 FUN260903:FUN260992 FKR260903:FKR260992 FAV260903:FAV260992 EQZ260903:EQZ260992 EHD260903:EHD260992 DXH260903:DXH260992 DNL260903:DNL260992 DDP260903:DDP260992 CTT260903:CTT260992 CJX260903:CJX260992 CAB260903:CAB260992 BQF260903:BQF260992 BGJ260903:BGJ260992 AWN260903:AWN260992 AMR260903:AMR260992 ACV260903:ACV260992 SZ260903:SZ260992 JD260903:JD260992 H260924:H261013 WVP195367:WVP195456 WLT195367:WLT195456 WBX195367:WBX195456 VSB195367:VSB195456 VIF195367:VIF195456 UYJ195367:UYJ195456 UON195367:UON195456 UER195367:UER195456 TUV195367:TUV195456 TKZ195367:TKZ195456 TBD195367:TBD195456 SRH195367:SRH195456 SHL195367:SHL195456 RXP195367:RXP195456 RNT195367:RNT195456 RDX195367:RDX195456 QUB195367:QUB195456 QKF195367:QKF195456 QAJ195367:QAJ195456 PQN195367:PQN195456 PGR195367:PGR195456 OWV195367:OWV195456 OMZ195367:OMZ195456 ODD195367:ODD195456 NTH195367:NTH195456 NJL195367:NJL195456 MZP195367:MZP195456 MPT195367:MPT195456 MFX195367:MFX195456 LWB195367:LWB195456 LMF195367:LMF195456 LCJ195367:LCJ195456 KSN195367:KSN195456 KIR195367:KIR195456 JYV195367:JYV195456 JOZ195367:JOZ195456 JFD195367:JFD195456 IVH195367:IVH195456 ILL195367:ILL195456 IBP195367:IBP195456 HRT195367:HRT195456 HHX195367:HHX195456 GYB195367:GYB195456 GOF195367:GOF195456 GEJ195367:GEJ195456 FUN195367:FUN195456 FKR195367:FKR195456 FAV195367:FAV195456 EQZ195367:EQZ195456 EHD195367:EHD195456 DXH195367:DXH195456 DNL195367:DNL195456 DDP195367:DDP195456 CTT195367:CTT195456 CJX195367:CJX195456 CAB195367:CAB195456 BQF195367:BQF195456 BGJ195367:BGJ195456 AWN195367:AWN195456 AMR195367:AMR195456 ACV195367:ACV195456 SZ195367:SZ195456 JD195367:JD195456 H195388:H195477 WVP129831:WVP129920 WLT129831:WLT129920 WBX129831:WBX129920 VSB129831:VSB129920 VIF129831:VIF129920 UYJ129831:UYJ129920 UON129831:UON129920 UER129831:UER129920 TUV129831:TUV129920 TKZ129831:TKZ129920 TBD129831:TBD129920 SRH129831:SRH129920 SHL129831:SHL129920 RXP129831:RXP129920 RNT129831:RNT129920 RDX129831:RDX129920 QUB129831:QUB129920 QKF129831:QKF129920 QAJ129831:QAJ129920 PQN129831:PQN129920 PGR129831:PGR129920 OWV129831:OWV129920 OMZ129831:OMZ129920 ODD129831:ODD129920 NTH129831:NTH129920 NJL129831:NJL129920 MZP129831:MZP129920 MPT129831:MPT129920 MFX129831:MFX129920 LWB129831:LWB129920 LMF129831:LMF129920 LCJ129831:LCJ129920 KSN129831:KSN129920 KIR129831:KIR129920 JYV129831:JYV129920 JOZ129831:JOZ129920 JFD129831:JFD129920 IVH129831:IVH129920 ILL129831:ILL129920 IBP129831:IBP129920 HRT129831:HRT129920 HHX129831:HHX129920 GYB129831:GYB129920 GOF129831:GOF129920 GEJ129831:GEJ129920 FUN129831:FUN129920 FKR129831:FKR129920 FAV129831:FAV129920 EQZ129831:EQZ129920 EHD129831:EHD129920 DXH129831:DXH129920 DNL129831:DNL129920 DDP129831:DDP129920 CTT129831:CTT129920 CJX129831:CJX129920 CAB129831:CAB129920 BQF129831:BQF129920 BGJ129831:BGJ129920 AWN129831:AWN129920 AMR129831:AMR129920 ACV129831:ACV129920 SZ129831:SZ129920 JD129831:JD129920 H129852:H129941 WVP64295:WVP64384 WLT64295:WLT64384 WBX64295:WBX64384 VSB64295:VSB64384 VIF64295:VIF64384 UYJ64295:UYJ64384 UON64295:UON64384 UER64295:UER64384 TUV64295:TUV64384 TKZ64295:TKZ64384 TBD64295:TBD64384 SRH64295:SRH64384 SHL64295:SHL64384 RXP64295:RXP64384 RNT64295:RNT64384 RDX64295:RDX64384 QUB64295:QUB64384 QKF64295:QKF64384 QAJ64295:QAJ64384 PQN64295:PQN64384 PGR64295:PGR64384 OWV64295:OWV64384 OMZ64295:OMZ64384 ODD64295:ODD64384 NTH64295:NTH64384 NJL64295:NJL64384 MZP64295:MZP64384 MPT64295:MPT64384 MFX64295:MFX64384 LWB64295:LWB64384 LMF64295:LMF64384 LCJ64295:LCJ64384 KSN64295:KSN64384 KIR64295:KIR64384 JYV64295:JYV64384 JOZ64295:JOZ64384 JFD64295:JFD64384 IVH64295:IVH64384 ILL64295:ILL64384 IBP64295:IBP64384 HRT64295:HRT64384 HHX64295:HHX64384 GYB64295:GYB64384 GOF64295:GOF64384 GEJ64295:GEJ64384 FUN64295:FUN64384 FKR64295:FKR64384 FAV64295:FAV64384 EQZ64295:EQZ64384 EHD64295:EHD64384 DXH64295:DXH64384 DNL64295:DNL64384 DDP64295:DDP64384 CTT64295:CTT64384 CJX64295:CJX64384 CAB64295:CAB64384 BQF64295:BQF64384 BGJ64295:BGJ64384 AWN64295:AWN64384 AMR64295:AMR64384 ACV64295:ACV64384 SZ64295:SZ64384 JD64295:JD64384 H64316:H64405 JD2:JD67 SZ2:SZ67 ACV2:ACV67 AMR2:AMR67 AWN2:AWN67 BGJ2:BGJ67 BQF2:BQF67 CAB2:CAB67 CJX2:CJX67 CTT2:CTT67 DDP2:DDP67 DNL2:DNL67 DXH2:DXH67 EHD2:EHD67 EQZ2:EQZ67 FAV2:FAV67 FKR2:FKR67 FUN2:FUN67 GEJ2:GEJ67 GOF2:GOF67 GYB2:GYB67 HHX2:HHX67 HRT2:HRT67 IBP2:IBP67 ILL2:ILL67 IVH2:IVH67 JFD2:JFD67 JOZ2:JOZ67 JYV2:JYV67 KIR2:KIR67 KSN2:KSN67 LCJ2:LCJ67 LMF2:LMF67 LWB2:LWB67 MFX2:MFX67 MPT2:MPT67 MZP2:MZP67 NJL2:NJL67 NTH2:NTH67 ODD2:ODD67 OMZ2:OMZ67 OWV2:OWV67 PGR2:PGR67 PQN2:PQN67 QAJ2:QAJ67 QKF2:QKF67 QUB2:QUB67 RDX2:RDX67 RNT2:RNT67 RXP2:RXP67 SHL2:SHL67 SRH2:SRH67 TBD2:TBD67 TKZ2:TKZ67 TUV2:TUV67 UER2:UER67 UON2:UON67 UYJ2:UYJ67 VIF2:VIF67 VSB2:VSB67 WBX2:WBX67 WLT2:WLT67 WVP2:WVP67" xr:uid="{D09F86D4-3A21-48BE-97A0-6F7A257F584A}">
      <formula1>$AL$8:$AL$13</formula1>
    </dataValidation>
    <dataValidation type="list" allowBlank="1" showInputMessage="1" showErrorMessage="1" sqref="WVQ981799:WVQ981882 WLU981799:WLU981882 WBY981799:WBY981882 VSC981799:VSC981882 VIG981799:VIG981882 UYK981799:UYK981882 UOO981799:UOO981882 UES981799:UES981882 TUW981799:TUW981882 TLA981799:TLA981882 TBE981799:TBE981882 SRI981799:SRI981882 SHM981799:SHM981882 RXQ981799:RXQ981882 RNU981799:RNU981882 RDY981799:RDY981882 QUC981799:QUC981882 QKG981799:QKG981882 QAK981799:QAK981882 PQO981799:PQO981882 PGS981799:PGS981882 OWW981799:OWW981882 ONA981799:ONA981882 ODE981799:ODE981882 NTI981799:NTI981882 NJM981799:NJM981882 MZQ981799:MZQ981882 MPU981799:MPU981882 MFY981799:MFY981882 LWC981799:LWC981882 LMG981799:LMG981882 LCK981799:LCK981882 KSO981799:KSO981882 KIS981799:KIS981882 JYW981799:JYW981882 JPA981799:JPA981882 JFE981799:JFE981882 IVI981799:IVI981882 ILM981799:ILM981882 IBQ981799:IBQ981882 HRU981799:HRU981882 HHY981799:HHY981882 GYC981799:GYC981882 GOG981799:GOG981882 GEK981799:GEK981882 FUO981799:FUO981882 FKS981799:FKS981882 FAW981799:FAW981882 ERA981799:ERA981882 EHE981799:EHE981882 DXI981799:DXI981882 DNM981799:DNM981882 DDQ981799:DDQ981882 CTU981799:CTU981882 CJY981799:CJY981882 CAC981799:CAC981882 BQG981799:BQG981882 BGK981799:BGK981882 AWO981799:AWO981882 AMS981799:AMS981882 ACW981799:ACW981882 TA981799:TA981882 JE981799:JE981882 I981820:I981903 WVQ916263:WVQ916346 WLU916263:WLU916346 WBY916263:WBY916346 VSC916263:VSC916346 VIG916263:VIG916346 UYK916263:UYK916346 UOO916263:UOO916346 UES916263:UES916346 TUW916263:TUW916346 TLA916263:TLA916346 TBE916263:TBE916346 SRI916263:SRI916346 SHM916263:SHM916346 RXQ916263:RXQ916346 RNU916263:RNU916346 RDY916263:RDY916346 QUC916263:QUC916346 QKG916263:QKG916346 QAK916263:QAK916346 PQO916263:PQO916346 PGS916263:PGS916346 OWW916263:OWW916346 ONA916263:ONA916346 ODE916263:ODE916346 NTI916263:NTI916346 NJM916263:NJM916346 MZQ916263:MZQ916346 MPU916263:MPU916346 MFY916263:MFY916346 LWC916263:LWC916346 LMG916263:LMG916346 LCK916263:LCK916346 KSO916263:KSO916346 KIS916263:KIS916346 JYW916263:JYW916346 JPA916263:JPA916346 JFE916263:JFE916346 IVI916263:IVI916346 ILM916263:ILM916346 IBQ916263:IBQ916346 HRU916263:HRU916346 HHY916263:HHY916346 GYC916263:GYC916346 GOG916263:GOG916346 GEK916263:GEK916346 FUO916263:FUO916346 FKS916263:FKS916346 FAW916263:FAW916346 ERA916263:ERA916346 EHE916263:EHE916346 DXI916263:DXI916346 DNM916263:DNM916346 DDQ916263:DDQ916346 CTU916263:CTU916346 CJY916263:CJY916346 CAC916263:CAC916346 BQG916263:BQG916346 BGK916263:BGK916346 AWO916263:AWO916346 AMS916263:AMS916346 ACW916263:ACW916346 TA916263:TA916346 JE916263:JE916346 I916284:I916367 WVQ850727:WVQ850810 WLU850727:WLU850810 WBY850727:WBY850810 VSC850727:VSC850810 VIG850727:VIG850810 UYK850727:UYK850810 UOO850727:UOO850810 UES850727:UES850810 TUW850727:TUW850810 TLA850727:TLA850810 TBE850727:TBE850810 SRI850727:SRI850810 SHM850727:SHM850810 RXQ850727:RXQ850810 RNU850727:RNU850810 RDY850727:RDY850810 QUC850727:QUC850810 QKG850727:QKG850810 QAK850727:QAK850810 PQO850727:PQO850810 PGS850727:PGS850810 OWW850727:OWW850810 ONA850727:ONA850810 ODE850727:ODE850810 NTI850727:NTI850810 NJM850727:NJM850810 MZQ850727:MZQ850810 MPU850727:MPU850810 MFY850727:MFY850810 LWC850727:LWC850810 LMG850727:LMG850810 LCK850727:LCK850810 KSO850727:KSO850810 KIS850727:KIS850810 JYW850727:JYW850810 JPA850727:JPA850810 JFE850727:JFE850810 IVI850727:IVI850810 ILM850727:ILM850810 IBQ850727:IBQ850810 HRU850727:HRU850810 HHY850727:HHY850810 GYC850727:GYC850810 GOG850727:GOG850810 GEK850727:GEK850810 FUO850727:FUO850810 FKS850727:FKS850810 FAW850727:FAW850810 ERA850727:ERA850810 EHE850727:EHE850810 DXI850727:DXI850810 DNM850727:DNM850810 DDQ850727:DDQ850810 CTU850727:CTU850810 CJY850727:CJY850810 CAC850727:CAC850810 BQG850727:BQG850810 BGK850727:BGK850810 AWO850727:AWO850810 AMS850727:AMS850810 ACW850727:ACW850810 TA850727:TA850810 JE850727:JE850810 I850748:I850831 WVQ785191:WVQ785274 WLU785191:WLU785274 WBY785191:WBY785274 VSC785191:VSC785274 VIG785191:VIG785274 UYK785191:UYK785274 UOO785191:UOO785274 UES785191:UES785274 TUW785191:TUW785274 TLA785191:TLA785274 TBE785191:TBE785274 SRI785191:SRI785274 SHM785191:SHM785274 RXQ785191:RXQ785274 RNU785191:RNU785274 RDY785191:RDY785274 QUC785191:QUC785274 QKG785191:QKG785274 QAK785191:QAK785274 PQO785191:PQO785274 PGS785191:PGS785274 OWW785191:OWW785274 ONA785191:ONA785274 ODE785191:ODE785274 NTI785191:NTI785274 NJM785191:NJM785274 MZQ785191:MZQ785274 MPU785191:MPU785274 MFY785191:MFY785274 LWC785191:LWC785274 LMG785191:LMG785274 LCK785191:LCK785274 KSO785191:KSO785274 KIS785191:KIS785274 JYW785191:JYW785274 JPA785191:JPA785274 JFE785191:JFE785274 IVI785191:IVI785274 ILM785191:ILM785274 IBQ785191:IBQ785274 HRU785191:HRU785274 HHY785191:HHY785274 GYC785191:GYC785274 GOG785191:GOG785274 GEK785191:GEK785274 FUO785191:FUO785274 FKS785191:FKS785274 FAW785191:FAW785274 ERA785191:ERA785274 EHE785191:EHE785274 DXI785191:DXI785274 DNM785191:DNM785274 DDQ785191:DDQ785274 CTU785191:CTU785274 CJY785191:CJY785274 CAC785191:CAC785274 BQG785191:BQG785274 BGK785191:BGK785274 AWO785191:AWO785274 AMS785191:AMS785274 ACW785191:ACW785274 TA785191:TA785274 JE785191:JE785274 I785212:I785295 WVQ719655:WVQ719738 WLU719655:WLU719738 WBY719655:WBY719738 VSC719655:VSC719738 VIG719655:VIG719738 UYK719655:UYK719738 UOO719655:UOO719738 UES719655:UES719738 TUW719655:TUW719738 TLA719655:TLA719738 TBE719655:TBE719738 SRI719655:SRI719738 SHM719655:SHM719738 RXQ719655:RXQ719738 RNU719655:RNU719738 RDY719655:RDY719738 QUC719655:QUC719738 QKG719655:QKG719738 QAK719655:QAK719738 PQO719655:PQO719738 PGS719655:PGS719738 OWW719655:OWW719738 ONA719655:ONA719738 ODE719655:ODE719738 NTI719655:NTI719738 NJM719655:NJM719738 MZQ719655:MZQ719738 MPU719655:MPU719738 MFY719655:MFY719738 LWC719655:LWC719738 LMG719655:LMG719738 LCK719655:LCK719738 KSO719655:KSO719738 KIS719655:KIS719738 JYW719655:JYW719738 JPA719655:JPA719738 JFE719655:JFE719738 IVI719655:IVI719738 ILM719655:ILM719738 IBQ719655:IBQ719738 HRU719655:HRU719738 HHY719655:HHY719738 GYC719655:GYC719738 GOG719655:GOG719738 GEK719655:GEK719738 FUO719655:FUO719738 FKS719655:FKS719738 FAW719655:FAW719738 ERA719655:ERA719738 EHE719655:EHE719738 DXI719655:DXI719738 DNM719655:DNM719738 DDQ719655:DDQ719738 CTU719655:CTU719738 CJY719655:CJY719738 CAC719655:CAC719738 BQG719655:BQG719738 BGK719655:BGK719738 AWO719655:AWO719738 AMS719655:AMS719738 ACW719655:ACW719738 TA719655:TA719738 JE719655:JE719738 I719676:I719759 WVQ654119:WVQ654202 WLU654119:WLU654202 WBY654119:WBY654202 VSC654119:VSC654202 VIG654119:VIG654202 UYK654119:UYK654202 UOO654119:UOO654202 UES654119:UES654202 TUW654119:TUW654202 TLA654119:TLA654202 TBE654119:TBE654202 SRI654119:SRI654202 SHM654119:SHM654202 RXQ654119:RXQ654202 RNU654119:RNU654202 RDY654119:RDY654202 QUC654119:QUC654202 QKG654119:QKG654202 QAK654119:QAK654202 PQO654119:PQO654202 PGS654119:PGS654202 OWW654119:OWW654202 ONA654119:ONA654202 ODE654119:ODE654202 NTI654119:NTI654202 NJM654119:NJM654202 MZQ654119:MZQ654202 MPU654119:MPU654202 MFY654119:MFY654202 LWC654119:LWC654202 LMG654119:LMG654202 LCK654119:LCK654202 KSO654119:KSO654202 KIS654119:KIS654202 JYW654119:JYW654202 JPA654119:JPA654202 JFE654119:JFE654202 IVI654119:IVI654202 ILM654119:ILM654202 IBQ654119:IBQ654202 HRU654119:HRU654202 HHY654119:HHY654202 GYC654119:GYC654202 GOG654119:GOG654202 GEK654119:GEK654202 FUO654119:FUO654202 FKS654119:FKS654202 FAW654119:FAW654202 ERA654119:ERA654202 EHE654119:EHE654202 DXI654119:DXI654202 DNM654119:DNM654202 DDQ654119:DDQ654202 CTU654119:CTU654202 CJY654119:CJY654202 CAC654119:CAC654202 BQG654119:BQG654202 BGK654119:BGK654202 AWO654119:AWO654202 AMS654119:AMS654202 ACW654119:ACW654202 TA654119:TA654202 JE654119:JE654202 I654140:I654223 WVQ588583:WVQ588666 WLU588583:WLU588666 WBY588583:WBY588666 VSC588583:VSC588666 VIG588583:VIG588666 UYK588583:UYK588666 UOO588583:UOO588666 UES588583:UES588666 TUW588583:TUW588666 TLA588583:TLA588666 TBE588583:TBE588666 SRI588583:SRI588666 SHM588583:SHM588666 RXQ588583:RXQ588666 RNU588583:RNU588666 RDY588583:RDY588666 QUC588583:QUC588666 QKG588583:QKG588666 QAK588583:QAK588666 PQO588583:PQO588666 PGS588583:PGS588666 OWW588583:OWW588666 ONA588583:ONA588666 ODE588583:ODE588666 NTI588583:NTI588666 NJM588583:NJM588666 MZQ588583:MZQ588666 MPU588583:MPU588666 MFY588583:MFY588666 LWC588583:LWC588666 LMG588583:LMG588666 LCK588583:LCK588666 KSO588583:KSO588666 KIS588583:KIS588666 JYW588583:JYW588666 JPA588583:JPA588666 JFE588583:JFE588666 IVI588583:IVI588666 ILM588583:ILM588666 IBQ588583:IBQ588666 HRU588583:HRU588666 HHY588583:HHY588666 GYC588583:GYC588666 GOG588583:GOG588666 GEK588583:GEK588666 FUO588583:FUO588666 FKS588583:FKS588666 FAW588583:FAW588666 ERA588583:ERA588666 EHE588583:EHE588666 DXI588583:DXI588666 DNM588583:DNM588666 DDQ588583:DDQ588666 CTU588583:CTU588666 CJY588583:CJY588666 CAC588583:CAC588666 BQG588583:BQG588666 BGK588583:BGK588666 AWO588583:AWO588666 AMS588583:AMS588666 ACW588583:ACW588666 TA588583:TA588666 JE588583:JE588666 I588604:I588687 WVQ523047:WVQ523130 WLU523047:WLU523130 WBY523047:WBY523130 VSC523047:VSC523130 VIG523047:VIG523130 UYK523047:UYK523130 UOO523047:UOO523130 UES523047:UES523130 TUW523047:TUW523130 TLA523047:TLA523130 TBE523047:TBE523130 SRI523047:SRI523130 SHM523047:SHM523130 RXQ523047:RXQ523130 RNU523047:RNU523130 RDY523047:RDY523130 QUC523047:QUC523130 QKG523047:QKG523130 QAK523047:QAK523130 PQO523047:PQO523130 PGS523047:PGS523130 OWW523047:OWW523130 ONA523047:ONA523130 ODE523047:ODE523130 NTI523047:NTI523130 NJM523047:NJM523130 MZQ523047:MZQ523130 MPU523047:MPU523130 MFY523047:MFY523130 LWC523047:LWC523130 LMG523047:LMG523130 LCK523047:LCK523130 KSO523047:KSO523130 KIS523047:KIS523130 JYW523047:JYW523130 JPA523047:JPA523130 JFE523047:JFE523130 IVI523047:IVI523130 ILM523047:ILM523130 IBQ523047:IBQ523130 HRU523047:HRU523130 HHY523047:HHY523130 GYC523047:GYC523130 GOG523047:GOG523130 GEK523047:GEK523130 FUO523047:FUO523130 FKS523047:FKS523130 FAW523047:FAW523130 ERA523047:ERA523130 EHE523047:EHE523130 DXI523047:DXI523130 DNM523047:DNM523130 DDQ523047:DDQ523130 CTU523047:CTU523130 CJY523047:CJY523130 CAC523047:CAC523130 BQG523047:BQG523130 BGK523047:BGK523130 AWO523047:AWO523130 AMS523047:AMS523130 ACW523047:ACW523130 TA523047:TA523130 JE523047:JE523130 I523068:I523151 WVQ457511:WVQ457594 WLU457511:WLU457594 WBY457511:WBY457594 VSC457511:VSC457594 VIG457511:VIG457594 UYK457511:UYK457594 UOO457511:UOO457594 UES457511:UES457594 TUW457511:TUW457594 TLA457511:TLA457594 TBE457511:TBE457594 SRI457511:SRI457594 SHM457511:SHM457594 RXQ457511:RXQ457594 RNU457511:RNU457594 RDY457511:RDY457594 QUC457511:QUC457594 QKG457511:QKG457594 QAK457511:QAK457594 PQO457511:PQO457594 PGS457511:PGS457594 OWW457511:OWW457594 ONA457511:ONA457594 ODE457511:ODE457594 NTI457511:NTI457594 NJM457511:NJM457594 MZQ457511:MZQ457594 MPU457511:MPU457594 MFY457511:MFY457594 LWC457511:LWC457594 LMG457511:LMG457594 LCK457511:LCK457594 KSO457511:KSO457594 KIS457511:KIS457594 JYW457511:JYW457594 JPA457511:JPA457594 JFE457511:JFE457594 IVI457511:IVI457594 ILM457511:ILM457594 IBQ457511:IBQ457594 HRU457511:HRU457594 HHY457511:HHY457594 GYC457511:GYC457594 GOG457511:GOG457594 GEK457511:GEK457594 FUO457511:FUO457594 FKS457511:FKS457594 FAW457511:FAW457594 ERA457511:ERA457594 EHE457511:EHE457594 DXI457511:DXI457594 DNM457511:DNM457594 DDQ457511:DDQ457594 CTU457511:CTU457594 CJY457511:CJY457594 CAC457511:CAC457594 BQG457511:BQG457594 BGK457511:BGK457594 AWO457511:AWO457594 AMS457511:AMS457594 ACW457511:ACW457594 TA457511:TA457594 JE457511:JE457594 I457532:I457615 WVQ391975:WVQ392058 WLU391975:WLU392058 WBY391975:WBY392058 VSC391975:VSC392058 VIG391975:VIG392058 UYK391975:UYK392058 UOO391975:UOO392058 UES391975:UES392058 TUW391975:TUW392058 TLA391975:TLA392058 TBE391975:TBE392058 SRI391975:SRI392058 SHM391975:SHM392058 RXQ391975:RXQ392058 RNU391975:RNU392058 RDY391975:RDY392058 QUC391975:QUC392058 QKG391975:QKG392058 QAK391975:QAK392058 PQO391975:PQO392058 PGS391975:PGS392058 OWW391975:OWW392058 ONA391975:ONA392058 ODE391975:ODE392058 NTI391975:NTI392058 NJM391975:NJM392058 MZQ391975:MZQ392058 MPU391975:MPU392058 MFY391975:MFY392058 LWC391975:LWC392058 LMG391975:LMG392058 LCK391975:LCK392058 KSO391975:KSO392058 KIS391975:KIS392058 JYW391975:JYW392058 JPA391975:JPA392058 JFE391975:JFE392058 IVI391975:IVI392058 ILM391975:ILM392058 IBQ391975:IBQ392058 HRU391975:HRU392058 HHY391975:HHY392058 GYC391975:GYC392058 GOG391975:GOG392058 GEK391975:GEK392058 FUO391975:FUO392058 FKS391975:FKS392058 FAW391975:FAW392058 ERA391975:ERA392058 EHE391975:EHE392058 DXI391975:DXI392058 DNM391975:DNM392058 DDQ391975:DDQ392058 CTU391975:CTU392058 CJY391975:CJY392058 CAC391975:CAC392058 BQG391975:BQG392058 BGK391975:BGK392058 AWO391975:AWO392058 AMS391975:AMS392058 ACW391975:ACW392058 TA391975:TA392058 JE391975:JE392058 I391996:I392079 WVQ326439:WVQ326522 WLU326439:WLU326522 WBY326439:WBY326522 VSC326439:VSC326522 VIG326439:VIG326522 UYK326439:UYK326522 UOO326439:UOO326522 UES326439:UES326522 TUW326439:TUW326522 TLA326439:TLA326522 TBE326439:TBE326522 SRI326439:SRI326522 SHM326439:SHM326522 RXQ326439:RXQ326522 RNU326439:RNU326522 RDY326439:RDY326522 QUC326439:QUC326522 QKG326439:QKG326522 QAK326439:QAK326522 PQO326439:PQO326522 PGS326439:PGS326522 OWW326439:OWW326522 ONA326439:ONA326522 ODE326439:ODE326522 NTI326439:NTI326522 NJM326439:NJM326522 MZQ326439:MZQ326522 MPU326439:MPU326522 MFY326439:MFY326522 LWC326439:LWC326522 LMG326439:LMG326522 LCK326439:LCK326522 KSO326439:KSO326522 KIS326439:KIS326522 JYW326439:JYW326522 JPA326439:JPA326522 JFE326439:JFE326522 IVI326439:IVI326522 ILM326439:ILM326522 IBQ326439:IBQ326522 HRU326439:HRU326522 HHY326439:HHY326522 GYC326439:GYC326522 GOG326439:GOG326522 GEK326439:GEK326522 FUO326439:FUO326522 FKS326439:FKS326522 FAW326439:FAW326522 ERA326439:ERA326522 EHE326439:EHE326522 DXI326439:DXI326522 DNM326439:DNM326522 DDQ326439:DDQ326522 CTU326439:CTU326522 CJY326439:CJY326522 CAC326439:CAC326522 BQG326439:BQG326522 BGK326439:BGK326522 AWO326439:AWO326522 AMS326439:AMS326522 ACW326439:ACW326522 TA326439:TA326522 JE326439:JE326522 I326460:I326543 WVQ260903:WVQ260986 WLU260903:WLU260986 WBY260903:WBY260986 VSC260903:VSC260986 VIG260903:VIG260986 UYK260903:UYK260986 UOO260903:UOO260986 UES260903:UES260986 TUW260903:TUW260986 TLA260903:TLA260986 TBE260903:TBE260986 SRI260903:SRI260986 SHM260903:SHM260986 RXQ260903:RXQ260986 RNU260903:RNU260986 RDY260903:RDY260986 QUC260903:QUC260986 QKG260903:QKG260986 QAK260903:QAK260986 PQO260903:PQO260986 PGS260903:PGS260986 OWW260903:OWW260986 ONA260903:ONA260986 ODE260903:ODE260986 NTI260903:NTI260986 NJM260903:NJM260986 MZQ260903:MZQ260986 MPU260903:MPU260986 MFY260903:MFY260986 LWC260903:LWC260986 LMG260903:LMG260986 LCK260903:LCK260986 KSO260903:KSO260986 KIS260903:KIS260986 JYW260903:JYW260986 JPA260903:JPA260986 JFE260903:JFE260986 IVI260903:IVI260986 ILM260903:ILM260986 IBQ260903:IBQ260986 HRU260903:HRU260986 HHY260903:HHY260986 GYC260903:GYC260986 GOG260903:GOG260986 GEK260903:GEK260986 FUO260903:FUO260986 FKS260903:FKS260986 FAW260903:FAW260986 ERA260903:ERA260986 EHE260903:EHE260986 DXI260903:DXI260986 DNM260903:DNM260986 DDQ260903:DDQ260986 CTU260903:CTU260986 CJY260903:CJY260986 CAC260903:CAC260986 BQG260903:BQG260986 BGK260903:BGK260986 AWO260903:AWO260986 AMS260903:AMS260986 ACW260903:ACW260986 TA260903:TA260986 JE260903:JE260986 I260924:I261007 WVQ195367:WVQ195450 WLU195367:WLU195450 WBY195367:WBY195450 VSC195367:VSC195450 VIG195367:VIG195450 UYK195367:UYK195450 UOO195367:UOO195450 UES195367:UES195450 TUW195367:TUW195450 TLA195367:TLA195450 TBE195367:TBE195450 SRI195367:SRI195450 SHM195367:SHM195450 RXQ195367:RXQ195450 RNU195367:RNU195450 RDY195367:RDY195450 QUC195367:QUC195450 QKG195367:QKG195450 QAK195367:QAK195450 PQO195367:PQO195450 PGS195367:PGS195450 OWW195367:OWW195450 ONA195367:ONA195450 ODE195367:ODE195450 NTI195367:NTI195450 NJM195367:NJM195450 MZQ195367:MZQ195450 MPU195367:MPU195450 MFY195367:MFY195450 LWC195367:LWC195450 LMG195367:LMG195450 LCK195367:LCK195450 KSO195367:KSO195450 KIS195367:KIS195450 JYW195367:JYW195450 JPA195367:JPA195450 JFE195367:JFE195450 IVI195367:IVI195450 ILM195367:ILM195450 IBQ195367:IBQ195450 HRU195367:HRU195450 HHY195367:HHY195450 GYC195367:GYC195450 GOG195367:GOG195450 GEK195367:GEK195450 FUO195367:FUO195450 FKS195367:FKS195450 FAW195367:FAW195450 ERA195367:ERA195450 EHE195367:EHE195450 DXI195367:DXI195450 DNM195367:DNM195450 DDQ195367:DDQ195450 CTU195367:CTU195450 CJY195367:CJY195450 CAC195367:CAC195450 BQG195367:BQG195450 BGK195367:BGK195450 AWO195367:AWO195450 AMS195367:AMS195450 ACW195367:ACW195450 TA195367:TA195450 JE195367:JE195450 I195388:I195471 WVQ129831:WVQ129914 WLU129831:WLU129914 WBY129831:WBY129914 VSC129831:VSC129914 VIG129831:VIG129914 UYK129831:UYK129914 UOO129831:UOO129914 UES129831:UES129914 TUW129831:TUW129914 TLA129831:TLA129914 TBE129831:TBE129914 SRI129831:SRI129914 SHM129831:SHM129914 RXQ129831:RXQ129914 RNU129831:RNU129914 RDY129831:RDY129914 QUC129831:QUC129914 QKG129831:QKG129914 QAK129831:QAK129914 PQO129831:PQO129914 PGS129831:PGS129914 OWW129831:OWW129914 ONA129831:ONA129914 ODE129831:ODE129914 NTI129831:NTI129914 NJM129831:NJM129914 MZQ129831:MZQ129914 MPU129831:MPU129914 MFY129831:MFY129914 LWC129831:LWC129914 LMG129831:LMG129914 LCK129831:LCK129914 KSO129831:KSO129914 KIS129831:KIS129914 JYW129831:JYW129914 JPA129831:JPA129914 JFE129831:JFE129914 IVI129831:IVI129914 ILM129831:ILM129914 IBQ129831:IBQ129914 HRU129831:HRU129914 HHY129831:HHY129914 GYC129831:GYC129914 GOG129831:GOG129914 GEK129831:GEK129914 FUO129831:FUO129914 FKS129831:FKS129914 FAW129831:FAW129914 ERA129831:ERA129914 EHE129831:EHE129914 DXI129831:DXI129914 DNM129831:DNM129914 DDQ129831:DDQ129914 CTU129831:CTU129914 CJY129831:CJY129914 CAC129831:CAC129914 BQG129831:BQG129914 BGK129831:BGK129914 AWO129831:AWO129914 AMS129831:AMS129914 ACW129831:ACW129914 TA129831:TA129914 JE129831:JE129914 I129852:I129935 WVQ64295:WVQ64378 WLU64295:WLU64378 WBY64295:WBY64378 VSC64295:VSC64378 VIG64295:VIG64378 UYK64295:UYK64378 UOO64295:UOO64378 UES64295:UES64378 TUW64295:TUW64378 TLA64295:TLA64378 TBE64295:TBE64378 SRI64295:SRI64378 SHM64295:SHM64378 RXQ64295:RXQ64378 RNU64295:RNU64378 RDY64295:RDY64378 QUC64295:QUC64378 QKG64295:QKG64378 QAK64295:QAK64378 PQO64295:PQO64378 PGS64295:PGS64378 OWW64295:OWW64378 ONA64295:ONA64378 ODE64295:ODE64378 NTI64295:NTI64378 NJM64295:NJM64378 MZQ64295:MZQ64378 MPU64295:MPU64378 MFY64295:MFY64378 LWC64295:LWC64378 LMG64295:LMG64378 LCK64295:LCK64378 KSO64295:KSO64378 KIS64295:KIS64378 JYW64295:JYW64378 JPA64295:JPA64378 JFE64295:JFE64378 IVI64295:IVI64378 ILM64295:ILM64378 IBQ64295:IBQ64378 HRU64295:HRU64378 HHY64295:HHY64378 GYC64295:GYC64378 GOG64295:GOG64378 GEK64295:GEK64378 FUO64295:FUO64378 FKS64295:FKS64378 FAW64295:FAW64378 ERA64295:ERA64378 EHE64295:EHE64378 DXI64295:DXI64378 DNM64295:DNM64378 DDQ64295:DDQ64378 CTU64295:CTU64378 CJY64295:CJY64378 CAC64295:CAC64378 BQG64295:BQG64378 BGK64295:BGK64378 AWO64295:AWO64378 AMS64295:AMS64378 ACW64295:ACW64378 TA64295:TA64378 JE64295:JE64378 I64316:I64399 I90:I494 I2:I88 TA2:TA67 ACW2:ACW67 AMS2:AMS67 AWO2:AWO67 BGK2:BGK67 BQG2:BQG67 CAC2:CAC67 CJY2:CJY67 CTU2:CTU67 DDQ2:DDQ67 DNM2:DNM67 DXI2:DXI67 EHE2:EHE67 ERA2:ERA67 FAW2:FAW67 FKS2:FKS67 FUO2:FUO67 GEK2:GEK67 GOG2:GOG67 GYC2:GYC67 HHY2:HHY67 HRU2:HRU67 IBQ2:IBQ67 ILM2:ILM67 IVI2:IVI67 JFE2:JFE67 JPA2:JPA67 JYW2:JYW67 KIS2:KIS67 KSO2:KSO67 LCK2:LCK67 LMG2:LMG67 LWC2:LWC67 MFY2:MFY67 MPU2:MPU67 MZQ2:MZQ67 NJM2:NJM67 NTI2:NTI67 ODE2:ODE67 ONA2:ONA67 OWW2:OWW67 PGS2:PGS67 PQO2:PQO67 QAK2:QAK67 QKG2:QKG67 QUC2:QUC67 RDY2:RDY67 RNU2:RNU67 RXQ2:RXQ67 SHM2:SHM67 SRI2:SRI67 TBE2:TBE67 TLA2:TLA67 TUW2:TUW67 UES2:UES67 UOO2:UOO67 UYK2:UYK67 VIG2:VIG67 VSC2:VSC67 WBY2:WBY67 WLU2:WLU67 WVQ2:WVQ67 JE2:JE67" xr:uid="{8052D7AD-174B-46FA-9557-C44F77C779C4}">
      <formula1>$AN$5:$AN$6</formula1>
    </dataValidation>
    <dataValidation type="list" allowBlank="1" showInputMessage="1" showErrorMessage="1" sqref="WWG981799:WWI981882 WCO981799:WCQ981882 WMK981799:WMM981882 Y64295:AA64378 JU64295:JW64378 TQ64295:TS64378 ADM64295:ADO64378 ANI64295:ANK64378 AXE64295:AXG64378 BHA64295:BHC64378 BQW64295:BQY64378 CAS64295:CAU64378 CKO64295:CKQ64378 CUK64295:CUM64378 DEG64295:DEI64378 DOC64295:DOE64378 DXY64295:DYA64378 EHU64295:EHW64378 ERQ64295:ERS64378 FBM64295:FBO64378 FLI64295:FLK64378 FVE64295:FVG64378 GFA64295:GFC64378 GOW64295:GOY64378 GYS64295:GYU64378 HIO64295:HIQ64378 HSK64295:HSM64378 ICG64295:ICI64378 IMC64295:IME64378 IVY64295:IWA64378 JFU64295:JFW64378 JPQ64295:JPS64378 JZM64295:JZO64378 KJI64295:KJK64378 KTE64295:KTG64378 LDA64295:LDC64378 LMW64295:LMY64378 LWS64295:LWU64378 MGO64295:MGQ64378 MQK64295:MQM64378 NAG64295:NAI64378 NKC64295:NKE64378 NTY64295:NUA64378 ODU64295:ODW64378 ONQ64295:ONS64378 OXM64295:OXO64378 PHI64295:PHK64378 PRE64295:PRG64378 QBA64295:QBC64378 QKW64295:QKY64378 QUS64295:QUU64378 REO64295:REQ64378 ROK64295:ROM64378 RYG64295:RYI64378 SIC64295:SIE64378 SRY64295:SSA64378 TBU64295:TBW64378 TLQ64295:TLS64378 TVM64295:TVO64378 UFI64295:UFK64378 UPE64295:UPG64378 UZA64295:UZC64378 VIW64295:VIY64378 VSS64295:VSU64378 WCO64295:WCQ64378 WMK64295:WMM64378 WWG64295:WWI64378 Y129831:AA129914 JU129831:JW129914 TQ129831:TS129914 ADM129831:ADO129914 ANI129831:ANK129914 AXE129831:AXG129914 BHA129831:BHC129914 BQW129831:BQY129914 CAS129831:CAU129914 CKO129831:CKQ129914 CUK129831:CUM129914 DEG129831:DEI129914 DOC129831:DOE129914 DXY129831:DYA129914 EHU129831:EHW129914 ERQ129831:ERS129914 FBM129831:FBO129914 FLI129831:FLK129914 FVE129831:FVG129914 GFA129831:GFC129914 GOW129831:GOY129914 GYS129831:GYU129914 HIO129831:HIQ129914 HSK129831:HSM129914 ICG129831:ICI129914 IMC129831:IME129914 IVY129831:IWA129914 JFU129831:JFW129914 JPQ129831:JPS129914 JZM129831:JZO129914 KJI129831:KJK129914 KTE129831:KTG129914 LDA129831:LDC129914 LMW129831:LMY129914 LWS129831:LWU129914 MGO129831:MGQ129914 MQK129831:MQM129914 NAG129831:NAI129914 NKC129831:NKE129914 NTY129831:NUA129914 ODU129831:ODW129914 ONQ129831:ONS129914 OXM129831:OXO129914 PHI129831:PHK129914 PRE129831:PRG129914 QBA129831:QBC129914 QKW129831:QKY129914 QUS129831:QUU129914 REO129831:REQ129914 ROK129831:ROM129914 RYG129831:RYI129914 SIC129831:SIE129914 SRY129831:SSA129914 TBU129831:TBW129914 TLQ129831:TLS129914 TVM129831:TVO129914 UFI129831:UFK129914 UPE129831:UPG129914 UZA129831:UZC129914 VIW129831:VIY129914 VSS129831:VSU129914 WCO129831:WCQ129914 WMK129831:WMM129914 WWG129831:WWI129914 Y195367:AA195450 JU195367:JW195450 TQ195367:TS195450 ADM195367:ADO195450 ANI195367:ANK195450 AXE195367:AXG195450 BHA195367:BHC195450 BQW195367:BQY195450 CAS195367:CAU195450 CKO195367:CKQ195450 CUK195367:CUM195450 DEG195367:DEI195450 DOC195367:DOE195450 DXY195367:DYA195450 EHU195367:EHW195450 ERQ195367:ERS195450 FBM195367:FBO195450 FLI195367:FLK195450 FVE195367:FVG195450 GFA195367:GFC195450 GOW195367:GOY195450 GYS195367:GYU195450 HIO195367:HIQ195450 HSK195367:HSM195450 ICG195367:ICI195450 IMC195367:IME195450 IVY195367:IWA195450 JFU195367:JFW195450 JPQ195367:JPS195450 JZM195367:JZO195450 KJI195367:KJK195450 KTE195367:KTG195450 LDA195367:LDC195450 LMW195367:LMY195450 LWS195367:LWU195450 MGO195367:MGQ195450 MQK195367:MQM195450 NAG195367:NAI195450 NKC195367:NKE195450 NTY195367:NUA195450 ODU195367:ODW195450 ONQ195367:ONS195450 OXM195367:OXO195450 PHI195367:PHK195450 PRE195367:PRG195450 QBA195367:QBC195450 QKW195367:QKY195450 QUS195367:QUU195450 REO195367:REQ195450 ROK195367:ROM195450 RYG195367:RYI195450 SIC195367:SIE195450 SRY195367:SSA195450 TBU195367:TBW195450 TLQ195367:TLS195450 TVM195367:TVO195450 UFI195367:UFK195450 UPE195367:UPG195450 UZA195367:UZC195450 VIW195367:VIY195450 VSS195367:VSU195450 WCO195367:WCQ195450 WMK195367:WMM195450 WWG195367:WWI195450 Y260903:AA260986 JU260903:JW260986 TQ260903:TS260986 ADM260903:ADO260986 ANI260903:ANK260986 AXE260903:AXG260986 BHA260903:BHC260986 BQW260903:BQY260986 CAS260903:CAU260986 CKO260903:CKQ260986 CUK260903:CUM260986 DEG260903:DEI260986 DOC260903:DOE260986 DXY260903:DYA260986 EHU260903:EHW260986 ERQ260903:ERS260986 FBM260903:FBO260986 FLI260903:FLK260986 FVE260903:FVG260986 GFA260903:GFC260986 GOW260903:GOY260986 GYS260903:GYU260986 HIO260903:HIQ260986 HSK260903:HSM260986 ICG260903:ICI260986 IMC260903:IME260986 IVY260903:IWA260986 JFU260903:JFW260986 JPQ260903:JPS260986 JZM260903:JZO260986 KJI260903:KJK260986 KTE260903:KTG260986 LDA260903:LDC260986 LMW260903:LMY260986 LWS260903:LWU260986 MGO260903:MGQ260986 MQK260903:MQM260986 NAG260903:NAI260986 NKC260903:NKE260986 NTY260903:NUA260986 ODU260903:ODW260986 ONQ260903:ONS260986 OXM260903:OXO260986 PHI260903:PHK260986 PRE260903:PRG260986 QBA260903:QBC260986 QKW260903:QKY260986 QUS260903:QUU260986 REO260903:REQ260986 ROK260903:ROM260986 RYG260903:RYI260986 SIC260903:SIE260986 SRY260903:SSA260986 TBU260903:TBW260986 TLQ260903:TLS260986 TVM260903:TVO260986 UFI260903:UFK260986 UPE260903:UPG260986 UZA260903:UZC260986 VIW260903:VIY260986 VSS260903:VSU260986 WCO260903:WCQ260986 WMK260903:WMM260986 WWG260903:WWI260986 Y326439:AA326522 JU326439:JW326522 TQ326439:TS326522 ADM326439:ADO326522 ANI326439:ANK326522 AXE326439:AXG326522 BHA326439:BHC326522 BQW326439:BQY326522 CAS326439:CAU326522 CKO326439:CKQ326522 CUK326439:CUM326522 DEG326439:DEI326522 DOC326439:DOE326522 DXY326439:DYA326522 EHU326439:EHW326522 ERQ326439:ERS326522 FBM326439:FBO326522 FLI326439:FLK326522 FVE326439:FVG326522 GFA326439:GFC326522 GOW326439:GOY326522 GYS326439:GYU326522 HIO326439:HIQ326522 HSK326439:HSM326522 ICG326439:ICI326522 IMC326439:IME326522 IVY326439:IWA326522 JFU326439:JFW326522 JPQ326439:JPS326522 JZM326439:JZO326522 KJI326439:KJK326522 KTE326439:KTG326522 LDA326439:LDC326522 LMW326439:LMY326522 LWS326439:LWU326522 MGO326439:MGQ326522 MQK326439:MQM326522 NAG326439:NAI326522 NKC326439:NKE326522 NTY326439:NUA326522 ODU326439:ODW326522 ONQ326439:ONS326522 OXM326439:OXO326522 PHI326439:PHK326522 PRE326439:PRG326522 QBA326439:QBC326522 QKW326439:QKY326522 QUS326439:QUU326522 REO326439:REQ326522 ROK326439:ROM326522 RYG326439:RYI326522 SIC326439:SIE326522 SRY326439:SSA326522 TBU326439:TBW326522 TLQ326439:TLS326522 TVM326439:TVO326522 UFI326439:UFK326522 UPE326439:UPG326522 UZA326439:UZC326522 VIW326439:VIY326522 VSS326439:VSU326522 WCO326439:WCQ326522 WMK326439:WMM326522 WWG326439:WWI326522 Y391975:AA392058 JU391975:JW392058 TQ391975:TS392058 ADM391975:ADO392058 ANI391975:ANK392058 AXE391975:AXG392058 BHA391975:BHC392058 BQW391975:BQY392058 CAS391975:CAU392058 CKO391975:CKQ392058 CUK391975:CUM392058 DEG391975:DEI392058 DOC391975:DOE392058 DXY391975:DYA392058 EHU391975:EHW392058 ERQ391975:ERS392058 FBM391975:FBO392058 FLI391975:FLK392058 FVE391975:FVG392058 GFA391975:GFC392058 GOW391975:GOY392058 GYS391975:GYU392058 HIO391975:HIQ392058 HSK391975:HSM392058 ICG391975:ICI392058 IMC391975:IME392058 IVY391975:IWA392058 JFU391975:JFW392058 JPQ391975:JPS392058 JZM391975:JZO392058 KJI391975:KJK392058 KTE391975:KTG392058 LDA391975:LDC392058 LMW391975:LMY392058 LWS391975:LWU392058 MGO391975:MGQ392058 MQK391975:MQM392058 NAG391975:NAI392058 NKC391975:NKE392058 NTY391975:NUA392058 ODU391975:ODW392058 ONQ391975:ONS392058 OXM391975:OXO392058 PHI391975:PHK392058 PRE391975:PRG392058 QBA391975:QBC392058 QKW391975:QKY392058 QUS391975:QUU392058 REO391975:REQ392058 ROK391975:ROM392058 RYG391975:RYI392058 SIC391975:SIE392058 SRY391975:SSA392058 TBU391975:TBW392058 TLQ391975:TLS392058 TVM391975:TVO392058 UFI391975:UFK392058 UPE391975:UPG392058 UZA391975:UZC392058 VIW391975:VIY392058 VSS391975:VSU392058 WCO391975:WCQ392058 WMK391975:WMM392058 WWG391975:WWI392058 Y457511:AA457594 JU457511:JW457594 TQ457511:TS457594 ADM457511:ADO457594 ANI457511:ANK457594 AXE457511:AXG457594 BHA457511:BHC457594 BQW457511:BQY457594 CAS457511:CAU457594 CKO457511:CKQ457594 CUK457511:CUM457594 DEG457511:DEI457594 DOC457511:DOE457594 DXY457511:DYA457594 EHU457511:EHW457594 ERQ457511:ERS457594 FBM457511:FBO457594 FLI457511:FLK457594 FVE457511:FVG457594 GFA457511:GFC457594 GOW457511:GOY457594 GYS457511:GYU457594 HIO457511:HIQ457594 HSK457511:HSM457594 ICG457511:ICI457594 IMC457511:IME457594 IVY457511:IWA457594 JFU457511:JFW457594 JPQ457511:JPS457594 JZM457511:JZO457594 KJI457511:KJK457594 KTE457511:KTG457594 LDA457511:LDC457594 LMW457511:LMY457594 LWS457511:LWU457594 MGO457511:MGQ457594 MQK457511:MQM457594 NAG457511:NAI457594 NKC457511:NKE457594 NTY457511:NUA457594 ODU457511:ODW457594 ONQ457511:ONS457594 OXM457511:OXO457594 PHI457511:PHK457594 PRE457511:PRG457594 QBA457511:QBC457594 QKW457511:QKY457594 QUS457511:QUU457594 REO457511:REQ457594 ROK457511:ROM457594 RYG457511:RYI457594 SIC457511:SIE457594 SRY457511:SSA457594 TBU457511:TBW457594 TLQ457511:TLS457594 TVM457511:TVO457594 UFI457511:UFK457594 UPE457511:UPG457594 UZA457511:UZC457594 VIW457511:VIY457594 VSS457511:VSU457594 WCO457511:WCQ457594 WMK457511:WMM457594 WWG457511:WWI457594 Y523047:AA523130 JU523047:JW523130 TQ523047:TS523130 ADM523047:ADO523130 ANI523047:ANK523130 AXE523047:AXG523130 BHA523047:BHC523130 BQW523047:BQY523130 CAS523047:CAU523130 CKO523047:CKQ523130 CUK523047:CUM523130 DEG523047:DEI523130 DOC523047:DOE523130 DXY523047:DYA523130 EHU523047:EHW523130 ERQ523047:ERS523130 FBM523047:FBO523130 FLI523047:FLK523130 FVE523047:FVG523130 GFA523047:GFC523130 GOW523047:GOY523130 GYS523047:GYU523130 HIO523047:HIQ523130 HSK523047:HSM523130 ICG523047:ICI523130 IMC523047:IME523130 IVY523047:IWA523130 JFU523047:JFW523130 JPQ523047:JPS523130 JZM523047:JZO523130 KJI523047:KJK523130 KTE523047:KTG523130 LDA523047:LDC523130 LMW523047:LMY523130 LWS523047:LWU523130 MGO523047:MGQ523130 MQK523047:MQM523130 NAG523047:NAI523130 NKC523047:NKE523130 NTY523047:NUA523130 ODU523047:ODW523130 ONQ523047:ONS523130 OXM523047:OXO523130 PHI523047:PHK523130 PRE523047:PRG523130 QBA523047:QBC523130 QKW523047:QKY523130 QUS523047:QUU523130 REO523047:REQ523130 ROK523047:ROM523130 RYG523047:RYI523130 SIC523047:SIE523130 SRY523047:SSA523130 TBU523047:TBW523130 TLQ523047:TLS523130 TVM523047:TVO523130 UFI523047:UFK523130 UPE523047:UPG523130 UZA523047:UZC523130 VIW523047:VIY523130 VSS523047:VSU523130 WCO523047:WCQ523130 WMK523047:WMM523130 WWG523047:WWI523130 Y588583:AA588666 JU588583:JW588666 TQ588583:TS588666 ADM588583:ADO588666 ANI588583:ANK588666 AXE588583:AXG588666 BHA588583:BHC588666 BQW588583:BQY588666 CAS588583:CAU588666 CKO588583:CKQ588666 CUK588583:CUM588666 DEG588583:DEI588666 DOC588583:DOE588666 DXY588583:DYA588666 EHU588583:EHW588666 ERQ588583:ERS588666 FBM588583:FBO588666 FLI588583:FLK588666 FVE588583:FVG588666 GFA588583:GFC588666 GOW588583:GOY588666 GYS588583:GYU588666 HIO588583:HIQ588666 HSK588583:HSM588666 ICG588583:ICI588666 IMC588583:IME588666 IVY588583:IWA588666 JFU588583:JFW588666 JPQ588583:JPS588666 JZM588583:JZO588666 KJI588583:KJK588666 KTE588583:KTG588666 LDA588583:LDC588666 LMW588583:LMY588666 LWS588583:LWU588666 MGO588583:MGQ588666 MQK588583:MQM588666 NAG588583:NAI588666 NKC588583:NKE588666 NTY588583:NUA588666 ODU588583:ODW588666 ONQ588583:ONS588666 OXM588583:OXO588666 PHI588583:PHK588666 PRE588583:PRG588666 QBA588583:QBC588666 QKW588583:QKY588666 QUS588583:QUU588666 REO588583:REQ588666 ROK588583:ROM588666 RYG588583:RYI588666 SIC588583:SIE588666 SRY588583:SSA588666 TBU588583:TBW588666 TLQ588583:TLS588666 TVM588583:TVO588666 UFI588583:UFK588666 UPE588583:UPG588666 UZA588583:UZC588666 VIW588583:VIY588666 VSS588583:VSU588666 WCO588583:WCQ588666 WMK588583:WMM588666 WWG588583:WWI588666 Y654119:AA654202 JU654119:JW654202 TQ654119:TS654202 ADM654119:ADO654202 ANI654119:ANK654202 AXE654119:AXG654202 BHA654119:BHC654202 BQW654119:BQY654202 CAS654119:CAU654202 CKO654119:CKQ654202 CUK654119:CUM654202 DEG654119:DEI654202 DOC654119:DOE654202 DXY654119:DYA654202 EHU654119:EHW654202 ERQ654119:ERS654202 FBM654119:FBO654202 FLI654119:FLK654202 FVE654119:FVG654202 GFA654119:GFC654202 GOW654119:GOY654202 GYS654119:GYU654202 HIO654119:HIQ654202 HSK654119:HSM654202 ICG654119:ICI654202 IMC654119:IME654202 IVY654119:IWA654202 JFU654119:JFW654202 JPQ654119:JPS654202 JZM654119:JZO654202 KJI654119:KJK654202 KTE654119:KTG654202 LDA654119:LDC654202 LMW654119:LMY654202 LWS654119:LWU654202 MGO654119:MGQ654202 MQK654119:MQM654202 NAG654119:NAI654202 NKC654119:NKE654202 NTY654119:NUA654202 ODU654119:ODW654202 ONQ654119:ONS654202 OXM654119:OXO654202 PHI654119:PHK654202 PRE654119:PRG654202 QBA654119:QBC654202 QKW654119:QKY654202 QUS654119:QUU654202 REO654119:REQ654202 ROK654119:ROM654202 RYG654119:RYI654202 SIC654119:SIE654202 SRY654119:SSA654202 TBU654119:TBW654202 TLQ654119:TLS654202 TVM654119:TVO654202 UFI654119:UFK654202 UPE654119:UPG654202 UZA654119:UZC654202 VIW654119:VIY654202 VSS654119:VSU654202 WCO654119:WCQ654202 WMK654119:WMM654202 WWG654119:WWI654202 Y719655:AA719738 JU719655:JW719738 TQ719655:TS719738 ADM719655:ADO719738 ANI719655:ANK719738 AXE719655:AXG719738 BHA719655:BHC719738 BQW719655:BQY719738 CAS719655:CAU719738 CKO719655:CKQ719738 CUK719655:CUM719738 DEG719655:DEI719738 DOC719655:DOE719738 DXY719655:DYA719738 EHU719655:EHW719738 ERQ719655:ERS719738 FBM719655:FBO719738 FLI719655:FLK719738 FVE719655:FVG719738 GFA719655:GFC719738 GOW719655:GOY719738 GYS719655:GYU719738 HIO719655:HIQ719738 HSK719655:HSM719738 ICG719655:ICI719738 IMC719655:IME719738 IVY719655:IWA719738 JFU719655:JFW719738 JPQ719655:JPS719738 JZM719655:JZO719738 KJI719655:KJK719738 KTE719655:KTG719738 LDA719655:LDC719738 LMW719655:LMY719738 LWS719655:LWU719738 MGO719655:MGQ719738 MQK719655:MQM719738 NAG719655:NAI719738 NKC719655:NKE719738 NTY719655:NUA719738 ODU719655:ODW719738 ONQ719655:ONS719738 OXM719655:OXO719738 PHI719655:PHK719738 PRE719655:PRG719738 QBA719655:QBC719738 QKW719655:QKY719738 QUS719655:QUU719738 REO719655:REQ719738 ROK719655:ROM719738 RYG719655:RYI719738 SIC719655:SIE719738 SRY719655:SSA719738 TBU719655:TBW719738 TLQ719655:TLS719738 TVM719655:TVO719738 UFI719655:UFK719738 UPE719655:UPG719738 UZA719655:UZC719738 VIW719655:VIY719738 VSS719655:VSU719738 WCO719655:WCQ719738 WMK719655:WMM719738 WWG719655:WWI719738 Y785191:AA785274 JU785191:JW785274 TQ785191:TS785274 ADM785191:ADO785274 ANI785191:ANK785274 AXE785191:AXG785274 BHA785191:BHC785274 BQW785191:BQY785274 CAS785191:CAU785274 CKO785191:CKQ785274 CUK785191:CUM785274 DEG785191:DEI785274 DOC785191:DOE785274 DXY785191:DYA785274 EHU785191:EHW785274 ERQ785191:ERS785274 FBM785191:FBO785274 FLI785191:FLK785274 FVE785191:FVG785274 GFA785191:GFC785274 GOW785191:GOY785274 GYS785191:GYU785274 HIO785191:HIQ785274 HSK785191:HSM785274 ICG785191:ICI785274 IMC785191:IME785274 IVY785191:IWA785274 JFU785191:JFW785274 JPQ785191:JPS785274 JZM785191:JZO785274 KJI785191:KJK785274 KTE785191:KTG785274 LDA785191:LDC785274 LMW785191:LMY785274 LWS785191:LWU785274 MGO785191:MGQ785274 MQK785191:MQM785274 NAG785191:NAI785274 NKC785191:NKE785274 NTY785191:NUA785274 ODU785191:ODW785274 ONQ785191:ONS785274 OXM785191:OXO785274 PHI785191:PHK785274 PRE785191:PRG785274 QBA785191:QBC785274 QKW785191:QKY785274 QUS785191:QUU785274 REO785191:REQ785274 ROK785191:ROM785274 RYG785191:RYI785274 SIC785191:SIE785274 SRY785191:SSA785274 TBU785191:TBW785274 TLQ785191:TLS785274 TVM785191:TVO785274 UFI785191:UFK785274 UPE785191:UPG785274 UZA785191:UZC785274 VIW785191:VIY785274 VSS785191:VSU785274 WCO785191:WCQ785274 WMK785191:WMM785274 WWG785191:WWI785274 Y850727:AA850810 JU850727:JW850810 TQ850727:TS850810 ADM850727:ADO850810 ANI850727:ANK850810 AXE850727:AXG850810 BHA850727:BHC850810 BQW850727:BQY850810 CAS850727:CAU850810 CKO850727:CKQ850810 CUK850727:CUM850810 DEG850727:DEI850810 DOC850727:DOE850810 DXY850727:DYA850810 EHU850727:EHW850810 ERQ850727:ERS850810 FBM850727:FBO850810 FLI850727:FLK850810 FVE850727:FVG850810 GFA850727:GFC850810 GOW850727:GOY850810 GYS850727:GYU850810 HIO850727:HIQ850810 HSK850727:HSM850810 ICG850727:ICI850810 IMC850727:IME850810 IVY850727:IWA850810 JFU850727:JFW850810 JPQ850727:JPS850810 JZM850727:JZO850810 KJI850727:KJK850810 KTE850727:KTG850810 LDA850727:LDC850810 LMW850727:LMY850810 LWS850727:LWU850810 MGO850727:MGQ850810 MQK850727:MQM850810 NAG850727:NAI850810 NKC850727:NKE850810 NTY850727:NUA850810 ODU850727:ODW850810 ONQ850727:ONS850810 OXM850727:OXO850810 PHI850727:PHK850810 PRE850727:PRG850810 QBA850727:QBC850810 QKW850727:QKY850810 QUS850727:QUU850810 REO850727:REQ850810 ROK850727:ROM850810 RYG850727:RYI850810 SIC850727:SIE850810 SRY850727:SSA850810 TBU850727:TBW850810 TLQ850727:TLS850810 TVM850727:TVO850810 UFI850727:UFK850810 UPE850727:UPG850810 UZA850727:UZC850810 VIW850727:VIY850810 VSS850727:VSU850810 WCO850727:WCQ850810 WMK850727:WMM850810 WWG850727:WWI850810 Y916263:AA916346 JU916263:JW916346 TQ916263:TS916346 ADM916263:ADO916346 ANI916263:ANK916346 AXE916263:AXG916346 BHA916263:BHC916346 BQW916263:BQY916346 CAS916263:CAU916346 CKO916263:CKQ916346 CUK916263:CUM916346 DEG916263:DEI916346 DOC916263:DOE916346 DXY916263:DYA916346 EHU916263:EHW916346 ERQ916263:ERS916346 FBM916263:FBO916346 FLI916263:FLK916346 FVE916263:FVG916346 GFA916263:GFC916346 GOW916263:GOY916346 GYS916263:GYU916346 HIO916263:HIQ916346 HSK916263:HSM916346 ICG916263:ICI916346 IMC916263:IME916346 IVY916263:IWA916346 JFU916263:JFW916346 JPQ916263:JPS916346 JZM916263:JZO916346 KJI916263:KJK916346 KTE916263:KTG916346 LDA916263:LDC916346 LMW916263:LMY916346 LWS916263:LWU916346 MGO916263:MGQ916346 MQK916263:MQM916346 NAG916263:NAI916346 NKC916263:NKE916346 NTY916263:NUA916346 ODU916263:ODW916346 ONQ916263:ONS916346 OXM916263:OXO916346 PHI916263:PHK916346 PRE916263:PRG916346 QBA916263:QBC916346 QKW916263:QKY916346 QUS916263:QUU916346 REO916263:REQ916346 ROK916263:ROM916346 RYG916263:RYI916346 SIC916263:SIE916346 SRY916263:SSA916346 TBU916263:TBW916346 TLQ916263:TLS916346 TVM916263:TVO916346 UFI916263:UFK916346 UPE916263:UPG916346 UZA916263:UZC916346 VIW916263:VIY916346 VSS916263:VSU916346 WCO916263:WCQ916346 WMK916263:WMM916346 WWG916263:WWI916346 Y981799:AA981882 JU981799:JW981882 TQ981799:TS981882 ADM981799:ADO981882 ANI981799:ANK981882 AXE981799:AXG981882 BHA981799:BHC981882 BQW981799:BQY981882 CAS981799:CAU981882 CKO981799:CKQ981882 CUK981799:CUM981882 DEG981799:DEI981882 DOC981799:DOE981882 DXY981799:DYA981882 EHU981799:EHW981882 ERQ981799:ERS981882 FBM981799:FBO981882 FLI981799:FLK981882 FVE981799:FVG981882 GFA981799:GFC981882 GOW981799:GOY981882 GYS981799:GYU981882 HIO981799:HIQ981882 HSK981799:HSM981882 ICG981799:ICI981882 IMC981799:IME981882 IVY981799:IWA981882 JFU981799:JFW981882 JPQ981799:JPS981882 JZM981799:JZO981882 KJI981799:KJK981882 KTE981799:KTG981882 LDA981799:LDC981882 LMW981799:LMY981882 LWS981799:LWU981882 MGO981799:MGQ981882 MQK981799:MQM981882 NAG981799:NAI981882 NKC981799:NKE981882 NTY981799:NUA981882 ODU981799:ODW981882 ONQ981799:ONS981882 OXM981799:OXO981882 PHI981799:PHK981882 PRE981799:PRG981882 QBA981799:QBC981882 QKW981799:QKY981882 QUS981799:QUU981882 REO981799:REQ981882 ROK981799:ROM981882 RYG981799:RYI981882 SIC981799:SIE981882 SRY981799:SSA981882 TBU981799:TBW981882 TLQ981799:TLS981882 TVM981799:TVO981882 UFI981799:UFK981882 UPE981799:UPG981882 UZA981799:UZC981882 VIW981799:VIY981882 VSS981799:VSU981882 JU2:JW67 TQ2:TS67 ADM2:ADO67 ANI2:ANK67 AXE2:AXG67 BHA2:BHC67 BQW2:BQY67 CAS2:CAU67 CKO2:CKQ67 CUK2:CUM67 DEG2:DEI67 DOC2:DOE67 DXY2:DYA67 EHU2:EHW67 ERQ2:ERS67 FBM2:FBO67 FLI2:FLK67 FVE2:FVG67 GFA2:GFC67 GOW2:GOY67 GYS2:GYU67 HIO2:HIQ67 HSK2:HSM67 ICG2:ICI67 IMC2:IME67 IVY2:IWA67 JFU2:JFW67 JPQ2:JPS67 JZM2:JZO67 KJI2:KJK67 KTE2:KTG67 LDA2:LDC67 LMW2:LMY67 LWS2:LWU67 MGO2:MGQ67 MQK2:MQM67 NAG2:NAI67 NKC2:NKE67 NTY2:NUA67 ODU2:ODW67 ONQ2:ONS67 OXM2:OXO67 PHI2:PHK67 PRE2:PRG67 QBA2:QBC67 QKW2:QKY67 QUS2:QUU67 REO2:REQ67 ROK2:ROM67 RYG2:RYI67 SIC2:SIE67 SRY2:SSA67 TBU2:TBW67 TLQ2:TLS67 TVM2:TVO67 UFI2:UFK67 UPE2:UPG67 UZA2:UZC67 VIW2:VIY67 VSS2:VSU67 WCO2:WCQ67 WMK2:WMM67 WWG2:WWI67" xr:uid="{5AA96C50-EEFE-4387-B02A-A8E17946D387}">
      <formula1>$AV$2:$AV$22</formula1>
    </dataValidation>
    <dataValidation type="list" allowBlank="1" showInputMessage="1" showErrorMessage="1" sqref="J90:J494 J2:J88" xr:uid="{83164F0E-1D8A-400B-8DEA-912E5D2864DB}">
      <formula1>$AP$2:$AP$25</formula1>
    </dataValidation>
    <dataValidation type="list" allowBlank="1" showInputMessage="1" showErrorMessage="1" sqref="F92:F496 F2:F90" xr:uid="{887F0A09-EA7F-406F-8F4A-1D222EBAF87E}">
      <formula1>$AH$2:$AH$10</formula1>
    </dataValidation>
    <dataValidation type="list" allowBlank="1" showInputMessage="1" showErrorMessage="1" sqref="E92:E496 E2:E90" xr:uid="{58B74517-E735-4E51-84F1-F608C6A8A7B2}">
      <formula1>$AG$2:$AG$11</formula1>
    </dataValidation>
    <dataValidation type="list" allowBlank="1" showInputMessage="1" showErrorMessage="1" sqref="A90:A494 A2:A88" xr:uid="{19687308-E35E-4183-A720-D655FEF48276}">
      <formula1>$AE$2:$AE$19</formula1>
    </dataValidation>
    <dataValidation type="list" allowBlank="1" showInputMessage="1" showErrorMessage="1" sqref="H90:H494 H2:H88" xr:uid="{17E07497-984B-4F0C-BF68-655DD7269361}">
      <formula1>$AL$2:$AL$8</formula1>
    </dataValidation>
    <dataValidation type="list" allowBlank="1" showInputMessage="1" showErrorMessage="1" sqref="Y90:AA494 Y2:AA88" xr:uid="{90AD0E5B-38DE-4A46-94CF-1599EBA31C8A}">
      <formula1>$AV$2:$AV$21</formula1>
    </dataValidation>
    <dataValidation type="decimal" allowBlank="1" showInputMessage="1" showErrorMessage="1" error="硬度を正しく入力して下さい。" sqref="O90:P494 O18:P19 P15 P13 O62:P88 O23:P46" xr:uid="{32BFADF1-4AEB-48F0-B833-8B3ED2C9399E}">
      <formula1>0</formula1>
      <formula2>7</formula2>
    </dataValidation>
  </dataValidations>
  <pageMargins left="0.25" right="0.25" top="0.75" bottom="0.75" header="0.3" footer="0.3"/>
  <pageSetup paperSize="9" scale="28"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11519-7C49-4F25-8ABC-E75C2439E8AA}">
  <dimension ref="A1:BA145"/>
  <sheetViews>
    <sheetView zoomScale="85" zoomScaleNormal="85" workbookViewId="0">
      <selection activeCell="R1" sqref="R1"/>
    </sheetView>
  </sheetViews>
  <sheetFormatPr defaultColWidth="8.875" defaultRowHeight="13.5" x14ac:dyDescent="0.15"/>
  <cols>
    <col min="1" max="3" width="8.875" style="53"/>
    <col min="4" max="4" width="13.5" style="53" bestFit="1" customWidth="1"/>
    <col min="5" max="5" width="9.625" style="53" bestFit="1" customWidth="1"/>
    <col min="6" max="16" width="8.875" style="53"/>
    <col min="17" max="17" width="8.875" style="16"/>
    <col min="18" max="19" width="8.875" style="53"/>
    <col min="20" max="20" width="8.875" style="16"/>
    <col min="21" max="21" width="8.875" style="53"/>
    <col min="22" max="22" width="8.875" style="16"/>
    <col min="23" max="32" width="8.875" style="53"/>
    <col min="33" max="33" width="19.625" style="53" bestFit="1" customWidth="1"/>
    <col min="34" max="259" width="8.875" style="53"/>
    <col min="260" max="260" width="10.5" style="53" bestFit="1" customWidth="1"/>
    <col min="261" max="261" width="9.625" style="53" bestFit="1" customWidth="1"/>
    <col min="262" max="515" width="8.875" style="53"/>
    <col min="516" max="516" width="10.5" style="53" bestFit="1" customWidth="1"/>
    <col min="517" max="517" width="9.625" style="53" bestFit="1" customWidth="1"/>
    <col min="518" max="771" width="8.875" style="53"/>
    <col min="772" max="772" width="10.5" style="53" bestFit="1" customWidth="1"/>
    <col min="773" max="773" width="9.625" style="53" bestFit="1" customWidth="1"/>
    <col min="774" max="1027" width="8.875" style="53"/>
    <col min="1028" max="1028" width="10.5" style="53" bestFit="1" customWidth="1"/>
    <col min="1029" max="1029" width="9.625" style="53" bestFit="1" customWidth="1"/>
    <col min="1030" max="1283" width="8.875" style="53"/>
    <col min="1284" max="1284" width="10.5" style="53" bestFit="1" customWidth="1"/>
    <col min="1285" max="1285" width="9.625" style="53" bestFit="1" customWidth="1"/>
    <col min="1286" max="1539" width="8.875" style="53"/>
    <col min="1540" max="1540" width="10.5" style="53" bestFit="1" customWidth="1"/>
    <col min="1541" max="1541" width="9.625" style="53" bestFit="1" customWidth="1"/>
    <col min="1542" max="1795" width="8.875" style="53"/>
    <col min="1796" max="1796" width="10.5" style="53" bestFit="1" customWidth="1"/>
    <col min="1797" max="1797" width="9.625" style="53" bestFit="1" customWidth="1"/>
    <col min="1798" max="2051" width="8.875" style="53"/>
    <col min="2052" max="2052" width="10.5" style="53" bestFit="1" customWidth="1"/>
    <col min="2053" max="2053" width="9.625" style="53" bestFit="1" customWidth="1"/>
    <col min="2054" max="2307" width="8.875" style="53"/>
    <col min="2308" max="2308" width="10.5" style="53" bestFit="1" customWidth="1"/>
    <col min="2309" max="2309" width="9.625" style="53" bestFit="1" customWidth="1"/>
    <col min="2310" max="2563" width="8.875" style="53"/>
    <col min="2564" max="2564" width="10.5" style="53" bestFit="1" customWidth="1"/>
    <col min="2565" max="2565" width="9.625" style="53" bestFit="1" customWidth="1"/>
    <col min="2566" max="2819" width="8.875" style="53"/>
    <col min="2820" max="2820" width="10.5" style="53" bestFit="1" customWidth="1"/>
    <col min="2821" max="2821" width="9.625" style="53" bestFit="1" customWidth="1"/>
    <col min="2822" max="3075" width="8.875" style="53"/>
    <col min="3076" max="3076" width="10.5" style="53" bestFit="1" customWidth="1"/>
    <col min="3077" max="3077" width="9.625" style="53" bestFit="1" customWidth="1"/>
    <col min="3078" max="3331" width="8.875" style="53"/>
    <col min="3332" max="3332" width="10.5" style="53" bestFit="1" customWidth="1"/>
    <col min="3333" max="3333" width="9.625" style="53" bestFit="1" customWidth="1"/>
    <col min="3334" max="3587" width="8.875" style="53"/>
    <col min="3588" max="3588" width="10.5" style="53" bestFit="1" customWidth="1"/>
    <col min="3589" max="3589" width="9.625" style="53" bestFit="1" customWidth="1"/>
    <col min="3590" max="3843" width="8.875" style="53"/>
    <col min="3844" max="3844" width="10.5" style="53" bestFit="1" customWidth="1"/>
    <col min="3845" max="3845" width="9.625" style="53" bestFit="1" customWidth="1"/>
    <col min="3846" max="4099" width="8.875" style="53"/>
    <col min="4100" max="4100" width="10.5" style="53" bestFit="1" customWidth="1"/>
    <col min="4101" max="4101" width="9.625" style="53" bestFit="1" customWidth="1"/>
    <col min="4102" max="4355" width="8.875" style="53"/>
    <col min="4356" max="4356" width="10.5" style="53" bestFit="1" customWidth="1"/>
    <col min="4357" max="4357" width="9.625" style="53" bestFit="1" customWidth="1"/>
    <col min="4358" max="4611" width="8.875" style="53"/>
    <col min="4612" max="4612" width="10.5" style="53" bestFit="1" customWidth="1"/>
    <col min="4613" max="4613" width="9.625" style="53" bestFit="1" customWidth="1"/>
    <col min="4614" max="4867" width="8.875" style="53"/>
    <col min="4868" max="4868" width="10.5" style="53" bestFit="1" customWidth="1"/>
    <col min="4869" max="4869" width="9.625" style="53" bestFit="1" customWidth="1"/>
    <col min="4870" max="5123" width="8.875" style="53"/>
    <col min="5124" max="5124" width="10.5" style="53" bestFit="1" customWidth="1"/>
    <col min="5125" max="5125" width="9.625" style="53" bestFit="1" customWidth="1"/>
    <col min="5126" max="5379" width="8.875" style="53"/>
    <col min="5380" max="5380" width="10.5" style="53" bestFit="1" customWidth="1"/>
    <col min="5381" max="5381" width="9.625" style="53" bestFit="1" customWidth="1"/>
    <col min="5382" max="5635" width="8.875" style="53"/>
    <col min="5636" max="5636" width="10.5" style="53" bestFit="1" customWidth="1"/>
    <col min="5637" max="5637" width="9.625" style="53" bestFit="1" customWidth="1"/>
    <col min="5638" max="5891" width="8.875" style="53"/>
    <col min="5892" max="5892" width="10.5" style="53" bestFit="1" customWidth="1"/>
    <col min="5893" max="5893" width="9.625" style="53" bestFit="1" customWidth="1"/>
    <col min="5894" max="6147" width="8.875" style="53"/>
    <col min="6148" max="6148" width="10.5" style="53" bestFit="1" customWidth="1"/>
    <col min="6149" max="6149" width="9.625" style="53" bestFit="1" customWidth="1"/>
    <col min="6150" max="6403" width="8.875" style="53"/>
    <col min="6404" max="6404" width="10.5" style="53" bestFit="1" customWidth="1"/>
    <col min="6405" max="6405" width="9.625" style="53" bestFit="1" customWidth="1"/>
    <col min="6406" max="6659" width="8.875" style="53"/>
    <col min="6660" max="6660" width="10.5" style="53" bestFit="1" customWidth="1"/>
    <col min="6661" max="6661" width="9.625" style="53" bestFit="1" customWidth="1"/>
    <col min="6662" max="6915" width="8.875" style="53"/>
    <col min="6916" max="6916" width="10.5" style="53" bestFit="1" customWidth="1"/>
    <col min="6917" max="6917" width="9.625" style="53" bestFit="1" customWidth="1"/>
    <col min="6918" max="7171" width="8.875" style="53"/>
    <col min="7172" max="7172" width="10.5" style="53" bestFit="1" customWidth="1"/>
    <col min="7173" max="7173" width="9.625" style="53" bestFit="1" customWidth="1"/>
    <col min="7174" max="7427" width="8.875" style="53"/>
    <col min="7428" max="7428" width="10.5" style="53" bestFit="1" customWidth="1"/>
    <col min="7429" max="7429" width="9.625" style="53" bestFit="1" customWidth="1"/>
    <col min="7430" max="7683" width="8.875" style="53"/>
    <col min="7684" max="7684" width="10.5" style="53" bestFit="1" customWidth="1"/>
    <col min="7685" max="7685" width="9.625" style="53" bestFit="1" customWidth="1"/>
    <col min="7686" max="7939" width="8.875" style="53"/>
    <col min="7940" max="7940" width="10.5" style="53" bestFit="1" customWidth="1"/>
    <col min="7941" max="7941" width="9.625" style="53" bestFit="1" customWidth="1"/>
    <col min="7942" max="8195" width="8.875" style="53"/>
    <col min="8196" max="8196" width="10.5" style="53" bestFit="1" customWidth="1"/>
    <col min="8197" max="8197" width="9.625" style="53" bestFit="1" customWidth="1"/>
    <col min="8198" max="8451" width="8.875" style="53"/>
    <col min="8452" max="8452" width="10.5" style="53" bestFit="1" customWidth="1"/>
    <col min="8453" max="8453" width="9.625" style="53" bestFit="1" customWidth="1"/>
    <col min="8454" max="8707" width="8.875" style="53"/>
    <col min="8708" max="8708" width="10.5" style="53" bestFit="1" customWidth="1"/>
    <col min="8709" max="8709" width="9.625" style="53" bestFit="1" customWidth="1"/>
    <col min="8710" max="8963" width="8.875" style="53"/>
    <col min="8964" max="8964" width="10.5" style="53" bestFit="1" customWidth="1"/>
    <col min="8965" max="8965" width="9.625" style="53" bestFit="1" customWidth="1"/>
    <col min="8966" max="9219" width="8.875" style="53"/>
    <col min="9220" max="9220" width="10.5" style="53" bestFit="1" customWidth="1"/>
    <col min="9221" max="9221" width="9.625" style="53" bestFit="1" customWidth="1"/>
    <col min="9222" max="9475" width="8.875" style="53"/>
    <col min="9476" max="9476" width="10.5" style="53" bestFit="1" customWidth="1"/>
    <col min="9477" max="9477" width="9.625" style="53" bestFit="1" customWidth="1"/>
    <col min="9478" max="9731" width="8.875" style="53"/>
    <col min="9732" max="9732" width="10.5" style="53" bestFit="1" customWidth="1"/>
    <col min="9733" max="9733" width="9.625" style="53" bestFit="1" customWidth="1"/>
    <col min="9734" max="9987" width="8.875" style="53"/>
    <col min="9988" max="9988" width="10.5" style="53" bestFit="1" customWidth="1"/>
    <col min="9989" max="9989" width="9.625" style="53" bestFit="1" customWidth="1"/>
    <col min="9990" max="10243" width="8.875" style="53"/>
    <col min="10244" max="10244" width="10.5" style="53" bestFit="1" customWidth="1"/>
    <col min="10245" max="10245" width="9.625" style="53" bestFit="1" customWidth="1"/>
    <col min="10246" max="10499" width="8.875" style="53"/>
    <col min="10500" max="10500" width="10.5" style="53" bestFit="1" customWidth="1"/>
    <col min="10501" max="10501" width="9.625" style="53" bestFit="1" customWidth="1"/>
    <col min="10502" max="10755" width="8.875" style="53"/>
    <col min="10756" max="10756" width="10.5" style="53" bestFit="1" customWidth="1"/>
    <col min="10757" max="10757" width="9.625" style="53" bestFit="1" customWidth="1"/>
    <col min="10758" max="11011" width="8.875" style="53"/>
    <col min="11012" max="11012" width="10.5" style="53" bestFit="1" customWidth="1"/>
    <col min="11013" max="11013" width="9.625" style="53" bestFit="1" customWidth="1"/>
    <col min="11014" max="11267" width="8.875" style="53"/>
    <col min="11268" max="11268" width="10.5" style="53" bestFit="1" customWidth="1"/>
    <col min="11269" max="11269" width="9.625" style="53" bestFit="1" customWidth="1"/>
    <col min="11270" max="11523" width="8.875" style="53"/>
    <col min="11524" max="11524" width="10.5" style="53" bestFit="1" customWidth="1"/>
    <col min="11525" max="11525" width="9.625" style="53" bestFit="1" customWidth="1"/>
    <col min="11526" max="11779" width="8.875" style="53"/>
    <col min="11780" max="11780" width="10.5" style="53" bestFit="1" customWidth="1"/>
    <col min="11781" max="11781" width="9.625" style="53" bestFit="1" customWidth="1"/>
    <col min="11782" max="12035" width="8.875" style="53"/>
    <col min="12036" max="12036" width="10.5" style="53" bestFit="1" customWidth="1"/>
    <col min="12037" max="12037" width="9.625" style="53" bestFit="1" customWidth="1"/>
    <col min="12038" max="12291" width="8.875" style="53"/>
    <col min="12292" max="12292" width="10.5" style="53" bestFit="1" customWidth="1"/>
    <col min="12293" max="12293" width="9.625" style="53" bestFit="1" customWidth="1"/>
    <col min="12294" max="12547" width="8.875" style="53"/>
    <col min="12548" max="12548" width="10.5" style="53" bestFit="1" customWidth="1"/>
    <col min="12549" max="12549" width="9.625" style="53" bestFit="1" customWidth="1"/>
    <col min="12550" max="12803" width="8.875" style="53"/>
    <col min="12804" max="12804" width="10.5" style="53" bestFit="1" customWidth="1"/>
    <col min="12805" max="12805" width="9.625" style="53" bestFit="1" customWidth="1"/>
    <col min="12806" max="13059" width="8.875" style="53"/>
    <col min="13060" max="13060" width="10.5" style="53" bestFit="1" customWidth="1"/>
    <col min="13061" max="13061" width="9.625" style="53" bestFit="1" customWidth="1"/>
    <col min="13062" max="13315" width="8.875" style="53"/>
    <col min="13316" max="13316" width="10.5" style="53" bestFit="1" customWidth="1"/>
    <col min="13317" max="13317" width="9.625" style="53" bestFit="1" customWidth="1"/>
    <col min="13318" max="13571" width="8.875" style="53"/>
    <col min="13572" max="13572" width="10.5" style="53" bestFit="1" customWidth="1"/>
    <col min="13573" max="13573" width="9.625" style="53" bestFit="1" customWidth="1"/>
    <col min="13574" max="13827" width="8.875" style="53"/>
    <col min="13828" max="13828" width="10.5" style="53" bestFit="1" customWidth="1"/>
    <col min="13829" max="13829" width="9.625" style="53" bestFit="1" customWidth="1"/>
    <col min="13830" max="14083" width="8.875" style="53"/>
    <col min="14084" max="14084" width="10.5" style="53" bestFit="1" customWidth="1"/>
    <col min="14085" max="14085" width="9.625" style="53" bestFit="1" customWidth="1"/>
    <col min="14086" max="14339" width="8.875" style="53"/>
    <col min="14340" max="14340" width="10.5" style="53" bestFit="1" customWidth="1"/>
    <col min="14341" max="14341" width="9.625" style="53" bestFit="1" customWidth="1"/>
    <col min="14342" max="14595" width="8.875" style="53"/>
    <col min="14596" max="14596" width="10.5" style="53" bestFit="1" customWidth="1"/>
    <col min="14597" max="14597" width="9.625" style="53" bestFit="1" customWidth="1"/>
    <col min="14598" max="14851" width="8.875" style="53"/>
    <col min="14852" max="14852" width="10.5" style="53" bestFit="1" customWidth="1"/>
    <col min="14853" max="14853" width="9.625" style="53" bestFit="1" customWidth="1"/>
    <col min="14854" max="15107" width="8.875" style="53"/>
    <col min="15108" max="15108" width="10.5" style="53" bestFit="1" customWidth="1"/>
    <col min="15109" max="15109" width="9.625" style="53" bestFit="1" customWidth="1"/>
    <col min="15110" max="15363" width="8.875" style="53"/>
    <col min="15364" max="15364" width="10.5" style="53" bestFit="1" customWidth="1"/>
    <col min="15365" max="15365" width="9.625" style="53" bestFit="1" customWidth="1"/>
    <col min="15366" max="15619" width="8.875" style="53"/>
    <col min="15620" max="15620" width="10.5" style="53" bestFit="1" customWidth="1"/>
    <col min="15621" max="15621" width="9.625" style="53" bestFit="1" customWidth="1"/>
    <col min="15622" max="15875" width="8.875" style="53"/>
    <col min="15876" max="15876" width="10.5" style="53" bestFit="1" customWidth="1"/>
    <col min="15877" max="15877" width="9.625" style="53" bestFit="1" customWidth="1"/>
    <col min="15878" max="16131" width="8.875" style="53"/>
    <col min="16132" max="16132" width="10.5" style="53" bestFit="1" customWidth="1"/>
    <col min="16133" max="16133" width="9.625" style="53" bestFit="1" customWidth="1"/>
    <col min="16134" max="16384" width="8.875"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326</v>
      </c>
      <c r="O1" s="56" t="s">
        <v>14</v>
      </c>
      <c r="P1" s="56" t="s">
        <v>15</v>
      </c>
      <c r="Q1" s="3" t="s">
        <v>16</v>
      </c>
      <c r="R1" s="56" t="s">
        <v>17</v>
      </c>
      <c r="S1" s="56" t="s">
        <v>18</v>
      </c>
      <c r="T1" s="3" t="s">
        <v>19</v>
      </c>
      <c r="U1" s="58" t="s">
        <v>327</v>
      </c>
      <c r="V1" s="5" t="s">
        <v>20</v>
      </c>
      <c r="W1" s="56" t="s">
        <v>21</v>
      </c>
      <c r="X1" s="45" t="s">
        <v>22</v>
      </c>
      <c r="Y1" s="45" t="s">
        <v>23</v>
      </c>
      <c r="Z1" s="45" t="s">
        <v>24</v>
      </c>
      <c r="AA1" s="46"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59</v>
      </c>
      <c r="B2" s="53" t="s">
        <v>232</v>
      </c>
      <c r="C2" s="62">
        <v>2019</v>
      </c>
      <c r="D2" s="170" t="s">
        <v>283</v>
      </c>
      <c r="E2" s="53" t="s">
        <v>328</v>
      </c>
      <c r="F2" s="53" t="s">
        <v>329</v>
      </c>
      <c r="G2" s="53" t="s">
        <v>36</v>
      </c>
      <c r="H2" s="53" t="s">
        <v>160</v>
      </c>
      <c r="I2" s="53" t="s">
        <v>159</v>
      </c>
      <c r="J2" s="53" t="s">
        <v>38</v>
      </c>
      <c r="K2" s="53" t="s">
        <v>161</v>
      </c>
      <c r="L2" s="53">
        <v>1</v>
      </c>
      <c r="N2" s="53">
        <v>4</v>
      </c>
      <c r="O2" s="53">
        <v>0.52</v>
      </c>
      <c r="P2" s="53">
        <v>0.56000000000000005</v>
      </c>
      <c r="Q2" s="75">
        <f>IF(OR(O2="",P2=""),"",AVERAGE(O2,P2))</f>
        <v>0.54</v>
      </c>
      <c r="R2" s="53">
        <v>16.899999999999999</v>
      </c>
      <c r="S2" s="53">
        <v>110</v>
      </c>
      <c r="T2" s="16">
        <f t="shared" ref="T2:T58" si="0">IF(H2="","",IF(OR(H2="GREEN",H2="GK"),IF(S2&gt;=$AX$2,VLOOKUP(S2,$AX$2:$AY$12,2,1),""),IF(S2&gt;=$AZ$2,VLOOKUP(S2,$AZ$2:$BA$12,2,1),"")))</f>
        <v>33</v>
      </c>
      <c r="U2" s="53">
        <v>298</v>
      </c>
      <c r="V2" s="16">
        <f t="shared" ref="V2:V58" si="1">IF(J2="","",IF(OR(J2="GREEN",J2="GK"),IF(U2&gt;=$AX$2,VLOOKUP(U2,$AX$2:$AY$12,2,1),""),IF(U2&gt;=$AZ$2,VLOOKUP(U2,$AZ$2:$BA$12,2,1),"")))</f>
        <v>16</v>
      </c>
      <c r="W2" s="53">
        <v>4</v>
      </c>
      <c r="X2" s="53" t="s">
        <v>46</v>
      </c>
      <c r="Y2" s="53" t="s">
        <v>330</v>
      </c>
      <c r="Z2" s="53" t="s">
        <v>78</v>
      </c>
      <c r="AA2" s="53" t="s">
        <v>88</v>
      </c>
      <c r="AB2" s="53" t="s">
        <v>331</v>
      </c>
      <c r="AE2" s="64" t="s">
        <v>35</v>
      </c>
      <c r="AG2" s="171" t="s">
        <v>332</v>
      </c>
      <c r="AH2" s="172" t="s">
        <v>333</v>
      </c>
      <c r="AJ2" s="67" t="s">
        <v>36</v>
      </c>
      <c r="AL2" s="67" t="s">
        <v>127</v>
      </c>
      <c r="AN2" s="67" t="s">
        <v>334</v>
      </c>
      <c r="AP2" s="67" t="s">
        <v>38</v>
      </c>
      <c r="AR2" s="67" t="s">
        <v>120</v>
      </c>
      <c r="AT2" s="67" t="s">
        <v>39</v>
      </c>
      <c r="AV2" s="23" t="s">
        <v>55</v>
      </c>
      <c r="AX2" s="68">
        <v>1</v>
      </c>
      <c r="AY2" s="69">
        <v>50</v>
      </c>
      <c r="AZ2" s="69">
        <v>1</v>
      </c>
      <c r="BA2" s="70">
        <v>50</v>
      </c>
    </row>
    <row r="3" spans="1:53" x14ac:dyDescent="0.15">
      <c r="A3" s="53" t="s">
        <v>59</v>
      </c>
      <c r="B3" s="53" t="s">
        <v>232</v>
      </c>
      <c r="C3" s="62">
        <v>2019</v>
      </c>
      <c r="D3" s="170" t="s">
        <v>283</v>
      </c>
      <c r="E3" s="53" t="s">
        <v>328</v>
      </c>
      <c r="F3" s="53" t="s">
        <v>329</v>
      </c>
      <c r="G3" s="53" t="s">
        <v>36</v>
      </c>
      <c r="H3" s="53" t="s">
        <v>160</v>
      </c>
      <c r="I3" s="53" t="s">
        <v>159</v>
      </c>
      <c r="J3" s="53" t="s">
        <v>38</v>
      </c>
      <c r="K3" s="53" t="s">
        <v>161</v>
      </c>
      <c r="L3" s="53">
        <v>2</v>
      </c>
      <c r="N3" s="53">
        <v>4</v>
      </c>
      <c r="O3" s="53">
        <v>0.5</v>
      </c>
      <c r="P3" s="53">
        <v>0.5</v>
      </c>
      <c r="Q3" s="75">
        <f t="shared" ref="Q3:Q58" si="2">IF(OR(O3="",P3=""),"",AVERAGE(O3,P3))</f>
        <v>0.5</v>
      </c>
      <c r="R3" s="53">
        <v>16.100000000000001</v>
      </c>
      <c r="S3" s="53">
        <v>119</v>
      </c>
      <c r="T3" s="16">
        <f t="shared" si="0"/>
        <v>30</v>
      </c>
      <c r="U3" s="53">
        <v>298</v>
      </c>
      <c r="V3" s="16">
        <f t="shared" si="1"/>
        <v>16</v>
      </c>
      <c r="W3" s="53">
        <v>4</v>
      </c>
      <c r="X3" s="53" t="s">
        <v>46</v>
      </c>
      <c r="Y3" s="53" t="s">
        <v>330</v>
      </c>
      <c r="Z3" s="53" t="s">
        <v>78</v>
      </c>
      <c r="AA3" s="53" t="s">
        <v>88</v>
      </c>
      <c r="AB3" s="53" t="s">
        <v>331</v>
      </c>
      <c r="AE3" s="22" t="s">
        <v>41</v>
      </c>
      <c r="AG3" s="171" t="s">
        <v>335</v>
      </c>
      <c r="AH3" s="172" t="s">
        <v>329</v>
      </c>
      <c r="AJ3" s="23" t="s">
        <v>42</v>
      </c>
      <c r="AL3" s="23" t="s">
        <v>128</v>
      </c>
      <c r="AN3" s="23" t="s">
        <v>43</v>
      </c>
      <c r="AP3" s="23" t="s">
        <v>44</v>
      </c>
      <c r="AR3" s="23" t="s">
        <v>45</v>
      </c>
      <c r="AT3" s="23" t="s">
        <v>46</v>
      </c>
      <c r="AV3" s="23" t="s">
        <v>336</v>
      </c>
      <c r="AX3" s="24">
        <v>72</v>
      </c>
      <c r="AY3" s="25">
        <v>46</v>
      </c>
      <c r="AZ3" s="25">
        <v>71</v>
      </c>
      <c r="BA3" s="26">
        <v>42</v>
      </c>
    </row>
    <row r="4" spans="1:53" x14ac:dyDescent="0.15">
      <c r="A4" s="53" t="s">
        <v>59</v>
      </c>
      <c r="B4" s="53" t="s">
        <v>232</v>
      </c>
      <c r="C4" s="62">
        <v>2019</v>
      </c>
      <c r="D4" s="170" t="s">
        <v>283</v>
      </c>
      <c r="E4" s="53" t="s">
        <v>328</v>
      </c>
      <c r="F4" s="53" t="s">
        <v>329</v>
      </c>
      <c r="G4" s="53" t="s">
        <v>36</v>
      </c>
      <c r="H4" s="53" t="s">
        <v>160</v>
      </c>
      <c r="I4" s="53" t="s">
        <v>337</v>
      </c>
      <c r="J4" s="53" t="s">
        <v>38</v>
      </c>
      <c r="K4" s="53" t="s">
        <v>161</v>
      </c>
      <c r="L4" s="53">
        <v>3</v>
      </c>
      <c r="N4" s="53">
        <v>4</v>
      </c>
      <c r="O4" s="53">
        <v>0.51</v>
      </c>
      <c r="P4" s="53">
        <v>0.53</v>
      </c>
      <c r="Q4" s="75">
        <f t="shared" si="2"/>
        <v>0.52</v>
      </c>
      <c r="R4" s="53">
        <v>16.600000000000001</v>
      </c>
      <c r="S4" s="53">
        <v>115</v>
      </c>
      <c r="T4" s="16">
        <f t="shared" si="0"/>
        <v>30</v>
      </c>
      <c r="U4" s="53">
        <v>298</v>
      </c>
      <c r="V4" s="16">
        <f t="shared" si="1"/>
        <v>16</v>
      </c>
      <c r="W4" s="53">
        <v>4</v>
      </c>
      <c r="X4" s="53" t="s">
        <v>46</v>
      </c>
      <c r="Y4" s="53" t="s">
        <v>330</v>
      </c>
      <c r="Z4" s="53" t="s">
        <v>78</v>
      </c>
      <c r="AA4" s="53" t="s">
        <v>88</v>
      </c>
      <c r="AB4" s="53" t="s">
        <v>331</v>
      </c>
      <c r="AE4" s="22" t="s">
        <v>34</v>
      </c>
      <c r="AG4" s="171" t="s">
        <v>338</v>
      </c>
      <c r="AH4" s="172" t="s">
        <v>339</v>
      </c>
      <c r="AJ4" s="27" t="s">
        <v>48</v>
      </c>
      <c r="AL4" s="27" t="s">
        <v>129</v>
      </c>
      <c r="AN4" s="28" t="s">
        <v>49</v>
      </c>
      <c r="AP4" s="23" t="s">
        <v>93</v>
      </c>
      <c r="AR4" s="23" t="s">
        <v>340</v>
      </c>
      <c r="AT4" s="28"/>
      <c r="AV4" s="23" t="s">
        <v>330</v>
      </c>
      <c r="AX4" s="24">
        <v>75</v>
      </c>
      <c r="AY4" s="25">
        <v>42</v>
      </c>
      <c r="AZ4" s="25">
        <v>76</v>
      </c>
      <c r="BA4" s="26">
        <v>39</v>
      </c>
    </row>
    <row r="5" spans="1:53" x14ac:dyDescent="0.15">
      <c r="A5" s="53" t="s">
        <v>59</v>
      </c>
      <c r="B5" s="53" t="s">
        <v>232</v>
      </c>
      <c r="C5" s="62">
        <v>2019</v>
      </c>
      <c r="D5" s="170" t="s">
        <v>283</v>
      </c>
      <c r="E5" s="53" t="s">
        <v>328</v>
      </c>
      <c r="F5" s="53" t="s">
        <v>329</v>
      </c>
      <c r="G5" s="53" t="s">
        <v>36</v>
      </c>
      <c r="H5" s="53" t="s">
        <v>164</v>
      </c>
      <c r="I5" s="53" t="s">
        <v>159</v>
      </c>
      <c r="J5" s="53" t="s">
        <v>38</v>
      </c>
      <c r="K5" s="53" t="s">
        <v>161</v>
      </c>
      <c r="L5" s="53">
        <v>1</v>
      </c>
      <c r="N5" s="53">
        <v>5</v>
      </c>
      <c r="O5" s="53">
        <v>0.4</v>
      </c>
      <c r="P5" s="53">
        <v>0.47</v>
      </c>
      <c r="Q5" s="75">
        <f t="shared" si="2"/>
        <v>0.435</v>
      </c>
      <c r="R5" s="53">
        <v>14.8</v>
      </c>
      <c r="S5" s="53">
        <v>92</v>
      </c>
      <c r="T5" s="16">
        <f t="shared" si="0"/>
        <v>36</v>
      </c>
      <c r="U5" s="53">
        <v>348</v>
      </c>
      <c r="V5" s="16">
        <f t="shared" si="1"/>
        <v>16</v>
      </c>
      <c r="W5" s="53">
        <v>2</v>
      </c>
      <c r="X5" s="53" t="s">
        <v>46</v>
      </c>
      <c r="Y5" s="53" t="s">
        <v>330</v>
      </c>
      <c r="Z5" s="53" t="s">
        <v>78</v>
      </c>
      <c r="AA5" s="53" t="s">
        <v>88</v>
      </c>
      <c r="AB5" s="53" t="s">
        <v>331</v>
      </c>
      <c r="AE5" s="22" t="s">
        <v>51</v>
      </c>
      <c r="AG5" s="171" t="s">
        <v>341</v>
      </c>
      <c r="AH5" s="172" t="s">
        <v>342</v>
      </c>
      <c r="AJ5" s="28"/>
      <c r="AL5" s="73" t="s">
        <v>66</v>
      </c>
      <c r="AN5" s="73" t="s">
        <v>52</v>
      </c>
      <c r="AP5" s="23" t="s">
        <v>245</v>
      </c>
      <c r="AR5" s="23" t="s">
        <v>54</v>
      </c>
      <c r="AV5" s="23" t="s">
        <v>343</v>
      </c>
      <c r="AX5" s="24">
        <v>84</v>
      </c>
      <c r="AY5" s="25">
        <v>39</v>
      </c>
      <c r="AZ5" s="25">
        <v>84</v>
      </c>
      <c r="BA5" s="26">
        <v>36</v>
      </c>
    </row>
    <row r="6" spans="1:53" x14ac:dyDescent="0.15">
      <c r="A6" s="53" t="s">
        <v>59</v>
      </c>
      <c r="B6" s="53" t="s">
        <v>232</v>
      </c>
      <c r="C6" s="62">
        <v>2019</v>
      </c>
      <c r="D6" s="170" t="s">
        <v>283</v>
      </c>
      <c r="E6" s="53" t="s">
        <v>328</v>
      </c>
      <c r="F6" s="53" t="s">
        <v>329</v>
      </c>
      <c r="G6" s="53" t="s">
        <v>36</v>
      </c>
      <c r="H6" s="53" t="s">
        <v>164</v>
      </c>
      <c r="I6" s="53" t="s">
        <v>159</v>
      </c>
      <c r="J6" s="53" t="s">
        <v>38</v>
      </c>
      <c r="K6" s="53" t="s">
        <v>161</v>
      </c>
      <c r="L6" s="53">
        <v>2</v>
      </c>
      <c r="N6" s="53">
        <v>5</v>
      </c>
      <c r="O6" s="53">
        <v>0.51</v>
      </c>
      <c r="P6" s="53">
        <v>0.52</v>
      </c>
      <c r="Q6" s="75">
        <f t="shared" si="2"/>
        <v>0.51500000000000001</v>
      </c>
      <c r="R6" s="53">
        <v>15.5</v>
      </c>
      <c r="S6" s="53">
        <v>83</v>
      </c>
      <c r="T6" s="16">
        <f t="shared" si="0"/>
        <v>39</v>
      </c>
      <c r="U6" s="53">
        <v>348</v>
      </c>
      <c r="V6" s="16">
        <f t="shared" si="1"/>
        <v>16</v>
      </c>
      <c r="W6" s="53">
        <v>2</v>
      </c>
      <c r="X6" s="53" t="s">
        <v>46</v>
      </c>
      <c r="Y6" s="53" t="s">
        <v>330</v>
      </c>
      <c r="Z6" s="53" t="s">
        <v>78</v>
      </c>
      <c r="AA6" s="53" t="s">
        <v>88</v>
      </c>
      <c r="AB6" s="53" t="s">
        <v>331</v>
      </c>
      <c r="AE6" s="22" t="s">
        <v>56</v>
      </c>
      <c r="AG6" s="171" t="s">
        <v>344</v>
      </c>
      <c r="AH6" s="172" t="s">
        <v>345</v>
      </c>
      <c r="AL6" s="73" t="s">
        <v>99</v>
      </c>
      <c r="AN6" s="73" t="s">
        <v>57</v>
      </c>
      <c r="AP6" s="23" t="s">
        <v>53</v>
      </c>
      <c r="AR6" s="23" t="s">
        <v>346</v>
      </c>
      <c r="AV6" s="23" t="s">
        <v>60</v>
      </c>
      <c r="AX6" s="24">
        <v>97</v>
      </c>
      <c r="AY6" s="25">
        <v>36</v>
      </c>
      <c r="AZ6" s="25">
        <v>99</v>
      </c>
      <c r="BA6" s="26">
        <v>33</v>
      </c>
    </row>
    <row r="7" spans="1:53" x14ac:dyDescent="0.15">
      <c r="A7" s="53" t="s">
        <v>59</v>
      </c>
      <c r="B7" s="53" t="s">
        <v>232</v>
      </c>
      <c r="C7" s="62">
        <v>2019</v>
      </c>
      <c r="D7" s="170" t="s">
        <v>283</v>
      </c>
      <c r="E7" s="53" t="s">
        <v>328</v>
      </c>
      <c r="F7" s="53" t="s">
        <v>329</v>
      </c>
      <c r="G7" s="53" t="s">
        <v>36</v>
      </c>
      <c r="H7" s="53" t="s">
        <v>164</v>
      </c>
      <c r="I7" s="53" t="s">
        <v>159</v>
      </c>
      <c r="J7" s="53" t="s">
        <v>38</v>
      </c>
      <c r="K7" s="53" t="s">
        <v>161</v>
      </c>
      <c r="L7" s="53">
        <v>3</v>
      </c>
      <c r="N7" s="53">
        <v>5</v>
      </c>
      <c r="O7" s="53">
        <v>0.52</v>
      </c>
      <c r="P7" s="53">
        <v>0.52</v>
      </c>
      <c r="Q7" s="75">
        <f t="shared" si="2"/>
        <v>0.52</v>
      </c>
      <c r="R7" s="53">
        <v>14.7</v>
      </c>
      <c r="S7" s="53">
        <v>91</v>
      </c>
      <c r="T7" s="16">
        <f t="shared" si="0"/>
        <v>36</v>
      </c>
      <c r="U7" s="53">
        <v>348</v>
      </c>
      <c r="V7" s="16">
        <f t="shared" si="1"/>
        <v>16</v>
      </c>
      <c r="W7" s="53">
        <v>2</v>
      </c>
      <c r="X7" s="53" t="s">
        <v>46</v>
      </c>
      <c r="Y7" s="53" t="s">
        <v>330</v>
      </c>
      <c r="Z7" s="53" t="s">
        <v>78</v>
      </c>
      <c r="AA7" s="53" t="s">
        <v>88</v>
      </c>
      <c r="AB7" s="53" t="s">
        <v>331</v>
      </c>
      <c r="AE7" s="22" t="s">
        <v>61</v>
      </c>
      <c r="AG7" s="171" t="s">
        <v>347</v>
      </c>
      <c r="AH7" s="172" t="s">
        <v>348</v>
      </c>
      <c r="AL7" s="34" t="s">
        <v>109</v>
      </c>
      <c r="AP7" s="23" t="s">
        <v>58</v>
      </c>
      <c r="AR7" s="23" t="s">
        <v>349</v>
      </c>
      <c r="AV7" s="23" t="s">
        <v>64</v>
      </c>
      <c r="AX7" s="24">
        <v>109</v>
      </c>
      <c r="AY7" s="25">
        <v>33</v>
      </c>
      <c r="AZ7" s="25">
        <v>113</v>
      </c>
      <c r="BA7" s="26">
        <v>30</v>
      </c>
    </row>
    <row r="8" spans="1:53" x14ac:dyDescent="0.15">
      <c r="A8" s="53" t="s">
        <v>59</v>
      </c>
      <c r="B8" s="53" t="s">
        <v>232</v>
      </c>
      <c r="C8" s="62">
        <v>2019</v>
      </c>
      <c r="D8" s="170" t="s">
        <v>283</v>
      </c>
      <c r="E8" s="53" t="s">
        <v>332</v>
      </c>
      <c r="F8" s="53" t="s">
        <v>333</v>
      </c>
      <c r="G8" s="53" t="s">
        <v>36</v>
      </c>
      <c r="H8" s="53" t="s">
        <v>160</v>
      </c>
      <c r="I8" s="53" t="s">
        <v>159</v>
      </c>
      <c r="J8" s="53" t="s">
        <v>38</v>
      </c>
      <c r="K8" s="53" t="s">
        <v>161</v>
      </c>
      <c r="L8" s="53">
        <v>1</v>
      </c>
      <c r="N8" s="53">
        <v>4</v>
      </c>
      <c r="O8" s="53">
        <v>0.34</v>
      </c>
      <c r="P8" s="53">
        <v>0.39</v>
      </c>
      <c r="Q8" s="75">
        <f t="shared" si="2"/>
        <v>0.36499999999999999</v>
      </c>
      <c r="R8" s="53">
        <v>15.8</v>
      </c>
      <c r="S8" s="53">
        <v>92</v>
      </c>
      <c r="T8" s="16">
        <f t="shared" si="0"/>
        <v>36</v>
      </c>
      <c r="U8" s="53">
        <v>377</v>
      </c>
      <c r="V8" s="16">
        <f t="shared" si="1"/>
        <v>16</v>
      </c>
      <c r="W8" s="53">
        <v>3</v>
      </c>
      <c r="X8" s="53" t="s">
        <v>39</v>
      </c>
      <c r="Y8" s="53" t="s">
        <v>88</v>
      </c>
      <c r="Z8" s="53" t="s">
        <v>330</v>
      </c>
      <c r="AA8" s="53" t="s">
        <v>86</v>
      </c>
      <c r="AB8" s="53" t="s">
        <v>331</v>
      </c>
      <c r="AE8" s="22" t="s">
        <v>59</v>
      </c>
      <c r="AG8" s="173" t="s">
        <v>162</v>
      </c>
      <c r="AH8" s="172" t="s">
        <v>350</v>
      </c>
      <c r="AL8" s="34" t="s">
        <v>134</v>
      </c>
      <c r="AP8" s="23" t="s">
        <v>62</v>
      </c>
      <c r="AR8" s="23" t="s">
        <v>81</v>
      </c>
      <c r="AV8" s="23" t="s">
        <v>97</v>
      </c>
      <c r="AX8" s="24">
        <v>119</v>
      </c>
      <c r="AY8" s="25">
        <v>30</v>
      </c>
      <c r="AZ8" s="25">
        <v>121</v>
      </c>
      <c r="BA8" s="26">
        <v>27</v>
      </c>
    </row>
    <row r="9" spans="1:53" x14ac:dyDescent="0.15">
      <c r="A9" s="53" t="s">
        <v>59</v>
      </c>
      <c r="B9" s="53" t="s">
        <v>232</v>
      </c>
      <c r="C9" s="62">
        <v>2019</v>
      </c>
      <c r="D9" s="170" t="s">
        <v>283</v>
      </c>
      <c r="E9" s="53" t="s">
        <v>332</v>
      </c>
      <c r="F9" s="53" t="s">
        <v>333</v>
      </c>
      <c r="G9" s="53" t="s">
        <v>36</v>
      </c>
      <c r="H9" s="53" t="s">
        <v>160</v>
      </c>
      <c r="I9" s="53" t="s">
        <v>159</v>
      </c>
      <c r="J9" s="53" t="s">
        <v>38</v>
      </c>
      <c r="K9" s="53" t="s">
        <v>161</v>
      </c>
      <c r="L9" s="53">
        <v>2</v>
      </c>
      <c r="N9" s="53">
        <v>4</v>
      </c>
      <c r="O9" s="53">
        <v>0.3</v>
      </c>
      <c r="P9" s="53">
        <v>0.31</v>
      </c>
      <c r="Q9" s="75">
        <f t="shared" si="2"/>
        <v>0.30499999999999999</v>
      </c>
      <c r="R9" s="53">
        <v>16.7</v>
      </c>
      <c r="S9" s="53">
        <v>107</v>
      </c>
      <c r="T9" s="16">
        <f t="shared" si="0"/>
        <v>33</v>
      </c>
      <c r="U9" s="53">
        <v>377</v>
      </c>
      <c r="V9" s="16">
        <f t="shared" si="1"/>
        <v>16</v>
      </c>
      <c r="W9" s="53">
        <v>3</v>
      </c>
      <c r="X9" s="53" t="s">
        <v>39</v>
      </c>
      <c r="Y9" s="53" t="s">
        <v>88</v>
      </c>
      <c r="Z9" s="53" t="s">
        <v>330</v>
      </c>
      <c r="AA9" s="53" t="s">
        <v>86</v>
      </c>
      <c r="AB9" s="53" t="s">
        <v>331</v>
      </c>
      <c r="AE9" s="22" t="s">
        <v>98</v>
      </c>
      <c r="AG9" s="173" t="s">
        <v>351</v>
      </c>
      <c r="AH9" s="172" t="s">
        <v>350</v>
      </c>
      <c r="AL9" s="73"/>
      <c r="AP9" s="23" t="s">
        <v>352</v>
      </c>
      <c r="AR9" s="23" t="s">
        <v>89</v>
      </c>
      <c r="AV9" s="23" t="s">
        <v>102</v>
      </c>
      <c r="AX9" s="24">
        <v>128</v>
      </c>
      <c r="AY9" s="25">
        <v>27</v>
      </c>
      <c r="AZ9" s="25">
        <v>129</v>
      </c>
      <c r="BA9" s="26">
        <v>25</v>
      </c>
    </row>
    <row r="10" spans="1:53" x14ac:dyDescent="0.15">
      <c r="A10" s="53" t="s">
        <v>59</v>
      </c>
      <c r="B10" s="53" t="s">
        <v>232</v>
      </c>
      <c r="C10" s="62">
        <v>2019</v>
      </c>
      <c r="D10" s="170" t="s">
        <v>283</v>
      </c>
      <c r="E10" s="53" t="s">
        <v>332</v>
      </c>
      <c r="F10" s="53" t="s">
        <v>333</v>
      </c>
      <c r="G10" s="53" t="s">
        <v>36</v>
      </c>
      <c r="H10" s="53" t="s">
        <v>160</v>
      </c>
      <c r="I10" s="53" t="s">
        <v>159</v>
      </c>
      <c r="J10" s="53" t="s">
        <v>38</v>
      </c>
      <c r="K10" s="53" t="s">
        <v>161</v>
      </c>
      <c r="L10" s="53">
        <v>3</v>
      </c>
      <c r="N10" s="53">
        <v>4</v>
      </c>
      <c r="O10" s="53">
        <v>0.33</v>
      </c>
      <c r="P10" s="53">
        <v>0.3</v>
      </c>
      <c r="Q10" s="75">
        <f t="shared" si="2"/>
        <v>0.315</v>
      </c>
      <c r="R10" s="53">
        <v>16</v>
      </c>
      <c r="S10" s="53">
        <v>97</v>
      </c>
      <c r="T10" s="16">
        <f t="shared" si="0"/>
        <v>36</v>
      </c>
      <c r="U10" s="53">
        <v>377</v>
      </c>
      <c r="V10" s="16">
        <f t="shared" si="1"/>
        <v>16</v>
      </c>
      <c r="W10" s="53">
        <v>3</v>
      </c>
      <c r="X10" s="53" t="s">
        <v>39</v>
      </c>
      <c r="Y10" s="53" t="s">
        <v>88</v>
      </c>
      <c r="Z10" s="53" t="s">
        <v>330</v>
      </c>
      <c r="AA10" s="53" t="s">
        <v>86</v>
      </c>
      <c r="AB10" s="53" t="s">
        <v>331</v>
      </c>
      <c r="AE10" s="22" t="s">
        <v>103</v>
      </c>
      <c r="AG10" s="171" t="s">
        <v>353</v>
      </c>
      <c r="AH10" s="172" t="s">
        <v>342</v>
      </c>
      <c r="AL10" s="83"/>
      <c r="AP10" s="23" t="s">
        <v>100</v>
      </c>
      <c r="AR10" s="23" t="s">
        <v>123</v>
      </c>
      <c r="AV10" s="23" t="s">
        <v>106</v>
      </c>
      <c r="AX10" s="24">
        <v>138</v>
      </c>
      <c r="AY10" s="25">
        <v>25</v>
      </c>
      <c r="AZ10" s="25">
        <v>138</v>
      </c>
      <c r="BA10" s="26">
        <v>22</v>
      </c>
    </row>
    <row r="11" spans="1:53" x14ac:dyDescent="0.15">
      <c r="A11" s="53" t="s">
        <v>59</v>
      </c>
      <c r="B11" s="53" t="s">
        <v>232</v>
      </c>
      <c r="C11" s="62">
        <v>2019</v>
      </c>
      <c r="D11" s="170" t="s">
        <v>283</v>
      </c>
      <c r="E11" s="53" t="s">
        <v>332</v>
      </c>
      <c r="F11" s="53" t="s">
        <v>333</v>
      </c>
      <c r="G11" s="53" t="s">
        <v>36</v>
      </c>
      <c r="H11" s="53" t="s">
        <v>164</v>
      </c>
      <c r="I11" s="53" t="s">
        <v>159</v>
      </c>
      <c r="J11" s="53" t="s">
        <v>38</v>
      </c>
      <c r="K11" s="53" t="s">
        <v>161</v>
      </c>
      <c r="L11" s="53">
        <v>1</v>
      </c>
      <c r="N11" s="53">
        <v>4</v>
      </c>
      <c r="O11" s="53">
        <v>0.51</v>
      </c>
      <c r="P11" s="53">
        <v>0.44</v>
      </c>
      <c r="Q11" s="75">
        <f t="shared" si="2"/>
        <v>0.47499999999999998</v>
      </c>
      <c r="R11" s="53">
        <v>13.3</v>
      </c>
      <c r="S11" s="53">
        <v>90</v>
      </c>
      <c r="T11" s="16">
        <f t="shared" si="0"/>
        <v>36</v>
      </c>
      <c r="U11" s="53">
        <v>297</v>
      </c>
      <c r="V11" s="16">
        <f t="shared" si="1"/>
        <v>16</v>
      </c>
      <c r="W11" s="53">
        <v>3</v>
      </c>
      <c r="X11" s="53" t="s">
        <v>39</v>
      </c>
      <c r="Y11" s="53" t="s">
        <v>88</v>
      </c>
      <c r="Z11" s="53" t="s">
        <v>330</v>
      </c>
      <c r="AA11" s="53" t="s">
        <v>86</v>
      </c>
      <c r="AB11" s="53" t="s">
        <v>331</v>
      </c>
      <c r="AE11" s="22" t="s">
        <v>65</v>
      </c>
      <c r="AG11" s="173" t="s">
        <v>354</v>
      </c>
      <c r="AH11" s="172" t="s">
        <v>355</v>
      </c>
      <c r="AL11" s="83"/>
      <c r="AP11" s="23" t="s">
        <v>356</v>
      </c>
      <c r="AR11" s="23" t="s">
        <v>357</v>
      </c>
      <c r="AV11" s="23" t="s">
        <v>358</v>
      </c>
      <c r="AX11" s="24">
        <v>151</v>
      </c>
      <c r="AY11" s="25">
        <v>22</v>
      </c>
      <c r="AZ11" s="25">
        <v>152</v>
      </c>
      <c r="BA11" s="26">
        <v>18</v>
      </c>
    </row>
    <row r="12" spans="1:53" x14ac:dyDescent="0.15">
      <c r="A12" s="53" t="s">
        <v>59</v>
      </c>
      <c r="B12" s="53" t="s">
        <v>232</v>
      </c>
      <c r="C12" s="62">
        <v>2019</v>
      </c>
      <c r="D12" s="170" t="s">
        <v>283</v>
      </c>
      <c r="E12" s="53" t="s">
        <v>332</v>
      </c>
      <c r="F12" s="53" t="s">
        <v>333</v>
      </c>
      <c r="G12" s="53" t="s">
        <v>36</v>
      </c>
      <c r="H12" s="53" t="s">
        <v>164</v>
      </c>
      <c r="I12" s="53" t="s">
        <v>159</v>
      </c>
      <c r="J12" s="53" t="s">
        <v>38</v>
      </c>
      <c r="K12" s="53" t="s">
        <v>161</v>
      </c>
      <c r="L12" s="53">
        <v>2</v>
      </c>
      <c r="N12" s="53">
        <v>4</v>
      </c>
      <c r="O12" s="53">
        <v>0.62</v>
      </c>
      <c r="P12" s="53">
        <v>0.56999999999999995</v>
      </c>
      <c r="Q12" s="75">
        <f t="shared" si="2"/>
        <v>0.59499999999999997</v>
      </c>
      <c r="R12" s="53">
        <v>13.2</v>
      </c>
      <c r="S12" s="53">
        <v>91</v>
      </c>
      <c r="T12" s="16">
        <f t="shared" si="0"/>
        <v>36</v>
      </c>
      <c r="U12" s="53">
        <v>297</v>
      </c>
      <c r="V12" s="16">
        <f t="shared" si="1"/>
        <v>16</v>
      </c>
      <c r="W12" s="53">
        <v>3</v>
      </c>
      <c r="X12" s="53" t="s">
        <v>39</v>
      </c>
      <c r="Y12" s="53" t="s">
        <v>88</v>
      </c>
      <c r="Z12" s="53" t="s">
        <v>330</v>
      </c>
      <c r="AA12" s="53" t="s">
        <v>86</v>
      </c>
      <c r="AB12" s="53" t="s">
        <v>331</v>
      </c>
      <c r="AE12" s="22" t="s">
        <v>70</v>
      </c>
      <c r="AG12" s="23"/>
      <c r="AH12" s="174"/>
      <c r="AL12" s="83"/>
      <c r="AP12" s="23" t="s">
        <v>67</v>
      </c>
      <c r="AR12" s="23" t="s">
        <v>124</v>
      </c>
      <c r="AV12" s="23" t="s">
        <v>72</v>
      </c>
      <c r="AX12" s="31">
        <v>180</v>
      </c>
      <c r="AY12" s="32">
        <v>18</v>
      </c>
      <c r="AZ12" s="32">
        <v>181</v>
      </c>
      <c r="BA12" s="33">
        <v>16</v>
      </c>
    </row>
    <row r="13" spans="1:53" x14ac:dyDescent="0.15">
      <c r="A13" s="53" t="s">
        <v>59</v>
      </c>
      <c r="B13" s="53" t="s">
        <v>232</v>
      </c>
      <c r="C13" s="62">
        <v>2019</v>
      </c>
      <c r="D13" s="170" t="s">
        <v>283</v>
      </c>
      <c r="E13" s="53" t="s">
        <v>332</v>
      </c>
      <c r="F13" s="53" t="s">
        <v>333</v>
      </c>
      <c r="G13" s="53" t="s">
        <v>36</v>
      </c>
      <c r="H13" s="53" t="s">
        <v>164</v>
      </c>
      <c r="I13" s="53" t="s">
        <v>159</v>
      </c>
      <c r="J13" s="53" t="s">
        <v>38</v>
      </c>
      <c r="K13" s="53" t="s">
        <v>161</v>
      </c>
      <c r="L13" s="53">
        <v>3</v>
      </c>
      <c r="N13" s="53">
        <v>4</v>
      </c>
      <c r="O13" s="53">
        <v>0.55000000000000004</v>
      </c>
      <c r="P13" s="53">
        <v>0.51</v>
      </c>
      <c r="Q13" s="75">
        <f t="shared" si="2"/>
        <v>0.53</v>
      </c>
      <c r="R13" s="53">
        <v>13.3</v>
      </c>
      <c r="S13" s="53">
        <v>101</v>
      </c>
      <c r="T13" s="16">
        <f t="shared" si="0"/>
        <v>33</v>
      </c>
      <c r="U13" s="53">
        <v>297</v>
      </c>
      <c r="V13" s="16">
        <f t="shared" si="1"/>
        <v>16</v>
      </c>
      <c r="W13" s="53">
        <v>3</v>
      </c>
      <c r="X13" s="53" t="s">
        <v>39</v>
      </c>
      <c r="Y13" s="53" t="s">
        <v>88</v>
      </c>
      <c r="Z13" s="53" t="s">
        <v>330</v>
      </c>
      <c r="AA13" s="53" t="s">
        <v>86</v>
      </c>
      <c r="AB13" s="53" t="s">
        <v>331</v>
      </c>
      <c r="AE13" s="22" t="s">
        <v>73</v>
      </c>
      <c r="AG13" s="23"/>
      <c r="AH13" s="23"/>
      <c r="AP13" s="23" t="s">
        <v>71</v>
      </c>
      <c r="AR13" s="23" t="s">
        <v>103</v>
      </c>
      <c r="AV13" s="23" t="s">
        <v>75</v>
      </c>
    </row>
    <row r="14" spans="1:53" x14ac:dyDescent="0.15">
      <c r="A14" s="53" t="s">
        <v>59</v>
      </c>
      <c r="B14" s="53" t="s">
        <v>232</v>
      </c>
      <c r="C14" s="62">
        <v>2019</v>
      </c>
      <c r="D14" s="170" t="s">
        <v>283</v>
      </c>
      <c r="E14" s="53" t="s">
        <v>341</v>
      </c>
      <c r="F14" s="53" t="s">
        <v>342</v>
      </c>
      <c r="G14" s="53" t="s">
        <v>36</v>
      </c>
      <c r="H14" s="53" t="s">
        <v>160</v>
      </c>
      <c r="I14" s="53" t="s">
        <v>159</v>
      </c>
      <c r="J14" s="53" t="s">
        <v>38</v>
      </c>
      <c r="K14" s="53" t="s">
        <v>161</v>
      </c>
      <c r="L14" s="53">
        <v>1</v>
      </c>
      <c r="N14" s="53">
        <v>3</v>
      </c>
      <c r="O14" s="53">
        <v>0.33</v>
      </c>
      <c r="P14" s="53">
        <v>0.37</v>
      </c>
      <c r="Q14" s="75">
        <f t="shared" si="2"/>
        <v>0.35</v>
      </c>
      <c r="R14" s="53">
        <v>16.7</v>
      </c>
      <c r="S14" s="53">
        <v>125</v>
      </c>
      <c r="T14" s="16">
        <f t="shared" si="0"/>
        <v>27</v>
      </c>
      <c r="U14" s="53">
        <v>399</v>
      </c>
      <c r="V14" s="16">
        <f t="shared" si="1"/>
        <v>16</v>
      </c>
      <c r="W14" s="53">
        <v>7</v>
      </c>
      <c r="X14" s="53" t="s">
        <v>46</v>
      </c>
      <c r="Y14" s="53" t="s">
        <v>55</v>
      </c>
      <c r="Z14" s="53" t="s">
        <v>90</v>
      </c>
      <c r="AA14" s="53" t="s">
        <v>78</v>
      </c>
      <c r="AB14" s="53" t="s">
        <v>331</v>
      </c>
      <c r="AE14" s="22" t="s">
        <v>76</v>
      </c>
      <c r="AG14" s="23"/>
      <c r="AH14" s="23"/>
      <c r="AP14" s="23" t="s">
        <v>359</v>
      </c>
      <c r="AR14" s="23" t="s">
        <v>125</v>
      </c>
      <c r="AV14" s="23" t="s">
        <v>78</v>
      </c>
    </row>
    <row r="15" spans="1:53" x14ac:dyDescent="0.15">
      <c r="A15" s="53" t="s">
        <v>59</v>
      </c>
      <c r="B15" s="53" t="s">
        <v>232</v>
      </c>
      <c r="C15" s="62">
        <v>2019</v>
      </c>
      <c r="D15" s="170" t="s">
        <v>283</v>
      </c>
      <c r="E15" s="53" t="s">
        <v>341</v>
      </c>
      <c r="F15" s="53" t="s">
        <v>342</v>
      </c>
      <c r="G15" s="53" t="s">
        <v>36</v>
      </c>
      <c r="H15" s="53" t="s">
        <v>160</v>
      </c>
      <c r="I15" s="53" t="s">
        <v>159</v>
      </c>
      <c r="J15" s="53" t="s">
        <v>38</v>
      </c>
      <c r="K15" s="53" t="s">
        <v>161</v>
      </c>
      <c r="L15" s="53">
        <v>2</v>
      </c>
      <c r="N15" s="53">
        <v>3</v>
      </c>
      <c r="O15" s="53">
        <v>0.28000000000000003</v>
      </c>
      <c r="P15" s="53">
        <v>0.33</v>
      </c>
      <c r="Q15" s="75">
        <f t="shared" si="2"/>
        <v>0.30500000000000005</v>
      </c>
      <c r="R15" s="53">
        <v>16.100000000000001</v>
      </c>
      <c r="S15" s="53">
        <v>126</v>
      </c>
      <c r="T15" s="16">
        <f t="shared" si="0"/>
        <v>27</v>
      </c>
      <c r="U15" s="53">
        <v>399</v>
      </c>
      <c r="V15" s="16">
        <f t="shared" si="1"/>
        <v>16</v>
      </c>
      <c r="W15" s="53">
        <v>7</v>
      </c>
      <c r="X15" s="53" t="s">
        <v>46</v>
      </c>
      <c r="Y15" s="53" t="s">
        <v>55</v>
      </c>
      <c r="Z15" s="53" t="s">
        <v>90</v>
      </c>
      <c r="AA15" s="53" t="s">
        <v>78</v>
      </c>
      <c r="AB15" s="53" t="s">
        <v>331</v>
      </c>
      <c r="AE15" s="22" t="s">
        <v>79</v>
      </c>
      <c r="AG15" s="23"/>
      <c r="AH15" s="23"/>
      <c r="AP15" s="23" t="s">
        <v>360</v>
      </c>
      <c r="AR15" s="23" t="s">
        <v>94</v>
      </c>
      <c r="AV15" s="23" t="s">
        <v>107</v>
      </c>
    </row>
    <row r="16" spans="1:53" x14ac:dyDescent="0.15">
      <c r="A16" s="53" t="s">
        <v>59</v>
      </c>
      <c r="B16" s="53" t="s">
        <v>232</v>
      </c>
      <c r="C16" s="62">
        <v>2019</v>
      </c>
      <c r="D16" s="170" t="s">
        <v>283</v>
      </c>
      <c r="E16" s="53" t="s">
        <v>341</v>
      </c>
      <c r="F16" s="53" t="s">
        <v>342</v>
      </c>
      <c r="G16" s="53" t="s">
        <v>36</v>
      </c>
      <c r="H16" s="53" t="s">
        <v>160</v>
      </c>
      <c r="I16" s="53" t="s">
        <v>159</v>
      </c>
      <c r="J16" s="53" t="s">
        <v>38</v>
      </c>
      <c r="K16" s="53" t="s">
        <v>161</v>
      </c>
      <c r="L16" s="53">
        <v>3</v>
      </c>
      <c r="N16" s="53">
        <v>3</v>
      </c>
      <c r="O16" s="53">
        <v>0.32</v>
      </c>
      <c r="P16" s="53">
        <v>0.35</v>
      </c>
      <c r="Q16" s="75">
        <f t="shared" si="2"/>
        <v>0.33499999999999996</v>
      </c>
      <c r="R16" s="53">
        <v>16.3</v>
      </c>
      <c r="S16" s="53">
        <v>128</v>
      </c>
      <c r="T16" s="16">
        <f t="shared" si="0"/>
        <v>27</v>
      </c>
      <c r="U16" s="53">
        <v>399</v>
      </c>
      <c r="V16" s="16">
        <f t="shared" si="1"/>
        <v>16</v>
      </c>
      <c r="W16" s="53">
        <v>7</v>
      </c>
      <c r="X16" s="53" t="s">
        <v>46</v>
      </c>
      <c r="Y16" s="53" t="s">
        <v>55</v>
      </c>
      <c r="Z16" s="53" t="s">
        <v>90</v>
      </c>
      <c r="AA16" s="53" t="s">
        <v>78</v>
      </c>
      <c r="AB16" s="53" t="s">
        <v>331</v>
      </c>
      <c r="AE16" s="22" t="s">
        <v>82</v>
      </c>
      <c r="AG16" s="28"/>
      <c r="AH16" s="28"/>
      <c r="AP16" s="23" t="s">
        <v>80</v>
      </c>
      <c r="AR16" s="23" t="s">
        <v>63</v>
      </c>
      <c r="AV16" s="23" t="s">
        <v>84</v>
      </c>
    </row>
    <row r="17" spans="1:48" x14ac:dyDescent="0.15">
      <c r="A17" s="53" t="s">
        <v>59</v>
      </c>
      <c r="B17" s="53" t="s">
        <v>232</v>
      </c>
      <c r="C17" s="62">
        <v>2019</v>
      </c>
      <c r="D17" s="170" t="s">
        <v>283</v>
      </c>
      <c r="E17" s="53" t="s">
        <v>341</v>
      </c>
      <c r="F17" s="53" t="s">
        <v>342</v>
      </c>
      <c r="G17" s="53" t="s">
        <v>36</v>
      </c>
      <c r="H17" s="53" t="s">
        <v>164</v>
      </c>
      <c r="I17" s="53" t="s">
        <v>159</v>
      </c>
      <c r="J17" s="53" t="s">
        <v>38</v>
      </c>
      <c r="K17" s="53" t="s">
        <v>161</v>
      </c>
      <c r="L17" s="53">
        <v>1</v>
      </c>
      <c r="N17" s="53">
        <v>1</v>
      </c>
      <c r="O17" s="53">
        <v>0.46</v>
      </c>
      <c r="P17" s="53">
        <v>0.45</v>
      </c>
      <c r="Q17" s="75">
        <f t="shared" si="2"/>
        <v>0.45500000000000002</v>
      </c>
      <c r="R17" s="53">
        <v>15.5</v>
      </c>
      <c r="S17" s="53">
        <v>133</v>
      </c>
      <c r="T17" s="16">
        <f t="shared" si="0"/>
        <v>25</v>
      </c>
      <c r="U17" s="53">
        <v>139</v>
      </c>
      <c r="V17" s="16">
        <f t="shared" si="1"/>
        <v>22</v>
      </c>
      <c r="W17" s="53">
        <v>6</v>
      </c>
      <c r="X17" s="53" t="s">
        <v>46</v>
      </c>
      <c r="Y17" s="53" t="s">
        <v>55</v>
      </c>
      <c r="Z17" s="53" t="s">
        <v>90</v>
      </c>
      <c r="AA17" s="53" t="s">
        <v>78</v>
      </c>
      <c r="AB17" s="53" t="s">
        <v>331</v>
      </c>
      <c r="AE17" s="22" t="s">
        <v>85</v>
      </c>
      <c r="AP17" s="27" t="s">
        <v>110</v>
      </c>
      <c r="AR17" s="23" t="s">
        <v>96</v>
      </c>
      <c r="AV17" s="23" t="s">
        <v>86</v>
      </c>
    </row>
    <row r="18" spans="1:48" x14ac:dyDescent="0.15">
      <c r="A18" s="53" t="s">
        <v>59</v>
      </c>
      <c r="B18" s="53" t="s">
        <v>232</v>
      </c>
      <c r="C18" s="62">
        <v>2019</v>
      </c>
      <c r="D18" s="170" t="s">
        <v>283</v>
      </c>
      <c r="E18" s="53" t="s">
        <v>341</v>
      </c>
      <c r="F18" s="53" t="s">
        <v>342</v>
      </c>
      <c r="G18" s="53" t="s">
        <v>36</v>
      </c>
      <c r="H18" s="53" t="s">
        <v>164</v>
      </c>
      <c r="I18" s="53" t="s">
        <v>159</v>
      </c>
      <c r="J18" s="53" t="s">
        <v>38</v>
      </c>
      <c r="K18" s="53" t="s">
        <v>161</v>
      </c>
      <c r="L18" s="53">
        <v>2</v>
      </c>
      <c r="N18" s="53">
        <v>1</v>
      </c>
      <c r="O18" s="53">
        <v>0.55000000000000004</v>
      </c>
      <c r="P18" s="53">
        <v>0.63</v>
      </c>
      <c r="Q18" s="75">
        <f t="shared" si="2"/>
        <v>0.59000000000000008</v>
      </c>
      <c r="R18" s="53">
        <v>15</v>
      </c>
      <c r="S18" s="53">
        <v>138</v>
      </c>
      <c r="T18" s="16">
        <f t="shared" si="0"/>
        <v>22</v>
      </c>
      <c r="U18" s="53">
        <v>139</v>
      </c>
      <c r="V18" s="16">
        <f t="shared" si="1"/>
        <v>22</v>
      </c>
      <c r="W18" s="53">
        <v>6</v>
      </c>
      <c r="X18" s="53" t="s">
        <v>46</v>
      </c>
      <c r="Y18" s="53" t="s">
        <v>55</v>
      </c>
      <c r="Z18" s="53" t="s">
        <v>90</v>
      </c>
      <c r="AA18" s="53" t="s">
        <v>78</v>
      </c>
      <c r="AB18" s="53" t="s">
        <v>331</v>
      </c>
      <c r="AE18" s="22" t="s">
        <v>87</v>
      </c>
      <c r="AP18" s="27" t="s">
        <v>361</v>
      </c>
      <c r="AR18" s="23" t="s">
        <v>101</v>
      </c>
      <c r="AV18" s="23" t="s">
        <v>88</v>
      </c>
    </row>
    <row r="19" spans="1:48" x14ac:dyDescent="0.15">
      <c r="A19" s="53" t="s">
        <v>59</v>
      </c>
      <c r="B19" s="53" t="s">
        <v>232</v>
      </c>
      <c r="C19" s="62">
        <v>2019</v>
      </c>
      <c r="D19" s="170" t="s">
        <v>283</v>
      </c>
      <c r="E19" s="53" t="s">
        <v>341</v>
      </c>
      <c r="F19" s="53" t="s">
        <v>342</v>
      </c>
      <c r="G19" s="53" t="s">
        <v>36</v>
      </c>
      <c r="H19" s="53" t="s">
        <v>164</v>
      </c>
      <c r="I19" s="53" t="s">
        <v>159</v>
      </c>
      <c r="J19" s="53" t="s">
        <v>38</v>
      </c>
      <c r="K19" s="53" t="s">
        <v>161</v>
      </c>
      <c r="L19" s="53">
        <v>3</v>
      </c>
      <c r="N19" s="53">
        <v>1</v>
      </c>
      <c r="O19" s="53">
        <v>0.56000000000000005</v>
      </c>
      <c r="P19" s="53">
        <v>0.62</v>
      </c>
      <c r="Q19" s="75">
        <f t="shared" si="2"/>
        <v>0.59000000000000008</v>
      </c>
      <c r="R19" s="53">
        <v>15.6</v>
      </c>
      <c r="S19" s="53">
        <v>132</v>
      </c>
      <c r="T19" s="16">
        <f t="shared" si="0"/>
        <v>25</v>
      </c>
      <c r="U19" s="53">
        <v>139</v>
      </c>
      <c r="V19" s="16">
        <f t="shared" si="1"/>
        <v>22</v>
      </c>
      <c r="W19" s="53">
        <v>6</v>
      </c>
      <c r="X19" s="53" t="s">
        <v>46</v>
      </c>
      <c r="Y19" s="53" t="s">
        <v>55</v>
      </c>
      <c r="Z19" s="53" t="s">
        <v>90</v>
      </c>
      <c r="AA19" s="53" t="s">
        <v>78</v>
      </c>
      <c r="AB19" s="53" t="s">
        <v>331</v>
      </c>
      <c r="AE19" s="35" t="s">
        <v>89</v>
      </c>
      <c r="AP19" s="27" t="s">
        <v>112</v>
      </c>
      <c r="AR19" s="23" t="s">
        <v>126</v>
      </c>
      <c r="AV19" s="23" t="s">
        <v>362</v>
      </c>
    </row>
    <row r="20" spans="1:48" x14ac:dyDescent="0.15">
      <c r="A20" s="53" t="s">
        <v>59</v>
      </c>
      <c r="B20" s="53" t="s">
        <v>232</v>
      </c>
      <c r="C20" s="62">
        <v>2019</v>
      </c>
      <c r="D20" s="170" t="s">
        <v>283</v>
      </c>
      <c r="E20" s="53" t="s">
        <v>353</v>
      </c>
      <c r="F20" s="53" t="s">
        <v>342</v>
      </c>
      <c r="G20" s="53" t="s">
        <v>36</v>
      </c>
      <c r="H20" s="53" t="s">
        <v>160</v>
      </c>
      <c r="I20" s="53" t="s">
        <v>159</v>
      </c>
      <c r="J20" s="53" t="s">
        <v>38</v>
      </c>
      <c r="K20" s="53" t="s">
        <v>161</v>
      </c>
      <c r="L20" s="53">
        <v>1</v>
      </c>
      <c r="N20" s="53">
        <v>4</v>
      </c>
      <c r="O20" s="53">
        <v>0.48</v>
      </c>
      <c r="P20" s="53">
        <v>0.5</v>
      </c>
      <c r="Q20" s="75">
        <f t="shared" si="2"/>
        <v>0.49</v>
      </c>
      <c r="R20" s="53">
        <v>16.8</v>
      </c>
      <c r="S20" s="53">
        <v>120</v>
      </c>
      <c r="T20" s="16">
        <f t="shared" si="0"/>
        <v>30</v>
      </c>
      <c r="U20" s="53">
        <v>537</v>
      </c>
      <c r="V20" s="16">
        <f t="shared" si="1"/>
        <v>16</v>
      </c>
      <c r="W20" s="53">
        <v>3</v>
      </c>
      <c r="X20" s="53" t="s">
        <v>46</v>
      </c>
      <c r="Y20" s="53" t="s">
        <v>78</v>
      </c>
      <c r="Z20" s="53" t="s">
        <v>88</v>
      </c>
      <c r="AA20" s="53" t="s">
        <v>69</v>
      </c>
      <c r="AB20" s="53" t="s">
        <v>331</v>
      </c>
      <c r="AE20" s="35"/>
      <c r="AP20" s="27" t="s">
        <v>113</v>
      </c>
      <c r="AR20" s="23" t="s">
        <v>105</v>
      </c>
      <c r="AV20" s="27" t="s">
        <v>135</v>
      </c>
    </row>
    <row r="21" spans="1:48" x14ac:dyDescent="0.15">
      <c r="A21" s="53" t="s">
        <v>59</v>
      </c>
      <c r="B21" s="53" t="s">
        <v>232</v>
      </c>
      <c r="C21" s="62">
        <v>2019</v>
      </c>
      <c r="D21" s="170" t="s">
        <v>283</v>
      </c>
      <c r="E21" s="53" t="s">
        <v>353</v>
      </c>
      <c r="F21" s="53" t="s">
        <v>342</v>
      </c>
      <c r="G21" s="53" t="s">
        <v>36</v>
      </c>
      <c r="H21" s="53" t="s">
        <v>160</v>
      </c>
      <c r="I21" s="53" t="s">
        <v>159</v>
      </c>
      <c r="J21" s="53" t="s">
        <v>38</v>
      </c>
      <c r="K21" s="53" t="s">
        <v>161</v>
      </c>
      <c r="L21" s="53">
        <v>2</v>
      </c>
      <c r="N21" s="53">
        <v>4</v>
      </c>
      <c r="O21" s="53">
        <v>0.63</v>
      </c>
      <c r="P21" s="53">
        <v>0.64</v>
      </c>
      <c r="Q21" s="75">
        <f t="shared" si="2"/>
        <v>0.63500000000000001</v>
      </c>
      <c r="R21" s="53">
        <v>16.3</v>
      </c>
      <c r="S21" s="53">
        <v>114</v>
      </c>
      <c r="T21" s="16">
        <f t="shared" si="0"/>
        <v>30</v>
      </c>
      <c r="U21" s="53">
        <v>537</v>
      </c>
      <c r="V21" s="16">
        <f t="shared" si="1"/>
        <v>16</v>
      </c>
      <c r="W21" s="53">
        <v>3</v>
      </c>
      <c r="X21" s="53" t="s">
        <v>46</v>
      </c>
      <c r="Y21" s="53" t="s">
        <v>78</v>
      </c>
      <c r="Z21" s="53" t="s">
        <v>88</v>
      </c>
      <c r="AA21" s="53" t="s">
        <v>69</v>
      </c>
      <c r="AB21" s="53" t="s">
        <v>331</v>
      </c>
      <c r="AE21" s="28"/>
      <c r="AP21" s="27" t="s">
        <v>363</v>
      </c>
      <c r="AR21" s="23" t="s">
        <v>68</v>
      </c>
      <c r="AV21" s="27" t="s">
        <v>136</v>
      </c>
    </row>
    <row r="22" spans="1:48" x14ac:dyDescent="0.15">
      <c r="A22" s="53" t="s">
        <v>59</v>
      </c>
      <c r="B22" s="53" t="s">
        <v>232</v>
      </c>
      <c r="C22" s="62">
        <v>2019</v>
      </c>
      <c r="D22" s="170" t="s">
        <v>283</v>
      </c>
      <c r="E22" s="53" t="s">
        <v>353</v>
      </c>
      <c r="F22" s="53" t="s">
        <v>342</v>
      </c>
      <c r="G22" s="53" t="s">
        <v>36</v>
      </c>
      <c r="H22" s="53" t="s">
        <v>160</v>
      </c>
      <c r="I22" s="53" t="s">
        <v>159</v>
      </c>
      <c r="J22" s="53" t="s">
        <v>38</v>
      </c>
      <c r="K22" s="53" t="s">
        <v>161</v>
      </c>
      <c r="L22" s="53">
        <v>3</v>
      </c>
      <c r="N22" s="53">
        <v>4</v>
      </c>
      <c r="O22" s="53">
        <v>0.52</v>
      </c>
      <c r="P22" s="53">
        <v>0.47</v>
      </c>
      <c r="Q22" s="75">
        <f t="shared" si="2"/>
        <v>0.495</v>
      </c>
      <c r="R22" s="53">
        <v>16.100000000000001</v>
      </c>
      <c r="S22" s="53">
        <v>118</v>
      </c>
      <c r="T22" s="16">
        <f t="shared" si="0"/>
        <v>30</v>
      </c>
      <c r="U22" s="53">
        <v>537</v>
      </c>
      <c r="V22" s="16">
        <f t="shared" si="1"/>
        <v>16</v>
      </c>
      <c r="W22" s="53">
        <v>3</v>
      </c>
      <c r="X22" s="53" t="s">
        <v>46</v>
      </c>
      <c r="Y22" s="53" t="s">
        <v>78</v>
      </c>
      <c r="Z22" s="53" t="s">
        <v>88</v>
      </c>
      <c r="AA22" s="53" t="s">
        <v>69</v>
      </c>
      <c r="AB22" s="53" t="s">
        <v>331</v>
      </c>
      <c r="AP22" s="27" t="s">
        <v>364</v>
      </c>
      <c r="AR22" s="23" t="s">
        <v>83</v>
      </c>
      <c r="AV22" s="27" t="s">
        <v>365</v>
      </c>
    </row>
    <row r="23" spans="1:48" x14ac:dyDescent="0.15">
      <c r="A23" s="53" t="s">
        <v>59</v>
      </c>
      <c r="B23" s="53" t="s">
        <v>232</v>
      </c>
      <c r="C23" s="62">
        <v>2019</v>
      </c>
      <c r="D23" s="170" t="s">
        <v>283</v>
      </c>
      <c r="E23" s="53" t="s">
        <v>353</v>
      </c>
      <c r="F23" s="53" t="s">
        <v>342</v>
      </c>
      <c r="G23" s="53" t="s">
        <v>36</v>
      </c>
      <c r="H23" s="53" t="s">
        <v>164</v>
      </c>
      <c r="I23" s="53" t="s">
        <v>159</v>
      </c>
      <c r="J23" s="53" t="s">
        <v>38</v>
      </c>
      <c r="K23" s="53" t="s">
        <v>161</v>
      </c>
      <c r="L23" s="53">
        <v>1</v>
      </c>
      <c r="N23" s="53">
        <v>4</v>
      </c>
      <c r="O23" s="53">
        <v>0.31</v>
      </c>
      <c r="P23" s="53">
        <v>0.35</v>
      </c>
      <c r="Q23" s="75">
        <f t="shared" si="2"/>
        <v>0.32999999999999996</v>
      </c>
      <c r="R23" s="53">
        <v>13.7</v>
      </c>
      <c r="S23" s="53">
        <v>100</v>
      </c>
      <c r="T23" s="16">
        <f t="shared" si="0"/>
        <v>33</v>
      </c>
      <c r="U23" s="53">
        <v>429</v>
      </c>
      <c r="V23" s="16">
        <f t="shared" si="1"/>
        <v>16</v>
      </c>
      <c r="W23" s="53">
        <v>1</v>
      </c>
      <c r="X23" s="53" t="s">
        <v>46</v>
      </c>
      <c r="Y23" s="53" t="s">
        <v>78</v>
      </c>
      <c r="Z23" s="53" t="s">
        <v>88</v>
      </c>
      <c r="AA23" s="53" t="s">
        <v>69</v>
      </c>
      <c r="AB23" s="53" t="s">
        <v>331</v>
      </c>
      <c r="AP23" s="27" t="s">
        <v>137</v>
      </c>
      <c r="AR23" s="23" t="s">
        <v>61</v>
      </c>
      <c r="AV23" s="27" t="s">
        <v>366</v>
      </c>
    </row>
    <row r="24" spans="1:48" x14ac:dyDescent="0.15">
      <c r="A24" s="53" t="s">
        <v>59</v>
      </c>
      <c r="B24" s="53" t="s">
        <v>232</v>
      </c>
      <c r="C24" s="62">
        <v>2019</v>
      </c>
      <c r="D24" s="170" t="s">
        <v>283</v>
      </c>
      <c r="E24" s="53" t="s">
        <v>353</v>
      </c>
      <c r="F24" s="53" t="s">
        <v>342</v>
      </c>
      <c r="G24" s="53" t="s">
        <v>36</v>
      </c>
      <c r="H24" s="53" t="s">
        <v>164</v>
      </c>
      <c r="I24" s="53" t="s">
        <v>159</v>
      </c>
      <c r="J24" s="53" t="s">
        <v>38</v>
      </c>
      <c r="K24" s="53" t="s">
        <v>161</v>
      </c>
      <c r="L24" s="53">
        <v>2</v>
      </c>
      <c r="N24" s="53">
        <v>4</v>
      </c>
      <c r="O24" s="53">
        <v>0.25</v>
      </c>
      <c r="P24" s="53">
        <v>0.26</v>
      </c>
      <c r="Q24" s="75">
        <f t="shared" si="2"/>
        <v>0.255</v>
      </c>
      <c r="R24" s="53">
        <v>13.6</v>
      </c>
      <c r="S24" s="53">
        <v>97</v>
      </c>
      <c r="T24" s="16">
        <f t="shared" si="0"/>
        <v>36</v>
      </c>
      <c r="U24" s="53">
        <v>429</v>
      </c>
      <c r="V24" s="16">
        <f t="shared" si="1"/>
        <v>16</v>
      </c>
      <c r="W24" s="53">
        <v>1</v>
      </c>
      <c r="X24" s="53" t="s">
        <v>46</v>
      </c>
      <c r="Y24" s="53" t="s">
        <v>78</v>
      </c>
      <c r="Z24" s="53" t="s">
        <v>88</v>
      </c>
      <c r="AA24" s="53" t="s">
        <v>69</v>
      </c>
      <c r="AB24" s="53" t="s">
        <v>331</v>
      </c>
      <c r="AP24" s="27" t="s">
        <v>138</v>
      </c>
      <c r="AR24" s="23" t="s">
        <v>91</v>
      </c>
      <c r="AV24" s="27" t="s">
        <v>367</v>
      </c>
    </row>
    <row r="25" spans="1:48" x14ac:dyDescent="0.15">
      <c r="A25" s="53" t="s">
        <v>59</v>
      </c>
      <c r="B25" s="53" t="s">
        <v>232</v>
      </c>
      <c r="C25" s="62">
        <v>2019</v>
      </c>
      <c r="D25" s="170" t="s">
        <v>283</v>
      </c>
      <c r="E25" s="53" t="s">
        <v>353</v>
      </c>
      <c r="F25" s="53" t="s">
        <v>342</v>
      </c>
      <c r="G25" s="53" t="s">
        <v>36</v>
      </c>
      <c r="H25" s="53" t="s">
        <v>164</v>
      </c>
      <c r="I25" s="53" t="s">
        <v>159</v>
      </c>
      <c r="J25" s="53" t="s">
        <v>38</v>
      </c>
      <c r="K25" s="53" t="s">
        <v>161</v>
      </c>
      <c r="L25" s="53">
        <v>3</v>
      </c>
      <c r="N25" s="53">
        <v>4</v>
      </c>
      <c r="O25" s="53">
        <v>0.32</v>
      </c>
      <c r="P25" s="53">
        <v>0.33</v>
      </c>
      <c r="Q25" s="75">
        <f t="shared" si="2"/>
        <v>0.32500000000000001</v>
      </c>
      <c r="R25" s="53">
        <v>13.9</v>
      </c>
      <c r="S25" s="53">
        <v>99</v>
      </c>
      <c r="T25" s="16">
        <f t="shared" si="0"/>
        <v>33</v>
      </c>
      <c r="U25" s="53">
        <v>429</v>
      </c>
      <c r="V25" s="16">
        <f t="shared" si="1"/>
        <v>16</v>
      </c>
      <c r="W25" s="53">
        <v>1</v>
      </c>
      <c r="X25" s="53" t="s">
        <v>46</v>
      </c>
      <c r="Y25" s="53" t="s">
        <v>78</v>
      </c>
      <c r="Z25" s="53" t="s">
        <v>88</v>
      </c>
      <c r="AA25" s="53" t="s">
        <v>69</v>
      </c>
      <c r="AB25" s="53" t="s">
        <v>331</v>
      </c>
      <c r="AP25" s="27" t="s">
        <v>116</v>
      </c>
      <c r="AR25" s="27" t="s">
        <v>92</v>
      </c>
      <c r="AV25" s="27" t="s">
        <v>368</v>
      </c>
    </row>
    <row r="26" spans="1:48" x14ac:dyDescent="0.15">
      <c r="A26" s="53" t="s">
        <v>59</v>
      </c>
      <c r="B26" s="53" t="s">
        <v>232</v>
      </c>
      <c r="C26" s="62">
        <v>2019</v>
      </c>
      <c r="D26" s="170" t="s">
        <v>283</v>
      </c>
      <c r="E26" s="53" t="s">
        <v>351</v>
      </c>
      <c r="F26" s="53" t="s">
        <v>350</v>
      </c>
      <c r="G26" s="53" t="s">
        <v>36</v>
      </c>
      <c r="H26" s="53" t="s">
        <v>160</v>
      </c>
      <c r="I26" s="53" t="s">
        <v>159</v>
      </c>
      <c r="J26" s="53" t="s">
        <v>38</v>
      </c>
      <c r="K26" s="53" t="s">
        <v>161</v>
      </c>
      <c r="L26" s="53">
        <v>1</v>
      </c>
      <c r="N26" s="53">
        <v>4</v>
      </c>
      <c r="O26" s="53">
        <v>0.28999999999999998</v>
      </c>
      <c r="P26" s="53">
        <v>0.28000000000000003</v>
      </c>
      <c r="Q26" s="75">
        <f t="shared" si="2"/>
        <v>0.28500000000000003</v>
      </c>
      <c r="R26" s="53">
        <v>16.399999999999999</v>
      </c>
      <c r="S26" s="53">
        <v>112</v>
      </c>
      <c r="T26" s="16">
        <f t="shared" si="0"/>
        <v>33</v>
      </c>
      <c r="U26" s="53">
        <v>398</v>
      </c>
      <c r="V26" s="16">
        <f t="shared" si="1"/>
        <v>16</v>
      </c>
      <c r="W26" s="53">
        <v>3</v>
      </c>
      <c r="X26" s="53" t="s">
        <v>39</v>
      </c>
      <c r="Y26" s="53" t="s">
        <v>88</v>
      </c>
      <c r="Z26" s="53" t="s">
        <v>78</v>
      </c>
      <c r="AA26" s="53" t="s">
        <v>86</v>
      </c>
      <c r="AB26" s="53" t="s">
        <v>331</v>
      </c>
      <c r="AP26" s="27" t="s">
        <v>117</v>
      </c>
      <c r="AR26" s="27" t="s">
        <v>369</v>
      </c>
      <c r="AV26" s="27"/>
    </row>
    <row r="27" spans="1:48" x14ac:dyDescent="0.15">
      <c r="A27" s="53" t="s">
        <v>59</v>
      </c>
      <c r="B27" s="53" t="s">
        <v>232</v>
      </c>
      <c r="C27" s="62">
        <v>2019</v>
      </c>
      <c r="D27" s="170" t="s">
        <v>283</v>
      </c>
      <c r="E27" s="53" t="s">
        <v>351</v>
      </c>
      <c r="F27" s="53" t="s">
        <v>350</v>
      </c>
      <c r="G27" s="53" t="s">
        <v>36</v>
      </c>
      <c r="H27" s="53" t="s">
        <v>160</v>
      </c>
      <c r="I27" s="53" t="s">
        <v>159</v>
      </c>
      <c r="J27" s="53" t="s">
        <v>38</v>
      </c>
      <c r="K27" s="53" t="s">
        <v>161</v>
      </c>
      <c r="L27" s="53">
        <v>2</v>
      </c>
      <c r="N27" s="53">
        <v>4</v>
      </c>
      <c r="O27" s="53">
        <v>0.31</v>
      </c>
      <c r="P27" s="53">
        <v>0.33</v>
      </c>
      <c r="Q27" s="75">
        <f t="shared" si="2"/>
        <v>0.32</v>
      </c>
      <c r="R27" s="53">
        <v>15.4</v>
      </c>
      <c r="S27" s="53">
        <v>116</v>
      </c>
      <c r="T27" s="16">
        <f t="shared" si="0"/>
        <v>30</v>
      </c>
      <c r="U27" s="53">
        <v>398</v>
      </c>
      <c r="V27" s="16">
        <f t="shared" si="1"/>
        <v>16</v>
      </c>
      <c r="W27" s="53">
        <v>3</v>
      </c>
      <c r="X27" s="53" t="s">
        <v>39</v>
      </c>
      <c r="Y27" s="53" t="s">
        <v>88</v>
      </c>
      <c r="Z27" s="53" t="s">
        <v>78</v>
      </c>
      <c r="AA27" s="53" t="s">
        <v>86</v>
      </c>
      <c r="AB27" s="53" t="s">
        <v>331</v>
      </c>
      <c r="AP27" s="27" t="s">
        <v>118</v>
      </c>
      <c r="AR27" s="28" t="s">
        <v>153</v>
      </c>
      <c r="AV27" s="27"/>
    </row>
    <row r="28" spans="1:48" x14ac:dyDescent="0.15">
      <c r="A28" s="53" t="s">
        <v>59</v>
      </c>
      <c r="B28" s="53" t="s">
        <v>232</v>
      </c>
      <c r="C28" s="62">
        <v>2019</v>
      </c>
      <c r="D28" s="170" t="s">
        <v>283</v>
      </c>
      <c r="E28" s="53" t="s">
        <v>351</v>
      </c>
      <c r="F28" s="53" t="s">
        <v>350</v>
      </c>
      <c r="G28" s="53" t="s">
        <v>36</v>
      </c>
      <c r="H28" s="53" t="s">
        <v>160</v>
      </c>
      <c r="I28" s="53" t="s">
        <v>159</v>
      </c>
      <c r="J28" s="53" t="s">
        <v>38</v>
      </c>
      <c r="K28" s="53" t="s">
        <v>161</v>
      </c>
      <c r="L28" s="53">
        <v>3</v>
      </c>
      <c r="N28" s="53">
        <v>4</v>
      </c>
      <c r="O28" s="53">
        <v>0.32</v>
      </c>
      <c r="P28" s="53">
        <v>0.31</v>
      </c>
      <c r="Q28" s="75">
        <f t="shared" si="2"/>
        <v>0.315</v>
      </c>
      <c r="R28" s="53">
        <v>16.8</v>
      </c>
      <c r="S28" s="53">
        <v>112</v>
      </c>
      <c r="T28" s="16">
        <f t="shared" si="0"/>
        <v>33</v>
      </c>
      <c r="U28" s="53">
        <v>398</v>
      </c>
      <c r="V28" s="16">
        <f t="shared" si="1"/>
        <v>16</v>
      </c>
      <c r="W28" s="53">
        <v>3</v>
      </c>
      <c r="X28" s="53" t="s">
        <v>39</v>
      </c>
      <c r="Y28" s="53" t="s">
        <v>88</v>
      </c>
      <c r="Z28" s="53" t="s">
        <v>78</v>
      </c>
      <c r="AA28" s="53" t="s">
        <v>86</v>
      </c>
      <c r="AB28" s="53" t="s">
        <v>331</v>
      </c>
      <c r="AV28" s="27"/>
    </row>
    <row r="29" spans="1:48" x14ac:dyDescent="0.15">
      <c r="A29" s="53" t="s">
        <v>59</v>
      </c>
      <c r="B29" s="53" t="s">
        <v>232</v>
      </c>
      <c r="C29" s="62">
        <v>2019</v>
      </c>
      <c r="D29" s="170" t="s">
        <v>283</v>
      </c>
      <c r="E29" s="53" t="s">
        <v>351</v>
      </c>
      <c r="F29" s="53" t="s">
        <v>350</v>
      </c>
      <c r="G29" s="53" t="s">
        <v>36</v>
      </c>
      <c r="H29" s="53" t="s">
        <v>164</v>
      </c>
      <c r="I29" s="53" t="s">
        <v>159</v>
      </c>
      <c r="J29" s="53" t="s">
        <v>38</v>
      </c>
      <c r="K29" s="53" t="s">
        <v>161</v>
      </c>
      <c r="L29" s="53">
        <v>1</v>
      </c>
      <c r="N29" s="53">
        <v>4</v>
      </c>
      <c r="O29" s="53">
        <v>0.39</v>
      </c>
      <c r="P29" s="53">
        <v>0.4</v>
      </c>
      <c r="Q29" s="75">
        <f t="shared" si="2"/>
        <v>0.39500000000000002</v>
      </c>
      <c r="R29" s="53">
        <v>15.4</v>
      </c>
      <c r="S29" s="53">
        <v>100</v>
      </c>
      <c r="T29" s="16">
        <f t="shared" si="0"/>
        <v>33</v>
      </c>
      <c r="U29" s="53">
        <v>398</v>
      </c>
      <c r="V29" s="16">
        <f t="shared" si="1"/>
        <v>16</v>
      </c>
      <c r="W29" s="53">
        <v>3</v>
      </c>
      <c r="X29" s="53" t="s">
        <v>39</v>
      </c>
      <c r="Y29" s="53" t="s">
        <v>88</v>
      </c>
      <c r="Z29" s="53" t="s">
        <v>78</v>
      </c>
      <c r="AA29" s="53" t="s">
        <v>86</v>
      </c>
      <c r="AB29" s="53" t="s">
        <v>331</v>
      </c>
      <c r="AV29" s="27"/>
    </row>
    <row r="30" spans="1:48" x14ac:dyDescent="0.15">
      <c r="A30" s="53" t="s">
        <v>59</v>
      </c>
      <c r="B30" s="53" t="s">
        <v>232</v>
      </c>
      <c r="C30" s="62">
        <v>2019</v>
      </c>
      <c r="D30" s="170" t="s">
        <v>283</v>
      </c>
      <c r="E30" s="53" t="s">
        <v>351</v>
      </c>
      <c r="F30" s="53" t="s">
        <v>350</v>
      </c>
      <c r="G30" s="53" t="s">
        <v>36</v>
      </c>
      <c r="H30" s="53" t="s">
        <v>164</v>
      </c>
      <c r="I30" s="53" t="s">
        <v>159</v>
      </c>
      <c r="J30" s="53" t="s">
        <v>38</v>
      </c>
      <c r="K30" s="53" t="s">
        <v>161</v>
      </c>
      <c r="L30" s="53">
        <v>2</v>
      </c>
      <c r="N30" s="53">
        <v>4</v>
      </c>
      <c r="O30" s="53">
        <v>0.26</v>
      </c>
      <c r="P30" s="53">
        <v>0.28000000000000003</v>
      </c>
      <c r="Q30" s="75">
        <f t="shared" si="2"/>
        <v>0.27</v>
      </c>
      <c r="R30" s="53">
        <v>15.6</v>
      </c>
      <c r="S30" s="53">
        <v>105</v>
      </c>
      <c r="T30" s="16">
        <f t="shared" si="0"/>
        <v>33</v>
      </c>
      <c r="U30" s="53">
        <v>398</v>
      </c>
      <c r="V30" s="16">
        <f t="shared" si="1"/>
        <v>16</v>
      </c>
      <c r="W30" s="53">
        <v>3</v>
      </c>
      <c r="X30" s="53" t="s">
        <v>39</v>
      </c>
      <c r="Y30" s="53" t="s">
        <v>88</v>
      </c>
      <c r="Z30" s="53" t="s">
        <v>78</v>
      </c>
      <c r="AA30" s="53" t="s">
        <v>86</v>
      </c>
      <c r="AB30" s="53" t="s">
        <v>331</v>
      </c>
      <c r="AV30" s="27"/>
    </row>
    <row r="31" spans="1:48" x14ac:dyDescent="0.15">
      <c r="A31" s="53" t="s">
        <v>59</v>
      </c>
      <c r="B31" s="53" t="s">
        <v>232</v>
      </c>
      <c r="C31" s="62">
        <v>2019</v>
      </c>
      <c r="D31" s="170" t="s">
        <v>283</v>
      </c>
      <c r="E31" s="53" t="s">
        <v>351</v>
      </c>
      <c r="F31" s="53" t="s">
        <v>350</v>
      </c>
      <c r="G31" s="53" t="s">
        <v>36</v>
      </c>
      <c r="H31" s="53" t="s">
        <v>164</v>
      </c>
      <c r="I31" s="53" t="s">
        <v>159</v>
      </c>
      <c r="J31" s="53" t="s">
        <v>38</v>
      </c>
      <c r="K31" s="53" t="s">
        <v>161</v>
      </c>
      <c r="L31" s="53">
        <v>3</v>
      </c>
      <c r="N31" s="53">
        <v>4</v>
      </c>
      <c r="O31" s="53">
        <v>0.37</v>
      </c>
      <c r="P31" s="53">
        <v>0.41</v>
      </c>
      <c r="Q31" s="75">
        <f t="shared" si="2"/>
        <v>0.39</v>
      </c>
      <c r="R31" s="53">
        <v>15.1</v>
      </c>
      <c r="S31" s="53">
        <v>100</v>
      </c>
      <c r="T31" s="16">
        <f t="shared" si="0"/>
        <v>33</v>
      </c>
      <c r="U31" s="53">
        <v>398</v>
      </c>
      <c r="V31" s="16">
        <f t="shared" si="1"/>
        <v>16</v>
      </c>
      <c r="W31" s="53">
        <v>3</v>
      </c>
      <c r="X31" s="53" t="s">
        <v>39</v>
      </c>
      <c r="Y31" s="53" t="s">
        <v>88</v>
      </c>
      <c r="Z31" s="53" t="s">
        <v>78</v>
      </c>
      <c r="AA31" s="53" t="s">
        <v>86</v>
      </c>
      <c r="AB31" s="53" t="s">
        <v>331</v>
      </c>
      <c r="AV31" s="27"/>
    </row>
    <row r="32" spans="1:48" x14ac:dyDescent="0.15">
      <c r="A32" s="53" t="s">
        <v>59</v>
      </c>
      <c r="B32" s="53" t="s">
        <v>232</v>
      </c>
      <c r="C32" s="62">
        <v>2019</v>
      </c>
      <c r="D32" s="170" t="s">
        <v>283</v>
      </c>
      <c r="E32" s="53" t="s">
        <v>162</v>
      </c>
      <c r="F32" s="53" t="s">
        <v>350</v>
      </c>
      <c r="G32" s="53" t="s">
        <v>36</v>
      </c>
      <c r="H32" s="53" t="s">
        <v>164</v>
      </c>
      <c r="I32" s="53" t="s">
        <v>159</v>
      </c>
      <c r="J32" s="53" t="s">
        <v>38</v>
      </c>
      <c r="K32" s="53" t="s">
        <v>161</v>
      </c>
      <c r="L32" s="53">
        <v>1</v>
      </c>
      <c r="N32" s="53">
        <v>1</v>
      </c>
      <c r="O32" s="53">
        <v>0.79</v>
      </c>
      <c r="P32" s="53">
        <v>0.89</v>
      </c>
      <c r="Q32" s="75">
        <f t="shared" si="2"/>
        <v>0.84000000000000008</v>
      </c>
      <c r="R32" s="53">
        <v>15</v>
      </c>
      <c r="S32" s="53">
        <v>153</v>
      </c>
      <c r="T32" s="16">
        <f t="shared" si="0"/>
        <v>18</v>
      </c>
      <c r="U32" s="53">
        <v>158</v>
      </c>
      <c r="V32" s="16">
        <f t="shared" si="1"/>
        <v>18</v>
      </c>
      <c r="W32" s="53">
        <v>2</v>
      </c>
      <c r="X32" s="53" t="s">
        <v>46</v>
      </c>
      <c r="Y32" s="53" t="s">
        <v>69</v>
      </c>
      <c r="Z32" s="53" t="s">
        <v>78</v>
      </c>
      <c r="AA32" s="53" t="s">
        <v>88</v>
      </c>
      <c r="AB32" s="53" t="s">
        <v>331</v>
      </c>
      <c r="AV32" s="27"/>
    </row>
    <row r="33" spans="1:48" x14ac:dyDescent="0.15">
      <c r="A33" s="53" t="s">
        <v>59</v>
      </c>
      <c r="B33" s="53" t="s">
        <v>232</v>
      </c>
      <c r="C33" s="62">
        <v>2019</v>
      </c>
      <c r="D33" s="170" t="s">
        <v>283</v>
      </c>
      <c r="E33" s="53" t="s">
        <v>162</v>
      </c>
      <c r="F33" s="53" t="s">
        <v>350</v>
      </c>
      <c r="G33" s="53" t="s">
        <v>36</v>
      </c>
      <c r="H33" s="53" t="s">
        <v>164</v>
      </c>
      <c r="I33" s="53" t="s">
        <v>159</v>
      </c>
      <c r="J33" s="53" t="s">
        <v>38</v>
      </c>
      <c r="K33" s="53" t="s">
        <v>161</v>
      </c>
      <c r="L33" s="53">
        <v>2</v>
      </c>
      <c r="N33" s="53">
        <v>1</v>
      </c>
      <c r="O33" s="53">
        <v>0.72</v>
      </c>
      <c r="P33" s="53">
        <v>0.87</v>
      </c>
      <c r="Q33" s="75">
        <f t="shared" si="2"/>
        <v>0.79499999999999993</v>
      </c>
      <c r="R33" s="53">
        <v>15.4</v>
      </c>
      <c r="S33" s="53">
        <v>150</v>
      </c>
      <c r="T33" s="16">
        <f t="shared" si="0"/>
        <v>22</v>
      </c>
      <c r="U33" s="53">
        <v>158</v>
      </c>
      <c r="V33" s="16">
        <f t="shared" si="1"/>
        <v>18</v>
      </c>
      <c r="W33" s="53">
        <v>2</v>
      </c>
      <c r="X33" s="53" t="s">
        <v>46</v>
      </c>
      <c r="Y33" s="53" t="s">
        <v>69</v>
      </c>
      <c r="Z33" s="53" t="s">
        <v>78</v>
      </c>
      <c r="AA33" s="53" t="s">
        <v>88</v>
      </c>
      <c r="AB33" s="53" t="s">
        <v>331</v>
      </c>
      <c r="AV33" s="27"/>
    </row>
    <row r="34" spans="1:48" x14ac:dyDescent="0.15">
      <c r="A34" s="53" t="s">
        <v>59</v>
      </c>
      <c r="B34" s="53" t="s">
        <v>232</v>
      </c>
      <c r="C34" s="62">
        <v>2019</v>
      </c>
      <c r="D34" s="170" t="s">
        <v>283</v>
      </c>
      <c r="E34" s="53" t="s">
        <v>162</v>
      </c>
      <c r="F34" s="53" t="s">
        <v>350</v>
      </c>
      <c r="G34" s="53" t="s">
        <v>36</v>
      </c>
      <c r="H34" s="53" t="s">
        <v>164</v>
      </c>
      <c r="I34" s="53" t="s">
        <v>159</v>
      </c>
      <c r="J34" s="53" t="s">
        <v>38</v>
      </c>
      <c r="K34" s="53" t="s">
        <v>161</v>
      </c>
      <c r="L34" s="53">
        <v>3</v>
      </c>
      <c r="N34" s="53">
        <v>1</v>
      </c>
      <c r="O34" s="53">
        <v>0.77</v>
      </c>
      <c r="P34" s="53">
        <v>0.84</v>
      </c>
      <c r="Q34" s="75">
        <f t="shared" si="2"/>
        <v>0.80499999999999994</v>
      </c>
      <c r="R34" s="53">
        <v>15.1</v>
      </c>
      <c r="S34" s="53">
        <v>156</v>
      </c>
      <c r="T34" s="16">
        <f t="shared" si="0"/>
        <v>18</v>
      </c>
      <c r="U34" s="53">
        <v>158</v>
      </c>
      <c r="V34" s="16">
        <f t="shared" si="1"/>
        <v>18</v>
      </c>
      <c r="W34" s="53">
        <v>2</v>
      </c>
      <c r="X34" s="53" t="s">
        <v>46</v>
      </c>
      <c r="Y34" s="53" t="s">
        <v>69</v>
      </c>
      <c r="Z34" s="53" t="s">
        <v>78</v>
      </c>
      <c r="AA34" s="53" t="s">
        <v>88</v>
      </c>
      <c r="AB34" s="53" t="s">
        <v>331</v>
      </c>
      <c r="AV34" s="27"/>
    </row>
    <row r="35" spans="1:48" x14ac:dyDescent="0.15">
      <c r="A35" s="53" t="s">
        <v>59</v>
      </c>
      <c r="B35" s="53" t="s">
        <v>232</v>
      </c>
      <c r="C35" s="62">
        <v>2019</v>
      </c>
      <c r="D35" s="170" t="s">
        <v>283</v>
      </c>
      <c r="E35" s="53" t="s">
        <v>347</v>
      </c>
      <c r="F35" s="53" t="s">
        <v>348</v>
      </c>
      <c r="G35" s="53" t="s">
        <v>36</v>
      </c>
      <c r="H35" s="53" t="s">
        <v>160</v>
      </c>
      <c r="I35" s="53" t="s">
        <v>159</v>
      </c>
      <c r="J35" s="53" t="s">
        <v>38</v>
      </c>
      <c r="K35" s="53" t="s">
        <v>161</v>
      </c>
      <c r="L35" s="53">
        <v>1</v>
      </c>
      <c r="N35" s="53">
        <v>3</v>
      </c>
      <c r="O35" s="53">
        <v>0.43</v>
      </c>
      <c r="P35" s="53">
        <v>0.4</v>
      </c>
      <c r="Q35" s="75">
        <f t="shared" si="2"/>
        <v>0.41500000000000004</v>
      </c>
      <c r="R35" s="53">
        <v>16.5</v>
      </c>
      <c r="S35" s="53">
        <v>134</v>
      </c>
      <c r="T35" s="16">
        <f t="shared" si="0"/>
        <v>25</v>
      </c>
      <c r="U35" s="53">
        <v>399</v>
      </c>
      <c r="V35" s="16">
        <f t="shared" si="1"/>
        <v>16</v>
      </c>
      <c r="W35" s="53">
        <v>5</v>
      </c>
      <c r="X35" s="53" t="s">
        <v>39</v>
      </c>
      <c r="Y35" s="53" t="s">
        <v>97</v>
      </c>
      <c r="Z35" s="53" t="s">
        <v>78</v>
      </c>
      <c r="AA35" s="53" t="s">
        <v>69</v>
      </c>
      <c r="AB35" s="53" t="s">
        <v>331</v>
      </c>
      <c r="AV35" s="27"/>
    </row>
    <row r="36" spans="1:48" x14ac:dyDescent="0.15">
      <c r="A36" s="53" t="s">
        <v>59</v>
      </c>
      <c r="B36" s="53" t="s">
        <v>232</v>
      </c>
      <c r="C36" s="62">
        <v>2019</v>
      </c>
      <c r="D36" s="170" t="s">
        <v>283</v>
      </c>
      <c r="E36" s="53" t="s">
        <v>347</v>
      </c>
      <c r="F36" s="53" t="s">
        <v>348</v>
      </c>
      <c r="G36" s="53" t="s">
        <v>36</v>
      </c>
      <c r="H36" s="53" t="s">
        <v>160</v>
      </c>
      <c r="I36" s="53" t="s">
        <v>159</v>
      </c>
      <c r="J36" s="53" t="s">
        <v>38</v>
      </c>
      <c r="K36" s="53" t="s">
        <v>161</v>
      </c>
      <c r="L36" s="53">
        <v>2</v>
      </c>
      <c r="N36" s="53">
        <v>3</v>
      </c>
      <c r="O36" s="53">
        <v>0.36</v>
      </c>
      <c r="P36" s="53">
        <v>0.4</v>
      </c>
      <c r="Q36" s="75">
        <f t="shared" si="2"/>
        <v>0.38</v>
      </c>
      <c r="R36" s="53">
        <v>16.7</v>
      </c>
      <c r="S36" s="53">
        <v>138</v>
      </c>
      <c r="T36" s="16">
        <f t="shared" si="0"/>
        <v>22</v>
      </c>
      <c r="U36" s="53">
        <v>399</v>
      </c>
      <c r="V36" s="16">
        <f t="shared" si="1"/>
        <v>16</v>
      </c>
      <c r="W36" s="53">
        <v>5</v>
      </c>
      <c r="X36" s="53" t="s">
        <v>39</v>
      </c>
      <c r="Y36" s="53" t="s">
        <v>97</v>
      </c>
      <c r="Z36" s="53" t="s">
        <v>78</v>
      </c>
      <c r="AA36" s="53" t="s">
        <v>69</v>
      </c>
      <c r="AB36" s="53" t="s">
        <v>331</v>
      </c>
      <c r="AV36" s="27"/>
    </row>
    <row r="37" spans="1:48" x14ac:dyDescent="0.15">
      <c r="A37" s="53" t="s">
        <v>59</v>
      </c>
      <c r="B37" s="53" t="s">
        <v>232</v>
      </c>
      <c r="C37" s="62">
        <v>2019</v>
      </c>
      <c r="D37" s="170" t="s">
        <v>283</v>
      </c>
      <c r="E37" s="53" t="s">
        <v>347</v>
      </c>
      <c r="F37" s="53" t="s">
        <v>348</v>
      </c>
      <c r="G37" s="53" t="s">
        <v>36</v>
      </c>
      <c r="H37" s="53" t="s">
        <v>160</v>
      </c>
      <c r="I37" s="53" t="s">
        <v>159</v>
      </c>
      <c r="J37" s="53" t="s">
        <v>38</v>
      </c>
      <c r="K37" s="53" t="s">
        <v>161</v>
      </c>
      <c r="L37" s="53">
        <v>3</v>
      </c>
      <c r="N37" s="53">
        <v>3</v>
      </c>
      <c r="O37" s="53">
        <v>0.44</v>
      </c>
      <c r="P37" s="53">
        <v>0.41</v>
      </c>
      <c r="Q37" s="75">
        <f t="shared" si="2"/>
        <v>0.42499999999999999</v>
      </c>
      <c r="R37" s="53">
        <v>16.899999999999999</v>
      </c>
      <c r="S37" s="53">
        <v>137</v>
      </c>
      <c r="T37" s="16">
        <f t="shared" si="0"/>
        <v>25</v>
      </c>
      <c r="U37" s="53">
        <v>399</v>
      </c>
      <c r="V37" s="16">
        <f t="shared" si="1"/>
        <v>16</v>
      </c>
      <c r="W37" s="53">
        <v>5</v>
      </c>
      <c r="X37" s="53" t="s">
        <v>39</v>
      </c>
      <c r="Y37" s="53" t="s">
        <v>97</v>
      </c>
      <c r="Z37" s="53" t="s">
        <v>78</v>
      </c>
      <c r="AA37" s="53" t="s">
        <v>69</v>
      </c>
      <c r="AB37" s="53" t="s">
        <v>331</v>
      </c>
      <c r="AV37" s="27"/>
    </row>
    <row r="38" spans="1:48" x14ac:dyDescent="0.15">
      <c r="A38" s="53" t="s">
        <v>59</v>
      </c>
      <c r="B38" s="53" t="s">
        <v>232</v>
      </c>
      <c r="C38" s="62">
        <v>2019</v>
      </c>
      <c r="D38" s="170" t="s">
        <v>283</v>
      </c>
      <c r="E38" s="53" t="s">
        <v>347</v>
      </c>
      <c r="F38" s="53" t="s">
        <v>348</v>
      </c>
      <c r="G38" s="53" t="s">
        <v>36</v>
      </c>
      <c r="H38" s="53" t="s">
        <v>164</v>
      </c>
      <c r="I38" s="53" t="s">
        <v>159</v>
      </c>
      <c r="J38" s="53" t="s">
        <v>38</v>
      </c>
      <c r="K38" s="53" t="s">
        <v>161</v>
      </c>
      <c r="L38" s="53">
        <v>1</v>
      </c>
      <c r="N38" s="53">
        <v>3</v>
      </c>
      <c r="O38" s="53">
        <v>0.55000000000000004</v>
      </c>
      <c r="P38" s="53">
        <v>0.6</v>
      </c>
      <c r="Q38" s="75">
        <f t="shared" si="2"/>
        <v>0.57499999999999996</v>
      </c>
      <c r="R38" s="53">
        <v>15</v>
      </c>
      <c r="S38" s="53">
        <v>134</v>
      </c>
      <c r="T38" s="16">
        <f t="shared" si="0"/>
        <v>25</v>
      </c>
      <c r="U38" s="53">
        <v>350</v>
      </c>
      <c r="V38" s="16">
        <f t="shared" si="1"/>
        <v>16</v>
      </c>
      <c r="W38" s="53">
        <v>7</v>
      </c>
      <c r="X38" s="53" t="s">
        <v>39</v>
      </c>
      <c r="Y38" s="53" t="s">
        <v>97</v>
      </c>
      <c r="Z38" s="53" t="s">
        <v>78</v>
      </c>
      <c r="AA38" s="53" t="s">
        <v>69</v>
      </c>
      <c r="AB38" s="53" t="s">
        <v>331</v>
      </c>
      <c r="AV38" s="27"/>
    </row>
    <row r="39" spans="1:48" x14ac:dyDescent="0.15">
      <c r="A39" s="53" t="s">
        <v>59</v>
      </c>
      <c r="B39" s="53" t="s">
        <v>232</v>
      </c>
      <c r="C39" s="62">
        <v>2019</v>
      </c>
      <c r="D39" s="170" t="s">
        <v>283</v>
      </c>
      <c r="E39" s="53" t="s">
        <v>347</v>
      </c>
      <c r="F39" s="53" t="s">
        <v>348</v>
      </c>
      <c r="G39" s="53" t="s">
        <v>36</v>
      </c>
      <c r="H39" s="53" t="s">
        <v>164</v>
      </c>
      <c r="I39" s="53" t="s">
        <v>159</v>
      </c>
      <c r="J39" s="53" t="s">
        <v>38</v>
      </c>
      <c r="K39" s="53" t="s">
        <v>161</v>
      </c>
      <c r="L39" s="53">
        <v>2</v>
      </c>
      <c r="N39" s="53">
        <v>3</v>
      </c>
      <c r="O39" s="53">
        <v>0.8</v>
      </c>
      <c r="P39" s="53">
        <v>0.84</v>
      </c>
      <c r="Q39" s="75">
        <f t="shared" si="2"/>
        <v>0.82000000000000006</v>
      </c>
      <c r="R39" s="53">
        <v>13.9</v>
      </c>
      <c r="S39" s="53">
        <v>135</v>
      </c>
      <c r="T39" s="16">
        <f t="shared" si="0"/>
        <v>25</v>
      </c>
      <c r="U39" s="53">
        <v>350</v>
      </c>
      <c r="V39" s="16">
        <f t="shared" si="1"/>
        <v>16</v>
      </c>
      <c r="W39" s="53">
        <v>7</v>
      </c>
      <c r="X39" s="53" t="s">
        <v>39</v>
      </c>
      <c r="Y39" s="53" t="s">
        <v>97</v>
      </c>
      <c r="Z39" s="53" t="s">
        <v>78</v>
      </c>
      <c r="AA39" s="53" t="s">
        <v>69</v>
      </c>
      <c r="AB39" s="53" t="s">
        <v>331</v>
      </c>
      <c r="AV39" s="27"/>
    </row>
    <row r="40" spans="1:48" x14ac:dyDescent="0.15">
      <c r="A40" s="53" t="s">
        <v>59</v>
      </c>
      <c r="B40" s="53" t="s">
        <v>232</v>
      </c>
      <c r="C40" s="62">
        <v>2019</v>
      </c>
      <c r="D40" s="170" t="s">
        <v>283</v>
      </c>
      <c r="E40" s="53" t="s">
        <v>347</v>
      </c>
      <c r="F40" s="53" t="s">
        <v>348</v>
      </c>
      <c r="G40" s="53" t="s">
        <v>36</v>
      </c>
      <c r="H40" s="53" t="s">
        <v>164</v>
      </c>
      <c r="I40" s="53" t="s">
        <v>159</v>
      </c>
      <c r="J40" s="53" t="s">
        <v>38</v>
      </c>
      <c r="K40" s="53" t="s">
        <v>161</v>
      </c>
      <c r="L40" s="53">
        <v>3</v>
      </c>
      <c r="N40" s="53">
        <v>3</v>
      </c>
      <c r="O40" s="53">
        <v>0.62</v>
      </c>
      <c r="P40" s="53">
        <v>0.57999999999999996</v>
      </c>
      <c r="Q40" s="75">
        <f t="shared" si="2"/>
        <v>0.6</v>
      </c>
      <c r="R40" s="53">
        <v>13.8</v>
      </c>
      <c r="S40" s="53">
        <v>128</v>
      </c>
      <c r="T40" s="16">
        <f t="shared" si="0"/>
        <v>27</v>
      </c>
      <c r="U40" s="53">
        <v>350</v>
      </c>
      <c r="V40" s="16">
        <f t="shared" si="1"/>
        <v>16</v>
      </c>
      <c r="W40" s="53">
        <v>7</v>
      </c>
      <c r="X40" s="53" t="s">
        <v>39</v>
      </c>
      <c r="Y40" s="53" t="s">
        <v>97</v>
      </c>
      <c r="Z40" s="53" t="s">
        <v>78</v>
      </c>
      <c r="AA40" s="53" t="s">
        <v>69</v>
      </c>
      <c r="AB40" s="53" t="s">
        <v>331</v>
      </c>
      <c r="AV40" s="27"/>
    </row>
    <row r="41" spans="1:48" x14ac:dyDescent="0.15">
      <c r="A41" s="53" t="s">
        <v>59</v>
      </c>
      <c r="B41" s="53" t="s">
        <v>232</v>
      </c>
      <c r="C41" s="62">
        <v>2019</v>
      </c>
      <c r="D41" s="170" t="s">
        <v>283</v>
      </c>
      <c r="E41" s="53" t="s">
        <v>338</v>
      </c>
      <c r="F41" s="53" t="s">
        <v>339</v>
      </c>
      <c r="G41" s="53" t="s">
        <v>36</v>
      </c>
      <c r="H41" s="53" t="s">
        <v>160</v>
      </c>
      <c r="I41" s="53" t="s">
        <v>159</v>
      </c>
      <c r="J41" s="53" t="s">
        <v>38</v>
      </c>
      <c r="K41" s="53" t="s">
        <v>161</v>
      </c>
      <c r="L41" s="53">
        <v>1</v>
      </c>
      <c r="N41" s="53">
        <v>4</v>
      </c>
      <c r="O41" s="53">
        <v>0.35</v>
      </c>
      <c r="P41" s="53">
        <v>0.34</v>
      </c>
      <c r="Q41" s="75">
        <f t="shared" si="2"/>
        <v>0.34499999999999997</v>
      </c>
      <c r="R41" s="53">
        <v>16.399999999999999</v>
      </c>
      <c r="S41" s="53">
        <v>108</v>
      </c>
      <c r="T41" s="16">
        <f t="shared" si="0"/>
        <v>33</v>
      </c>
      <c r="U41" s="53">
        <v>486</v>
      </c>
      <c r="V41" s="16">
        <f t="shared" si="1"/>
        <v>16</v>
      </c>
      <c r="W41" s="53">
        <v>3</v>
      </c>
      <c r="X41" s="53" t="s">
        <v>46</v>
      </c>
      <c r="Y41" s="53" t="s">
        <v>69</v>
      </c>
      <c r="Z41" s="53" t="s">
        <v>97</v>
      </c>
      <c r="AA41" s="53" t="s">
        <v>55</v>
      </c>
      <c r="AB41" s="53" t="s">
        <v>331</v>
      </c>
      <c r="AV41" s="27"/>
    </row>
    <row r="42" spans="1:48" x14ac:dyDescent="0.15">
      <c r="A42" s="53" t="s">
        <v>59</v>
      </c>
      <c r="B42" s="53" t="s">
        <v>232</v>
      </c>
      <c r="C42" s="62">
        <v>2019</v>
      </c>
      <c r="D42" s="170" t="s">
        <v>283</v>
      </c>
      <c r="E42" s="53" t="s">
        <v>338</v>
      </c>
      <c r="F42" s="53" t="s">
        <v>339</v>
      </c>
      <c r="G42" s="53" t="s">
        <v>36</v>
      </c>
      <c r="H42" s="53" t="s">
        <v>160</v>
      </c>
      <c r="I42" s="53" t="s">
        <v>159</v>
      </c>
      <c r="J42" s="53" t="s">
        <v>38</v>
      </c>
      <c r="K42" s="53" t="s">
        <v>161</v>
      </c>
      <c r="L42" s="53">
        <v>2</v>
      </c>
      <c r="N42" s="53">
        <v>4</v>
      </c>
      <c r="O42" s="53">
        <v>0.34</v>
      </c>
      <c r="P42" s="53">
        <v>0.42</v>
      </c>
      <c r="Q42" s="75">
        <f t="shared" si="2"/>
        <v>0.38</v>
      </c>
      <c r="R42" s="53">
        <v>15.3</v>
      </c>
      <c r="S42" s="53">
        <v>104</v>
      </c>
      <c r="T42" s="16">
        <f t="shared" si="0"/>
        <v>33</v>
      </c>
      <c r="U42" s="53">
        <v>486</v>
      </c>
      <c r="V42" s="16">
        <f t="shared" si="1"/>
        <v>16</v>
      </c>
      <c r="W42" s="53">
        <v>3</v>
      </c>
      <c r="X42" s="53" t="s">
        <v>46</v>
      </c>
      <c r="Y42" s="53" t="s">
        <v>69</v>
      </c>
      <c r="Z42" s="53" t="s">
        <v>97</v>
      </c>
      <c r="AA42" s="53" t="s">
        <v>55</v>
      </c>
      <c r="AB42" s="53" t="s">
        <v>331</v>
      </c>
      <c r="AV42" s="27"/>
    </row>
    <row r="43" spans="1:48" x14ac:dyDescent="0.15">
      <c r="A43" s="53" t="s">
        <v>59</v>
      </c>
      <c r="B43" s="53" t="s">
        <v>232</v>
      </c>
      <c r="C43" s="62">
        <v>2019</v>
      </c>
      <c r="D43" s="170" t="s">
        <v>283</v>
      </c>
      <c r="E43" s="53" t="s">
        <v>338</v>
      </c>
      <c r="F43" s="53" t="s">
        <v>339</v>
      </c>
      <c r="G43" s="53" t="s">
        <v>36</v>
      </c>
      <c r="H43" s="53" t="s">
        <v>160</v>
      </c>
      <c r="I43" s="53" t="s">
        <v>159</v>
      </c>
      <c r="J43" s="53" t="s">
        <v>38</v>
      </c>
      <c r="K43" s="53" t="s">
        <v>161</v>
      </c>
      <c r="L43" s="53">
        <v>3</v>
      </c>
      <c r="N43" s="53">
        <v>4</v>
      </c>
      <c r="O43" s="53">
        <v>0.37</v>
      </c>
      <c r="P43" s="53">
        <v>0.45</v>
      </c>
      <c r="Q43" s="75">
        <f t="shared" si="2"/>
        <v>0.41000000000000003</v>
      </c>
      <c r="R43" s="53">
        <v>15</v>
      </c>
      <c r="S43" s="53">
        <v>100</v>
      </c>
      <c r="T43" s="16">
        <f t="shared" si="0"/>
        <v>33</v>
      </c>
      <c r="U43" s="53">
        <v>486</v>
      </c>
      <c r="V43" s="16">
        <f t="shared" si="1"/>
        <v>16</v>
      </c>
      <c r="W43" s="53">
        <v>3</v>
      </c>
      <c r="X43" s="53" t="s">
        <v>46</v>
      </c>
      <c r="Y43" s="53" t="s">
        <v>69</v>
      </c>
      <c r="Z43" s="53" t="s">
        <v>97</v>
      </c>
      <c r="AA43" s="53" t="s">
        <v>55</v>
      </c>
      <c r="AB43" s="53" t="s">
        <v>331</v>
      </c>
      <c r="AV43" s="27"/>
    </row>
    <row r="44" spans="1:48" x14ac:dyDescent="0.15">
      <c r="A44" s="53" t="s">
        <v>59</v>
      </c>
      <c r="B44" s="53" t="s">
        <v>232</v>
      </c>
      <c r="C44" s="62">
        <v>2019</v>
      </c>
      <c r="D44" s="170" t="s">
        <v>283</v>
      </c>
      <c r="E44" s="53" t="s">
        <v>338</v>
      </c>
      <c r="F44" s="53" t="s">
        <v>339</v>
      </c>
      <c r="G44" s="53" t="s">
        <v>36</v>
      </c>
      <c r="H44" s="53" t="s">
        <v>164</v>
      </c>
      <c r="I44" s="53" t="s">
        <v>159</v>
      </c>
      <c r="J44" s="53" t="s">
        <v>38</v>
      </c>
      <c r="K44" s="53" t="s">
        <v>161</v>
      </c>
      <c r="L44" s="53">
        <v>1</v>
      </c>
      <c r="N44" s="53">
        <v>5</v>
      </c>
      <c r="O44" s="53">
        <v>0.55000000000000004</v>
      </c>
      <c r="P44" s="53">
        <v>0.62</v>
      </c>
      <c r="Q44" s="75">
        <f t="shared" si="2"/>
        <v>0.58499999999999996</v>
      </c>
      <c r="R44" s="53">
        <v>14.3</v>
      </c>
      <c r="S44" s="53">
        <v>83</v>
      </c>
      <c r="T44" s="16">
        <f t="shared" si="0"/>
        <v>39</v>
      </c>
      <c r="U44" s="53">
        <v>378</v>
      </c>
      <c r="V44" s="16">
        <f t="shared" si="1"/>
        <v>16</v>
      </c>
      <c r="W44" s="53">
        <v>3</v>
      </c>
      <c r="X44" s="53" t="s">
        <v>46</v>
      </c>
      <c r="Y44" s="53" t="s">
        <v>69</v>
      </c>
      <c r="Z44" s="53" t="s">
        <v>97</v>
      </c>
      <c r="AA44" s="53" t="s">
        <v>55</v>
      </c>
      <c r="AB44" s="53" t="s">
        <v>331</v>
      </c>
      <c r="AV44" s="27"/>
    </row>
    <row r="45" spans="1:48" x14ac:dyDescent="0.15">
      <c r="A45" s="53" t="s">
        <v>59</v>
      </c>
      <c r="B45" s="53" t="s">
        <v>232</v>
      </c>
      <c r="C45" s="62">
        <v>2019</v>
      </c>
      <c r="D45" s="170" t="s">
        <v>283</v>
      </c>
      <c r="E45" s="53" t="s">
        <v>338</v>
      </c>
      <c r="F45" s="53" t="s">
        <v>339</v>
      </c>
      <c r="G45" s="53" t="s">
        <v>36</v>
      </c>
      <c r="H45" s="53" t="s">
        <v>164</v>
      </c>
      <c r="I45" s="53" t="s">
        <v>159</v>
      </c>
      <c r="J45" s="53" t="s">
        <v>38</v>
      </c>
      <c r="K45" s="53" t="s">
        <v>161</v>
      </c>
      <c r="L45" s="53">
        <v>2</v>
      </c>
      <c r="N45" s="53">
        <v>5</v>
      </c>
      <c r="O45" s="53">
        <v>0.45</v>
      </c>
      <c r="P45" s="53">
        <v>0.49</v>
      </c>
      <c r="Q45" s="75">
        <f t="shared" si="2"/>
        <v>0.47</v>
      </c>
      <c r="R45" s="53">
        <v>13.1</v>
      </c>
      <c r="S45" s="53">
        <v>80</v>
      </c>
      <c r="T45" s="16">
        <f t="shared" si="0"/>
        <v>39</v>
      </c>
      <c r="U45" s="53">
        <v>378</v>
      </c>
      <c r="V45" s="16">
        <f t="shared" si="1"/>
        <v>16</v>
      </c>
      <c r="W45" s="53">
        <v>3</v>
      </c>
      <c r="X45" s="53" t="s">
        <v>46</v>
      </c>
      <c r="Y45" s="53" t="s">
        <v>69</v>
      </c>
      <c r="Z45" s="53" t="s">
        <v>97</v>
      </c>
      <c r="AA45" s="53" t="s">
        <v>55</v>
      </c>
      <c r="AB45" s="53" t="s">
        <v>331</v>
      </c>
      <c r="AV45" s="27"/>
    </row>
    <row r="46" spans="1:48" x14ac:dyDescent="0.15">
      <c r="A46" s="53" t="s">
        <v>59</v>
      </c>
      <c r="B46" s="53" t="s">
        <v>232</v>
      </c>
      <c r="C46" s="62">
        <v>2019</v>
      </c>
      <c r="D46" s="170" t="s">
        <v>283</v>
      </c>
      <c r="E46" s="53" t="s">
        <v>338</v>
      </c>
      <c r="F46" s="53" t="s">
        <v>339</v>
      </c>
      <c r="G46" s="53" t="s">
        <v>36</v>
      </c>
      <c r="H46" s="53" t="s">
        <v>164</v>
      </c>
      <c r="I46" s="53" t="s">
        <v>159</v>
      </c>
      <c r="J46" s="53" t="s">
        <v>38</v>
      </c>
      <c r="K46" s="53" t="s">
        <v>161</v>
      </c>
      <c r="L46" s="53">
        <v>3</v>
      </c>
      <c r="N46" s="53">
        <v>5</v>
      </c>
      <c r="O46" s="53">
        <v>0.59</v>
      </c>
      <c r="P46" s="53">
        <v>0.52</v>
      </c>
      <c r="Q46" s="75">
        <f t="shared" si="2"/>
        <v>0.55499999999999994</v>
      </c>
      <c r="R46" s="53">
        <v>13.8</v>
      </c>
      <c r="S46" s="53">
        <v>80</v>
      </c>
      <c r="T46" s="16">
        <f t="shared" si="0"/>
        <v>39</v>
      </c>
      <c r="U46" s="53">
        <v>378</v>
      </c>
      <c r="V46" s="16">
        <f t="shared" si="1"/>
        <v>16</v>
      </c>
      <c r="W46" s="53">
        <v>3</v>
      </c>
      <c r="X46" s="53" t="s">
        <v>46</v>
      </c>
      <c r="Y46" s="53" t="s">
        <v>69</v>
      </c>
      <c r="Z46" s="53" t="s">
        <v>97</v>
      </c>
      <c r="AA46" s="53" t="s">
        <v>55</v>
      </c>
      <c r="AB46" s="53" t="s">
        <v>331</v>
      </c>
      <c r="AV46" s="27"/>
    </row>
    <row r="47" spans="1:48" x14ac:dyDescent="0.15">
      <c r="A47" s="53" t="s">
        <v>59</v>
      </c>
      <c r="B47" s="53" t="s">
        <v>232</v>
      </c>
      <c r="C47" s="62">
        <v>2019</v>
      </c>
      <c r="D47" s="170" t="s">
        <v>283</v>
      </c>
      <c r="E47" s="53" t="s">
        <v>354</v>
      </c>
      <c r="F47" s="53" t="s">
        <v>355</v>
      </c>
      <c r="G47" s="53" t="s">
        <v>36</v>
      </c>
      <c r="H47" s="53" t="s">
        <v>160</v>
      </c>
      <c r="I47" s="53" t="s">
        <v>159</v>
      </c>
      <c r="J47" s="53" t="s">
        <v>38</v>
      </c>
      <c r="K47" s="53" t="s">
        <v>161</v>
      </c>
      <c r="L47" s="53">
        <v>1</v>
      </c>
      <c r="N47" s="53">
        <v>4</v>
      </c>
      <c r="O47" s="53">
        <v>0.38</v>
      </c>
      <c r="P47" s="53">
        <v>0.43</v>
      </c>
      <c r="Q47" s="75">
        <f t="shared" si="2"/>
        <v>0.40500000000000003</v>
      </c>
      <c r="R47" s="53">
        <v>16.399999999999999</v>
      </c>
      <c r="S47" s="53">
        <v>130</v>
      </c>
      <c r="T47" s="16">
        <f t="shared" si="0"/>
        <v>25</v>
      </c>
      <c r="U47" s="53">
        <v>458</v>
      </c>
      <c r="V47" s="16">
        <f t="shared" si="1"/>
        <v>16</v>
      </c>
      <c r="W47" s="53">
        <v>4</v>
      </c>
      <c r="X47" s="53" t="s">
        <v>46</v>
      </c>
      <c r="Y47" s="53" t="s">
        <v>88</v>
      </c>
      <c r="Z47" s="53" t="s">
        <v>78</v>
      </c>
      <c r="AA47" s="53" t="s">
        <v>55</v>
      </c>
      <c r="AB47" s="53" t="s">
        <v>331</v>
      </c>
      <c r="AV47" s="27"/>
    </row>
    <row r="48" spans="1:48" x14ac:dyDescent="0.15">
      <c r="A48" s="53" t="s">
        <v>59</v>
      </c>
      <c r="B48" s="53" t="s">
        <v>232</v>
      </c>
      <c r="C48" s="62">
        <v>2019</v>
      </c>
      <c r="D48" s="170" t="s">
        <v>283</v>
      </c>
      <c r="E48" s="53" t="s">
        <v>354</v>
      </c>
      <c r="F48" s="53" t="s">
        <v>355</v>
      </c>
      <c r="G48" s="53" t="s">
        <v>36</v>
      </c>
      <c r="H48" s="53" t="s">
        <v>160</v>
      </c>
      <c r="I48" s="53" t="s">
        <v>159</v>
      </c>
      <c r="J48" s="53" t="s">
        <v>38</v>
      </c>
      <c r="K48" s="53" t="s">
        <v>161</v>
      </c>
      <c r="L48" s="53">
        <v>2</v>
      </c>
      <c r="N48" s="53">
        <v>4</v>
      </c>
      <c r="O48" s="53">
        <v>0.3</v>
      </c>
      <c r="P48" s="53">
        <v>0.38</v>
      </c>
      <c r="Q48" s="75">
        <f t="shared" si="2"/>
        <v>0.33999999999999997</v>
      </c>
      <c r="R48" s="53">
        <v>16.7</v>
      </c>
      <c r="S48" s="53">
        <v>135</v>
      </c>
      <c r="T48" s="16">
        <f t="shared" si="0"/>
        <v>25</v>
      </c>
      <c r="U48" s="53">
        <v>458</v>
      </c>
      <c r="V48" s="16">
        <f t="shared" si="1"/>
        <v>16</v>
      </c>
      <c r="W48" s="53">
        <v>4</v>
      </c>
      <c r="X48" s="53" t="s">
        <v>46</v>
      </c>
      <c r="Y48" s="53" t="s">
        <v>88</v>
      </c>
      <c r="Z48" s="53" t="s">
        <v>78</v>
      </c>
      <c r="AA48" s="53" t="s">
        <v>55</v>
      </c>
      <c r="AB48" s="53" t="s">
        <v>331</v>
      </c>
      <c r="AV48" s="27"/>
    </row>
    <row r="49" spans="1:48" x14ac:dyDescent="0.15">
      <c r="A49" s="53" t="s">
        <v>59</v>
      </c>
      <c r="B49" s="53" t="s">
        <v>232</v>
      </c>
      <c r="C49" s="62">
        <v>2019</v>
      </c>
      <c r="D49" s="170" t="s">
        <v>283</v>
      </c>
      <c r="E49" s="53" t="s">
        <v>354</v>
      </c>
      <c r="F49" s="53" t="s">
        <v>355</v>
      </c>
      <c r="G49" s="53" t="s">
        <v>36</v>
      </c>
      <c r="H49" s="53" t="s">
        <v>160</v>
      </c>
      <c r="I49" s="53" t="s">
        <v>159</v>
      </c>
      <c r="J49" s="53" t="s">
        <v>38</v>
      </c>
      <c r="K49" s="53" t="s">
        <v>161</v>
      </c>
      <c r="L49" s="53">
        <v>3</v>
      </c>
      <c r="N49" s="53">
        <v>4</v>
      </c>
      <c r="O49" s="53">
        <v>0.4</v>
      </c>
      <c r="P49" s="53">
        <v>0.35</v>
      </c>
      <c r="Q49" s="75">
        <f t="shared" si="2"/>
        <v>0.375</v>
      </c>
      <c r="R49" s="53">
        <v>17.2</v>
      </c>
      <c r="S49" s="53">
        <v>139</v>
      </c>
      <c r="T49" s="16">
        <f t="shared" si="0"/>
        <v>22</v>
      </c>
      <c r="U49" s="53">
        <v>458</v>
      </c>
      <c r="V49" s="16">
        <f t="shared" si="1"/>
        <v>16</v>
      </c>
      <c r="W49" s="53">
        <v>4</v>
      </c>
      <c r="X49" s="53" t="s">
        <v>46</v>
      </c>
      <c r="Y49" s="53" t="s">
        <v>88</v>
      </c>
      <c r="Z49" s="53" t="s">
        <v>78</v>
      </c>
      <c r="AA49" s="53" t="s">
        <v>55</v>
      </c>
      <c r="AB49" s="53" t="s">
        <v>331</v>
      </c>
      <c r="AV49" s="27"/>
    </row>
    <row r="50" spans="1:48" x14ac:dyDescent="0.15">
      <c r="A50" s="53" t="s">
        <v>59</v>
      </c>
      <c r="B50" s="53" t="s">
        <v>232</v>
      </c>
      <c r="C50" s="62">
        <v>2019</v>
      </c>
      <c r="D50" s="170" t="s">
        <v>283</v>
      </c>
      <c r="E50" s="53" t="s">
        <v>354</v>
      </c>
      <c r="F50" s="53" t="s">
        <v>355</v>
      </c>
      <c r="G50" s="53" t="s">
        <v>36</v>
      </c>
      <c r="H50" s="53" t="s">
        <v>164</v>
      </c>
      <c r="I50" s="53" t="s">
        <v>159</v>
      </c>
      <c r="J50" s="53" t="s">
        <v>38</v>
      </c>
      <c r="K50" s="53" t="s">
        <v>161</v>
      </c>
      <c r="L50" s="53">
        <v>1</v>
      </c>
      <c r="N50" s="53">
        <v>4</v>
      </c>
      <c r="O50" s="53">
        <v>0.56999999999999995</v>
      </c>
      <c r="P50" s="53">
        <v>0.56999999999999995</v>
      </c>
      <c r="Q50" s="75">
        <f t="shared" si="2"/>
        <v>0.56999999999999995</v>
      </c>
      <c r="R50" s="53">
        <v>15.8</v>
      </c>
      <c r="S50" s="53">
        <v>135</v>
      </c>
      <c r="T50" s="16">
        <f t="shared" si="0"/>
        <v>25</v>
      </c>
      <c r="U50" s="53">
        <v>358</v>
      </c>
      <c r="V50" s="16">
        <f t="shared" si="1"/>
        <v>16</v>
      </c>
      <c r="W50" s="53">
        <v>4</v>
      </c>
      <c r="X50" s="53" t="s">
        <v>46</v>
      </c>
      <c r="Y50" s="53" t="s">
        <v>88</v>
      </c>
      <c r="Z50" s="53" t="s">
        <v>78</v>
      </c>
      <c r="AA50" s="53" t="s">
        <v>55</v>
      </c>
      <c r="AB50" s="53" t="s">
        <v>331</v>
      </c>
      <c r="AV50" s="27"/>
    </row>
    <row r="51" spans="1:48" x14ac:dyDescent="0.15">
      <c r="A51" s="53" t="s">
        <v>59</v>
      </c>
      <c r="B51" s="53" t="s">
        <v>232</v>
      </c>
      <c r="C51" s="62">
        <v>2019</v>
      </c>
      <c r="D51" s="170" t="s">
        <v>283</v>
      </c>
      <c r="E51" s="53" t="s">
        <v>354</v>
      </c>
      <c r="F51" s="53" t="s">
        <v>355</v>
      </c>
      <c r="G51" s="53" t="s">
        <v>36</v>
      </c>
      <c r="H51" s="53" t="s">
        <v>164</v>
      </c>
      <c r="I51" s="53" t="s">
        <v>159</v>
      </c>
      <c r="J51" s="53" t="s">
        <v>38</v>
      </c>
      <c r="K51" s="53" t="s">
        <v>161</v>
      </c>
      <c r="L51" s="53">
        <v>2</v>
      </c>
      <c r="N51" s="53">
        <v>4</v>
      </c>
      <c r="O51" s="53">
        <v>0.4</v>
      </c>
      <c r="P51" s="53">
        <v>0.38</v>
      </c>
      <c r="Q51" s="75">
        <f t="shared" si="2"/>
        <v>0.39</v>
      </c>
      <c r="R51" s="53">
        <v>16.100000000000001</v>
      </c>
      <c r="S51" s="53">
        <v>134</v>
      </c>
      <c r="T51" s="16">
        <f t="shared" si="0"/>
        <v>25</v>
      </c>
      <c r="U51" s="53">
        <v>358</v>
      </c>
      <c r="V51" s="16">
        <f t="shared" si="1"/>
        <v>16</v>
      </c>
      <c r="W51" s="53">
        <v>4</v>
      </c>
      <c r="X51" s="53" t="s">
        <v>46</v>
      </c>
      <c r="Y51" s="53" t="s">
        <v>88</v>
      </c>
      <c r="Z51" s="53" t="s">
        <v>78</v>
      </c>
      <c r="AA51" s="53" t="s">
        <v>55</v>
      </c>
      <c r="AB51" s="53" t="s">
        <v>331</v>
      </c>
      <c r="AV51" s="27"/>
    </row>
    <row r="52" spans="1:48" x14ac:dyDescent="0.15">
      <c r="A52" s="53" t="s">
        <v>59</v>
      </c>
      <c r="B52" s="53" t="s">
        <v>232</v>
      </c>
      <c r="C52" s="62">
        <v>2019</v>
      </c>
      <c r="D52" s="170" t="s">
        <v>283</v>
      </c>
      <c r="E52" s="53" t="s">
        <v>354</v>
      </c>
      <c r="F52" s="53" t="s">
        <v>355</v>
      </c>
      <c r="G52" s="53" t="s">
        <v>36</v>
      </c>
      <c r="H52" s="53" t="s">
        <v>164</v>
      </c>
      <c r="I52" s="53" t="s">
        <v>159</v>
      </c>
      <c r="J52" s="53" t="s">
        <v>38</v>
      </c>
      <c r="K52" s="53" t="s">
        <v>161</v>
      </c>
      <c r="L52" s="53">
        <v>3</v>
      </c>
      <c r="N52" s="53">
        <v>4</v>
      </c>
      <c r="O52" s="53">
        <v>0.51</v>
      </c>
      <c r="P52" s="53">
        <v>0.55000000000000004</v>
      </c>
      <c r="Q52" s="75">
        <f t="shared" si="2"/>
        <v>0.53</v>
      </c>
      <c r="R52" s="53">
        <v>15.7</v>
      </c>
      <c r="S52" s="53">
        <v>134</v>
      </c>
      <c r="T52" s="16">
        <f t="shared" si="0"/>
        <v>25</v>
      </c>
      <c r="U52" s="53">
        <v>358</v>
      </c>
      <c r="V52" s="16">
        <f t="shared" si="1"/>
        <v>16</v>
      </c>
      <c r="W52" s="53">
        <v>4</v>
      </c>
      <c r="X52" s="53" t="s">
        <v>46</v>
      </c>
      <c r="Y52" s="53" t="s">
        <v>88</v>
      </c>
      <c r="Z52" s="53" t="s">
        <v>78</v>
      </c>
      <c r="AA52" s="53" t="s">
        <v>55</v>
      </c>
      <c r="AB52" s="53" t="s">
        <v>331</v>
      </c>
      <c r="AV52" s="27"/>
    </row>
    <row r="53" spans="1:48" x14ac:dyDescent="0.15">
      <c r="A53" s="53" t="s">
        <v>59</v>
      </c>
      <c r="B53" s="53" t="s">
        <v>232</v>
      </c>
      <c r="C53" s="62">
        <v>2019</v>
      </c>
      <c r="D53" s="170" t="s">
        <v>283</v>
      </c>
      <c r="E53" s="53" t="s">
        <v>344</v>
      </c>
      <c r="F53" s="53" t="s">
        <v>345</v>
      </c>
      <c r="G53" s="53" t="s">
        <v>36</v>
      </c>
      <c r="H53" s="53" t="s">
        <v>160</v>
      </c>
      <c r="I53" s="53" t="s">
        <v>159</v>
      </c>
      <c r="J53" s="53" t="s">
        <v>38</v>
      </c>
      <c r="K53" s="53" t="s">
        <v>161</v>
      </c>
      <c r="L53" s="53">
        <v>1</v>
      </c>
      <c r="N53" s="53">
        <v>4</v>
      </c>
      <c r="O53" s="53">
        <v>0.6</v>
      </c>
      <c r="P53" s="53">
        <v>0.56999999999999995</v>
      </c>
      <c r="Q53" s="75">
        <f t="shared" si="2"/>
        <v>0.58499999999999996</v>
      </c>
      <c r="R53" s="53">
        <v>14.3</v>
      </c>
      <c r="S53" s="53">
        <v>108</v>
      </c>
      <c r="T53" s="16">
        <f t="shared" si="0"/>
        <v>33</v>
      </c>
      <c r="U53" s="53">
        <v>518</v>
      </c>
      <c r="V53" s="16">
        <f t="shared" si="1"/>
        <v>16</v>
      </c>
      <c r="W53" s="53">
        <v>4</v>
      </c>
      <c r="X53" s="53" t="s">
        <v>39</v>
      </c>
      <c r="Y53" s="53" t="s">
        <v>69</v>
      </c>
      <c r="Z53" s="53" t="s">
        <v>88</v>
      </c>
      <c r="AA53" s="53" t="s">
        <v>55</v>
      </c>
      <c r="AB53" s="53" t="s">
        <v>331</v>
      </c>
      <c r="AV53" s="27"/>
    </row>
    <row r="54" spans="1:48" x14ac:dyDescent="0.15">
      <c r="A54" s="53" t="s">
        <v>59</v>
      </c>
      <c r="B54" s="53" t="s">
        <v>232</v>
      </c>
      <c r="C54" s="62">
        <v>2019</v>
      </c>
      <c r="D54" s="170" t="s">
        <v>283</v>
      </c>
      <c r="E54" s="53" t="s">
        <v>344</v>
      </c>
      <c r="F54" s="53" t="s">
        <v>345</v>
      </c>
      <c r="G54" s="53" t="s">
        <v>36</v>
      </c>
      <c r="H54" s="53" t="s">
        <v>160</v>
      </c>
      <c r="I54" s="53" t="s">
        <v>159</v>
      </c>
      <c r="J54" s="53" t="s">
        <v>38</v>
      </c>
      <c r="K54" s="53" t="s">
        <v>161</v>
      </c>
      <c r="L54" s="53">
        <v>2</v>
      </c>
      <c r="N54" s="53">
        <v>4</v>
      </c>
      <c r="O54" s="53">
        <v>0.44</v>
      </c>
      <c r="P54" s="53">
        <v>0.57999999999999996</v>
      </c>
      <c r="Q54" s="75">
        <f t="shared" si="2"/>
        <v>0.51</v>
      </c>
      <c r="R54" s="53">
        <v>15.2</v>
      </c>
      <c r="S54" s="53">
        <v>112</v>
      </c>
      <c r="T54" s="16">
        <f t="shared" si="0"/>
        <v>33</v>
      </c>
      <c r="U54" s="53">
        <v>518</v>
      </c>
      <c r="V54" s="16">
        <f t="shared" si="1"/>
        <v>16</v>
      </c>
      <c r="W54" s="53">
        <v>4</v>
      </c>
      <c r="X54" s="53" t="s">
        <v>39</v>
      </c>
      <c r="Y54" s="53" t="s">
        <v>69</v>
      </c>
      <c r="Z54" s="53" t="s">
        <v>88</v>
      </c>
      <c r="AA54" s="53" t="s">
        <v>55</v>
      </c>
      <c r="AB54" s="53" t="s">
        <v>331</v>
      </c>
      <c r="AV54" s="27"/>
    </row>
    <row r="55" spans="1:48" x14ac:dyDescent="0.15">
      <c r="A55" s="53" t="s">
        <v>59</v>
      </c>
      <c r="B55" s="53" t="s">
        <v>232</v>
      </c>
      <c r="C55" s="62">
        <v>2019</v>
      </c>
      <c r="D55" s="170" t="s">
        <v>283</v>
      </c>
      <c r="E55" s="53" t="s">
        <v>344</v>
      </c>
      <c r="F55" s="53" t="s">
        <v>345</v>
      </c>
      <c r="G55" s="53" t="s">
        <v>36</v>
      </c>
      <c r="H55" s="53" t="s">
        <v>160</v>
      </c>
      <c r="I55" s="53" t="s">
        <v>159</v>
      </c>
      <c r="J55" s="53" t="s">
        <v>38</v>
      </c>
      <c r="K55" s="53" t="s">
        <v>161</v>
      </c>
      <c r="L55" s="53">
        <v>3</v>
      </c>
      <c r="N55" s="53">
        <v>4</v>
      </c>
      <c r="O55" s="53">
        <v>0.59</v>
      </c>
      <c r="P55" s="53">
        <v>0.51</v>
      </c>
      <c r="Q55" s="75">
        <f t="shared" si="2"/>
        <v>0.55000000000000004</v>
      </c>
      <c r="R55" s="53">
        <v>14.9</v>
      </c>
      <c r="S55" s="53">
        <v>115</v>
      </c>
      <c r="T55" s="16">
        <f t="shared" si="0"/>
        <v>30</v>
      </c>
      <c r="U55" s="53">
        <v>518</v>
      </c>
      <c r="V55" s="16">
        <f t="shared" si="1"/>
        <v>16</v>
      </c>
      <c r="W55" s="53">
        <v>4</v>
      </c>
      <c r="X55" s="53" t="s">
        <v>39</v>
      </c>
      <c r="Y55" s="53" t="s">
        <v>69</v>
      </c>
      <c r="Z55" s="53" t="s">
        <v>88</v>
      </c>
      <c r="AA55" s="53" t="s">
        <v>55</v>
      </c>
      <c r="AB55" s="53" t="s">
        <v>331</v>
      </c>
      <c r="AV55" s="27"/>
    </row>
    <row r="56" spans="1:48" x14ac:dyDescent="0.15">
      <c r="A56" s="53" t="s">
        <v>59</v>
      </c>
      <c r="B56" s="53" t="s">
        <v>232</v>
      </c>
      <c r="C56" s="62">
        <v>2019</v>
      </c>
      <c r="D56" s="170" t="s">
        <v>283</v>
      </c>
      <c r="E56" s="53" t="s">
        <v>344</v>
      </c>
      <c r="F56" s="53" t="s">
        <v>345</v>
      </c>
      <c r="G56" s="53" t="s">
        <v>36</v>
      </c>
      <c r="H56" s="53" t="s">
        <v>164</v>
      </c>
      <c r="I56" s="53" t="s">
        <v>159</v>
      </c>
      <c r="J56" s="53" t="s">
        <v>38</v>
      </c>
      <c r="K56" s="53" t="s">
        <v>161</v>
      </c>
      <c r="L56" s="53">
        <v>1</v>
      </c>
      <c r="N56" s="53">
        <v>5</v>
      </c>
      <c r="O56" s="53">
        <v>0.59</v>
      </c>
      <c r="P56" s="53">
        <v>0.68</v>
      </c>
      <c r="Q56" s="75">
        <f t="shared" si="2"/>
        <v>0.63500000000000001</v>
      </c>
      <c r="R56" s="53">
        <v>13.7</v>
      </c>
      <c r="S56" s="53">
        <v>90</v>
      </c>
      <c r="T56" s="16">
        <f t="shared" si="0"/>
        <v>36</v>
      </c>
      <c r="U56" s="53">
        <v>429</v>
      </c>
      <c r="V56" s="16">
        <f t="shared" si="1"/>
        <v>16</v>
      </c>
      <c r="W56" s="53">
        <v>6</v>
      </c>
      <c r="X56" s="53" t="s">
        <v>46</v>
      </c>
      <c r="Y56" s="53" t="s">
        <v>69</v>
      </c>
      <c r="Z56" s="53" t="s">
        <v>88</v>
      </c>
      <c r="AA56" s="53" t="s">
        <v>55</v>
      </c>
      <c r="AB56" s="53" t="s">
        <v>331</v>
      </c>
      <c r="AV56" s="27"/>
    </row>
    <row r="57" spans="1:48" x14ac:dyDescent="0.15">
      <c r="A57" s="53" t="s">
        <v>59</v>
      </c>
      <c r="B57" s="53" t="s">
        <v>232</v>
      </c>
      <c r="C57" s="62">
        <v>2019</v>
      </c>
      <c r="D57" s="170" t="s">
        <v>283</v>
      </c>
      <c r="E57" s="53" t="s">
        <v>344</v>
      </c>
      <c r="F57" s="53" t="s">
        <v>345</v>
      </c>
      <c r="G57" s="53" t="s">
        <v>36</v>
      </c>
      <c r="H57" s="53" t="s">
        <v>164</v>
      </c>
      <c r="I57" s="53" t="s">
        <v>159</v>
      </c>
      <c r="J57" s="53" t="s">
        <v>38</v>
      </c>
      <c r="K57" s="53" t="s">
        <v>161</v>
      </c>
      <c r="L57" s="53">
        <v>2</v>
      </c>
      <c r="N57" s="53">
        <v>5</v>
      </c>
      <c r="O57" s="53">
        <v>0.73</v>
      </c>
      <c r="P57" s="53">
        <v>0.72</v>
      </c>
      <c r="Q57" s="75">
        <f t="shared" si="2"/>
        <v>0.72499999999999998</v>
      </c>
      <c r="R57" s="53">
        <v>13.5</v>
      </c>
      <c r="S57" s="53">
        <v>91</v>
      </c>
      <c r="T57" s="16">
        <f t="shared" si="0"/>
        <v>36</v>
      </c>
      <c r="U57" s="53">
        <v>429</v>
      </c>
      <c r="V57" s="16">
        <f t="shared" si="1"/>
        <v>16</v>
      </c>
      <c r="W57" s="53">
        <v>6</v>
      </c>
      <c r="X57" s="53" t="s">
        <v>46</v>
      </c>
      <c r="Y57" s="53" t="s">
        <v>69</v>
      </c>
      <c r="Z57" s="53" t="s">
        <v>88</v>
      </c>
      <c r="AA57" s="53" t="s">
        <v>55</v>
      </c>
      <c r="AB57" s="53" t="s">
        <v>331</v>
      </c>
      <c r="AV57" s="27"/>
    </row>
    <row r="58" spans="1:48" x14ac:dyDescent="0.15">
      <c r="A58" s="53" t="s">
        <v>59</v>
      </c>
      <c r="B58" s="53" t="s">
        <v>232</v>
      </c>
      <c r="C58" s="62">
        <v>2019</v>
      </c>
      <c r="D58" s="170" t="s">
        <v>283</v>
      </c>
      <c r="E58" s="53" t="s">
        <v>344</v>
      </c>
      <c r="F58" s="53" t="s">
        <v>345</v>
      </c>
      <c r="G58" s="53" t="s">
        <v>36</v>
      </c>
      <c r="H58" s="53" t="s">
        <v>164</v>
      </c>
      <c r="I58" s="53" t="s">
        <v>159</v>
      </c>
      <c r="J58" s="53" t="s">
        <v>38</v>
      </c>
      <c r="K58" s="53" t="s">
        <v>161</v>
      </c>
      <c r="L58" s="53">
        <v>3</v>
      </c>
      <c r="N58" s="53">
        <v>5</v>
      </c>
      <c r="O58" s="53">
        <v>0.67</v>
      </c>
      <c r="P58" s="53">
        <v>0.71</v>
      </c>
      <c r="Q58" s="75">
        <f t="shared" si="2"/>
        <v>0.69</v>
      </c>
      <c r="R58" s="53">
        <v>13.7</v>
      </c>
      <c r="S58" s="53">
        <v>92</v>
      </c>
      <c r="T58" s="16">
        <f t="shared" si="0"/>
        <v>36</v>
      </c>
      <c r="U58" s="53">
        <v>429</v>
      </c>
      <c r="V58" s="16">
        <f t="shared" si="1"/>
        <v>16</v>
      </c>
      <c r="W58" s="53">
        <v>6</v>
      </c>
      <c r="X58" s="53" t="s">
        <v>46</v>
      </c>
      <c r="Y58" s="53" t="s">
        <v>69</v>
      </c>
      <c r="Z58" s="53" t="s">
        <v>88</v>
      </c>
      <c r="AA58" s="53" t="s">
        <v>55</v>
      </c>
      <c r="AB58" s="53" t="s">
        <v>331</v>
      </c>
      <c r="AV58" s="27"/>
    </row>
    <row r="59" spans="1:48" x14ac:dyDescent="0.15">
      <c r="C59" s="62"/>
      <c r="D59" s="170"/>
      <c r="Q59" s="75"/>
      <c r="AV59" s="27"/>
    </row>
    <row r="60" spans="1:48" x14ac:dyDescent="0.15">
      <c r="C60" s="62"/>
      <c r="D60" s="170"/>
      <c r="Q60" s="75"/>
      <c r="AV60" s="27"/>
    </row>
    <row r="61" spans="1:48" x14ac:dyDescent="0.15">
      <c r="C61" s="62"/>
      <c r="D61" s="170"/>
      <c r="Q61" s="75"/>
      <c r="AV61" s="27"/>
    </row>
    <row r="62" spans="1:48" x14ac:dyDescent="0.15">
      <c r="C62" s="62"/>
      <c r="D62" s="170"/>
      <c r="Q62" s="75"/>
      <c r="AV62" s="27"/>
    </row>
    <row r="63" spans="1:48" x14ac:dyDescent="0.15">
      <c r="C63" s="62"/>
      <c r="D63" s="170"/>
      <c r="Q63" s="75"/>
      <c r="AV63" s="27"/>
    </row>
    <row r="64" spans="1:48" x14ac:dyDescent="0.15">
      <c r="C64" s="62"/>
      <c r="D64" s="170"/>
      <c r="Q64" s="75"/>
      <c r="AV64" s="27"/>
    </row>
    <row r="65" spans="3:48" x14ac:dyDescent="0.15">
      <c r="C65" s="62"/>
      <c r="D65" s="170"/>
      <c r="Q65" s="75"/>
      <c r="AV65" s="27"/>
    </row>
    <row r="66" spans="3:48" x14ac:dyDescent="0.15">
      <c r="C66" s="62"/>
      <c r="D66" s="170"/>
      <c r="Q66" s="75"/>
      <c r="AV66" s="27"/>
    </row>
    <row r="67" spans="3:48" x14ac:dyDescent="0.15">
      <c r="C67" s="62"/>
      <c r="D67" s="170"/>
      <c r="Q67" s="75"/>
      <c r="AV67" s="27"/>
    </row>
    <row r="68" spans="3:48" x14ac:dyDescent="0.15">
      <c r="C68" s="62"/>
      <c r="D68" s="170"/>
      <c r="Q68" s="75"/>
      <c r="AV68" s="27"/>
    </row>
    <row r="69" spans="3:48" x14ac:dyDescent="0.15">
      <c r="C69" s="62"/>
      <c r="D69" s="170"/>
      <c r="Q69" s="75"/>
      <c r="AV69" s="27"/>
    </row>
    <row r="70" spans="3:48" x14ac:dyDescent="0.15">
      <c r="C70" s="62"/>
      <c r="D70" s="170"/>
      <c r="Q70" s="75"/>
      <c r="AV70" s="27"/>
    </row>
    <row r="71" spans="3:48" x14ac:dyDescent="0.15">
      <c r="C71" s="62"/>
      <c r="D71" s="170"/>
      <c r="Q71" s="75"/>
      <c r="AV71" s="27"/>
    </row>
    <row r="72" spans="3:48" x14ac:dyDescent="0.15">
      <c r="C72" s="62"/>
      <c r="D72" s="170"/>
      <c r="Q72" s="75"/>
      <c r="AV72" s="27"/>
    </row>
    <row r="73" spans="3:48" x14ac:dyDescent="0.15">
      <c r="C73" s="62"/>
      <c r="D73" s="170"/>
      <c r="Q73" s="75"/>
    </row>
    <row r="74" spans="3:48" x14ac:dyDescent="0.15">
      <c r="C74" s="62"/>
      <c r="D74" s="170"/>
      <c r="Q74" s="75"/>
    </row>
    <row r="75" spans="3:48" x14ac:dyDescent="0.15">
      <c r="C75" s="62"/>
      <c r="D75" s="170"/>
      <c r="Q75" s="75"/>
    </row>
    <row r="76" spans="3:48" x14ac:dyDescent="0.15">
      <c r="C76" s="62"/>
      <c r="Q76" s="75"/>
    </row>
    <row r="77" spans="3:48" x14ac:dyDescent="0.15">
      <c r="C77" s="62"/>
      <c r="Q77" s="75"/>
    </row>
    <row r="78" spans="3:48" x14ac:dyDescent="0.15">
      <c r="C78" s="62"/>
      <c r="Q78" s="75"/>
    </row>
    <row r="79" spans="3:48" x14ac:dyDescent="0.15">
      <c r="C79" s="62"/>
      <c r="Q79" s="75"/>
    </row>
    <row r="80" spans="3:48" x14ac:dyDescent="0.15">
      <c r="C80" s="62"/>
      <c r="Q80" s="75"/>
    </row>
    <row r="81" spans="3:22" x14ac:dyDescent="0.15">
      <c r="C81" s="62"/>
      <c r="Q81" s="75"/>
    </row>
    <row r="82" spans="3:22" x14ac:dyDescent="0.15">
      <c r="C82" s="62"/>
      <c r="Q82" s="75"/>
    </row>
    <row r="83" spans="3:22" x14ac:dyDescent="0.15">
      <c r="C83" s="62"/>
      <c r="Q83" s="75"/>
    </row>
    <row r="84" spans="3:22" x14ac:dyDescent="0.15">
      <c r="C84" s="62"/>
      <c r="Q84" s="75"/>
    </row>
    <row r="85" spans="3:22" x14ac:dyDescent="0.15">
      <c r="C85" s="62"/>
      <c r="Q85" s="75"/>
    </row>
    <row r="86" spans="3:22" x14ac:dyDescent="0.15">
      <c r="C86" s="62"/>
      <c r="Q86" s="75"/>
    </row>
    <row r="87" spans="3:22" x14ac:dyDescent="0.15">
      <c r="C87" s="62"/>
      <c r="Q87" s="75"/>
    </row>
    <row r="88" spans="3:22" x14ac:dyDescent="0.15">
      <c r="C88" s="62"/>
      <c r="Q88" s="75"/>
    </row>
    <row r="89" spans="3:22" x14ac:dyDescent="0.15">
      <c r="C89" s="62"/>
      <c r="Q89" s="75"/>
    </row>
    <row r="90" spans="3:22" x14ac:dyDescent="0.15">
      <c r="C90" s="62"/>
      <c r="Q90" s="75"/>
    </row>
    <row r="91" spans="3:22" x14ac:dyDescent="0.15">
      <c r="C91" s="62"/>
      <c r="Q91" s="75"/>
    </row>
    <row r="92" spans="3:22" x14ac:dyDescent="0.15">
      <c r="C92" s="62"/>
    </row>
    <row r="93" spans="3:22" x14ac:dyDescent="0.15">
      <c r="C93" s="62"/>
    </row>
    <row r="94" spans="3:22" x14ac:dyDescent="0.15">
      <c r="Q94" s="16" t="str">
        <f t="shared" ref="Q94:Q145" si="3">IF(OR(O94="",P94=""),"",AVERAGE(O94,P94))</f>
        <v/>
      </c>
      <c r="T94" s="16" t="str">
        <f t="shared" ref="T94:T145" si="4">IF(H94="","",IF(OR(H94="GREEN",H94="GK"),IF(S94&gt;=$AX$2,VLOOKUP(S94,$AX$2:$AY$12,2,1),""),IF(S94&gt;=$AZ$2,VLOOKUP(S94,$AZ$2:$BA$12,2,1),"")))</f>
        <v/>
      </c>
      <c r="V94" s="16" t="str">
        <f t="shared" ref="V94:V145" si="5">IF(J94="","",IF(OR(J94="GREEN",J94="GK"),IF(U94&gt;=$AX$2,VLOOKUP(U94,$AX$2:$AY$12,2,1),""),IF(U94&gt;=$AZ$2,VLOOKUP(U94,$AZ$2:$BA$12,2,1),"")))</f>
        <v/>
      </c>
    </row>
    <row r="95" spans="3:22" x14ac:dyDescent="0.15">
      <c r="Q95" s="16" t="str">
        <f t="shared" si="3"/>
        <v/>
      </c>
      <c r="T95" s="16" t="str">
        <f t="shared" si="4"/>
        <v/>
      </c>
      <c r="V95" s="16" t="str">
        <f t="shared" si="5"/>
        <v/>
      </c>
    </row>
    <row r="96" spans="3:22" x14ac:dyDescent="0.15">
      <c r="Q96" s="16" t="str">
        <f t="shared" si="3"/>
        <v/>
      </c>
      <c r="T96" s="16" t="str">
        <f t="shared" si="4"/>
        <v/>
      </c>
      <c r="V96" s="16" t="str">
        <f t="shared" si="5"/>
        <v/>
      </c>
    </row>
    <row r="97" spans="17:22" x14ac:dyDescent="0.15">
      <c r="Q97" s="16" t="str">
        <f t="shared" si="3"/>
        <v/>
      </c>
      <c r="T97" s="16" t="str">
        <f t="shared" si="4"/>
        <v/>
      </c>
      <c r="V97" s="16" t="str">
        <f t="shared" si="5"/>
        <v/>
      </c>
    </row>
    <row r="98" spans="17:22" x14ac:dyDescent="0.15">
      <c r="Q98" s="16" t="str">
        <f t="shared" si="3"/>
        <v/>
      </c>
      <c r="T98" s="16" t="str">
        <f t="shared" si="4"/>
        <v/>
      </c>
      <c r="V98" s="16" t="str">
        <f t="shared" si="5"/>
        <v/>
      </c>
    </row>
    <row r="99" spans="17:22" x14ac:dyDescent="0.15">
      <c r="Q99" s="16" t="str">
        <f t="shared" si="3"/>
        <v/>
      </c>
      <c r="T99" s="16" t="str">
        <f t="shared" si="4"/>
        <v/>
      </c>
      <c r="V99" s="16" t="str">
        <f t="shared" si="5"/>
        <v/>
      </c>
    </row>
    <row r="100" spans="17:22" x14ac:dyDescent="0.15">
      <c r="Q100" s="16" t="str">
        <f t="shared" si="3"/>
        <v/>
      </c>
      <c r="T100" s="16" t="str">
        <f t="shared" si="4"/>
        <v/>
      </c>
      <c r="V100" s="16" t="str">
        <f t="shared" si="5"/>
        <v/>
      </c>
    </row>
    <row r="101" spans="17:22" x14ac:dyDescent="0.15">
      <c r="Q101" s="16" t="str">
        <f t="shared" si="3"/>
        <v/>
      </c>
      <c r="T101" s="16" t="str">
        <f t="shared" si="4"/>
        <v/>
      </c>
      <c r="V101" s="16" t="str">
        <f t="shared" si="5"/>
        <v/>
      </c>
    </row>
    <row r="102" spans="17:22" x14ac:dyDescent="0.15">
      <c r="Q102" s="16" t="str">
        <f t="shared" si="3"/>
        <v/>
      </c>
      <c r="T102" s="16" t="str">
        <f t="shared" si="4"/>
        <v/>
      </c>
      <c r="V102" s="16" t="str">
        <f t="shared" si="5"/>
        <v/>
      </c>
    </row>
    <row r="103" spans="17:22" x14ac:dyDescent="0.15">
      <c r="Q103" s="16" t="str">
        <f t="shared" si="3"/>
        <v/>
      </c>
      <c r="T103" s="16" t="str">
        <f t="shared" si="4"/>
        <v/>
      </c>
      <c r="V103" s="16" t="str">
        <f t="shared" si="5"/>
        <v/>
      </c>
    </row>
    <row r="104" spans="17:22" x14ac:dyDescent="0.15">
      <c r="Q104" s="16" t="str">
        <f t="shared" si="3"/>
        <v/>
      </c>
      <c r="T104" s="16" t="str">
        <f t="shared" si="4"/>
        <v/>
      </c>
      <c r="V104" s="16" t="str">
        <f t="shared" si="5"/>
        <v/>
      </c>
    </row>
    <row r="105" spans="17:22" x14ac:dyDescent="0.15">
      <c r="Q105" s="16" t="str">
        <f t="shared" si="3"/>
        <v/>
      </c>
      <c r="T105" s="16" t="str">
        <f t="shared" si="4"/>
        <v/>
      </c>
      <c r="V105" s="16" t="str">
        <f t="shared" si="5"/>
        <v/>
      </c>
    </row>
    <row r="106" spans="17:22" x14ac:dyDescent="0.15">
      <c r="Q106" s="16" t="str">
        <f t="shared" si="3"/>
        <v/>
      </c>
      <c r="T106" s="16" t="str">
        <f t="shared" si="4"/>
        <v/>
      </c>
      <c r="V106" s="16" t="str">
        <f t="shared" si="5"/>
        <v/>
      </c>
    </row>
    <row r="107" spans="17:22" x14ac:dyDescent="0.15">
      <c r="Q107" s="16" t="str">
        <f t="shared" si="3"/>
        <v/>
      </c>
      <c r="T107" s="16" t="str">
        <f t="shared" si="4"/>
        <v/>
      </c>
      <c r="V107" s="16" t="str">
        <f t="shared" si="5"/>
        <v/>
      </c>
    </row>
    <row r="108" spans="17:22" x14ac:dyDescent="0.15">
      <c r="Q108" s="16" t="str">
        <f t="shared" si="3"/>
        <v/>
      </c>
      <c r="T108" s="16" t="str">
        <f t="shared" si="4"/>
        <v/>
      </c>
      <c r="V108" s="16" t="str">
        <f t="shared" si="5"/>
        <v/>
      </c>
    </row>
    <row r="109" spans="17:22" x14ac:dyDescent="0.15">
      <c r="Q109" s="16" t="str">
        <f t="shared" si="3"/>
        <v/>
      </c>
      <c r="T109" s="16" t="str">
        <f t="shared" si="4"/>
        <v/>
      </c>
      <c r="V109" s="16" t="str">
        <f t="shared" si="5"/>
        <v/>
      </c>
    </row>
    <row r="110" spans="17:22" x14ac:dyDescent="0.15">
      <c r="Q110" s="16" t="str">
        <f t="shared" si="3"/>
        <v/>
      </c>
      <c r="T110" s="16" t="str">
        <f t="shared" si="4"/>
        <v/>
      </c>
      <c r="V110" s="16" t="str">
        <f t="shared" si="5"/>
        <v/>
      </c>
    </row>
    <row r="111" spans="17:22" x14ac:dyDescent="0.15">
      <c r="Q111" s="16" t="str">
        <f t="shared" si="3"/>
        <v/>
      </c>
      <c r="T111" s="16" t="str">
        <f t="shared" si="4"/>
        <v/>
      </c>
      <c r="V111" s="16" t="str">
        <f t="shared" si="5"/>
        <v/>
      </c>
    </row>
    <row r="112" spans="17:22" x14ac:dyDescent="0.15">
      <c r="Q112" s="16" t="str">
        <f t="shared" si="3"/>
        <v/>
      </c>
      <c r="T112" s="16" t="str">
        <f t="shared" si="4"/>
        <v/>
      </c>
      <c r="V112" s="16" t="str">
        <f t="shared" si="5"/>
        <v/>
      </c>
    </row>
    <row r="113" spans="17:22" x14ac:dyDescent="0.15">
      <c r="Q113" s="16" t="str">
        <f t="shared" si="3"/>
        <v/>
      </c>
      <c r="T113" s="16" t="str">
        <f t="shared" si="4"/>
        <v/>
      </c>
      <c r="V113" s="16" t="str">
        <f t="shared" si="5"/>
        <v/>
      </c>
    </row>
    <row r="114" spans="17:22" x14ac:dyDescent="0.15">
      <c r="Q114" s="16" t="str">
        <f t="shared" si="3"/>
        <v/>
      </c>
      <c r="T114" s="16" t="str">
        <f t="shared" si="4"/>
        <v/>
      </c>
      <c r="V114" s="16" t="str">
        <f t="shared" si="5"/>
        <v/>
      </c>
    </row>
    <row r="115" spans="17:22" x14ac:dyDescent="0.15">
      <c r="Q115" s="16" t="str">
        <f t="shared" si="3"/>
        <v/>
      </c>
      <c r="T115" s="16" t="str">
        <f t="shared" si="4"/>
        <v/>
      </c>
      <c r="V115" s="16" t="str">
        <f t="shared" si="5"/>
        <v/>
      </c>
    </row>
    <row r="116" spans="17:22" x14ac:dyDescent="0.15">
      <c r="Q116" s="16" t="str">
        <f t="shared" si="3"/>
        <v/>
      </c>
      <c r="T116" s="16" t="str">
        <f t="shared" si="4"/>
        <v/>
      </c>
      <c r="V116" s="16" t="str">
        <f t="shared" si="5"/>
        <v/>
      </c>
    </row>
    <row r="117" spans="17:22" x14ac:dyDescent="0.15">
      <c r="Q117" s="16" t="str">
        <f t="shared" si="3"/>
        <v/>
      </c>
      <c r="T117" s="16" t="str">
        <f t="shared" si="4"/>
        <v/>
      </c>
      <c r="V117" s="16" t="str">
        <f t="shared" si="5"/>
        <v/>
      </c>
    </row>
    <row r="118" spans="17:22" x14ac:dyDescent="0.15">
      <c r="Q118" s="16" t="str">
        <f t="shared" si="3"/>
        <v/>
      </c>
      <c r="T118" s="16" t="str">
        <f t="shared" si="4"/>
        <v/>
      </c>
      <c r="V118" s="16" t="str">
        <f t="shared" si="5"/>
        <v/>
      </c>
    </row>
    <row r="119" spans="17:22" x14ac:dyDescent="0.15">
      <c r="Q119" s="16" t="str">
        <f t="shared" si="3"/>
        <v/>
      </c>
      <c r="T119" s="16" t="str">
        <f t="shared" si="4"/>
        <v/>
      </c>
      <c r="V119" s="16" t="str">
        <f t="shared" si="5"/>
        <v/>
      </c>
    </row>
    <row r="120" spans="17:22" x14ac:dyDescent="0.15">
      <c r="Q120" s="16" t="str">
        <f t="shared" si="3"/>
        <v/>
      </c>
      <c r="T120" s="16" t="str">
        <f t="shared" si="4"/>
        <v/>
      </c>
      <c r="V120" s="16" t="str">
        <f t="shared" si="5"/>
        <v/>
      </c>
    </row>
    <row r="121" spans="17:22" x14ac:dyDescent="0.15">
      <c r="Q121" s="16" t="str">
        <f t="shared" si="3"/>
        <v/>
      </c>
      <c r="T121" s="16" t="str">
        <f t="shared" si="4"/>
        <v/>
      </c>
      <c r="V121" s="16" t="str">
        <f t="shared" si="5"/>
        <v/>
      </c>
    </row>
    <row r="122" spans="17:22" x14ac:dyDescent="0.15">
      <c r="Q122" s="16" t="str">
        <f t="shared" si="3"/>
        <v/>
      </c>
      <c r="T122" s="16" t="str">
        <f t="shared" si="4"/>
        <v/>
      </c>
      <c r="V122" s="16" t="str">
        <f t="shared" si="5"/>
        <v/>
      </c>
    </row>
    <row r="123" spans="17:22" x14ac:dyDescent="0.15">
      <c r="Q123" s="16" t="str">
        <f t="shared" si="3"/>
        <v/>
      </c>
      <c r="T123" s="16" t="str">
        <f t="shared" si="4"/>
        <v/>
      </c>
      <c r="V123" s="16" t="str">
        <f t="shared" si="5"/>
        <v/>
      </c>
    </row>
    <row r="124" spans="17:22" x14ac:dyDescent="0.15">
      <c r="Q124" s="16" t="str">
        <f t="shared" si="3"/>
        <v/>
      </c>
      <c r="T124" s="16" t="str">
        <f t="shared" si="4"/>
        <v/>
      </c>
      <c r="V124" s="16" t="str">
        <f t="shared" si="5"/>
        <v/>
      </c>
    </row>
    <row r="125" spans="17:22" x14ac:dyDescent="0.15">
      <c r="Q125" s="16" t="str">
        <f t="shared" si="3"/>
        <v/>
      </c>
      <c r="T125" s="16" t="str">
        <f t="shared" si="4"/>
        <v/>
      </c>
      <c r="V125" s="16" t="str">
        <f t="shared" si="5"/>
        <v/>
      </c>
    </row>
    <row r="126" spans="17:22" x14ac:dyDescent="0.15">
      <c r="Q126" s="16" t="str">
        <f t="shared" si="3"/>
        <v/>
      </c>
      <c r="T126" s="16" t="str">
        <f t="shared" si="4"/>
        <v/>
      </c>
      <c r="V126" s="16" t="str">
        <f t="shared" si="5"/>
        <v/>
      </c>
    </row>
    <row r="127" spans="17:22" x14ac:dyDescent="0.15">
      <c r="Q127" s="16" t="str">
        <f t="shared" si="3"/>
        <v/>
      </c>
      <c r="T127" s="16" t="str">
        <f t="shared" si="4"/>
        <v/>
      </c>
      <c r="V127" s="16" t="str">
        <f t="shared" si="5"/>
        <v/>
      </c>
    </row>
    <row r="128" spans="17:22" x14ac:dyDescent="0.15">
      <c r="Q128" s="16" t="str">
        <f t="shared" si="3"/>
        <v/>
      </c>
      <c r="T128" s="16" t="str">
        <f t="shared" si="4"/>
        <v/>
      </c>
      <c r="V128" s="16" t="str">
        <f t="shared" si="5"/>
        <v/>
      </c>
    </row>
    <row r="129" spans="17:22" x14ac:dyDescent="0.15">
      <c r="Q129" s="16" t="str">
        <f t="shared" si="3"/>
        <v/>
      </c>
      <c r="T129" s="16" t="str">
        <f t="shared" si="4"/>
        <v/>
      </c>
      <c r="V129" s="16" t="str">
        <f t="shared" si="5"/>
        <v/>
      </c>
    </row>
    <row r="130" spans="17:22" x14ac:dyDescent="0.15">
      <c r="Q130" s="16" t="str">
        <f t="shared" si="3"/>
        <v/>
      </c>
      <c r="T130" s="16" t="str">
        <f t="shared" si="4"/>
        <v/>
      </c>
      <c r="V130" s="16" t="str">
        <f t="shared" si="5"/>
        <v/>
      </c>
    </row>
    <row r="131" spans="17:22" x14ac:dyDescent="0.15">
      <c r="Q131" s="16" t="str">
        <f t="shared" si="3"/>
        <v/>
      </c>
      <c r="T131" s="16" t="str">
        <f t="shared" si="4"/>
        <v/>
      </c>
      <c r="V131" s="16" t="str">
        <f t="shared" si="5"/>
        <v/>
      </c>
    </row>
    <row r="132" spans="17:22" x14ac:dyDescent="0.15">
      <c r="Q132" s="16" t="str">
        <f t="shared" si="3"/>
        <v/>
      </c>
      <c r="T132" s="16" t="str">
        <f t="shared" si="4"/>
        <v/>
      </c>
      <c r="V132" s="16" t="str">
        <f t="shared" si="5"/>
        <v/>
      </c>
    </row>
    <row r="133" spans="17:22" x14ac:dyDescent="0.15">
      <c r="Q133" s="16" t="str">
        <f t="shared" si="3"/>
        <v/>
      </c>
      <c r="T133" s="16" t="str">
        <f t="shared" si="4"/>
        <v/>
      </c>
      <c r="V133" s="16" t="str">
        <f t="shared" si="5"/>
        <v/>
      </c>
    </row>
    <row r="134" spans="17:22" x14ac:dyDescent="0.15">
      <c r="Q134" s="16" t="str">
        <f t="shared" si="3"/>
        <v/>
      </c>
      <c r="T134" s="16" t="str">
        <f t="shared" si="4"/>
        <v/>
      </c>
      <c r="V134" s="16" t="str">
        <f t="shared" si="5"/>
        <v/>
      </c>
    </row>
    <row r="135" spans="17:22" x14ac:dyDescent="0.15">
      <c r="Q135" s="16" t="str">
        <f t="shared" si="3"/>
        <v/>
      </c>
      <c r="T135" s="16" t="str">
        <f t="shared" si="4"/>
        <v/>
      </c>
      <c r="V135" s="16" t="str">
        <f t="shared" si="5"/>
        <v/>
      </c>
    </row>
    <row r="136" spans="17:22" x14ac:dyDescent="0.15">
      <c r="Q136" s="16" t="str">
        <f t="shared" si="3"/>
        <v/>
      </c>
      <c r="T136" s="16" t="str">
        <f t="shared" si="4"/>
        <v/>
      </c>
      <c r="V136" s="16" t="str">
        <f t="shared" si="5"/>
        <v/>
      </c>
    </row>
    <row r="137" spans="17:22" x14ac:dyDescent="0.15">
      <c r="Q137" s="16" t="str">
        <f t="shared" si="3"/>
        <v/>
      </c>
      <c r="T137" s="16" t="str">
        <f t="shared" si="4"/>
        <v/>
      </c>
      <c r="V137" s="16" t="str">
        <f t="shared" si="5"/>
        <v/>
      </c>
    </row>
    <row r="138" spans="17:22" x14ac:dyDescent="0.15">
      <c r="Q138" s="16" t="str">
        <f t="shared" si="3"/>
        <v/>
      </c>
      <c r="T138" s="16" t="str">
        <f t="shared" si="4"/>
        <v/>
      </c>
      <c r="V138" s="16" t="str">
        <f t="shared" si="5"/>
        <v/>
      </c>
    </row>
    <row r="139" spans="17:22" x14ac:dyDescent="0.15">
      <c r="Q139" s="16" t="str">
        <f t="shared" si="3"/>
        <v/>
      </c>
      <c r="T139" s="16" t="str">
        <f t="shared" si="4"/>
        <v/>
      </c>
      <c r="V139" s="16" t="str">
        <f t="shared" si="5"/>
        <v/>
      </c>
    </row>
    <row r="140" spans="17:22" x14ac:dyDescent="0.15">
      <c r="Q140" s="16" t="str">
        <f t="shared" si="3"/>
        <v/>
      </c>
      <c r="T140" s="16" t="str">
        <f t="shared" si="4"/>
        <v/>
      </c>
      <c r="V140" s="16" t="str">
        <f t="shared" si="5"/>
        <v/>
      </c>
    </row>
    <row r="141" spans="17:22" x14ac:dyDescent="0.15">
      <c r="Q141" s="16" t="str">
        <f t="shared" si="3"/>
        <v/>
      </c>
      <c r="T141" s="16" t="str">
        <f t="shared" si="4"/>
        <v/>
      </c>
      <c r="V141" s="16" t="str">
        <f t="shared" si="5"/>
        <v/>
      </c>
    </row>
    <row r="142" spans="17:22" x14ac:dyDescent="0.15">
      <c r="Q142" s="16" t="str">
        <f t="shared" si="3"/>
        <v/>
      </c>
      <c r="T142" s="16" t="str">
        <f t="shared" si="4"/>
        <v/>
      </c>
      <c r="V142" s="16" t="str">
        <f t="shared" si="5"/>
        <v/>
      </c>
    </row>
    <row r="143" spans="17:22" x14ac:dyDescent="0.15">
      <c r="Q143" s="16" t="str">
        <f t="shared" si="3"/>
        <v/>
      </c>
      <c r="T143" s="16" t="str">
        <f t="shared" si="4"/>
        <v/>
      </c>
      <c r="V143" s="16" t="str">
        <f t="shared" si="5"/>
        <v/>
      </c>
    </row>
    <row r="144" spans="17:22" x14ac:dyDescent="0.15">
      <c r="Q144" s="16" t="str">
        <f t="shared" si="3"/>
        <v/>
      </c>
      <c r="T144" s="16" t="str">
        <f t="shared" si="4"/>
        <v/>
      </c>
      <c r="V144" s="16" t="str">
        <f t="shared" si="5"/>
        <v/>
      </c>
    </row>
    <row r="145" spans="17:22" x14ac:dyDescent="0.15">
      <c r="Q145" s="16" t="str">
        <f t="shared" si="3"/>
        <v/>
      </c>
      <c r="T145" s="16" t="str">
        <f t="shared" si="4"/>
        <v/>
      </c>
      <c r="V145" s="16" t="str">
        <f t="shared" si="5"/>
        <v/>
      </c>
    </row>
  </sheetData>
  <autoFilter ref="A1:BA145" xr:uid="{00000000-0009-0000-0000-000000000000}"/>
  <phoneticPr fontId="3"/>
  <dataValidations count="19">
    <dataValidation type="list" allowBlank="1" showInputMessage="1" showErrorMessage="1" sqref="K2:K427" xr:uid="{4945223C-EF96-4833-8D9C-1BA3E03AA05B}">
      <formula1>$AR$2:$AR$27</formula1>
    </dataValidation>
    <dataValidation type="list" allowBlank="1" showInputMessage="1" showErrorMessage="1" sqref="E2:E485" xr:uid="{42CA4AFF-A55D-4BCB-9DD2-4C85FF998BFD}">
      <formula1>$AG$2:$AG$11</formula1>
    </dataValidation>
    <dataValidation type="list" allowBlank="1" showInputMessage="1" showErrorMessage="1" sqref="H2:H485" xr:uid="{1912A1CF-9FE5-4225-9560-21F71BB58206}">
      <formula1>$AL$2:$AL$8</formula1>
    </dataValidation>
    <dataValidation type="decimal" allowBlank="1" showInputMessage="1" showErrorMessage="1" error="硬度を正しく入力して下さい。" sqref="O2:P485" xr:uid="{F55387B1-E1DE-47B8-AD89-11EEE38DEC10}">
      <formula1>0</formula1>
      <formula2>7</formula2>
    </dataValidation>
    <dataValidation type="list" allowBlank="1" showInputMessage="1" showErrorMessage="1" sqref="F2:F1439" xr:uid="{59B3E42C-18FD-4465-81B1-D676A6FE5FBF}">
      <formula1>$AH$2:$AH$11</formula1>
    </dataValidation>
    <dataValidation type="list" allowBlank="1" showInputMessage="1" showErrorMessage="1" sqref="Y2:AA576" xr:uid="{0BF7E609-5254-448A-AFE6-6AB3EA5BCABB}">
      <formula1>$AV$2:$AV$38</formula1>
    </dataValidation>
    <dataValidation type="list" allowBlank="1" showInputMessage="1" showErrorMessage="1" sqref="J2:J72" xr:uid="{2052BBBF-A745-4C60-AD4B-F67B14754CEE}">
      <formula1>$AP$2:$AP$38</formula1>
    </dataValidation>
    <dataValidation type="list" allowBlank="1" showInputMessage="1" showErrorMessage="1" sqref="WVS983027:WVS983092 K65523:K65588 JG65523:JG65588 TC65523:TC65588 ACY65523:ACY65588 AMU65523:AMU65588 AWQ65523:AWQ65588 BGM65523:BGM65588 BQI65523:BQI65588 CAE65523:CAE65588 CKA65523:CKA65588 CTW65523:CTW65588 DDS65523:DDS65588 DNO65523:DNO65588 DXK65523:DXK65588 EHG65523:EHG65588 ERC65523:ERC65588 FAY65523:FAY65588 FKU65523:FKU65588 FUQ65523:FUQ65588 GEM65523:GEM65588 GOI65523:GOI65588 GYE65523:GYE65588 HIA65523:HIA65588 HRW65523:HRW65588 IBS65523:IBS65588 ILO65523:ILO65588 IVK65523:IVK65588 JFG65523:JFG65588 JPC65523:JPC65588 JYY65523:JYY65588 KIU65523:KIU65588 KSQ65523:KSQ65588 LCM65523:LCM65588 LMI65523:LMI65588 LWE65523:LWE65588 MGA65523:MGA65588 MPW65523:MPW65588 MZS65523:MZS65588 NJO65523:NJO65588 NTK65523:NTK65588 ODG65523:ODG65588 ONC65523:ONC65588 OWY65523:OWY65588 PGU65523:PGU65588 PQQ65523:PQQ65588 QAM65523:QAM65588 QKI65523:QKI65588 QUE65523:QUE65588 REA65523:REA65588 RNW65523:RNW65588 RXS65523:RXS65588 SHO65523:SHO65588 SRK65523:SRK65588 TBG65523:TBG65588 TLC65523:TLC65588 TUY65523:TUY65588 UEU65523:UEU65588 UOQ65523:UOQ65588 UYM65523:UYM65588 VII65523:VII65588 VSE65523:VSE65588 WCA65523:WCA65588 WLW65523:WLW65588 WVS65523:WVS65588 K131059:K131124 JG131059:JG131124 TC131059:TC131124 ACY131059:ACY131124 AMU131059:AMU131124 AWQ131059:AWQ131124 BGM131059:BGM131124 BQI131059:BQI131124 CAE131059:CAE131124 CKA131059:CKA131124 CTW131059:CTW131124 DDS131059:DDS131124 DNO131059:DNO131124 DXK131059:DXK131124 EHG131059:EHG131124 ERC131059:ERC131124 FAY131059:FAY131124 FKU131059:FKU131124 FUQ131059:FUQ131124 GEM131059:GEM131124 GOI131059:GOI131124 GYE131059:GYE131124 HIA131059:HIA131124 HRW131059:HRW131124 IBS131059:IBS131124 ILO131059:ILO131124 IVK131059:IVK131124 JFG131059:JFG131124 JPC131059:JPC131124 JYY131059:JYY131124 KIU131059:KIU131124 KSQ131059:KSQ131124 LCM131059:LCM131124 LMI131059:LMI131124 LWE131059:LWE131124 MGA131059:MGA131124 MPW131059:MPW131124 MZS131059:MZS131124 NJO131059:NJO131124 NTK131059:NTK131124 ODG131059:ODG131124 ONC131059:ONC131124 OWY131059:OWY131124 PGU131059:PGU131124 PQQ131059:PQQ131124 QAM131059:QAM131124 QKI131059:QKI131124 QUE131059:QUE131124 REA131059:REA131124 RNW131059:RNW131124 RXS131059:RXS131124 SHO131059:SHO131124 SRK131059:SRK131124 TBG131059:TBG131124 TLC131059:TLC131124 TUY131059:TUY131124 UEU131059:UEU131124 UOQ131059:UOQ131124 UYM131059:UYM131124 VII131059:VII131124 VSE131059:VSE131124 WCA131059:WCA131124 WLW131059:WLW131124 WVS131059:WVS131124 K196595:K196660 JG196595:JG196660 TC196595:TC196660 ACY196595:ACY196660 AMU196595:AMU196660 AWQ196595:AWQ196660 BGM196595:BGM196660 BQI196595:BQI196660 CAE196595:CAE196660 CKA196595:CKA196660 CTW196595:CTW196660 DDS196595:DDS196660 DNO196595:DNO196660 DXK196595:DXK196660 EHG196595:EHG196660 ERC196595:ERC196660 FAY196595:FAY196660 FKU196595:FKU196660 FUQ196595:FUQ196660 GEM196595:GEM196660 GOI196595:GOI196660 GYE196595:GYE196660 HIA196595:HIA196660 HRW196595:HRW196660 IBS196595:IBS196660 ILO196595:ILO196660 IVK196595:IVK196660 JFG196595:JFG196660 JPC196595:JPC196660 JYY196595:JYY196660 KIU196595:KIU196660 KSQ196595:KSQ196660 LCM196595:LCM196660 LMI196595:LMI196660 LWE196595:LWE196660 MGA196595:MGA196660 MPW196595:MPW196660 MZS196595:MZS196660 NJO196595:NJO196660 NTK196595:NTK196660 ODG196595:ODG196660 ONC196595:ONC196660 OWY196595:OWY196660 PGU196595:PGU196660 PQQ196595:PQQ196660 QAM196595:QAM196660 QKI196595:QKI196660 QUE196595:QUE196660 REA196595:REA196660 RNW196595:RNW196660 RXS196595:RXS196660 SHO196595:SHO196660 SRK196595:SRK196660 TBG196595:TBG196660 TLC196595:TLC196660 TUY196595:TUY196660 UEU196595:UEU196660 UOQ196595:UOQ196660 UYM196595:UYM196660 VII196595:VII196660 VSE196595:VSE196660 WCA196595:WCA196660 WLW196595:WLW196660 WVS196595:WVS196660 K262131:K262196 JG262131:JG262196 TC262131:TC262196 ACY262131:ACY262196 AMU262131:AMU262196 AWQ262131:AWQ262196 BGM262131:BGM262196 BQI262131:BQI262196 CAE262131:CAE262196 CKA262131:CKA262196 CTW262131:CTW262196 DDS262131:DDS262196 DNO262131:DNO262196 DXK262131:DXK262196 EHG262131:EHG262196 ERC262131:ERC262196 FAY262131:FAY262196 FKU262131:FKU262196 FUQ262131:FUQ262196 GEM262131:GEM262196 GOI262131:GOI262196 GYE262131:GYE262196 HIA262131:HIA262196 HRW262131:HRW262196 IBS262131:IBS262196 ILO262131:ILO262196 IVK262131:IVK262196 JFG262131:JFG262196 JPC262131:JPC262196 JYY262131:JYY262196 KIU262131:KIU262196 KSQ262131:KSQ262196 LCM262131:LCM262196 LMI262131:LMI262196 LWE262131:LWE262196 MGA262131:MGA262196 MPW262131:MPW262196 MZS262131:MZS262196 NJO262131:NJO262196 NTK262131:NTK262196 ODG262131:ODG262196 ONC262131:ONC262196 OWY262131:OWY262196 PGU262131:PGU262196 PQQ262131:PQQ262196 QAM262131:QAM262196 QKI262131:QKI262196 QUE262131:QUE262196 REA262131:REA262196 RNW262131:RNW262196 RXS262131:RXS262196 SHO262131:SHO262196 SRK262131:SRK262196 TBG262131:TBG262196 TLC262131:TLC262196 TUY262131:TUY262196 UEU262131:UEU262196 UOQ262131:UOQ262196 UYM262131:UYM262196 VII262131:VII262196 VSE262131:VSE262196 WCA262131:WCA262196 WLW262131:WLW262196 WVS262131:WVS262196 K327667:K327732 JG327667:JG327732 TC327667:TC327732 ACY327667:ACY327732 AMU327667:AMU327732 AWQ327667:AWQ327732 BGM327667:BGM327732 BQI327667:BQI327732 CAE327667:CAE327732 CKA327667:CKA327732 CTW327667:CTW327732 DDS327667:DDS327732 DNO327667:DNO327732 DXK327667:DXK327732 EHG327667:EHG327732 ERC327667:ERC327732 FAY327667:FAY327732 FKU327667:FKU327732 FUQ327667:FUQ327732 GEM327667:GEM327732 GOI327667:GOI327732 GYE327667:GYE327732 HIA327667:HIA327732 HRW327667:HRW327732 IBS327667:IBS327732 ILO327667:ILO327732 IVK327667:IVK327732 JFG327667:JFG327732 JPC327667:JPC327732 JYY327667:JYY327732 KIU327667:KIU327732 KSQ327667:KSQ327732 LCM327667:LCM327732 LMI327667:LMI327732 LWE327667:LWE327732 MGA327667:MGA327732 MPW327667:MPW327732 MZS327667:MZS327732 NJO327667:NJO327732 NTK327667:NTK327732 ODG327667:ODG327732 ONC327667:ONC327732 OWY327667:OWY327732 PGU327667:PGU327732 PQQ327667:PQQ327732 QAM327667:QAM327732 QKI327667:QKI327732 QUE327667:QUE327732 REA327667:REA327732 RNW327667:RNW327732 RXS327667:RXS327732 SHO327667:SHO327732 SRK327667:SRK327732 TBG327667:TBG327732 TLC327667:TLC327732 TUY327667:TUY327732 UEU327667:UEU327732 UOQ327667:UOQ327732 UYM327667:UYM327732 VII327667:VII327732 VSE327667:VSE327732 WCA327667:WCA327732 WLW327667:WLW327732 WVS327667:WVS327732 K393203:K393268 JG393203:JG393268 TC393203:TC393268 ACY393203:ACY393268 AMU393203:AMU393268 AWQ393203:AWQ393268 BGM393203:BGM393268 BQI393203:BQI393268 CAE393203:CAE393268 CKA393203:CKA393268 CTW393203:CTW393268 DDS393203:DDS393268 DNO393203:DNO393268 DXK393203:DXK393268 EHG393203:EHG393268 ERC393203:ERC393268 FAY393203:FAY393268 FKU393203:FKU393268 FUQ393203:FUQ393268 GEM393203:GEM393268 GOI393203:GOI393268 GYE393203:GYE393268 HIA393203:HIA393268 HRW393203:HRW393268 IBS393203:IBS393268 ILO393203:ILO393268 IVK393203:IVK393268 JFG393203:JFG393268 JPC393203:JPC393268 JYY393203:JYY393268 KIU393203:KIU393268 KSQ393203:KSQ393268 LCM393203:LCM393268 LMI393203:LMI393268 LWE393203:LWE393268 MGA393203:MGA393268 MPW393203:MPW393268 MZS393203:MZS393268 NJO393203:NJO393268 NTK393203:NTK393268 ODG393203:ODG393268 ONC393203:ONC393268 OWY393203:OWY393268 PGU393203:PGU393268 PQQ393203:PQQ393268 QAM393203:QAM393268 QKI393203:QKI393268 QUE393203:QUE393268 REA393203:REA393268 RNW393203:RNW393268 RXS393203:RXS393268 SHO393203:SHO393268 SRK393203:SRK393268 TBG393203:TBG393268 TLC393203:TLC393268 TUY393203:TUY393268 UEU393203:UEU393268 UOQ393203:UOQ393268 UYM393203:UYM393268 VII393203:VII393268 VSE393203:VSE393268 WCA393203:WCA393268 WLW393203:WLW393268 WVS393203:WVS393268 K458739:K458804 JG458739:JG458804 TC458739:TC458804 ACY458739:ACY458804 AMU458739:AMU458804 AWQ458739:AWQ458804 BGM458739:BGM458804 BQI458739:BQI458804 CAE458739:CAE458804 CKA458739:CKA458804 CTW458739:CTW458804 DDS458739:DDS458804 DNO458739:DNO458804 DXK458739:DXK458804 EHG458739:EHG458804 ERC458739:ERC458804 FAY458739:FAY458804 FKU458739:FKU458804 FUQ458739:FUQ458804 GEM458739:GEM458804 GOI458739:GOI458804 GYE458739:GYE458804 HIA458739:HIA458804 HRW458739:HRW458804 IBS458739:IBS458804 ILO458739:ILO458804 IVK458739:IVK458804 JFG458739:JFG458804 JPC458739:JPC458804 JYY458739:JYY458804 KIU458739:KIU458804 KSQ458739:KSQ458804 LCM458739:LCM458804 LMI458739:LMI458804 LWE458739:LWE458804 MGA458739:MGA458804 MPW458739:MPW458804 MZS458739:MZS458804 NJO458739:NJO458804 NTK458739:NTK458804 ODG458739:ODG458804 ONC458739:ONC458804 OWY458739:OWY458804 PGU458739:PGU458804 PQQ458739:PQQ458804 QAM458739:QAM458804 QKI458739:QKI458804 QUE458739:QUE458804 REA458739:REA458804 RNW458739:RNW458804 RXS458739:RXS458804 SHO458739:SHO458804 SRK458739:SRK458804 TBG458739:TBG458804 TLC458739:TLC458804 TUY458739:TUY458804 UEU458739:UEU458804 UOQ458739:UOQ458804 UYM458739:UYM458804 VII458739:VII458804 VSE458739:VSE458804 WCA458739:WCA458804 WLW458739:WLW458804 WVS458739:WVS458804 K524275:K524340 JG524275:JG524340 TC524275:TC524340 ACY524275:ACY524340 AMU524275:AMU524340 AWQ524275:AWQ524340 BGM524275:BGM524340 BQI524275:BQI524340 CAE524275:CAE524340 CKA524275:CKA524340 CTW524275:CTW524340 DDS524275:DDS524340 DNO524275:DNO524340 DXK524275:DXK524340 EHG524275:EHG524340 ERC524275:ERC524340 FAY524275:FAY524340 FKU524275:FKU524340 FUQ524275:FUQ524340 GEM524275:GEM524340 GOI524275:GOI524340 GYE524275:GYE524340 HIA524275:HIA524340 HRW524275:HRW524340 IBS524275:IBS524340 ILO524275:ILO524340 IVK524275:IVK524340 JFG524275:JFG524340 JPC524275:JPC524340 JYY524275:JYY524340 KIU524275:KIU524340 KSQ524275:KSQ524340 LCM524275:LCM524340 LMI524275:LMI524340 LWE524275:LWE524340 MGA524275:MGA524340 MPW524275:MPW524340 MZS524275:MZS524340 NJO524275:NJO524340 NTK524275:NTK524340 ODG524275:ODG524340 ONC524275:ONC524340 OWY524275:OWY524340 PGU524275:PGU524340 PQQ524275:PQQ524340 QAM524275:QAM524340 QKI524275:QKI524340 QUE524275:QUE524340 REA524275:REA524340 RNW524275:RNW524340 RXS524275:RXS524340 SHO524275:SHO524340 SRK524275:SRK524340 TBG524275:TBG524340 TLC524275:TLC524340 TUY524275:TUY524340 UEU524275:UEU524340 UOQ524275:UOQ524340 UYM524275:UYM524340 VII524275:VII524340 VSE524275:VSE524340 WCA524275:WCA524340 WLW524275:WLW524340 WVS524275:WVS524340 K589811:K589876 JG589811:JG589876 TC589811:TC589876 ACY589811:ACY589876 AMU589811:AMU589876 AWQ589811:AWQ589876 BGM589811:BGM589876 BQI589811:BQI589876 CAE589811:CAE589876 CKA589811:CKA589876 CTW589811:CTW589876 DDS589811:DDS589876 DNO589811:DNO589876 DXK589811:DXK589876 EHG589811:EHG589876 ERC589811:ERC589876 FAY589811:FAY589876 FKU589811:FKU589876 FUQ589811:FUQ589876 GEM589811:GEM589876 GOI589811:GOI589876 GYE589811:GYE589876 HIA589811:HIA589876 HRW589811:HRW589876 IBS589811:IBS589876 ILO589811:ILO589876 IVK589811:IVK589876 JFG589811:JFG589876 JPC589811:JPC589876 JYY589811:JYY589876 KIU589811:KIU589876 KSQ589811:KSQ589876 LCM589811:LCM589876 LMI589811:LMI589876 LWE589811:LWE589876 MGA589811:MGA589876 MPW589811:MPW589876 MZS589811:MZS589876 NJO589811:NJO589876 NTK589811:NTK589876 ODG589811:ODG589876 ONC589811:ONC589876 OWY589811:OWY589876 PGU589811:PGU589876 PQQ589811:PQQ589876 QAM589811:QAM589876 QKI589811:QKI589876 QUE589811:QUE589876 REA589811:REA589876 RNW589811:RNW589876 RXS589811:RXS589876 SHO589811:SHO589876 SRK589811:SRK589876 TBG589811:TBG589876 TLC589811:TLC589876 TUY589811:TUY589876 UEU589811:UEU589876 UOQ589811:UOQ589876 UYM589811:UYM589876 VII589811:VII589876 VSE589811:VSE589876 WCA589811:WCA589876 WLW589811:WLW589876 WVS589811:WVS589876 K655347:K655412 JG655347:JG655412 TC655347:TC655412 ACY655347:ACY655412 AMU655347:AMU655412 AWQ655347:AWQ655412 BGM655347:BGM655412 BQI655347:BQI655412 CAE655347:CAE655412 CKA655347:CKA655412 CTW655347:CTW655412 DDS655347:DDS655412 DNO655347:DNO655412 DXK655347:DXK655412 EHG655347:EHG655412 ERC655347:ERC655412 FAY655347:FAY655412 FKU655347:FKU655412 FUQ655347:FUQ655412 GEM655347:GEM655412 GOI655347:GOI655412 GYE655347:GYE655412 HIA655347:HIA655412 HRW655347:HRW655412 IBS655347:IBS655412 ILO655347:ILO655412 IVK655347:IVK655412 JFG655347:JFG655412 JPC655347:JPC655412 JYY655347:JYY655412 KIU655347:KIU655412 KSQ655347:KSQ655412 LCM655347:LCM655412 LMI655347:LMI655412 LWE655347:LWE655412 MGA655347:MGA655412 MPW655347:MPW655412 MZS655347:MZS655412 NJO655347:NJO655412 NTK655347:NTK655412 ODG655347:ODG655412 ONC655347:ONC655412 OWY655347:OWY655412 PGU655347:PGU655412 PQQ655347:PQQ655412 QAM655347:QAM655412 QKI655347:QKI655412 QUE655347:QUE655412 REA655347:REA655412 RNW655347:RNW655412 RXS655347:RXS655412 SHO655347:SHO655412 SRK655347:SRK655412 TBG655347:TBG655412 TLC655347:TLC655412 TUY655347:TUY655412 UEU655347:UEU655412 UOQ655347:UOQ655412 UYM655347:UYM655412 VII655347:VII655412 VSE655347:VSE655412 WCA655347:WCA655412 WLW655347:WLW655412 WVS655347:WVS655412 K720883:K720948 JG720883:JG720948 TC720883:TC720948 ACY720883:ACY720948 AMU720883:AMU720948 AWQ720883:AWQ720948 BGM720883:BGM720948 BQI720883:BQI720948 CAE720883:CAE720948 CKA720883:CKA720948 CTW720883:CTW720948 DDS720883:DDS720948 DNO720883:DNO720948 DXK720883:DXK720948 EHG720883:EHG720948 ERC720883:ERC720948 FAY720883:FAY720948 FKU720883:FKU720948 FUQ720883:FUQ720948 GEM720883:GEM720948 GOI720883:GOI720948 GYE720883:GYE720948 HIA720883:HIA720948 HRW720883:HRW720948 IBS720883:IBS720948 ILO720883:ILO720948 IVK720883:IVK720948 JFG720883:JFG720948 JPC720883:JPC720948 JYY720883:JYY720948 KIU720883:KIU720948 KSQ720883:KSQ720948 LCM720883:LCM720948 LMI720883:LMI720948 LWE720883:LWE720948 MGA720883:MGA720948 MPW720883:MPW720948 MZS720883:MZS720948 NJO720883:NJO720948 NTK720883:NTK720948 ODG720883:ODG720948 ONC720883:ONC720948 OWY720883:OWY720948 PGU720883:PGU720948 PQQ720883:PQQ720948 QAM720883:QAM720948 QKI720883:QKI720948 QUE720883:QUE720948 REA720883:REA720948 RNW720883:RNW720948 RXS720883:RXS720948 SHO720883:SHO720948 SRK720883:SRK720948 TBG720883:TBG720948 TLC720883:TLC720948 TUY720883:TUY720948 UEU720883:UEU720948 UOQ720883:UOQ720948 UYM720883:UYM720948 VII720883:VII720948 VSE720883:VSE720948 WCA720883:WCA720948 WLW720883:WLW720948 WVS720883:WVS720948 K786419:K786484 JG786419:JG786484 TC786419:TC786484 ACY786419:ACY786484 AMU786419:AMU786484 AWQ786419:AWQ786484 BGM786419:BGM786484 BQI786419:BQI786484 CAE786419:CAE786484 CKA786419:CKA786484 CTW786419:CTW786484 DDS786419:DDS786484 DNO786419:DNO786484 DXK786419:DXK786484 EHG786419:EHG786484 ERC786419:ERC786484 FAY786419:FAY786484 FKU786419:FKU786484 FUQ786419:FUQ786484 GEM786419:GEM786484 GOI786419:GOI786484 GYE786419:GYE786484 HIA786419:HIA786484 HRW786419:HRW786484 IBS786419:IBS786484 ILO786419:ILO786484 IVK786419:IVK786484 JFG786419:JFG786484 JPC786419:JPC786484 JYY786419:JYY786484 KIU786419:KIU786484 KSQ786419:KSQ786484 LCM786419:LCM786484 LMI786419:LMI786484 LWE786419:LWE786484 MGA786419:MGA786484 MPW786419:MPW786484 MZS786419:MZS786484 NJO786419:NJO786484 NTK786419:NTK786484 ODG786419:ODG786484 ONC786419:ONC786484 OWY786419:OWY786484 PGU786419:PGU786484 PQQ786419:PQQ786484 QAM786419:QAM786484 QKI786419:QKI786484 QUE786419:QUE786484 REA786419:REA786484 RNW786419:RNW786484 RXS786419:RXS786484 SHO786419:SHO786484 SRK786419:SRK786484 TBG786419:TBG786484 TLC786419:TLC786484 TUY786419:TUY786484 UEU786419:UEU786484 UOQ786419:UOQ786484 UYM786419:UYM786484 VII786419:VII786484 VSE786419:VSE786484 WCA786419:WCA786484 WLW786419:WLW786484 WVS786419:WVS786484 K851955:K852020 JG851955:JG852020 TC851955:TC852020 ACY851955:ACY852020 AMU851955:AMU852020 AWQ851955:AWQ852020 BGM851955:BGM852020 BQI851955:BQI852020 CAE851955:CAE852020 CKA851955:CKA852020 CTW851955:CTW852020 DDS851955:DDS852020 DNO851955:DNO852020 DXK851955:DXK852020 EHG851955:EHG852020 ERC851955:ERC852020 FAY851955:FAY852020 FKU851955:FKU852020 FUQ851955:FUQ852020 GEM851955:GEM852020 GOI851955:GOI852020 GYE851955:GYE852020 HIA851955:HIA852020 HRW851955:HRW852020 IBS851955:IBS852020 ILO851955:ILO852020 IVK851955:IVK852020 JFG851955:JFG852020 JPC851955:JPC852020 JYY851955:JYY852020 KIU851955:KIU852020 KSQ851955:KSQ852020 LCM851955:LCM852020 LMI851955:LMI852020 LWE851955:LWE852020 MGA851955:MGA852020 MPW851955:MPW852020 MZS851955:MZS852020 NJO851955:NJO852020 NTK851955:NTK852020 ODG851955:ODG852020 ONC851955:ONC852020 OWY851955:OWY852020 PGU851955:PGU852020 PQQ851955:PQQ852020 QAM851955:QAM852020 QKI851955:QKI852020 QUE851955:QUE852020 REA851955:REA852020 RNW851955:RNW852020 RXS851955:RXS852020 SHO851955:SHO852020 SRK851955:SRK852020 TBG851955:TBG852020 TLC851955:TLC852020 TUY851955:TUY852020 UEU851955:UEU852020 UOQ851955:UOQ852020 UYM851955:UYM852020 VII851955:VII852020 VSE851955:VSE852020 WCA851955:WCA852020 WLW851955:WLW852020 WVS851955:WVS852020 K917491:K917556 JG917491:JG917556 TC917491:TC917556 ACY917491:ACY917556 AMU917491:AMU917556 AWQ917491:AWQ917556 BGM917491:BGM917556 BQI917491:BQI917556 CAE917491:CAE917556 CKA917491:CKA917556 CTW917491:CTW917556 DDS917491:DDS917556 DNO917491:DNO917556 DXK917491:DXK917556 EHG917491:EHG917556 ERC917491:ERC917556 FAY917491:FAY917556 FKU917491:FKU917556 FUQ917491:FUQ917556 GEM917491:GEM917556 GOI917491:GOI917556 GYE917491:GYE917556 HIA917491:HIA917556 HRW917491:HRW917556 IBS917491:IBS917556 ILO917491:ILO917556 IVK917491:IVK917556 JFG917491:JFG917556 JPC917491:JPC917556 JYY917491:JYY917556 KIU917491:KIU917556 KSQ917491:KSQ917556 LCM917491:LCM917556 LMI917491:LMI917556 LWE917491:LWE917556 MGA917491:MGA917556 MPW917491:MPW917556 MZS917491:MZS917556 NJO917491:NJO917556 NTK917491:NTK917556 ODG917491:ODG917556 ONC917491:ONC917556 OWY917491:OWY917556 PGU917491:PGU917556 PQQ917491:PQQ917556 QAM917491:QAM917556 QKI917491:QKI917556 QUE917491:QUE917556 REA917491:REA917556 RNW917491:RNW917556 RXS917491:RXS917556 SHO917491:SHO917556 SRK917491:SRK917556 TBG917491:TBG917556 TLC917491:TLC917556 TUY917491:TUY917556 UEU917491:UEU917556 UOQ917491:UOQ917556 UYM917491:UYM917556 VII917491:VII917556 VSE917491:VSE917556 WCA917491:WCA917556 WLW917491:WLW917556 WVS917491:WVS917556 K983027:K983092 JG983027:JG983092 TC983027:TC983092 ACY983027:ACY983092 AMU983027:AMU983092 AWQ983027:AWQ983092 BGM983027:BGM983092 BQI983027:BQI983092 CAE983027:CAE983092 CKA983027:CKA983092 CTW983027:CTW983092 DDS983027:DDS983092 DNO983027:DNO983092 DXK983027:DXK983092 EHG983027:EHG983092 ERC983027:ERC983092 FAY983027:FAY983092 FKU983027:FKU983092 FUQ983027:FUQ983092 GEM983027:GEM983092 GOI983027:GOI983092 GYE983027:GYE983092 HIA983027:HIA983092 HRW983027:HRW983092 IBS983027:IBS983092 ILO983027:ILO983092 IVK983027:IVK983092 JFG983027:JFG983092 JPC983027:JPC983092 JYY983027:JYY983092 KIU983027:KIU983092 KSQ983027:KSQ983092 LCM983027:LCM983092 LMI983027:LMI983092 LWE983027:LWE983092 MGA983027:MGA983092 MPW983027:MPW983092 MZS983027:MZS983092 NJO983027:NJO983092 NTK983027:NTK983092 ODG983027:ODG983092 ONC983027:ONC983092 OWY983027:OWY983092 PGU983027:PGU983092 PQQ983027:PQQ983092 QAM983027:QAM983092 QKI983027:QKI983092 QUE983027:QUE983092 REA983027:REA983092 RNW983027:RNW983092 RXS983027:RXS983092 SHO983027:SHO983092 SRK983027:SRK983092 TBG983027:TBG983092 TLC983027:TLC983092 TUY983027:TUY983092 UEU983027:UEU983092 UOQ983027:UOQ983092 UYM983027:UYM983092 VII983027:VII983092 VSE983027:VSE983092 WCA983027:WCA983092 WLW983027:WLW983092 K428:K485 JG2:JG72 TC2:TC72 ACY2:ACY72 AMU2:AMU72 AWQ2:AWQ72 BGM2:BGM72 BQI2:BQI72 CAE2:CAE72 CKA2:CKA72 CTW2:CTW72 DDS2:DDS72 DNO2:DNO72 DXK2:DXK72 EHG2:EHG72 ERC2:ERC72 FAY2:FAY72 FKU2:FKU72 FUQ2:FUQ72 GEM2:GEM72 GOI2:GOI72 GYE2:GYE72 HIA2:HIA72 HRW2:HRW72 IBS2:IBS72 ILO2:ILO72 IVK2:IVK72 JFG2:JFG72 JPC2:JPC72 JYY2:JYY72 KIU2:KIU72 KSQ2:KSQ72 LCM2:LCM72 LMI2:LMI72 LWE2:LWE72 MGA2:MGA72 MPW2:MPW72 MZS2:MZS72 NJO2:NJO72 NTK2:NTK72 ODG2:ODG72 ONC2:ONC72 OWY2:OWY72 PGU2:PGU72 PQQ2:PQQ72 QAM2:QAM72 QKI2:QKI72 QUE2:QUE72 REA2:REA72 RNW2:RNW72 RXS2:RXS72 SHO2:SHO72 SRK2:SRK72 TBG2:TBG72 TLC2:TLC72 TUY2:TUY72 UEU2:UEU72 UOQ2:UOQ72 UYM2:UYM72 VII2:VII72 VSE2:VSE72 WCA2:WCA72 WLW2:WLW72 WVS2:WVS72" xr:uid="{0CAD8A90-031F-4D1F-8EE9-4EEE7D4BC6B2}">
      <formula1>$AR$2:$AR$25</formula1>
    </dataValidation>
    <dataValidation type="list" allowBlank="1" showInputMessage="1" showErrorMessage="1" sqref="WVR983027:WVR983092 J65523:J65588 JF65523:JF65588 TB65523:TB65588 ACX65523:ACX65588 AMT65523:AMT65588 AWP65523:AWP65588 BGL65523:BGL65588 BQH65523:BQH65588 CAD65523:CAD65588 CJZ65523:CJZ65588 CTV65523:CTV65588 DDR65523:DDR65588 DNN65523:DNN65588 DXJ65523:DXJ65588 EHF65523:EHF65588 ERB65523:ERB65588 FAX65523:FAX65588 FKT65523:FKT65588 FUP65523:FUP65588 GEL65523:GEL65588 GOH65523:GOH65588 GYD65523:GYD65588 HHZ65523:HHZ65588 HRV65523:HRV65588 IBR65523:IBR65588 ILN65523:ILN65588 IVJ65523:IVJ65588 JFF65523:JFF65588 JPB65523:JPB65588 JYX65523:JYX65588 KIT65523:KIT65588 KSP65523:KSP65588 LCL65523:LCL65588 LMH65523:LMH65588 LWD65523:LWD65588 MFZ65523:MFZ65588 MPV65523:MPV65588 MZR65523:MZR65588 NJN65523:NJN65588 NTJ65523:NTJ65588 ODF65523:ODF65588 ONB65523:ONB65588 OWX65523:OWX65588 PGT65523:PGT65588 PQP65523:PQP65588 QAL65523:QAL65588 QKH65523:QKH65588 QUD65523:QUD65588 RDZ65523:RDZ65588 RNV65523:RNV65588 RXR65523:RXR65588 SHN65523:SHN65588 SRJ65523:SRJ65588 TBF65523:TBF65588 TLB65523:TLB65588 TUX65523:TUX65588 UET65523:UET65588 UOP65523:UOP65588 UYL65523:UYL65588 VIH65523:VIH65588 VSD65523:VSD65588 WBZ65523:WBZ65588 WLV65523:WLV65588 WVR65523:WVR65588 J131059:J131124 JF131059:JF131124 TB131059:TB131124 ACX131059:ACX131124 AMT131059:AMT131124 AWP131059:AWP131124 BGL131059:BGL131124 BQH131059:BQH131124 CAD131059:CAD131124 CJZ131059:CJZ131124 CTV131059:CTV131124 DDR131059:DDR131124 DNN131059:DNN131124 DXJ131059:DXJ131124 EHF131059:EHF131124 ERB131059:ERB131124 FAX131059:FAX131124 FKT131059:FKT131124 FUP131059:FUP131124 GEL131059:GEL131124 GOH131059:GOH131124 GYD131059:GYD131124 HHZ131059:HHZ131124 HRV131059:HRV131124 IBR131059:IBR131124 ILN131059:ILN131124 IVJ131059:IVJ131124 JFF131059:JFF131124 JPB131059:JPB131124 JYX131059:JYX131124 KIT131059:KIT131124 KSP131059:KSP131124 LCL131059:LCL131124 LMH131059:LMH131124 LWD131059:LWD131124 MFZ131059:MFZ131124 MPV131059:MPV131124 MZR131059:MZR131124 NJN131059:NJN131124 NTJ131059:NTJ131124 ODF131059:ODF131124 ONB131059:ONB131124 OWX131059:OWX131124 PGT131059:PGT131124 PQP131059:PQP131124 QAL131059:QAL131124 QKH131059:QKH131124 QUD131059:QUD131124 RDZ131059:RDZ131124 RNV131059:RNV131124 RXR131059:RXR131124 SHN131059:SHN131124 SRJ131059:SRJ131124 TBF131059:TBF131124 TLB131059:TLB131124 TUX131059:TUX131124 UET131059:UET131124 UOP131059:UOP131124 UYL131059:UYL131124 VIH131059:VIH131124 VSD131059:VSD131124 WBZ131059:WBZ131124 WLV131059:WLV131124 WVR131059:WVR131124 J196595:J196660 JF196595:JF196660 TB196595:TB196660 ACX196595:ACX196660 AMT196595:AMT196660 AWP196595:AWP196660 BGL196595:BGL196660 BQH196595:BQH196660 CAD196595:CAD196660 CJZ196595:CJZ196660 CTV196595:CTV196660 DDR196595:DDR196660 DNN196595:DNN196660 DXJ196595:DXJ196660 EHF196595:EHF196660 ERB196595:ERB196660 FAX196595:FAX196660 FKT196595:FKT196660 FUP196595:FUP196660 GEL196595:GEL196660 GOH196595:GOH196660 GYD196595:GYD196660 HHZ196595:HHZ196660 HRV196595:HRV196660 IBR196595:IBR196660 ILN196595:ILN196660 IVJ196595:IVJ196660 JFF196595:JFF196660 JPB196595:JPB196660 JYX196595:JYX196660 KIT196595:KIT196660 KSP196595:KSP196660 LCL196595:LCL196660 LMH196595:LMH196660 LWD196595:LWD196660 MFZ196595:MFZ196660 MPV196595:MPV196660 MZR196595:MZR196660 NJN196595:NJN196660 NTJ196595:NTJ196660 ODF196595:ODF196660 ONB196595:ONB196660 OWX196595:OWX196660 PGT196595:PGT196660 PQP196595:PQP196660 QAL196595:QAL196660 QKH196595:QKH196660 QUD196595:QUD196660 RDZ196595:RDZ196660 RNV196595:RNV196660 RXR196595:RXR196660 SHN196595:SHN196660 SRJ196595:SRJ196660 TBF196595:TBF196660 TLB196595:TLB196660 TUX196595:TUX196660 UET196595:UET196660 UOP196595:UOP196660 UYL196595:UYL196660 VIH196595:VIH196660 VSD196595:VSD196660 WBZ196595:WBZ196660 WLV196595:WLV196660 WVR196595:WVR196660 J262131:J262196 JF262131:JF262196 TB262131:TB262196 ACX262131:ACX262196 AMT262131:AMT262196 AWP262131:AWP262196 BGL262131:BGL262196 BQH262131:BQH262196 CAD262131:CAD262196 CJZ262131:CJZ262196 CTV262131:CTV262196 DDR262131:DDR262196 DNN262131:DNN262196 DXJ262131:DXJ262196 EHF262131:EHF262196 ERB262131:ERB262196 FAX262131:FAX262196 FKT262131:FKT262196 FUP262131:FUP262196 GEL262131:GEL262196 GOH262131:GOH262196 GYD262131:GYD262196 HHZ262131:HHZ262196 HRV262131:HRV262196 IBR262131:IBR262196 ILN262131:ILN262196 IVJ262131:IVJ262196 JFF262131:JFF262196 JPB262131:JPB262196 JYX262131:JYX262196 KIT262131:KIT262196 KSP262131:KSP262196 LCL262131:LCL262196 LMH262131:LMH262196 LWD262131:LWD262196 MFZ262131:MFZ262196 MPV262131:MPV262196 MZR262131:MZR262196 NJN262131:NJN262196 NTJ262131:NTJ262196 ODF262131:ODF262196 ONB262131:ONB262196 OWX262131:OWX262196 PGT262131:PGT262196 PQP262131:PQP262196 QAL262131:QAL262196 QKH262131:QKH262196 QUD262131:QUD262196 RDZ262131:RDZ262196 RNV262131:RNV262196 RXR262131:RXR262196 SHN262131:SHN262196 SRJ262131:SRJ262196 TBF262131:TBF262196 TLB262131:TLB262196 TUX262131:TUX262196 UET262131:UET262196 UOP262131:UOP262196 UYL262131:UYL262196 VIH262131:VIH262196 VSD262131:VSD262196 WBZ262131:WBZ262196 WLV262131:WLV262196 WVR262131:WVR262196 J327667:J327732 JF327667:JF327732 TB327667:TB327732 ACX327667:ACX327732 AMT327667:AMT327732 AWP327667:AWP327732 BGL327667:BGL327732 BQH327667:BQH327732 CAD327667:CAD327732 CJZ327667:CJZ327732 CTV327667:CTV327732 DDR327667:DDR327732 DNN327667:DNN327732 DXJ327667:DXJ327732 EHF327667:EHF327732 ERB327667:ERB327732 FAX327667:FAX327732 FKT327667:FKT327732 FUP327667:FUP327732 GEL327667:GEL327732 GOH327667:GOH327732 GYD327667:GYD327732 HHZ327667:HHZ327732 HRV327667:HRV327732 IBR327667:IBR327732 ILN327667:ILN327732 IVJ327667:IVJ327732 JFF327667:JFF327732 JPB327667:JPB327732 JYX327667:JYX327732 KIT327667:KIT327732 KSP327667:KSP327732 LCL327667:LCL327732 LMH327667:LMH327732 LWD327667:LWD327732 MFZ327667:MFZ327732 MPV327667:MPV327732 MZR327667:MZR327732 NJN327667:NJN327732 NTJ327667:NTJ327732 ODF327667:ODF327732 ONB327667:ONB327732 OWX327667:OWX327732 PGT327667:PGT327732 PQP327667:PQP327732 QAL327667:QAL327732 QKH327667:QKH327732 QUD327667:QUD327732 RDZ327667:RDZ327732 RNV327667:RNV327732 RXR327667:RXR327732 SHN327667:SHN327732 SRJ327667:SRJ327732 TBF327667:TBF327732 TLB327667:TLB327732 TUX327667:TUX327732 UET327667:UET327732 UOP327667:UOP327732 UYL327667:UYL327732 VIH327667:VIH327732 VSD327667:VSD327732 WBZ327667:WBZ327732 WLV327667:WLV327732 WVR327667:WVR327732 J393203:J393268 JF393203:JF393268 TB393203:TB393268 ACX393203:ACX393268 AMT393203:AMT393268 AWP393203:AWP393268 BGL393203:BGL393268 BQH393203:BQH393268 CAD393203:CAD393268 CJZ393203:CJZ393268 CTV393203:CTV393268 DDR393203:DDR393268 DNN393203:DNN393268 DXJ393203:DXJ393268 EHF393203:EHF393268 ERB393203:ERB393268 FAX393203:FAX393268 FKT393203:FKT393268 FUP393203:FUP393268 GEL393203:GEL393268 GOH393203:GOH393268 GYD393203:GYD393268 HHZ393203:HHZ393268 HRV393203:HRV393268 IBR393203:IBR393268 ILN393203:ILN393268 IVJ393203:IVJ393268 JFF393203:JFF393268 JPB393203:JPB393268 JYX393203:JYX393268 KIT393203:KIT393268 KSP393203:KSP393268 LCL393203:LCL393268 LMH393203:LMH393268 LWD393203:LWD393268 MFZ393203:MFZ393268 MPV393203:MPV393268 MZR393203:MZR393268 NJN393203:NJN393268 NTJ393203:NTJ393268 ODF393203:ODF393268 ONB393203:ONB393268 OWX393203:OWX393268 PGT393203:PGT393268 PQP393203:PQP393268 QAL393203:QAL393268 QKH393203:QKH393268 QUD393203:QUD393268 RDZ393203:RDZ393268 RNV393203:RNV393268 RXR393203:RXR393268 SHN393203:SHN393268 SRJ393203:SRJ393268 TBF393203:TBF393268 TLB393203:TLB393268 TUX393203:TUX393268 UET393203:UET393268 UOP393203:UOP393268 UYL393203:UYL393268 VIH393203:VIH393268 VSD393203:VSD393268 WBZ393203:WBZ393268 WLV393203:WLV393268 WVR393203:WVR393268 J458739:J458804 JF458739:JF458804 TB458739:TB458804 ACX458739:ACX458804 AMT458739:AMT458804 AWP458739:AWP458804 BGL458739:BGL458804 BQH458739:BQH458804 CAD458739:CAD458804 CJZ458739:CJZ458804 CTV458739:CTV458804 DDR458739:DDR458804 DNN458739:DNN458804 DXJ458739:DXJ458804 EHF458739:EHF458804 ERB458739:ERB458804 FAX458739:FAX458804 FKT458739:FKT458804 FUP458739:FUP458804 GEL458739:GEL458804 GOH458739:GOH458804 GYD458739:GYD458804 HHZ458739:HHZ458804 HRV458739:HRV458804 IBR458739:IBR458804 ILN458739:ILN458804 IVJ458739:IVJ458804 JFF458739:JFF458804 JPB458739:JPB458804 JYX458739:JYX458804 KIT458739:KIT458804 KSP458739:KSP458804 LCL458739:LCL458804 LMH458739:LMH458804 LWD458739:LWD458804 MFZ458739:MFZ458804 MPV458739:MPV458804 MZR458739:MZR458804 NJN458739:NJN458804 NTJ458739:NTJ458804 ODF458739:ODF458804 ONB458739:ONB458804 OWX458739:OWX458804 PGT458739:PGT458804 PQP458739:PQP458804 QAL458739:QAL458804 QKH458739:QKH458804 QUD458739:QUD458804 RDZ458739:RDZ458804 RNV458739:RNV458804 RXR458739:RXR458804 SHN458739:SHN458804 SRJ458739:SRJ458804 TBF458739:TBF458804 TLB458739:TLB458804 TUX458739:TUX458804 UET458739:UET458804 UOP458739:UOP458804 UYL458739:UYL458804 VIH458739:VIH458804 VSD458739:VSD458804 WBZ458739:WBZ458804 WLV458739:WLV458804 WVR458739:WVR458804 J524275:J524340 JF524275:JF524340 TB524275:TB524340 ACX524275:ACX524340 AMT524275:AMT524340 AWP524275:AWP524340 BGL524275:BGL524340 BQH524275:BQH524340 CAD524275:CAD524340 CJZ524275:CJZ524340 CTV524275:CTV524340 DDR524275:DDR524340 DNN524275:DNN524340 DXJ524275:DXJ524340 EHF524275:EHF524340 ERB524275:ERB524340 FAX524275:FAX524340 FKT524275:FKT524340 FUP524275:FUP524340 GEL524275:GEL524340 GOH524275:GOH524340 GYD524275:GYD524340 HHZ524275:HHZ524340 HRV524275:HRV524340 IBR524275:IBR524340 ILN524275:ILN524340 IVJ524275:IVJ524340 JFF524275:JFF524340 JPB524275:JPB524340 JYX524275:JYX524340 KIT524275:KIT524340 KSP524275:KSP524340 LCL524275:LCL524340 LMH524275:LMH524340 LWD524275:LWD524340 MFZ524275:MFZ524340 MPV524275:MPV524340 MZR524275:MZR524340 NJN524275:NJN524340 NTJ524275:NTJ524340 ODF524275:ODF524340 ONB524275:ONB524340 OWX524275:OWX524340 PGT524275:PGT524340 PQP524275:PQP524340 QAL524275:QAL524340 QKH524275:QKH524340 QUD524275:QUD524340 RDZ524275:RDZ524340 RNV524275:RNV524340 RXR524275:RXR524340 SHN524275:SHN524340 SRJ524275:SRJ524340 TBF524275:TBF524340 TLB524275:TLB524340 TUX524275:TUX524340 UET524275:UET524340 UOP524275:UOP524340 UYL524275:UYL524340 VIH524275:VIH524340 VSD524275:VSD524340 WBZ524275:WBZ524340 WLV524275:WLV524340 WVR524275:WVR524340 J589811:J589876 JF589811:JF589876 TB589811:TB589876 ACX589811:ACX589876 AMT589811:AMT589876 AWP589811:AWP589876 BGL589811:BGL589876 BQH589811:BQH589876 CAD589811:CAD589876 CJZ589811:CJZ589876 CTV589811:CTV589876 DDR589811:DDR589876 DNN589811:DNN589876 DXJ589811:DXJ589876 EHF589811:EHF589876 ERB589811:ERB589876 FAX589811:FAX589876 FKT589811:FKT589876 FUP589811:FUP589876 GEL589811:GEL589876 GOH589811:GOH589876 GYD589811:GYD589876 HHZ589811:HHZ589876 HRV589811:HRV589876 IBR589811:IBR589876 ILN589811:ILN589876 IVJ589811:IVJ589876 JFF589811:JFF589876 JPB589811:JPB589876 JYX589811:JYX589876 KIT589811:KIT589876 KSP589811:KSP589876 LCL589811:LCL589876 LMH589811:LMH589876 LWD589811:LWD589876 MFZ589811:MFZ589876 MPV589811:MPV589876 MZR589811:MZR589876 NJN589811:NJN589876 NTJ589811:NTJ589876 ODF589811:ODF589876 ONB589811:ONB589876 OWX589811:OWX589876 PGT589811:PGT589876 PQP589811:PQP589876 QAL589811:QAL589876 QKH589811:QKH589876 QUD589811:QUD589876 RDZ589811:RDZ589876 RNV589811:RNV589876 RXR589811:RXR589876 SHN589811:SHN589876 SRJ589811:SRJ589876 TBF589811:TBF589876 TLB589811:TLB589876 TUX589811:TUX589876 UET589811:UET589876 UOP589811:UOP589876 UYL589811:UYL589876 VIH589811:VIH589876 VSD589811:VSD589876 WBZ589811:WBZ589876 WLV589811:WLV589876 WVR589811:WVR589876 J655347:J655412 JF655347:JF655412 TB655347:TB655412 ACX655347:ACX655412 AMT655347:AMT655412 AWP655347:AWP655412 BGL655347:BGL655412 BQH655347:BQH655412 CAD655347:CAD655412 CJZ655347:CJZ655412 CTV655347:CTV655412 DDR655347:DDR655412 DNN655347:DNN655412 DXJ655347:DXJ655412 EHF655347:EHF655412 ERB655347:ERB655412 FAX655347:FAX655412 FKT655347:FKT655412 FUP655347:FUP655412 GEL655347:GEL655412 GOH655347:GOH655412 GYD655347:GYD655412 HHZ655347:HHZ655412 HRV655347:HRV655412 IBR655347:IBR655412 ILN655347:ILN655412 IVJ655347:IVJ655412 JFF655347:JFF655412 JPB655347:JPB655412 JYX655347:JYX655412 KIT655347:KIT655412 KSP655347:KSP655412 LCL655347:LCL655412 LMH655347:LMH655412 LWD655347:LWD655412 MFZ655347:MFZ655412 MPV655347:MPV655412 MZR655347:MZR655412 NJN655347:NJN655412 NTJ655347:NTJ655412 ODF655347:ODF655412 ONB655347:ONB655412 OWX655347:OWX655412 PGT655347:PGT655412 PQP655347:PQP655412 QAL655347:QAL655412 QKH655347:QKH655412 QUD655347:QUD655412 RDZ655347:RDZ655412 RNV655347:RNV655412 RXR655347:RXR655412 SHN655347:SHN655412 SRJ655347:SRJ655412 TBF655347:TBF655412 TLB655347:TLB655412 TUX655347:TUX655412 UET655347:UET655412 UOP655347:UOP655412 UYL655347:UYL655412 VIH655347:VIH655412 VSD655347:VSD655412 WBZ655347:WBZ655412 WLV655347:WLV655412 WVR655347:WVR655412 J720883:J720948 JF720883:JF720948 TB720883:TB720948 ACX720883:ACX720948 AMT720883:AMT720948 AWP720883:AWP720948 BGL720883:BGL720948 BQH720883:BQH720948 CAD720883:CAD720948 CJZ720883:CJZ720948 CTV720883:CTV720948 DDR720883:DDR720948 DNN720883:DNN720948 DXJ720883:DXJ720948 EHF720883:EHF720948 ERB720883:ERB720948 FAX720883:FAX720948 FKT720883:FKT720948 FUP720883:FUP720948 GEL720883:GEL720948 GOH720883:GOH720948 GYD720883:GYD720948 HHZ720883:HHZ720948 HRV720883:HRV720948 IBR720883:IBR720948 ILN720883:ILN720948 IVJ720883:IVJ720948 JFF720883:JFF720948 JPB720883:JPB720948 JYX720883:JYX720948 KIT720883:KIT720948 KSP720883:KSP720948 LCL720883:LCL720948 LMH720883:LMH720948 LWD720883:LWD720948 MFZ720883:MFZ720948 MPV720883:MPV720948 MZR720883:MZR720948 NJN720883:NJN720948 NTJ720883:NTJ720948 ODF720883:ODF720948 ONB720883:ONB720948 OWX720883:OWX720948 PGT720883:PGT720948 PQP720883:PQP720948 QAL720883:QAL720948 QKH720883:QKH720948 QUD720883:QUD720948 RDZ720883:RDZ720948 RNV720883:RNV720948 RXR720883:RXR720948 SHN720883:SHN720948 SRJ720883:SRJ720948 TBF720883:TBF720948 TLB720883:TLB720948 TUX720883:TUX720948 UET720883:UET720948 UOP720883:UOP720948 UYL720883:UYL720948 VIH720883:VIH720948 VSD720883:VSD720948 WBZ720883:WBZ720948 WLV720883:WLV720948 WVR720883:WVR720948 J786419:J786484 JF786419:JF786484 TB786419:TB786484 ACX786419:ACX786484 AMT786419:AMT786484 AWP786419:AWP786484 BGL786419:BGL786484 BQH786419:BQH786484 CAD786419:CAD786484 CJZ786419:CJZ786484 CTV786419:CTV786484 DDR786419:DDR786484 DNN786419:DNN786484 DXJ786419:DXJ786484 EHF786419:EHF786484 ERB786419:ERB786484 FAX786419:FAX786484 FKT786419:FKT786484 FUP786419:FUP786484 GEL786419:GEL786484 GOH786419:GOH786484 GYD786419:GYD786484 HHZ786419:HHZ786484 HRV786419:HRV786484 IBR786419:IBR786484 ILN786419:ILN786484 IVJ786419:IVJ786484 JFF786419:JFF786484 JPB786419:JPB786484 JYX786419:JYX786484 KIT786419:KIT786484 KSP786419:KSP786484 LCL786419:LCL786484 LMH786419:LMH786484 LWD786419:LWD786484 MFZ786419:MFZ786484 MPV786419:MPV786484 MZR786419:MZR786484 NJN786419:NJN786484 NTJ786419:NTJ786484 ODF786419:ODF786484 ONB786419:ONB786484 OWX786419:OWX786484 PGT786419:PGT786484 PQP786419:PQP786484 QAL786419:QAL786484 QKH786419:QKH786484 QUD786419:QUD786484 RDZ786419:RDZ786484 RNV786419:RNV786484 RXR786419:RXR786484 SHN786419:SHN786484 SRJ786419:SRJ786484 TBF786419:TBF786484 TLB786419:TLB786484 TUX786419:TUX786484 UET786419:UET786484 UOP786419:UOP786484 UYL786419:UYL786484 VIH786419:VIH786484 VSD786419:VSD786484 WBZ786419:WBZ786484 WLV786419:WLV786484 WVR786419:WVR786484 J851955:J852020 JF851955:JF852020 TB851955:TB852020 ACX851955:ACX852020 AMT851955:AMT852020 AWP851955:AWP852020 BGL851955:BGL852020 BQH851955:BQH852020 CAD851955:CAD852020 CJZ851955:CJZ852020 CTV851955:CTV852020 DDR851955:DDR852020 DNN851955:DNN852020 DXJ851955:DXJ852020 EHF851955:EHF852020 ERB851955:ERB852020 FAX851955:FAX852020 FKT851955:FKT852020 FUP851955:FUP852020 GEL851955:GEL852020 GOH851955:GOH852020 GYD851955:GYD852020 HHZ851955:HHZ852020 HRV851955:HRV852020 IBR851955:IBR852020 ILN851955:ILN852020 IVJ851955:IVJ852020 JFF851955:JFF852020 JPB851955:JPB852020 JYX851955:JYX852020 KIT851955:KIT852020 KSP851955:KSP852020 LCL851955:LCL852020 LMH851955:LMH852020 LWD851955:LWD852020 MFZ851955:MFZ852020 MPV851955:MPV852020 MZR851955:MZR852020 NJN851955:NJN852020 NTJ851955:NTJ852020 ODF851955:ODF852020 ONB851955:ONB852020 OWX851955:OWX852020 PGT851955:PGT852020 PQP851955:PQP852020 QAL851955:QAL852020 QKH851955:QKH852020 QUD851955:QUD852020 RDZ851955:RDZ852020 RNV851955:RNV852020 RXR851955:RXR852020 SHN851955:SHN852020 SRJ851955:SRJ852020 TBF851955:TBF852020 TLB851955:TLB852020 TUX851955:TUX852020 UET851955:UET852020 UOP851955:UOP852020 UYL851955:UYL852020 VIH851955:VIH852020 VSD851955:VSD852020 WBZ851955:WBZ852020 WLV851955:WLV852020 WVR851955:WVR852020 J917491:J917556 JF917491:JF917556 TB917491:TB917556 ACX917491:ACX917556 AMT917491:AMT917556 AWP917491:AWP917556 BGL917491:BGL917556 BQH917491:BQH917556 CAD917491:CAD917556 CJZ917491:CJZ917556 CTV917491:CTV917556 DDR917491:DDR917556 DNN917491:DNN917556 DXJ917491:DXJ917556 EHF917491:EHF917556 ERB917491:ERB917556 FAX917491:FAX917556 FKT917491:FKT917556 FUP917491:FUP917556 GEL917491:GEL917556 GOH917491:GOH917556 GYD917491:GYD917556 HHZ917491:HHZ917556 HRV917491:HRV917556 IBR917491:IBR917556 ILN917491:ILN917556 IVJ917491:IVJ917556 JFF917491:JFF917556 JPB917491:JPB917556 JYX917491:JYX917556 KIT917491:KIT917556 KSP917491:KSP917556 LCL917491:LCL917556 LMH917491:LMH917556 LWD917491:LWD917556 MFZ917491:MFZ917556 MPV917491:MPV917556 MZR917491:MZR917556 NJN917491:NJN917556 NTJ917491:NTJ917556 ODF917491:ODF917556 ONB917491:ONB917556 OWX917491:OWX917556 PGT917491:PGT917556 PQP917491:PQP917556 QAL917491:QAL917556 QKH917491:QKH917556 QUD917491:QUD917556 RDZ917491:RDZ917556 RNV917491:RNV917556 RXR917491:RXR917556 SHN917491:SHN917556 SRJ917491:SRJ917556 TBF917491:TBF917556 TLB917491:TLB917556 TUX917491:TUX917556 UET917491:UET917556 UOP917491:UOP917556 UYL917491:UYL917556 VIH917491:VIH917556 VSD917491:VSD917556 WBZ917491:WBZ917556 WLV917491:WLV917556 WVR917491:WVR917556 J983027:J983092 JF983027:JF983092 TB983027:TB983092 ACX983027:ACX983092 AMT983027:AMT983092 AWP983027:AWP983092 BGL983027:BGL983092 BQH983027:BQH983092 CAD983027:CAD983092 CJZ983027:CJZ983092 CTV983027:CTV983092 DDR983027:DDR983092 DNN983027:DNN983092 DXJ983027:DXJ983092 EHF983027:EHF983092 ERB983027:ERB983092 FAX983027:FAX983092 FKT983027:FKT983092 FUP983027:FUP983092 GEL983027:GEL983092 GOH983027:GOH983092 GYD983027:GYD983092 HHZ983027:HHZ983092 HRV983027:HRV983092 IBR983027:IBR983092 ILN983027:ILN983092 IVJ983027:IVJ983092 JFF983027:JFF983092 JPB983027:JPB983092 JYX983027:JYX983092 KIT983027:KIT983092 KSP983027:KSP983092 LCL983027:LCL983092 LMH983027:LMH983092 LWD983027:LWD983092 MFZ983027:MFZ983092 MPV983027:MPV983092 MZR983027:MZR983092 NJN983027:NJN983092 NTJ983027:NTJ983092 ODF983027:ODF983092 ONB983027:ONB983092 OWX983027:OWX983092 PGT983027:PGT983092 PQP983027:PQP983092 QAL983027:QAL983092 QKH983027:QKH983092 QUD983027:QUD983092 RDZ983027:RDZ983092 RNV983027:RNV983092 RXR983027:RXR983092 SHN983027:SHN983092 SRJ983027:SRJ983092 TBF983027:TBF983092 TLB983027:TLB983092 TUX983027:TUX983092 UET983027:UET983092 UOP983027:UOP983092 UYL983027:UYL983092 VIH983027:VIH983092 VSD983027:VSD983092 WBZ983027:WBZ983092 WLV983027:WLV983092 J73:J485 WVR2:WVR72 JF2:JF72 TB2:TB72 ACX2:ACX72 AMT2:AMT72 AWP2:AWP72 BGL2:BGL72 BQH2:BQH72 CAD2:CAD72 CJZ2:CJZ72 CTV2:CTV72 DDR2:DDR72 DNN2:DNN72 DXJ2:DXJ72 EHF2:EHF72 ERB2:ERB72 FAX2:FAX72 FKT2:FKT72 FUP2:FUP72 GEL2:GEL72 GOH2:GOH72 GYD2:GYD72 HHZ2:HHZ72 HRV2:HRV72 IBR2:IBR72 ILN2:ILN72 IVJ2:IVJ72 JFF2:JFF72 JPB2:JPB72 JYX2:JYX72 KIT2:KIT72 KSP2:KSP72 LCL2:LCL72 LMH2:LMH72 LWD2:LWD72 MFZ2:MFZ72 MPV2:MPV72 MZR2:MZR72 NJN2:NJN72 NTJ2:NTJ72 ODF2:ODF72 ONB2:ONB72 OWX2:OWX72 PGT2:PGT72 PQP2:PQP72 QAL2:QAL72 QKH2:QKH72 QUD2:QUD72 RDZ2:RDZ72 RNV2:RNV72 RXR2:RXR72 SHN2:SHN72 SRJ2:SRJ72 TBF2:TBF72 TLB2:TLB72 TUX2:TUX72 UET2:UET72 UOP2:UOP72 UYL2:UYL72 VIH2:VIH72 VSD2:VSD72 WBZ2:WBZ72 WLV2:WLV72" xr:uid="{86B1882F-9BF8-46C7-A9F2-D0AA3BBD2BDA}">
      <formula1>$AP$2:$AP$27</formula1>
    </dataValidation>
    <dataValidation type="list" allowBlank="1" showInputMessage="1" showErrorMessage="1" sqref="WVP983027:WVP983092 H65523:H65588 JD65523:JD65588 SZ65523:SZ65588 ACV65523:ACV65588 AMR65523:AMR65588 AWN65523:AWN65588 BGJ65523:BGJ65588 BQF65523:BQF65588 CAB65523:CAB65588 CJX65523:CJX65588 CTT65523:CTT65588 DDP65523:DDP65588 DNL65523:DNL65588 DXH65523:DXH65588 EHD65523:EHD65588 EQZ65523:EQZ65588 FAV65523:FAV65588 FKR65523:FKR65588 FUN65523:FUN65588 GEJ65523:GEJ65588 GOF65523:GOF65588 GYB65523:GYB65588 HHX65523:HHX65588 HRT65523:HRT65588 IBP65523:IBP65588 ILL65523:ILL65588 IVH65523:IVH65588 JFD65523:JFD65588 JOZ65523:JOZ65588 JYV65523:JYV65588 KIR65523:KIR65588 KSN65523:KSN65588 LCJ65523:LCJ65588 LMF65523:LMF65588 LWB65523:LWB65588 MFX65523:MFX65588 MPT65523:MPT65588 MZP65523:MZP65588 NJL65523:NJL65588 NTH65523:NTH65588 ODD65523:ODD65588 OMZ65523:OMZ65588 OWV65523:OWV65588 PGR65523:PGR65588 PQN65523:PQN65588 QAJ65523:QAJ65588 QKF65523:QKF65588 QUB65523:QUB65588 RDX65523:RDX65588 RNT65523:RNT65588 RXP65523:RXP65588 SHL65523:SHL65588 SRH65523:SRH65588 TBD65523:TBD65588 TKZ65523:TKZ65588 TUV65523:TUV65588 UER65523:UER65588 UON65523:UON65588 UYJ65523:UYJ65588 VIF65523:VIF65588 VSB65523:VSB65588 WBX65523:WBX65588 WLT65523:WLT65588 WVP65523:WVP65588 H131059:H131124 JD131059:JD131124 SZ131059:SZ131124 ACV131059:ACV131124 AMR131059:AMR131124 AWN131059:AWN131124 BGJ131059:BGJ131124 BQF131059:BQF131124 CAB131059:CAB131124 CJX131059:CJX131124 CTT131059:CTT131124 DDP131059:DDP131124 DNL131059:DNL131124 DXH131059:DXH131124 EHD131059:EHD131124 EQZ131059:EQZ131124 FAV131059:FAV131124 FKR131059:FKR131124 FUN131059:FUN131124 GEJ131059:GEJ131124 GOF131059:GOF131124 GYB131059:GYB131124 HHX131059:HHX131124 HRT131059:HRT131124 IBP131059:IBP131124 ILL131059:ILL131124 IVH131059:IVH131124 JFD131059:JFD131124 JOZ131059:JOZ131124 JYV131059:JYV131124 KIR131059:KIR131124 KSN131059:KSN131124 LCJ131059:LCJ131124 LMF131059:LMF131124 LWB131059:LWB131124 MFX131059:MFX131124 MPT131059:MPT131124 MZP131059:MZP131124 NJL131059:NJL131124 NTH131059:NTH131124 ODD131059:ODD131124 OMZ131059:OMZ131124 OWV131059:OWV131124 PGR131059:PGR131124 PQN131059:PQN131124 QAJ131059:QAJ131124 QKF131059:QKF131124 QUB131059:QUB131124 RDX131059:RDX131124 RNT131059:RNT131124 RXP131059:RXP131124 SHL131059:SHL131124 SRH131059:SRH131124 TBD131059:TBD131124 TKZ131059:TKZ131124 TUV131059:TUV131124 UER131059:UER131124 UON131059:UON131124 UYJ131059:UYJ131124 VIF131059:VIF131124 VSB131059:VSB131124 WBX131059:WBX131124 WLT131059:WLT131124 WVP131059:WVP131124 H196595:H196660 JD196595:JD196660 SZ196595:SZ196660 ACV196595:ACV196660 AMR196595:AMR196660 AWN196595:AWN196660 BGJ196595:BGJ196660 BQF196595:BQF196660 CAB196595:CAB196660 CJX196595:CJX196660 CTT196595:CTT196660 DDP196595:DDP196660 DNL196595:DNL196660 DXH196595:DXH196660 EHD196595:EHD196660 EQZ196595:EQZ196660 FAV196595:FAV196660 FKR196595:FKR196660 FUN196595:FUN196660 GEJ196595:GEJ196660 GOF196595:GOF196660 GYB196595:GYB196660 HHX196595:HHX196660 HRT196595:HRT196660 IBP196595:IBP196660 ILL196595:ILL196660 IVH196595:IVH196660 JFD196595:JFD196660 JOZ196595:JOZ196660 JYV196595:JYV196660 KIR196595:KIR196660 KSN196595:KSN196660 LCJ196595:LCJ196660 LMF196595:LMF196660 LWB196595:LWB196660 MFX196595:MFX196660 MPT196595:MPT196660 MZP196595:MZP196660 NJL196595:NJL196660 NTH196595:NTH196660 ODD196595:ODD196660 OMZ196595:OMZ196660 OWV196595:OWV196660 PGR196595:PGR196660 PQN196595:PQN196660 QAJ196595:QAJ196660 QKF196595:QKF196660 QUB196595:QUB196660 RDX196595:RDX196660 RNT196595:RNT196660 RXP196595:RXP196660 SHL196595:SHL196660 SRH196595:SRH196660 TBD196595:TBD196660 TKZ196595:TKZ196660 TUV196595:TUV196660 UER196595:UER196660 UON196595:UON196660 UYJ196595:UYJ196660 VIF196595:VIF196660 VSB196595:VSB196660 WBX196595:WBX196660 WLT196595:WLT196660 WVP196595:WVP196660 H262131:H262196 JD262131:JD262196 SZ262131:SZ262196 ACV262131:ACV262196 AMR262131:AMR262196 AWN262131:AWN262196 BGJ262131:BGJ262196 BQF262131:BQF262196 CAB262131:CAB262196 CJX262131:CJX262196 CTT262131:CTT262196 DDP262131:DDP262196 DNL262131:DNL262196 DXH262131:DXH262196 EHD262131:EHD262196 EQZ262131:EQZ262196 FAV262131:FAV262196 FKR262131:FKR262196 FUN262131:FUN262196 GEJ262131:GEJ262196 GOF262131:GOF262196 GYB262131:GYB262196 HHX262131:HHX262196 HRT262131:HRT262196 IBP262131:IBP262196 ILL262131:ILL262196 IVH262131:IVH262196 JFD262131:JFD262196 JOZ262131:JOZ262196 JYV262131:JYV262196 KIR262131:KIR262196 KSN262131:KSN262196 LCJ262131:LCJ262196 LMF262131:LMF262196 LWB262131:LWB262196 MFX262131:MFX262196 MPT262131:MPT262196 MZP262131:MZP262196 NJL262131:NJL262196 NTH262131:NTH262196 ODD262131:ODD262196 OMZ262131:OMZ262196 OWV262131:OWV262196 PGR262131:PGR262196 PQN262131:PQN262196 QAJ262131:QAJ262196 QKF262131:QKF262196 QUB262131:QUB262196 RDX262131:RDX262196 RNT262131:RNT262196 RXP262131:RXP262196 SHL262131:SHL262196 SRH262131:SRH262196 TBD262131:TBD262196 TKZ262131:TKZ262196 TUV262131:TUV262196 UER262131:UER262196 UON262131:UON262196 UYJ262131:UYJ262196 VIF262131:VIF262196 VSB262131:VSB262196 WBX262131:WBX262196 WLT262131:WLT262196 WVP262131:WVP262196 H327667:H327732 JD327667:JD327732 SZ327667:SZ327732 ACV327667:ACV327732 AMR327667:AMR327732 AWN327667:AWN327732 BGJ327667:BGJ327732 BQF327667:BQF327732 CAB327667:CAB327732 CJX327667:CJX327732 CTT327667:CTT327732 DDP327667:DDP327732 DNL327667:DNL327732 DXH327667:DXH327732 EHD327667:EHD327732 EQZ327667:EQZ327732 FAV327667:FAV327732 FKR327667:FKR327732 FUN327667:FUN327732 GEJ327667:GEJ327732 GOF327667:GOF327732 GYB327667:GYB327732 HHX327667:HHX327732 HRT327667:HRT327732 IBP327667:IBP327732 ILL327667:ILL327732 IVH327667:IVH327732 JFD327667:JFD327732 JOZ327667:JOZ327732 JYV327667:JYV327732 KIR327667:KIR327732 KSN327667:KSN327732 LCJ327667:LCJ327732 LMF327667:LMF327732 LWB327667:LWB327732 MFX327667:MFX327732 MPT327667:MPT327732 MZP327667:MZP327732 NJL327667:NJL327732 NTH327667:NTH327732 ODD327667:ODD327732 OMZ327667:OMZ327732 OWV327667:OWV327732 PGR327667:PGR327732 PQN327667:PQN327732 QAJ327667:QAJ327732 QKF327667:QKF327732 QUB327667:QUB327732 RDX327667:RDX327732 RNT327667:RNT327732 RXP327667:RXP327732 SHL327667:SHL327732 SRH327667:SRH327732 TBD327667:TBD327732 TKZ327667:TKZ327732 TUV327667:TUV327732 UER327667:UER327732 UON327667:UON327732 UYJ327667:UYJ327732 VIF327667:VIF327732 VSB327667:VSB327732 WBX327667:WBX327732 WLT327667:WLT327732 WVP327667:WVP327732 H393203:H393268 JD393203:JD393268 SZ393203:SZ393268 ACV393203:ACV393268 AMR393203:AMR393268 AWN393203:AWN393268 BGJ393203:BGJ393268 BQF393203:BQF393268 CAB393203:CAB393268 CJX393203:CJX393268 CTT393203:CTT393268 DDP393203:DDP393268 DNL393203:DNL393268 DXH393203:DXH393268 EHD393203:EHD393268 EQZ393203:EQZ393268 FAV393203:FAV393268 FKR393203:FKR393268 FUN393203:FUN393268 GEJ393203:GEJ393268 GOF393203:GOF393268 GYB393203:GYB393268 HHX393203:HHX393268 HRT393203:HRT393268 IBP393203:IBP393268 ILL393203:ILL393268 IVH393203:IVH393268 JFD393203:JFD393268 JOZ393203:JOZ393268 JYV393203:JYV393268 KIR393203:KIR393268 KSN393203:KSN393268 LCJ393203:LCJ393268 LMF393203:LMF393268 LWB393203:LWB393268 MFX393203:MFX393268 MPT393203:MPT393268 MZP393203:MZP393268 NJL393203:NJL393268 NTH393203:NTH393268 ODD393203:ODD393268 OMZ393203:OMZ393268 OWV393203:OWV393268 PGR393203:PGR393268 PQN393203:PQN393268 QAJ393203:QAJ393268 QKF393203:QKF393268 QUB393203:QUB393268 RDX393203:RDX393268 RNT393203:RNT393268 RXP393203:RXP393268 SHL393203:SHL393268 SRH393203:SRH393268 TBD393203:TBD393268 TKZ393203:TKZ393268 TUV393203:TUV393268 UER393203:UER393268 UON393203:UON393268 UYJ393203:UYJ393268 VIF393203:VIF393268 VSB393203:VSB393268 WBX393203:WBX393268 WLT393203:WLT393268 WVP393203:WVP393268 H458739:H458804 JD458739:JD458804 SZ458739:SZ458804 ACV458739:ACV458804 AMR458739:AMR458804 AWN458739:AWN458804 BGJ458739:BGJ458804 BQF458739:BQF458804 CAB458739:CAB458804 CJX458739:CJX458804 CTT458739:CTT458804 DDP458739:DDP458804 DNL458739:DNL458804 DXH458739:DXH458804 EHD458739:EHD458804 EQZ458739:EQZ458804 FAV458739:FAV458804 FKR458739:FKR458804 FUN458739:FUN458804 GEJ458739:GEJ458804 GOF458739:GOF458804 GYB458739:GYB458804 HHX458739:HHX458804 HRT458739:HRT458804 IBP458739:IBP458804 ILL458739:ILL458804 IVH458739:IVH458804 JFD458739:JFD458804 JOZ458739:JOZ458804 JYV458739:JYV458804 KIR458739:KIR458804 KSN458739:KSN458804 LCJ458739:LCJ458804 LMF458739:LMF458804 LWB458739:LWB458804 MFX458739:MFX458804 MPT458739:MPT458804 MZP458739:MZP458804 NJL458739:NJL458804 NTH458739:NTH458804 ODD458739:ODD458804 OMZ458739:OMZ458804 OWV458739:OWV458804 PGR458739:PGR458804 PQN458739:PQN458804 QAJ458739:QAJ458804 QKF458739:QKF458804 QUB458739:QUB458804 RDX458739:RDX458804 RNT458739:RNT458804 RXP458739:RXP458804 SHL458739:SHL458804 SRH458739:SRH458804 TBD458739:TBD458804 TKZ458739:TKZ458804 TUV458739:TUV458804 UER458739:UER458804 UON458739:UON458804 UYJ458739:UYJ458804 VIF458739:VIF458804 VSB458739:VSB458804 WBX458739:WBX458804 WLT458739:WLT458804 WVP458739:WVP458804 H524275:H524340 JD524275:JD524340 SZ524275:SZ524340 ACV524275:ACV524340 AMR524275:AMR524340 AWN524275:AWN524340 BGJ524275:BGJ524340 BQF524275:BQF524340 CAB524275:CAB524340 CJX524275:CJX524340 CTT524275:CTT524340 DDP524275:DDP524340 DNL524275:DNL524340 DXH524275:DXH524340 EHD524275:EHD524340 EQZ524275:EQZ524340 FAV524275:FAV524340 FKR524275:FKR524340 FUN524275:FUN524340 GEJ524275:GEJ524340 GOF524275:GOF524340 GYB524275:GYB524340 HHX524275:HHX524340 HRT524275:HRT524340 IBP524275:IBP524340 ILL524275:ILL524340 IVH524275:IVH524340 JFD524275:JFD524340 JOZ524275:JOZ524340 JYV524275:JYV524340 KIR524275:KIR524340 KSN524275:KSN524340 LCJ524275:LCJ524340 LMF524275:LMF524340 LWB524275:LWB524340 MFX524275:MFX524340 MPT524275:MPT524340 MZP524275:MZP524340 NJL524275:NJL524340 NTH524275:NTH524340 ODD524275:ODD524340 OMZ524275:OMZ524340 OWV524275:OWV524340 PGR524275:PGR524340 PQN524275:PQN524340 QAJ524275:QAJ524340 QKF524275:QKF524340 QUB524275:QUB524340 RDX524275:RDX524340 RNT524275:RNT524340 RXP524275:RXP524340 SHL524275:SHL524340 SRH524275:SRH524340 TBD524275:TBD524340 TKZ524275:TKZ524340 TUV524275:TUV524340 UER524275:UER524340 UON524275:UON524340 UYJ524275:UYJ524340 VIF524275:VIF524340 VSB524275:VSB524340 WBX524275:WBX524340 WLT524275:WLT524340 WVP524275:WVP524340 H589811:H589876 JD589811:JD589876 SZ589811:SZ589876 ACV589811:ACV589876 AMR589811:AMR589876 AWN589811:AWN589876 BGJ589811:BGJ589876 BQF589811:BQF589876 CAB589811:CAB589876 CJX589811:CJX589876 CTT589811:CTT589876 DDP589811:DDP589876 DNL589811:DNL589876 DXH589811:DXH589876 EHD589811:EHD589876 EQZ589811:EQZ589876 FAV589811:FAV589876 FKR589811:FKR589876 FUN589811:FUN589876 GEJ589811:GEJ589876 GOF589811:GOF589876 GYB589811:GYB589876 HHX589811:HHX589876 HRT589811:HRT589876 IBP589811:IBP589876 ILL589811:ILL589876 IVH589811:IVH589876 JFD589811:JFD589876 JOZ589811:JOZ589876 JYV589811:JYV589876 KIR589811:KIR589876 KSN589811:KSN589876 LCJ589811:LCJ589876 LMF589811:LMF589876 LWB589811:LWB589876 MFX589811:MFX589876 MPT589811:MPT589876 MZP589811:MZP589876 NJL589811:NJL589876 NTH589811:NTH589876 ODD589811:ODD589876 OMZ589811:OMZ589876 OWV589811:OWV589876 PGR589811:PGR589876 PQN589811:PQN589876 QAJ589811:QAJ589876 QKF589811:QKF589876 QUB589811:QUB589876 RDX589811:RDX589876 RNT589811:RNT589876 RXP589811:RXP589876 SHL589811:SHL589876 SRH589811:SRH589876 TBD589811:TBD589876 TKZ589811:TKZ589876 TUV589811:TUV589876 UER589811:UER589876 UON589811:UON589876 UYJ589811:UYJ589876 VIF589811:VIF589876 VSB589811:VSB589876 WBX589811:WBX589876 WLT589811:WLT589876 WVP589811:WVP589876 H655347:H655412 JD655347:JD655412 SZ655347:SZ655412 ACV655347:ACV655412 AMR655347:AMR655412 AWN655347:AWN655412 BGJ655347:BGJ655412 BQF655347:BQF655412 CAB655347:CAB655412 CJX655347:CJX655412 CTT655347:CTT655412 DDP655347:DDP655412 DNL655347:DNL655412 DXH655347:DXH655412 EHD655347:EHD655412 EQZ655347:EQZ655412 FAV655347:FAV655412 FKR655347:FKR655412 FUN655347:FUN655412 GEJ655347:GEJ655412 GOF655347:GOF655412 GYB655347:GYB655412 HHX655347:HHX655412 HRT655347:HRT655412 IBP655347:IBP655412 ILL655347:ILL655412 IVH655347:IVH655412 JFD655347:JFD655412 JOZ655347:JOZ655412 JYV655347:JYV655412 KIR655347:KIR655412 KSN655347:KSN655412 LCJ655347:LCJ655412 LMF655347:LMF655412 LWB655347:LWB655412 MFX655347:MFX655412 MPT655347:MPT655412 MZP655347:MZP655412 NJL655347:NJL655412 NTH655347:NTH655412 ODD655347:ODD655412 OMZ655347:OMZ655412 OWV655347:OWV655412 PGR655347:PGR655412 PQN655347:PQN655412 QAJ655347:QAJ655412 QKF655347:QKF655412 QUB655347:QUB655412 RDX655347:RDX655412 RNT655347:RNT655412 RXP655347:RXP655412 SHL655347:SHL655412 SRH655347:SRH655412 TBD655347:TBD655412 TKZ655347:TKZ655412 TUV655347:TUV655412 UER655347:UER655412 UON655347:UON655412 UYJ655347:UYJ655412 VIF655347:VIF655412 VSB655347:VSB655412 WBX655347:WBX655412 WLT655347:WLT655412 WVP655347:WVP655412 H720883:H720948 JD720883:JD720948 SZ720883:SZ720948 ACV720883:ACV720948 AMR720883:AMR720948 AWN720883:AWN720948 BGJ720883:BGJ720948 BQF720883:BQF720948 CAB720883:CAB720948 CJX720883:CJX720948 CTT720883:CTT720948 DDP720883:DDP720948 DNL720883:DNL720948 DXH720883:DXH720948 EHD720883:EHD720948 EQZ720883:EQZ720948 FAV720883:FAV720948 FKR720883:FKR720948 FUN720883:FUN720948 GEJ720883:GEJ720948 GOF720883:GOF720948 GYB720883:GYB720948 HHX720883:HHX720948 HRT720883:HRT720948 IBP720883:IBP720948 ILL720883:ILL720948 IVH720883:IVH720948 JFD720883:JFD720948 JOZ720883:JOZ720948 JYV720883:JYV720948 KIR720883:KIR720948 KSN720883:KSN720948 LCJ720883:LCJ720948 LMF720883:LMF720948 LWB720883:LWB720948 MFX720883:MFX720948 MPT720883:MPT720948 MZP720883:MZP720948 NJL720883:NJL720948 NTH720883:NTH720948 ODD720883:ODD720948 OMZ720883:OMZ720948 OWV720883:OWV720948 PGR720883:PGR720948 PQN720883:PQN720948 QAJ720883:QAJ720948 QKF720883:QKF720948 QUB720883:QUB720948 RDX720883:RDX720948 RNT720883:RNT720948 RXP720883:RXP720948 SHL720883:SHL720948 SRH720883:SRH720948 TBD720883:TBD720948 TKZ720883:TKZ720948 TUV720883:TUV720948 UER720883:UER720948 UON720883:UON720948 UYJ720883:UYJ720948 VIF720883:VIF720948 VSB720883:VSB720948 WBX720883:WBX720948 WLT720883:WLT720948 WVP720883:WVP720948 H786419:H786484 JD786419:JD786484 SZ786419:SZ786484 ACV786419:ACV786484 AMR786419:AMR786484 AWN786419:AWN786484 BGJ786419:BGJ786484 BQF786419:BQF786484 CAB786419:CAB786484 CJX786419:CJX786484 CTT786419:CTT786484 DDP786419:DDP786484 DNL786419:DNL786484 DXH786419:DXH786484 EHD786419:EHD786484 EQZ786419:EQZ786484 FAV786419:FAV786484 FKR786419:FKR786484 FUN786419:FUN786484 GEJ786419:GEJ786484 GOF786419:GOF786484 GYB786419:GYB786484 HHX786419:HHX786484 HRT786419:HRT786484 IBP786419:IBP786484 ILL786419:ILL786484 IVH786419:IVH786484 JFD786419:JFD786484 JOZ786419:JOZ786484 JYV786419:JYV786484 KIR786419:KIR786484 KSN786419:KSN786484 LCJ786419:LCJ786484 LMF786419:LMF786484 LWB786419:LWB786484 MFX786419:MFX786484 MPT786419:MPT786484 MZP786419:MZP786484 NJL786419:NJL786484 NTH786419:NTH786484 ODD786419:ODD786484 OMZ786419:OMZ786484 OWV786419:OWV786484 PGR786419:PGR786484 PQN786419:PQN786484 QAJ786419:QAJ786484 QKF786419:QKF786484 QUB786419:QUB786484 RDX786419:RDX786484 RNT786419:RNT786484 RXP786419:RXP786484 SHL786419:SHL786484 SRH786419:SRH786484 TBD786419:TBD786484 TKZ786419:TKZ786484 TUV786419:TUV786484 UER786419:UER786484 UON786419:UON786484 UYJ786419:UYJ786484 VIF786419:VIF786484 VSB786419:VSB786484 WBX786419:WBX786484 WLT786419:WLT786484 WVP786419:WVP786484 H851955:H852020 JD851955:JD852020 SZ851955:SZ852020 ACV851955:ACV852020 AMR851955:AMR852020 AWN851955:AWN852020 BGJ851955:BGJ852020 BQF851955:BQF852020 CAB851955:CAB852020 CJX851955:CJX852020 CTT851955:CTT852020 DDP851955:DDP852020 DNL851955:DNL852020 DXH851955:DXH852020 EHD851955:EHD852020 EQZ851955:EQZ852020 FAV851955:FAV852020 FKR851955:FKR852020 FUN851955:FUN852020 GEJ851955:GEJ852020 GOF851955:GOF852020 GYB851955:GYB852020 HHX851955:HHX852020 HRT851955:HRT852020 IBP851955:IBP852020 ILL851955:ILL852020 IVH851955:IVH852020 JFD851955:JFD852020 JOZ851955:JOZ852020 JYV851955:JYV852020 KIR851955:KIR852020 KSN851955:KSN852020 LCJ851955:LCJ852020 LMF851955:LMF852020 LWB851955:LWB852020 MFX851955:MFX852020 MPT851955:MPT852020 MZP851955:MZP852020 NJL851955:NJL852020 NTH851955:NTH852020 ODD851955:ODD852020 OMZ851955:OMZ852020 OWV851955:OWV852020 PGR851955:PGR852020 PQN851955:PQN852020 QAJ851955:QAJ852020 QKF851955:QKF852020 QUB851955:QUB852020 RDX851955:RDX852020 RNT851955:RNT852020 RXP851955:RXP852020 SHL851955:SHL852020 SRH851955:SRH852020 TBD851955:TBD852020 TKZ851955:TKZ852020 TUV851955:TUV852020 UER851955:UER852020 UON851955:UON852020 UYJ851955:UYJ852020 VIF851955:VIF852020 VSB851955:VSB852020 WBX851955:WBX852020 WLT851955:WLT852020 WVP851955:WVP852020 H917491:H917556 JD917491:JD917556 SZ917491:SZ917556 ACV917491:ACV917556 AMR917491:AMR917556 AWN917491:AWN917556 BGJ917491:BGJ917556 BQF917491:BQF917556 CAB917491:CAB917556 CJX917491:CJX917556 CTT917491:CTT917556 DDP917491:DDP917556 DNL917491:DNL917556 DXH917491:DXH917556 EHD917491:EHD917556 EQZ917491:EQZ917556 FAV917491:FAV917556 FKR917491:FKR917556 FUN917491:FUN917556 GEJ917491:GEJ917556 GOF917491:GOF917556 GYB917491:GYB917556 HHX917491:HHX917556 HRT917491:HRT917556 IBP917491:IBP917556 ILL917491:ILL917556 IVH917491:IVH917556 JFD917491:JFD917556 JOZ917491:JOZ917556 JYV917491:JYV917556 KIR917491:KIR917556 KSN917491:KSN917556 LCJ917491:LCJ917556 LMF917491:LMF917556 LWB917491:LWB917556 MFX917491:MFX917556 MPT917491:MPT917556 MZP917491:MZP917556 NJL917491:NJL917556 NTH917491:NTH917556 ODD917491:ODD917556 OMZ917491:OMZ917556 OWV917491:OWV917556 PGR917491:PGR917556 PQN917491:PQN917556 QAJ917491:QAJ917556 QKF917491:QKF917556 QUB917491:QUB917556 RDX917491:RDX917556 RNT917491:RNT917556 RXP917491:RXP917556 SHL917491:SHL917556 SRH917491:SRH917556 TBD917491:TBD917556 TKZ917491:TKZ917556 TUV917491:TUV917556 UER917491:UER917556 UON917491:UON917556 UYJ917491:UYJ917556 VIF917491:VIF917556 VSB917491:VSB917556 WBX917491:WBX917556 WLT917491:WLT917556 WVP917491:WVP917556 H983027:H983092 JD983027:JD983092 SZ983027:SZ983092 ACV983027:ACV983092 AMR983027:AMR983092 AWN983027:AWN983092 BGJ983027:BGJ983092 BQF983027:BQF983092 CAB983027:CAB983092 CJX983027:CJX983092 CTT983027:CTT983092 DDP983027:DDP983092 DNL983027:DNL983092 DXH983027:DXH983092 EHD983027:EHD983092 EQZ983027:EQZ983092 FAV983027:FAV983092 FKR983027:FKR983092 FUN983027:FUN983092 GEJ983027:GEJ983092 GOF983027:GOF983092 GYB983027:GYB983092 HHX983027:HHX983092 HRT983027:HRT983092 IBP983027:IBP983092 ILL983027:ILL983092 IVH983027:IVH983092 JFD983027:JFD983092 JOZ983027:JOZ983092 JYV983027:JYV983092 KIR983027:KIR983092 KSN983027:KSN983092 LCJ983027:LCJ983092 LMF983027:LMF983092 LWB983027:LWB983092 MFX983027:MFX983092 MPT983027:MPT983092 MZP983027:MZP983092 NJL983027:NJL983092 NTH983027:NTH983092 ODD983027:ODD983092 OMZ983027:OMZ983092 OWV983027:OWV983092 PGR983027:PGR983092 PQN983027:PQN983092 QAJ983027:QAJ983092 QKF983027:QKF983092 QUB983027:QUB983092 RDX983027:RDX983092 RNT983027:RNT983092 RXP983027:RXP983092 SHL983027:SHL983092 SRH983027:SRH983092 TBD983027:TBD983092 TKZ983027:TKZ983092 TUV983027:TUV983092 UER983027:UER983092 UON983027:UON983092 UYJ983027:UYJ983092 VIF983027:VIF983092 VSB983027:VSB983092 WBX983027:WBX983092 WLT983027:WLT983092 WVP2:WVP72 JD2:JD72 SZ2:SZ72 ACV2:ACV72 AMR2:AMR72 AWN2:AWN72 BGJ2:BGJ72 BQF2:BQF72 CAB2:CAB72 CJX2:CJX72 CTT2:CTT72 DDP2:DDP72 DNL2:DNL72 DXH2:DXH72 EHD2:EHD72 EQZ2:EQZ72 FAV2:FAV72 FKR2:FKR72 FUN2:FUN72 GEJ2:GEJ72 GOF2:GOF72 GYB2:GYB72 HHX2:HHX72 HRT2:HRT72 IBP2:IBP72 ILL2:ILL72 IVH2:IVH72 JFD2:JFD72 JOZ2:JOZ72 JYV2:JYV72 KIR2:KIR72 KSN2:KSN72 LCJ2:LCJ72 LMF2:LMF72 LWB2:LWB72 MFX2:MFX72 MPT2:MPT72 MZP2:MZP72 NJL2:NJL72 NTH2:NTH72 ODD2:ODD72 OMZ2:OMZ72 OWV2:OWV72 PGR2:PGR72 PQN2:PQN72 QAJ2:QAJ72 QKF2:QKF72 QUB2:QUB72 RDX2:RDX72 RNT2:RNT72 RXP2:RXP72 SHL2:SHL72 SRH2:SRH72 TBD2:TBD72 TKZ2:TKZ72 TUV2:TUV72 UER2:UER72 UON2:UON72 UYJ2:UYJ72 VIF2:VIF72 VSB2:VSB72 WBX2:WBX72 WLT2:WLT72" xr:uid="{5EF9A72C-4201-4BFE-93DB-1FF8567B87BF}">
      <formula1>$AL$4:$AL$12</formula1>
    </dataValidation>
    <dataValidation type="list" allowBlank="1" showInputMessage="1" showErrorMessage="1" sqref="A64348:A64413 IW64348:IW64413 SS64348:SS64413 ACO64348:ACO64413 AMK64348:AMK64413 AWG64348:AWG64413 BGC64348:BGC64413 BPY64348:BPY64413 BZU64348:BZU64413 CJQ64348:CJQ64413 CTM64348:CTM64413 DDI64348:DDI64413 DNE64348:DNE64413 DXA64348:DXA64413 EGW64348:EGW64413 EQS64348:EQS64413 FAO64348:FAO64413 FKK64348:FKK64413 FUG64348:FUG64413 GEC64348:GEC64413 GNY64348:GNY64413 GXU64348:GXU64413 HHQ64348:HHQ64413 HRM64348:HRM64413 IBI64348:IBI64413 ILE64348:ILE64413 IVA64348:IVA64413 JEW64348:JEW64413 JOS64348:JOS64413 JYO64348:JYO64413 KIK64348:KIK64413 KSG64348:KSG64413 LCC64348:LCC64413 LLY64348:LLY64413 LVU64348:LVU64413 MFQ64348:MFQ64413 MPM64348:MPM64413 MZI64348:MZI64413 NJE64348:NJE64413 NTA64348:NTA64413 OCW64348:OCW64413 OMS64348:OMS64413 OWO64348:OWO64413 PGK64348:PGK64413 PQG64348:PQG64413 QAC64348:QAC64413 QJY64348:QJY64413 QTU64348:QTU64413 RDQ64348:RDQ64413 RNM64348:RNM64413 RXI64348:RXI64413 SHE64348:SHE64413 SRA64348:SRA64413 TAW64348:TAW64413 TKS64348:TKS64413 TUO64348:TUO64413 UEK64348:UEK64413 UOG64348:UOG64413 UYC64348:UYC64413 VHY64348:VHY64413 VRU64348:VRU64413 WBQ64348:WBQ64413 WLM64348:WLM64413 WVI64348:WVI64413 A129884:A129949 IW129884:IW129949 SS129884:SS129949 ACO129884:ACO129949 AMK129884:AMK129949 AWG129884:AWG129949 BGC129884:BGC129949 BPY129884:BPY129949 BZU129884:BZU129949 CJQ129884:CJQ129949 CTM129884:CTM129949 DDI129884:DDI129949 DNE129884:DNE129949 DXA129884:DXA129949 EGW129884:EGW129949 EQS129884:EQS129949 FAO129884:FAO129949 FKK129884:FKK129949 FUG129884:FUG129949 GEC129884:GEC129949 GNY129884:GNY129949 GXU129884:GXU129949 HHQ129884:HHQ129949 HRM129884:HRM129949 IBI129884:IBI129949 ILE129884:ILE129949 IVA129884:IVA129949 JEW129884:JEW129949 JOS129884:JOS129949 JYO129884:JYO129949 KIK129884:KIK129949 KSG129884:KSG129949 LCC129884:LCC129949 LLY129884:LLY129949 LVU129884:LVU129949 MFQ129884:MFQ129949 MPM129884:MPM129949 MZI129884:MZI129949 NJE129884:NJE129949 NTA129884:NTA129949 OCW129884:OCW129949 OMS129884:OMS129949 OWO129884:OWO129949 PGK129884:PGK129949 PQG129884:PQG129949 QAC129884:QAC129949 QJY129884:QJY129949 QTU129884:QTU129949 RDQ129884:RDQ129949 RNM129884:RNM129949 RXI129884:RXI129949 SHE129884:SHE129949 SRA129884:SRA129949 TAW129884:TAW129949 TKS129884:TKS129949 TUO129884:TUO129949 UEK129884:UEK129949 UOG129884:UOG129949 UYC129884:UYC129949 VHY129884:VHY129949 VRU129884:VRU129949 WBQ129884:WBQ129949 WLM129884:WLM129949 WVI129884:WVI129949 A195420:A195485 IW195420:IW195485 SS195420:SS195485 ACO195420:ACO195485 AMK195420:AMK195485 AWG195420:AWG195485 BGC195420:BGC195485 BPY195420:BPY195485 BZU195420:BZU195485 CJQ195420:CJQ195485 CTM195420:CTM195485 DDI195420:DDI195485 DNE195420:DNE195485 DXA195420:DXA195485 EGW195420:EGW195485 EQS195420:EQS195485 FAO195420:FAO195485 FKK195420:FKK195485 FUG195420:FUG195485 GEC195420:GEC195485 GNY195420:GNY195485 GXU195420:GXU195485 HHQ195420:HHQ195485 HRM195420:HRM195485 IBI195420:IBI195485 ILE195420:ILE195485 IVA195420:IVA195485 JEW195420:JEW195485 JOS195420:JOS195485 JYO195420:JYO195485 KIK195420:KIK195485 KSG195420:KSG195485 LCC195420:LCC195485 LLY195420:LLY195485 LVU195420:LVU195485 MFQ195420:MFQ195485 MPM195420:MPM195485 MZI195420:MZI195485 NJE195420:NJE195485 NTA195420:NTA195485 OCW195420:OCW195485 OMS195420:OMS195485 OWO195420:OWO195485 PGK195420:PGK195485 PQG195420:PQG195485 QAC195420:QAC195485 QJY195420:QJY195485 QTU195420:QTU195485 RDQ195420:RDQ195485 RNM195420:RNM195485 RXI195420:RXI195485 SHE195420:SHE195485 SRA195420:SRA195485 TAW195420:TAW195485 TKS195420:TKS195485 TUO195420:TUO195485 UEK195420:UEK195485 UOG195420:UOG195485 UYC195420:UYC195485 VHY195420:VHY195485 VRU195420:VRU195485 WBQ195420:WBQ195485 WLM195420:WLM195485 WVI195420:WVI195485 A260956:A261021 IW260956:IW261021 SS260956:SS261021 ACO260956:ACO261021 AMK260956:AMK261021 AWG260956:AWG261021 BGC260956:BGC261021 BPY260956:BPY261021 BZU260956:BZU261021 CJQ260956:CJQ261021 CTM260956:CTM261021 DDI260956:DDI261021 DNE260956:DNE261021 DXA260956:DXA261021 EGW260956:EGW261021 EQS260956:EQS261021 FAO260956:FAO261021 FKK260956:FKK261021 FUG260956:FUG261021 GEC260956:GEC261021 GNY260956:GNY261021 GXU260956:GXU261021 HHQ260956:HHQ261021 HRM260956:HRM261021 IBI260956:IBI261021 ILE260956:ILE261021 IVA260956:IVA261021 JEW260956:JEW261021 JOS260956:JOS261021 JYO260956:JYO261021 KIK260956:KIK261021 KSG260956:KSG261021 LCC260956:LCC261021 LLY260956:LLY261021 LVU260956:LVU261021 MFQ260956:MFQ261021 MPM260956:MPM261021 MZI260956:MZI261021 NJE260956:NJE261021 NTA260956:NTA261021 OCW260956:OCW261021 OMS260956:OMS261021 OWO260956:OWO261021 PGK260956:PGK261021 PQG260956:PQG261021 QAC260956:QAC261021 QJY260956:QJY261021 QTU260956:QTU261021 RDQ260956:RDQ261021 RNM260956:RNM261021 RXI260956:RXI261021 SHE260956:SHE261021 SRA260956:SRA261021 TAW260956:TAW261021 TKS260956:TKS261021 TUO260956:TUO261021 UEK260956:UEK261021 UOG260956:UOG261021 UYC260956:UYC261021 VHY260956:VHY261021 VRU260956:VRU261021 WBQ260956:WBQ261021 WLM260956:WLM261021 WVI260956:WVI261021 A326492:A326557 IW326492:IW326557 SS326492:SS326557 ACO326492:ACO326557 AMK326492:AMK326557 AWG326492:AWG326557 BGC326492:BGC326557 BPY326492:BPY326557 BZU326492:BZU326557 CJQ326492:CJQ326557 CTM326492:CTM326557 DDI326492:DDI326557 DNE326492:DNE326557 DXA326492:DXA326557 EGW326492:EGW326557 EQS326492:EQS326557 FAO326492:FAO326557 FKK326492:FKK326557 FUG326492:FUG326557 GEC326492:GEC326557 GNY326492:GNY326557 GXU326492:GXU326557 HHQ326492:HHQ326557 HRM326492:HRM326557 IBI326492:IBI326557 ILE326492:ILE326557 IVA326492:IVA326557 JEW326492:JEW326557 JOS326492:JOS326557 JYO326492:JYO326557 KIK326492:KIK326557 KSG326492:KSG326557 LCC326492:LCC326557 LLY326492:LLY326557 LVU326492:LVU326557 MFQ326492:MFQ326557 MPM326492:MPM326557 MZI326492:MZI326557 NJE326492:NJE326557 NTA326492:NTA326557 OCW326492:OCW326557 OMS326492:OMS326557 OWO326492:OWO326557 PGK326492:PGK326557 PQG326492:PQG326557 QAC326492:QAC326557 QJY326492:QJY326557 QTU326492:QTU326557 RDQ326492:RDQ326557 RNM326492:RNM326557 RXI326492:RXI326557 SHE326492:SHE326557 SRA326492:SRA326557 TAW326492:TAW326557 TKS326492:TKS326557 TUO326492:TUO326557 UEK326492:UEK326557 UOG326492:UOG326557 UYC326492:UYC326557 VHY326492:VHY326557 VRU326492:VRU326557 WBQ326492:WBQ326557 WLM326492:WLM326557 WVI326492:WVI326557 A392028:A392093 IW392028:IW392093 SS392028:SS392093 ACO392028:ACO392093 AMK392028:AMK392093 AWG392028:AWG392093 BGC392028:BGC392093 BPY392028:BPY392093 BZU392028:BZU392093 CJQ392028:CJQ392093 CTM392028:CTM392093 DDI392028:DDI392093 DNE392028:DNE392093 DXA392028:DXA392093 EGW392028:EGW392093 EQS392028:EQS392093 FAO392028:FAO392093 FKK392028:FKK392093 FUG392028:FUG392093 GEC392028:GEC392093 GNY392028:GNY392093 GXU392028:GXU392093 HHQ392028:HHQ392093 HRM392028:HRM392093 IBI392028:IBI392093 ILE392028:ILE392093 IVA392028:IVA392093 JEW392028:JEW392093 JOS392028:JOS392093 JYO392028:JYO392093 KIK392028:KIK392093 KSG392028:KSG392093 LCC392028:LCC392093 LLY392028:LLY392093 LVU392028:LVU392093 MFQ392028:MFQ392093 MPM392028:MPM392093 MZI392028:MZI392093 NJE392028:NJE392093 NTA392028:NTA392093 OCW392028:OCW392093 OMS392028:OMS392093 OWO392028:OWO392093 PGK392028:PGK392093 PQG392028:PQG392093 QAC392028:QAC392093 QJY392028:QJY392093 QTU392028:QTU392093 RDQ392028:RDQ392093 RNM392028:RNM392093 RXI392028:RXI392093 SHE392028:SHE392093 SRA392028:SRA392093 TAW392028:TAW392093 TKS392028:TKS392093 TUO392028:TUO392093 UEK392028:UEK392093 UOG392028:UOG392093 UYC392028:UYC392093 VHY392028:VHY392093 VRU392028:VRU392093 WBQ392028:WBQ392093 WLM392028:WLM392093 WVI392028:WVI392093 A457564:A457629 IW457564:IW457629 SS457564:SS457629 ACO457564:ACO457629 AMK457564:AMK457629 AWG457564:AWG457629 BGC457564:BGC457629 BPY457564:BPY457629 BZU457564:BZU457629 CJQ457564:CJQ457629 CTM457564:CTM457629 DDI457564:DDI457629 DNE457564:DNE457629 DXA457564:DXA457629 EGW457564:EGW457629 EQS457564:EQS457629 FAO457564:FAO457629 FKK457564:FKK457629 FUG457564:FUG457629 GEC457564:GEC457629 GNY457564:GNY457629 GXU457564:GXU457629 HHQ457564:HHQ457629 HRM457564:HRM457629 IBI457564:IBI457629 ILE457564:ILE457629 IVA457564:IVA457629 JEW457564:JEW457629 JOS457564:JOS457629 JYO457564:JYO457629 KIK457564:KIK457629 KSG457564:KSG457629 LCC457564:LCC457629 LLY457564:LLY457629 LVU457564:LVU457629 MFQ457564:MFQ457629 MPM457564:MPM457629 MZI457564:MZI457629 NJE457564:NJE457629 NTA457564:NTA457629 OCW457564:OCW457629 OMS457564:OMS457629 OWO457564:OWO457629 PGK457564:PGK457629 PQG457564:PQG457629 QAC457564:QAC457629 QJY457564:QJY457629 QTU457564:QTU457629 RDQ457564:RDQ457629 RNM457564:RNM457629 RXI457564:RXI457629 SHE457564:SHE457629 SRA457564:SRA457629 TAW457564:TAW457629 TKS457564:TKS457629 TUO457564:TUO457629 UEK457564:UEK457629 UOG457564:UOG457629 UYC457564:UYC457629 VHY457564:VHY457629 VRU457564:VRU457629 WBQ457564:WBQ457629 WLM457564:WLM457629 WVI457564:WVI457629 A523100:A523165 IW523100:IW523165 SS523100:SS523165 ACO523100:ACO523165 AMK523100:AMK523165 AWG523100:AWG523165 BGC523100:BGC523165 BPY523100:BPY523165 BZU523100:BZU523165 CJQ523100:CJQ523165 CTM523100:CTM523165 DDI523100:DDI523165 DNE523100:DNE523165 DXA523100:DXA523165 EGW523100:EGW523165 EQS523100:EQS523165 FAO523100:FAO523165 FKK523100:FKK523165 FUG523100:FUG523165 GEC523100:GEC523165 GNY523100:GNY523165 GXU523100:GXU523165 HHQ523100:HHQ523165 HRM523100:HRM523165 IBI523100:IBI523165 ILE523100:ILE523165 IVA523100:IVA523165 JEW523100:JEW523165 JOS523100:JOS523165 JYO523100:JYO523165 KIK523100:KIK523165 KSG523100:KSG523165 LCC523100:LCC523165 LLY523100:LLY523165 LVU523100:LVU523165 MFQ523100:MFQ523165 MPM523100:MPM523165 MZI523100:MZI523165 NJE523100:NJE523165 NTA523100:NTA523165 OCW523100:OCW523165 OMS523100:OMS523165 OWO523100:OWO523165 PGK523100:PGK523165 PQG523100:PQG523165 QAC523100:QAC523165 QJY523100:QJY523165 QTU523100:QTU523165 RDQ523100:RDQ523165 RNM523100:RNM523165 RXI523100:RXI523165 SHE523100:SHE523165 SRA523100:SRA523165 TAW523100:TAW523165 TKS523100:TKS523165 TUO523100:TUO523165 UEK523100:UEK523165 UOG523100:UOG523165 UYC523100:UYC523165 VHY523100:VHY523165 VRU523100:VRU523165 WBQ523100:WBQ523165 WLM523100:WLM523165 WVI523100:WVI523165 A588636:A588701 IW588636:IW588701 SS588636:SS588701 ACO588636:ACO588701 AMK588636:AMK588701 AWG588636:AWG588701 BGC588636:BGC588701 BPY588636:BPY588701 BZU588636:BZU588701 CJQ588636:CJQ588701 CTM588636:CTM588701 DDI588636:DDI588701 DNE588636:DNE588701 DXA588636:DXA588701 EGW588636:EGW588701 EQS588636:EQS588701 FAO588636:FAO588701 FKK588636:FKK588701 FUG588636:FUG588701 GEC588636:GEC588701 GNY588636:GNY588701 GXU588636:GXU588701 HHQ588636:HHQ588701 HRM588636:HRM588701 IBI588636:IBI588701 ILE588636:ILE588701 IVA588636:IVA588701 JEW588636:JEW588701 JOS588636:JOS588701 JYO588636:JYO588701 KIK588636:KIK588701 KSG588636:KSG588701 LCC588636:LCC588701 LLY588636:LLY588701 LVU588636:LVU588701 MFQ588636:MFQ588701 MPM588636:MPM588701 MZI588636:MZI588701 NJE588636:NJE588701 NTA588636:NTA588701 OCW588636:OCW588701 OMS588636:OMS588701 OWO588636:OWO588701 PGK588636:PGK588701 PQG588636:PQG588701 QAC588636:QAC588701 QJY588636:QJY588701 QTU588636:QTU588701 RDQ588636:RDQ588701 RNM588636:RNM588701 RXI588636:RXI588701 SHE588636:SHE588701 SRA588636:SRA588701 TAW588636:TAW588701 TKS588636:TKS588701 TUO588636:TUO588701 UEK588636:UEK588701 UOG588636:UOG588701 UYC588636:UYC588701 VHY588636:VHY588701 VRU588636:VRU588701 WBQ588636:WBQ588701 WLM588636:WLM588701 WVI588636:WVI588701 A654172:A654237 IW654172:IW654237 SS654172:SS654237 ACO654172:ACO654237 AMK654172:AMK654237 AWG654172:AWG654237 BGC654172:BGC654237 BPY654172:BPY654237 BZU654172:BZU654237 CJQ654172:CJQ654237 CTM654172:CTM654237 DDI654172:DDI654237 DNE654172:DNE654237 DXA654172:DXA654237 EGW654172:EGW654237 EQS654172:EQS654237 FAO654172:FAO654237 FKK654172:FKK654237 FUG654172:FUG654237 GEC654172:GEC654237 GNY654172:GNY654237 GXU654172:GXU654237 HHQ654172:HHQ654237 HRM654172:HRM654237 IBI654172:IBI654237 ILE654172:ILE654237 IVA654172:IVA654237 JEW654172:JEW654237 JOS654172:JOS654237 JYO654172:JYO654237 KIK654172:KIK654237 KSG654172:KSG654237 LCC654172:LCC654237 LLY654172:LLY654237 LVU654172:LVU654237 MFQ654172:MFQ654237 MPM654172:MPM654237 MZI654172:MZI654237 NJE654172:NJE654237 NTA654172:NTA654237 OCW654172:OCW654237 OMS654172:OMS654237 OWO654172:OWO654237 PGK654172:PGK654237 PQG654172:PQG654237 QAC654172:QAC654237 QJY654172:QJY654237 QTU654172:QTU654237 RDQ654172:RDQ654237 RNM654172:RNM654237 RXI654172:RXI654237 SHE654172:SHE654237 SRA654172:SRA654237 TAW654172:TAW654237 TKS654172:TKS654237 TUO654172:TUO654237 UEK654172:UEK654237 UOG654172:UOG654237 UYC654172:UYC654237 VHY654172:VHY654237 VRU654172:VRU654237 WBQ654172:WBQ654237 WLM654172:WLM654237 WVI654172:WVI654237 A719708:A719773 IW719708:IW719773 SS719708:SS719773 ACO719708:ACO719773 AMK719708:AMK719773 AWG719708:AWG719773 BGC719708:BGC719773 BPY719708:BPY719773 BZU719708:BZU719773 CJQ719708:CJQ719773 CTM719708:CTM719773 DDI719708:DDI719773 DNE719708:DNE719773 DXA719708:DXA719773 EGW719708:EGW719773 EQS719708:EQS719773 FAO719708:FAO719773 FKK719708:FKK719773 FUG719708:FUG719773 GEC719708:GEC719773 GNY719708:GNY719773 GXU719708:GXU719773 HHQ719708:HHQ719773 HRM719708:HRM719773 IBI719708:IBI719773 ILE719708:ILE719773 IVA719708:IVA719773 JEW719708:JEW719773 JOS719708:JOS719773 JYO719708:JYO719773 KIK719708:KIK719773 KSG719708:KSG719773 LCC719708:LCC719773 LLY719708:LLY719773 LVU719708:LVU719773 MFQ719708:MFQ719773 MPM719708:MPM719773 MZI719708:MZI719773 NJE719708:NJE719773 NTA719708:NTA719773 OCW719708:OCW719773 OMS719708:OMS719773 OWO719708:OWO719773 PGK719708:PGK719773 PQG719708:PQG719773 QAC719708:QAC719773 QJY719708:QJY719773 QTU719708:QTU719773 RDQ719708:RDQ719773 RNM719708:RNM719773 RXI719708:RXI719773 SHE719708:SHE719773 SRA719708:SRA719773 TAW719708:TAW719773 TKS719708:TKS719773 TUO719708:TUO719773 UEK719708:UEK719773 UOG719708:UOG719773 UYC719708:UYC719773 VHY719708:VHY719773 VRU719708:VRU719773 WBQ719708:WBQ719773 WLM719708:WLM719773 WVI719708:WVI719773 A785244:A785309 IW785244:IW785309 SS785244:SS785309 ACO785244:ACO785309 AMK785244:AMK785309 AWG785244:AWG785309 BGC785244:BGC785309 BPY785244:BPY785309 BZU785244:BZU785309 CJQ785244:CJQ785309 CTM785244:CTM785309 DDI785244:DDI785309 DNE785244:DNE785309 DXA785244:DXA785309 EGW785244:EGW785309 EQS785244:EQS785309 FAO785244:FAO785309 FKK785244:FKK785309 FUG785244:FUG785309 GEC785244:GEC785309 GNY785244:GNY785309 GXU785244:GXU785309 HHQ785244:HHQ785309 HRM785244:HRM785309 IBI785244:IBI785309 ILE785244:ILE785309 IVA785244:IVA785309 JEW785244:JEW785309 JOS785244:JOS785309 JYO785244:JYO785309 KIK785244:KIK785309 KSG785244:KSG785309 LCC785244:LCC785309 LLY785244:LLY785309 LVU785244:LVU785309 MFQ785244:MFQ785309 MPM785244:MPM785309 MZI785244:MZI785309 NJE785244:NJE785309 NTA785244:NTA785309 OCW785244:OCW785309 OMS785244:OMS785309 OWO785244:OWO785309 PGK785244:PGK785309 PQG785244:PQG785309 QAC785244:QAC785309 QJY785244:QJY785309 QTU785244:QTU785309 RDQ785244:RDQ785309 RNM785244:RNM785309 RXI785244:RXI785309 SHE785244:SHE785309 SRA785244:SRA785309 TAW785244:TAW785309 TKS785244:TKS785309 TUO785244:TUO785309 UEK785244:UEK785309 UOG785244:UOG785309 UYC785244:UYC785309 VHY785244:VHY785309 VRU785244:VRU785309 WBQ785244:WBQ785309 WLM785244:WLM785309 WVI785244:WVI785309 A850780:A850845 IW850780:IW850845 SS850780:SS850845 ACO850780:ACO850845 AMK850780:AMK850845 AWG850780:AWG850845 BGC850780:BGC850845 BPY850780:BPY850845 BZU850780:BZU850845 CJQ850780:CJQ850845 CTM850780:CTM850845 DDI850780:DDI850845 DNE850780:DNE850845 DXA850780:DXA850845 EGW850780:EGW850845 EQS850780:EQS850845 FAO850780:FAO850845 FKK850780:FKK850845 FUG850780:FUG850845 GEC850780:GEC850845 GNY850780:GNY850845 GXU850780:GXU850845 HHQ850780:HHQ850845 HRM850780:HRM850845 IBI850780:IBI850845 ILE850780:ILE850845 IVA850780:IVA850845 JEW850780:JEW850845 JOS850780:JOS850845 JYO850780:JYO850845 KIK850780:KIK850845 KSG850780:KSG850845 LCC850780:LCC850845 LLY850780:LLY850845 LVU850780:LVU850845 MFQ850780:MFQ850845 MPM850780:MPM850845 MZI850780:MZI850845 NJE850780:NJE850845 NTA850780:NTA850845 OCW850780:OCW850845 OMS850780:OMS850845 OWO850780:OWO850845 PGK850780:PGK850845 PQG850780:PQG850845 QAC850780:QAC850845 QJY850780:QJY850845 QTU850780:QTU850845 RDQ850780:RDQ850845 RNM850780:RNM850845 RXI850780:RXI850845 SHE850780:SHE850845 SRA850780:SRA850845 TAW850780:TAW850845 TKS850780:TKS850845 TUO850780:TUO850845 UEK850780:UEK850845 UOG850780:UOG850845 UYC850780:UYC850845 VHY850780:VHY850845 VRU850780:VRU850845 WBQ850780:WBQ850845 WLM850780:WLM850845 WVI850780:WVI850845 A916316:A916381 IW916316:IW916381 SS916316:SS916381 ACO916316:ACO916381 AMK916316:AMK916381 AWG916316:AWG916381 BGC916316:BGC916381 BPY916316:BPY916381 BZU916316:BZU916381 CJQ916316:CJQ916381 CTM916316:CTM916381 DDI916316:DDI916381 DNE916316:DNE916381 DXA916316:DXA916381 EGW916316:EGW916381 EQS916316:EQS916381 FAO916316:FAO916381 FKK916316:FKK916381 FUG916316:FUG916381 GEC916316:GEC916381 GNY916316:GNY916381 GXU916316:GXU916381 HHQ916316:HHQ916381 HRM916316:HRM916381 IBI916316:IBI916381 ILE916316:ILE916381 IVA916316:IVA916381 JEW916316:JEW916381 JOS916316:JOS916381 JYO916316:JYO916381 KIK916316:KIK916381 KSG916316:KSG916381 LCC916316:LCC916381 LLY916316:LLY916381 LVU916316:LVU916381 MFQ916316:MFQ916381 MPM916316:MPM916381 MZI916316:MZI916381 NJE916316:NJE916381 NTA916316:NTA916381 OCW916316:OCW916381 OMS916316:OMS916381 OWO916316:OWO916381 PGK916316:PGK916381 PQG916316:PQG916381 QAC916316:QAC916381 QJY916316:QJY916381 QTU916316:QTU916381 RDQ916316:RDQ916381 RNM916316:RNM916381 RXI916316:RXI916381 SHE916316:SHE916381 SRA916316:SRA916381 TAW916316:TAW916381 TKS916316:TKS916381 TUO916316:TUO916381 UEK916316:UEK916381 UOG916316:UOG916381 UYC916316:UYC916381 VHY916316:VHY916381 VRU916316:VRU916381 WBQ916316:WBQ916381 WLM916316:WLM916381 WVI916316:WVI916381 A981852:A981917 IW981852:IW981917 SS981852:SS981917 ACO981852:ACO981917 AMK981852:AMK981917 AWG981852:AWG981917 BGC981852:BGC981917 BPY981852:BPY981917 BZU981852:BZU981917 CJQ981852:CJQ981917 CTM981852:CTM981917 DDI981852:DDI981917 DNE981852:DNE981917 DXA981852:DXA981917 EGW981852:EGW981917 EQS981852:EQS981917 FAO981852:FAO981917 FKK981852:FKK981917 FUG981852:FUG981917 GEC981852:GEC981917 GNY981852:GNY981917 GXU981852:GXU981917 HHQ981852:HHQ981917 HRM981852:HRM981917 IBI981852:IBI981917 ILE981852:ILE981917 IVA981852:IVA981917 JEW981852:JEW981917 JOS981852:JOS981917 JYO981852:JYO981917 KIK981852:KIK981917 KSG981852:KSG981917 LCC981852:LCC981917 LLY981852:LLY981917 LVU981852:LVU981917 MFQ981852:MFQ981917 MPM981852:MPM981917 MZI981852:MZI981917 NJE981852:NJE981917 NTA981852:NTA981917 OCW981852:OCW981917 OMS981852:OMS981917 OWO981852:OWO981917 PGK981852:PGK981917 PQG981852:PQG981917 QAC981852:QAC981917 QJY981852:QJY981917 QTU981852:QTU981917 RDQ981852:RDQ981917 RNM981852:RNM981917 RXI981852:RXI981917 SHE981852:SHE981917 SRA981852:SRA981917 TAW981852:TAW981917 TKS981852:TKS981917 TUO981852:TUO981917 UEK981852:UEK981917 UOG981852:UOG981917 UYC981852:UYC981917 VHY981852:VHY981917 VRU981852:VRU981917 WBQ981852:WBQ981917 WLM981852:WLM981917 WVI981852:WVI981917 A1047388:A1047453 IW1047388:IW1047453 SS1047388:SS1047453 ACO1047388:ACO1047453 AMK1047388:AMK1047453 AWG1047388:AWG1047453 BGC1047388:BGC1047453 BPY1047388:BPY1047453 BZU1047388:BZU1047453 CJQ1047388:CJQ1047453 CTM1047388:CTM1047453 DDI1047388:DDI1047453 DNE1047388:DNE1047453 DXA1047388:DXA1047453 EGW1047388:EGW1047453 EQS1047388:EQS1047453 FAO1047388:FAO1047453 FKK1047388:FKK1047453 FUG1047388:FUG1047453 GEC1047388:GEC1047453 GNY1047388:GNY1047453 GXU1047388:GXU1047453 HHQ1047388:HHQ1047453 HRM1047388:HRM1047453 IBI1047388:IBI1047453 ILE1047388:ILE1047453 IVA1047388:IVA1047453 JEW1047388:JEW1047453 JOS1047388:JOS1047453 JYO1047388:JYO1047453 KIK1047388:KIK1047453 KSG1047388:KSG1047453 LCC1047388:LCC1047453 LLY1047388:LLY1047453 LVU1047388:LVU1047453 MFQ1047388:MFQ1047453 MPM1047388:MPM1047453 MZI1047388:MZI1047453 NJE1047388:NJE1047453 NTA1047388:NTA1047453 OCW1047388:OCW1047453 OMS1047388:OMS1047453 OWO1047388:OWO1047453 PGK1047388:PGK1047453 PQG1047388:PQG1047453 QAC1047388:QAC1047453 QJY1047388:QJY1047453 QTU1047388:QTU1047453 RDQ1047388:RDQ1047453 RNM1047388:RNM1047453 RXI1047388:RXI1047453 SHE1047388:SHE1047453 SRA1047388:SRA1047453 TAW1047388:TAW1047453 TKS1047388:TKS1047453 TUO1047388:TUO1047453 UEK1047388:UEK1047453 UOG1047388:UOG1047453 UYC1047388:UYC1047453 VHY1047388:VHY1047453 VRU1047388:VRU1047453 WBQ1047388:WBQ1047453 WLM1047388:WLM1047453 WVI1047388:WVI1047453 WVI983027:WVI983098 A65523:A65594 IW65523:IW65594 SS65523:SS65594 ACO65523:ACO65594 AMK65523:AMK65594 AWG65523:AWG65594 BGC65523:BGC65594 BPY65523:BPY65594 BZU65523:BZU65594 CJQ65523:CJQ65594 CTM65523:CTM65594 DDI65523:DDI65594 DNE65523:DNE65594 DXA65523:DXA65594 EGW65523:EGW65594 EQS65523:EQS65594 FAO65523:FAO65594 FKK65523:FKK65594 FUG65523:FUG65594 GEC65523:GEC65594 GNY65523:GNY65594 GXU65523:GXU65594 HHQ65523:HHQ65594 HRM65523:HRM65594 IBI65523:IBI65594 ILE65523:ILE65594 IVA65523:IVA65594 JEW65523:JEW65594 JOS65523:JOS65594 JYO65523:JYO65594 KIK65523:KIK65594 KSG65523:KSG65594 LCC65523:LCC65594 LLY65523:LLY65594 LVU65523:LVU65594 MFQ65523:MFQ65594 MPM65523:MPM65594 MZI65523:MZI65594 NJE65523:NJE65594 NTA65523:NTA65594 OCW65523:OCW65594 OMS65523:OMS65594 OWO65523:OWO65594 PGK65523:PGK65594 PQG65523:PQG65594 QAC65523:QAC65594 QJY65523:QJY65594 QTU65523:QTU65594 RDQ65523:RDQ65594 RNM65523:RNM65594 RXI65523:RXI65594 SHE65523:SHE65594 SRA65523:SRA65594 TAW65523:TAW65594 TKS65523:TKS65594 TUO65523:TUO65594 UEK65523:UEK65594 UOG65523:UOG65594 UYC65523:UYC65594 VHY65523:VHY65594 VRU65523:VRU65594 WBQ65523:WBQ65594 WLM65523:WLM65594 WVI65523:WVI65594 A131059:A131130 IW131059:IW131130 SS131059:SS131130 ACO131059:ACO131130 AMK131059:AMK131130 AWG131059:AWG131130 BGC131059:BGC131130 BPY131059:BPY131130 BZU131059:BZU131130 CJQ131059:CJQ131130 CTM131059:CTM131130 DDI131059:DDI131130 DNE131059:DNE131130 DXA131059:DXA131130 EGW131059:EGW131130 EQS131059:EQS131130 FAO131059:FAO131130 FKK131059:FKK131130 FUG131059:FUG131130 GEC131059:GEC131130 GNY131059:GNY131130 GXU131059:GXU131130 HHQ131059:HHQ131130 HRM131059:HRM131130 IBI131059:IBI131130 ILE131059:ILE131130 IVA131059:IVA131130 JEW131059:JEW131130 JOS131059:JOS131130 JYO131059:JYO131130 KIK131059:KIK131130 KSG131059:KSG131130 LCC131059:LCC131130 LLY131059:LLY131130 LVU131059:LVU131130 MFQ131059:MFQ131130 MPM131059:MPM131130 MZI131059:MZI131130 NJE131059:NJE131130 NTA131059:NTA131130 OCW131059:OCW131130 OMS131059:OMS131130 OWO131059:OWO131130 PGK131059:PGK131130 PQG131059:PQG131130 QAC131059:QAC131130 QJY131059:QJY131130 QTU131059:QTU131130 RDQ131059:RDQ131130 RNM131059:RNM131130 RXI131059:RXI131130 SHE131059:SHE131130 SRA131059:SRA131130 TAW131059:TAW131130 TKS131059:TKS131130 TUO131059:TUO131130 UEK131059:UEK131130 UOG131059:UOG131130 UYC131059:UYC131130 VHY131059:VHY131130 VRU131059:VRU131130 WBQ131059:WBQ131130 WLM131059:WLM131130 WVI131059:WVI131130 A196595:A196666 IW196595:IW196666 SS196595:SS196666 ACO196595:ACO196666 AMK196595:AMK196666 AWG196595:AWG196666 BGC196595:BGC196666 BPY196595:BPY196666 BZU196595:BZU196666 CJQ196595:CJQ196666 CTM196595:CTM196666 DDI196595:DDI196666 DNE196595:DNE196666 DXA196595:DXA196666 EGW196595:EGW196666 EQS196595:EQS196666 FAO196595:FAO196666 FKK196595:FKK196666 FUG196595:FUG196666 GEC196595:GEC196666 GNY196595:GNY196666 GXU196595:GXU196666 HHQ196595:HHQ196666 HRM196595:HRM196666 IBI196595:IBI196666 ILE196595:ILE196666 IVA196595:IVA196666 JEW196595:JEW196666 JOS196595:JOS196666 JYO196595:JYO196666 KIK196595:KIK196666 KSG196595:KSG196666 LCC196595:LCC196666 LLY196595:LLY196666 LVU196595:LVU196666 MFQ196595:MFQ196666 MPM196595:MPM196666 MZI196595:MZI196666 NJE196595:NJE196666 NTA196595:NTA196666 OCW196595:OCW196666 OMS196595:OMS196666 OWO196595:OWO196666 PGK196595:PGK196666 PQG196595:PQG196666 QAC196595:QAC196666 QJY196595:QJY196666 QTU196595:QTU196666 RDQ196595:RDQ196666 RNM196595:RNM196666 RXI196595:RXI196666 SHE196595:SHE196666 SRA196595:SRA196666 TAW196595:TAW196666 TKS196595:TKS196666 TUO196595:TUO196666 UEK196595:UEK196666 UOG196595:UOG196666 UYC196595:UYC196666 VHY196595:VHY196666 VRU196595:VRU196666 WBQ196595:WBQ196666 WLM196595:WLM196666 WVI196595:WVI196666 A262131:A262202 IW262131:IW262202 SS262131:SS262202 ACO262131:ACO262202 AMK262131:AMK262202 AWG262131:AWG262202 BGC262131:BGC262202 BPY262131:BPY262202 BZU262131:BZU262202 CJQ262131:CJQ262202 CTM262131:CTM262202 DDI262131:DDI262202 DNE262131:DNE262202 DXA262131:DXA262202 EGW262131:EGW262202 EQS262131:EQS262202 FAO262131:FAO262202 FKK262131:FKK262202 FUG262131:FUG262202 GEC262131:GEC262202 GNY262131:GNY262202 GXU262131:GXU262202 HHQ262131:HHQ262202 HRM262131:HRM262202 IBI262131:IBI262202 ILE262131:ILE262202 IVA262131:IVA262202 JEW262131:JEW262202 JOS262131:JOS262202 JYO262131:JYO262202 KIK262131:KIK262202 KSG262131:KSG262202 LCC262131:LCC262202 LLY262131:LLY262202 LVU262131:LVU262202 MFQ262131:MFQ262202 MPM262131:MPM262202 MZI262131:MZI262202 NJE262131:NJE262202 NTA262131:NTA262202 OCW262131:OCW262202 OMS262131:OMS262202 OWO262131:OWO262202 PGK262131:PGK262202 PQG262131:PQG262202 QAC262131:QAC262202 QJY262131:QJY262202 QTU262131:QTU262202 RDQ262131:RDQ262202 RNM262131:RNM262202 RXI262131:RXI262202 SHE262131:SHE262202 SRA262131:SRA262202 TAW262131:TAW262202 TKS262131:TKS262202 TUO262131:TUO262202 UEK262131:UEK262202 UOG262131:UOG262202 UYC262131:UYC262202 VHY262131:VHY262202 VRU262131:VRU262202 WBQ262131:WBQ262202 WLM262131:WLM262202 WVI262131:WVI262202 A327667:A327738 IW327667:IW327738 SS327667:SS327738 ACO327667:ACO327738 AMK327667:AMK327738 AWG327667:AWG327738 BGC327667:BGC327738 BPY327667:BPY327738 BZU327667:BZU327738 CJQ327667:CJQ327738 CTM327667:CTM327738 DDI327667:DDI327738 DNE327667:DNE327738 DXA327667:DXA327738 EGW327667:EGW327738 EQS327667:EQS327738 FAO327667:FAO327738 FKK327667:FKK327738 FUG327667:FUG327738 GEC327667:GEC327738 GNY327667:GNY327738 GXU327667:GXU327738 HHQ327667:HHQ327738 HRM327667:HRM327738 IBI327667:IBI327738 ILE327667:ILE327738 IVA327667:IVA327738 JEW327667:JEW327738 JOS327667:JOS327738 JYO327667:JYO327738 KIK327667:KIK327738 KSG327667:KSG327738 LCC327667:LCC327738 LLY327667:LLY327738 LVU327667:LVU327738 MFQ327667:MFQ327738 MPM327667:MPM327738 MZI327667:MZI327738 NJE327667:NJE327738 NTA327667:NTA327738 OCW327667:OCW327738 OMS327667:OMS327738 OWO327667:OWO327738 PGK327667:PGK327738 PQG327667:PQG327738 QAC327667:QAC327738 QJY327667:QJY327738 QTU327667:QTU327738 RDQ327667:RDQ327738 RNM327667:RNM327738 RXI327667:RXI327738 SHE327667:SHE327738 SRA327667:SRA327738 TAW327667:TAW327738 TKS327667:TKS327738 TUO327667:TUO327738 UEK327667:UEK327738 UOG327667:UOG327738 UYC327667:UYC327738 VHY327667:VHY327738 VRU327667:VRU327738 WBQ327667:WBQ327738 WLM327667:WLM327738 WVI327667:WVI327738 A393203:A393274 IW393203:IW393274 SS393203:SS393274 ACO393203:ACO393274 AMK393203:AMK393274 AWG393203:AWG393274 BGC393203:BGC393274 BPY393203:BPY393274 BZU393203:BZU393274 CJQ393203:CJQ393274 CTM393203:CTM393274 DDI393203:DDI393274 DNE393203:DNE393274 DXA393203:DXA393274 EGW393203:EGW393274 EQS393203:EQS393274 FAO393203:FAO393274 FKK393203:FKK393274 FUG393203:FUG393274 GEC393203:GEC393274 GNY393203:GNY393274 GXU393203:GXU393274 HHQ393203:HHQ393274 HRM393203:HRM393274 IBI393203:IBI393274 ILE393203:ILE393274 IVA393203:IVA393274 JEW393203:JEW393274 JOS393203:JOS393274 JYO393203:JYO393274 KIK393203:KIK393274 KSG393203:KSG393274 LCC393203:LCC393274 LLY393203:LLY393274 LVU393203:LVU393274 MFQ393203:MFQ393274 MPM393203:MPM393274 MZI393203:MZI393274 NJE393203:NJE393274 NTA393203:NTA393274 OCW393203:OCW393274 OMS393203:OMS393274 OWO393203:OWO393274 PGK393203:PGK393274 PQG393203:PQG393274 QAC393203:QAC393274 QJY393203:QJY393274 QTU393203:QTU393274 RDQ393203:RDQ393274 RNM393203:RNM393274 RXI393203:RXI393274 SHE393203:SHE393274 SRA393203:SRA393274 TAW393203:TAW393274 TKS393203:TKS393274 TUO393203:TUO393274 UEK393203:UEK393274 UOG393203:UOG393274 UYC393203:UYC393274 VHY393203:VHY393274 VRU393203:VRU393274 WBQ393203:WBQ393274 WLM393203:WLM393274 WVI393203:WVI393274 A458739:A458810 IW458739:IW458810 SS458739:SS458810 ACO458739:ACO458810 AMK458739:AMK458810 AWG458739:AWG458810 BGC458739:BGC458810 BPY458739:BPY458810 BZU458739:BZU458810 CJQ458739:CJQ458810 CTM458739:CTM458810 DDI458739:DDI458810 DNE458739:DNE458810 DXA458739:DXA458810 EGW458739:EGW458810 EQS458739:EQS458810 FAO458739:FAO458810 FKK458739:FKK458810 FUG458739:FUG458810 GEC458739:GEC458810 GNY458739:GNY458810 GXU458739:GXU458810 HHQ458739:HHQ458810 HRM458739:HRM458810 IBI458739:IBI458810 ILE458739:ILE458810 IVA458739:IVA458810 JEW458739:JEW458810 JOS458739:JOS458810 JYO458739:JYO458810 KIK458739:KIK458810 KSG458739:KSG458810 LCC458739:LCC458810 LLY458739:LLY458810 LVU458739:LVU458810 MFQ458739:MFQ458810 MPM458739:MPM458810 MZI458739:MZI458810 NJE458739:NJE458810 NTA458739:NTA458810 OCW458739:OCW458810 OMS458739:OMS458810 OWO458739:OWO458810 PGK458739:PGK458810 PQG458739:PQG458810 QAC458739:QAC458810 QJY458739:QJY458810 QTU458739:QTU458810 RDQ458739:RDQ458810 RNM458739:RNM458810 RXI458739:RXI458810 SHE458739:SHE458810 SRA458739:SRA458810 TAW458739:TAW458810 TKS458739:TKS458810 TUO458739:TUO458810 UEK458739:UEK458810 UOG458739:UOG458810 UYC458739:UYC458810 VHY458739:VHY458810 VRU458739:VRU458810 WBQ458739:WBQ458810 WLM458739:WLM458810 WVI458739:WVI458810 A524275:A524346 IW524275:IW524346 SS524275:SS524346 ACO524275:ACO524346 AMK524275:AMK524346 AWG524275:AWG524346 BGC524275:BGC524346 BPY524275:BPY524346 BZU524275:BZU524346 CJQ524275:CJQ524346 CTM524275:CTM524346 DDI524275:DDI524346 DNE524275:DNE524346 DXA524275:DXA524346 EGW524275:EGW524346 EQS524275:EQS524346 FAO524275:FAO524346 FKK524275:FKK524346 FUG524275:FUG524346 GEC524275:GEC524346 GNY524275:GNY524346 GXU524275:GXU524346 HHQ524275:HHQ524346 HRM524275:HRM524346 IBI524275:IBI524346 ILE524275:ILE524346 IVA524275:IVA524346 JEW524275:JEW524346 JOS524275:JOS524346 JYO524275:JYO524346 KIK524275:KIK524346 KSG524275:KSG524346 LCC524275:LCC524346 LLY524275:LLY524346 LVU524275:LVU524346 MFQ524275:MFQ524346 MPM524275:MPM524346 MZI524275:MZI524346 NJE524275:NJE524346 NTA524275:NTA524346 OCW524275:OCW524346 OMS524275:OMS524346 OWO524275:OWO524346 PGK524275:PGK524346 PQG524275:PQG524346 QAC524275:QAC524346 QJY524275:QJY524346 QTU524275:QTU524346 RDQ524275:RDQ524346 RNM524275:RNM524346 RXI524275:RXI524346 SHE524275:SHE524346 SRA524275:SRA524346 TAW524275:TAW524346 TKS524275:TKS524346 TUO524275:TUO524346 UEK524275:UEK524346 UOG524275:UOG524346 UYC524275:UYC524346 VHY524275:VHY524346 VRU524275:VRU524346 WBQ524275:WBQ524346 WLM524275:WLM524346 WVI524275:WVI524346 A589811:A589882 IW589811:IW589882 SS589811:SS589882 ACO589811:ACO589882 AMK589811:AMK589882 AWG589811:AWG589882 BGC589811:BGC589882 BPY589811:BPY589882 BZU589811:BZU589882 CJQ589811:CJQ589882 CTM589811:CTM589882 DDI589811:DDI589882 DNE589811:DNE589882 DXA589811:DXA589882 EGW589811:EGW589882 EQS589811:EQS589882 FAO589811:FAO589882 FKK589811:FKK589882 FUG589811:FUG589882 GEC589811:GEC589882 GNY589811:GNY589882 GXU589811:GXU589882 HHQ589811:HHQ589882 HRM589811:HRM589882 IBI589811:IBI589882 ILE589811:ILE589882 IVA589811:IVA589882 JEW589811:JEW589882 JOS589811:JOS589882 JYO589811:JYO589882 KIK589811:KIK589882 KSG589811:KSG589882 LCC589811:LCC589882 LLY589811:LLY589882 LVU589811:LVU589882 MFQ589811:MFQ589882 MPM589811:MPM589882 MZI589811:MZI589882 NJE589811:NJE589882 NTA589811:NTA589882 OCW589811:OCW589882 OMS589811:OMS589882 OWO589811:OWO589882 PGK589811:PGK589882 PQG589811:PQG589882 QAC589811:QAC589882 QJY589811:QJY589882 QTU589811:QTU589882 RDQ589811:RDQ589882 RNM589811:RNM589882 RXI589811:RXI589882 SHE589811:SHE589882 SRA589811:SRA589882 TAW589811:TAW589882 TKS589811:TKS589882 TUO589811:TUO589882 UEK589811:UEK589882 UOG589811:UOG589882 UYC589811:UYC589882 VHY589811:VHY589882 VRU589811:VRU589882 WBQ589811:WBQ589882 WLM589811:WLM589882 WVI589811:WVI589882 A655347:A655418 IW655347:IW655418 SS655347:SS655418 ACO655347:ACO655418 AMK655347:AMK655418 AWG655347:AWG655418 BGC655347:BGC655418 BPY655347:BPY655418 BZU655347:BZU655418 CJQ655347:CJQ655418 CTM655347:CTM655418 DDI655347:DDI655418 DNE655347:DNE655418 DXA655347:DXA655418 EGW655347:EGW655418 EQS655347:EQS655418 FAO655347:FAO655418 FKK655347:FKK655418 FUG655347:FUG655418 GEC655347:GEC655418 GNY655347:GNY655418 GXU655347:GXU655418 HHQ655347:HHQ655418 HRM655347:HRM655418 IBI655347:IBI655418 ILE655347:ILE655418 IVA655347:IVA655418 JEW655347:JEW655418 JOS655347:JOS655418 JYO655347:JYO655418 KIK655347:KIK655418 KSG655347:KSG655418 LCC655347:LCC655418 LLY655347:LLY655418 LVU655347:LVU655418 MFQ655347:MFQ655418 MPM655347:MPM655418 MZI655347:MZI655418 NJE655347:NJE655418 NTA655347:NTA655418 OCW655347:OCW655418 OMS655347:OMS655418 OWO655347:OWO655418 PGK655347:PGK655418 PQG655347:PQG655418 QAC655347:QAC655418 QJY655347:QJY655418 QTU655347:QTU655418 RDQ655347:RDQ655418 RNM655347:RNM655418 RXI655347:RXI655418 SHE655347:SHE655418 SRA655347:SRA655418 TAW655347:TAW655418 TKS655347:TKS655418 TUO655347:TUO655418 UEK655347:UEK655418 UOG655347:UOG655418 UYC655347:UYC655418 VHY655347:VHY655418 VRU655347:VRU655418 WBQ655347:WBQ655418 WLM655347:WLM655418 WVI655347:WVI655418 A720883:A720954 IW720883:IW720954 SS720883:SS720954 ACO720883:ACO720954 AMK720883:AMK720954 AWG720883:AWG720954 BGC720883:BGC720954 BPY720883:BPY720954 BZU720883:BZU720954 CJQ720883:CJQ720954 CTM720883:CTM720954 DDI720883:DDI720954 DNE720883:DNE720954 DXA720883:DXA720954 EGW720883:EGW720954 EQS720883:EQS720954 FAO720883:FAO720954 FKK720883:FKK720954 FUG720883:FUG720954 GEC720883:GEC720954 GNY720883:GNY720954 GXU720883:GXU720954 HHQ720883:HHQ720954 HRM720883:HRM720954 IBI720883:IBI720954 ILE720883:ILE720954 IVA720883:IVA720954 JEW720883:JEW720954 JOS720883:JOS720954 JYO720883:JYO720954 KIK720883:KIK720954 KSG720883:KSG720954 LCC720883:LCC720954 LLY720883:LLY720954 LVU720883:LVU720954 MFQ720883:MFQ720954 MPM720883:MPM720954 MZI720883:MZI720954 NJE720883:NJE720954 NTA720883:NTA720954 OCW720883:OCW720954 OMS720883:OMS720954 OWO720883:OWO720954 PGK720883:PGK720954 PQG720883:PQG720954 QAC720883:QAC720954 QJY720883:QJY720954 QTU720883:QTU720954 RDQ720883:RDQ720954 RNM720883:RNM720954 RXI720883:RXI720954 SHE720883:SHE720954 SRA720883:SRA720954 TAW720883:TAW720954 TKS720883:TKS720954 TUO720883:TUO720954 UEK720883:UEK720954 UOG720883:UOG720954 UYC720883:UYC720954 VHY720883:VHY720954 VRU720883:VRU720954 WBQ720883:WBQ720954 WLM720883:WLM720954 WVI720883:WVI720954 A786419:A786490 IW786419:IW786490 SS786419:SS786490 ACO786419:ACO786490 AMK786419:AMK786490 AWG786419:AWG786490 BGC786419:BGC786490 BPY786419:BPY786490 BZU786419:BZU786490 CJQ786419:CJQ786490 CTM786419:CTM786490 DDI786419:DDI786490 DNE786419:DNE786490 DXA786419:DXA786490 EGW786419:EGW786490 EQS786419:EQS786490 FAO786419:FAO786490 FKK786419:FKK786490 FUG786419:FUG786490 GEC786419:GEC786490 GNY786419:GNY786490 GXU786419:GXU786490 HHQ786419:HHQ786490 HRM786419:HRM786490 IBI786419:IBI786490 ILE786419:ILE786490 IVA786419:IVA786490 JEW786419:JEW786490 JOS786419:JOS786490 JYO786419:JYO786490 KIK786419:KIK786490 KSG786419:KSG786490 LCC786419:LCC786490 LLY786419:LLY786490 LVU786419:LVU786490 MFQ786419:MFQ786490 MPM786419:MPM786490 MZI786419:MZI786490 NJE786419:NJE786490 NTA786419:NTA786490 OCW786419:OCW786490 OMS786419:OMS786490 OWO786419:OWO786490 PGK786419:PGK786490 PQG786419:PQG786490 QAC786419:QAC786490 QJY786419:QJY786490 QTU786419:QTU786490 RDQ786419:RDQ786490 RNM786419:RNM786490 RXI786419:RXI786490 SHE786419:SHE786490 SRA786419:SRA786490 TAW786419:TAW786490 TKS786419:TKS786490 TUO786419:TUO786490 UEK786419:UEK786490 UOG786419:UOG786490 UYC786419:UYC786490 VHY786419:VHY786490 VRU786419:VRU786490 WBQ786419:WBQ786490 WLM786419:WLM786490 WVI786419:WVI786490 A851955:A852026 IW851955:IW852026 SS851955:SS852026 ACO851955:ACO852026 AMK851955:AMK852026 AWG851955:AWG852026 BGC851955:BGC852026 BPY851955:BPY852026 BZU851955:BZU852026 CJQ851955:CJQ852026 CTM851955:CTM852026 DDI851955:DDI852026 DNE851955:DNE852026 DXA851955:DXA852026 EGW851955:EGW852026 EQS851955:EQS852026 FAO851955:FAO852026 FKK851955:FKK852026 FUG851955:FUG852026 GEC851955:GEC852026 GNY851955:GNY852026 GXU851955:GXU852026 HHQ851955:HHQ852026 HRM851955:HRM852026 IBI851955:IBI852026 ILE851955:ILE852026 IVA851955:IVA852026 JEW851955:JEW852026 JOS851955:JOS852026 JYO851955:JYO852026 KIK851955:KIK852026 KSG851955:KSG852026 LCC851955:LCC852026 LLY851955:LLY852026 LVU851955:LVU852026 MFQ851955:MFQ852026 MPM851955:MPM852026 MZI851955:MZI852026 NJE851955:NJE852026 NTA851955:NTA852026 OCW851955:OCW852026 OMS851955:OMS852026 OWO851955:OWO852026 PGK851955:PGK852026 PQG851955:PQG852026 QAC851955:QAC852026 QJY851955:QJY852026 QTU851955:QTU852026 RDQ851955:RDQ852026 RNM851955:RNM852026 RXI851955:RXI852026 SHE851955:SHE852026 SRA851955:SRA852026 TAW851955:TAW852026 TKS851955:TKS852026 TUO851955:TUO852026 UEK851955:UEK852026 UOG851955:UOG852026 UYC851955:UYC852026 VHY851955:VHY852026 VRU851955:VRU852026 WBQ851955:WBQ852026 WLM851955:WLM852026 WVI851955:WVI852026 A917491:A917562 IW917491:IW917562 SS917491:SS917562 ACO917491:ACO917562 AMK917491:AMK917562 AWG917491:AWG917562 BGC917491:BGC917562 BPY917491:BPY917562 BZU917491:BZU917562 CJQ917491:CJQ917562 CTM917491:CTM917562 DDI917491:DDI917562 DNE917491:DNE917562 DXA917491:DXA917562 EGW917491:EGW917562 EQS917491:EQS917562 FAO917491:FAO917562 FKK917491:FKK917562 FUG917491:FUG917562 GEC917491:GEC917562 GNY917491:GNY917562 GXU917491:GXU917562 HHQ917491:HHQ917562 HRM917491:HRM917562 IBI917491:IBI917562 ILE917491:ILE917562 IVA917491:IVA917562 JEW917491:JEW917562 JOS917491:JOS917562 JYO917491:JYO917562 KIK917491:KIK917562 KSG917491:KSG917562 LCC917491:LCC917562 LLY917491:LLY917562 LVU917491:LVU917562 MFQ917491:MFQ917562 MPM917491:MPM917562 MZI917491:MZI917562 NJE917491:NJE917562 NTA917491:NTA917562 OCW917491:OCW917562 OMS917491:OMS917562 OWO917491:OWO917562 PGK917491:PGK917562 PQG917491:PQG917562 QAC917491:QAC917562 QJY917491:QJY917562 QTU917491:QTU917562 RDQ917491:RDQ917562 RNM917491:RNM917562 RXI917491:RXI917562 SHE917491:SHE917562 SRA917491:SRA917562 TAW917491:TAW917562 TKS917491:TKS917562 TUO917491:TUO917562 UEK917491:UEK917562 UOG917491:UOG917562 UYC917491:UYC917562 VHY917491:VHY917562 VRU917491:VRU917562 WBQ917491:WBQ917562 WLM917491:WLM917562 WVI917491:WVI917562 A983027:A983098 IW983027:IW983098 SS983027:SS983098 ACO983027:ACO983098 AMK983027:AMK983098 AWG983027:AWG983098 BGC983027:BGC983098 BPY983027:BPY983098 BZU983027:BZU983098 CJQ983027:CJQ983098 CTM983027:CTM983098 DDI983027:DDI983098 DNE983027:DNE983098 DXA983027:DXA983098 EGW983027:EGW983098 EQS983027:EQS983098 FAO983027:FAO983098 FKK983027:FKK983098 FUG983027:FUG983098 GEC983027:GEC983098 GNY983027:GNY983098 GXU983027:GXU983098 HHQ983027:HHQ983098 HRM983027:HRM983098 IBI983027:IBI983098 ILE983027:ILE983098 IVA983027:IVA983098 JEW983027:JEW983098 JOS983027:JOS983098 JYO983027:JYO983098 KIK983027:KIK983098 KSG983027:KSG983098 LCC983027:LCC983098 LLY983027:LLY983098 LVU983027:LVU983098 MFQ983027:MFQ983098 MPM983027:MPM983098 MZI983027:MZI983098 NJE983027:NJE983098 NTA983027:NTA983098 OCW983027:OCW983098 OMS983027:OMS983098 OWO983027:OWO983098 PGK983027:PGK983098 PQG983027:PQG983098 QAC983027:QAC983098 QJY983027:QJY983098 QTU983027:QTU983098 RDQ983027:RDQ983098 RNM983027:RNM983098 RXI983027:RXI983098 SHE983027:SHE983098 SRA983027:SRA983098 TAW983027:TAW983098 TKS983027:TKS983098 TUO983027:TUO983098 UEK983027:UEK983098 UOG983027:UOG983098 UYC983027:UYC983098 VHY983027:VHY983098 VRU983027:VRU983098 WBQ983027:WBQ983098 WLM983027:WLM983098 A2:A485 IW2:IW72 WVI2:WVI72 WLM2:WLM72 WBQ2:WBQ72 VRU2:VRU72 VHY2:VHY72 UYC2:UYC72 UOG2:UOG72 UEK2:UEK72 TUO2:TUO72 TKS2:TKS72 TAW2:TAW72 SRA2:SRA72 SHE2:SHE72 RXI2:RXI72 RNM2:RNM72 RDQ2:RDQ72 QTU2:QTU72 QJY2:QJY72 QAC2:QAC72 PQG2:PQG72 PGK2:PGK72 OWO2:OWO72 OMS2:OMS72 OCW2:OCW72 NTA2:NTA72 NJE2:NJE72 MZI2:MZI72 MPM2:MPM72 MFQ2:MFQ72 LVU2:LVU72 LLY2:LLY72 LCC2:LCC72 KSG2:KSG72 KIK2:KIK72 JYO2:JYO72 JOS2:JOS72 JEW2:JEW72 IVA2:IVA72 ILE2:ILE72 IBI2:IBI72 HRM2:HRM72 HHQ2:HHQ72 GXU2:GXU72 GNY2:GNY72 GEC2:GEC72 FUG2:FUG72 FKK2:FKK72 FAO2:FAO72 EQS2:EQS72 EGW2:EGW72 DXA2:DXA72 DNE2:DNE72 DDI2:DDI72 CTM2:CTM72 CJQ2:CJQ72 BZU2:BZU72 BPY2:BPY72 BGC2:BGC72 AWG2:AWG72 AMK2:AMK72 ACO2:ACO72 SS2:SS72" xr:uid="{FB6E4170-5FC4-43C7-9BD1-D2BEBC0513A6}">
      <formula1>$AE$2:$AE$19</formula1>
    </dataValidation>
    <dataValidation type="list" allowBlank="1" showInputMessage="1" showErrorMessage="1" sqref="X64348:X64413 JT64348:JT64413 TP64348:TP64413 ADL64348:ADL64413 ANH64348:ANH64413 AXD64348:AXD64413 BGZ64348:BGZ64413 BQV64348:BQV64413 CAR64348:CAR64413 CKN64348:CKN64413 CUJ64348:CUJ64413 DEF64348:DEF64413 DOB64348:DOB64413 DXX64348:DXX64413 EHT64348:EHT64413 ERP64348:ERP64413 FBL64348:FBL64413 FLH64348:FLH64413 FVD64348:FVD64413 GEZ64348:GEZ64413 GOV64348:GOV64413 GYR64348:GYR64413 HIN64348:HIN64413 HSJ64348:HSJ64413 ICF64348:ICF64413 IMB64348:IMB64413 IVX64348:IVX64413 JFT64348:JFT64413 JPP64348:JPP64413 JZL64348:JZL64413 KJH64348:KJH64413 KTD64348:KTD64413 LCZ64348:LCZ64413 LMV64348:LMV64413 LWR64348:LWR64413 MGN64348:MGN64413 MQJ64348:MQJ64413 NAF64348:NAF64413 NKB64348:NKB64413 NTX64348:NTX64413 ODT64348:ODT64413 ONP64348:ONP64413 OXL64348:OXL64413 PHH64348:PHH64413 PRD64348:PRD64413 QAZ64348:QAZ64413 QKV64348:QKV64413 QUR64348:QUR64413 REN64348:REN64413 ROJ64348:ROJ64413 RYF64348:RYF64413 SIB64348:SIB64413 SRX64348:SRX64413 TBT64348:TBT64413 TLP64348:TLP64413 TVL64348:TVL64413 UFH64348:UFH64413 UPD64348:UPD64413 UYZ64348:UYZ64413 VIV64348:VIV64413 VSR64348:VSR64413 WCN64348:WCN64413 WMJ64348:WMJ64413 WWF64348:WWF64413 X129884:X129949 JT129884:JT129949 TP129884:TP129949 ADL129884:ADL129949 ANH129884:ANH129949 AXD129884:AXD129949 BGZ129884:BGZ129949 BQV129884:BQV129949 CAR129884:CAR129949 CKN129884:CKN129949 CUJ129884:CUJ129949 DEF129884:DEF129949 DOB129884:DOB129949 DXX129884:DXX129949 EHT129884:EHT129949 ERP129884:ERP129949 FBL129884:FBL129949 FLH129884:FLH129949 FVD129884:FVD129949 GEZ129884:GEZ129949 GOV129884:GOV129949 GYR129884:GYR129949 HIN129884:HIN129949 HSJ129884:HSJ129949 ICF129884:ICF129949 IMB129884:IMB129949 IVX129884:IVX129949 JFT129884:JFT129949 JPP129884:JPP129949 JZL129884:JZL129949 KJH129884:KJH129949 KTD129884:KTD129949 LCZ129884:LCZ129949 LMV129884:LMV129949 LWR129884:LWR129949 MGN129884:MGN129949 MQJ129884:MQJ129949 NAF129884:NAF129949 NKB129884:NKB129949 NTX129884:NTX129949 ODT129884:ODT129949 ONP129884:ONP129949 OXL129884:OXL129949 PHH129884:PHH129949 PRD129884:PRD129949 QAZ129884:QAZ129949 QKV129884:QKV129949 QUR129884:QUR129949 REN129884:REN129949 ROJ129884:ROJ129949 RYF129884:RYF129949 SIB129884:SIB129949 SRX129884:SRX129949 TBT129884:TBT129949 TLP129884:TLP129949 TVL129884:TVL129949 UFH129884:UFH129949 UPD129884:UPD129949 UYZ129884:UYZ129949 VIV129884:VIV129949 VSR129884:VSR129949 WCN129884:WCN129949 WMJ129884:WMJ129949 WWF129884:WWF129949 X195420:X195485 JT195420:JT195485 TP195420:TP195485 ADL195420:ADL195485 ANH195420:ANH195485 AXD195420:AXD195485 BGZ195420:BGZ195485 BQV195420:BQV195485 CAR195420:CAR195485 CKN195420:CKN195485 CUJ195420:CUJ195485 DEF195420:DEF195485 DOB195420:DOB195485 DXX195420:DXX195485 EHT195420:EHT195485 ERP195420:ERP195485 FBL195420:FBL195485 FLH195420:FLH195485 FVD195420:FVD195485 GEZ195420:GEZ195485 GOV195420:GOV195485 GYR195420:GYR195485 HIN195420:HIN195485 HSJ195420:HSJ195485 ICF195420:ICF195485 IMB195420:IMB195485 IVX195420:IVX195485 JFT195420:JFT195485 JPP195420:JPP195485 JZL195420:JZL195485 KJH195420:KJH195485 KTD195420:KTD195485 LCZ195420:LCZ195485 LMV195420:LMV195485 LWR195420:LWR195485 MGN195420:MGN195485 MQJ195420:MQJ195485 NAF195420:NAF195485 NKB195420:NKB195485 NTX195420:NTX195485 ODT195420:ODT195485 ONP195420:ONP195485 OXL195420:OXL195485 PHH195420:PHH195485 PRD195420:PRD195485 QAZ195420:QAZ195485 QKV195420:QKV195485 QUR195420:QUR195485 REN195420:REN195485 ROJ195420:ROJ195485 RYF195420:RYF195485 SIB195420:SIB195485 SRX195420:SRX195485 TBT195420:TBT195485 TLP195420:TLP195485 TVL195420:TVL195485 UFH195420:UFH195485 UPD195420:UPD195485 UYZ195420:UYZ195485 VIV195420:VIV195485 VSR195420:VSR195485 WCN195420:WCN195485 WMJ195420:WMJ195485 WWF195420:WWF195485 X260956:X261021 JT260956:JT261021 TP260956:TP261021 ADL260956:ADL261021 ANH260956:ANH261021 AXD260956:AXD261021 BGZ260956:BGZ261021 BQV260956:BQV261021 CAR260956:CAR261021 CKN260956:CKN261021 CUJ260956:CUJ261021 DEF260956:DEF261021 DOB260956:DOB261021 DXX260956:DXX261021 EHT260956:EHT261021 ERP260956:ERP261021 FBL260956:FBL261021 FLH260956:FLH261021 FVD260956:FVD261021 GEZ260956:GEZ261021 GOV260956:GOV261021 GYR260956:GYR261021 HIN260956:HIN261021 HSJ260956:HSJ261021 ICF260956:ICF261021 IMB260956:IMB261021 IVX260956:IVX261021 JFT260956:JFT261021 JPP260956:JPP261021 JZL260956:JZL261021 KJH260956:KJH261021 KTD260956:KTD261021 LCZ260956:LCZ261021 LMV260956:LMV261021 LWR260956:LWR261021 MGN260956:MGN261021 MQJ260956:MQJ261021 NAF260956:NAF261021 NKB260956:NKB261021 NTX260956:NTX261021 ODT260956:ODT261021 ONP260956:ONP261021 OXL260956:OXL261021 PHH260956:PHH261021 PRD260956:PRD261021 QAZ260956:QAZ261021 QKV260956:QKV261021 QUR260956:QUR261021 REN260956:REN261021 ROJ260956:ROJ261021 RYF260956:RYF261021 SIB260956:SIB261021 SRX260956:SRX261021 TBT260956:TBT261021 TLP260956:TLP261021 TVL260956:TVL261021 UFH260956:UFH261021 UPD260956:UPD261021 UYZ260956:UYZ261021 VIV260956:VIV261021 VSR260956:VSR261021 WCN260956:WCN261021 WMJ260956:WMJ261021 WWF260956:WWF261021 X326492:X326557 JT326492:JT326557 TP326492:TP326557 ADL326492:ADL326557 ANH326492:ANH326557 AXD326492:AXD326557 BGZ326492:BGZ326557 BQV326492:BQV326557 CAR326492:CAR326557 CKN326492:CKN326557 CUJ326492:CUJ326557 DEF326492:DEF326557 DOB326492:DOB326557 DXX326492:DXX326557 EHT326492:EHT326557 ERP326492:ERP326557 FBL326492:FBL326557 FLH326492:FLH326557 FVD326492:FVD326557 GEZ326492:GEZ326557 GOV326492:GOV326557 GYR326492:GYR326557 HIN326492:HIN326557 HSJ326492:HSJ326557 ICF326492:ICF326557 IMB326492:IMB326557 IVX326492:IVX326557 JFT326492:JFT326557 JPP326492:JPP326557 JZL326492:JZL326557 KJH326492:KJH326557 KTD326492:KTD326557 LCZ326492:LCZ326557 LMV326492:LMV326557 LWR326492:LWR326557 MGN326492:MGN326557 MQJ326492:MQJ326557 NAF326492:NAF326557 NKB326492:NKB326557 NTX326492:NTX326557 ODT326492:ODT326557 ONP326492:ONP326557 OXL326492:OXL326557 PHH326492:PHH326557 PRD326492:PRD326557 QAZ326492:QAZ326557 QKV326492:QKV326557 QUR326492:QUR326557 REN326492:REN326557 ROJ326492:ROJ326557 RYF326492:RYF326557 SIB326492:SIB326557 SRX326492:SRX326557 TBT326492:TBT326557 TLP326492:TLP326557 TVL326492:TVL326557 UFH326492:UFH326557 UPD326492:UPD326557 UYZ326492:UYZ326557 VIV326492:VIV326557 VSR326492:VSR326557 WCN326492:WCN326557 WMJ326492:WMJ326557 WWF326492:WWF326557 X392028:X392093 JT392028:JT392093 TP392028:TP392093 ADL392028:ADL392093 ANH392028:ANH392093 AXD392028:AXD392093 BGZ392028:BGZ392093 BQV392028:BQV392093 CAR392028:CAR392093 CKN392028:CKN392093 CUJ392028:CUJ392093 DEF392028:DEF392093 DOB392028:DOB392093 DXX392028:DXX392093 EHT392028:EHT392093 ERP392028:ERP392093 FBL392028:FBL392093 FLH392028:FLH392093 FVD392028:FVD392093 GEZ392028:GEZ392093 GOV392028:GOV392093 GYR392028:GYR392093 HIN392028:HIN392093 HSJ392028:HSJ392093 ICF392028:ICF392093 IMB392028:IMB392093 IVX392028:IVX392093 JFT392028:JFT392093 JPP392028:JPP392093 JZL392028:JZL392093 KJH392028:KJH392093 KTD392028:KTD392093 LCZ392028:LCZ392093 LMV392028:LMV392093 LWR392028:LWR392093 MGN392028:MGN392093 MQJ392028:MQJ392093 NAF392028:NAF392093 NKB392028:NKB392093 NTX392028:NTX392093 ODT392028:ODT392093 ONP392028:ONP392093 OXL392028:OXL392093 PHH392028:PHH392093 PRD392028:PRD392093 QAZ392028:QAZ392093 QKV392028:QKV392093 QUR392028:QUR392093 REN392028:REN392093 ROJ392028:ROJ392093 RYF392028:RYF392093 SIB392028:SIB392093 SRX392028:SRX392093 TBT392028:TBT392093 TLP392028:TLP392093 TVL392028:TVL392093 UFH392028:UFH392093 UPD392028:UPD392093 UYZ392028:UYZ392093 VIV392028:VIV392093 VSR392028:VSR392093 WCN392028:WCN392093 WMJ392028:WMJ392093 WWF392028:WWF392093 X457564:X457629 JT457564:JT457629 TP457564:TP457629 ADL457564:ADL457629 ANH457564:ANH457629 AXD457564:AXD457629 BGZ457564:BGZ457629 BQV457564:BQV457629 CAR457564:CAR457629 CKN457564:CKN457629 CUJ457564:CUJ457629 DEF457564:DEF457629 DOB457564:DOB457629 DXX457564:DXX457629 EHT457564:EHT457629 ERP457564:ERP457629 FBL457564:FBL457629 FLH457564:FLH457629 FVD457564:FVD457629 GEZ457564:GEZ457629 GOV457564:GOV457629 GYR457564:GYR457629 HIN457564:HIN457629 HSJ457564:HSJ457629 ICF457564:ICF457629 IMB457564:IMB457629 IVX457564:IVX457629 JFT457564:JFT457629 JPP457564:JPP457629 JZL457564:JZL457629 KJH457564:KJH457629 KTD457564:KTD457629 LCZ457564:LCZ457629 LMV457564:LMV457629 LWR457564:LWR457629 MGN457564:MGN457629 MQJ457564:MQJ457629 NAF457564:NAF457629 NKB457564:NKB457629 NTX457564:NTX457629 ODT457564:ODT457629 ONP457564:ONP457629 OXL457564:OXL457629 PHH457564:PHH457629 PRD457564:PRD457629 QAZ457564:QAZ457629 QKV457564:QKV457629 QUR457564:QUR457629 REN457564:REN457629 ROJ457564:ROJ457629 RYF457564:RYF457629 SIB457564:SIB457629 SRX457564:SRX457629 TBT457564:TBT457629 TLP457564:TLP457629 TVL457564:TVL457629 UFH457564:UFH457629 UPD457564:UPD457629 UYZ457564:UYZ457629 VIV457564:VIV457629 VSR457564:VSR457629 WCN457564:WCN457629 WMJ457564:WMJ457629 WWF457564:WWF457629 X523100:X523165 JT523100:JT523165 TP523100:TP523165 ADL523100:ADL523165 ANH523100:ANH523165 AXD523100:AXD523165 BGZ523100:BGZ523165 BQV523100:BQV523165 CAR523100:CAR523165 CKN523100:CKN523165 CUJ523100:CUJ523165 DEF523100:DEF523165 DOB523100:DOB523165 DXX523100:DXX523165 EHT523100:EHT523165 ERP523100:ERP523165 FBL523100:FBL523165 FLH523100:FLH523165 FVD523100:FVD523165 GEZ523100:GEZ523165 GOV523100:GOV523165 GYR523100:GYR523165 HIN523100:HIN523165 HSJ523100:HSJ523165 ICF523100:ICF523165 IMB523100:IMB523165 IVX523100:IVX523165 JFT523100:JFT523165 JPP523100:JPP523165 JZL523100:JZL523165 KJH523100:KJH523165 KTD523100:KTD523165 LCZ523100:LCZ523165 LMV523100:LMV523165 LWR523100:LWR523165 MGN523100:MGN523165 MQJ523100:MQJ523165 NAF523100:NAF523165 NKB523100:NKB523165 NTX523100:NTX523165 ODT523100:ODT523165 ONP523100:ONP523165 OXL523100:OXL523165 PHH523100:PHH523165 PRD523100:PRD523165 QAZ523100:QAZ523165 QKV523100:QKV523165 QUR523100:QUR523165 REN523100:REN523165 ROJ523100:ROJ523165 RYF523100:RYF523165 SIB523100:SIB523165 SRX523100:SRX523165 TBT523100:TBT523165 TLP523100:TLP523165 TVL523100:TVL523165 UFH523100:UFH523165 UPD523100:UPD523165 UYZ523100:UYZ523165 VIV523100:VIV523165 VSR523100:VSR523165 WCN523100:WCN523165 WMJ523100:WMJ523165 WWF523100:WWF523165 X588636:X588701 JT588636:JT588701 TP588636:TP588701 ADL588636:ADL588701 ANH588636:ANH588701 AXD588636:AXD588701 BGZ588636:BGZ588701 BQV588636:BQV588701 CAR588636:CAR588701 CKN588636:CKN588701 CUJ588636:CUJ588701 DEF588636:DEF588701 DOB588636:DOB588701 DXX588636:DXX588701 EHT588636:EHT588701 ERP588636:ERP588701 FBL588636:FBL588701 FLH588636:FLH588701 FVD588636:FVD588701 GEZ588636:GEZ588701 GOV588636:GOV588701 GYR588636:GYR588701 HIN588636:HIN588701 HSJ588636:HSJ588701 ICF588636:ICF588701 IMB588636:IMB588701 IVX588636:IVX588701 JFT588636:JFT588701 JPP588636:JPP588701 JZL588636:JZL588701 KJH588636:KJH588701 KTD588636:KTD588701 LCZ588636:LCZ588701 LMV588636:LMV588701 LWR588636:LWR588701 MGN588636:MGN588701 MQJ588636:MQJ588701 NAF588636:NAF588701 NKB588636:NKB588701 NTX588636:NTX588701 ODT588636:ODT588701 ONP588636:ONP588701 OXL588636:OXL588701 PHH588636:PHH588701 PRD588636:PRD588701 QAZ588636:QAZ588701 QKV588636:QKV588701 QUR588636:QUR588701 REN588636:REN588701 ROJ588636:ROJ588701 RYF588636:RYF588701 SIB588636:SIB588701 SRX588636:SRX588701 TBT588636:TBT588701 TLP588636:TLP588701 TVL588636:TVL588701 UFH588636:UFH588701 UPD588636:UPD588701 UYZ588636:UYZ588701 VIV588636:VIV588701 VSR588636:VSR588701 WCN588636:WCN588701 WMJ588636:WMJ588701 WWF588636:WWF588701 X654172:X654237 JT654172:JT654237 TP654172:TP654237 ADL654172:ADL654237 ANH654172:ANH654237 AXD654172:AXD654237 BGZ654172:BGZ654237 BQV654172:BQV654237 CAR654172:CAR654237 CKN654172:CKN654237 CUJ654172:CUJ654237 DEF654172:DEF654237 DOB654172:DOB654237 DXX654172:DXX654237 EHT654172:EHT654237 ERP654172:ERP654237 FBL654172:FBL654237 FLH654172:FLH654237 FVD654172:FVD654237 GEZ654172:GEZ654237 GOV654172:GOV654237 GYR654172:GYR654237 HIN654172:HIN654237 HSJ654172:HSJ654237 ICF654172:ICF654237 IMB654172:IMB654237 IVX654172:IVX654237 JFT654172:JFT654237 JPP654172:JPP654237 JZL654172:JZL654237 KJH654172:KJH654237 KTD654172:KTD654237 LCZ654172:LCZ654237 LMV654172:LMV654237 LWR654172:LWR654237 MGN654172:MGN654237 MQJ654172:MQJ654237 NAF654172:NAF654237 NKB654172:NKB654237 NTX654172:NTX654237 ODT654172:ODT654237 ONP654172:ONP654237 OXL654172:OXL654237 PHH654172:PHH654237 PRD654172:PRD654237 QAZ654172:QAZ654237 QKV654172:QKV654237 QUR654172:QUR654237 REN654172:REN654237 ROJ654172:ROJ654237 RYF654172:RYF654237 SIB654172:SIB654237 SRX654172:SRX654237 TBT654172:TBT654237 TLP654172:TLP654237 TVL654172:TVL654237 UFH654172:UFH654237 UPD654172:UPD654237 UYZ654172:UYZ654237 VIV654172:VIV654237 VSR654172:VSR654237 WCN654172:WCN654237 WMJ654172:WMJ654237 WWF654172:WWF654237 X719708:X719773 JT719708:JT719773 TP719708:TP719773 ADL719708:ADL719773 ANH719708:ANH719773 AXD719708:AXD719773 BGZ719708:BGZ719773 BQV719708:BQV719773 CAR719708:CAR719773 CKN719708:CKN719773 CUJ719708:CUJ719773 DEF719708:DEF719773 DOB719708:DOB719773 DXX719708:DXX719773 EHT719708:EHT719773 ERP719708:ERP719773 FBL719708:FBL719773 FLH719708:FLH719773 FVD719708:FVD719773 GEZ719708:GEZ719773 GOV719708:GOV719773 GYR719708:GYR719773 HIN719708:HIN719773 HSJ719708:HSJ719773 ICF719708:ICF719773 IMB719708:IMB719773 IVX719708:IVX719773 JFT719708:JFT719773 JPP719708:JPP719773 JZL719708:JZL719773 KJH719708:KJH719773 KTD719708:KTD719773 LCZ719708:LCZ719773 LMV719708:LMV719773 LWR719708:LWR719773 MGN719708:MGN719773 MQJ719708:MQJ719773 NAF719708:NAF719773 NKB719708:NKB719773 NTX719708:NTX719773 ODT719708:ODT719773 ONP719708:ONP719773 OXL719708:OXL719773 PHH719708:PHH719773 PRD719708:PRD719773 QAZ719708:QAZ719773 QKV719708:QKV719773 QUR719708:QUR719773 REN719708:REN719773 ROJ719708:ROJ719773 RYF719708:RYF719773 SIB719708:SIB719773 SRX719708:SRX719773 TBT719708:TBT719773 TLP719708:TLP719773 TVL719708:TVL719773 UFH719708:UFH719773 UPD719708:UPD719773 UYZ719708:UYZ719773 VIV719708:VIV719773 VSR719708:VSR719773 WCN719708:WCN719773 WMJ719708:WMJ719773 WWF719708:WWF719773 X785244:X785309 JT785244:JT785309 TP785244:TP785309 ADL785244:ADL785309 ANH785244:ANH785309 AXD785244:AXD785309 BGZ785244:BGZ785309 BQV785244:BQV785309 CAR785244:CAR785309 CKN785244:CKN785309 CUJ785244:CUJ785309 DEF785244:DEF785309 DOB785244:DOB785309 DXX785244:DXX785309 EHT785244:EHT785309 ERP785244:ERP785309 FBL785244:FBL785309 FLH785244:FLH785309 FVD785244:FVD785309 GEZ785244:GEZ785309 GOV785244:GOV785309 GYR785244:GYR785309 HIN785244:HIN785309 HSJ785244:HSJ785309 ICF785244:ICF785309 IMB785244:IMB785309 IVX785244:IVX785309 JFT785244:JFT785309 JPP785244:JPP785309 JZL785244:JZL785309 KJH785244:KJH785309 KTD785244:KTD785309 LCZ785244:LCZ785309 LMV785244:LMV785309 LWR785244:LWR785309 MGN785244:MGN785309 MQJ785244:MQJ785309 NAF785244:NAF785309 NKB785244:NKB785309 NTX785244:NTX785309 ODT785244:ODT785309 ONP785244:ONP785309 OXL785244:OXL785309 PHH785244:PHH785309 PRD785244:PRD785309 QAZ785244:QAZ785309 QKV785244:QKV785309 QUR785244:QUR785309 REN785244:REN785309 ROJ785244:ROJ785309 RYF785244:RYF785309 SIB785244:SIB785309 SRX785244:SRX785309 TBT785244:TBT785309 TLP785244:TLP785309 TVL785244:TVL785309 UFH785244:UFH785309 UPD785244:UPD785309 UYZ785244:UYZ785309 VIV785244:VIV785309 VSR785244:VSR785309 WCN785244:WCN785309 WMJ785244:WMJ785309 WWF785244:WWF785309 X850780:X850845 JT850780:JT850845 TP850780:TP850845 ADL850780:ADL850845 ANH850780:ANH850845 AXD850780:AXD850845 BGZ850780:BGZ850845 BQV850780:BQV850845 CAR850780:CAR850845 CKN850780:CKN850845 CUJ850780:CUJ850845 DEF850780:DEF850845 DOB850780:DOB850845 DXX850780:DXX850845 EHT850780:EHT850845 ERP850780:ERP850845 FBL850780:FBL850845 FLH850780:FLH850845 FVD850780:FVD850845 GEZ850780:GEZ850845 GOV850780:GOV850845 GYR850780:GYR850845 HIN850780:HIN850845 HSJ850780:HSJ850845 ICF850780:ICF850845 IMB850780:IMB850845 IVX850780:IVX850845 JFT850780:JFT850845 JPP850780:JPP850845 JZL850780:JZL850845 KJH850780:KJH850845 KTD850780:KTD850845 LCZ850780:LCZ850845 LMV850780:LMV850845 LWR850780:LWR850845 MGN850780:MGN850845 MQJ850780:MQJ850845 NAF850780:NAF850845 NKB850780:NKB850845 NTX850780:NTX850845 ODT850780:ODT850845 ONP850780:ONP850845 OXL850780:OXL850845 PHH850780:PHH850845 PRD850780:PRD850845 QAZ850780:QAZ850845 QKV850780:QKV850845 QUR850780:QUR850845 REN850780:REN850845 ROJ850780:ROJ850845 RYF850780:RYF850845 SIB850780:SIB850845 SRX850780:SRX850845 TBT850780:TBT850845 TLP850780:TLP850845 TVL850780:TVL850845 UFH850780:UFH850845 UPD850780:UPD850845 UYZ850780:UYZ850845 VIV850780:VIV850845 VSR850780:VSR850845 WCN850780:WCN850845 WMJ850780:WMJ850845 WWF850780:WWF850845 X916316:X916381 JT916316:JT916381 TP916316:TP916381 ADL916316:ADL916381 ANH916316:ANH916381 AXD916316:AXD916381 BGZ916316:BGZ916381 BQV916316:BQV916381 CAR916316:CAR916381 CKN916316:CKN916381 CUJ916316:CUJ916381 DEF916316:DEF916381 DOB916316:DOB916381 DXX916316:DXX916381 EHT916316:EHT916381 ERP916316:ERP916381 FBL916316:FBL916381 FLH916316:FLH916381 FVD916316:FVD916381 GEZ916316:GEZ916381 GOV916316:GOV916381 GYR916316:GYR916381 HIN916316:HIN916381 HSJ916316:HSJ916381 ICF916316:ICF916381 IMB916316:IMB916381 IVX916316:IVX916381 JFT916316:JFT916381 JPP916316:JPP916381 JZL916316:JZL916381 KJH916316:KJH916381 KTD916316:KTD916381 LCZ916316:LCZ916381 LMV916316:LMV916381 LWR916316:LWR916381 MGN916316:MGN916381 MQJ916316:MQJ916381 NAF916316:NAF916381 NKB916316:NKB916381 NTX916316:NTX916381 ODT916316:ODT916381 ONP916316:ONP916381 OXL916316:OXL916381 PHH916316:PHH916381 PRD916316:PRD916381 QAZ916316:QAZ916381 QKV916316:QKV916381 QUR916316:QUR916381 REN916316:REN916381 ROJ916316:ROJ916381 RYF916316:RYF916381 SIB916316:SIB916381 SRX916316:SRX916381 TBT916316:TBT916381 TLP916316:TLP916381 TVL916316:TVL916381 UFH916316:UFH916381 UPD916316:UPD916381 UYZ916316:UYZ916381 VIV916316:VIV916381 VSR916316:VSR916381 WCN916316:WCN916381 WMJ916316:WMJ916381 WWF916316:WWF916381 X981852:X981917 JT981852:JT981917 TP981852:TP981917 ADL981852:ADL981917 ANH981852:ANH981917 AXD981852:AXD981917 BGZ981852:BGZ981917 BQV981852:BQV981917 CAR981852:CAR981917 CKN981852:CKN981917 CUJ981852:CUJ981917 DEF981852:DEF981917 DOB981852:DOB981917 DXX981852:DXX981917 EHT981852:EHT981917 ERP981852:ERP981917 FBL981852:FBL981917 FLH981852:FLH981917 FVD981852:FVD981917 GEZ981852:GEZ981917 GOV981852:GOV981917 GYR981852:GYR981917 HIN981852:HIN981917 HSJ981852:HSJ981917 ICF981852:ICF981917 IMB981852:IMB981917 IVX981852:IVX981917 JFT981852:JFT981917 JPP981852:JPP981917 JZL981852:JZL981917 KJH981852:KJH981917 KTD981852:KTD981917 LCZ981852:LCZ981917 LMV981852:LMV981917 LWR981852:LWR981917 MGN981852:MGN981917 MQJ981852:MQJ981917 NAF981852:NAF981917 NKB981852:NKB981917 NTX981852:NTX981917 ODT981852:ODT981917 ONP981852:ONP981917 OXL981852:OXL981917 PHH981852:PHH981917 PRD981852:PRD981917 QAZ981852:QAZ981917 QKV981852:QKV981917 QUR981852:QUR981917 REN981852:REN981917 ROJ981852:ROJ981917 RYF981852:RYF981917 SIB981852:SIB981917 SRX981852:SRX981917 TBT981852:TBT981917 TLP981852:TLP981917 TVL981852:TVL981917 UFH981852:UFH981917 UPD981852:UPD981917 UYZ981852:UYZ981917 VIV981852:VIV981917 VSR981852:VSR981917 WCN981852:WCN981917 WMJ981852:WMJ981917 WWF981852:WWF981917 X1047388:X1047453 JT1047388:JT1047453 TP1047388:TP1047453 ADL1047388:ADL1047453 ANH1047388:ANH1047453 AXD1047388:AXD1047453 BGZ1047388:BGZ1047453 BQV1047388:BQV1047453 CAR1047388:CAR1047453 CKN1047388:CKN1047453 CUJ1047388:CUJ1047453 DEF1047388:DEF1047453 DOB1047388:DOB1047453 DXX1047388:DXX1047453 EHT1047388:EHT1047453 ERP1047388:ERP1047453 FBL1047388:FBL1047453 FLH1047388:FLH1047453 FVD1047388:FVD1047453 GEZ1047388:GEZ1047453 GOV1047388:GOV1047453 GYR1047388:GYR1047453 HIN1047388:HIN1047453 HSJ1047388:HSJ1047453 ICF1047388:ICF1047453 IMB1047388:IMB1047453 IVX1047388:IVX1047453 JFT1047388:JFT1047453 JPP1047388:JPP1047453 JZL1047388:JZL1047453 KJH1047388:KJH1047453 KTD1047388:KTD1047453 LCZ1047388:LCZ1047453 LMV1047388:LMV1047453 LWR1047388:LWR1047453 MGN1047388:MGN1047453 MQJ1047388:MQJ1047453 NAF1047388:NAF1047453 NKB1047388:NKB1047453 NTX1047388:NTX1047453 ODT1047388:ODT1047453 ONP1047388:ONP1047453 OXL1047388:OXL1047453 PHH1047388:PHH1047453 PRD1047388:PRD1047453 QAZ1047388:QAZ1047453 QKV1047388:QKV1047453 QUR1047388:QUR1047453 REN1047388:REN1047453 ROJ1047388:ROJ1047453 RYF1047388:RYF1047453 SIB1047388:SIB1047453 SRX1047388:SRX1047453 TBT1047388:TBT1047453 TLP1047388:TLP1047453 TVL1047388:TVL1047453 UFH1047388:UFH1047453 UPD1047388:UPD1047453 UYZ1047388:UYZ1047453 VIV1047388:VIV1047453 VSR1047388:VSR1047453 WCN1047388:WCN1047453 WMJ1047388:WMJ1047453 WWF1047388:WWF1047453 WWF983027:WWF983092 X65523:X65588 JT65523:JT65588 TP65523:TP65588 ADL65523:ADL65588 ANH65523:ANH65588 AXD65523:AXD65588 BGZ65523:BGZ65588 BQV65523:BQV65588 CAR65523:CAR65588 CKN65523:CKN65588 CUJ65523:CUJ65588 DEF65523:DEF65588 DOB65523:DOB65588 DXX65523:DXX65588 EHT65523:EHT65588 ERP65523:ERP65588 FBL65523:FBL65588 FLH65523:FLH65588 FVD65523:FVD65588 GEZ65523:GEZ65588 GOV65523:GOV65588 GYR65523:GYR65588 HIN65523:HIN65588 HSJ65523:HSJ65588 ICF65523:ICF65588 IMB65523:IMB65588 IVX65523:IVX65588 JFT65523:JFT65588 JPP65523:JPP65588 JZL65523:JZL65588 KJH65523:KJH65588 KTD65523:KTD65588 LCZ65523:LCZ65588 LMV65523:LMV65588 LWR65523:LWR65588 MGN65523:MGN65588 MQJ65523:MQJ65588 NAF65523:NAF65588 NKB65523:NKB65588 NTX65523:NTX65588 ODT65523:ODT65588 ONP65523:ONP65588 OXL65523:OXL65588 PHH65523:PHH65588 PRD65523:PRD65588 QAZ65523:QAZ65588 QKV65523:QKV65588 QUR65523:QUR65588 REN65523:REN65588 ROJ65523:ROJ65588 RYF65523:RYF65588 SIB65523:SIB65588 SRX65523:SRX65588 TBT65523:TBT65588 TLP65523:TLP65588 TVL65523:TVL65588 UFH65523:UFH65588 UPD65523:UPD65588 UYZ65523:UYZ65588 VIV65523:VIV65588 VSR65523:VSR65588 WCN65523:WCN65588 WMJ65523:WMJ65588 WWF65523:WWF65588 X131059:X131124 JT131059:JT131124 TP131059:TP131124 ADL131059:ADL131124 ANH131059:ANH131124 AXD131059:AXD131124 BGZ131059:BGZ131124 BQV131059:BQV131124 CAR131059:CAR131124 CKN131059:CKN131124 CUJ131059:CUJ131124 DEF131059:DEF131124 DOB131059:DOB131124 DXX131059:DXX131124 EHT131059:EHT131124 ERP131059:ERP131124 FBL131059:FBL131124 FLH131059:FLH131124 FVD131059:FVD131124 GEZ131059:GEZ131124 GOV131059:GOV131124 GYR131059:GYR131124 HIN131059:HIN131124 HSJ131059:HSJ131124 ICF131059:ICF131124 IMB131059:IMB131124 IVX131059:IVX131124 JFT131059:JFT131124 JPP131059:JPP131124 JZL131059:JZL131124 KJH131059:KJH131124 KTD131059:KTD131124 LCZ131059:LCZ131124 LMV131059:LMV131124 LWR131059:LWR131124 MGN131059:MGN131124 MQJ131059:MQJ131124 NAF131059:NAF131124 NKB131059:NKB131124 NTX131059:NTX131124 ODT131059:ODT131124 ONP131059:ONP131124 OXL131059:OXL131124 PHH131059:PHH131124 PRD131059:PRD131124 QAZ131059:QAZ131124 QKV131059:QKV131124 QUR131059:QUR131124 REN131059:REN131124 ROJ131059:ROJ131124 RYF131059:RYF131124 SIB131059:SIB131124 SRX131059:SRX131124 TBT131059:TBT131124 TLP131059:TLP131124 TVL131059:TVL131124 UFH131059:UFH131124 UPD131059:UPD131124 UYZ131059:UYZ131124 VIV131059:VIV131124 VSR131059:VSR131124 WCN131059:WCN131124 WMJ131059:WMJ131124 WWF131059:WWF131124 X196595:X196660 JT196595:JT196660 TP196595:TP196660 ADL196595:ADL196660 ANH196595:ANH196660 AXD196595:AXD196660 BGZ196595:BGZ196660 BQV196595:BQV196660 CAR196595:CAR196660 CKN196595:CKN196660 CUJ196595:CUJ196660 DEF196595:DEF196660 DOB196595:DOB196660 DXX196595:DXX196660 EHT196595:EHT196660 ERP196595:ERP196660 FBL196595:FBL196660 FLH196595:FLH196660 FVD196595:FVD196660 GEZ196595:GEZ196660 GOV196595:GOV196660 GYR196595:GYR196660 HIN196595:HIN196660 HSJ196595:HSJ196660 ICF196595:ICF196660 IMB196595:IMB196660 IVX196595:IVX196660 JFT196595:JFT196660 JPP196595:JPP196660 JZL196595:JZL196660 KJH196595:KJH196660 KTD196595:KTD196660 LCZ196595:LCZ196660 LMV196595:LMV196660 LWR196595:LWR196660 MGN196595:MGN196660 MQJ196595:MQJ196660 NAF196595:NAF196660 NKB196595:NKB196660 NTX196595:NTX196660 ODT196595:ODT196660 ONP196595:ONP196660 OXL196595:OXL196660 PHH196595:PHH196660 PRD196595:PRD196660 QAZ196595:QAZ196660 QKV196595:QKV196660 QUR196595:QUR196660 REN196595:REN196660 ROJ196595:ROJ196660 RYF196595:RYF196660 SIB196595:SIB196660 SRX196595:SRX196660 TBT196595:TBT196660 TLP196595:TLP196660 TVL196595:TVL196660 UFH196595:UFH196660 UPD196595:UPD196660 UYZ196595:UYZ196660 VIV196595:VIV196660 VSR196595:VSR196660 WCN196595:WCN196660 WMJ196595:WMJ196660 WWF196595:WWF196660 X262131:X262196 JT262131:JT262196 TP262131:TP262196 ADL262131:ADL262196 ANH262131:ANH262196 AXD262131:AXD262196 BGZ262131:BGZ262196 BQV262131:BQV262196 CAR262131:CAR262196 CKN262131:CKN262196 CUJ262131:CUJ262196 DEF262131:DEF262196 DOB262131:DOB262196 DXX262131:DXX262196 EHT262131:EHT262196 ERP262131:ERP262196 FBL262131:FBL262196 FLH262131:FLH262196 FVD262131:FVD262196 GEZ262131:GEZ262196 GOV262131:GOV262196 GYR262131:GYR262196 HIN262131:HIN262196 HSJ262131:HSJ262196 ICF262131:ICF262196 IMB262131:IMB262196 IVX262131:IVX262196 JFT262131:JFT262196 JPP262131:JPP262196 JZL262131:JZL262196 KJH262131:KJH262196 KTD262131:KTD262196 LCZ262131:LCZ262196 LMV262131:LMV262196 LWR262131:LWR262196 MGN262131:MGN262196 MQJ262131:MQJ262196 NAF262131:NAF262196 NKB262131:NKB262196 NTX262131:NTX262196 ODT262131:ODT262196 ONP262131:ONP262196 OXL262131:OXL262196 PHH262131:PHH262196 PRD262131:PRD262196 QAZ262131:QAZ262196 QKV262131:QKV262196 QUR262131:QUR262196 REN262131:REN262196 ROJ262131:ROJ262196 RYF262131:RYF262196 SIB262131:SIB262196 SRX262131:SRX262196 TBT262131:TBT262196 TLP262131:TLP262196 TVL262131:TVL262196 UFH262131:UFH262196 UPD262131:UPD262196 UYZ262131:UYZ262196 VIV262131:VIV262196 VSR262131:VSR262196 WCN262131:WCN262196 WMJ262131:WMJ262196 WWF262131:WWF262196 X327667:X327732 JT327667:JT327732 TP327667:TP327732 ADL327667:ADL327732 ANH327667:ANH327732 AXD327667:AXD327732 BGZ327667:BGZ327732 BQV327667:BQV327732 CAR327667:CAR327732 CKN327667:CKN327732 CUJ327667:CUJ327732 DEF327667:DEF327732 DOB327667:DOB327732 DXX327667:DXX327732 EHT327667:EHT327732 ERP327667:ERP327732 FBL327667:FBL327732 FLH327667:FLH327732 FVD327667:FVD327732 GEZ327667:GEZ327732 GOV327667:GOV327732 GYR327667:GYR327732 HIN327667:HIN327732 HSJ327667:HSJ327732 ICF327667:ICF327732 IMB327667:IMB327732 IVX327667:IVX327732 JFT327667:JFT327732 JPP327667:JPP327732 JZL327667:JZL327732 KJH327667:KJH327732 KTD327667:KTD327732 LCZ327667:LCZ327732 LMV327667:LMV327732 LWR327667:LWR327732 MGN327667:MGN327732 MQJ327667:MQJ327732 NAF327667:NAF327732 NKB327667:NKB327732 NTX327667:NTX327732 ODT327667:ODT327732 ONP327667:ONP327732 OXL327667:OXL327732 PHH327667:PHH327732 PRD327667:PRD327732 QAZ327667:QAZ327732 QKV327667:QKV327732 QUR327667:QUR327732 REN327667:REN327732 ROJ327667:ROJ327732 RYF327667:RYF327732 SIB327667:SIB327732 SRX327667:SRX327732 TBT327667:TBT327732 TLP327667:TLP327732 TVL327667:TVL327732 UFH327667:UFH327732 UPD327667:UPD327732 UYZ327667:UYZ327732 VIV327667:VIV327732 VSR327667:VSR327732 WCN327667:WCN327732 WMJ327667:WMJ327732 WWF327667:WWF327732 X393203:X393268 JT393203:JT393268 TP393203:TP393268 ADL393203:ADL393268 ANH393203:ANH393268 AXD393203:AXD393268 BGZ393203:BGZ393268 BQV393203:BQV393268 CAR393203:CAR393268 CKN393203:CKN393268 CUJ393203:CUJ393268 DEF393203:DEF393268 DOB393203:DOB393268 DXX393203:DXX393268 EHT393203:EHT393268 ERP393203:ERP393268 FBL393203:FBL393268 FLH393203:FLH393268 FVD393203:FVD393268 GEZ393203:GEZ393268 GOV393203:GOV393268 GYR393203:GYR393268 HIN393203:HIN393268 HSJ393203:HSJ393268 ICF393203:ICF393268 IMB393203:IMB393268 IVX393203:IVX393268 JFT393203:JFT393268 JPP393203:JPP393268 JZL393203:JZL393268 KJH393203:KJH393268 KTD393203:KTD393268 LCZ393203:LCZ393268 LMV393203:LMV393268 LWR393203:LWR393268 MGN393203:MGN393268 MQJ393203:MQJ393268 NAF393203:NAF393268 NKB393203:NKB393268 NTX393203:NTX393268 ODT393203:ODT393268 ONP393203:ONP393268 OXL393203:OXL393268 PHH393203:PHH393268 PRD393203:PRD393268 QAZ393203:QAZ393268 QKV393203:QKV393268 QUR393203:QUR393268 REN393203:REN393268 ROJ393203:ROJ393268 RYF393203:RYF393268 SIB393203:SIB393268 SRX393203:SRX393268 TBT393203:TBT393268 TLP393203:TLP393268 TVL393203:TVL393268 UFH393203:UFH393268 UPD393203:UPD393268 UYZ393203:UYZ393268 VIV393203:VIV393268 VSR393203:VSR393268 WCN393203:WCN393268 WMJ393203:WMJ393268 WWF393203:WWF393268 X458739:X458804 JT458739:JT458804 TP458739:TP458804 ADL458739:ADL458804 ANH458739:ANH458804 AXD458739:AXD458804 BGZ458739:BGZ458804 BQV458739:BQV458804 CAR458739:CAR458804 CKN458739:CKN458804 CUJ458739:CUJ458804 DEF458739:DEF458804 DOB458739:DOB458804 DXX458739:DXX458804 EHT458739:EHT458804 ERP458739:ERP458804 FBL458739:FBL458804 FLH458739:FLH458804 FVD458739:FVD458804 GEZ458739:GEZ458804 GOV458739:GOV458804 GYR458739:GYR458804 HIN458739:HIN458804 HSJ458739:HSJ458804 ICF458739:ICF458804 IMB458739:IMB458804 IVX458739:IVX458804 JFT458739:JFT458804 JPP458739:JPP458804 JZL458739:JZL458804 KJH458739:KJH458804 KTD458739:KTD458804 LCZ458739:LCZ458804 LMV458739:LMV458804 LWR458739:LWR458804 MGN458739:MGN458804 MQJ458739:MQJ458804 NAF458739:NAF458804 NKB458739:NKB458804 NTX458739:NTX458804 ODT458739:ODT458804 ONP458739:ONP458804 OXL458739:OXL458804 PHH458739:PHH458804 PRD458739:PRD458804 QAZ458739:QAZ458804 QKV458739:QKV458804 QUR458739:QUR458804 REN458739:REN458804 ROJ458739:ROJ458804 RYF458739:RYF458804 SIB458739:SIB458804 SRX458739:SRX458804 TBT458739:TBT458804 TLP458739:TLP458804 TVL458739:TVL458804 UFH458739:UFH458804 UPD458739:UPD458804 UYZ458739:UYZ458804 VIV458739:VIV458804 VSR458739:VSR458804 WCN458739:WCN458804 WMJ458739:WMJ458804 WWF458739:WWF458804 X524275:X524340 JT524275:JT524340 TP524275:TP524340 ADL524275:ADL524340 ANH524275:ANH524340 AXD524275:AXD524340 BGZ524275:BGZ524340 BQV524275:BQV524340 CAR524275:CAR524340 CKN524275:CKN524340 CUJ524275:CUJ524340 DEF524275:DEF524340 DOB524275:DOB524340 DXX524275:DXX524340 EHT524275:EHT524340 ERP524275:ERP524340 FBL524275:FBL524340 FLH524275:FLH524340 FVD524275:FVD524340 GEZ524275:GEZ524340 GOV524275:GOV524340 GYR524275:GYR524340 HIN524275:HIN524340 HSJ524275:HSJ524340 ICF524275:ICF524340 IMB524275:IMB524340 IVX524275:IVX524340 JFT524275:JFT524340 JPP524275:JPP524340 JZL524275:JZL524340 KJH524275:KJH524340 KTD524275:KTD524340 LCZ524275:LCZ524340 LMV524275:LMV524340 LWR524275:LWR524340 MGN524275:MGN524340 MQJ524275:MQJ524340 NAF524275:NAF524340 NKB524275:NKB524340 NTX524275:NTX524340 ODT524275:ODT524340 ONP524275:ONP524340 OXL524275:OXL524340 PHH524275:PHH524340 PRD524275:PRD524340 QAZ524275:QAZ524340 QKV524275:QKV524340 QUR524275:QUR524340 REN524275:REN524340 ROJ524275:ROJ524340 RYF524275:RYF524340 SIB524275:SIB524340 SRX524275:SRX524340 TBT524275:TBT524340 TLP524275:TLP524340 TVL524275:TVL524340 UFH524275:UFH524340 UPD524275:UPD524340 UYZ524275:UYZ524340 VIV524275:VIV524340 VSR524275:VSR524340 WCN524275:WCN524340 WMJ524275:WMJ524340 WWF524275:WWF524340 X589811:X589876 JT589811:JT589876 TP589811:TP589876 ADL589811:ADL589876 ANH589811:ANH589876 AXD589811:AXD589876 BGZ589811:BGZ589876 BQV589811:BQV589876 CAR589811:CAR589876 CKN589811:CKN589876 CUJ589811:CUJ589876 DEF589811:DEF589876 DOB589811:DOB589876 DXX589811:DXX589876 EHT589811:EHT589876 ERP589811:ERP589876 FBL589811:FBL589876 FLH589811:FLH589876 FVD589811:FVD589876 GEZ589811:GEZ589876 GOV589811:GOV589876 GYR589811:GYR589876 HIN589811:HIN589876 HSJ589811:HSJ589876 ICF589811:ICF589876 IMB589811:IMB589876 IVX589811:IVX589876 JFT589811:JFT589876 JPP589811:JPP589876 JZL589811:JZL589876 KJH589811:KJH589876 KTD589811:KTD589876 LCZ589811:LCZ589876 LMV589811:LMV589876 LWR589811:LWR589876 MGN589811:MGN589876 MQJ589811:MQJ589876 NAF589811:NAF589876 NKB589811:NKB589876 NTX589811:NTX589876 ODT589811:ODT589876 ONP589811:ONP589876 OXL589811:OXL589876 PHH589811:PHH589876 PRD589811:PRD589876 QAZ589811:QAZ589876 QKV589811:QKV589876 QUR589811:QUR589876 REN589811:REN589876 ROJ589811:ROJ589876 RYF589811:RYF589876 SIB589811:SIB589876 SRX589811:SRX589876 TBT589811:TBT589876 TLP589811:TLP589876 TVL589811:TVL589876 UFH589811:UFH589876 UPD589811:UPD589876 UYZ589811:UYZ589876 VIV589811:VIV589876 VSR589811:VSR589876 WCN589811:WCN589876 WMJ589811:WMJ589876 WWF589811:WWF589876 X655347:X655412 JT655347:JT655412 TP655347:TP655412 ADL655347:ADL655412 ANH655347:ANH655412 AXD655347:AXD655412 BGZ655347:BGZ655412 BQV655347:BQV655412 CAR655347:CAR655412 CKN655347:CKN655412 CUJ655347:CUJ655412 DEF655347:DEF655412 DOB655347:DOB655412 DXX655347:DXX655412 EHT655347:EHT655412 ERP655347:ERP655412 FBL655347:FBL655412 FLH655347:FLH655412 FVD655347:FVD655412 GEZ655347:GEZ655412 GOV655347:GOV655412 GYR655347:GYR655412 HIN655347:HIN655412 HSJ655347:HSJ655412 ICF655347:ICF655412 IMB655347:IMB655412 IVX655347:IVX655412 JFT655347:JFT655412 JPP655347:JPP655412 JZL655347:JZL655412 KJH655347:KJH655412 KTD655347:KTD655412 LCZ655347:LCZ655412 LMV655347:LMV655412 LWR655347:LWR655412 MGN655347:MGN655412 MQJ655347:MQJ655412 NAF655347:NAF655412 NKB655347:NKB655412 NTX655347:NTX655412 ODT655347:ODT655412 ONP655347:ONP655412 OXL655347:OXL655412 PHH655347:PHH655412 PRD655347:PRD655412 QAZ655347:QAZ655412 QKV655347:QKV655412 QUR655347:QUR655412 REN655347:REN655412 ROJ655347:ROJ655412 RYF655347:RYF655412 SIB655347:SIB655412 SRX655347:SRX655412 TBT655347:TBT655412 TLP655347:TLP655412 TVL655347:TVL655412 UFH655347:UFH655412 UPD655347:UPD655412 UYZ655347:UYZ655412 VIV655347:VIV655412 VSR655347:VSR655412 WCN655347:WCN655412 WMJ655347:WMJ655412 WWF655347:WWF655412 X720883:X720948 JT720883:JT720948 TP720883:TP720948 ADL720883:ADL720948 ANH720883:ANH720948 AXD720883:AXD720948 BGZ720883:BGZ720948 BQV720883:BQV720948 CAR720883:CAR720948 CKN720883:CKN720948 CUJ720883:CUJ720948 DEF720883:DEF720948 DOB720883:DOB720948 DXX720883:DXX720948 EHT720883:EHT720948 ERP720883:ERP720948 FBL720883:FBL720948 FLH720883:FLH720948 FVD720883:FVD720948 GEZ720883:GEZ720948 GOV720883:GOV720948 GYR720883:GYR720948 HIN720883:HIN720948 HSJ720883:HSJ720948 ICF720883:ICF720948 IMB720883:IMB720948 IVX720883:IVX720948 JFT720883:JFT720948 JPP720883:JPP720948 JZL720883:JZL720948 KJH720883:KJH720948 KTD720883:KTD720948 LCZ720883:LCZ720948 LMV720883:LMV720948 LWR720883:LWR720948 MGN720883:MGN720948 MQJ720883:MQJ720948 NAF720883:NAF720948 NKB720883:NKB720948 NTX720883:NTX720948 ODT720883:ODT720948 ONP720883:ONP720948 OXL720883:OXL720948 PHH720883:PHH720948 PRD720883:PRD720948 QAZ720883:QAZ720948 QKV720883:QKV720948 QUR720883:QUR720948 REN720883:REN720948 ROJ720883:ROJ720948 RYF720883:RYF720948 SIB720883:SIB720948 SRX720883:SRX720948 TBT720883:TBT720948 TLP720883:TLP720948 TVL720883:TVL720948 UFH720883:UFH720948 UPD720883:UPD720948 UYZ720883:UYZ720948 VIV720883:VIV720948 VSR720883:VSR720948 WCN720883:WCN720948 WMJ720883:WMJ720948 WWF720883:WWF720948 X786419:X786484 JT786419:JT786484 TP786419:TP786484 ADL786419:ADL786484 ANH786419:ANH786484 AXD786419:AXD786484 BGZ786419:BGZ786484 BQV786419:BQV786484 CAR786419:CAR786484 CKN786419:CKN786484 CUJ786419:CUJ786484 DEF786419:DEF786484 DOB786419:DOB786484 DXX786419:DXX786484 EHT786419:EHT786484 ERP786419:ERP786484 FBL786419:FBL786484 FLH786419:FLH786484 FVD786419:FVD786484 GEZ786419:GEZ786484 GOV786419:GOV786484 GYR786419:GYR786484 HIN786419:HIN786484 HSJ786419:HSJ786484 ICF786419:ICF786484 IMB786419:IMB786484 IVX786419:IVX786484 JFT786419:JFT786484 JPP786419:JPP786484 JZL786419:JZL786484 KJH786419:KJH786484 KTD786419:KTD786484 LCZ786419:LCZ786484 LMV786419:LMV786484 LWR786419:LWR786484 MGN786419:MGN786484 MQJ786419:MQJ786484 NAF786419:NAF786484 NKB786419:NKB786484 NTX786419:NTX786484 ODT786419:ODT786484 ONP786419:ONP786484 OXL786419:OXL786484 PHH786419:PHH786484 PRD786419:PRD786484 QAZ786419:QAZ786484 QKV786419:QKV786484 QUR786419:QUR786484 REN786419:REN786484 ROJ786419:ROJ786484 RYF786419:RYF786484 SIB786419:SIB786484 SRX786419:SRX786484 TBT786419:TBT786484 TLP786419:TLP786484 TVL786419:TVL786484 UFH786419:UFH786484 UPD786419:UPD786484 UYZ786419:UYZ786484 VIV786419:VIV786484 VSR786419:VSR786484 WCN786419:WCN786484 WMJ786419:WMJ786484 WWF786419:WWF786484 X851955:X852020 JT851955:JT852020 TP851955:TP852020 ADL851955:ADL852020 ANH851955:ANH852020 AXD851955:AXD852020 BGZ851955:BGZ852020 BQV851955:BQV852020 CAR851955:CAR852020 CKN851955:CKN852020 CUJ851955:CUJ852020 DEF851955:DEF852020 DOB851955:DOB852020 DXX851955:DXX852020 EHT851955:EHT852020 ERP851955:ERP852020 FBL851955:FBL852020 FLH851955:FLH852020 FVD851955:FVD852020 GEZ851955:GEZ852020 GOV851955:GOV852020 GYR851955:GYR852020 HIN851955:HIN852020 HSJ851955:HSJ852020 ICF851955:ICF852020 IMB851955:IMB852020 IVX851955:IVX852020 JFT851955:JFT852020 JPP851955:JPP852020 JZL851955:JZL852020 KJH851955:KJH852020 KTD851955:KTD852020 LCZ851955:LCZ852020 LMV851955:LMV852020 LWR851955:LWR852020 MGN851955:MGN852020 MQJ851955:MQJ852020 NAF851955:NAF852020 NKB851955:NKB852020 NTX851955:NTX852020 ODT851955:ODT852020 ONP851955:ONP852020 OXL851955:OXL852020 PHH851955:PHH852020 PRD851955:PRD852020 QAZ851955:QAZ852020 QKV851955:QKV852020 QUR851955:QUR852020 REN851955:REN852020 ROJ851955:ROJ852020 RYF851955:RYF852020 SIB851955:SIB852020 SRX851955:SRX852020 TBT851955:TBT852020 TLP851955:TLP852020 TVL851955:TVL852020 UFH851955:UFH852020 UPD851955:UPD852020 UYZ851955:UYZ852020 VIV851955:VIV852020 VSR851955:VSR852020 WCN851955:WCN852020 WMJ851955:WMJ852020 WWF851955:WWF852020 X917491:X917556 JT917491:JT917556 TP917491:TP917556 ADL917491:ADL917556 ANH917491:ANH917556 AXD917491:AXD917556 BGZ917491:BGZ917556 BQV917491:BQV917556 CAR917491:CAR917556 CKN917491:CKN917556 CUJ917491:CUJ917556 DEF917491:DEF917556 DOB917491:DOB917556 DXX917491:DXX917556 EHT917491:EHT917556 ERP917491:ERP917556 FBL917491:FBL917556 FLH917491:FLH917556 FVD917491:FVD917556 GEZ917491:GEZ917556 GOV917491:GOV917556 GYR917491:GYR917556 HIN917491:HIN917556 HSJ917491:HSJ917556 ICF917491:ICF917556 IMB917491:IMB917556 IVX917491:IVX917556 JFT917491:JFT917556 JPP917491:JPP917556 JZL917491:JZL917556 KJH917491:KJH917556 KTD917491:KTD917556 LCZ917491:LCZ917556 LMV917491:LMV917556 LWR917491:LWR917556 MGN917491:MGN917556 MQJ917491:MQJ917556 NAF917491:NAF917556 NKB917491:NKB917556 NTX917491:NTX917556 ODT917491:ODT917556 ONP917491:ONP917556 OXL917491:OXL917556 PHH917491:PHH917556 PRD917491:PRD917556 QAZ917491:QAZ917556 QKV917491:QKV917556 QUR917491:QUR917556 REN917491:REN917556 ROJ917491:ROJ917556 RYF917491:RYF917556 SIB917491:SIB917556 SRX917491:SRX917556 TBT917491:TBT917556 TLP917491:TLP917556 TVL917491:TVL917556 UFH917491:UFH917556 UPD917491:UPD917556 UYZ917491:UYZ917556 VIV917491:VIV917556 VSR917491:VSR917556 WCN917491:WCN917556 WMJ917491:WMJ917556 WWF917491:WWF917556 X983027:X983092 JT983027:JT983092 TP983027:TP983092 ADL983027:ADL983092 ANH983027:ANH983092 AXD983027:AXD983092 BGZ983027:BGZ983092 BQV983027:BQV983092 CAR983027:CAR983092 CKN983027:CKN983092 CUJ983027:CUJ983092 DEF983027:DEF983092 DOB983027:DOB983092 DXX983027:DXX983092 EHT983027:EHT983092 ERP983027:ERP983092 FBL983027:FBL983092 FLH983027:FLH983092 FVD983027:FVD983092 GEZ983027:GEZ983092 GOV983027:GOV983092 GYR983027:GYR983092 HIN983027:HIN983092 HSJ983027:HSJ983092 ICF983027:ICF983092 IMB983027:IMB983092 IVX983027:IVX983092 JFT983027:JFT983092 JPP983027:JPP983092 JZL983027:JZL983092 KJH983027:KJH983092 KTD983027:KTD983092 LCZ983027:LCZ983092 LMV983027:LMV983092 LWR983027:LWR983092 MGN983027:MGN983092 MQJ983027:MQJ983092 NAF983027:NAF983092 NKB983027:NKB983092 NTX983027:NTX983092 ODT983027:ODT983092 ONP983027:ONP983092 OXL983027:OXL983092 PHH983027:PHH983092 PRD983027:PRD983092 QAZ983027:QAZ983092 QKV983027:QKV983092 QUR983027:QUR983092 REN983027:REN983092 ROJ983027:ROJ983092 RYF983027:RYF983092 SIB983027:SIB983092 SRX983027:SRX983092 TBT983027:TBT983092 TLP983027:TLP983092 TVL983027:TVL983092 UFH983027:UFH983092 UPD983027:UPD983092 UYZ983027:UYZ983092 VIV983027:VIV983092 VSR983027:VSR983092 WCN983027:WCN983092 WMJ983027:WMJ983092 WWF2:WWF72 JT2:JT72 TP2:TP72 ADL2:ADL72 ANH2:ANH72 AXD2:AXD72 BGZ2:BGZ72 BQV2:BQV72 CAR2:CAR72 CKN2:CKN72 CUJ2:CUJ72 DEF2:DEF72 DOB2:DOB72 DXX2:DXX72 EHT2:EHT72 ERP2:ERP72 FBL2:FBL72 FLH2:FLH72 FVD2:FVD72 GEZ2:GEZ72 GOV2:GOV72 GYR2:GYR72 HIN2:HIN72 HSJ2:HSJ72 ICF2:ICF72 IMB2:IMB72 IVX2:IVX72 JFT2:JFT72 JPP2:JPP72 JZL2:JZL72 KJH2:KJH72 KTD2:KTD72 LCZ2:LCZ72 LMV2:LMV72 LWR2:LWR72 MGN2:MGN72 MQJ2:MQJ72 NAF2:NAF72 NKB2:NKB72 NTX2:NTX72 ODT2:ODT72 ONP2:ONP72 OXL2:OXL72 PHH2:PHH72 PRD2:PRD72 QAZ2:QAZ72 QKV2:QKV72 QUR2:QUR72 REN2:REN72 ROJ2:ROJ72 RYF2:RYF72 SIB2:SIB72 SRX2:SRX72 TBT2:TBT72 TLP2:TLP72 TVL2:TVL72 UFH2:UFH72 UPD2:UPD72 UYZ2:UYZ72 VIV2:VIV72 VSR2:VSR72 WCN2:WCN72 WMJ2:WMJ72 X2:X485" xr:uid="{3AFAA5CB-356D-4D55-AA34-B4BAF35B3125}">
      <formula1>$AT$2:$AT$3</formula1>
    </dataValidation>
    <dataValidation type="list" allowBlank="1" showInputMessage="1" showErrorMessage="1" sqref="G64348:G64415 JC64348:JC64415 SY64348:SY64415 ACU64348:ACU64415 AMQ64348:AMQ64415 AWM64348:AWM64415 BGI64348:BGI64415 BQE64348:BQE64415 CAA64348:CAA64415 CJW64348:CJW64415 CTS64348:CTS64415 DDO64348:DDO64415 DNK64348:DNK64415 DXG64348:DXG64415 EHC64348:EHC64415 EQY64348:EQY64415 FAU64348:FAU64415 FKQ64348:FKQ64415 FUM64348:FUM64415 GEI64348:GEI64415 GOE64348:GOE64415 GYA64348:GYA64415 HHW64348:HHW64415 HRS64348:HRS64415 IBO64348:IBO64415 ILK64348:ILK64415 IVG64348:IVG64415 JFC64348:JFC64415 JOY64348:JOY64415 JYU64348:JYU64415 KIQ64348:KIQ64415 KSM64348:KSM64415 LCI64348:LCI64415 LME64348:LME64415 LWA64348:LWA64415 MFW64348:MFW64415 MPS64348:MPS64415 MZO64348:MZO64415 NJK64348:NJK64415 NTG64348:NTG64415 ODC64348:ODC64415 OMY64348:OMY64415 OWU64348:OWU64415 PGQ64348:PGQ64415 PQM64348:PQM64415 QAI64348:QAI64415 QKE64348:QKE64415 QUA64348:QUA64415 RDW64348:RDW64415 RNS64348:RNS64415 RXO64348:RXO64415 SHK64348:SHK64415 SRG64348:SRG64415 TBC64348:TBC64415 TKY64348:TKY64415 TUU64348:TUU64415 UEQ64348:UEQ64415 UOM64348:UOM64415 UYI64348:UYI64415 VIE64348:VIE64415 VSA64348:VSA64415 WBW64348:WBW64415 WLS64348:WLS64415 WVO64348:WVO64415 G129884:G129951 JC129884:JC129951 SY129884:SY129951 ACU129884:ACU129951 AMQ129884:AMQ129951 AWM129884:AWM129951 BGI129884:BGI129951 BQE129884:BQE129951 CAA129884:CAA129951 CJW129884:CJW129951 CTS129884:CTS129951 DDO129884:DDO129951 DNK129884:DNK129951 DXG129884:DXG129951 EHC129884:EHC129951 EQY129884:EQY129951 FAU129884:FAU129951 FKQ129884:FKQ129951 FUM129884:FUM129951 GEI129884:GEI129951 GOE129884:GOE129951 GYA129884:GYA129951 HHW129884:HHW129951 HRS129884:HRS129951 IBO129884:IBO129951 ILK129884:ILK129951 IVG129884:IVG129951 JFC129884:JFC129951 JOY129884:JOY129951 JYU129884:JYU129951 KIQ129884:KIQ129951 KSM129884:KSM129951 LCI129884:LCI129951 LME129884:LME129951 LWA129884:LWA129951 MFW129884:MFW129951 MPS129884:MPS129951 MZO129884:MZO129951 NJK129884:NJK129951 NTG129884:NTG129951 ODC129884:ODC129951 OMY129884:OMY129951 OWU129884:OWU129951 PGQ129884:PGQ129951 PQM129884:PQM129951 QAI129884:QAI129951 QKE129884:QKE129951 QUA129884:QUA129951 RDW129884:RDW129951 RNS129884:RNS129951 RXO129884:RXO129951 SHK129884:SHK129951 SRG129884:SRG129951 TBC129884:TBC129951 TKY129884:TKY129951 TUU129884:TUU129951 UEQ129884:UEQ129951 UOM129884:UOM129951 UYI129884:UYI129951 VIE129884:VIE129951 VSA129884:VSA129951 WBW129884:WBW129951 WLS129884:WLS129951 WVO129884:WVO129951 G195420:G195487 JC195420:JC195487 SY195420:SY195487 ACU195420:ACU195487 AMQ195420:AMQ195487 AWM195420:AWM195487 BGI195420:BGI195487 BQE195420:BQE195487 CAA195420:CAA195487 CJW195420:CJW195487 CTS195420:CTS195487 DDO195420:DDO195487 DNK195420:DNK195487 DXG195420:DXG195487 EHC195420:EHC195487 EQY195420:EQY195487 FAU195420:FAU195487 FKQ195420:FKQ195487 FUM195420:FUM195487 GEI195420:GEI195487 GOE195420:GOE195487 GYA195420:GYA195487 HHW195420:HHW195487 HRS195420:HRS195487 IBO195420:IBO195487 ILK195420:ILK195487 IVG195420:IVG195487 JFC195420:JFC195487 JOY195420:JOY195487 JYU195420:JYU195487 KIQ195420:KIQ195487 KSM195420:KSM195487 LCI195420:LCI195487 LME195420:LME195487 LWA195420:LWA195487 MFW195420:MFW195487 MPS195420:MPS195487 MZO195420:MZO195487 NJK195420:NJK195487 NTG195420:NTG195487 ODC195420:ODC195487 OMY195420:OMY195487 OWU195420:OWU195487 PGQ195420:PGQ195487 PQM195420:PQM195487 QAI195420:QAI195487 QKE195420:QKE195487 QUA195420:QUA195487 RDW195420:RDW195487 RNS195420:RNS195487 RXO195420:RXO195487 SHK195420:SHK195487 SRG195420:SRG195487 TBC195420:TBC195487 TKY195420:TKY195487 TUU195420:TUU195487 UEQ195420:UEQ195487 UOM195420:UOM195487 UYI195420:UYI195487 VIE195420:VIE195487 VSA195420:VSA195487 WBW195420:WBW195487 WLS195420:WLS195487 WVO195420:WVO195487 G260956:G261023 JC260956:JC261023 SY260956:SY261023 ACU260956:ACU261023 AMQ260956:AMQ261023 AWM260956:AWM261023 BGI260956:BGI261023 BQE260956:BQE261023 CAA260956:CAA261023 CJW260956:CJW261023 CTS260956:CTS261023 DDO260956:DDO261023 DNK260956:DNK261023 DXG260956:DXG261023 EHC260956:EHC261023 EQY260956:EQY261023 FAU260956:FAU261023 FKQ260956:FKQ261023 FUM260956:FUM261023 GEI260956:GEI261023 GOE260956:GOE261023 GYA260956:GYA261023 HHW260956:HHW261023 HRS260956:HRS261023 IBO260956:IBO261023 ILK260956:ILK261023 IVG260956:IVG261023 JFC260956:JFC261023 JOY260956:JOY261023 JYU260956:JYU261023 KIQ260956:KIQ261023 KSM260956:KSM261023 LCI260956:LCI261023 LME260956:LME261023 LWA260956:LWA261023 MFW260956:MFW261023 MPS260956:MPS261023 MZO260956:MZO261023 NJK260956:NJK261023 NTG260956:NTG261023 ODC260956:ODC261023 OMY260956:OMY261023 OWU260956:OWU261023 PGQ260956:PGQ261023 PQM260956:PQM261023 QAI260956:QAI261023 QKE260956:QKE261023 QUA260956:QUA261023 RDW260956:RDW261023 RNS260956:RNS261023 RXO260956:RXO261023 SHK260956:SHK261023 SRG260956:SRG261023 TBC260956:TBC261023 TKY260956:TKY261023 TUU260956:TUU261023 UEQ260956:UEQ261023 UOM260956:UOM261023 UYI260956:UYI261023 VIE260956:VIE261023 VSA260956:VSA261023 WBW260956:WBW261023 WLS260956:WLS261023 WVO260956:WVO261023 G326492:G326559 JC326492:JC326559 SY326492:SY326559 ACU326492:ACU326559 AMQ326492:AMQ326559 AWM326492:AWM326559 BGI326492:BGI326559 BQE326492:BQE326559 CAA326492:CAA326559 CJW326492:CJW326559 CTS326492:CTS326559 DDO326492:DDO326559 DNK326492:DNK326559 DXG326492:DXG326559 EHC326492:EHC326559 EQY326492:EQY326559 FAU326492:FAU326559 FKQ326492:FKQ326559 FUM326492:FUM326559 GEI326492:GEI326559 GOE326492:GOE326559 GYA326492:GYA326559 HHW326492:HHW326559 HRS326492:HRS326559 IBO326492:IBO326559 ILK326492:ILK326559 IVG326492:IVG326559 JFC326492:JFC326559 JOY326492:JOY326559 JYU326492:JYU326559 KIQ326492:KIQ326559 KSM326492:KSM326559 LCI326492:LCI326559 LME326492:LME326559 LWA326492:LWA326559 MFW326492:MFW326559 MPS326492:MPS326559 MZO326492:MZO326559 NJK326492:NJK326559 NTG326492:NTG326559 ODC326492:ODC326559 OMY326492:OMY326559 OWU326492:OWU326559 PGQ326492:PGQ326559 PQM326492:PQM326559 QAI326492:QAI326559 QKE326492:QKE326559 QUA326492:QUA326559 RDW326492:RDW326559 RNS326492:RNS326559 RXO326492:RXO326559 SHK326492:SHK326559 SRG326492:SRG326559 TBC326492:TBC326559 TKY326492:TKY326559 TUU326492:TUU326559 UEQ326492:UEQ326559 UOM326492:UOM326559 UYI326492:UYI326559 VIE326492:VIE326559 VSA326492:VSA326559 WBW326492:WBW326559 WLS326492:WLS326559 WVO326492:WVO326559 G392028:G392095 JC392028:JC392095 SY392028:SY392095 ACU392028:ACU392095 AMQ392028:AMQ392095 AWM392028:AWM392095 BGI392028:BGI392095 BQE392028:BQE392095 CAA392028:CAA392095 CJW392028:CJW392095 CTS392028:CTS392095 DDO392028:DDO392095 DNK392028:DNK392095 DXG392028:DXG392095 EHC392028:EHC392095 EQY392028:EQY392095 FAU392028:FAU392095 FKQ392028:FKQ392095 FUM392028:FUM392095 GEI392028:GEI392095 GOE392028:GOE392095 GYA392028:GYA392095 HHW392028:HHW392095 HRS392028:HRS392095 IBO392028:IBO392095 ILK392028:ILK392095 IVG392028:IVG392095 JFC392028:JFC392095 JOY392028:JOY392095 JYU392028:JYU392095 KIQ392028:KIQ392095 KSM392028:KSM392095 LCI392028:LCI392095 LME392028:LME392095 LWA392028:LWA392095 MFW392028:MFW392095 MPS392028:MPS392095 MZO392028:MZO392095 NJK392028:NJK392095 NTG392028:NTG392095 ODC392028:ODC392095 OMY392028:OMY392095 OWU392028:OWU392095 PGQ392028:PGQ392095 PQM392028:PQM392095 QAI392028:QAI392095 QKE392028:QKE392095 QUA392028:QUA392095 RDW392028:RDW392095 RNS392028:RNS392095 RXO392028:RXO392095 SHK392028:SHK392095 SRG392028:SRG392095 TBC392028:TBC392095 TKY392028:TKY392095 TUU392028:TUU392095 UEQ392028:UEQ392095 UOM392028:UOM392095 UYI392028:UYI392095 VIE392028:VIE392095 VSA392028:VSA392095 WBW392028:WBW392095 WLS392028:WLS392095 WVO392028:WVO392095 G457564:G457631 JC457564:JC457631 SY457564:SY457631 ACU457564:ACU457631 AMQ457564:AMQ457631 AWM457564:AWM457631 BGI457564:BGI457631 BQE457564:BQE457631 CAA457564:CAA457631 CJW457564:CJW457631 CTS457564:CTS457631 DDO457564:DDO457631 DNK457564:DNK457631 DXG457564:DXG457631 EHC457564:EHC457631 EQY457564:EQY457631 FAU457564:FAU457631 FKQ457564:FKQ457631 FUM457564:FUM457631 GEI457564:GEI457631 GOE457564:GOE457631 GYA457564:GYA457631 HHW457564:HHW457631 HRS457564:HRS457631 IBO457564:IBO457631 ILK457564:ILK457631 IVG457564:IVG457631 JFC457564:JFC457631 JOY457564:JOY457631 JYU457564:JYU457631 KIQ457564:KIQ457631 KSM457564:KSM457631 LCI457564:LCI457631 LME457564:LME457631 LWA457564:LWA457631 MFW457564:MFW457631 MPS457564:MPS457631 MZO457564:MZO457631 NJK457564:NJK457631 NTG457564:NTG457631 ODC457564:ODC457631 OMY457564:OMY457631 OWU457564:OWU457631 PGQ457564:PGQ457631 PQM457564:PQM457631 QAI457564:QAI457631 QKE457564:QKE457631 QUA457564:QUA457631 RDW457564:RDW457631 RNS457564:RNS457631 RXO457564:RXO457631 SHK457564:SHK457631 SRG457564:SRG457631 TBC457564:TBC457631 TKY457564:TKY457631 TUU457564:TUU457631 UEQ457564:UEQ457631 UOM457564:UOM457631 UYI457564:UYI457631 VIE457564:VIE457631 VSA457564:VSA457631 WBW457564:WBW457631 WLS457564:WLS457631 WVO457564:WVO457631 G523100:G523167 JC523100:JC523167 SY523100:SY523167 ACU523100:ACU523167 AMQ523100:AMQ523167 AWM523100:AWM523167 BGI523100:BGI523167 BQE523100:BQE523167 CAA523100:CAA523167 CJW523100:CJW523167 CTS523100:CTS523167 DDO523100:DDO523167 DNK523100:DNK523167 DXG523100:DXG523167 EHC523100:EHC523167 EQY523100:EQY523167 FAU523100:FAU523167 FKQ523100:FKQ523167 FUM523100:FUM523167 GEI523100:GEI523167 GOE523100:GOE523167 GYA523100:GYA523167 HHW523100:HHW523167 HRS523100:HRS523167 IBO523100:IBO523167 ILK523100:ILK523167 IVG523100:IVG523167 JFC523100:JFC523167 JOY523100:JOY523167 JYU523100:JYU523167 KIQ523100:KIQ523167 KSM523100:KSM523167 LCI523100:LCI523167 LME523100:LME523167 LWA523100:LWA523167 MFW523100:MFW523167 MPS523100:MPS523167 MZO523100:MZO523167 NJK523100:NJK523167 NTG523100:NTG523167 ODC523100:ODC523167 OMY523100:OMY523167 OWU523100:OWU523167 PGQ523100:PGQ523167 PQM523100:PQM523167 QAI523100:QAI523167 QKE523100:QKE523167 QUA523100:QUA523167 RDW523100:RDW523167 RNS523100:RNS523167 RXO523100:RXO523167 SHK523100:SHK523167 SRG523100:SRG523167 TBC523100:TBC523167 TKY523100:TKY523167 TUU523100:TUU523167 UEQ523100:UEQ523167 UOM523100:UOM523167 UYI523100:UYI523167 VIE523100:VIE523167 VSA523100:VSA523167 WBW523100:WBW523167 WLS523100:WLS523167 WVO523100:WVO523167 G588636:G588703 JC588636:JC588703 SY588636:SY588703 ACU588636:ACU588703 AMQ588636:AMQ588703 AWM588636:AWM588703 BGI588636:BGI588703 BQE588636:BQE588703 CAA588636:CAA588703 CJW588636:CJW588703 CTS588636:CTS588703 DDO588636:DDO588703 DNK588636:DNK588703 DXG588636:DXG588703 EHC588636:EHC588703 EQY588636:EQY588703 FAU588636:FAU588703 FKQ588636:FKQ588703 FUM588636:FUM588703 GEI588636:GEI588703 GOE588636:GOE588703 GYA588636:GYA588703 HHW588636:HHW588703 HRS588636:HRS588703 IBO588636:IBO588703 ILK588636:ILK588703 IVG588636:IVG588703 JFC588636:JFC588703 JOY588636:JOY588703 JYU588636:JYU588703 KIQ588636:KIQ588703 KSM588636:KSM588703 LCI588636:LCI588703 LME588636:LME588703 LWA588636:LWA588703 MFW588636:MFW588703 MPS588636:MPS588703 MZO588636:MZO588703 NJK588636:NJK588703 NTG588636:NTG588703 ODC588636:ODC588703 OMY588636:OMY588703 OWU588636:OWU588703 PGQ588636:PGQ588703 PQM588636:PQM588703 QAI588636:QAI588703 QKE588636:QKE588703 QUA588636:QUA588703 RDW588636:RDW588703 RNS588636:RNS588703 RXO588636:RXO588703 SHK588636:SHK588703 SRG588636:SRG588703 TBC588636:TBC588703 TKY588636:TKY588703 TUU588636:TUU588703 UEQ588636:UEQ588703 UOM588636:UOM588703 UYI588636:UYI588703 VIE588636:VIE588703 VSA588636:VSA588703 WBW588636:WBW588703 WLS588636:WLS588703 WVO588636:WVO588703 G654172:G654239 JC654172:JC654239 SY654172:SY654239 ACU654172:ACU654239 AMQ654172:AMQ654239 AWM654172:AWM654239 BGI654172:BGI654239 BQE654172:BQE654239 CAA654172:CAA654239 CJW654172:CJW654239 CTS654172:CTS654239 DDO654172:DDO654239 DNK654172:DNK654239 DXG654172:DXG654239 EHC654172:EHC654239 EQY654172:EQY654239 FAU654172:FAU654239 FKQ654172:FKQ654239 FUM654172:FUM654239 GEI654172:GEI654239 GOE654172:GOE654239 GYA654172:GYA654239 HHW654172:HHW654239 HRS654172:HRS654239 IBO654172:IBO654239 ILK654172:ILK654239 IVG654172:IVG654239 JFC654172:JFC654239 JOY654172:JOY654239 JYU654172:JYU654239 KIQ654172:KIQ654239 KSM654172:KSM654239 LCI654172:LCI654239 LME654172:LME654239 LWA654172:LWA654239 MFW654172:MFW654239 MPS654172:MPS654239 MZO654172:MZO654239 NJK654172:NJK654239 NTG654172:NTG654239 ODC654172:ODC654239 OMY654172:OMY654239 OWU654172:OWU654239 PGQ654172:PGQ654239 PQM654172:PQM654239 QAI654172:QAI654239 QKE654172:QKE654239 QUA654172:QUA654239 RDW654172:RDW654239 RNS654172:RNS654239 RXO654172:RXO654239 SHK654172:SHK654239 SRG654172:SRG654239 TBC654172:TBC654239 TKY654172:TKY654239 TUU654172:TUU654239 UEQ654172:UEQ654239 UOM654172:UOM654239 UYI654172:UYI654239 VIE654172:VIE654239 VSA654172:VSA654239 WBW654172:WBW654239 WLS654172:WLS654239 WVO654172:WVO654239 G719708:G719775 JC719708:JC719775 SY719708:SY719775 ACU719708:ACU719775 AMQ719708:AMQ719775 AWM719708:AWM719775 BGI719708:BGI719775 BQE719708:BQE719775 CAA719708:CAA719775 CJW719708:CJW719775 CTS719708:CTS719775 DDO719708:DDO719775 DNK719708:DNK719775 DXG719708:DXG719775 EHC719708:EHC719775 EQY719708:EQY719775 FAU719708:FAU719775 FKQ719708:FKQ719775 FUM719708:FUM719775 GEI719708:GEI719775 GOE719708:GOE719775 GYA719708:GYA719775 HHW719708:HHW719775 HRS719708:HRS719775 IBO719708:IBO719775 ILK719708:ILK719775 IVG719708:IVG719775 JFC719708:JFC719775 JOY719708:JOY719775 JYU719708:JYU719775 KIQ719708:KIQ719775 KSM719708:KSM719775 LCI719708:LCI719775 LME719708:LME719775 LWA719708:LWA719775 MFW719708:MFW719775 MPS719708:MPS719775 MZO719708:MZO719775 NJK719708:NJK719775 NTG719708:NTG719775 ODC719708:ODC719775 OMY719708:OMY719775 OWU719708:OWU719775 PGQ719708:PGQ719775 PQM719708:PQM719775 QAI719708:QAI719775 QKE719708:QKE719775 QUA719708:QUA719775 RDW719708:RDW719775 RNS719708:RNS719775 RXO719708:RXO719775 SHK719708:SHK719775 SRG719708:SRG719775 TBC719708:TBC719775 TKY719708:TKY719775 TUU719708:TUU719775 UEQ719708:UEQ719775 UOM719708:UOM719775 UYI719708:UYI719775 VIE719708:VIE719775 VSA719708:VSA719775 WBW719708:WBW719775 WLS719708:WLS719775 WVO719708:WVO719775 G785244:G785311 JC785244:JC785311 SY785244:SY785311 ACU785244:ACU785311 AMQ785244:AMQ785311 AWM785244:AWM785311 BGI785244:BGI785311 BQE785244:BQE785311 CAA785244:CAA785311 CJW785244:CJW785311 CTS785244:CTS785311 DDO785244:DDO785311 DNK785244:DNK785311 DXG785244:DXG785311 EHC785244:EHC785311 EQY785244:EQY785311 FAU785244:FAU785311 FKQ785244:FKQ785311 FUM785244:FUM785311 GEI785244:GEI785311 GOE785244:GOE785311 GYA785244:GYA785311 HHW785244:HHW785311 HRS785244:HRS785311 IBO785244:IBO785311 ILK785244:ILK785311 IVG785244:IVG785311 JFC785244:JFC785311 JOY785244:JOY785311 JYU785244:JYU785311 KIQ785244:KIQ785311 KSM785244:KSM785311 LCI785244:LCI785311 LME785244:LME785311 LWA785244:LWA785311 MFW785244:MFW785311 MPS785244:MPS785311 MZO785244:MZO785311 NJK785244:NJK785311 NTG785244:NTG785311 ODC785244:ODC785311 OMY785244:OMY785311 OWU785244:OWU785311 PGQ785244:PGQ785311 PQM785244:PQM785311 QAI785244:QAI785311 QKE785244:QKE785311 QUA785244:QUA785311 RDW785244:RDW785311 RNS785244:RNS785311 RXO785244:RXO785311 SHK785244:SHK785311 SRG785244:SRG785311 TBC785244:TBC785311 TKY785244:TKY785311 TUU785244:TUU785311 UEQ785244:UEQ785311 UOM785244:UOM785311 UYI785244:UYI785311 VIE785244:VIE785311 VSA785244:VSA785311 WBW785244:WBW785311 WLS785244:WLS785311 WVO785244:WVO785311 G850780:G850847 JC850780:JC850847 SY850780:SY850847 ACU850780:ACU850847 AMQ850780:AMQ850847 AWM850780:AWM850847 BGI850780:BGI850847 BQE850780:BQE850847 CAA850780:CAA850847 CJW850780:CJW850847 CTS850780:CTS850847 DDO850780:DDO850847 DNK850780:DNK850847 DXG850780:DXG850847 EHC850780:EHC850847 EQY850780:EQY850847 FAU850780:FAU850847 FKQ850780:FKQ850847 FUM850780:FUM850847 GEI850780:GEI850847 GOE850780:GOE850847 GYA850780:GYA850847 HHW850780:HHW850847 HRS850780:HRS850847 IBO850780:IBO850847 ILK850780:ILK850847 IVG850780:IVG850847 JFC850780:JFC850847 JOY850780:JOY850847 JYU850780:JYU850847 KIQ850780:KIQ850847 KSM850780:KSM850847 LCI850780:LCI850847 LME850780:LME850847 LWA850780:LWA850847 MFW850780:MFW850847 MPS850780:MPS850847 MZO850780:MZO850847 NJK850780:NJK850847 NTG850780:NTG850847 ODC850780:ODC850847 OMY850780:OMY850847 OWU850780:OWU850847 PGQ850780:PGQ850847 PQM850780:PQM850847 QAI850780:QAI850847 QKE850780:QKE850847 QUA850780:QUA850847 RDW850780:RDW850847 RNS850780:RNS850847 RXO850780:RXO850847 SHK850780:SHK850847 SRG850780:SRG850847 TBC850780:TBC850847 TKY850780:TKY850847 TUU850780:TUU850847 UEQ850780:UEQ850847 UOM850780:UOM850847 UYI850780:UYI850847 VIE850780:VIE850847 VSA850780:VSA850847 WBW850780:WBW850847 WLS850780:WLS850847 WVO850780:WVO850847 G916316:G916383 JC916316:JC916383 SY916316:SY916383 ACU916316:ACU916383 AMQ916316:AMQ916383 AWM916316:AWM916383 BGI916316:BGI916383 BQE916316:BQE916383 CAA916316:CAA916383 CJW916316:CJW916383 CTS916316:CTS916383 DDO916316:DDO916383 DNK916316:DNK916383 DXG916316:DXG916383 EHC916316:EHC916383 EQY916316:EQY916383 FAU916316:FAU916383 FKQ916316:FKQ916383 FUM916316:FUM916383 GEI916316:GEI916383 GOE916316:GOE916383 GYA916316:GYA916383 HHW916316:HHW916383 HRS916316:HRS916383 IBO916316:IBO916383 ILK916316:ILK916383 IVG916316:IVG916383 JFC916316:JFC916383 JOY916316:JOY916383 JYU916316:JYU916383 KIQ916316:KIQ916383 KSM916316:KSM916383 LCI916316:LCI916383 LME916316:LME916383 LWA916316:LWA916383 MFW916316:MFW916383 MPS916316:MPS916383 MZO916316:MZO916383 NJK916316:NJK916383 NTG916316:NTG916383 ODC916316:ODC916383 OMY916316:OMY916383 OWU916316:OWU916383 PGQ916316:PGQ916383 PQM916316:PQM916383 QAI916316:QAI916383 QKE916316:QKE916383 QUA916316:QUA916383 RDW916316:RDW916383 RNS916316:RNS916383 RXO916316:RXO916383 SHK916316:SHK916383 SRG916316:SRG916383 TBC916316:TBC916383 TKY916316:TKY916383 TUU916316:TUU916383 UEQ916316:UEQ916383 UOM916316:UOM916383 UYI916316:UYI916383 VIE916316:VIE916383 VSA916316:VSA916383 WBW916316:WBW916383 WLS916316:WLS916383 WVO916316:WVO916383 G981852:G981919 JC981852:JC981919 SY981852:SY981919 ACU981852:ACU981919 AMQ981852:AMQ981919 AWM981852:AWM981919 BGI981852:BGI981919 BQE981852:BQE981919 CAA981852:CAA981919 CJW981852:CJW981919 CTS981852:CTS981919 DDO981852:DDO981919 DNK981852:DNK981919 DXG981852:DXG981919 EHC981852:EHC981919 EQY981852:EQY981919 FAU981852:FAU981919 FKQ981852:FKQ981919 FUM981852:FUM981919 GEI981852:GEI981919 GOE981852:GOE981919 GYA981852:GYA981919 HHW981852:HHW981919 HRS981852:HRS981919 IBO981852:IBO981919 ILK981852:ILK981919 IVG981852:IVG981919 JFC981852:JFC981919 JOY981852:JOY981919 JYU981852:JYU981919 KIQ981852:KIQ981919 KSM981852:KSM981919 LCI981852:LCI981919 LME981852:LME981919 LWA981852:LWA981919 MFW981852:MFW981919 MPS981852:MPS981919 MZO981852:MZO981919 NJK981852:NJK981919 NTG981852:NTG981919 ODC981852:ODC981919 OMY981852:OMY981919 OWU981852:OWU981919 PGQ981852:PGQ981919 PQM981852:PQM981919 QAI981852:QAI981919 QKE981852:QKE981919 QUA981852:QUA981919 RDW981852:RDW981919 RNS981852:RNS981919 RXO981852:RXO981919 SHK981852:SHK981919 SRG981852:SRG981919 TBC981852:TBC981919 TKY981852:TKY981919 TUU981852:TUU981919 UEQ981852:UEQ981919 UOM981852:UOM981919 UYI981852:UYI981919 VIE981852:VIE981919 VSA981852:VSA981919 WBW981852:WBW981919 WLS981852:WLS981919 WVO981852:WVO981919 G1047388:G1047455 JC1047388:JC1047455 SY1047388:SY1047455 ACU1047388:ACU1047455 AMQ1047388:AMQ1047455 AWM1047388:AWM1047455 BGI1047388:BGI1047455 BQE1047388:BQE1047455 CAA1047388:CAA1047455 CJW1047388:CJW1047455 CTS1047388:CTS1047455 DDO1047388:DDO1047455 DNK1047388:DNK1047455 DXG1047388:DXG1047455 EHC1047388:EHC1047455 EQY1047388:EQY1047455 FAU1047388:FAU1047455 FKQ1047388:FKQ1047455 FUM1047388:FUM1047455 GEI1047388:GEI1047455 GOE1047388:GOE1047455 GYA1047388:GYA1047455 HHW1047388:HHW1047455 HRS1047388:HRS1047455 IBO1047388:IBO1047455 ILK1047388:ILK1047455 IVG1047388:IVG1047455 JFC1047388:JFC1047455 JOY1047388:JOY1047455 JYU1047388:JYU1047455 KIQ1047388:KIQ1047455 KSM1047388:KSM1047455 LCI1047388:LCI1047455 LME1047388:LME1047455 LWA1047388:LWA1047455 MFW1047388:MFW1047455 MPS1047388:MPS1047455 MZO1047388:MZO1047455 NJK1047388:NJK1047455 NTG1047388:NTG1047455 ODC1047388:ODC1047455 OMY1047388:OMY1047455 OWU1047388:OWU1047455 PGQ1047388:PGQ1047455 PQM1047388:PQM1047455 QAI1047388:QAI1047455 QKE1047388:QKE1047455 QUA1047388:QUA1047455 RDW1047388:RDW1047455 RNS1047388:RNS1047455 RXO1047388:RXO1047455 SHK1047388:SHK1047455 SRG1047388:SRG1047455 TBC1047388:TBC1047455 TKY1047388:TKY1047455 TUU1047388:TUU1047455 UEQ1047388:UEQ1047455 UOM1047388:UOM1047455 UYI1047388:UYI1047455 VIE1047388:VIE1047455 VSA1047388:VSA1047455 WBW1047388:WBW1047455 WLS1047388:WLS1047455 WVO1047388:WVO1047455 WVO983027:WVO983098 G65523:G65594 JC65523:JC65594 SY65523:SY65594 ACU65523:ACU65594 AMQ65523:AMQ65594 AWM65523:AWM65594 BGI65523:BGI65594 BQE65523:BQE65594 CAA65523:CAA65594 CJW65523:CJW65594 CTS65523:CTS65594 DDO65523:DDO65594 DNK65523:DNK65594 DXG65523:DXG65594 EHC65523:EHC65594 EQY65523:EQY65594 FAU65523:FAU65594 FKQ65523:FKQ65594 FUM65523:FUM65594 GEI65523:GEI65594 GOE65523:GOE65594 GYA65523:GYA65594 HHW65523:HHW65594 HRS65523:HRS65594 IBO65523:IBO65594 ILK65523:ILK65594 IVG65523:IVG65594 JFC65523:JFC65594 JOY65523:JOY65594 JYU65523:JYU65594 KIQ65523:KIQ65594 KSM65523:KSM65594 LCI65523:LCI65594 LME65523:LME65594 LWA65523:LWA65594 MFW65523:MFW65594 MPS65523:MPS65594 MZO65523:MZO65594 NJK65523:NJK65594 NTG65523:NTG65594 ODC65523:ODC65594 OMY65523:OMY65594 OWU65523:OWU65594 PGQ65523:PGQ65594 PQM65523:PQM65594 QAI65523:QAI65594 QKE65523:QKE65594 QUA65523:QUA65594 RDW65523:RDW65594 RNS65523:RNS65594 RXO65523:RXO65594 SHK65523:SHK65594 SRG65523:SRG65594 TBC65523:TBC65594 TKY65523:TKY65594 TUU65523:TUU65594 UEQ65523:UEQ65594 UOM65523:UOM65594 UYI65523:UYI65594 VIE65523:VIE65594 VSA65523:VSA65594 WBW65523:WBW65594 WLS65523:WLS65594 WVO65523:WVO65594 G131059:G131130 JC131059:JC131130 SY131059:SY131130 ACU131059:ACU131130 AMQ131059:AMQ131130 AWM131059:AWM131130 BGI131059:BGI131130 BQE131059:BQE131130 CAA131059:CAA131130 CJW131059:CJW131130 CTS131059:CTS131130 DDO131059:DDO131130 DNK131059:DNK131130 DXG131059:DXG131130 EHC131059:EHC131130 EQY131059:EQY131130 FAU131059:FAU131130 FKQ131059:FKQ131130 FUM131059:FUM131130 GEI131059:GEI131130 GOE131059:GOE131130 GYA131059:GYA131130 HHW131059:HHW131130 HRS131059:HRS131130 IBO131059:IBO131130 ILK131059:ILK131130 IVG131059:IVG131130 JFC131059:JFC131130 JOY131059:JOY131130 JYU131059:JYU131130 KIQ131059:KIQ131130 KSM131059:KSM131130 LCI131059:LCI131130 LME131059:LME131130 LWA131059:LWA131130 MFW131059:MFW131130 MPS131059:MPS131130 MZO131059:MZO131130 NJK131059:NJK131130 NTG131059:NTG131130 ODC131059:ODC131130 OMY131059:OMY131130 OWU131059:OWU131130 PGQ131059:PGQ131130 PQM131059:PQM131130 QAI131059:QAI131130 QKE131059:QKE131130 QUA131059:QUA131130 RDW131059:RDW131130 RNS131059:RNS131130 RXO131059:RXO131130 SHK131059:SHK131130 SRG131059:SRG131130 TBC131059:TBC131130 TKY131059:TKY131130 TUU131059:TUU131130 UEQ131059:UEQ131130 UOM131059:UOM131130 UYI131059:UYI131130 VIE131059:VIE131130 VSA131059:VSA131130 WBW131059:WBW131130 WLS131059:WLS131130 WVO131059:WVO131130 G196595:G196666 JC196595:JC196666 SY196595:SY196666 ACU196595:ACU196666 AMQ196595:AMQ196666 AWM196595:AWM196666 BGI196595:BGI196666 BQE196595:BQE196666 CAA196595:CAA196666 CJW196595:CJW196666 CTS196595:CTS196666 DDO196595:DDO196666 DNK196595:DNK196666 DXG196595:DXG196666 EHC196595:EHC196666 EQY196595:EQY196666 FAU196595:FAU196666 FKQ196595:FKQ196666 FUM196595:FUM196666 GEI196595:GEI196666 GOE196595:GOE196666 GYA196595:GYA196666 HHW196595:HHW196666 HRS196595:HRS196666 IBO196595:IBO196666 ILK196595:ILK196666 IVG196595:IVG196666 JFC196595:JFC196666 JOY196595:JOY196666 JYU196595:JYU196666 KIQ196595:KIQ196666 KSM196595:KSM196666 LCI196595:LCI196666 LME196595:LME196666 LWA196595:LWA196666 MFW196595:MFW196666 MPS196595:MPS196666 MZO196595:MZO196666 NJK196595:NJK196666 NTG196595:NTG196666 ODC196595:ODC196666 OMY196595:OMY196666 OWU196595:OWU196666 PGQ196595:PGQ196666 PQM196595:PQM196666 QAI196595:QAI196666 QKE196595:QKE196666 QUA196595:QUA196666 RDW196595:RDW196666 RNS196595:RNS196666 RXO196595:RXO196666 SHK196595:SHK196666 SRG196595:SRG196666 TBC196595:TBC196666 TKY196595:TKY196666 TUU196595:TUU196666 UEQ196595:UEQ196666 UOM196595:UOM196666 UYI196595:UYI196666 VIE196595:VIE196666 VSA196595:VSA196666 WBW196595:WBW196666 WLS196595:WLS196666 WVO196595:WVO196666 G262131:G262202 JC262131:JC262202 SY262131:SY262202 ACU262131:ACU262202 AMQ262131:AMQ262202 AWM262131:AWM262202 BGI262131:BGI262202 BQE262131:BQE262202 CAA262131:CAA262202 CJW262131:CJW262202 CTS262131:CTS262202 DDO262131:DDO262202 DNK262131:DNK262202 DXG262131:DXG262202 EHC262131:EHC262202 EQY262131:EQY262202 FAU262131:FAU262202 FKQ262131:FKQ262202 FUM262131:FUM262202 GEI262131:GEI262202 GOE262131:GOE262202 GYA262131:GYA262202 HHW262131:HHW262202 HRS262131:HRS262202 IBO262131:IBO262202 ILK262131:ILK262202 IVG262131:IVG262202 JFC262131:JFC262202 JOY262131:JOY262202 JYU262131:JYU262202 KIQ262131:KIQ262202 KSM262131:KSM262202 LCI262131:LCI262202 LME262131:LME262202 LWA262131:LWA262202 MFW262131:MFW262202 MPS262131:MPS262202 MZO262131:MZO262202 NJK262131:NJK262202 NTG262131:NTG262202 ODC262131:ODC262202 OMY262131:OMY262202 OWU262131:OWU262202 PGQ262131:PGQ262202 PQM262131:PQM262202 QAI262131:QAI262202 QKE262131:QKE262202 QUA262131:QUA262202 RDW262131:RDW262202 RNS262131:RNS262202 RXO262131:RXO262202 SHK262131:SHK262202 SRG262131:SRG262202 TBC262131:TBC262202 TKY262131:TKY262202 TUU262131:TUU262202 UEQ262131:UEQ262202 UOM262131:UOM262202 UYI262131:UYI262202 VIE262131:VIE262202 VSA262131:VSA262202 WBW262131:WBW262202 WLS262131:WLS262202 WVO262131:WVO262202 G327667:G327738 JC327667:JC327738 SY327667:SY327738 ACU327667:ACU327738 AMQ327667:AMQ327738 AWM327667:AWM327738 BGI327667:BGI327738 BQE327667:BQE327738 CAA327667:CAA327738 CJW327667:CJW327738 CTS327667:CTS327738 DDO327667:DDO327738 DNK327667:DNK327738 DXG327667:DXG327738 EHC327667:EHC327738 EQY327667:EQY327738 FAU327667:FAU327738 FKQ327667:FKQ327738 FUM327667:FUM327738 GEI327667:GEI327738 GOE327667:GOE327738 GYA327667:GYA327738 HHW327667:HHW327738 HRS327667:HRS327738 IBO327667:IBO327738 ILK327667:ILK327738 IVG327667:IVG327738 JFC327667:JFC327738 JOY327667:JOY327738 JYU327667:JYU327738 KIQ327667:KIQ327738 KSM327667:KSM327738 LCI327667:LCI327738 LME327667:LME327738 LWA327667:LWA327738 MFW327667:MFW327738 MPS327667:MPS327738 MZO327667:MZO327738 NJK327667:NJK327738 NTG327667:NTG327738 ODC327667:ODC327738 OMY327667:OMY327738 OWU327667:OWU327738 PGQ327667:PGQ327738 PQM327667:PQM327738 QAI327667:QAI327738 QKE327667:QKE327738 QUA327667:QUA327738 RDW327667:RDW327738 RNS327667:RNS327738 RXO327667:RXO327738 SHK327667:SHK327738 SRG327667:SRG327738 TBC327667:TBC327738 TKY327667:TKY327738 TUU327667:TUU327738 UEQ327667:UEQ327738 UOM327667:UOM327738 UYI327667:UYI327738 VIE327667:VIE327738 VSA327667:VSA327738 WBW327667:WBW327738 WLS327667:WLS327738 WVO327667:WVO327738 G393203:G393274 JC393203:JC393274 SY393203:SY393274 ACU393203:ACU393274 AMQ393203:AMQ393274 AWM393203:AWM393274 BGI393203:BGI393274 BQE393203:BQE393274 CAA393203:CAA393274 CJW393203:CJW393274 CTS393203:CTS393274 DDO393203:DDO393274 DNK393203:DNK393274 DXG393203:DXG393274 EHC393203:EHC393274 EQY393203:EQY393274 FAU393203:FAU393274 FKQ393203:FKQ393274 FUM393203:FUM393274 GEI393203:GEI393274 GOE393203:GOE393274 GYA393203:GYA393274 HHW393203:HHW393274 HRS393203:HRS393274 IBO393203:IBO393274 ILK393203:ILK393274 IVG393203:IVG393274 JFC393203:JFC393274 JOY393203:JOY393274 JYU393203:JYU393274 KIQ393203:KIQ393274 KSM393203:KSM393274 LCI393203:LCI393274 LME393203:LME393274 LWA393203:LWA393274 MFW393203:MFW393274 MPS393203:MPS393274 MZO393203:MZO393274 NJK393203:NJK393274 NTG393203:NTG393274 ODC393203:ODC393274 OMY393203:OMY393274 OWU393203:OWU393274 PGQ393203:PGQ393274 PQM393203:PQM393274 QAI393203:QAI393274 QKE393203:QKE393274 QUA393203:QUA393274 RDW393203:RDW393274 RNS393203:RNS393274 RXO393203:RXO393274 SHK393203:SHK393274 SRG393203:SRG393274 TBC393203:TBC393274 TKY393203:TKY393274 TUU393203:TUU393274 UEQ393203:UEQ393274 UOM393203:UOM393274 UYI393203:UYI393274 VIE393203:VIE393274 VSA393203:VSA393274 WBW393203:WBW393274 WLS393203:WLS393274 WVO393203:WVO393274 G458739:G458810 JC458739:JC458810 SY458739:SY458810 ACU458739:ACU458810 AMQ458739:AMQ458810 AWM458739:AWM458810 BGI458739:BGI458810 BQE458739:BQE458810 CAA458739:CAA458810 CJW458739:CJW458810 CTS458739:CTS458810 DDO458739:DDO458810 DNK458739:DNK458810 DXG458739:DXG458810 EHC458739:EHC458810 EQY458739:EQY458810 FAU458739:FAU458810 FKQ458739:FKQ458810 FUM458739:FUM458810 GEI458739:GEI458810 GOE458739:GOE458810 GYA458739:GYA458810 HHW458739:HHW458810 HRS458739:HRS458810 IBO458739:IBO458810 ILK458739:ILK458810 IVG458739:IVG458810 JFC458739:JFC458810 JOY458739:JOY458810 JYU458739:JYU458810 KIQ458739:KIQ458810 KSM458739:KSM458810 LCI458739:LCI458810 LME458739:LME458810 LWA458739:LWA458810 MFW458739:MFW458810 MPS458739:MPS458810 MZO458739:MZO458810 NJK458739:NJK458810 NTG458739:NTG458810 ODC458739:ODC458810 OMY458739:OMY458810 OWU458739:OWU458810 PGQ458739:PGQ458810 PQM458739:PQM458810 QAI458739:QAI458810 QKE458739:QKE458810 QUA458739:QUA458810 RDW458739:RDW458810 RNS458739:RNS458810 RXO458739:RXO458810 SHK458739:SHK458810 SRG458739:SRG458810 TBC458739:TBC458810 TKY458739:TKY458810 TUU458739:TUU458810 UEQ458739:UEQ458810 UOM458739:UOM458810 UYI458739:UYI458810 VIE458739:VIE458810 VSA458739:VSA458810 WBW458739:WBW458810 WLS458739:WLS458810 WVO458739:WVO458810 G524275:G524346 JC524275:JC524346 SY524275:SY524346 ACU524275:ACU524346 AMQ524275:AMQ524346 AWM524275:AWM524346 BGI524275:BGI524346 BQE524275:BQE524346 CAA524275:CAA524346 CJW524275:CJW524346 CTS524275:CTS524346 DDO524275:DDO524346 DNK524275:DNK524346 DXG524275:DXG524346 EHC524275:EHC524346 EQY524275:EQY524346 FAU524275:FAU524346 FKQ524275:FKQ524346 FUM524275:FUM524346 GEI524275:GEI524346 GOE524275:GOE524346 GYA524275:GYA524346 HHW524275:HHW524346 HRS524275:HRS524346 IBO524275:IBO524346 ILK524275:ILK524346 IVG524275:IVG524346 JFC524275:JFC524346 JOY524275:JOY524346 JYU524275:JYU524346 KIQ524275:KIQ524346 KSM524275:KSM524346 LCI524275:LCI524346 LME524275:LME524346 LWA524275:LWA524346 MFW524275:MFW524346 MPS524275:MPS524346 MZO524275:MZO524346 NJK524275:NJK524346 NTG524275:NTG524346 ODC524275:ODC524346 OMY524275:OMY524346 OWU524275:OWU524346 PGQ524275:PGQ524346 PQM524275:PQM524346 QAI524275:QAI524346 QKE524275:QKE524346 QUA524275:QUA524346 RDW524275:RDW524346 RNS524275:RNS524346 RXO524275:RXO524346 SHK524275:SHK524346 SRG524275:SRG524346 TBC524275:TBC524346 TKY524275:TKY524346 TUU524275:TUU524346 UEQ524275:UEQ524346 UOM524275:UOM524346 UYI524275:UYI524346 VIE524275:VIE524346 VSA524275:VSA524346 WBW524275:WBW524346 WLS524275:WLS524346 WVO524275:WVO524346 G589811:G589882 JC589811:JC589882 SY589811:SY589882 ACU589811:ACU589882 AMQ589811:AMQ589882 AWM589811:AWM589882 BGI589811:BGI589882 BQE589811:BQE589882 CAA589811:CAA589882 CJW589811:CJW589882 CTS589811:CTS589882 DDO589811:DDO589882 DNK589811:DNK589882 DXG589811:DXG589882 EHC589811:EHC589882 EQY589811:EQY589882 FAU589811:FAU589882 FKQ589811:FKQ589882 FUM589811:FUM589882 GEI589811:GEI589882 GOE589811:GOE589882 GYA589811:GYA589882 HHW589811:HHW589882 HRS589811:HRS589882 IBO589811:IBO589882 ILK589811:ILK589882 IVG589811:IVG589882 JFC589811:JFC589882 JOY589811:JOY589882 JYU589811:JYU589882 KIQ589811:KIQ589882 KSM589811:KSM589882 LCI589811:LCI589882 LME589811:LME589882 LWA589811:LWA589882 MFW589811:MFW589882 MPS589811:MPS589882 MZO589811:MZO589882 NJK589811:NJK589882 NTG589811:NTG589882 ODC589811:ODC589882 OMY589811:OMY589882 OWU589811:OWU589882 PGQ589811:PGQ589882 PQM589811:PQM589882 QAI589811:QAI589882 QKE589811:QKE589882 QUA589811:QUA589882 RDW589811:RDW589882 RNS589811:RNS589882 RXO589811:RXO589882 SHK589811:SHK589882 SRG589811:SRG589882 TBC589811:TBC589882 TKY589811:TKY589882 TUU589811:TUU589882 UEQ589811:UEQ589882 UOM589811:UOM589882 UYI589811:UYI589882 VIE589811:VIE589882 VSA589811:VSA589882 WBW589811:WBW589882 WLS589811:WLS589882 WVO589811:WVO589882 G655347:G655418 JC655347:JC655418 SY655347:SY655418 ACU655347:ACU655418 AMQ655347:AMQ655418 AWM655347:AWM655418 BGI655347:BGI655418 BQE655347:BQE655418 CAA655347:CAA655418 CJW655347:CJW655418 CTS655347:CTS655418 DDO655347:DDO655418 DNK655347:DNK655418 DXG655347:DXG655418 EHC655347:EHC655418 EQY655347:EQY655418 FAU655347:FAU655418 FKQ655347:FKQ655418 FUM655347:FUM655418 GEI655347:GEI655418 GOE655347:GOE655418 GYA655347:GYA655418 HHW655347:HHW655418 HRS655347:HRS655418 IBO655347:IBO655418 ILK655347:ILK655418 IVG655347:IVG655418 JFC655347:JFC655418 JOY655347:JOY655418 JYU655347:JYU655418 KIQ655347:KIQ655418 KSM655347:KSM655418 LCI655347:LCI655418 LME655347:LME655418 LWA655347:LWA655418 MFW655347:MFW655418 MPS655347:MPS655418 MZO655347:MZO655418 NJK655347:NJK655418 NTG655347:NTG655418 ODC655347:ODC655418 OMY655347:OMY655418 OWU655347:OWU655418 PGQ655347:PGQ655418 PQM655347:PQM655418 QAI655347:QAI655418 QKE655347:QKE655418 QUA655347:QUA655418 RDW655347:RDW655418 RNS655347:RNS655418 RXO655347:RXO655418 SHK655347:SHK655418 SRG655347:SRG655418 TBC655347:TBC655418 TKY655347:TKY655418 TUU655347:TUU655418 UEQ655347:UEQ655418 UOM655347:UOM655418 UYI655347:UYI655418 VIE655347:VIE655418 VSA655347:VSA655418 WBW655347:WBW655418 WLS655347:WLS655418 WVO655347:WVO655418 G720883:G720954 JC720883:JC720954 SY720883:SY720954 ACU720883:ACU720954 AMQ720883:AMQ720954 AWM720883:AWM720954 BGI720883:BGI720954 BQE720883:BQE720954 CAA720883:CAA720954 CJW720883:CJW720954 CTS720883:CTS720954 DDO720883:DDO720954 DNK720883:DNK720954 DXG720883:DXG720954 EHC720883:EHC720954 EQY720883:EQY720954 FAU720883:FAU720954 FKQ720883:FKQ720954 FUM720883:FUM720954 GEI720883:GEI720954 GOE720883:GOE720954 GYA720883:GYA720954 HHW720883:HHW720954 HRS720883:HRS720954 IBO720883:IBO720954 ILK720883:ILK720954 IVG720883:IVG720954 JFC720883:JFC720954 JOY720883:JOY720954 JYU720883:JYU720954 KIQ720883:KIQ720954 KSM720883:KSM720954 LCI720883:LCI720954 LME720883:LME720954 LWA720883:LWA720954 MFW720883:MFW720954 MPS720883:MPS720954 MZO720883:MZO720954 NJK720883:NJK720954 NTG720883:NTG720954 ODC720883:ODC720954 OMY720883:OMY720954 OWU720883:OWU720954 PGQ720883:PGQ720954 PQM720883:PQM720954 QAI720883:QAI720954 QKE720883:QKE720954 QUA720883:QUA720954 RDW720883:RDW720954 RNS720883:RNS720954 RXO720883:RXO720954 SHK720883:SHK720954 SRG720883:SRG720954 TBC720883:TBC720954 TKY720883:TKY720954 TUU720883:TUU720954 UEQ720883:UEQ720954 UOM720883:UOM720954 UYI720883:UYI720954 VIE720883:VIE720954 VSA720883:VSA720954 WBW720883:WBW720954 WLS720883:WLS720954 WVO720883:WVO720954 G786419:G786490 JC786419:JC786490 SY786419:SY786490 ACU786419:ACU786490 AMQ786419:AMQ786490 AWM786419:AWM786490 BGI786419:BGI786490 BQE786419:BQE786490 CAA786419:CAA786490 CJW786419:CJW786490 CTS786419:CTS786490 DDO786419:DDO786490 DNK786419:DNK786490 DXG786419:DXG786490 EHC786419:EHC786490 EQY786419:EQY786490 FAU786419:FAU786490 FKQ786419:FKQ786490 FUM786419:FUM786490 GEI786419:GEI786490 GOE786419:GOE786490 GYA786419:GYA786490 HHW786419:HHW786490 HRS786419:HRS786490 IBO786419:IBO786490 ILK786419:ILK786490 IVG786419:IVG786490 JFC786419:JFC786490 JOY786419:JOY786490 JYU786419:JYU786490 KIQ786419:KIQ786490 KSM786419:KSM786490 LCI786419:LCI786490 LME786419:LME786490 LWA786419:LWA786490 MFW786419:MFW786490 MPS786419:MPS786490 MZO786419:MZO786490 NJK786419:NJK786490 NTG786419:NTG786490 ODC786419:ODC786490 OMY786419:OMY786490 OWU786419:OWU786490 PGQ786419:PGQ786490 PQM786419:PQM786490 QAI786419:QAI786490 QKE786419:QKE786490 QUA786419:QUA786490 RDW786419:RDW786490 RNS786419:RNS786490 RXO786419:RXO786490 SHK786419:SHK786490 SRG786419:SRG786490 TBC786419:TBC786490 TKY786419:TKY786490 TUU786419:TUU786490 UEQ786419:UEQ786490 UOM786419:UOM786490 UYI786419:UYI786490 VIE786419:VIE786490 VSA786419:VSA786490 WBW786419:WBW786490 WLS786419:WLS786490 WVO786419:WVO786490 G851955:G852026 JC851955:JC852026 SY851955:SY852026 ACU851955:ACU852026 AMQ851955:AMQ852026 AWM851955:AWM852026 BGI851955:BGI852026 BQE851955:BQE852026 CAA851955:CAA852026 CJW851955:CJW852026 CTS851955:CTS852026 DDO851955:DDO852026 DNK851955:DNK852026 DXG851955:DXG852026 EHC851955:EHC852026 EQY851955:EQY852026 FAU851955:FAU852026 FKQ851955:FKQ852026 FUM851955:FUM852026 GEI851955:GEI852026 GOE851955:GOE852026 GYA851955:GYA852026 HHW851955:HHW852026 HRS851955:HRS852026 IBO851955:IBO852026 ILK851955:ILK852026 IVG851955:IVG852026 JFC851955:JFC852026 JOY851955:JOY852026 JYU851955:JYU852026 KIQ851955:KIQ852026 KSM851955:KSM852026 LCI851955:LCI852026 LME851955:LME852026 LWA851955:LWA852026 MFW851955:MFW852026 MPS851955:MPS852026 MZO851955:MZO852026 NJK851955:NJK852026 NTG851955:NTG852026 ODC851955:ODC852026 OMY851955:OMY852026 OWU851955:OWU852026 PGQ851955:PGQ852026 PQM851955:PQM852026 QAI851955:QAI852026 QKE851955:QKE852026 QUA851955:QUA852026 RDW851955:RDW852026 RNS851955:RNS852026 RXO851955:RXO852026 SHK851955:SHK852026 SRG851955:SRG852026 TBC851955:TBC852026 TKY851955:TKY852026 TUU851955:TUU852026 UEQ851955:UEQ852026 UOM851955:UOM852026 UYI851955:UYI852026 VIE851955:VIE852026 VSA851955:VSA852026 WBW851955:WBW852026 WLS851955:WLS852026 WVO851955:WVO852026 G917491:G917562 JC917491:JC917562 SY917491:SY917562 ACU917491:ACU917562 AMQ917491:AMQ917562 AWM917491:AWM917562 BGI917491:BGI917562 BQE917491:BQE917562 CAA917491:CAA917562 CJW917491:CJW917562 CTS917491:CTS917562 DDO917491:DDO917562 DNK917491:DNK917562 DXG917491:DXG917562 EHC917491:EHC917562 EQY917491:EQY917562 FAU917491:FAU917562 FKQ917491:FKQ917562 FUM917491:FUM917562 GEI917491:GEI917562 GOE917491:GOE917562 GYA917491:GYA917562 HHW917491:HHW917562 HRS917491:HRS917562 IBO917491:IBO917562 ILK917491:ILK917562 IVG917491:IVG917562 JFC917491:JFC917562 JOY917491:JOY917562 JYU917491:JYU917562 KIQ917491:KIQ917562 KSM917491:KSM917562 LCI917491:LCI917562 LME917491:LME917562 LWA917491:LWA917562 MFW917491:MFW917562 MPS917491:MPS917562 MZO917491:MZO917562 NJK917491:NJK917562 NTG917491:NTG917562 ODC917491:ODC917562 OMY917491:OMY917562 OWU917491:OWU917562 PGQ917491:PGQ917562 PQM917491:PQM917562 QAI917491:QAI917562 QKE917491:QKE917562 QUA917491:QUA917562 RDW917491:RDW917562 RNS917491:RNS917562 RXO917491:RXO917562 SHK917491:SHK917562 SRG917491:SRG917562 TBC917491:TBC917562 TKY917491:TKY917562 TUU917491:TUU917562 UEQ917491:UEQ917562 UOM917491:UOM917562 UYI917491:UYI917562 VIE917491:VIE917562 VSA917491:VSA917562 WBW917491:WBW917562 WLS917491:WLS917562 WVO917491:WVO917562 G983027:G983098 JC983027:JC983098 SY983027:SY983098 ACU983027:ACU983098 AMQ983027:AMQ983098 AWM983027:AWM983098 BGI983027:BGI983098 BQE983027:BQE983098 CAA983027:CAA983098 CJW983027:CJW983098 CTS983027:CTS983098 DDO983027:DDO983098 DNK983027:DNK983098 DXG983027:DXG983098 EHC983027:EHC983098 EQY983027:EQY983098 FAU983027:FAU983098 FKQ983027:FKQ983098 FUM983027:FUM983098 GEI983027:GEI983098 GOE983027:GOE983098 GYA983027:GYA983098 HHW983027:HHW983098 HRS983027:HRS983098 IBO983027:IBO983098 ILK983027:ILK983098 IVG983027:IVG983098 JFC983027:JFC983098 JOY983027:JOY983098 JYU983027:JYU983098 KIQ983027:KIQ983098 KSM983027:KSM983098 LCI983027:LCI983098 LME983027:LME983098 LWA983027:LWA983098 MFW983027:MFW983098 MPS983027:MPS983098 MZO983027:MZO983098 NJK983027:NJK983098 NTG983027:NTG983098 ODC983027:ODC983098 OMY983027:OMY983098 OWU983027:OWU983098 PGQ983027:PGQ983098 PQM983027:PQM983098 QAI983027:QAI983098 QKE983027:QKE983098 QUA983027:QUA983098 RDW983027:RDW983098 RNS983027:RNS983098 RXO983027:RXO983098 SHK983027:SHK983098 SRG983027:SRG983098 TBC983027:TBC983098 TKY983027:TKY983098 TUU983027:TUU983098 UEQ983027:UEQ983098 UOM983027:UOM983098 UYI983027:UYI983098 VIE983027:VIE983098 VSA983027:VSA983098 WBW983027:WBW983098 WLS983027:WLS983098 G2:G485 JC2:JC72 WVO2:WVO72 WLS2:WLS72 WBW2:WBW72 VSA2:VSA72 VIE2:VIE72 UYI2:UYI72 UOM2:UOM72 UEQ2:UEQ72 TUU2:TUU72 TKY2:TKY72 TBC2:TBC72 SRG2:SRG72 SHK2:SHK72 RXO2:RXO72 RNS2:RNS72 RDW2:RDW72 QUA2:QUA72 QKE2:QKE72 QAI2:QAI72 PQM2:PQM72 PGQ2:PGQ72 OWU2:OWU72 OMY2:OMY72 ODC2:ODC72 NTG2:NTG72 NJK2:NJK72 MZO2:MZO72 MPS2:MPS72 MFW2:MFW72 LWA2:LWA72 LME2:LME72 LCI2:LCI72 KSM2:KSM72 KIQ2:KIQ72 JYU2:JYU72 JOY2:JOY72 JFC2:JFC72 IVG2:IVG72 ILK2:ILK72 IBO2:IBO72 HRS2:HRS72 HHW2:HHW72 GYA2:GYA72 GOE2:GOE72 GEI2:GEI72 FUM2:FUM72 FKQ2:FKQ72 FAU2:FAU72 EQY2:EQY72 EHC2:EHC72 DXG2:DXG72 DNK2:DNK72 DDO2:DDO72 CTS2:CTS72 CJW2:CJW72 CAA2:CAA72 BQE2:BQE72 BGI2:BGI72 AWM2:AWM72 AMQ2:AMQ72 ACU2:ACU72 SY2:SY72" xr:uid="{DBBA61EA-C368-4A8E-9520-FF050DBB7819}">
      <formula1>$AJ$2:$AJ$4</formula1>
    </dataValidation>
    <dataValidation type="list" allowBlank="1" showInputMessage="1" showErrorMessage="1" sqref="I64348:I64413 JE64348:JE64413 TA64348:TA64413 ACW64348:ACW64413 AMS64348:AMS64413 AWO64348:AWO64413 BGK64348:BGK64413 BQG64348:BQG64413 CAC64348:CAC64413 CJY64348:CJY64413 CTU64348:CTU64413 DDQ64348:DDQ64413 DNM64348:DNM64413 DXI64348:DXI64413 EHE64348:EHE64413 ERA64348:ERA64413 FAW64348:FAW64413 FKS64348:FKS64413 FUO64348:FUO64413 GEK64348:GEK64413 GOG64348:GOG64413 GYC64348:GYC64413 HHY64348:HHY64413 HRU64348:HRU64413 IBQ64348:IBQ64413 ILM64348:ILM64413 IVI64348:IVI64413 JFE64348:JFE64413 JPA64348:JPA64413 JYW64348:JYW64413 KIS64348:KIS64413 KSO64348:KSO64413 LCK64348:LCK64413 LMG64348:LMG64413 LWC64348:LWC64413 MFY64348:MFY64413 MPU64348:MPU64413 MZQ64348:MZQ64413 NJM64348:NJM64413 NTI64348:NTI64413 ODE64348:ODE64413 ONA64348:ONA64413 OWW64348:OWW64413 PGS64348:PGS64413 PQO64348:PQO64413 QAK64348:QAK64413 QKG64348:QKG64413 QUC64348:QUC64413 RDY64348:RDY64413 RNU64348:RNU64413 RXQ64348:RXQ64413 SHM64348:SHM64413 SRI64348:SRI64413 TBE64348:TBE64413 TLA64348:TLA64413 TUW64348:TUW64413 UES64348:UES64413 UOO64348:UOO64413 UYK64348:UYK64413 VIG64348:VIG64413 VSC64348:VSC64413 WBY64348:WBY64413 WLU64348:WLU64413 WVQ64348:WVQ64413 I129884:I129949 JE129884:JE129949 TA129884:TA129949 ACW129884:ACW129949 AMS129884:AMS129949 AWO129884:AWO129949 BGK129884:BGK129949 BQG129884:BQG129949 CAC129884:CAC129949 CJY129884:CJY129949 CTU129884:CTU129949 DDQ129884:DDQ129949 DNM129884:DNM129949 DXI129884:DXI129949 EHE129884:EHE129949 ERA129884:ERA129949 FAW129884:FAW129949 FKS129884:FKS129949 FUO129884:FUO129949 GEK129884:GEK129949 GOG129884:GOG129949 GYC129884:GYC129949 HHY129884:HHY129949 HRU129884:HRU129949 IBQ129884:IBQ129949 ILM129884:ILM129949 IVI129884:IVI129949 JFE129884:JFE129949 JPA129884:JPA129949 JYW129884:JYW129949 KIS129884:KIS129949 KSO129884:KSO129949 LCK129884:LCK129949 LMG129884:LMG129949 LWC129884:LWC129949 MFY129884:MFY129949 MPU129884:MPU129949 MZQ129884:MZQ129949 NJM129884:NJM129949 NTI129884:NTI129949 ODE129884:ODE129949 ONA129884:ONA129949 OWW129884:OWW129949 PGS129884:PGS129949 PQO129884:PQO129949 QAK129884:QAK129949 QKG129884:QKG129949 QUC129884:QUC129949 RDY129884:RDY129949 RNU129884:RNU129949 RXQ129884:RXQ129949 SHM129884:SHM129949 SRI129884:SRI129949 TBE129884:TBE129949 TLA129884:TLA129949 TUW129884:TUW129949 UES129884:UES129949 UOO129884:UOO129949 UYK129884:UYK129949 VIG129884:VIG129949 VSC129884:VSC129949 WBY129884:WBY129949 WLU129884:WLU129949 WVQ129884:WVQ129949 I195420:I195485 JE195420:JE195485 TA195420:TA195485 ACW195420:ACW195485 AMS195420:AMS195485 AWO195420:AWO195485 BGK195420:BGK195485 BQG195420:BQG195485 CAC195420:CAC195485 CJY195420:CJY195485 CTU195420:CTU195485 DDQ195420:DDQ195485 DNM195420:DNM195485 DXI195420:DXI195485 EHE195420:EHE195485 ERA195420:ERA195485 FAW195420:FAW195485 FKS195420:FKS195485 FUO195420:FUO195485 GEK195420:GEK195485 GOG195420:GOG195485 GYC195420:GYC195485 HHY195420:HHY195485 HRU195420:HRU195485 IBQ195420:IBQ195485 ILM195420:ILM195485 IVI195420:IVI195485 JFE195420:JFE195485 JPA195420:JPA195485 JYW195420:JYW195485 KIS195420:KIS195485 KSO195420:KSO195485 LCK195420:LCK195485 LMG195420:LMG195485 LWC195420:LWC195485 MFY195420:MFY195485 MPU195420:MPU195485 MZQ195420:MZQ195485 NJM195420:NJM195485 NTI195420:NTI195485 ODE195420:ODE195485 ONA195420:ONA195485 OWW195420:OWW195485 PGS195420:PGS195485 PQO195420:PQO195485 QAK195420:QAK195485 QKG195420:QKG195485 QUC195420:QUC195485 RDY195420:RDY195485 RNU195420:RNU195485 RXQ195420:RXQ195485 SHM195420:SHM195485 SRI195420:SRI195485 TBE195420:TBE195485 TLA195420:TLA195485 TUW195420:TUW195485 UES195420:UES195485 UOO195420:UOO195485 UYK195420:UYK195485 VIG195420:VIG195485 VSC195420:VSC195485 WBY195420:WBY195485 WLU195420:WLU195485 WVQ195420:WVQ195485 I260956:I261021 JE260956:JE261021 TA260956:TA261021 ACW260956:ACW261021 AMS260956:AMS261021 AWO260956:AWO261021 BGK260956:BGK261021 BQG260956:BQG261021 CAC260956:CAC261021 CJY260956:CJY261021 CTU260956:CTU261021 DDQ260956:DDQ261021 DNM260956:DNM261021 DXI260956:DXI261021 EHE260956:EHE261021 ERA260956:ERA261021 FAW260956:FAW261021 FKS260956:FKS261021 FUO260956:FUO261021 GEK260956:GEK261021 GOG260956:GOG261021 GYC260956:GYC261021 HHY260956:HHY261021 HRU260956:HRU261021 IBQ260956:IBQ261021 ILM260956:ILM261021 IVI260956:IVI261021 JFE260956:JFE261021 JPA260956:JPA261021 JYW260956:JYW261021 KIS260956:KIS261021 KSO260956:KSO261021 LCK260956:LCK261021 LMG260956:LMG261021 LWC260956:LWC261021 MFY260956:MFY261021 MPU260956:MPU261021 MZQ260956:MZQ261021 NJM260956:NJM261021 NTI260956:NTI261021 ODE260956:ODE261021 ONA260956:ONA261021 OWW260956:OWW261021 PGS260956:PGS261021 PQO260956:PQO261021 QAK260956:QAK261021 QKG260956:QKG261021 QUC260956:QUC261021 RDY260956:RDY261021 RNU260956:RNU261021 RXQ260956:RXQ261021 SHM260956:SHM261021 SRI260956:SRI261021 TBE260956:TBE261021 TLA260956:TLA261021 TUW260956:TUW261021 UES260956:UES261021 UOO260956:UOO261021 UYK260956:UYK261021 VIG260956:VIG261021 VSC260956:VSC261021 WBY260956:WBY261021 WLU260956:WLU261021 WVQ260956:WVQ261021 I326492:I326557 JE326492:JE326557 TA326492:TA326557 ACW326492:ACW326557 AMS326492:AMS326557 AWO326492:AWO326557 BGK326492:BGK326557 BQG326492:BQG326557 CAC326492:CAC326557 CJY326492:CJY326557 CTU326492:CTU326557 DDQ326492:DDQ326557 DNM326492:DNM326557 DXI326492:DXI326557 EHE326492:EHE326557 ERA326492:ERA326557 FAW326492:FAW326557 FKS326492:FKS326557 FUO326492:FUO326557 GEK326492:GEK326557 GOG326492:GOG326557 GYC326492:GYC326557 HHY326492:HHY326557 HRU326492:HRU326557 IBQ326492:IBQ326557 ILM326492:ILM326557 IVI326492:IVI326557 JFE326492:JFE326557 JPA326492:JPA326557 JYW326492:JYW326557 KIS326492:KIS326557 KSO326492:KSO326557 LCK326492:LCK326557 LMG326492:LMG326557 LWC326492:LWC326557 MFY326492:MFY326557 MPU326492:MPU326557 MZQ326492:MZQ326557 NJM326492:NJM326557 NTI326492:NTI326557 ODE326492:ODE326557 ONA326492:ONA326557 OWW326492:OWW326557 PGS326492:PGS326557 PQO326492:PQO326557 QAK326492:QAK326557 QKG326492:QKG326557 QUC326492:QUC326557 RDY326492:RDY326557 RNU326492:RNU326557 RXQ326492:RXQ326557 SHM326492:SHM326557 SRI326492:SRI326557 TBE326492:TBE326557 TLA326492:TLA326557 TUW326492:TUW326557 UES326492:UES326557 UOO326492:UOO326557 UYK326492:UYK326557 VIG326492:VIG326557 VSC326492:VSC326557 WBY326492:WBY326557 WLU326492:WLU326557 WVQ326492:WVQ326557 I392028:I392093 JE392028:JE392093 TA392028:TA392093 ACW392028:ACW392093 AMS392028:AMS392093 AWO392028:AWO392093 BGK392028:BGK392093 BQG392028:BQG392093 CAC392028:CAC392093 CJY392028:CJY392093 CTU392028:CTU392093 DDQ392028:DDQ392093 DNM392028:DNM392093 DXI392028:DXI392093 EHE392028:EHE392093 ERA392028:ERA392093 FAW392028:FAW392093 FKS392028:FKS392093 FUO392028:FUO392093 GEK392028:GEK392093 GOG392028:GOG392093 GYC392028:GYC392093 HHY392028:HHY392093 HRU392028:HRU392093 IBQ392028:IBQ392093 ILM392028:ILM392093 IVI392028:IVI392093 JFE392028:JFE392093 JPA392028:JPA392093 JYW392028:JYW392093 KIS392028:KIS392093 KSO392028:KSO392093 LCK392028:LCK392093 LMG392028:LMG392093 LWC392028:LWC392093 MFY392028:MFY392093 MPU392028:MPU392093 MZQ392028:MZQ392093 NJM392028:NJM392093 NTI392028:NTI392093 ODE392028:ODE392093 ONA392028:ONA392093 OWW392028:OWW392093 PGS392028:PGS392093 PQO392028:PQO392093 QAK392028:QAK392093 QKG392028:QKG392093 QUC392028:QUC392093 RDY392028:RDY392093 RNU392028:RNU392093 RXQ392028:RXQ392093 SHM392028:SHM392093 SRI392028:SRI392093 TBE392028:TBE392093 TLA392028:TLA392093 TUW392028:TUW392093 UES392028:UES392093 UOO392028:UOO392093 UYK392028:UYK392093 VIG392028:VIG392093 VSC392028:VSC392093 WBY392028:WBY392093 WLU392028:WLU392093 WVQ392028:WVQ392093 I457564:I457629 JE457564:JE457629 TA457564:TA457629 ACW457564:ACW457629 AMS457564:AMS457629 AWO457564:AWO457629 BGK457564:BGK457629 BQG457564:BQG457629 CAC457564:CAC457629 CJY457564:CJY457629 CTU457564:CTU457629 DDQ457564:DDQ457629 DNM457564:DNM457629 DXI457564:DXI457629 EHE457564:EHE457629 ERA457564:ERA457629 FAW457564:FAW457629 FKS457564:FKS457629 FUO457564:FUO457629 GEK457564:GEK457629 GOG457564:GOG457629 GYC457564:GYC457629 HHY457564:HHY457629 HRU457564:HRU457629 IBQ457564:IBQ457629 ILM457564:ILM457629 IVI457564:IVI457629 JFE457564:JFE457629 JPA457564:JPA457629 JYW457564:JYW457629 KIS457564:KIS457629 KSO457564:KSO457629 LCK457564:LCK457629 LMG457564:LMG457629 LWC457564:LWC457629 MFY457564:MFY457629 MPU457564:MPU457629 MZQ457564:MZQ457629 NJM457564:NJM457629 NTI457564:NTI457629 ODE457564:ODE457629 ONA457564:ONA457629 OWW457564:OWW457629 PGS457564:PGS457629 PQO457564:PQO457629 QAK457564:QAK457629 QKG457564:QKG457629 QUC457564:QUC457629 RDY457564:RDY457629 RNU457564:RNU457629 RXQ457564:RXQ457629 SHM457564:SHM457629 SRI457564:SRI457629 TBE457564:TBE457629 TLA457564:TLA457629 TUW457564:TUW457629 UES457564:UES457629 UOO457564:UOO457629 UYK457564:UYK457629 VIG457564:VIG457629 VSC457564:VSC457629 WBY457564:WBY457629 WLU457564:WLU457629 WVQ457564:WVQ457629 I523100:I523165 JE523100:JE523165 TA523100:TA523165 ACW523100:ACW523165 AMS523100:AMS523165 AWO523100:AWO523165 BGK523100:BGK523165 BQG523100:BQG523165 CAC523100:CAC523165 CJY523100:CJY523165 CTU523100:CTU523165 DDQ523100:DDQ523165 DNM523100:DNM523165 DXI523100:DXI523165 EHE523100:EHE523165 ERA523100:ERA523165 FAW523100:FAW523165 FKS523100:FKS523165 FUO523100:FUO523165 GEK523100:GEK523165 GOG523100:GOG523165 GYC523100:GYC523165 HHY523100:HHY523165 HRU523100:HRU523165 IBQ523100:IBQ523165 ILM523100:ILM523165 IVI523100:IVI523165 JFE523100:JFE523165 JPA523100:JPA523165 JYW523100:JYW523165 KIS523100:KIS523165 KSO523100:KSO523165 LCK523100:LCK523165 LMG523100:LMG523165 LWC523100:LWC523165 MFY523100:MFY523165 MPU523100:MPU523165 MZQ523100:MZQ523165 NJM523100:NJM523165 NTI523100:NTI523165 ODE523100:ODE523165 ONA523100:ONA523165 OWW523100:OWW523165 PGS523100:PGS523165 PQO523100:PQO523165 QAK523100:QAK523165 QKG523100:QKG523165 QUC523100:QUC523165 RDY523100:RDY523165 RNU523100:RNU523165 RXQ523100:RXQ523165 SHM523100:SHM523165 SRI523100:SRI523165 TBE523100:TBE523165 TLA523100:TLA523165 TUW523100:TUW523165 UES523100:UES523165 UOO523100:UOO523165 UYK523100:UYK523165 VIG523100:VIG523165 VSC523100:VSC523165 WBY523100:WBY523165 WLU523100:WLU523165 WVQ523100:WVQ523165 I588636:I588701 JE588636:JE588701 TA588636:TA588701 ACW588636:ACW588701 AMS588636:AMS588701 AWO588636:AWO588701 BGK588636:BGK588701 BQG588636:BQG588701 CAC588636:CAC588701 CJY588636:CJY588701 CTU588636:CTU588701 DDQ588636:DDQ588701 DNM588636:DNM588701 DXI588636:DXI588701 EHE588636:EHE588701 ERA588636:ERA588701 FAW588636:FAW588701 FKS588636:FKS588701 FUO588636:FUO588701 GEK588636:GEK588701 GOG588636:GOG588701 GYC588636:GYC588701 HHY588636:HHY588701 HRU588636:HRU588701 IBQ588636:IBQ588701 ILM588636:ILM588701 IVI588636:IVI588701 JFE588636:JFE588701 JPA588636:JPA588701 JYW588636:JYW588701 KIS588636:KIS588701 KSO588636:KSO588701 LCK588636:LCK588701 LMG588636:LMG588701 LWC588636:LWC588701 MFY588636:MFY588701 MPU588636:MPU588701 MZQ588636:MZQ588701 NJM588636:NJM588701 NTI588636:NTI588701 ODE588636:ODE588701 ONA588636:ONA588701 OWW588636:OWW588701 PGS588636:PGS588701 PQO588636:PQO588701 QAK588636:QAK588701 QKG588636:QKG588701 QUC588636:QUC588701 RDY588636:RDY588701 RNU588636:RNU588701 RXQ588636:RXQ588701 SHM588636:SHM588701 SRI588636:SRI588701 TBE588636:TBE588701 TLA588636:TLA588701 TUW588636:TUW588701 UES588636:UES588701 UOO588636:UOO588701 UYK588636:UYK588701 VIG588636:VIG588701 VSC588636:VSC588701 WBY588636:WBY588701 WLU588636:WLU588701 WVQ588636:WVQ588701 I654172:I654237 JE654172:JE654237 TA654172:TA654237 ACW654172:ACW654237 AMS654172:AMS654237 AWO654172:AWO654237 BGK654172:BGK654237 BQG654172:BQG654237 CAC654172:CAC654237 CJY654172:CJY654237 CTU654172:CTU654237 DDQ654172:DDQ654237 DNM654172:DNM654237 DXI654172:DXI654237 EHE654172:EHE654237 ERA654172:ERA654237 FAW654172:FAW654237 FKS654172:FKS654237 FUO654172:FUO654237 GEK654172:GEK654237 GOG654172:GOG654237 GYC654172:GYC654237 HHY654172:HHY654237 HRU654172:HRU654237 IBQ654172:IBQ654237 ILM654172:ILM654237 IVI654172:IVI654237 JFE654172:JFE654237 JPA654172:JPA654237 JYW654172:JYW654237 KIS654172:KIS654237 KSO654172:KSO654237 LCK654172:LCK654237 LMG654172:LMG654237 LWC654172:LWC654237 MFY654172:MFY654237 MPU654172:MPU654237 MZQ654172:MZQ654237 NJM654172:NJM654237 NTI654172:NTI654237 ODE654172:ODE654237 ONA654172:ONA654237 OWW654172:OWW654237 PGS654172:PGS654237 PQO654172:PQO654237 QAK654172:QAK654237 QKG654172:QKG654237 QUC654172:QUC654237 RDY654172:RDY654237 RNU654172:RNU654237 RXQ654172:RXQ654237 SHM654172:SHM654237 SRI654172:SRI654237 TBE654172:TBE654237 TLA654172:TLA654237 TUW654172:TUW654237 UES654172:UES654237 UOO654172:UOO654237 UYK654172:UYK654237 VIG654172:VIG654237 VSC654172:VSC654237 WBY654172:WBY654237 WLU654172:WLU654237 WVQ654172:WVQ654237 I719708:I719773 JE719708:JE719773 TA719708:TA719773 ACW719708:ACW719773 AMS719708:AMS719773 AWO719708:AWO719773 BGK719708:BGK719773 BQG719708:BQG719773 CAC719708:CAC719773 CJY719708:CJY719773 CTU719708:CTU719773 DDQ719708:DDQ719773 DNM719708:DNM719773 DXI719708:DXI719773 EHE719708:EHE719773 ERA719708:ERA719773 FAW719708:FAW719773 FKS719708:FKS719773 FUO719708:FUO719773 GEK719708:GEK719773 GOG719708:GOG719773 GYC719708:GYC719773 HHY719708:HHY719773 HRU719708:HRU719773 IBQ719708:IBQ719773 ILM719708:ILM719773 IVI719708:IVI719773 JFE719708:JFE719773 JPA719708:JPA719773 JYW719708:JYW719773 KIS719708:KIS719773 KSO719708:KSO719773 LCK719708:LCK719773 LMG719708:LMG719773 LWC719708:LWC719773 MFY719708:MFY719773 MPU719708:MPU719773 MZQ719708:MZQ719773 NJM719708:NJM719773 NTI719708:NTI719773 ODE719708:ODE719773 ONA719708:ONA719773 OWW719708:OWW719773 PGS719708:PGS719773 PQO719708:PQO719773 QAK719708:QAK719773 QKG719708:QKG719773 QUC719708:QUC719773 RDY719708:RDY719773 RNU719708:RNU719773 RXQ719708:RXQ719773 SHM719708:SHM719773 SRI719708:SRI719773 TBE719708:TBE719773 TLA719708:TLA719773 TUW719708:TUW719773 UES719708:UES719773 UOO719708:UOO719773 UYK719708:UYK719773 VIG719708:VIG719773 VSC719708:VSC719773 WBY719708:WBY719773 WLU719708:WLU719773 WVQ719708:WVQ719773 I785244:I785309 JE785244:JE785309 TA785244:TA785309 ACW785244:ACW785309 AMS785244:AMS785309 AWO785244:AWO785309 BGK785244:BGK785309 BQG785244:BQG785309 CAC785244:CAC785309 CJY785244:CJY785309 CTU785244:CTU785309 DDQ785244:DDQ785309 DNM785244:DNM785309 DXI785244:DXI785309 EHE785244:EHE785309 ERA785244:ERA785309 FAW785244:FAW785309 FKS785244:FKS785309 FUO785244:FUO785309 GEK785244:GEK785309 GOG785244:GOG785309 GYC785244:GYC785309 HHY785244:HHY785309 HRU785244:HRU785309 IBQ785244:IBQ785309 ILM785244:ILM785309 IVI785244:IVI785309 JFE785244:JFE785309 JPA785244:JPA785309 JYW785244:JYW785309 KIS785244:KIS785309 KSO785244:KSO785309 LCK785244:LCK785309 LMG785244:LMG785309 LWC785244:LWC785309 MFY785244:MFY785309 MPU785244:MPU785309 MZQ785244:MZQ785309 NJM785244:NJM785309 NTI785244:NTI785309 ODE785244:ODE785309 ONA785244:ONA785309 OWW785244:OWW785309 PGS785244:PGS785309 PQO785244:PQO785309 QAK785244:QAK785309 QKG785244:QKG785309 QUC785244:QUC785309 RDY785244:RDY785309 RNU785244:RNU785309 RXQ785244:RXQ785309 SHM785244:SHM785309 SRI785244:SRI785309 TBE785244:TBE785309 TLA785244:TLA785309 TUW785244:TUW785309 UES785244:UES785309 UOO785244:UOO785309 UYK785244:UYK785309 VIG785244:VIG785309 VSC785244:VSC785309 WBY785244:WBY785309 WLU785244:WLU785309 WVQ785244:WVQ785309 I850780:I850845 JE850780:JE850845 TA850780:TA850845 ACW850780:ACW850845 AMS850780:AMS850845 AWO850780:AWO850845 BGK850780:BGK850845 BQG850780:BQG850845 CAC850780:CAC850845 CJY850780:CJY850845 CTU850780:CTU850845 DDQ850780:DDQ850845 DNM850780:DNM850845 DXI850780:DXI850845 EHE850780:EHE850845 ERA850780:ERA850845 FAW850780:FAW850845 FKS850780:FKS850845 FUO850780:FUO850845 GEK850780:GEK850845 GOG850780:GOG850845 GYC850780:GYC850845 HHY850780:HHY850845 HRU850780:HRU850845 IBQ850780:IBQ850845 ILM850780:ILM850845 IVI850780:IVI850845 JFE850780:JFE850845 JPA850780:JPA850845 JYW850780:JYW850845 KIS850780:KIS850845 KSO850780:KSO850845 LCK850780:LCK850845 LMG850780:LMG850845 LWC850780:LWC850845 MFY850780:MFY850845 MPU850780:MPU850845 MZQ850780:MZQ850845 NJM850780:NJM850845 NTI850780:NTI850845 ODE850780:ODE850845 ONA850780:ONA850845 OWW850780:OWW850845 PGS850780:PGS850845 PQO850780:PQO850845 QAK850780:QAK850845 QKG850780:QKG850845 QUC850780:QUC850845 RDY850780:RDY850845 RNU850780:RNU850845 RXQ850780:RXQ850845 SHM850780:SHM850845 SRI850780:SRI850845 TBE850780:TBE850845 TLA850780:TLA850845 TUW850780:TUW850845 UES850780:UES850845 UOO850780:UOO850845 UYK850780:UYK850845 VIG850780:VIG850845 VSC850780:VSC850845 WBY850780:WBY850845 WLU850780:WLU850845 WVQ850780:WVQ850845 I916316:I916381 JE916316:JE916381 TA916316:TA916381 ACW916316:ACW916381 AMS916316:AMS916381 AWO916316:AWO916381 BGK916316:BGK916381 BQG916316:BQG916381 CAC916316:CAC916381 CJY916316:CJY916381 CTU916316:CTU916381 DDQ916316:DDQ916381 DNM916316:DNM916381 DXI916316:DXI916381 EHE916316:EHE916381 ERA916316:ERA916381 FAW916316:FAW916381 FKS916316:FKS916381 FUO916316:FUO916381 GEK916316:GEK916381 GOG916316:GOG916381 GYC916316:GYC916381 HHY916316:HHY916381 HRU916316:HRU916381 IBQ916316:IBQ916381 ILM916316:ILM916381 IVI916316:IVI916381 JFE916316:JFE916381 JPA916316:JPA916381 JYW916316:JYW916381 KIS916316:KIS916381 KSO916316:KSO916381 LCK916316:LCK916381 LMG916316:LMG916381 LWC916316:LWC916381 MFY916316:MFY916381 MPU916316:MPU916381 MZQ916316:MZQ916381 NJM916316:NJM916381 NTI916316:NTI916381 ODE916316:ODE916381 ONA916316:ONA916381 OWW916316:OWW916381 PGS916316:PGS916381 PQO916316:PQO916381 QAK916316:QAK916381 QKG916316:QKG916381 QUC916316:QUC916381 RDY916316:RDY916381 RNU916316:RNU916381 RXQ916316:RXQ916381 SHM916316:SHM916381 SRI916316:SRI916381 TBE916316:TBE916381 TLA916316:TLA916381 TUW916316:TUW916381 UES916316:UES916381 UOO916316:UOO916381 UYK916316:UYK916381 VIG916316:VIG916381 VSC916316:VSC916381 WBY916316:WBY916381 WLU916316:WLU916381 WVQ916316:WVQ916381 I981852:I981917 JE981852:JE981917 TA981852:TA981917 ACW981852:ACW981917 AMS981852:AMS981917 AWO981852:AWO981917 BGK981852:BGK981917 BQG981852:BQG981917 CAC981852:CAC981917 CJY981852:CJY981917 CTU981852:CTU981917 DDQ981852:DDQ981917 DNM981852:DNM981917 DXI981852:DXI981917 EHE981852:EHE981917 ERA981852:ERA981917 FAW981852:FAW981917 FKS981852:FKS981917 FUO981852:FUO981917 GEK981852:GEK981917 GOG981852:GOG981917 GYC981852:GYC981917 HHY981852:HHY981917 HRU981852:HRU981917 IBQ981852:IBQ981917 ILM981852:ILM981917 IVI981852:IVI981917 JFE981852:JFE981917 JPA981852:JPA981917 JYW981852:JYW981917 KIS981852:KIS981917 KSO981852:KSO981917 LCK981852:LCK981917 LMG981852:LMG981917 LWC981852:LWC981917 MFY981852:MFY981917 MPU981852:MPU981917 MZQ981852:MZQ981917 NJM981852:NJM981917 NTI981852:NTI981917 ODE981852:ODE981917 ONA981852:ONA981917 OWW981852:OWW981917 PGS981852:PGS981917 PQO981852:PQO981917 QAK981852:QAK981917 QKG981852:QKG981917 QUC981852:QUC981917 RDY981852:RDY981917 RNU981852:RNU981917 RXQ981852:RXQ981917 SHM981852:SHM981917 SRI981852:SRI981917 TBE981852:TBE981917 TLA981852:TLA981917 TUW981852:TUW981917 UES981852:UES981917 UOO981852:UOO981917 UYK981852:UYK981917 VIG981852:VIG981917 VSC981852:VSC981917 WBY981852:WBY981917 WLU981852:WLU981917 WVQ981852:WVQ981917 I1047388:I1047453 JE1047388:JE1047453 TA1047388:TA1047453 ACW1047388:ACW1047453 AMS1047388:AMS1047453 AWO1047388:AWO1047453 BGK1047388:BGK1047453 BQG1047388:BQG1047453 CAC1047388:CAC1047453 CJY1047388:CJY1047453 CTU1047388:CTU1047453 DDQ1047388:DDQ1047453 DNM1047388:DNM1047453 DXI1047388:DXI1047453 EHE1047388:EHE1047453 ERA1047388:ERA1047453 FAW1047388:FAW1047453 FKS1047388:FKS1047453 FUO1047388:FUO1047453 GEK1047388:GEK1047453 GOG1047388:GOG1047453 GYC1047388:GYC1047453 HHY1047388:HHY1047453 HRU1047388:HRU1047453 IBQ1047388:IBQ1047453 ILM1047388:ILM1047453 IVI1047388:IVI1047453 JFE1047388:JFE1047453 JPA1047388:JPA1047453 JYW1047388:JYW1047453 KIS1047388:KIS1047453 KSO1047388:KSO1047453 LCK1047388:LCK1047453 LMG1047388:LMG1047453 LWC1047388:LWC1047453 MFY1047388:MFY1047453 MPU1047388:MPU1047453 MZQ1047388:MZQ1047453 NJM1047388:NJM1047453 NTI1047388:NTI1047453 ODE1047388:ODE1047453 ONA1047388:ONA1047453 OWW1047388:OWW1047453 PGS1047388:PGS1047453 PQO1047388:PQO1047453 QAK1047388:QAK1047453 QKG1047388:QKG1047453 QUC1047388:QUC1047453 RDY1047388:RDY1047453 RNU1047388:RNU1047453 RXQ1047388:RXQ1047453 SHM1047388:SHM1047453 SRI1047388:SRI1047453 TBE1047388:TBE1047453 TLA1047388:TLA1047453 TUW1047388:TUW1047453 UES1047388:UES1047453 UOO1047388:UOO1047453 UYK1047388:UYK1047453 VIG1047388:VIG1047453 VSC1047388:VSC1047453 WBY1047388:WBY1047453 WLU1047388:WLU1047453 WVQ1047388:WVQ1047453 WVQ983027:WVQ983092 I65523:I65588 JE65523:JE65588 TA65523:TA65588 ACW65523:ACW65588 AMS65523:AMS65588 AWO65523:AWO65588 BGK65523:BGK65588 BQG65523:BQG65588 CAC65523:CAC65588 CJY65523:CJY65588 CTU65523:CTU65588 DDQ65523:DDQ65588 DNM65523:DNM65588 DXI65523:DXI65588 EHE65523:EHE65588 ERA65523:ERA65588 FAW65523:FAW65588 FKS65523:FKS65588 FUO65523:FUO65588 GEK65523:GEK65588 GOG65523:GOG65588 GYC65523:GYC65588 HHY65523:HHY65588 HRU65523:HRU65588 IBQ65523:IBQ65588 ILM65523:ILM65588 IVI65523:IVI65588 JFE65523:JFE65588 JPA65523:JPA65588 JYW65523:JYW65588 KIS65523:KIS65588 KSO65523:KSO65588 LCK65523:LCK65588 LMG65523:LMG65588 LWC65523:LWC65588 MFY65523:MFY65588 MPU65523:MPU65588 MZQ65523:MZQ65588 NJM65523:NJM65588 NTI65523:NTI65588 ODE65523:ODE65588 ONA65523:ONA65588 OWW65523:OWW65588 PGS65523:PGS65588 PQO65523:PQO65588 QAK65523:QAK65588 QKG65523:QKG65588 QUC65523:QUC65588 RDY65523:RDY65588 RNU65523:RNU65588 RXQ65523:RXQ65588 SHM65523:SHM65588 SRI65523:SRI65588 TBE65523:TBE65588 TLA65523:TLA65588 TUW65523:TUW65588 UES65523:UES65588 UOO65523:UOO65588 UYK65523:UYK65588 VIG65523:VIG65588 VSC65523:VSC65588 WBY65523:WBY65588 WLU65523:WLU65588 WVQ65523:WVQ65588 I131059:I131124 JE131059:JE131124 TA131059:TA131124 ACW131059:ACW131124 AMS131059:AMS131124 AWO131059:AWO131124 BGK131059:BGK131124 BQG131059:BQG131124 CAC131059:CAC131124 CJY131059:CJY131124 CTU131059:CTU131124 DDQ131059:DDQ131124 DNM131059:DNM131124 DXI131059:DXI131124 EHE131059:EHE131124 ERA131059:ERA131124 FAW131059:FAW131124 FKS131059:FKS131124 FUO131059:FUO131124 GEK131059:GEK131124 GOG131059:GOG131124 GYC131059:GYC131124 HHY131059:HHY131124 HRU131059:HRU131124 IBQ131059:IBQ131124 ILM131059:ILM131124 IVI131059:IVI131124 JFE131059:JFE131124 JPA131059:JPA131124 JYW131059:JYW131124 KIS131059:KIS131124 KSO131059:KSO131124 LCK131059:LCK131124 LMG131059:LMG131124 LWC131059:LWC131124 MFY131059:MFY131124 MPU131059:MPU131124 MZQ131059:MZQ131124 NJM131059:NJM131124 NTI131059:NTI131124 ODE131059:ODE131124 ONA131059:ONA131124 OWW131059:OWW131124 PGS131059:PGS131124 PQO131059:PQO131124 QAK131059:QAK131124 QKG131059:QKG131124 QUC131059:QUC131124 RDY131059:RDY131124 RNU131059:RNU131124 RXQ131059:RXQ131124 SHM131059:SHM131124 SRI131059:SRI131124 TBE131059:TBE131124 TLA131059:TLA131124 TUW131059:TUW131124 UES131059:UES131124 UOO131059:UOO131124 UYK131059:UYK131124 VIG131059:VIG131124 VSC131059:VSC131124 WBY131059:WBY131124 WLU131059:WLU131124 WVQ131059:WVQ131124 I196595:I196660 JE196595:JE196660 TA196595:TA196660 ACW196595:ACW196660 AMS196595:AMS196660 AWO196595:AWO196660 BGK196595:BGK196660 BQG196595:BQG196660 CAC196595:CAC196660 CJY196595:CJY196660 CTU196595:CTU196660 DDQ196595:DDQ196660 DNM196595:DNM196660 DXI196595:DXI196660 EHE196595:EHE196660 ERA196595:ERA196660 FAW196595:FAW196660 FKS196595:FKS196660 FUO196595:FUO196660 GEK196595:GEK196660 GOG196595:GOG196660 GYC196595:GYC196660 HHY196595:HHY196660 HRU196595:HRU196660 IBQ196595:IBQ196660 ILM196595:ILM196660 IVI196595:IVI196660 JFE196595:JFE196660 JPA196595:JPA196660 JYW196595:JYW196660 KIS196595:KIS196660 KSO196595:KSO196660 LCK196595:LCK196660 LMG196595:LMG196660 LWC196595:LWC196660 MFY196595:MFY196660 MPU196595:MPU196660 MZQ196595:MZQ196660 NJM196595:NJM196660 NTI196595:NTI196660 ODE196595:ODE196660 ONA196595:ONA196660 OWW196595:OWW196660 PGS196595:PGS196660 PQO196595:PQO196660 QAK196595:QAK196660 QKG196595:QKG196660 QUC196595:QUC196660 RDY196595:RDY196660 RNU196595:RNU196660 RXQ196595:RXQ196660 SHM196595:SHM196660 SRI196595:SRI196660 TBE196595:TBE196660 TLA196595:TLA196660 TUW196595:TUW196660 UES196595:UES196660 UOO196595:UOO196660 UYK196595:UYK196660 VIG196595:VIG196660 VSC196595:VSC196660 WBY196595:WBY196660 WLU196595:WLU196660 WVQ196595:WVQ196660 I262131:I262196 JE262131:JE262196 TA262131:TA262196 ACW262131:ACW262196 AMS262131:AMS262196 AWO262131:AWO262196 BGK262131:BGK262196 BQG262131:BQG262196 CAC262131:CAC262196 CJY262131:CJY262196 CTU262131:CTU262196 DDQ262131:DDQ262196 DNM262131:DNM262196 DXI262131:DXI262196 EHE262131:EHE262196 ERA262131:ERA262196 FAW262131:FAW262196 FKS262131:FKS262196 FUO262131:FUO262196 GEK262131:GEK262196 GOG262131:GOG262196 GYC262131:GYC262196 HHY262131:HHY262196 HRU262131:HRU262196 IBQ262131:IBQ262196 ILM262131:ILM262196 IVI262131:IVI262196 JFE262131:JFE262196 JPA262131:JPA262196 JYW262131:JYW262196 KIS262131:KIS262196 KSO262131:KSO262196 LCK262131:LCK262196 LMG262131:LMG262196 LWC262131:LWC262196 MFY262131:MFY262196 MPU262131:MPU262196 MZQ262131:MZQ262196 NJM262131:NJM262196 NTI262131:NTI262196 ODE262131:ODE262196 ONA262131:ONA262196 OWW262131:OWW262196 PGS262131:PGS262196 PQO262131:PQO262196 QAK262131:QAK262196 QKG262131:QKG262196 QUC262131:QUC262196 RDY262131:RDY262196 RNU262131:RNU262196 RXQ262131:RXQ262196 SHM262131:SHM262196 SRI262131:SRI262196 TBE262131:TBE262196 TLA262131:TLA262196 TUW262131:TUW262196 UES262131:UES262196 UOO262131:UOO262196 UYK262131:UYK262196 VIG262131:VIG262196 VSC262131:VSC262196 WBY262131:WBY262196 WLU262131:WLU262196 WVQ262131:WVQ262196 I327667:I327732 JE327667:JE327732 TA327667:TA327732 ACW327667:ACW327732 AMS327667:AMS327732 AWO327667:AWO327732 BGK327667:BGK327732 BQG327667:BQG327732 CAC327667:CAC327732 CJY327667:CJY327732 CTU327667:CTU327732 DDQ327667:DDQ327732 DNM327667:DNM327732 DXI327667:DXI327732 EHE327667:EHE327732 ERA327667:ERA327732 FAW327667:FAW327732 FKS327667:FKS327732 FUO327667:FUO327732 GEK327667:GEK327732 GOG327667:GOG327732 GYC327667:GYC327732 HHY327667:HHY327732 HRU327667:HRU327732 IBQ327667:IBQ327732 ILM327667:ILM327732 IVI327667:IVI327732 JFE327667:JFE327732 JPA327667:JPA327732 JYW327667:JYW327732 KIS327667:KIS327732 KSO327667:KSO327732 LCK327667:LCK327732 LMG327667:LMG327732 LWC327667:LWC327732 MFY327667:MFY327732 MPU327667:MPU327732 MZQ327667:MZQ327732 NJM327667:NJM327732 NTI327667:NTI327732 ODE327667:ODE327732 ONA327667:ONA327732 OWW327667:OWW327732 PGS327667:PGS327732 PQO327667:PQO327732 QAK327667:QAK327732 QKG327667:QKG327732 QUC327667:QUC327732 RDY327667:RDY327732 RNU327667:RNU327732 RXQ327667:RXQ327732 SHM327667:SHM327732 SRI327667:SRI327732 TBE327667:TBE327732 TLA327667:TLA327732 TUW327667:TUW327732 UES327667:UES327732 UOO327667:UOO327732 UYK327667:UYK327732 VIG327667:VIG327732 VSC327667:VSC327732 WBY327667:WBY327732 WLU327667:WLU327732 WVQ327667:WVQ327732 I393203:I393268 JE393203:JE393268 TA393203:TA393268 ACW393203:ACW393268 AMS393203:AMS393268 AWO393203:AWO393268 BGK393203:BGK393268 BQG393203:BQG393268 CAC393203:CAC393268 CJY393203:CJY393268 CTU393203:CTU393268 DDQ393203:DDQ393268 DNM393203:DNM393268 DXI393203:DXI393268 EHE393203:EHE393268 ERA393203:ERA393268 FAW393203:FAW393268 FKS393203:FKS393268 FUO393203:FUO393268 GEK393203:GEK393268 GOG393203:GOG393268 GYC393203:GYC393268 HHY393203:HHY393268 HRU393203:HRU393268 IBQ393203:IBQ393268 ILM393203:ILM393268 IVI393203:IVI393268 JFE393203:JFE393268 JPA393203:JPA393268 JYW393203:JYW393268 KIS393203:KIS393268 KSO393203:KSO393268 LCK393203:LCK393268 LMG393203:LMG393268 LWC393203:LWC393268 MFY393203:MFY393268 MPU393203:MPU393268 MZQ393203:MZQ393268 NJM393203:NJM393268 NTI393203:NTI393268 ODE393203:ODE393268 ONA393203:ONA393268 OWW393203:OWW393268 PGS393203:PGS393268 PQO393203:PQO393268 QAK393203:QAK393268 QKG393203:QKG393268 QUC393203:QUC393268 RDY393203:RDY393268 RNU393203:RNU393268 RXQ393203:RXQ393268 SHM393203:SHM393268 SRI393203:SRI393268 TBE393203:TBE393268 TLA393203:TLA393268 TUW393203:TUW393268 UES393203:UES393268 UOO393203:UOO393268 UYK393203:UYK393268 VIG393203:VIG393268 VSC393203:VSC393268 WBY393203:WBY393268 WLU393203:WLU393268 WVQ393203:WVQ393268 I458739:I458804 JE458739:JE458804 TA458739:TA458804 ACW458739:ACW458804 AMS458739:AMS458804 AWO458739:AWO458804 BGK458739:BGK458804 BQG458739:BQG458804 CAC458739:CAC458804 CJY458739:CJY458804 CTU458739:CTU458804 DDQ458739:DDQ458804 DNM458739:DNM458804 DXI458739:DXI458804 EHE458739:EHE458804 ERA458739:ERA458804 FAW458739:FAW458804 FKS458739:FKS458804 FUO458739:FUO458804 GEK458739:GEK458804 GOG458739:GOG458804 GYC458739:GYC458804 HHY458739:HHY458804 HRU458739:HRU458804 IBQ458739:IBQ458804 ILM458739:ILM458804 IVI458739:IVI458804 JFE458739:JFE458804 JPA458739:JPA458804 JYW458739:JYW458804 KIS458739:KIS458804 KSO458739:KSO458804 LCK458739:LCK458804 LMG458739:LMG458804 LWC458739:LWC458804 MFY458739:MFY458804 MPU458739:MPU458804 MZQ458739:MZQ458804 NJM458739:NJM458804 NTI458739:NTI458804 ODE458739:ODE458804 ONA458739:ONA458804 OWW458739:OWW458804 PGS458739:PGS458804 PQO458739:PQO458804 QAK458739:QAK458804 QKG458739:QKG458804 QUC458739:QUC458804 RDY458739:RDY458804 RNU458739:RNU458804 RXQ458739:RXQ458804 SHM458739:SHM458804 SRI458739:SRI458804 TBE458739:TBE458804 TLA458739:TLA458804 TUW458739:TUW458804 UES458739:UES458804 UOO458739:UOO458804 UYK458739:UYK458804 VIG458739:VIG458804 VSC458739:VSC458804 WBY458739:WBY458804 WLU458739:WLU458804 WVQ458739:WVQ458804 I524275:I524340 JE524275:JE524340 TA524275:TA524340 ACW524275:ACW524340 AMS524275:AMS524340 AWO524275:AWO524340 BGK524275:BGK524340 BQG524275:BQG524340 CAC524275:CAC524340 CJY524275:CJY524340 CTU524275:CTU524340 DDQ524275:DDQ524340 DNM524275:DNM524340 DXI524275:DXI524340 EHE524275:EHE524340 ERA524275:ERA524340 FAW524275:FAW524340 FKS524275:FKS524340 FUO524275:FUO524340 GEK524275:GEK524340 GOG524275:GOG524340 GYC524275:GYC524340 HHY524275:HHY524340 HRU524275:HRU524340 IBQ524275:IBQ524340 ILM524275:ILM524340 IVI524275:IVI524340 JFE524275:JFE524340 JPA524275:JPA524340 JYW524275:JYW524340 KIS524275:KIS524340 KSO524275:KSO524340 LCK524275:LCK524340 LMG524275:LMG524340 LWC524275:LWC524340 MFY524275:MFY524340 MPU524275:MPU524340 MZQ524275:MZQ524340 NJM524275:NJM524340 NTI524275:NTI524340 ODE524275:ODE524340 ONA524275:ONA524340 OWW524275:OWW524340 PGS524275:PGS524340 PQO524275:PQO524340 QAK524275:QAK524340 QKG524275:QKG524340 QUC524275:QUC524340 RDY524275:RDY524340 RNU524275:RNU524340 RXQ524275:RXQ524340 SHM524275:SHM524340 SRI524275:SRI524340 TBE524275:TBE524340 TLA524275:TLA524340 TUW524275:TUW524340 UES524275:UES524340 UOO524275:UOO524340 UYK524275:UYK524340 VIG524275:VIG524340 VSC524275:VSC524340 WBY524275:WBY524340 WLU524275:WLU524340 WVQ524275:WVQ524340 I589811:I589876 JE589811:JE589876 TA589811:TA589876 ACW589811:ACW589876 AMS589811:AMS589876 AWO589811:AWO589876 BGK589811:BGK589876 BQG589811:BQG589876 CAC589811:CAC589876 CJY589811:CJY589876 CTU589811:CTU589876 DDQ589811:DDQ589876 DNM589811:DNM589876 DXI589811:DXI589876 EHE589811:EHE589876 ERA589811:ERA589876 FAW589811:FAW589876 FKS589811:FKS589876 FUO589811:FUO589876 GEK589811:GEK589876 GOG589811:GOG589876 GYC589811:GYC589876 HHY589811:HHY589876 HRU589811:HRU589876 IBQ589811:IBQ589876 ILM589811:ILM589876 IVI589811:IVI589876 JFE589811:JFE589876 JPA589811:JPA589876 JYW589811:JYW589876 KIS589811:KIS589876 KSO589811:KSO589876 LCK589811:LCK589876 LMG589811:LMG589876 LWC589811:LWC589876 MFY589811:MFY589876 MPU589811:MPU589876 MZQ589811:MZQ589876 NJM589811:NJM589876 NTI589811:NTI589876 ODE589811:ODE589876 ONA589811:ONA589876 OWW589811:OWW589876 PGS589811:PGS589876 PQO589811:PQO589876 QAK589811:QAK589876 QKG589811:QKG589876 QUC589811:QUC589876 RDY589811:RDY589876 RNU589811:RNU589876 RXQ589811:RXQ589876 SHM589811:SHM589876 SRI589811:SRI589876 TBE589811:TBE589876 TLA589811:TLA589876 TUW589811:TUW589876 UES589811:UES589876 UOO589811:UOO589876 UYK589811:UYK589876 VIG589811:VIG589876 VSC589811:VSC589876 WBY589811:WBY589876 WLU589811:WLU589876 WVQ589811:WVQ589876 I655347:I655412 JE655347:JE655412 TA655347:TA655412 ACW655347:ACW655412 AMS655347:AMS655412 AWO655347:AWO655412 BGK655347:BGK655412 BQG655347:BQG655412 CAC655347:CAC655412 CJY655347:CJY655412 CTU655347:CTU655412 DDQ655347:DDQ655412 DNM655347:DNM655412 DXI655347:DXI655412 EHE655347:EHE655412 ERA655347:ERA655412 FAW655347:FAW655412 FKS655347:FKS655412 FUO655347:FUO655412 GEK655347:GEK655412 GOG655347:GOG655412 GYC655347:GYC655412 HHY655347:HHY655412 HRU655347:HRU655412 IBQ655347:IBQ655412 ILM655347:ILM655412 IVI655347:IVI655412 JFE655347:JFE655412 JPA655347:JPA655412 JYW655347:JYW655412 KIS655347:KIS655412 KSO655347:KSO655412 LCK655347:LCK655412 LMG655347:LMG655412 LWC655347:LWC655412 MFY655347:MFY655412 MPU655347:MPU655412 MZQ655347:MZQ655412 NJM655347:NJM655412 NTI655347:NTI655412 ODE655347:ODE655412 ONA655347:ONA655412 OWW655347:OWW655412 PGS655347:PGS655412 PQO655347:PQO655412 QAK655347:QAK655412 QKG655347:QKG655412 QUC655347:QUC655412 RDY655347:RDY655412 RNU655347:RNU655412 RXQ655347:RXQ655412 SHM655347:SHM655412 SRI655347:SRI655412 TBE655347:TBE655412 TLA655347:TLA655412 TUW655347:TUW655412 UES655347:UES655412 UOO655347:UOO655412 UYK655347:UYK655412 VIG655347:VIG655412 VSC655347:VSC655412 WBY655347:WBY655412 WLU655347:WLU655412 WVQ655347:WVQ655412 I720883:I720948 JE720883:JE720948 TA720883:TA720948 ACW720883:ACW720948 AMS720883:AMS720948 AWO720883:AWO720948 BGK720883:BGK720948 BQG720883:BQG720948 CAC720883:CAC720948 CJY720883:CJY720948 CTU720883:CTU720948 DDQ720883:DDQ720948 DNM720883:DNM720948 DXI720883:DXI720948 EHE720883:EHE720948 ERA720883:ERA720948 FAW720883:FAW720948 FKS720883:FKS720948 FUO720883:FUO720948 GEK720883:GEK720948 GOG720883:GOG720948 GYC720883:GYC720948 HHY720883:HHY720948 HRU720883:HRU720948 IBQ720883:IBQ720948 ILM720883:ILM720948 IVI720883:IVI720948 JFE720883:JFE720948 JPA720883:JPA720948 JYW720883:JYW720948 KIS720883:KIS720948 KSO720883:KSO720948 LCK720883:LCK720948 LMG720883:LMG720948 LWC720883:LWC720948 MFY720883:MFY720948 MPU720883:MPU720948 MZQ720883:MZQ720948 NJM720883:NJM720948 NTI720883:NTI720948 ODE720883:ODE720948 ONA720883:ONA720948 OWW720883:OWW720948 PGS720883:PGS720948 PQO720883:PQO720948 QAK720883:QAK720948 QKG720883:QKG720948 QUC720883:QUC720948 RDY720883:RDY720948 RNU720883:RNU720948 RXQ720883:RXQ720948 SHM720883:SHM720948 SRI720883:SRI720948 TBE720883:TBE720948 TLA720883:TLA720948 TUW720883:TUW720948 UES720883:UES720948 UOO720883:UOO720948 UYK720883:UYK720948 VIG720883:VIG720948 VSC720883:VSC720948 WBY720883:WBY720948 WLU720883:WLU720948 WVQ720883:WVQ720948 I786419:I786484 JE786419:JE786484 TA786419:TA786484 ACW786419:ACW786484 AMS786419:AMS786484 AWO786419:AWO786484 BGK786419:BGK786484 BQG786419:BQG786484 CAC786419:CAC786484 CJY786419:CJY786484 CTU786419:CTU786484 DDQ786419:DDQ786484 DNM786419:DNM786484 DXI786419:DXI786484 EHE786419:EHE786484 ERA786419:ERA786484 FAW786419:FAW786484 FKS786419:FKS786484 FUO786419:FUO786484 GEK786419:GEK786484 GOG786419:GOG786484 GYC786419:GYC786484 HHY786419:HHY786484 HRU786419:HRU786484 IBQ786419:IBQ786484 ILM786419:ILM786484 IVI786419:IVI786484 JFE786419:JFE786484 JPA786419:JPA786484 JYW786419:JYW786484 KIS786419:KIS786484 KSO786419:KSO786484 LCK786419:LCK786484 LMG786419:LMG786484 LWC786419:LWC786484 MFY786419:MFY786484 MPU786419:MPU786484 MZQ786419:MZQ786484 NJM786419:NJM786484 NTI786419:NTI786484 ODE786419:ODE786484 ONA786419:ONA786484 OWW786419:OWW786484 PGS786419:PGS786484 PQO786419:PQO786484 QAK786419:QAK786484 QKG786419:QKG786484 QUC786419:QUC786484 RDY786419:RDY786484 RNU786419:RNU786484 RXQ786419:RXQ786484 SHM786419:SHM786484 SRI786419:SRI786484 TBE786419:TBE786484 TLA786419:TLA786484 TUW786419:TUW786484 UES786419:UES786484 UOO786419:UOO786484 UYK786419:UYK786484 VIG786419:VIG786484 VSC786419:VSC786484 WBY786419:WBY786484 WLU786419:WLU786484 WVQ786419:WVQ786484 I851955:I852020 JE851955:JE852020 TA851955:TA852020 ACW851955:ACW852020 AMS851955:AMS852020 AWO851955:AWO852020 BGK851955:BGK852020 BQG851955:BQG852020 CAC851955:CAC852020 CJY851955:CJY852020 CTU851955:CTU852020 DDQ851955:DDQ852020 DNM851955:DNM852020 DXI851955:DXI852020 EHE851955:EHE852020 ERA851955:ERA852020 FAW851955:FAW852020 FKS851955:FKS852020 FUO851955:FUO852020 GEK851955:GEK852020 GOG851955:GOG852020 GYC851955:GYC852020 HHY851955:HHY852020 HRU851955:HRU852020 IBQ851955:IBQ852020 ILM851955:ILM852020 IVI851955:IVI852020 JFE851955:JFE852020 JPA851955:JPA852020 JYW851955:JYW852020 KIS851955:KIS852020 KSO851955:KSO852020 LCK851955:LCK852020 LMG851955:LMG852020 LWC851955:LWC852020 MFY851955:MFY852020 MPU851955:MPU852020 MZQ851955:MZQ852020 NJM851955:NJM852020 NTI851955:NTI852020 ODE851955:ODE852020 ONA851955:ONA852020 OWW851955:OWW852020 PGS851955:PGS852020 PQO851955:PQO852020 QAK851955:QAK852020 QKG851955:QKG852020 QUC851955:QUC852020 RDY851955:RDY852020 RNU851955:RNU852020 RXQ851955:RXQ852020 SHM851955:SHM852020 SRI851955:SRI852020 TBE851955:TBE852020 TLA851955:TLA852020 TUW851955:TUW852020 UES851955:UES852020 UOO851955:UOO852020 UYK851955:UYK852020 VIG851955:VIG852020 VSC851955:VSC852020 WBY851955:WBY852020 WLU851955:WLU852020 WVQ851955:WVQ852020 I917491:I917556 JE917491:JE917556 TA917491:TA917556 ACW917491:ACW917556 AMS917491:AMS917556 AWO917491:AWO917556 BGK917491:BGK917556 BQG917491:BQG917556 CAC917491:CAC917556 CJY917491:CJY917556 CTU917491:CTU917556 DDQ917491:DDQ917556 DNM917491:DNM917556 DXI917491:DXI917556 EHE917491:EHE917556 ERA917491:ERA917556 FAW917491:FAW917556 FKS917491:FKS917556 FUO917491:FUO917556 GEK917491:GEK917556 GOG917491:GOG917556 GYC917491:GYC917556 HHY917491:HHY917556 HRU917491:HRU917556 IBQ917491:IBQ917556 ILM917491:ILM917556 IVI917491:IVI917556 JFE917491:JFE917556 JPA917491:JPA917556 JYW917491:JYW917556 KIS917491:KIS917556 KSO917491:KSO917556 LCK917491:LCK917556 LMG917491:LMG917556 LWC917491:LWC917556 MFY917491:MFY917556 MPU917491:MPU917556 MZQ917491:MZQ917556 NJM917491:NJM917556 NTI917491:NTI917556 ODE917491:ODE917556 ONA917491:ONA917556 OWW917491:OWW917556 PGS917491:PGS917556 PQO917491:PQO917556 QAK917491:QAK917556 QKG917491:QKG917556 QUC917491:QUC917556 RDY917491:RDY917556 RNU917491:RNU917556 RXQ917491:RXQ917556 SHM917491:SHM917556 SRI917491:SRI917556 TBE917491:TBE917556 TLA917491:TLA917556 TUW917491:TUW917556 UES917491:UES917556 UOO917491:UOO917556 UYK917491:UYK917556 VIG917491:VIG917556 VSC917491:VSC917556 WBY917491:WBY917556 WLU917491:WLU917556 WVQ917491:WVQ917556 I983027:I983092 JE983027:JE983092 TA983027:TA983092 ACW983027:ACW983092 AMS983027:AMS983092 AWO983027:AWO983092 BGK983027:BGK983092 BQG983027:BQG983092 CAC983027:CAC983092 CJY983027:CJY983092 CTU983027:CTU983092 DDQ983027:DDQ983092 DNM983027:DNM983092 DXI983027:DXI983092 EHE983027:EHE983092 ERA983027:ERA983092 FAW983027:FAW983092 FKS983027:FKS983092 FUO983027:FUO983092 GEK983027:GEK983092 GOG983027:GOG983092 GYC983027:GYC983092 HHY983027:HHY983092 HRU983027:HRU983092 IBQ983027:IBQ983092 ILM983027:ILM983092 IVI983027:IVI983092 JFE983027:JFE983092 JPA983027:JPA983092 JYW983027:JYW983092 KIS983027:KIS983092 KSO983027:KSO983092 LCK983027:LCK983092 LMG983027:LMG983092 LWC983027:LWC983092 MFY983027:MFY983092 MPU983027:MPU983092 MZQ983027:MZQ983092 NJM983027:NJM983092 NTI983027:NTI983092 ODE983027:ODE983092 ONA983027:ONA983092 OWW983027:OWW983092 PGS983027:PGS983092 PQO983027:PQO983092 QAK983027:QAK983092 QKG983027:QKG983092 QUC983027:QUC983092 RDY983027:RDY983092 RNU983027:RNU983092 RXQ983027:RXQ983092 SHM983027:SHM983092 SRI983027:SRI983092 TBE983027:TBE983092 TLA983027:TLA983092 TUW983027:TUW983092 UES983027:UES983092 UOO983027:UOO983092 UYK983027:UYK983092 VIG983027:VIG983092 VSC983027:VSC983092 WBY983027:WBY983092 WLU983027:WLU983092 I2:I485 JE2:JE72 TA2:TA72 ACW2:ACW72 AMS2:AMS72 AWO2:AWO72 BGK2:BGK72 BQG2:BQG72 CAC2:CAC72 CJY2:CJY72 CTU2:CTU72 DDQ2:DDQ72 DNM2:DNM72 DXI2:DXI72 EHE2:EHE72 ERA2:ERA72 FAW2:FAW72 FKS2:FKS72 FUO2:FUO72 GEK2:GEK72 GOG2:GOG72 GYC2:GYC72 HHY2:HHY72 HRU2:HRU72 IBQ2:IBQ72 ILM2:ILM72 IVI2:IVI72 JFE2:JFE72 JPA2:JPA72 JYW2:JYW72 KIS2:KIS72 KSO2:KSO72 LCK2:LCK72 LMG2:LMG72 LWC2:LWC72 MFY2:MFY72 MPU2:MPU72 MZQ2:MZQ72 NJM2:NJM72 NTI2:NTI72 ODE2:ODE72 ONA2:ONA72 OWW2:OWW72 PGS2:PGS72 PQO2:PQO72 QAK2:QAK72 QKG2:QKG72 QUC2:QUC72 RDY2:RDY72 RNU2:RNU72 RXQ2:RXQ72 SHM2:SHM72 SRI2:SRI72 TBE2:TBE72 TLA2:TLA72 TUW2:TUW72 UES2:UES72 UOO2:UOO72 UYK2:UYK72 VIG2:VIG72 VSC2:VSC72 WBY2:WBY72 WLU2:WLU72 WVQ2:WVQ72" xr:uid="{B3285261-F77D-4CCD-8A4F-DFC5378FCD6F}">
      <formula1>$AN$5:$AN$6</formula1>
    </dataValidation>
    <dataValidation type="list" allowBlank="1" showInputMessage="1" showErrorMessage="1" sqref="J64348:J64413 JF64348:JF64413 TB64348:TB64413 ACX64348:ACX64413 AMT64348:AMT64413 AWP64348:AWP64413 BGL64348:BGL64413 BQH64348:BQH64413 CAD64348:CAD64413 CJZ64348:CJZ64413 CTV64348:CTV64413 DDR64348:DDR64413 DNN64348:DNN64413 DXJ64348:DXJ64413 EHF64348:EHF64413 ERB64348:ERB64413 FAX64348:FAX64413 FKT64348:FKT64413 FUP64348:FUP64413 GEL64348:GEL64413 GOH64348:GOH64413 GYD64348:GYD64413 HHZ64348:HHZ64413 HRV64348:HRV64413 IBR64348:IBR64413 ILN64348:ILN64413 IVJ64348:IVJ64413 JFF64348:JFF64413 JPB64348:JPB64413 JYX64348:JYX64413 KIT64348:KIT64413 KSP64348:KSP64413 LCL64348:LCL64413 LMH64348:LMH64413 LWD64348:LWD64413 MFZ64348:MFZ64413 MPV64348:MPV64413 MZR64348:MZR64413 NJN64348:NJN64413 NTJ64348:NTJ64413 ODF64348:ODF64413 ONB64348:ONB64413 OWX64348:OWX64413 PGT64348:PGT64413 PQP64348:PQP64413 QAL64348:QAL64413 QKH64348:QKH64413 QUD64348:QUD64413 RDZ64348:RDZ64413 RNV64348:RNV64413 RXR64348:RXR64413 SHN64348:SHN64413 SRJ64348:SRJ64413 TBF64348:TBF64413 TLB64348:TLB64413 TUX64348:TUX64413 UET64348:UET64413 UOP64348:UOP64413 UYL64348:UYL64413 VIH64348:VIH64413 VSD64348:VSD64413 WBZ64348:WBZ64413 WLV64348:WLV64413 WVR64348:WVR64413 J129884:J129949 JF129884:JF129949 TB129884:TB129949 ACX129884:ACX129949 AMT129884:AMT129949 AWP129884:AWP129949 BGL129884:BGL129949 BQH129884:BQH129949 CAD129884:CAD129949 CJZ129884:CJZ129949 CTV129884:CTV129949 DDR129884:DDR129949 DNN129884:DNN129949 DXJ129884:DXJ129949 EHF129884:EHF129949 ERB129884:ERB129949 FAX129884:FAX129949 FKT129884:FKT129949 FUP129884:FUP129949 GEL129884:GEL129949 GOH129884:GOH129949 GYD129884:GYD129949 HHZ129884:HHZ129949 HRV129884:HRV129949 IBR129884:IBR129949 ILN129884:ILN129949 IVJ129884:IVJ129949 JFF129884:JFF129949 JPB129884:JPB129949 JYX129884:JYX129949 KIT129884:KIT129949 KSP129884:KSP129949 LCL129884:LCL129949 LMH129884:LMH129949 LWD129884:LWD129949 MFZ129884:MFZ129949 MPV129884:MPV129949 MZR129884:MZR129949 NJN129884:NJN129949 NTJ129884:NTJ129949 ODF129884:ODF129949 ONB129884:ONB129949 OWX129884:OWX129949 PGT129884:PGT129949 PQP129884:PQP129949 QAL129884:QAL129949 QKH129884:QKH129949 QUD129884:QUD129949 RDZ129884:RDZ129949 RNV129884:RNV129949 RXR129884:RXR129949 SHN129884:SHN129949 SRJ129884:SRJ129949 TBF129884:TBF129949 TLB129884:TLB129949 TUX129884:TUX129949 UET129884:UET129949 UOP129884:UOP129949 UYL129884:UYL129949 VIH129884:VIH129949 VSD129884:VSD129949 WBZ129884:WBZ129949 WLV129884:WLV129949 WVR129884:WVR129949 J195420:J195485 JF195420:JF195485 TB195420:TB195485 ACX195420:ACX195485 AMT195420:AMT195485 AWP195420:AWP195485 BGL195420:BGL195485 BQH195420:BQH195485 CAD195420:CAD195485 CJZ195420:CJZ195485 CTV195420:CTV195485 DDR195420:DDR195485 DNN195420:DNN195485 DXJ195420:DXJ195485 EHF195420:EHF195485 ERB195420:ERB195485 FAX195420:FAX195485 FKT195420:FKT195485 FUP195420:FUP195485 GEL195420:GEL195485 GOH195420:GOH195485 GYD195420:GYD195485 HHZ195420:HHZ195485 HRV195420:HRV195485 IBR195420:IBR195485 ILN195420:ILN195485 IVJ195420:IVJ195485 JFF195420:JFF195485 JPB195420:JPB195485 JYX195420:JYX195485 KIT195420:KIT195485 KSP195420:KSP195485 LCL195420:LCL195485 LMH195420:LMH195485 LWD195420:LWD195485 MFZ195420:MFZ195485 MPV195420:MPV195485 MZR195420:MZR195485 NJN195420:NJN195485 NTJ195420:NTJ195485 ODF195420:ODF195485 ONB195420:ONB195485 OWX195420:OWX195485 PGT195420:PGT195485 PQP195420:PQP195485 QAL195420:QAL195485 QKH195420:QKH195485 QUD195420:QUD195485 RDZ195420:RDZ195485 RNV195420:RNV195485 RXR195420:RXR195485 SHN195420:SHN195485 SRJ195420:SRJ195485 TBF195420:TBF195485 TLB195420:TLB195485 TUX195420:TUX195485 UET195420:UET195485 UOP195420:UOP195485 UYL195420:UYL195485 VIH195420:VIH195485 VSD195420:VSD195485 WBZ195420:WBZ195485 WLV195420:WLV195485 WVR195420:WVR195485 J260956:J261021 JF260956:JF261021 TB260956:TB261021 ACX260956:ACX261021 AMT260956:AMT261021 AWP260956:AWP261021 BGL260956:BGL261021 BQH260956:BQH261021 CAD260956:CAD261021 CJZ260956:CJZ261021 CTV260956:CTV261021 DDR260956:DDR261021 DNN260956:DNN261021 DXJ260956:DXJ261021 EHF260956:EHF261021 ERB260956:ERB261021 FAX260956:FAX261021 FKT260956:FKT261021 FUP260956:FUP261021 GEL260956:GEL261021 GOH260956:GOH261021 GYD260956:GYD261021 HHZ260956:HHZ261021 HRV260956:HRV261021 IBR260956:IBR261021 ILN260956:ILN261021 IVJ260956:IVJ261021 JFF260956:JFF261021 JPB260956:JPB261021 JYX260956:JYX261021 KIT260956:KIT261021 KSP260956:KSP261021 LCL260956:LCL261021 LMH260956:LMH261021 LWD260956:LWD261021 MFZ260956:MFZ261021 MPV260956:MPV261021 MZR260956:MZR261021 NJN260956:NJN261021 NTJ260956:NTJ261021 ODF260956:ODF261021 ONB260956:ONB261021 OWX260956:OWX261021 PGT260956:PGT261021 PQP260956:PQP261021 QAL260956:QAL261021 QKH260956:QKH261021 QUD260956:QUD261021 RDZ260956:RDZ261021 RNV260956:RNV261021 RXR260956:RXR261021 SHN260956:SHN261021 SRJ260956:SRJ261021 TBF260956:TBF261021 TLB260956:TLB261021 TUX260956:TUX261021 UET260956:UET261021 UOP260956:UOP261021 UYL260956:UYL261021 VIH260956:VIH261021 VSD260956:VSD261021 WBZ260956:WBZ261021 WLV260956:WLV261021 WVR260956:WVR261021 J326492:J326557 JF326492:JF326557 TB326492:TB326557 ACX326492:ACX326557 AMT326492:AMT326557 AWP326492:AWP326557 BGL326492:BGL326557 BQH326492:BQH326557 CAD326492:CAD326557 CJZ326492:CJZ326557 CTV326492:CTV326557 DDR326492:DDR326557 DNN326492:DNN326557 DXJ326492:DXJ326557 EHF326492:EHF326557 ERB326492:ERB326557 FAX326492:FAX326557 FKT326492:FKT326557 FUP326492:FUP326557 GEL326492:GEL326557 GOH326492:GOH326557 GYD326492:GYD326557 HHZ326492:HHZ326557 HRV326492:HRV326557 IBR326492:IBR326557 ILN326492:ILN326557 IVJ326492:IVJ326557 JFF326492:JFF326557 JPB326492:JPB326557 JYX326492:JYX326557 KIT326492:KIT326557 KSP326492:KSP326557 LCL326492:LCL326557 LMH326492:LMH326557 LWD326492:LWD326557 MFZ326492:MFZ326557 MPV326492:MPV326557 MZR326492:MZR326557 NJN326492:NJN326557 NTJ326492:NTJ326557 ODF326492:ODF326557 ONB326492:ONB326557 OWX326492:OWX326557 PGT326492:PGT326557 PQP326492:PQP326557 QAL326492:QAL326557 QKH326492:QKH326557 QUD326492:QUD326557 RDZ326492:RDZ326557 RNV326492:RNV326557 RXR326492:RXR326557 SHN326492:SHN326557 SRJ326492:SRJ326557 TBF326492:TBF326557 TLB326492:TLB326557 TUX326492:TUX326557 UET326492:UET326557 UOP326492:UOP326557 UYL326492:UYL326557 VIH326492:VIH326557 VSD326492:VSD326557 WBZ326492:WBZ326557 WLV326492:WLV326557 WVR326492:WVR326557 J392028:J392093 JF392028:JF392093 TB392028:TB392093 ACX392028:ACX392093 AMT392028:AMT392093 AWP392028:AWP392093 BGL392028:BGL392093 BQH392028:BQH392093 CAD392028:CAD392093 CJZ392028:CJZ392093 CTV392028:CTV392093 DDR392028:DDR392093 DNN392028:DNN392093 DXJ392028:DXJ392093 EHF392028:EHF392093 ERB392028:ERB392093 FAX392028:FAX392093 FKT392028:FKT392093 FUP392028:FUP392093 GEL392028:GEL392093 GOH392028:GOH392093 GYD392028:GYD392093 HHZ392028:HHZ392093 HRV392028:HRV392093 IBR392028:IBR392093 ILN392028:ILN392093 IVJ392028:IVJ392093 JFF392028:JFF392093 JPB392028:JPB392093 JYX392028:JYX392093 KIT392028:KIT392093 KSP392028:KSP392093 LCL392028:LCL392093 LMH392028:LMH392093 LWD392028:LWD392093 MFZ392028:MFZ392093 MPV392028:MPV392093 MZR392028:MZR392093 NJN392028:NJN392093 NTJ392028:NTJ392093 ODF392028:ODF392093 ONB392028:ONB392093 OWX392028:OWX392093 PGT392028:PGT392093 PQP392028:PQP392093 QAL392028:QAL392093 QKH392028:QKH392093 QUD392028:QUD392093 RDZ392028:RDZ392093 RNV392028:RNV392093 RXR392028:RXR392093 SHN392028:SHN392093 SRJ392028:SRJ392093 TBF392028:TBF392093 TLB392028:TLB392093 TUX392028:TUX392093 UET392028:UET392093 UOP392028:UOP392093 UYL392028:UYL392093 VIH392028:VIH392093 VSD392028:VSD392093 WBZ392028:WBZ392093 WLV392028:WLV392093 WVR392028:WVR392093 J457564:J457629 JF457564:JF457629 TB457564:TB457629 ACX457564:ACX457629 AMT457564:AMT457629 AWP457564:AWP457629 BGL457564:BGL457629 BQH457564:BQH457629 CAD457564:CAD457629 CJZ457564:CJZ457629 CTV457564:CTV457629 DDR457564:DDR457629 DNN457564:DNN457629 DXJ457564:DXJ457629 EHF457564:EHF457629 ERB457564:ERB457629 FAX457564:FAX457629 FKT457564:FKT457629 FUP457564:FUP457629 GEL457564:GEL457629 GOH457564:GOH457629 GYD457564:GYD457629 HHZ457564:HHZ457629 HRV457564:HRV457629 IBR457564:IBR457629 ILN457564:ILN457629 IVJ457564:IVJ457629 JFF457564:JFF457629 JPB457564:JPB457629 JYX457564:JYX457629 KIT457564:KIT457629 KSP457564:KSP457629 LCL457564:LCL457629 LMH457564:LMH457629 LWD457564:LWD457629 MFZ457564:MFZ457629 MPV457564:MPV457629 MZR457564:MZR457629 NJN457564:NJN457629 NTJ457564:NTJ457629 ODF457564:ODF457629 ONB457564:ONB457629 OWX457564:OWX457629 PGT457564:PGT457629 PQP457564:PQP457629 QAL457564:QAL457629 QKH457564:QKH457629 QUD457564:QUD457629 RDZ457564:RDZ457629 RNV457564:RNV457629 RXR457564:RXR457629 SHN457564:SHN457629 SRJ457564:SRJ457629 TBF457564:TBF457629 TLB457564:TLB457629 TUX457564:TUX457629 UET457564:UET457629 UOP457564:UOP457629 UYL457564:UYL457629 VIH457564:VIH457629 VSD457564:VSD457629 WBZ457564:WBZ457629 WLV457564:WLV457629 WVR457564:WVR457629 J523100:J523165 JF523100:JF523165 TB523100:TB523165 ACX523100:ACX523165 AMT523100:AMT523165 AWP523100:AWP523165 BGL523100:BGL523165 BQH523100:BQH523165 CAD523100:CAD523165 CJZ523100:CJZ523165 CTV523100:CTV523165 DDR523100:DDR523165 DNN523100:DNN523165 DXJ523100:DXJ523165 EHF523100:EHF523165 ERB523100:ERB523165 FAX523100:FAX523165 FKT523100:FKT523165 FUP523100:FUP523165 GEL523100:GEL523165 GOH523100:GOH523165 GYD523100:GYD523165 HHZ523100:HHZ523165 HRV523100:HRV523165 IBR523100:IBR523165 ILN523100:ILN523165 IVJ523100:IVJ523165 JFF523100:JFF523165 JPB523100:JPB523165 JYX523100:JYX523165 KIT523100:KIT523165 KSP523100:KSP523165 LCL523100:LCL523165 LMH523100:LMH523165 LWD523100:LWD523165 MFZ523100:MFZ523165 MPV523100:MPV523165 MZR523100:MZR523165 NJN523100:NJN523165 NTJ523100:NTJ523165 ODF523100:ODF523165 ONB523100:ONB523165 OWX523100:OWX523165 PGT523100:PGT523165 PQP523100:PQP523165 QAL523100:QAL523165 QKH523100:QKH523165 QUD523100:QUD523165 RDZ523100:RDZ523165 RNV523100:RNV523165 RXR523100:RXR523165 SHN523100:SHN523165 SRJ523100:SRJ523165 TBF523100:TBF523165 TLB523100:TLB523165 TUX523100:TUX523165 UET523100:UET523165 UOP523100:UOP523165 UYL523100:UYL523165 VIH523100:VIH523165 VSD523100:VSD523165 WBZ523100:WBZ523165 WLV523100:WLV523165 WVR523100:WVR523165 J588636:J588701 JF588636:JF588701 TB588636:TB588701 ACX588636:ACX588701 AMT588636:AMT588701 AWP588636:AWP588701 BGL588636:BGL588701 BQH588636:BQH588701 CAD588636:CAD588701 CJZ588636:CJZ588701 CTV588636:CTV588701 DDR588636:DDR588701 DNN588636:DNN588701 DXJ588636:DXJ588701 EHF588636:EHF588701 ERB588636:ERB588701 FAX588636:FAX588701 FKT588636:FKT588701 FUP588636:FUP588701 GEL588636:GEL588701 GOH588636:GOH588701 GYD588636:GYD588701 HHZ588636:HHZ588701 HRV588636:HRV588701 IBR588636:IBR588701 ILN588636:ILN588701 IVJ588636:IVJ588701 JFF588636:JFF588701 JPB588636:JPB588701 JYX588636:JYX588701 KIT588636:KIT588701 KSP588636:KSP588701 LCL588636:LCL588701 LMH588636:LMH588701 LWD588636:LWD588701 MFZ588636:MFZ588701 MPV588636:MPV588701 MZR588636:MZR588701 NJN588636:NJN588701 NTJ588636:NTJ588701 ODF588636:ODF588701 ONB588636:ONB588701 OWX588636:OWX588701 PGT588636:PGT588701 PQP588636:PQP588701 QAL588636:QAL588701 QKH588636:QKH588701 QUD588636:QUD588701 RDZ588636:RDZ588701 RNV588636:RNV588701 RXR588636:RXR588701 SHN588636:SHN588701 SRJ588636:SRJ588701 TBF588636:TBF588701 TLB588636:TLB588701 TUX588636:TUX588701 UET588636:UET588701 UOP588636:UOP588701 UYL588636:UYL588701 VIH588636:VIH588701 VSD588636:VSD588701 WBZ588636:WBZ588701 WLV588636:WLV588701 WVR588636:WVR588701 J654172:J654237 JF654172:JF654237 TB654172:TB654237 ACX654172:ACX654237 AMT654172:AMT654237 AWP654172:AWP654237 BGL654172:BGL654237 BQH654172:BQH654237 CAD654172:CAD654237 CJZ654172:CJZ654237 CTV654172:CTV654237 DDR654172:DDR654237 DNN654172:DNN654237 DXJ654172:DXJ654237 EHF654172:EHF654237 ERB654172:ERB654237 FAX654172:FAX654237 FKT654172:FKT654237 FUP654172:FUP654237 GEL654172:GEL654237 GOH654172:GOH654237 GYD654172:GYD654237 HHZ654172:HHZ654237 HRV654172:HRV654237 IBR654172:IBR654237 ILN654172:ILN654237 IVJ654172:IVJ654237 JFF654172:JFF654237 JPB654172:JPB654237 JYX654172:JYX654237 KIT654172:KIT654237 KSP654172:KSP654237 LCL654172:LCL654237 LMH654172:LMH654237 LWD654172:LWD654237 MFZ654172:MFZ654237 MPV654172:MPV654237 MZR654172:MZR654237 NJN654172:NJN654237 NTJ654172:NTJ654237 ODF654172:ODF654237 ONB654172:ONB654237 OWX654172:OWX654237 PGT654172:PGT654237 PQP654172:PQP654237 QAL654172:QAL654237 QKH654172:QKH654237 QUD654172:QUD654237 RDZ654172:RDZ654237 RNV654172:RNV654237 RXR654172:RXR654237 SHN654172:SHN654237 SRJ654172:SRJ654237 TBF654172:TBF654237 TLB654172:TLB654237 TUX654172:TUX654237 UET654172:UET654237 UOP654172:UOP654237 UYL654172:UYL654237 VIH654172:VIH654237 VSD654172:VSD654237 WBZ654172:WBZ654237 WLV654172:WLV654237 WVR654172:WVR654237 J719708:J719773 JF719708:JF719773 TB719708:TB719773 ACX719708:ACX719773 AMT719708:AMT719773 AWP719708:AWP719773 BGL719708:BGL719773 BQH719708:BQH719773 CAD719708:CAD719773 CJZ719708:CJZ719773 CTV719708:CTV719773 DDR719708:DDR719773 DNN719708:DNN719773 DXJ719708:DXJ719773 EHF719708:EHF719773 ERB719708:ERB719773 FAX719708:FAX719773 FKT719708:FKT719773 FUP719708:FUP719773 GEL719708:GEL719773 GOH719708:GOH719773 GYD719708:GYD719773 HHZ719708:HHZ719773 HRV719708:HRV719773 IBR719708:IBR719773 ILN719708:ILN719773 IVJ719708:IVJ719773 JFF719708:JFF719773 JPB719708:JPB719773 JYX719708:JYX719773 KIT719708:KIT719773 KSP719708:KSP719773 LCL719708:LCL719773 LMH719708:LMH719773 LWD719708:LWD719773 MFZ719708:MFZ719773 MPV719708:MPV719773 MZR719708:MZR719773 NJN719708:NJN719773 NTJ719708:NTJ719773 ODF719708:ODF719773 ONB719708:ONB719773 OWX719708:OWX719773 PGT719708:PGT719773 PQP719708:PQP719773 QAL719708:QAL719773 QKH719708:QKH719773 QUD719708:QUD719773 RDZ719708:RDZ719773 RNV719708:RNV719773 RXR719708:RXR719773 SHN719708:SHN719773 SRJ719708:SRJ719773 TBF719708:TBF719773 TLB719708:TLB719773 TUX719708:TUX719773 UET719708:UET719773 UOP719708:UOP719773 UYL719708:UYL719773 VIH719708:VIH719773 VSD719708:VSD719773 WBZ719708:WBZ719773 WLV719708:WLV719773 WVR719708:WVR719773 J785244:J785309 JF785244:JF785309 TB785244:TB785309 ACX785244:ACX785309 AMT785244:AMT785309 AWP785244:AWP785309 BGL785244:BGL785309 BQH785244:BQH785309 CAD785244:CAD785309 CJZ785244:CJZ785309 CTV785244:CTV785309 DDR785244:DDR785309 DNN785244:DNN785309 DXJ785244:DXJ785309 EHF785244:EHF785309 ERB785244:ERB785309 FAX785244:FAX785309 FKT785244:FKT785309 FUP785244:FUP785309 GEL785244:GEL785309 GOH785244:GOH785309 GYD785244:GYD785309 HHZ785244:HHZ785309 HRV785244:HRV785309 IBR785244:IBR785309 ILN785244:ILN785309 IVJ785244:IVJ785309 JFF785244:JFF785309 JPB785244:JPB785309 JYX785244:JYX785309 KIT785244:KIT785309 KSP785244:KSP785309 LCL785244:LCL785309 LMH785244:LMH785309 LWD785244:LWD785309 MFZ785244:MFZ785309 MPV785244:MPV785309 MZR785244:MZR785309 NJN785244:NJN785309 NTJ785244:NTJ785309 ODF785244:ODF785309 ONB785244:ONB785309 OWX785244:OWX785309 PGT785244:PGT785309 PQP785244:PQP785309 QAL785244:QAL785309 QKH785244:QKH785309 QUD785244:QUD785309 RDZ785244:RDZ785309 RNV785244:RNV785309 RXR785244:RXR785309 SHN785244:SHN785309 SRJ785244:SRJ785309 TBF785244:TBF785309 TLB785244:TLB785309 TUX785244:TUX785309 UET785244:UET785309 UOP785244:UOP785309 UYL785244:UYL785309 VIH785244:VIH785309 VSD785244:VSD785309 WBZ785244:WBZ785309 WLV785244:WLV785309 WVR785244:WVR785309 J850780:J850845 JF850780:JF850845 TB850780:TB850845 ACX850780:ACX850845 AMT850780:AMT850845 AWP850780:AWP850845 BGL850780:BGL850845 BQH850780:BQH850845 CAD850780:CAD850845 CJZ850780:CJZ850845 CTV850780:CTV850845 DDR850780:DDR850845 DNN850780:DNN850845 DXJ850780:DXJ850845 EHF850780:EHF850845 ERB850780:ERB850845 FAX850780:FAX850845 FKT850780:FKT850845 FUP850780:FUP850845 GEL850780:GEL850845 GOH850780:GOH850845 GYD850780:GYD850845 HHZ850780:HHZ850845 HRV850780:HRV850845 IBR850780:IBR850845 ILN850780:ILN850845 IVJ850780:IVJ850845 JFF850780:JFF850845 JPB850780:JPB850845 JYX850780:JYX850845 KIT850780:KIT850845 KSP850780:KSP850845 LCL850780:LCL850845 LMH850780:LMH850845 LWD850780:LWD850845 MFZ850780:MFZ850845 MPV850780:MPV850845 MZR850780:MZR850845 NJN850780:NJN850845 NTJ850780:NTJ850845 ODF850780:ODF850845 ONB850780:ONB850845 OWX850780:OWX850845 PGT850780:PGT850845 PQP850780:PQP850845 QAL850780:QAL850845 QKH850780:QKH850845 QUD850780:QUD850845 RDZ850780:RDZ850845 RNV850780:RNV850845 RXR850780:RXR850845 SHN850780:SHN850845 SRJ850780:SRJ850845 TBF850780:TBF850845 TLB850780:TLB850845 TUX850780:TUX850845 UET850780:UET850845 UOP850780:UOP850845 UYL850780:UYL850845 VIH850780:VIH850845 VSD850780:VSD850845 WBZ850780:WBZ850845 WLV850780:WLV850845 WVR850780:WVR850845 J916316:J916381 JF916316:JF916381 TB916316:TB916381 ACX916316:ACX916381 AMT916316:AMT916381 AWP916316:AWP916381 BGL916316:BGL916381 BQH916316:BQH916381 CAD916316:CAD916381 CJZ916316:CJZ916381 CTV916316:CTV916381 DDR916316:DDR916381 DNN916316:DNN916381 DXJ916316:DXJ916381 EHF916316:EHF916381 ERB916316:ERB916381 FAX916316:FAX916381 FKT916316:FKT916381 FUP916316:FUP916381 GEL916316:GEL916381 GOH916316:GOH916381 GYD916316:GYD916381 HHZ916316:HHZ916381 HRV916316:HRV916381 IBR916316:IBR916381 ILN916316:ILN916381 IVJ916316:IVJ916381 JFF916316:JFF916381 JPB916316:JPB916381 JYX916316:JYX916381 KIT916316:KIT916381 KSP916316:KSP916381 LCL916316:LCL916381 LMH916316:LMH916381 LWD916316:LWD916381 MFZ916316:MFZ916381 MPV916316:MPV916381 MZR916316:MZR916381 NJN916316:NJN916381 NTJ916316:NTJ916381 ODF916316:ODF916381 ONB916316:ONB916381 OWX916316:OWX916381 PGT916316:PGT916381 PQP916316:PQP916381 QAL916316:QAL916381 QKH916316:QKH916381 QUD916316:QUD916381 RDZ916316:RDZ916381 RNV916316:RNV916381 RXR916316:RXR916381 SHN916316:SHN916381 SRJ916316:SRJ916381 TBF916316:TBF916381 TLB916316:TLB916381 TUX916316:TUX916381 UET916316:UET916381 UOP916316:UOP916381 UYL916316:UYL916381 VIH916316:VIH916381 VSD916316:VSD916381 WBZ916316:WBZ916381 WLV916316:WLV916381 WVR916316:WVR916381 J981852:J981917 JF981852:JF981917 TB981852:TB981917 ACX981852:ACX981917 AMT981852:AMT981917 AWP981852:AWP981917 BGL981852:BGL981917 BQH981852:BQH981917 CAD981852:CAD981917 CJZ981852:CJZ981917 CTV981852:CTV981917 DDR981852:DDR981917 DNN981852:DNN981917 DXJ981852:DXJ981917 EHF981852:EHF981917 ERB981852:ERB981917 FAX981852:FAX981917 FKT981852:FKT981917 FUP981852:FUP981917 GEL981852:GEL981917 GOH981852:GOH981917 GYD981852:GYD981917 HHZ981852:HHZ981917 HRV981852:HRV981917 IBR981852:IBR981917 ILN981852:ILN981917 IVJ981852:IVJ981917 JFF981852:JFF981917 JPB981852:JPB981917 JYX981852:JYX981917 KIT981852:KIT981917 KSP981852:KSP981917 LCL981852:LCL981917 LMH981852:LMH981917 LWD981852:LWD981917 MFZ981852:MFZ981917 MPV981852:MPV981917 MZR981852:MZR981917 NJN981852:NJN981917 NTJ981852:NTJ981917 ODF981852:ODF981917 ONB981852:ONB981917 OWX981852:OWX981917 PGT981852:PGT981917 PQP981852:PQP981917 QAL981852:QAL981917 QKH981852:QKH981917 QUD981852:QUD981917 RDZ981852:RDZ981917 RNV981852:RNV981917 RXR981852:RXR981917 SHN981852:SHN981917 SRJ981852:SRJ981917 TBF981852:TBF981917 TLB981852:TLB981917 TUX981852:TUX981917 UET981852:UET981917 UOP981852:UOP981917 UYL981852:UYL981917 VIH981852:VIH981917 VSD981852:VSD981917 WBZ981852:WBZ981917 WLV981852:WLV981917 WVR981852:WVR981917 J1047388:J1047453 JF1047388:JF1047453 TB1047388:TB1047453 ACX1047388:ACX1047453 AMT1047388:AMT1047453 AWP1047388:AWP1047453 BGL1047388:BGL1047453 BQH1047388:BQH1047453 CAD1047388:CAD1047453 CJZ1047388:CJZ1047453 CTV1047388:CTV1047453 DDR1047388:DDR1047453 DNN1047388:DNN1047453 DXJ1047388:DXJ1047453 EHF1047388:EHF1047453 ERB1047388:ERB1047453 FAX1047388:FAX1047453 FKT1047388:FKT1047453 FUP1047388:FUP1047453 GEL1047388:GEL1047453 GOH1047388:GOH1047453 GYD1047388:GYD1047453 HHZ1047388:HHZ1047453 HRV1047388:HRV1047453 IBR1047388:IBR1047453 ILN1047388:ILN1047453 IVJ1047388:IVJ1047453 JFF1047388:JFF1047453 JPB1047388:JPB1047453 JYX1047388:JYX1047453 KIT1047388:KIT1047453 KSP1047388:KSP1047453 LCL1047388:LCL1047453 LMH1047388:LMH1047453 LWD1047388:LWD1047453 MFZ1047388:MFZ1047453 MPV1047388:MPV1047453 MZR1047388:MZR1047453 NJN1047388:NJN1047453 NTJ1047388:NTJ1047453 ODF1047388:ODF1047453 ONB1047388:ONB1047453 OWX1047388:OWX1047453 PGT1047388:PGT1047453 PQP1047388:PQP1047453 QAL1047388:QAL1047453 QKH1047388:QKH1047453 QUD1047388:QUD1047453 RDZ1047388:RDZ1047453 RNV1047388:RNV1047453 RXR1047388:RXR1047453 SHN1047388:SHN1047453 SRJ1047388:SRJ1047453 TBF1047388:TBF1047453 TLB1047388:TLB1047453 TUX1047388:TUX1047453 UET1047388:UET1047453 UOP1047388:UOP1047453 UYL1047388:UYL1047453 VIH1047388:VIH1047453 VSD1047388:VSD1047453 WBZ1047388:WBZ1047453 WLV1047388:WLV1047453 WVR1047388:WVR1047453" xr:uid="{D5BA7A64-31B7-46DE-A66C-5C74B9D04BC9}">
      <formula1>$AP$2:$AP$15</formula1>
    </dataValidation>
    <dataValidation type="list" allowBlank="1" showInputMessage="1" showErrorMessage="1" sqref="K64348:K64413 JG64348:JG64413 TC64348:TC64413 ACY64348:ACY64413 AMU64348:AMU64413 AWQ64348:AWQ64413 BGM64348:BGM64413 BQI64348:BQI64413 CAE64348:CAE64413 CKA64348:CKA64413 CTW64348:CTW64413 DDS64348:DDS64413 DNO64348:DNO64413 DXK64348:DXK64413 EHG64348:EHG64413 ERC64348:ERC64413 FAY64348:FAY64413 FKU64348:FKU64413 FUQ64348:FUQ64413 GEM64348:GEM64413 GOI64348:GOI64413 GYE64348:GYE64413 HIA64348:HIA64413 HRW64348:HRW64413 IBS64348:IBS64413 ILO64348:ILO64413 IVK64348:IVK64413 JFG64348:JFG64413 JPC64348:JPC64413 JYY64348:JYY64413 KIU64348:KIU64413 KSQ64348:KSQ64413 LCM64348:LCM64413 LMI64348:LMI64413 LWE64348:LWE64413 MGA64348:MGA64413 MPW64348:MPW64413 MZS64348:MZS64413 NJO64348:NJO64413 NTK64348:NTK64413 ODG64348:ODG64413 ONC64348:ONC64413 OWY64348:OWY64413 PGU64348:PGU64413 PQQ64348:PQQ64413 QAM64348:QAM64413 QKI64348:QKI64413 QUE64348:QUE64413 REA64348:REA64413 RNW64348:RNW64413 RXS64348:RXS64413 SHO64348:SHO64413 SRK64348:SRK64413 TBG64348:TBG64413 TLC64348:TLC64413 TUY64348:TUY64413 UEU64348:UEU64413 UOQ64348:UOQ64413 UYM64348:UYM64413 VII64348:VII64413 VSE64348:VSE64413 WCA64348:WCA64413 WLW64348:WLW64413 WVS64348:WVS64413 K129884:K129949 JG129884:JG129949 TC129884:TC129949 ACY129884:ACY129949 AMU129884:AMU129949 AWQ129884:AWQ129949 BGM129884:BGM129949 BQI129884:BQI129949 CAE129884:CAE129949 CKA129884:CKA129949 CTW129884:CTW129949 DDS129884:DDS129949 DNO129884:DNO129949 DXK129884:DXK129949 EHG129884:EHG129949 ERC129884:ERC129949 FAY129884:FAY129949 FKU129884:FKU129949 FUQ129884:FUQ129949 GEM129884:GEM129949 GOI129884:GOI129949 GYE129884:GYE129949 HIA129884:HIA129949 HRW129884:HRW129949 IBS129884:IBS129949 ILO129884:ILO129949 IVK129884:IVK129949 JFG129884:JFG129949 JPC129884:JPC129949 JYY129884:JYY129949 KIU129884:KIU129949 KSQ129884:KSQ129949 LCM129884:LCM129949 LMI129884:LMI129949 LWE129884:LWE129949 MGA129884:MGA129949 MPW129884:MPW129949 MZS129884:MZS129949 NJO129884:NJO129949 NTK129884:NTK129949 ODG129884:ODG129949 ONC129884:ONC129949 OWY129884:OWY129949 PGU129884:PGU129949 PQQ129884:PQQ129949 QAM129884:QAM129949 QKI129884:QKI129949 QUE129884:QUE129949 REA129884:REA129949 RNW129884:RNW129949 RXS129884:RXS129949 SHO129884:SHO129949 SRK129884:SRK129949 TBG129884:TBG129949 TLC129884:TLC129949 TUY129884:TUY129949 UEU129884:UEU129949 UOQ129884:UOQ129949 UYM129884:UYM129949 VII129884:VII129949 VSE129884:VSE129949 WCA129884:WCA129949 WLW129884:WLW129949 WVS129884:WVS129949 K195420:K195485 JG195420:JG195485 TC195420:TC195485 ACY195420:ACY195485 AMU195420:AMU195485 AWQ195420:AWQ195485 BGM195420:BGM195485 BQI195420:BQI195485 CAE195420:CAE195485 CKA195420:CKA195485 CTW195420:CTW195485 DDS195420:DDS195485 DNO195420:DNO195485 DXK195420:DXK195485 EHG195420:EHG195485 ERC195420:ERC195485 FAY195420:FAY195485 FKU195420:FKU195485 FUQ195420:FUQ195485 GEM195420:GEM195485 GOI195420:GOI195485 GYE195420:GYE195485 HIA195420:HIA195485 HRW195420:HRW195485 IBS195420:IBS195485 ILO195420:ILO195485 IVK195420:IVK195485 JFG195420:JFG195485 JPC195420:JPC195485 JYY195420:JYY195485 KIU195420:KIU195485 KSQ195420:KSQ195485 LCM195420:LCM195485 LMI195420:LMI195485 LWE195420:LWE195485 MGA195420:MGA195485 MPW195420:MPW195485 MZS195420:MZS195485 NJO195420:NJO195485 NTK195420:NTK195485 ODG195420:ODG195485 ONC195420:ONC195485 OWY195420:OWY195485 PGU195420:PGU195485 PQQ195420:PQQ195485 QAM195420:QAM195485 QKI195420:QKI195485 QUE195420:QUE195485 REA195420:REA195485 RNW195420:RNW195485 RXS195420:RXS195485 SHO195420:SHO195485 SRK195420:SRK195485 TBG195420:TBG195485 TLC195420:TLC195485 TUY195420:TUY195485 UEU195420:UEU195485 UOQ195420:UOQ195485 UYM195420:UYM195485 VII195420:VII195485 VSE195420:VSE195485 WCA195420:WCA195485 WLW195420:WLW195485 WVS195420:WVS195485 K260956:K261021 JG260956:JG261021 TC260956:TC261021 ACY260956:ACY261021 AMU260956:AMU261021 AWQ260956:AWQ261021 BGM260956:BGM261021 BQI260956:BQI261021 CAE260956:CAE261021 CKA260956:CKA261021 CTW260956:CTW261021 DDS260956:DDS261021 DNO260956:DNO261021 DXK260956:DXK261021 EHG260956:EHG261021 ERC260956:ERC261021 FAY260956:FAY261021 FKU260956:FKU261021 FUQ260956:FUQ261021 GEM260956:GEM261021 GOI260956:GOI261021 GYE260956:GYE261021 HIA260956:HIA261021 HRW260956:HRW261021 IBS260956:IBS261021 ILO260956:ILO261021 IVK260956:IVK261021 JFG260956:JFG261021 JPC260956:JPC261021 JYY260956:JYY261021 KIU260956:KIU261021 KSQ260956:KSQ261021 LCM260956:LCM261021 LMI260956:LMI261021 LWE260956:LWE261021 MGA260956:MGA261021 MPW260956:MPW261021 MZS260956:MZS261021 NJO260956:NJO261021 NTK260956:NTK261021 ODG260956:ODG261021 ONC260956:ONC261021 OWY260956:OWY261021 PGU260956:PGU261021 PQQ260956:PQQ261021 QAM260956:QAM261021 QKI260956:QKI261021 QUE260956:QUE261021 REA260956:REA261021 RNW260956:RNW261021 RXS260956:RXS261021 SHO260956:SHO261021 SRK260956:SRK261021 TBG260956:TBG261021 TLC260956:TLC261021 TUY260956:TUY261021 UEU260956:UEU261021 UOQ260956:UOQ261021 UYM260956:UYM261021 VII260956:VII261021 VSE260956:VSE261021 WCA260956:WCA261021 WLW260956:WLW261021 WVS260956:WVS261021 K326492:K326557 JG326492:JG326557 TC326492:TC326557 ACY326492:ACY326557 AMU326492:AMU326557 AWQ326492:AWQ326557 BGM326492:BGM326557 BQI326492:BQI326557 CAE326492:CAE326557 CKA326492:CKA326557 CTW326492:CTW326557 DDS326492:DDS326557 DNO326492:DNO326557 DXK326492:DXK326557 EHG326492:EHG326557 ERC326492:ERC326557 FAY326492:FAY326557 FKU326492:FKU326557 FUQ326492:FUQ326557 GEM326492:GEM326557 GOI326492:GOI326557 GYE326492:GYE326557 HIA326492:HIA326557 HRW326492:HRW326557 IBS326492:IBS326557 ILO326492:ILO326557 IVK326492:IVK326557 JFG326492:JFG326557 JPC326492:JPC326557 JYY326492:JYY326557 KIU326492:KIU326557 KSQ326492:KSQ326557 LCM326492:LCM326557 LMI326492:LMI326557 LWE326492:LWE326557 MGA326492:MGA326557 MPW326492:MPW326557 MZS326492:MZS326557 NJO326492:NJO326557 NTK326492:NTK326557 ODG326492:ODG326557 ONC326492:ONC326557 OWY326492:OWY326557 PGU326492:PGU326557 PQQ326492:PQQ326557 QAM326492:QAM326557 QKI326492:QKI326557 QUE326492:QUE326557 REA326492:REA326557 RNW326492:RNW326557 RXS326492:RXS326557 SHO326492:SHO326557 SRK326492:SRK326557 TBG326492:TBG326557 TLC326492:TLC326557 TUY326492:TUY326557 UEU326492:UEU326557 UOQ326492:UOQ326557 UYM326492:UYM326557 VII326492:VII326557 VSE326492:VSE326557 WCA326492:WCA326557 WLW326492:WLW326557 WVS326492:WVS326557 K392028:K392093 JG392028:JG392093 TC392028:TC392093 ACY392028:ACY392093 AMU392028:AMU392093 AWQ392028:AWQ392093 BGM392028:BGM392093 BQI392028:BQI392093 CAE392028:CAE392093 CKA392028:CKA392093 CTW392028:CTW392093 DDS392028:DDS392093 DNO392028:DNO392093 DXK392028:DXK392093 EHG392028:EHG392093 ERC392028:ERC392093 FAY392028:FAY392093 FKU392028:FKU392093 FUQ392028:FUQ392093 GEM392028:GEM392093 GOI392028:GOI392093 GYE392028:GYE392093 HIA392028:HIA392093 HRW392028:HRW392093 IBS392028:IBS392093 ILO392028:ILO392093 IVK392028:IVK392093 JFG392028:JFG392093 JPC392028:JPC392093 JYY392028:JYY392093 KIU392028:KIU392093 KSQ392028:KSQ392093 LCM392028:LCM392093 LMI392028:LMI392093 LWE392028:LWE392093 MGA392028:MGA392093 MPW392028:MPW392093 MZS392028:MZS392093 NJO392028:NJO392093 NTK392028:NTK392093 ODG392028:ODG392093 ONC392028:ONC392093 OWY392028:OWY392093 PGU392028:PGU392093 PQQ392028:PQQ392093 QAM392028:QAM392093 QKI392028:QKI392093 QUE392028:QUE392093 REA392028:REA392093 RNW392028:RNW392093 RXS392028:RXS392093 SHO392028:SHO392093 SRK392028:SRK392093 TBG392028:TBG392093 TLC392028:TLC392093 TUY392028:TUY392093 UEU392028:UEU392093 UOQ392028:UOQ392093 UYM392028:UYM392093 VII392028:VII392093 VSE392028:VSE392093 WCA392028:WCA392093 WLW392028:WLW392093 WVS392028:WVS392093 K457564:K457629 JG457564:JG457629 TC457564:TC457629 ACY457564:ACY457629 AMU457564:AMU457629 AWQ457564:AWQ457629 BGM457564:BGM457629 BQI457564:BQI457629 CAE457564:CAE457629 CKA457564:CKA457629 CTW457564:CTW457629 DDS457564:DDS457629 DNO457564:DNO457629 DXK457564:DXK457629 EHG457564:EHG457629 ERC457564:ERC457629 FAY457564:FAY457629 FKU457564:FKU457629 FUQ457564:FUQ457629 GEM457564:GEM457629 GOI457564:GOI457629 GYE457564:GYE457629 HIA457564:HIA457629 HRW457564:HRW457629 IBS457564:IBS457629 ILO457564:ILO457629 IVK457564:IVK457629 JFG457564:JFG457629 JPC457564:JPC457629 JYY457564:JYY457629 KIU457564:KIU457629 KSQ457564:KSQ457629 LCM457564:LCM457629 LMI457564:LMI457629 LWE457564:LWE457629 MGA457564:MGA457629 MPW457564:MPW457629 MZS457564:MZS457629 NJO457564:NJO457629 NTK457564:NTK457629 ODG457564:ODG457629 ONC457564:ONC457629 OWY457564:OWY457629 PGU457564:PGU457629 PQQ457564:PQQ457629 QAM457564:QAM457629 QKI457564:QKI457629 QUE457564:QUE457629 REA457564:REA457629 RNW457564:RNW457629 RXS457564:RXS457629 SHO457564:SHO457629 SRK457564:SRK457629 TBG457564:TBG457629 TLC457564:TLC457629 TUY457564:TUY457629 UEU457564:UEU457629 UOQ457564:UOQ457629 UYM457564:UYM457629 VII457564:VII457629 VSE457564:VSE457629 WCA457564:WCA457629 WLW457564:WLW457629 WVS457564:WVS457629 K523100:K523165 JG523100:JG523165 TC523100:TC523165 ACY523100:ACY523165 AMU523100:AMU523165 AWQ523100:AWQ523165 BGM523100:BGM523165 BQI523100:BQI523165 CAE523100:CAE523165 CKA523100:CKA523165 CTW523100:CTW523165 DDS523100:DDS523165 DNO523100:DNO523165 DXK523100:DXK523165 EHG523100:EHG523165 ERC523100:ERC523165 FAY523100:FAY523165 FKU523100:FKU523165 FUQ523100:FUQ523165 GEM523100:GEM523165 GOI523100:GOI523165 GYE523100:GYE523165 HIA523100:HIA523165 HRW523100:HRW523165 IBS523100:IBS523165 ILO523100:ILO523165 IVK523100:IVK523165 JFG523100:JFG523165 JPC523100:JPC523165 JYY523100:JYY523165 KIU523100:KIU523165 KSQ523100:KSQ523165 LCM523100:LCM523165 LMI523100:LMI523165 LWE523100:LWE523165 MGA523100:MGA523165 MPW523100:MPW523165 MZS523100:MZS523165 NJO523100:NJO523165 NTK523100:NTK523165 ODG523100:ODG523165 ONC523100:ONC523165 OWY523100:OWY523165 PGU523100:PGU523165 PQQ523100:PQQ523165 QAM523100:QAM523165 QKI523100:QKI523165 QUE523100:QUE523165 REA523100:REA523165 RNW523100:RNW523165 RXS523100:RXS523165 SHO523100:SHO523165 SRK523100:SRK523165 TBG523100:TBG523165 TLC523100:TLC523165 TUY523100:TUY523165 UEU523100:UEU523165 UOQ523100:UOQ523165 UYM523100:UYM523165 VII523100:VII523165 VSE523100:VSE523165 WCA523100:WCA523165 WLW523100:WLW523165 WVS523100:WVS523165 K588636:K588701 JG588636:JG588701 TC588636:TC588701 ACY588636:ACY588701 AMU588636:AMU588701 AWQ588636:AWQ588701 BGM588636:BGM588701 BQI588636:BQI588701 CAE588636:CAE588701 CKA588636:CKA588701 CTW588636:CTW588701 DDS588636:DDS588701 DNO588636:DNO588701 DXK588636:DXK588701 EHG588636:EHG588701 ERC588636:ERC588701 FAY588636:FAY588701 FKU588636:FKU588701 FUQ588636:FUQ588701 GEM588636:GEM588701 GOI588636:GOI588701 GYE588636:GYE588701 HIA588636:HIA588701 HRW588636:HRW588701 IBS588636:IBS588701 ILO588636:ILO588701 IVK588636:IVK588701 JFG588636:JFG588701 JPC588636:JPC588701 JYY588636:JYY588701 KIU588636:KIU588701 KSQ588636:KSQ588701 LCM588636:LCM588701 LMI588636:LMI588701 LWE588636:LWE588701 MGA588636:MGA588701 MPW588636:MPW588701 MZS588636:MZS588701 NJO588636:NJO588701 NTK588636:NTK588701 ODG588636:ODG588701 ONC588636:ONC588701 OWY588636:OWY588701 PGU588636:PGU588701 PQQ588636:PQQ588701 QAM588636:QAM588701 QKI588636:QKI588701 QUE588636:QUE588701 REA588636:REA588701 RNW588636:RNW588701 RXS588636:RXS588701 SHO588636:SHO588701 SRK588636:SRK588701 TBG588636:TBG588701 TLC588636:TLC588701 TUY588636:TUY588701 UEU588636:UEU588701 UOQ588636:UOQ588701 UYM588636:UYM588701 VII588636:VII588701 VSE588636:VSE588701 WCA588636:WCA588701 WLW588636:WLW588701 WVS588636:WVS588701 K654172:K654237 JG654172:JG654237 TC654172:TC654237 ACY654172:ACY654237 AMU654172:AMU654237 AWQ654172:AWQ654237 BGM654172:BGM654237 BQI654172:BQI654237 CAE654172:CAE654237 CKA654172:CKA654237 CTW654172:CTW654237 DDS654172:DDS654237 DNO654172:DNO654237 DXK654172:DXK654237 EHG654172:EHG654237 ERC654172:ERC654237 FAY654172:FAY654237 FKU654172:FKU654237 FUQ654172:FUQ654237 GEM654172:GEM654237 GOI654172:GOI654237 GYE654172:GYE654237 HIA654172:HIA654237 HRW654172:HRW654237 IBS654172:IBS654237 ILO654172:ILO654237 IVK654172:IVK654237 JFG654172:JFG654237 JPC654172:JPC654237 JYY654172:JYY654237 KIU654172:KIU654237 KSQ654172:KSQ654237 LCM654172:LCM654237 LMI654172:LMI654237 LWE654172:LWE654237 MGA654172:MGA654237 MPW654172:MPW654237 MZS654172:MZS654237 NJO654172:NJO654237 NTK654172:NTK654237 ODG654172:ODG654237 ONC654172:ONC654237 OWY654172:OWY654237 PGU654172:PGU654237 PQQ654172:PQQ654237 QAM654172:QAM654237 QKI654172:QKI654237 QUE654172:QUE654237 REA654172:REA654237 RNW654172:RNW654237 RXS654172:RXS654237 SHO654172:SHO654237 SRK654172:SRK654237 TBG654172:TBG654237 TLC654172:TLC654237 TUY654172:TUY654237 UEU654172:UEU654237 UOQ654172:UOQ654237 UYM654172:UYM654237 VII654172:VII654237 VSE654172:VSE654237 WCA654172:WCA654237 WLW654172:WLW654237 WVS654172:WVS654237 K719708:K719773 JG719708:JG719773 TC719708:TC719773 ACY719708:ACY719773 AMU719708:AMU719773 AWQ719708:AWQ719773 BGM719708:BGM719773 BQI719708:BQI719773 CAE719708:CAE719773 CKA719708:CKA719773 CTW719708:CTW719773 DDS719708:DDS719773 DNO719708:DNO719773 DXK719708:DXK719773 EHG719708:EHG719773 ERC719708:ERC719773 FAY719708:FAY719773 FKU719708:FKU719773 FUQ719708:FUQ719773 GEM719708:GEM719773 GOI719708:GOI719773 GYE719708:GYE719773 HIA719708:HIA719773 HRW719708:HRW719773 IBS719708:IBS719773 ILO719708:ILO719773 IVK719708:IVK719773 JFG719708:JFG719773 JPC719708:JPC719773 JYY719708:JYY719773 KIU719708:KIU719773 KSQ719708:KSQ719773 LCM719708:LCM719773 LMI719708:LMI719773 LWE719708:LWE719773 MGA719708:MGA719773 MPW719708:MPW719773 MZS719708:MZS719773 NJO719708:NJO719773 NTK719708:NTK719773 ODG719708:ODG719773 ONC719708:ONC719773 OWY719708:OWY719773 PGU719708:PGU719773 PQQ719708:PQQ719773 QAM719708:QAM719773 QKI719708:QKI719773 QUE719708:QUE719773 REA719708:REA719773 RNW719708:RNW719773 RXS719708:RXS719773 SHO719708:SHO719773 SRK719708:SRK719773 TBG719708:TBG719773 TLC719708:TLC719773 TUY719708:TUY719773 UEU719708:UEU719773 UOQ719708:UOQ719773 UYM719708:UYM719773 VII719708:VII719773 VSE719708:VSE719773 WCA719708:WCA719773 WLW719708:WLW719773 WVS719708:WVS719773 K785244:K785309 JG785244:JG785309 TC785244:TC785309 ACY785244:ACY785309 AMU785244:AMU785309 AWQ785244:AWQ785309 BGM785244:BGM785309 BQI785244:BQI785309 CAE785244:CAE785309 CKA785244:CKA785309 CTW785244:CTW785309 DDS785244:DDS785309 DNO785244:DNO785309 DXK785244:DXK785309 EHG785244:EHG785309 ERC785244:ERC785309 FAY785244:FAY785309 FKU785244:FKU785309 FUQ785244:FUQ785309 GEM785244:GEM785309 GOI785244:GOI785309 GYE785244:GYE785309 HIA785244:HIA785309 HRW785244:HRW785309 IBS785244:IBS785309 ILO785244:ILO785309 IVK785244:IVK785309 JFG785244:JFG785309 JPC785244:JPC785309 JYY785244:JYY785309 KIU785244:KIU785309 KSQ785244:KSQ785309 LCM785244:LCM785309 LMI785244:LMI785309 LWE785244:LWE785309 MGA785244:MGA785309 MPW785244:MPW785309 MZS785244:MZS785309 NJO785244:NJO785309 NTK785244:NTK785309 ODG785244:ODG785309 ONC785244:ONC785309 OWY785244:OWY785309 PGU785244:PGU785309 PQQ785244:PQQ785309 QAM785244:QAM785309 QKI785244:QKI785309 QUE785244:QUE785309 REA785244:REA785309 RNW785244:RNW785309 RXS785244:RXS785309 SHO785244:SHO785309 SRK785244:SRK785309 TBG785244:TBG785309 TLC785244:TLC785309 TUY785244:TUY785309 UEU785244:UEU785309 UOQ785244:UOQ785309 UYM785244:UYM785309 VII785244:VII785309 VSE785244:VSE785309 WCA785244:WCA785309 WLW785244:WLW785309 WVS785244:WVS785309 K850780:K850845 JG850780:JG850845 TC850780:TC850845 ACY850780:ACY850845 AMU850780:AMU850845 AWQ850780:AWQ850845 BGM850780:BGM850845 BQI850780:BQI850845 CAE850780:CAE850845 CKA850780:CKA850845 CTW850780:CTW850845 DDS850780:DDS850845 DNO850780:DNO850845 DXK850780:DXK850845 EHG850780:EHG850845 ERC850780:ERC850845 FAY850780:FAY850845 FKU850780:FKU850845 FUQ850780:FUQ850845 GEM850780:GEM850845 GOI850780:GOI850845 GYE850780:GYE850845 HIA850780:HIA850845 HRW850780:HRW850845 IBS850780:IBS850845 ILO850780:ILO850845 IVK850780:IVK850845 JFG850780:JFG850845 JPC850780:JPC850845 JYY850780:JYY850845 KIU850780:KIU850845 KSQ850780:KSQ850845 LCM850780:LCM850845 LMI850780:LMI850845 LWE850780:LWE850845 MGA850780:MGA850845 MPW850780:MPW850845 MZS850780:MZS850845 NJO850780:NJO850845 NTK850780:NTK850845 ODG850780:ODG850845 ONC850780:ONC850845 OWY850780:OWY850845 PGU850780:PGU850845 PQQ850780:PQQ850845 QAM850780:QAM850845 QKI850780:QKI850845 QUE850780:QUE850845 REA850780:REA850845 RNW850780:RNW850845 RXS850780:RXS850845 SHO850780:SHO850845 SRK850780:SRK850845 TBG850780:TBG850845 TLC850780:TLC850845 TUY850780:TUY850845 UEU850780:UEU850845 UOQ850780:UOQ850845 UYM850780:UYM850845 VII850780:VII850845 VSE850780:VSE850845 WCA850780:WCA850845 WLW850780:WLW850845 WVS850780:WVS850845 K916316:K916381 JG916316:JG916381 TC916316:TC916381 ACY916316:ACY916381 AMU916316:AMU916381 AWQ916316:AWQ916381 BGM916316:BGM916381 BQI916316:BQI916381 CAE916316:CAE916381 CKA916316:CKA916381 CTW916316:CTW916381 DDS916316:DDS916381 DNO916316:DNO916381 DXK916316:DXK916381 EHG916316:EHG916381 ERC916316:ERC916381 FAY916316:FAY916381 FKU916316:FKU916381 FUQ916316:FUQ916381 GEM916316:GEM916381 GOI916316:GOI916381 GYE916316:GYE916381 HIA916316:HIA916381 HRW916316:HRW916381 IBS916316:IBS916381 ILO916316:ILO916381 IVK916316:IVK916381 JFG916316:JFG916381 JPC916316:JPC916381 JYY916316:JYY916381 KIU916316:KIU916381 KSQ916316:KSQ916381 LCM916316:LCM916381 LMI916316:LMI916381 LWE916316:LWE916381 MGA916316:MGA916381 MPW916316:MPW916381 MZS916316:MZS916381 NJO916316:NJO916381 NTK916316:NTK916381 ODG916316:ODG916381 ONC916316:ONC916381 OWY916316:OWY916381 PGU916316:PGU916381 PQQ916316:PQQ916381 QAM916316:QAM916381 QKI916316:QKI916381 QUE916316:QUE916381 REA916316:REA916381 RNW916316:RNW916381 RXS916316:RXS916381 SHO916316:SHO916381 SRK916316:SRK916381 TBG916316:TBG916381 TLC916316:TLC916381 TUY916316:TUY916381 UEU916316:UEU916381 UOQ916316:UOQ916381 UYM916316:UYM916381 VII916316:VII916381 VSE916316:VSE916381 WCA916316:WCA916381 WLW916316:WLW916381 WVS916316:WVS916381 K981852:K981917 JG981852:JG981917 TC981852:TC981917 ACY981852:ACY981917 AMU981852:AMU981917 AWQ981852:AWQ981917 BGM981852:BGM981917 BQI981852:BQI981917 CAE981852:CAE981917 CKA981852:CKA981917 CTW981852:CTW981917 DDS981852:DDS981917 DNO981852:DNO981917 DXK981852:DXK981917 EHG981852:EHG981917 ERC981852:ERC981917 FAY981852:FAY981917 FKU981852:FKU981917 FUQ981852:FUQ981917 GEM981852:GEM981917 GOI981852:GOI981917 GYE981852:GYE981917 HIA981852:HIA981917 HRW981852:HRW981917 IBS981852:IBS981917 ILO981852:ILO981917 IVK981852:IVK981917 JFG981852:JFG981917 JPC981852:JPC981917 JYY981852:JYY981917 KIU981852:KIU981917 KSQ981852:KSQ981917 LCM981852:LCM981917 LMI981852:LMI981917 LWE981852:LWE981917 MGA981852:MGA981917 MPW981852:MPW981917 MZS981852:MZS981917 NJO981852:NJO981917 NTK981852:NTK981917 ODG981852:ODG981917 ONC981852:ONC981917 OWY981852:OWY981917 PGU981852:PGU981917 PQQ981852:PQQ981917 QAM981852:QAM981917 QKI981852:QKI981917 QUE981852:QUE981917 REA981852:REA981917 RNW981852:RNW981917 RXS981852:RXS981917 SHO981852:SHO981917 SRK981852:SRK981917 TBG981852:TBG981917 TLC981852:TLC981917 TUY981852:TUY981917 UEU981852:UEU981917 UOQ981852:UOQ981917 UYM981852:UYM981917 VII981852:VII981917 VSE981852:VSE981917 WCA981852:WCA981917 WLW981852:WLW981917 WVS981852:WVS981917 K1047388:K1047453 JG1047388:JG1047453 TC1047388:TC1047453 ACY1047388:ACY1047453 AMU1047388:AMU1047453 AWQ1047388:AWQ1047453 BGM1047388:BGM1047453 BQI1047388:BQI1047453 CAE1047388:CAE1047453 CKA1047388:CKA1047453 CTW1047388:CTW1047453 DDS1047388:DDS1047453 DNO1047388:DNO1047453 DXK1047388:DXK1047453 EHG1047388:EHG1047453 ERC1047388:ERC1047453 FAY1047388:FAY1047453 FKU1047388:FKU1047453 FUQ1047388:FUQ1047453 GEM1047388:GEM1047453 GOI1047388:GOI1047453 GYE1047388:GYE1047453 HIA1047388:HIA1047453 HRW1047388:HRW1047453 IBS1047388:IBS1047453 ILO1047388:ILO1047453 IVK1047388:IVK1047453 JFG1047388:JFG1047453 JPC1047388:JPC1047453 JYY1047388:JYY1047453 KIU1047388:KIU1047453 KSQ1047388:KSQ1047453 LCM1047388:LCM1047453 LMI1047388:LMI1047453 LWE1047388:LWE1047453 MGA1047388:MGA1047453 MPW1047388:MPW1047453 MZS1047388:MZS1047453 NJO1047388:NJO1047453 NTK1047388:NTK1047453 ODG1047388:ODG1047453 ONC1047388:ONC1047453 OWY1047388:OWY1047453 PGU1047388:PGU1047453 PQQ1047388:PQQ1047453 QAM1047388:QAM1047453 QKI1047388:QKI1047453 QUE1047388:QUE1047453 REA1047388:REA1047453 RNW1047388:RNW1047453 RXS1047388:RXS1047453 SHO1047388:SHO1047453 SRK1047388:SRK1047453 TBG1047388:TBG1047453 TLC1047388:TLC1047453 TUY1047388:TUY1047453 UEU1047388:UEU1047453 UOQ1047388:UOQ1047453 UYM1047388:UYM1047453 VII1047388:VII1047453 VSE1047388:VSE1047453 WCA1047388:WCA1047453 WLW1047388:WLW1047453 WVS1047388:WVS1047453" xr:uid="{20E377D3-C39C-4BB3-9D4C-1FCE4859DEF2}">
      <formula1>$AR$2:$AR$24</formula1>
    </dataValidation>
    <dataValidation type="list" allowBlank="1" showInputMessage="1" showErrorMessage="1" sqref="Y64348:AA64413 JU64348:JW64413 TQ64348:TS64413 ADM64348:ADO64413 ANI64348:ANK64413 AXE64348:AXG64413 BHA64348:BHC64413 BQW64348:BQY64413 CAS64348:CAU64413 CKO64348:CKQ64413 CUK64348:CUM64413 DEG64348:DEI64413 DOC64348:DOE64413 DXY64348:DYA64413 EHU64348:EHW64413 ERQ64348:ERS64413 FBM64348:FBO64413 FLI64348:FLK64413 FVE64348:FVG64413 GFA64348:GFC64413 GOW64348:GOY64413 GYS64348:GYU64413 HIO64348:HIQ64413 HSK64348:HSM64413 ICG64348:ICI64413 IMC64348:IME64413 IVY64348:IWA64413 JFU64348:JFW64413 JPQ64348:JPS64413 JZM64348:JZO64413 KJI64348:KJK64413 KTE64348:KTG64413 LDA64348:LDC64413 LMW64348:LMY64413 LWS64348:LWU64413 MGO64348:MGQ64413 MQK64348:MQM64413 NAG64348:NAI64413 NKC64348:NKE64413 NTY64348:NUA64413 ODU64348:ODW64413 ONQ64348:ONS64413 OXM64348:OXO64413 PHI64348:PHK64413 PRE64348:PRG64413 QBA64348:QBC64413 QKW64348:QKY64413 QUS64348:QUU64413 REO64348:REQ64413 ROK64348:ROM64413 RYG64348:RYI64413 SIC64348:SIE64413 SRY64348:SSA64413 TBU64348:TBW64413 TLQ64348:TLS64413 TVM64348:TVO64413 UFI64348:UFK64413 UPE64348:UPG64413 UZA64348:UZC64413 VIW64348:VIY64413 VSS64348:VSU64413 WCO64348:WCQ64413 WMK64348:WMM64413 WWG64348:WWI64413 Y129884:AA129949 JU129884:JW129949 TQ129884:TS129949 ADM129884:ADO129949 ANI129884:ANK129949 AXE129884:AXG129949 BHA129884:BHC129949 BQW129884:BQY129949 CAS129884:CAU129949 CKO129884:CKQ129949 CUK129884:CUM129949 DEG129884:DEI129949 DOC129884:DOE129949 DXY129884:DYA129949 EHU129884:EHW129949 ERQ129884:ERS129949 FBM129884:FBO129949 FLI129884:FLK129949 FVE129884:FVG129949 GFA129884:GFC129949 GOW129884:GOY129949 GYS129884:GYU129949 HIO129884:HIQ129949 HSK129884:HSM129949 ICG129884:ICI129949 IMC129884:IME129949 IVY129884:IWA129949 JFU129884:JFW129949 JPQ129884:JPS129949 JZM129884:JZO129949 KJI129884:KJK129949 KTE129884:KTG129949 LDA129884:LDC129949 LMW129884:LMY129949 LWS129884:LWU129949 MGO129884:MGQ129949 MQK129884:MQM129949 NAG129884:NAI129949 NKC129884:NKE129949 NTY129884:NUA129949 ODU129884:ODW129949 ONQ129884:ONS129949 OXM129884:OXO129949 PHI129884:PHK129949 PRE129884:PRG129949 QBA129884:QBC129949 QKW129884:QKY129949 QUS129884:QUU129949 REO129884:REQ129949 ROK129884:ROM129949 RYG129884:RYI129949 SIC129884:SIE129949 SRY129884:SSA129949 TBU129884:TBW129949 TLQ129884:TLS129949 TVM129884:TVO129949 UFI129884:UFK129949 UPE129884:UPG129949 UZA129884:UZC129949 VIW129884:VIY129949 VSS129884:VSU129949 WCO129884:WCQ129949 WMK129884:WMM129949 WWG129884:WWI129949 Y195420:AA195485 JU195420:JW195485 TQ195420:TS195485 ADM195420:ADO195485 ANI195420:ANK195485 AXE195420:AXG195485 BHA195420:BHC195485 BQW195420:BQY195485 CAS195420:CAU195485 CKO195420:CKQ195485 CUK195420:CUM195485 DEG195420:DEI195485 DOC195420:DOE195485 DXY195420:DYA195485 EHU195420:EHW195485 ERQ195420:ERS195485 FBM195420:FBO195485 FLI195420:FLK195485 FVE195420:FVG195485 GFA195420:GFC195485 GOW195420:GOY195485 GYS195420:GYU195485 HIO195420:HIQ195485 HSK195420:HSM195485 ICG195420:ICI195485 IMC195420:IME195485 IVY195420:IWA195485 JFU195420:JFW195485 JPQ195420:JPS195485 JZM195420:JZO195485 KJI195420:KJK195485 KTE195420:KTG195485 LDA195420:LDC195485 LMW195420:LMY195485 LWS195420:LWU195485 MGO195420:MGQ195485 MQK195420:MQM195485 NAG195420:NAI195485 NKC195420:NKE195485 NTY195420:NUA195485 ODU195420:ODW195485 ONQ195420:ONS195485 OXM195420:OXO195485 PHI195420:PHK195485 PRE195420:PRG195485 QBA195420:QBC195485 QKW195420:QKY195485 QUS195420:QUU195485 REO195420:REQ195485 ROK195420:ROM195485 RYG195420:RYI195485 SIC195420:SIE195485 SRY195420:SSA195485 TBU195420:TBW195485 TLQ195420:TLS195485 TVM195420:TVO195485 UFI195420:UFK195485 UPE195420:UPG195485 UZA195420:UZC195485 VIW195420:VIY195485 VSS195420:VSU195485 WCO195420:WCQ195485 WMK195420:WMM195485 WWG195420:WWI195485 Y260956:AA261021 JU260956:JW261021 TQ260956:TS261021 ADM260956:ADO261021 ANI260956:ANK261021 AXE260956:AXG261021 BHA260956:BHC261021 BQW260956:BQY261021 CAS260956:CAU261021 CKO260956:CKQ261021 CUK260956:CUM261021 DEG260956:DEI261021 DOC260956:DOE261021 DXY260956:DYA261021 EHU260956:EHW261021 ERQ260956:ERS261021 FBM260956:FBO261021 FLI260956:FLK261021 FVE260956:FVG261021 GFA260956:GFC261021 GOW260956:GOY261021 GYS260956:GYU261021 HIO260956:HIQ261021 HSK260956:HSM261021 ICG260956:ICI261021 IMC260956:IME261021 IVY260956:IWA261021 JFU260956:JFW261021 JPQ260956:JPS261021 JZM260956:JZO261021 KJI260956:KJK261021 KTE260956:KTG261021 LDA260956:LDC261021 LMW260956:LMY261021 LWS260956:LWU261021 MGO260956:MGQ261021 MQK260956:MQM261021 NAG260956:NAI261021 NKC260956:NKE261021 NTY260956:NUA261021 ODU260956:ODW261021 ONQ260956:ONS261021 OXM260956:OXO261021 PHI260956:PHK261021 PRE260956:PRG261021 QBA260956:QBC261021 QKW260956:QKY261021 QUS260956:QUU261021 REO260956:REQ261021 ROK260956:ROM261021 RYG260956:RYI261021 SIC260956:SIE261021 SRY260956:SSA261021 TBU260956:TBW261021 TLQ260956:TLS261021 TVM260956:TVO261021 UFI260956:UFK261021 UPE260956:UPG261021 UZA260956:UZC261021 VIW260956:VIY261021 VSS260956:VSU261021 WCO260956:WCQ261021 WMK260956:WMM261021 WWG260956:WWI261021 Y326492:AA326557 JU326492:JW326557 TQ326492:TS326557 ADM326492:ADO326557 ANI326492:ANK326557 AXE326492:AXG326557 BHA326492:BHC326557 BQW326492:BQY326557 CAS326492:CAU326557 CKO326492:CKQ326557 CUK326492:CUM326557 DEG326492:DEI326557 DOC326492:DOE326557 DXY326492:DYA326557 EHU326492:EHW326557 ERQ326492:ERS326557 FBM326492:FBO326557 FLI326492:FLK326557 FVE326492:FVG326557 GFA326492:GFC326557 GOW326492:GOY326557 GYS326492:GYU326557 HIO326492:HIQ326557 HSK326492:HSM326557 ICG326492:ICI326557 IMC326492:IME326557 IVY326492:IWA326557 JFU326492:JFW326557 JPQ326492:JPS326557 JZM326492:JZO326557 KJI326492:KJK326557 KTE326492:KTG326557 LDA326492:LDC326557 LMW326492:LMY326557 LWS326492:LWU326557 MGO326492:MGQ326557 MQK326492:MQM326557 NAG326492:NAI326557 NKC326492:NKE326557 NTY326492:NUA326557 ODU326492:ODW326557 ONQ326492:ONS326557 OXM326492:OXO326557 PHI326492:PHK326557 PRE326492:PRG326557 QBA326492:QBC326557 QKW326492:QKY326557 QUS326492:QUU326557 REO326492:REQ326557 ROK326492:ROM326557 RYG326492:RYI326557 SIC326492:SIE326557 SRY326492:SSA326557 TBU326492:TBW326557 TLQ326492:TLS326557 TVM326492:TVO326557 UFI326492:UFK326557 UPE326492:UPG326557 UZA326492:UZC326557 VIW326492:VIY326557 VSS326492:VSU326557 WCO326492:WCQ326557 WMK326492:WMM326557 WWG326492:WWI326557 Y392028:AA392093 JU392028:JW392093 TQ392028:TS392093 ADM392028:ADO392093 ANI392028:ANK392093 AXE392028:AXG392093 BHA392028:BHC392093 BQW392028:BQY392093 CAS392028:CAU392093 CKO392028:CKQ392093 CUK392028:CUM392093 DEG392028:DEI392093 DOC392028:DOE392093 DXY392028:DYA392093 EHU392028:EHW392093 ERQ392028:ERS392093 FBM392028:FBO392093 FLI392028:FLK392093 FVE392028:FVG392093 GFA392028:GFC392093 GOW392028:GOY392093 GYS392028:GYU392093 HIO392028:HIQ392093 HSK392028:HSM392093 ICG392028:ICI392093 IMC392028:IME392093 IVY392028:IWA392093 JFU392028:JFW392093 JPQ392028:JPS392093 JZM392028:JZO392093 KJI392028:KJK392093 KTE392028:KTG392093 LDA392028:LDC392093 LMW392028:LMY392093 LWS392028:LWU392093 MGO392028:MGQ392093 MQK392028:MQM392093 NAG392028:NAI392093 NKC392028:NKE392093 NTY392028:NUA392093 ODU392028:ODW392093 ONQ392028:ONS392093 OXM392028:OXO392093 PHI392028:PHK392093 PRE392028:PRG392093 QBA392028:QBC392093 QKW392028:QKY392093 QUS392028:QUU392093 REO392028:REQ392093 ROK392028:ROM392093 RYG392028:RYI392093 SIC392028:SIE392093 SRY392028:SSA392093 TBU392028:TBW392093 TLQ392028:TLS392093 TVM392028:TVO392093 UFI392028:UFK392093 UPE392028:UPG392093 UZA392028:UZC392093 VIW392028:VIY392093 VSS392028:VSU392093 WCO392028:WCQ392093 WMK392028:WMM392093 WWG392028:WWI392093 Y457564:AA457629 JU457564:JW457629 TQ457564:TS457629 ADM457564:ADO457629 ANI457564:ANK457629 AXE457564:AXG457629 BHA457564:BHC457629 BQW457564:BQY457629 CAS457564:CAU457629 CKO457564:CKQ457629 CUK457564:CUM457629 DEG457564:DEI457629 DOC457564:DOE457629 DXY457564:DYA457629 EHU457564:EHW457629 ERQ457564:ERS457629 FBM457564:FBO457629 FLI457564:FLK457629 FVE457564:FVG457629 GFA457564:GFC457629 GOW457564:GOY457629 GYS457564:GYU457629 HIO457564:HIQ457629 HSK457564:HSM457629 ICG457564:ICI457629 IMC457564:IME457629 IVY457564:IWA457629 JFU457564:JFW457629 JPQ457564:JPS457629 JZM457564:JZO457629 KJI457564:KJK457629 KTE457564:KTG457629 LDA457564:LDC457629 LMW457564:LMY457629 LWS457564:LWU457629 MGO457564:MGQ457629 MQK457564:MQM457629 NAG457564:NAI457629 NKC457564:NKE457629 NTY457564:NUA457629 ODU457564:ODW457629 ONQ457564:ONS457629 OXM457564:OXO457629 PHI457564:PHK457629 PRE457564:PRG457629 QBA457564:QBC457629 QKW457564:QKY457629 QUS457564:QUU457629 REO457564:REQ457629 ROK457564:ROM457629 RYG457564:RYI457629 SIC457564:SIE457629 SRY457564:SSA457629 TBU457564:TBW457629 TLQ457564:TLS457629 TVM457564:TVO457629 UFI457564:UFK457629 UPE457564:UPG457629 UZA457564:UZC457629 VIW457564:VIY457629 VSS457564:VSU457629 WCO457564:WCQ457629 WMK457564:WMM457629 WWG457564:WWI457629 Y523100:AA523165 JU523100:JW523165 TQ523100:TS523165 ADM523100:ADO523165 ANI523100:ANK523165 AXE523100:AXG523165 BHA523100:BHC523165 BQW523100:BQY523165 CAS523100:CAU523165 CKO523100:CKQ523165 CUK523100:CUM523165 DEG523100:DEI523165 DOC523100:DOE523165 DXY523100:DYA523165 EHU523100:EHW523165 ERQ523100:ERS523165 FBM523100:FBO523165 FLI523100:FLK523165 FVE523100:FVG523165 GFA523100:GFC523165 GOW523100:GOY523165 GYS523100:GYU523165 HIO523100:HIQ523165 HSK523100:HSM523165 ICG523100:ICI523165 IMC523100:IME523165 IVY523100:IWA523165 JFU523100:JFW523165 JPQ523100:JPS523165 JZM523100:JZO523165 KJI523100:KJK523165 KTE523100:KTG523165 LDA523100:LDC523165 LMW523100:LMY523165 LWS523100:LWU523165 MGO523100:MGQ523165 MQK523100:MQM523165 NAG523100:NAI523165 NKC523100:NKE523165 NTY523100:NUA523165 ODU523100:ODW523165 ONQ523100:ONS523165 OXM523100:OXO523165 PHI523100:PHK523165 PRE523100:PRG523165 QBA523100:QBC523165 QKW523100:QKY523165 QUS523100:QUU523165 REO523100:REQ523165 ROK523100:ROM523165 RYG523100:RYI523165 SIC523100:SIE523165 SRY523100:SSA523165 TBU523100:TBW523165 TLQ523100:TLS523165 TVM523100:TVO523165 UFI523100:UFK523165 UPE523100:UPG523165 UZA523100:UZC523165 VIW523100:VIY523165 VSS523100:VSU523165 WCO523100:WCQ523165 WMK523100:WMM523165 WWG523100:WWI523165 Y588636:AA588701 JU588636:JW588701 TQ588636:TS588701 ADM588636:ADO588701 ANI588636:ANK588701 AXE588636:AXG588701 BHA588636:BHC588701 BQW588636:BQY588701 CAS588636:CAU588701 CKO588636:CKQ588701 CUK588636:CUM588701 DEG588636:DEI588701 DOC588636:DOE588701 DXY588636:DYA588701 EHU588636:EHW588701 ERQ588636:ERS588701 FBM588636:FBO588701 FLI588636:FLK588701 FVE588636:FVG588701 GFA588636:GFC588701 GOW588636:GOY588701 GYS588636:GYU588701 HIO588636:HIQ588701 HSK588636:HSM588701 ICG588636:ICI588701 IMC588636:IME588701 IVY588636:IWA588701 JFU588636:JFW588701 JPQ588636:JPS588701 JZM588636:JZO588701 KJI588636:KJK588701 KTE588636:KTG588701 LDA588636:LDC588701 LMW588636:LMY588701 LWS588636:LWU588701 MGO588636:MGQ588701 MQK588636:MQM588701 NAG588636:NAI588701 NKC588636:NKE588701 NTY588636:NUA588701 ODU588636:ODW588701 ONQ588636:ONS588701 OXM588636:OXO588701 PHI588636:PHK588701 PRE588636:PRG588701 QBA588636:QBC588701 QKW588636:QKY588701 QUS588636:QUU588701 REO588636:REQ588701 ROK588636:ROM588701 RYG588636:RYI588701 SIC588636:SIE588701 SRY588636:SSA588701 TBU588636:TBW588701 TLQ588636:TLS588701 TVM588636:TVO588701 UFI588636:UFK588701 UPE588636:UPG588701 UZA588636:UZC588701 VIW588636:VIY588701 VSS588636:VSU588701 WCO588636:WCQ588701 WMK588636:WMM588701 WWG588636:WWI588701 Y654172:AA654237 JU654172:JW654237 TQ654172:TS654237 ADM654172:ADO654237 ANI654172:ANK654237 AXE654172:AXG654237 BHA654172:BHC654237 BQW654172:BQY654237 CAS654172:CAU654237 CKO654172:CKQ654237 CUK654172:CUM654237 DEG654172:DEI654237 DOC654172:DOE654237 DXY654172:DYA654237 EHU654172:EHW654237 ERQ654172:ERS654237 FBM654172:FBO654237 FLI654172:FLK654237 FVE654172:FVG654237 GFA654172:GFC654237 GOW654172:GOY654237 GYS654172:GYU654237 HIO654172:HIQ654237 HSK654172:HSM654237 ICG654172:ICI654237 IMC654172:IME654237 IVY654172:IWA654237 JFU654172:JFW654237 JPQ654172:JPS654237 JZM654172:JZO654237 KJI654172:KJK654237 KTE654172:KTG654237 LDA654172:LDC654237 LMW654172:LMY654237 LWS654172:LWU654237 MGO654172:MGQ654237 MQK654172:MQM654237 NAG654172:NAI654237 NKC654172:NKE654237 NTY654172:NUA654237 ODU654172:ODW654237 ONQ654172:ONS654237 OXM654172:OXO654237 PHI654172:PHK654237 PRE654172:PRG654237 QBA654172:QBC654237 QKW654172:QKY654237 QUS654172:QUU654237 REO654172:REQ654237 ROK654172:ROM654237 RYG654172:RYI654237 SIC654172:SIE654237 SRY654172:SSA654237 TBU654172:TBW654237 TLQ654172:TLS654237 TVM654172:TVO654237 UFI654172:UFK654237 UPE654172:UPG654237 UZA654172:UZC654237 VIW654172:VIY654237 VSS654172:VSU654237 WCO654172:WCQ654237 WMK654172:WMM654237 WWG654172:WWI654237 Y719708:AA719773 JU719708:JW719773 TQ719708:TS719773 ADM719708:ADO719773 ANI719708:ANK719773 AXE719708:AXG719773 BHA719708:BHC719773 BQW719708:BQY719773 CAS719708:CAU719773 CKO719708:CKQ719773 CUK719708:CUM719773 DEG719708:DEI719773 DOC719708:DOE719773 DXY719708:DYA719773 EHU719708:EHW719773 ERQ719708:ERS719773 FBM719708:FBO719773 FLI719708:FLK719773 FVE719708:FVG719773 GFA719708:GFC719773 GOW719708:GOY719773 GYS719708:GYU719773 HIO719708:HIQ719773 HSK719708:HSM719773 ICG719708:ICI719773 IMC719708:IME719773 IVY719708:IWA719773 JFU719708:JFW719773 JPQ719708:JPS719773 JZM719708:JZO719773 KJI719708:KJK719773 KTE719708:KTG719773 LDA719708:LDC719773 LMW719708:LMY719773 LWS719708:LWU719773 MGO719708:MGQ719773 MQK719708:MQM719773 NAG719708:NAI719773 NKC719708:NKE719773 NTY719708:NUA719773 ODU719708:ODW719773 ONQ719708:ONS719773 OXM719708:OXO719773 PHI719708:PHK719773 PRE719708:PRG719773 QBA719708:QBC719773 QKW719708:QKY719773 QUS719708:QUU719773 REO719708:REQ719773 ROK719708:ROM719773 RYG719708:RYI719773 SIC719708:SIE719773 SRY719708:SSA719773 TBU719708:TBW719773 TLQ719708:TLS719773 TVM719708:TVO719773 UFI719708:UFK719773 UPE719708:UPG719773 UZA719708:UZC719773 VIW719708:VIY719773 VSS719708:VSU719773 WCO719708:WCQ719773 WMK719708:WMM719773 WWG719708:WWI719773 Y785244:AA785309 JU785244:JW785309 TQ785244:TS785309 ADM785244:ADO785309 ANI785244:ANK785309 AXE785244:AXG785309 BHA785244:BHC785309 BQW785244:BQY785309 CAS785244:CAU785309 CKO785244:CKQ785309 CUK785244:CUM785309 DEG785244:DEI785309 DOC785244:DOE785309 DXY785244:DYA785309 EHU785244:EHW785309 ERQ785244:ERS785309 FBM785244:FBO785309 FLI785244:FLK785309 FVE785244:FVG785309 GFA785244:GFC785309 GOW785244:GOY785309 GYS785244:GYU785309 HIO785244:HIQ785309 HSK785244:HSM785309 ICG785244:ICI785309 IMC785244:IME785309 IVY785244:IWA785309 JFU785244:JFW785309 JPQ785244:JPS785309 JZM785244:JZO785309 KJI785244:KJK785309 KTE785244:KTG785309 LDA785244:LDC785309 LMW785244:LMY785309 LWS785244:LWU785309 MGO785244:MGQ785309 MQK785244:MQM785309 NAG785244:NAI785309 NKC785244:NKE785309 NTY785244:NUA785309 ODU785244:ODW785309 ONQ785244:ONS785309 OXM785244:OXO785309 PHI785244:PHK785309 PRE785244:PRG785309 QBA785244:QBC785309 QKW785244:QKY785309 QUS785244:QUU785309 REO785244:REQ785309 ROK785244:ROM785309 RYG785244:RYI785309 SIC785244:SIE785309 SRY785244:SSA785309 TBU785244:TBW785309 TLQ785244:TLS785309 TVM785244:TVO785309 UFI785244:UFK785309 UPE785244:UPG785309 UZA785244:UZC785309 VIW785244:VIY785309 VSS785244:VSU785309 WCO785244:WCQ785309 WMK785244:WMM785309 WWG785244:WWI785309 Y850780:AA850845 JU850780:JW850845 TQ850780:TS850845 ADM850780:ADO850845 ANI850780:ANK850845 AXE850780:AXG850845 BHA850780:BHC850845 BQW850780:BQY850845 CAS850780:CAU850845 CKO850780:CKQ850845 CUK850780:CUM850845 DEG850780:DEI850845 DOC850780:DOE850845 DXY850780:DYA850845 EHU850780:EHW850845 ERQ850780:ERS850845 FBM850780:FBO850845 FLI850780:FLK850845 FVE850780:FVG850845 GFA850780:GFC850845 GOW850780:GOY850845 GYS850780:GYU850845 HIO850780:HIQ850845 HSK850780:HSM850845 ICG850780:ICI850845 IMC850780:IME850845 IVY850780:IWA850845 JFU850780:JFW850845 JPQ850780:JPS850845 JZM850780:JZO850845 KJI850780:KJK850845 KTE850780:KTG850845 LDA850780:LDC850845 LMW850780:LMY850845 LWS850780:LWU850845 MGO850780:MGQ850845 MQK850780:MQM850845 NAG850780:NAI850845 NKC850780:NKE850845 NTY850780:NUA850845 ODU850780:ODW850845 ONQ850780:ONS850845 OXM850780:OXO850845 PHI850780:PHK850845 PRE850780:PRG850845 QBA850780:QBC850845 QKW850780:QKY850845 QUS850780:QUU850845 REO850780:REQ850845 ROK850780:ROM850845 RYG850780:RYI850845 SIC850780:SIE850845 SRY850780:SSA850845 TBU850780:TBW850845 TLQ850780:TLS850845 TVM850780:TVO850845 UFI850780:UFK850845 UPE850780:UPG850845 UZA850780:UZC850845 VIW850780:VIY850845 VSS850780:VSU850845 WCO850780:WCQ850845 WMK850780:WMM850845 WWG850780:WWI850845 Y916316:AA916381 JU916316:JW916381 TQ916316:TS916381 ADM916316:ADO916381 ANI916316:ANK916381 AXE916316:AXG916381 BHA916316:BHC916381 BQW916316:BQY916381 CAS916316:CAU916381 CKO916316:CKQ916381 CUK916316:CUM916381 DEG916316:DEI916381 DOC916316:DOE916381 DXY916316:DYA916381 EHU916316:EHW916381 ERQ916316:ERS916381 FBM916316:FBO916381 FLI916316:FLK916381 FVE916316:FVG916381 GFA916316:GFC916381 GOW916316:GOY916381 GYS916316:GYU916381 HIO916316:HIQ916381 HSK916316:HSM916381 ICG916316:ICI916381 IMC916316:IME916381 IVY916316:IWA916381 JFU916316:JFW916381 JPQ916316:JPS916381 JZM916316:JZO916381 KJI916316:KJK916381 KTE916316:KTG916381 LDA916316:LDC916381 LMW916316:LMY916381 LWS916316:LWU916381 MGO916316:MGQ916381 MQK916316:MQM916381 NAG916316:NAI916381 NKC916316:NKE916381 NTY916316:NUA916381 ODU916316:ODW916381 ONQ916316:ONS916381 OXM916316:OXO916381 PHI916316:PHK916381 PRE916316:PRG916381 QBA916316:QBC916381 QKW916316:QKY916381 QUS916316:QUU916381 REO916316:REQ916381 ROK916316:ROM916381 RYG916316:RYI916381 SIC916316:SIE916381 SRY916316:SSA916381 TBU916316:TBW916381 TLQ916316:TLS916381 TVM916316:TVO916381 UFI916316:UFK916381 UPE916316:UPG916381 UZA916316:UZC916381 VIW916316:VIY916381 VSS916316:VSU916381 WCO916316:WCQ916381 WMK916316:WMM916381 WWG916316:WWI916381 Y981852:AA981917 JU981852:JW981917 TQ981852:TS981917 ADM981852:ADO981917 ANI981852:ANK981917 AXE981852:AXG981917 BHA981852:BHC981917 BQW981852:BQY981917 CAS981852:CAU981917 CKO981852:CKQ981917 CUK981852:CUM981917 DEG981852:DEI981917 DOC981852:DOE981917 DXY981852:DYA981917 EHU981852:EHW981917 ERQ981852:ERS981917 FBM981852:FBO981917 FLI981852:FLK981917 FVE981852:FVG981917 GFA981852:GFC981917 GOW981852:GOY981917 GYS981852:GYU981917 HIO981852:HIQ981917 HSK981852:HSM981917 ICG981852:ICI981917 IMC981852:IME981917 IVY981852:IWA981917 JFU981852:JFW981917 JPQ981852:JPS981917 JZM981852:JZO981917 KJI981852:KJK981917 KTE981852:KTG981917 LDA981852:LDC981917 LMW981852:LMY981917 LWS981852:LWU981917 MGO981852:MGQ981917 MQK981852:MQM981917 NAG981852:NAI981917 NKC981852:NKE981917 NTY981852:NUA981917 ODU981852:ODW981917 ONQ981852:ONS981917 OXM981852:OXO981917 PHI981852:PHK981917 PRE981852:PRG981917 QBA981852:QBC981917 QKW981852:QKY981917 QUS981852:QUU981917 REO981852:REQ981917 ROK981852:ROM981917 RYG981852:RYI981917 SIC981852:SIE981917 SRY981852:SSA981917 TBU981852:TBW981917 TLQ981852:TLS981917 TVM981852:TVO981917 UFI981852:UFK981917 UPE981852:UPG981917 UZA981852:UZC981917 VIW981852:VIY981917 VSS981852:VSU981917 WCO981852:WCQ981917 WMK981852:WMM981917 WWG981852:WWI981917 Y1047388:AA1047453 JU1047388:JW1047453 TQ1047388:TS1047453 ADM1047388:ADO1047453 ANI1047388:ANK1047453 AXE1047388:AXG1047453 BHA1047388:BHC1047453 BQW1047388:BQY1047453 CAS1047388:CAU1047453 CKO1047388:CKQ1047453 CUK1047388:CUM1047453 DEG1047388:DEI1047453 DOC1047388:DOE1047453 DXY1047388:DYA1047453 EHU1047388:EHW1047453 ERQ1047388:ERS1047453 FBM1047388:FBO1047453 FLI1047388:FLK1047453 FVE1047388:FVG1047453 GFA1047388:GFC1047453 GOW1047388:GOY1047453 GYS1047388:GYU1047453 HIO1047388:HIQ1047453 HSK1047388:HSM1047453 ICG1047388:ICI1047453 IMC1047388:IME1047453 IVY1047388:IWA1047453 JFU1047388:JFW1047453 JPQ1047388:JPS1047453 JZM1047388:JZO1047453 KJI1047388:KJK1047453 KTE1047388:KTG1047453 LDA1047388:LDC1047453 LMW1047388:LMY1047453 LWS1047388:LWU1047453 MGO1047388:MGQ1047453 MQK1047388:MQM1047453 NAG1047388:NAI1047453 NKC1047388:NKE1047453 NTY1047388:NUA1047453 ODU1047388:ODW1047453 ONQ1047388:ONS1047453 OXM1047388:OXO1047453 PHI1047388:PHK1047453 PRE1047388:PRG1047453 QBA1047388:QBC1047453 QKW1047388:QKY1047453 QUS1047388:QUU1047453 REO1047388:REQ1047453 ROK1047388:ROM1047453 RYG1047388:RYI1047453 SIC1047388:SIE1047453 SRY1047388:SSA1047453 TBU1047388:TBW1047453 TLQ1047388:TLS1047453 TVM1047388:TVO1047453 UFI1047388:UFK1047453 UPE1047388:UPG1047453 UZA1047388:UZC1047453 VIW1047388:VIY1047453 VSS1047388:VSU1047453 WCO1047388:WCQ1047453 WMK1047388:WMM1047453 WWG1047388:WWI1047453 WWG983027:WWI983092 Y65523:AA65588 JU65523:JW65588 TQ65523:TS65588 ADM65523:ADO65588 ANI65523:ANK65588 AXE65523:AXG65588 BHA65523:BHC65588 BQW65523:BQY65588 CAS65523:CAU65588 CKO65523:CKQ65588 CUK65523:CUM65588 DEG65523:DEI65588 DOC65523:DOE65588 DXY65523:DYA65588 EHU65523:EHW65588 ERQ65523:ERS65588 FBM65523:FBO65588 FLI65523:FLK65588 FVE65523:FVG65588 GFA65523:GFC65588 GOW65523:GOY65588 GYS65523:GYU65588 HIO65523:HIQ65588 HSK65523:HSM65588 ICG65523:ICI65588 IMC65523:IME65588 IVY65523:IWA65588 JFU65523:JFW65588 JPQ65523:JPS65588 JZM65523:JZO65588 KJI65523:KJK65588 KTE65523:KTG65588 LDA65523:LDC65588 LMW65523:LMY65588 LWS65523:LWU65588 MGO65523:MGQ65588 MQK65523:MQM65588 NAG65523:NAI65588 NKC65523:NKE65588 NTY65523:NUA65588 ODU65523:ODW65588 ONQ65523:ONS65588 OXM65523:OXO65588 PHI65523:PHK65588 PRE65523:PRG65588 QBA65523:QBC65588 QKW65523:QKY65588 QUS65523:QUU65588 REO65523:REQ65588 ROK65523:ROM65588 RYG65523:RYI65588 SIC65523:SIE65588 SRY65523:SSA65588 TBU65523:TBW65588 TLQ65523:TLS65588 TVM65523:TVO65588 UFI65523:UFK65588 UPE65523:UPG65588 UZA65523:UZC65588 VIW65523:VIY65588 VSS65523:VSU65588 WCO65523:WCQ65588 WMK65523:WMM65588 WWG65523:WWI65588 Y131059:AA131124 JU131059:JW131124 TQ131059:TS131124 ADM131059:ADO131124 ANI131059:ANK131124 AXE131059:AXG131124 BHA131059:BHC131124 BQW131059:BQY131124 CAS131059:CAU131124 CKO131059:CKQ131124 CUK131059:CUM131124 DEG131059:DEI131124 DOC131059:DOE131124 DXY131059:DYA131124 EHU131059:EHW131124 ERQ131059:ERS131124 FBM131059:FBO131124 FLI131059:FLK131124 FVE131059:FVG131124 GFA131059:GFC131124 GOW131059:GOY131124 GYS131059:GYU131124 HIO131059:HIQ131124 HSK131059:HSM131124 ICG131059:ICI131124 IMC131059:IME131124 IVY131059:IWA131124 JFU131059:JFW131124 JPQ131059:JPS131124 JZM131059:JZO131124 KJI131059:KJK131124 KTE131059:KTG131124 LDA131059:LDC131124 LMW131059:LMY131124 LWS131059:LWU131124 MGO131059:MGQ131124 MQK131059:MQM131124 NAG131059:NAI131124 NKC131059:NKE131124 NTY131059:NUA131124 ODU131059:ODW131124 ONQ131059:ONS131124 OXM131059:OXO131124 PHI131059:PHK131124 PRE131059:PRG131124 QBA131059:QBC131124 QKW131059:QKY131124 QUS131059:QUU131124 REO131059:REQ131124 ROK131059:ROM131124 RYG131059:RYI131124 SIC131059:SIE131124 SRY131059:SSA131124 TBU131059:TBW131124 TLQ131059:TLS131124 TVM131059:TVO131124 UFI131059:UFK131124 UPE131059:UPG131124 UZA131059:UZC131124 VIW131059:VIY131124 VSS131059:VSU131124 WCO131059:WCQ131124 WMK131059:WMM131124 WWG131059:WWI131124 Y196595:AA196660 JU196595:JW196660 TQ196595:TS196660 ADM196595:ADO196660 ANI196595:ANK196660 AXE196595:AXG196660 BHA196595:BHC196660 BQW196595:BQY196660 CAS196595:CAU196660 CKO196595:CKQ196660 CUK196595:CUM196660 DEG196595:DEI196660 DOC196595:DOE196660 DXY196595:DYA196660 EHU196595:EHW196660 ERQ196595:ERS196660 FBM196595:FBO196660 FLI196595:FLK196660 FVE196595:FVG196660 GFA196595:GFC196660 GOW196595:GOY196660 GYS196595:GYU196660 HIO196595:HIQ196660 HSK196595:HSM196660 ICG196595:ICI196660 IMC196595:IME196660 IVY196595:IWA196660 JFU196595:JFW196660 JPQ196595:JPS196660 JZM196595:JZO196660 KJI196595:KJK196660 KTE196595:KTG196660 LDA196595:LDC196660 LMW196595:LMY196660 LWS196595:LWU196660 MGO196595:MGQ196660 MQK196595:MQM196660 NAG196595:NAI196660 NKC196595:NKE196660 NTY196595:NUA196660 ODU196595:ODW196660 ONQ196595:ONS196660 OXM196595:OXO196660 PHI196595:PHK196660 PRE196595:PRG196660 QBA196595:QBC196660 QKW196595:QKY196660 QUS196595:QUU196660 REO196595:REQ196660 ROK196595:ROM196660 RYG196595:RYI196660 SIC196595:SIE196660 SRY196595:SSA196660 TBU196595:TBW196660 TLQ196595:TLS196660 TVM196595:TVO196660 UFI196595:UFK196660 UPE196595:UPG196660 UZA196595:UZC196660 VIW196595:VIY196660 VSS196595:VSU196660 WCO196595:WCQ196660 WMK196595:WMM196660 WWG196595:WWI196660 Y262131:AA262196 JU262131:JW262196 TQ262131:TS262196 ADM262131:ADO262196 ANI262131:ANK262196 AXE262131:AXG262196 BHA262131:BHC262196 BQW262131:BQY262196 CAS262131:CAU262196 CKO262131:CKQ262196 CUK262131:CUM262196 DEG262131:DEI262196 DOC262131:DOE262196 DXY262131:DYA262196 EHU262131:EHW262196 ERQ262131:ERS262196 FBM262131:FBO262196 FLI262131:FLK262196 FVE262131:FVG262196 GFA262131:GFC262196 GOW262131:GOY262196 GYS262131:GYU262196 HIO262131:HIQ262196 HSK262131:HSM262196 ICG262131:ICI262196 IMC262131:IME262196 IVY262131:IWA262196 JFU262131:JFW262196 JPQ262131:JPS262196 JZM262131:JZO262196 KJI262131:KJK262196 KTE262131:KTG262196 LDA262131:LDC262196 LMW262131:LMY262196 LWS262131:LWU262196 MGO262131:MGQ262196 MQK262131:MQM262196 NAG262131:NAI262196 NKC262131:NKE262196 NTY262131:NUA262196 ODU262131:ODW262196 ONQ262131:ONS262196 OXM262131:OXO262196 PHI262131:PHK262196 PRE262131:PRG262196 QBA262131:QBC262196 QKW262131:QKY262196 QUS262131:QUU262196 REO262131:REQ262196 ROK262131:ROM262196 RYG262131:RYI262196 SIC262131:SIE262196 SRY262131:SSA262196 TBU262131:TBW262196 TLQ262131:TLS262196 TVM262131:TVO262196 UFI262131:UFK262196 UPE262131:UPG262196 UZA262131:UZC262196 VIW262131:VIY262196 VSS262131:VSU262196 WCO262131:WCQ262196 WMK262131:WMM262196 WWG262131:WWI262196 Y327667:AA327732 JU327667:JW327732 TQ327667:TS327732 ADM327667:ADO327732 ANI327667:ANK327732 AXE327667:AXG327732 BHA327667:BHC327732 BQW327667:BQY327732 CAS327667:CAU327732 CKO327667:CKQ327732 CUK327667:CUM327732 DEG327667:DEI327732 DOC327667:DOE327732 DXY327667:DYA327732 EHU327667:EHW327732 ERQ327667:ERS327732 FBM327667:FBO327732 FLI327667:FLK327732 FVE327667:FVG327732 GFA327667:GFC327732 GOW327667:GOY327732 GYS327667:GYU327732 HIO327667:HIQ327732 HSK327667:HSM327732 ICG327667:ICI327732 IMC327667:IME327732 IVY327667:IWA327732 JFU327667:JFW327732 JPQ327667:JPS327732 JZM327667:JZO327732 KJI327667:KJK327732 KTE327667:KTG327732 LDA327667:LDC327732 LMW327667:LMY327732 LWS327667:LWU327732 MGO327667:MGQ327732 MQK327667:MQM327732 NAG327667:NAI327732 NKC327667:NKE327732 NTY327667:NUA327732 ODU327667:ODW327732 ONQ327667:ONS327732 OXM327667:OXO327732 PHI327667:PHK327732 PRE327667:PRG327732 QBA327667:QBC327732 QKW327667:QKY327732 QUS327667:QUU327732 REO327667:REQ327732 ROK327667:ROM327732 RYG327667:RYI327732 SIC327667:SIE327732 SRY327667:SSA327732 TBU327667:TBW327732 TLQ327667:TLS327732 TVM327667:TVO327732 UFI327667:UFK327732 UPE327667:UPG327732 UZA327667:UZC327732 VIW327667:VIY327732 VSS327667:VSU327732 WCO327667:WCQ327732 WMK327667:WMM327732 WWG327667:WWI327732 Y393203:AA393268 JU393203:JW393268 TQ393203:TS393268 ADM393203:ADO393268 ANI393203:ANK393268 AXE393203:AXG393268 BHA393203:BHC393268 BQW393203:BQY393268 CAS393203:CAU393268 CKO393203:CKQ393268 CUK393203:CUM393268 DEG393203:DEI393268 DOC393203:DOE393268 DXY393203:DYA393268 EHU393203:EHW393268 ERQ393203:ERS393268 FBM393203:FBO393268 FLI393203:FLK393268 FVE393203:FVG393268 GFA393203:GFC393268 GOW393203:GOY393268 GYS393203:GYU393268 HIO393203:HIQ393268 HSK393203:HSM393268 ICG393203:ICI393268 IMC393203:IME393268 IVY393203:IWA393268 JFU393203:JFW393268 JPQ393203:JPS393268 JZM393203:JZO393268 KJI393203:KJK393268 KTE393203:KTG393268 LDA393203:LDC393268 LMW393203:LMY393268 LWS393203:LWU393268 MGO393203:MGQ393268 MQK393203:MQM393268 NAG393203:NAI393268 NKC393203:NKE393268 NTY393203:NUA393268 ODU393203:ODW393268 ONQ393203:ONS393268 OXM393203:OXO393268 PHI393203:PHK393268 PRE393203:PRG393268 QBA393203:QBC393268 QKW393203:QKY393268 QUS393203:QUU393268 REO393203:REQ393268 ROK393203:ROM393268 RYG393203:RYI393268 SIC393203:SIE393268 SRY393203:SSA393268 TBU393203:TBW393268 TLQ393203:TLS393268 TVM393203:TVO393268 UFI393203:UFK393268 UPE393203:UPG393268 UZA393203:UZC393268 VIW393203:VIY393268 VSS393203:VSU393268 WCO393203:WCQ393268 WMK393203:WMM393268 WWG393203:WWI393268 Y458739:AA458804 JU458739:JW458804 TQ458739:TS458804 ADM458739:ADO458804 ANI458739:ANK458804 AXE458739:AXG458804 BHA458739:BHC458804 BQW458739:BQY458804 CAS458739:CAU458804 CKO458739:CKQ458804 CUK458739:CUM458804 DEG458739:DEI458804 DOC458739:DOE458804 DXY458739:DYA458804 EHU458739:EHW458804 ERQ458739:ERS458804 FBM458739:FBO458804 FLI458739:FLK458804 FVE458739:FVG458804 GFA458739:GFC458804 GOW458739:GOY458804 GYS458739:GYU458804 HIO458739:HIQ458804 HSK458739:HSM458804 ICG458739:ICI458804 IMC458739:IME458804 IVY458739:IWA458804 JFU458739:JFW458804 JPQ458739:JPS458804 JZM458739:JZO458804 KJI458739:KJK458804 KTE458739:KTG458804 LDA458739:LDC458804 LMW458739:LMY458804 LWS458739:LWU458804 MGO458739:MGQ458804 MQK458739:MQM458804 NAG458739:NAI458804 NKC458739:NKE458804 NTY458739:NUA458804 ODU458739:ODW458804 ONQ458739:ONS458804 OXM458739:OXO458804 PHI458739:PHK458804 PRE458739:PRG458804 QBA458739:QBC458804 QKW458739:QKY458804 QUS458739:QUU458804 REO458739:REQ458804 ROK458739:ROM458804 RYG458739:RYI458804 SIC458739:SIE458804 SRY458739:SSA458804 TBU458739:TBW458804 TLQ458739:TLS458804 TVM458739:TVO458804 UFI458739:UFK458804 UPE458739:UPG458804 UZA458739:UZC458804 VIW458739:VIY458804 VSS458739:VSU458804 WCO458739:WCQ458804 WMK458739:WMM458804 WWG458739:WWI458804 Y524275:AA524340 JU524275:JW524340 TQ524275:TS524340 ADM524275:ADO524340 ANI524275:ANK524340 AXE524275:AXG524340 BHA524275:BHC524340 BQW524275:BQY524340 CAS524275:CAU524340 CKO524275:CKQ524340 CUK524275:CUM524340 DEG524275:DEI524340 DOC524275:DOE524340 DXY524275:DYA524340 EHU524275:EHW524340 ERQ524275:ERS524340 FBM524275:FBO524340 FLI524275:FLK524340 FVE524275:FVG524340 GFA524275:GFC524340 GOW524275:GOY524340 GYS524275:GYU524340 HIO524275:HIQ524340 HSK524275:HSM524340 ICG524275:ICI524340 IMC524275:IME524340 IVY524275:IWA524340 JFU524275:JFW524340 JPQ524275:JPS524340 JZM524275:JZO524340 KJI524275:KJK524340 KTE524275:KTG524340 LDA524275:LDC524340 LMW524275:LMY524340 LWS524275:LWU524340 MGO524275:MGQ524340 MQK524275:MQM524340 NAG524275:NAI524340 NKC524275:NKE524340 NTY524275:NUA524340 ODU524275:ODW524340 ONQ524275:ONS524340 OXM524275:OXO524340 PHI524275:PHK524340 PRE524275:PRG524340 QBA524275:QBC524340 QKW524275:QKY524340 QUS524275:QUU524340 REO524275:REQ524340 ROK524275:ROM524340 RYG524275:RYI524340 SIC524275:SIE524340 SRY524275:SSA524340 TBU524275:TBW524340 TLQ524275:TLS524340 TVM524275:TVO524340 UFI524275:UFK524340 UPE524275:UPG524340 UZA524275:UZC524340 VIW524275:VIY524340 VSS524275:VSU524340 WCO524275:WCQ524340 WMK524275:WMM524340 WWG524275:WWI524340 Y589811:AA589876 JU589811:JW589876 TQ589811:TS589876 ADM589811:ADO589876 ANI589811:ANK589876 AXE589811:AXG589876 BHA589811:BHC589876 BQW589811:BQY589876 CAS589811:CAU589876 CKO589811:CKQ589876 CUK589811:CUM589876 DEG589811:DEI589876 DOC589811:DOE589876 DXY589811:DYA589876 EHU589811:EHW589876 ERQ589811:ERS589876 FBM589811:FBO589876 FLI589811:FLK589876 FVE589811:FVG589876 GFA589811:GFC589876 GOW589811:GOY589876 GYS589811:GYU589876 HIO589811:HIQ589876 HSK589811:HSM589876 ICG589811:ICI589876 IMC589811:IME589876 IVY589811:IWA589876 JFU589811:JFW589876 JPQ589811:JPS589876 JZM589811:JZO589876 KJI589811:KJK589876 KTE589811:KTG589876 LDA589811:LDC589876 LMW589811:LMY589876 LWS589811:LWU589876 MGO589811:MGQ589876 MQK589811:MQM589876 NAG589811:NAI589876 NKC589811:NKE589876 NTY589811:NUA589876 ODU589811:ODW589876 ONQ589811:ONS589876 OXM589811:OXO589876 PHI589811:PHK589876 PRE589811:PRG589876 QBA589811:QBC589876 QKW589811:QKY589876 QUS589811:QUU589876 REO589811:REQ589876 ROK589811:ROM589876 RYG589811:RYI589876 SIC589811:SIE589876 SRY589811:SSA589876 TBU589811:TBW589876 TLQ589811:TLS589876 TVM589811:TVO589876 UFI589811:UFK589876 UPE589811:UPG589876 UZA589811:UZC589876 VIW589811:VIY589876 VSS589811:VSU589876 WCO589811:WCQ589876 WMK589811:WMM589876 WWG589811:WWI589876 Y655347:AA655412 JU655347:JW655412 TQ655347:TS655412 ADM655347:ADO655412 ANI655347:ANK655412 AXE655347:AXG655412 BHA655347:BHC655412 BQW655347:BQY655412 CAS655347:CAU655412 CKO655347:CKQ655412 CUK655347:CUM655412 DEG655347:DEI655412 DOC655347:DOE655412 DXY655347:DYA655412 EHU655347:EHW655412 ERQ655347:ERS655412 FBM655347:FBO655412 FLI655347:FLK655412 FVE655347:FVG655412 GFA655347:GFC655412 GOW655347:GOY655412 GYS655347:GYU655412 HIO655347:HIQ655412 HSK655347:HSM655412 ICG655347:ICI655412 IMC655347:IME655412 IVY655347:IWA655412 JFU655347:JFW655412 JPQ655347:JPS655412 JZM655347:JZO655412 KJI655347:KJK655412 KTE655347:KTG655412 LDA655347:LDC655412 LMW655347:LMY655412 LWS655347:LWU655412 MGO655347:MGQ655412 MQK655347:MQM655412 NAG655347:NAI655412 NKC655347:NKE655412 NTY655347:NUA655412 ODU655347:ODW655412 ONQ655347:ONS655412 OXM655347:OXO655412 PHI655347:PHK655412 PRE655347:PRG655412 QBA655347:QBC655412 QKW655347:QKY655412 QUS655347:QUU655412 REO655347:REQ655412 ROK655347:ROM655412 RYG655347:RYI655412 SIC655347:SIE655412 SRY655347:SSA655412 TBU655347:TBW655412 TLQ655347:TLS655412 TVM655347:TVO655412 UFI655347:UFK655412 UPE655347:UPG655412 UZA655347:UZC655412 VIW655347:VIY655412 VSS655347:VSU655412 WCO655347:WCQ655412 WMK655347:WMM655412 WWG655347:WWI655412 Y720883:AA720948 JU720883:JW720948 TQ720883:TS720948 ADM720883:ADO720948 ANI720883:ANK720948 AXE720883:AXG720948 BHA720883:BHC720948 BQW720883:BQY720948 CAS720883:CAU720948 CKO720883:CKQ720948 CUK720883:CUM720948 DEG720883:DEI720948 DOC720883:DOE720948 DXY720883:DYA720948 EHU720883:EHW720948 ERQ720883:ERS720948 FBM720883:FBO720948 FLI720883:FLK720948 FVE720883:FVG720948 GFA720883:GFC720948 GOW720883:GOY720948 GYS720883:GYU720948 HIO720883:HIQ720948 HSK720883:HSM720948 ICG720883:ICI720948 IMC720883:IME720948 IVY720883:IWA720948 JFU720883:JFW720948 JPQ720883:JPS720948 JZM720883:JZO720948 KJI720883:KJK720948 KTE720883:KTG720948 LDA720883:LDC720948 LMW720883:LMY720948 LWS720883:LWU720948 MGO720883:MGQ720948 MQK720883:MQM720948 NAG720883:NAI720948 NKC720883:NKE720948 NTY720883:NUA720948 ODU720883:ODW720948 ONQ720883:ONS720948 OXM720883:OXO720948 PHI720883:PHK720948 PRE720883:PRG720948 QBA720883:QBC720948 QKW720883:QKY720948 QUS720883:QUU720948 REO720883:REQ720948 ROK720883:ROM720948 RYG720883:RYI720948 SIC720883:SIE720948 SRY720883:SSA720948 TBU720883:TBW720948 TLQ720883:TLS720948 TVM720883:TVO720948 UFI720883:UFK720948 UPE720883:UPG720948 UZA720883:UZC720948 VIW720883:VIY720948 VSS720883:VSU720948 WCO720883:WCQ720948 WMK720883:WMM720948 WWG720883:WWI720948 Y786419:AA786484 JU786419:JW786484 TQ786419:TS786484 ADM786419:ADO786484 ANI786419:ANK786484 AXE786419:AXG786484 BHA786419:BHC786484 BQW786419:BQY786484 CAS786419:CAU786484 CKO786419:CKQ786484 CUK786419:CUM786484 DEG786419:DEI786484 DOC786419:DOE786484 DXY786419:DYA786484 EHU786419:EHW786484 ERQ786419:ERS786484 FBM786419:FBO786484 FLI786419:FLK786484 FVE786419:FVG786484 GFA786419:GFC786484 GOW786419:GOY786484 GYS786419:GYU786484 HIO786419:HIQ786484 HSK786419:HSM786484 ICG786419:ICI786484 IMC786419:IME786484 IVY786419:IWA786484 JFU786419:JFW786484 JPQ786419:JPS786484 JZM786419:JZO786484 KJI786419:KJK786484 KTE786419:KTG786484 LDA786419:LDC786484 LMW786419:LMY786484 LWS786419:LWU786484 MGO786419:MGQ786484 MQK786419:MQM786484 NAG786419:NAI786484 NKC786419:NKE786484 NTY786419:NUA786484 ODU786419:ODW786484 ONQ786419:ONS786484 OXM786419:OXO786484 PHI786419:PHK786484 PRE786419:PRG786484 QBA786419:QBC786484 QKW786419:QKY786484 QUS786419:QUU786484 REO786419:REQ786484 ROK786419:ROM786484 RYG786419:RYI786484 SIC786419:SIE786484 SRY786419:SSA786484 TBU786419:TBW786484 TLQ786419:TLS786484 TVM786419:TVO786484 UFI786419:UFK786484 UPE786419:UPG786484 UZA786419:UZC786484 VIW786419:VIY786484 VSS786419:VSU786484 WCO786419:WCQ786484 WMK786419:WMM786484 WWG786419:WWI786484 Y851955:AA852020 JU851955:JW852020 TQ851955:TS852020 ADM851955:ADO852020 ANI851955:ANK852020 AXE851955:AXG852020 BHA851955:BHC852020 BQW851955:BQY852020 CAS851955:CAU852020 CKO851955:CKQ852020 CUK851955:CUM852020 DEG851955:DEI852020 DOC851955:DOE852020 DXY851955:DYA852020 EHU851955:EHW852020 ERQ851955:ERS852020 FBM851955:FBO852020 FLI851955:FLK852020 FVE851955:FVG852020 GFA851955:GFC852020 GOW851955:GOY852020 GYS851955:GYU852020 HIO851955:HIQ852020 HSK851955:HSM852020 ICG851955:ICI852020 IMC851955:IME852020 IVY851955:IWA852020 JFU851955:JFW852020 JPQ851955:JPS852020 JZM851955:JZO852020 KJI851955:KJK852020 KTE851955:KTG852020 LDA851955:LDC852020 LMW851955:LMY852020 LWS851955:LWU852020 MGO851955:MGQ852020 MQK851955:MQM852020 NAG851955:NAI852020 NKC851955:NKE852020 NTY851955:NUA852020 ODU851955:ODW852020 ONQ851955:ONS852020 OXM851955:OXO852020 PHI851955:PHK852020 PRE851955:PRG852020 QBA851955:QBC852020 QKW851955:QKY852020 QUS851955:QUU852020 REO851955:REQ852020 ROK851955:ROM852020 RYG851955:RYI852020 SIC851955:SIE852020 SRY851955:SSA852020 TBU851955:TBW852020 TLQ851955:TLS852020 TVM851955:TVO852020 UFI851955:UFK852020 UPE851955:UPG852020 UZA851955:UZC852020 VIW851955:VIY852020 VSS851955:VSU852020 WCO851955:WCQ852020 WMK851955:WMM852020 WWG851955:WWI852020 Y917491:AA917556 JU917491:JW917556 TQ917491:TS917556 ADM917491:ADO917556 ANI917491:ANK917556 AXE917491:AXG917556 BHA917491:BHC917556 BQW917491:BQY917556 CAS917491:CAU917556 CKO917491:CKQ917556 CUK917491:CUM917556 DEG917491:DEI917556 DOC917491:DOE917556 DXY917491:DYA917556 EHU917491:EHW917556 ERQ917491:ERS917556 FBM917491:FBO917556 FLI917491:FLK917556 FVE917491:FVG917556 GFA917491:GFC917556 GOW917491:GOY917556 GYS917491:GYU917556 HIO917491:HIQ917556 HSK917491:HSM917556 ICG917491:ICI917556 IMC917491:IME917556 IVY917491:IWA917556 JFU917491:JFW917556 JPQ917491:JPS917556 JZM917491:JZO917556 KJI917491:KJK917556 KTE917491:KTG917556 LDA917491:LDC917556 LMW917491:LMY917556 LWS917491:LWU917556 MGO917491:MGQ917556 MQK917491:MQM917556 NAG917491:NAI917556 NKC917491:NKE917556 NTY917491:NUA917556 ODU917491:ODW917556 ONQ917491:ONS917556 OXM917491:OXO917556 PHI917491:PHK917556 PRE917491:PRG917556 QBA917491:QBC917556 QKW917491:QKY917556 QUS917491:QUU917556 REO917491:REQ917556 ROK917491:ROM917556 RYG917491:RYI917556 SIC917491:SIE917556 SRY917491:SSA917556 TBU917491:TBW917556 TLQ917491:TLS917556 TVM917491:TVO917556 UFI917491:UFK917556 UPE917491:UPG917556 UZA917491:UZC917556 VIW917491:VIY917556 VSS917491:VSU917556 WCO917491:WCQ917556 WMK917491:WMM917556 WWG917491:WWI917556 Y983027:AA983092 JU983027:JW983092 TQ983027:TS983092 ADM983027:ADO983092 ANI983027:ANK983092 AXE983027:AXG983092 BHA983027:BHC983092 BQW983027:BQY983092 CAS983027:CAU983092 CKO983027:CKQ983092 CUK983027:CUM983092 DEG983027:DEI983092 DOC983027:DOE983092 DXY983027:DYA983092 EHU983027:EHW983092 ERQ983027:ERS983092 FBM983027:FBO983092 FLI983027:FLK983092 FVE983027:FVG983092 GFA983027:GFC983092 GOW983027:GOY983092 GYS983027:GYU983092 HIO983027:HIQ983092 HSK983027:HSM983092 ICG983027:ICI983092 IMC983027:IME983092 IVY983027:IWA983092 JFU983027:JFW983092 JPQ983027:JPS983092 JZM983027:JZO983092 KJI983027:KJK983092 KTE983027:KTG983092 LDA983027:LDC983092 LMW983027:LMY983092 LWS983027:LWU983092 MGO983027:MGQ983092 MQK983027:MQM983092 NAG983027:NAI983092 NKC983027:NKE983092 NTY983027:NUA983092 ODU983027:ODW983092 ONQ983027:ONS983092 OXM983027:OXO983092 PHI983027:PHK983092 PRE983027:PRG983092 QBA983027:QBC983092 QKW983027:QKY983092 QUS983027:QUU983092 REO983027:REQ983092 ROK983027:ROM983092 RYG983027:RYI983092 SIC983027:SIE983092 SRY983027:SSA983092 TBU983027:TBW983092 TLQ983027:TLS983092 TVM983027:TVO983092 UFI983027:UFK983092 UPE983027:UPG983092 UZA983027:UZC983092 VIW983027:VIY983092 VSS983027:VSU983092 WCO983027:WCQ983092 WMK983027:WMM983092 WWG2:WWI72 JU2:JW72 TQ2:TS72 ADM2:ADO72 ANI2:ANK72 AXE2:AXG72 BHA2:BHC72 BQW2:BQY72 CAS2:CAU72 CKO2:CKQ72 CUK2:CUM72 DEG2:DEI72 DOC2:DOE72 DXY2:DYA72 EHU2:EHW72 ERQ2:ERS72 FBM2:FBO72 FLI2:FLK72 FVE2:FVG72 GFA2:GFC72 GOW2:GOY72 GYS2:GYU72 HIO2:HIQ72 HSK2:HSM72 ICG2:ICI72 IMC2:IME72 IVY2:IWA72 JFU2:JFW72 JPQ2:JPS72 JZM2:JZO72 KJI2:KJK72 KTE2:KTG72 LDA2:LDC72 LMW2:LMY72 LWS2:LWU72 MGO2:MGQ72 MQK2:MQM72 NAG2:NAI72 NKC2:NKE72 NTY2:NUA72 ODU2:ODW72 ONQ2:ONS72 OXM2:OXO72 PHI2:PHK72 PRE2:PRG72 QBA2:QBC72 QKW2:QKY72 QUS2:QUU72 REO2:REQ72 ROK2:ROM72 RYG2:RYI72 SIC2:SIE72 SRY2:SSA72 TBU2:TBW72 TLQ2:TLS72 TVM2:TVO72 UFI2:UFK72 UPE2:UPG72 UZA2:UZC72 VIW2:VIY72 VSS2:VSU72 WCO2:WCQ72 WMK2:WMM72" xr:uid="{A2E1257F-6552-4829-9F45-E617D77A0042}">
      <formula1>$AV$2:$AV$20</formula1>
    </dataValidation>
    <dataValidation type="list" allowBlank="1" showInputMessage="1" showErrorMessage="1" sqref="H64348:H64413 JD64348:JD64413 SZ64348:SZ64413 ACV64348:ACV64413 AMR64348:AMR64413 AWN64348:AWN64413 BGJ64348:BGJ64413 BQF64348:BQF64413 CAB64348:CAB64413 CJX64348:CJX64413 CTT64348:CTT64413 DDP64348:DDP64413 DNL64348:DNL64413 DXH64348:DXH64413 EHD64348:EHD64413 EQZ64348:EQZ64413 FAV64348:FAV64413 FKR64348:FKR64413 FUN64348:FUN64413 GEJ64348:GEJ64413 GOF64348:GOF64413 GYB64348:GYB64413 HHX64348:HHX64413 HRT64348:HRT64413 IBP64348:IBP64413 ILL64348:ILL64413 IVH64348:IVH64413 JFD64348:JFD64413 JOZ64348:JOZ64413 JYV64348:JYV64413 KIR64348:KIR64413 KSN64348:KSN64413 LCJ64348:LCJ64413 LMF64348:LMF64413 LWB64348:LWB64413 MFX64348:MFX64413 MPT64348:MPT64413 MZP64348:MZP64413 NJL64348:NJL64413 NTH64348:NTH64413 ODD64348:ODD64413 OMZ64348:OMZ64413 OWV64348:OWV64413 PGR64348:PGR64413 PQN64348:PQN64413 QAJ64348:QAJ64413 QKF64348:QKF64413 QUB64348:QUB64413 RDX64348:RDX64413 RNT64348:RNT64413 RXP64348:RXP64413 SHL64348:SHL64413 SRH64348:SRH64413 TBD64348:TBD64413 TKZ64348:TKZ64413 TUV64348:TUV64413 UER64348:UER64413 UON64348:UON64413 UYJ64348:UYJ64413 VIF64348:VIF64413 VSB64348:VSB64413 WBX64348:WBX64413 WLT64348:WLT64413 WVP64348:WVP64413 H129884:H129949 JD129884:JD129949 SZ129884:SZ129949 ACV129884:ACV129949 AMR129884:AMR129949 AWN129884:AWN129949 BGJ129884:BGJ129949 BQF129884:BQF129949 CAB129884:CAB129949 CJX129884:CJX129949 CTT129884:CTT129949 DDP129884:DDP129949 DNL129884:DNL129949 DXH129884:DXH129949 EHD129884:EHD129949 EQZ129884:EQZ129949 FAV129884:FAV129949 FKR129884:FKR129949 FUN129884:FUN129949 GEJ129884:GEJ129949 GOF129884:GOF129949 GYB129884:GYB129949 HHX129884:HHX129949 HRT129884:HRT129949 IBP129884:IBP129949 ILL129884:ILL129949 IVH129884:IVH129949 JFD129884:JFD129949 JOZ129884:JOZ129949 JYV129884:JYV129949 KIR129884:KIR129949 KSN129884:KSN129949 LCJ129884:LCJ129949 LMF129884:LMF129949 LWB129884:LWB129949 MFX129884:MFX129949 MPT129884:MPT129949 MZP129884:MZP129949 NJL129884:NJL129949 NTH129884:NTH129949 ODD129884:ODD129949 OMZ129884:OMZ129949 OWV129884:OWV129949 PGR129884:PGR129949 PQN129884:PQN129949 QAJ129884:QAJ129949 QKF129884:QKF129949 QUB129884:QUB129949 RDX129884:RDX129949 RNT129884:RNT129949 RXP129884:RXP129949 SHL129884:SHL129949 SRH129884:SRH129949 TBD129884:TBD129949 TKZ129884:TKZ129949 TUV129884:TUV129949 UER129884:UER129949 UON129884:UON129949 UYJ129884:UYJ129949 VIF129884:VIF129949 VSB129884:VSB129949 WBX129884:WBX129949 WLT129884:WLT129949 WVP129884:WVP129949 H195420:H195485 JD195420:JD195485 SZ195420:SZ195485 ACV195420:ACV195485 AMR195420:AMR195485 AWN195420:AWN195485 BGJ195420:BGJ195485 BQF195420:BQF195485 CAB195420:CAB195485 CJX195420:CJX195485 CTT195420:CTT195485 DDP195420:DDP195485 DNL195420:DNL195485 DXH195420:DXH195485 EHD195420:EHD195485 EQZ195420:EQZ195485 FAV195420:FAV195485 FKR195420:FKR195485 FUN195420:FUN195485 GEJ195420:GEJ195485 GOF195420:GOF195485 GYB195420:GYB195485 HHX195420:HHX195485 HRT195420:HRT195485 IBP195420:IBP195485 ILL195420:ILL195485 IVH195420:IVH195485 JFD195420:JFD195485 JOZ195420:JOZ195485 JYV195420:JYV195485 KIR195420:KIR195485 KSN195420:KSN195485 LCJ195420:LCJ195485 LMF195420:LMF195485 LWB195420:LWB195485 MFX195420:MFX195485 MPT195420:MPT195485 MZP195420:MZP195485 NJL195420:NJL195485 NTH195420:NTH195485 ODD195420:ODD195485 OMZ195420:OMZ195485 OWV195420:OWV195485 PGR195420:PGR195485 PQN195420:PQN195485 QAJ195420:QAJ195485 QKF195420:QKF195485 QUB195420:QUB195485 RDX195420:RDX195485 RNT195420:RNT195485 RXP195420:RXP195485 SHL195420:SHL195485 SRH195420:SRH195485 TBD195420:TBD195485 TKZ195420:TKZ195485 TUV195420:TUV195485 UER195420:UER195485 UON195420:UON195485 UYJ195420:UYJ195485 VIF195420:VIF195485 VSB195420:VSB195485 WBX195420:WBX195485 WLT195420:WLT195485 WVP195420:WVP195485 H260956:H261021 JD260956:JD261021 SZ260956:SZ261021 ACV260956:ACV261021 AMR260956:AMR261021 AWN260956:AWN261021 BGJ260956:BGJ261021 BQF260956:BQF261021 CAB260956:CAB261021 CJX260956:CJX261021 CTT260956:CTT261021 DDP260956:DDP261021 DNL260956:DNL261021 DXH260956:DXH261021 EHD260956:EHD261021 EQZ260956:EQZ261021 FAV260956:FAV261021 FKR260956:FKR261021 FUN260956:FUN261021 GEJ260956:GEJ261021 GOF260956:GOF261021 GYB260956:GYB261021 HHX260956:HHX261021 HRT260956:HRT261021 IBP260956:IBP261021 ILL260956:ILL261021 IVH260956:IVH261021 JFD260956:JFD261021 JOZ260956:JOZ261021 JYV260956:JYV261021 KIR260956:KIR261021 KSN260956:KSN261021 LCJ260956:LCJ261021 LMF260956:LMF261021 LWB260956:LWB261021 MFX260956:MFX261021 MPT260956:MPT261021 MZP260956:MZP261021 NJL260956:NJL261021 NTH260956:NTH261021 ODD260956:ODD261021 OMZ260956:OMZ261021 OWV260956:OWV261021 PGR260956:PGR261021 PQN260956:PQN261021 QAJ260956:QAJ261021 QKF260956:QKF261021 QUB260956:QUB261021 RDX260956:RDX261021 RNT260956:RNT261021 RXP260956:RXP261021 SHL260956:SHL261021 SRH260956:SRH261021 TBD260956:TBD261021 TKZ260956:TKZ261021 TUV260956:TUV261021 UER260956:UER261021 UON260956:UON261021 UYJ260956:UYJ261021 VIF260956:VIF261021 VSB260956:VSB261021 WBX260956:WBX261021 WLT260956:WLT261021 WVP260956:WVP261021 H326492:H326557 JD326492:JD326557 SZ326492:SZ326557 ACV326492:ACV326557 AMR326492:AMR326557 AWN326492:AWN326557 BGJ326492:BGJ326557 BQF326492:BQF326557 CAB326492:CAB326557 CJX326492:CJX326557 CTT326492:CTT326557 DDP326492:DDP326557 DNL326492:DNL326557 DXH326492:DXH326557 EHD326492:EHD326557 EQZ326492:EQZ326557 FAV326492:FAV326557 FKR326492:FKR326557 FUN326492:FUN326557 GEJ326492:GEJ326557 GOF326492:GOF326557 GYB326492:GYB326557 HHX326492:HHX326557 HRT326492:HRT326557 IBP326492:IBP326557 ILL326492:ILL326557 IVH326492:IVH326557 JFD326492:JFD326557 JOZ326492:JOZ326557 JYV326492:JYV326557 KIR326492:KIR326557 KSN326492:KSN326557 LCJ326492:LCJ326557 LMF326492:LMF326557 LWB326492:LWB326557 MFX326492:MFX326557 MPT326492:MPT326557 MZP326492:MZP326557 NJL326492:NJL326557 NTH326492:NTH326557 ODD326492:ODD326557 OMZ326492:OMZ326557 OWV326492:OWV326557 PGR326492:PGR326557 PQN326492:PQN326557 QAJ326492:QAJ326557 QKF326492:QKF326557 QUB326492:QUB326557 RDX326492:RDX326557 RNT326492:RNT326557 RXP326492:RXP326557 SHL326492:SHL326557 SRH326492:SRH326557 TBD326492:TBD326557 TKZ326492:TKZ326557 TUV326492:TUV326557 UER326492:UER326557 UON326492:UON326557 UYJ326492:UYJ326557 VIF326492:VIF326557 VSB326492:VSB326557 WBX326492:WBX326557 WLT326492:WLT326557 WVP326492:WVP326557 H392028:H392093 JD392028:JD392093 SZ392028:SZ392093 ACV392028:ACV392093 AMR392028:AMR392093 AWN392028:AWN392093 BGJ392028:BGJ392093 BQF392028:BQF392093 CAB392028:CAB392093 CJX392028:CJX392093 CTT392028:CTT392093 DDP392028:DDP392093 DNL392028:DNL392093 DXH392028:DXH392093 EHD392028:EHD392093 EQZ392028:EQZ392093 FAV392028:FAV392093 FKR392028:FKR392093 FUN392028:FUN392093 GEJ392028:GEJ392093 GOF392028:GOF392093 GYB392028:GYB392093 HHX392028:HHX392093 HRT392028:HRT392093 IBP392028:IBP392093 ILL392028:ILL392093 IVH392028:IVH392093 JFD392028:JFD392093 JOZ392028:JOZ392093 JYV392028:JYV392093 KIR392028:KIR392093 KSN392028:KSN392093 LCJ392028:LCJ392093 LMF392028:LMF392093 LWB392028:LWB392093 MFX392028:MFX392093 MPT392028:MPT392093 MZP392028:MZP392093 NJL392028:NJL392093 NTH392028:NTH392093 ODD392028:ODD392093 OMZ392028:OMZ392093 OWV392028:OWV392093 PGR392028:PGR392093 PQN392028:PQN392093 QAJ392028:QAJ392093 QKF392028:QKF392093 QUB392028:QUB392093 RDX392028:RDX392093 RNT392028:RNT392093 RXP392028:RXP392093 SHL392028:SHL392093 SRH392028:SRH392093 TBD392028:TBD392093 TKZ392028:TKZ392093 TUV392028:TUV392093 UER392028:UER392093 UON392028:UON392093 UYJ392028:UYJ392093 VIF392028:VIF392093 VSB392028:VSB392093 WBX392028:WBX392093 WLT392028:WLT392093 WVP392028:WVP392093 H457564:H457629 JD457564:JD457629 SZ457564:SZ457629 ACV457564:ACV457629 AMR457564:AMR457629 AWN457564:AWN457629 BGJ457564:BGJ457629 BQF457564:BQF457629 CAB457564:CAB457629 CJX457564:CJX457629 CTT457564:CTT457629 DDP457564:DDP457629 DNL457564:DNL457629 DXH457564:DXH457629 EHD457564:EHD457629 EQZ457564:EQZ457629 FAV457564:FAV457629 FKR457564:FKR457629 FUN457564:FUN457629 GEJ457564:GEJ457629 GOF457564:GOF457629 GYB457564:GYB457629 HHX457564:HHX457629 HRT457564:HRT457629 IBP457564:IBP457629 ILL457564:ILL457629 IVH457564:IVH457629 JFD457564:JFD457629 JOZ457564:JOZ457629 JYV457564:JYV457629 KIR457564:KIR457629 KSN457564:KSN457629 LCJ457564:LCJ457629 LMF457564:LMF457629 LWB457564:LWB457629 MFX457564:MFX457629 MPT457564:MPT457629 MZP457564:MZP457629 NJL457564:NJL457629 NTH457564:NTH457629 ODD457564:ODD457629 OMZ457564:OMZ457629 OWV457564:OWV457629 PGR457564:PGR457629 PQN457564:PQN457629 QAJ457564:QAJ457629 QKF457564:QKF457629 QUB457564:QUB457629 RDX457564:RDX457629 RNT457564:RNT457629 RXP457564:RXP457629 SHL457564:SHL457629 SRH457564:SRH457629 TBD457564:TBD457629 TKZ457564:TKZ457629 TUV457564:TUV457629 UER457564:UER457629 UON457564:UON457629 UYJ457564:UYJ457629 VIF457564:VIF457629 VSB457564:VSB457629 WBX457564:WBX457629 WLT457564:WLT457629 WVP457564:WVP457629 H523100:H523165 JD523100:JD523165 SZ523100:SZ523165 ACV523100:ACV523165 AMR523100:AMR523165 AWN523100:AWN523165 BGJ523100:BGJ523165 BQF523100:BQF523165 CAB523100:CAB523165 CJX523100:CJX523165 CTT523100:CTT523165 DDP523100:DDP523165 DNL523100:DNL523165 DXH523100:DXH523165 EHD523100:EHD523165 EQZ523100:EQZ523165 FAV523100:FAV523165 FKR523100:FKR523165 FUN523100:FUN523165 GEJ523100:GEJ523165 GOF523100:GOF523165 GYB523100:GYB523165 HHX523100:HHX523165 HRT523100:HRT523165 IBP523100:IBP523165 ILL523100:ILL523165 IVH523100:IVH523165 JFD523100:JFD523165 JOZ523100:JOZ523165 JYV523100:JYV523165 KIR523100:KIR523165 KSN523100:KSN523165 LCJ523100:LCJ523165 LMF523100:LMF523165 LWB523100:LWB523165 MFX523100:MFX523165 MPT523100:MPT523165 MZP523100:MZP523165 NJL523100:NJL523165 NTH523100:NTH523165 ODD523100:ODD523165 OMZ523100:OMZ523165 OWV523100:OWV523165 PGR523100:PGR523165 PQN523100:PQN523165 QAJ523100:QAJ523165 QKF523100:QKF523165 QUB523100:QUB523165 RDX523100:RDX523165 RNT523100:RNT523165 RXP523100:RXP523165 SHL523100:SHL523165 SRH523100:SRH523165 TBD523100:TBD523165 TKZ523100:TKZ523165 TUV523100:TUV523165 UER523100:UER523165 UON523100:UON523165 UYJ523100:UYJ523165 VIF523100:VIF523165 VSB523100:VSB523165 WBX523100:WBX523165 WLT523100:WLT523165 WVP523100:WVP523165 H588636:H588701 JD588636:JD588701 SZ588636:SZ588701 ACV588636:ACV588701 AMR588636:AMR588701 AWN588636:AWN588701 BGJ588636:BGJ588701 BQF588636:BQF588701 CAB588636:CAB588701 CJX588636:CJX588701 CTT588636:CTT588701 DDP588636:DDP588701 DNL588636:DNL588701 DXH588636:DXH588701 EHD588636:EHD588701 EQZ588636:EQZ588701 FAV588636:FAV588701 FKR588636:FKR588701 FUN588636:FUN588701 GEJ588636:GEJ588701 GOF588636:GOF588701 GYB588636:GYB588701 HHX588636:HHX588701 HRT588636:HRT588701 IBP588636:IBP588701 ILL588636:ILL588701 IVH588636:IVH588701 JFD588636:JFD588701 JOZ588636:JOZ588701 JYV588636:JYV588701 KIR588636:KIR588701 KSN588636:KSN588701 LCJ588636:LCJ588701 LMF588636:LMF588701 LWB588636:LWB588701 MFX588636:MFX588701 MPT588636:MPT588701 MZP588636:MZP588701 NJL588636:NJL588701 NTH588636:NTH588701 ODD588636:ODD588701 OMZ588636:OMZ588701 OWV588636:OWV588701 PGR588636:PGR588701 PQN588636:PQN588701 QAJ588636:QAJ588701 QKF588636:QKF588701 QUB588636:QUB588701 RDX588636:RDX588701 RNT588636:RNT588701 RXP588636:RXP588701 SHL588636:SHL588701 SRH588636:SRH588701 TBD588636:TBD588701 TKZ588636:TKZ588701 TUV588636:TUV588701 UER588636:UER588701 UON588636:UON588701 UYJ588636:UYJ588701 VIF588636:VIF588701 VSB588636:VSB588701 WBX588636:WBX588701 WLT588636:WLT588701 WVP588636:WVP588701 H654172:H654237 JD654172:JD654237 SZ654172:SZ654237 ACV654172:ACV654237 AMR654172:AMR654237 AWN654172:AWN654237 BGJ654172:BGJ654237 BQF654172:BQF654237 CAB654172:CAB654237 CJX654172:CJX654237 CTT654172:CTT654237 DDP654172:DDP654237 DNL654172:DNL654237 DXH654172:DXH654237 EHD654172:EHD654237 EQZ654172:EQZ654237 FAV654172:FAV654237 FKR654172:FKR654237 FUN654172:FUN654237 GEJ654172:GEJ654237 GOF654172:GOF654237 GYB654172:GYB654237 HHX654172:HHX654237 HRT654172:HRT654237 IBP654172:IBP654237 ILL654172:ILL654237 IVH654172:IVH654237 JFD654172:JFD654237 JOZ654172:JOZ654237 JYV654172:JYV654237 KIR654172:KIR654237 KSN654172:KSN654237 LCJ654172:LCJ654237 LMF654172:LMF654237 LWB654172:LWB654237 MFX654172:MFX654237 MPT654172:MPT654237 MZP654172:MZP654237 NJL654172:NJL654237 NTH654172:NTH654237 ODD654172:ODD654237 OMZ654172:OMZ654237 OWV654172:OWV654237 PGR654172:PGR654237 PQN654172:PQN654237 QAJ654172:QAJ654237 QKF654172:QKF654237 QUB654172:QUB654237 RDX654172:RDX654237 RNT654172:RNT654237 RXP654172:RXP654237 SHL654172:SHL654237 SRH654172:SRH654237 TBD654172:TBD654237 TKZ654172:TKZ654237 TUV654172:TUV654237 UER654172:UER654237 UON654172:UON654237 UYJ654172:UYJ654237 VIF654172:VIF654237 VSB654172:VSB654237 WBX654172:WBX654237 WLT654172:WLT654237 WVP654172:WVP654237 H719708:H719773 JD719708:JD719773 SZ719708:SZ719773 ACV719708:ACV719773 AMR719708:AMR719773 AWN719708:AWN719773 BGJ719708:BGJ719773 BQF719708:BQF719773 CAB719708:CAB719773 CJX719708:CJX719773 CTT719708:CTT719773 DDP719708:DDP719773 DNL719708:DNL719773 DXH719708:DXH719773 EHD719708:EHD719773 EQZ719708:EQZ719773 FAV719708:FAV719773 FKR719708:FKR719773 FUN719708:FUN719773 GEJ719708:GEJ719773 GOF719708:GOF719773 GYB719708:GYB719773 HHX719708:HHX719773 HRT719708:HRT719773 IBP719708:IBP719773 ILL719708:ILL719773 IVH719708:IVH719773 JFD719708:JFD719773 JOZ719708:JOZ719773 JYV719708:JYV719773 KIR719708:KIR719773 KSN719708:KSN719773 LCJ719708:LCJ719773 LMF719708:LMF719773 LWB719708:LWB719773 MFX719708:MFX719773 MPT719708:MPT719773 MZP719708:MZP719773 NJL719708:NJL719773 NTH719708:NTH719773 ODD719708:ODD719773 OMZ719708:OMZ719773 OWV719708:OWV719773 PGR719708:PGR719773 PQN719708:PQN719773 QAJ719708:QAJ719773 QKF719708:QKF719773 QUB719708:QUB719773 RDX719708:RDX719773 RNT719708:RNT719773 RXP719708:RXP719773 SHL719708:SHL719773 SRH719708:SRH719773 TBD719708:TBD719773 TKZ719708:TKZ719773 TUV719708:TUV719773 UER719708:UER719773 UON719708:UON719773 UYJ719708:UYJ719773 VIF719708:VIF719773 VSB719708:VSB719773 WBX719708:WBX719773 WLT719708:WLT719773 WVP719708:WVP719773 H785244:H785309 JD785244:JD785309 SZ785244:SZ785309 ACV785244:ACV785309 AMR785244:AMR785309 AWN785244:AWN785309 BGJ785244:BGJ785309 BQF785244:BQF785309 CAB785244:CAB785309 CJX785244:CJX785309 CTT785244:CTT785309 DDP785244:DDP785309 DNL785244:DNL785309 DXH785244:DXH785309 EHD785244:EHD785309 EQZ785244:EQZ785309 FAV785244:FAV785309 FKR785244:FKR785309 FUN785244:FUN785309 GEJ785244:GEJ785309 GOF785244:GOF785309 GYB785244:GYB785309 HHX785244:HHX785309 HRT785244:HRT785309 IBP785244:IBP785309 ILL785244:ILL785309 IVH785244:IVH785309 JFD785244:JFD785309 JOZ785244:JOZ785309 JYV785244:JYV785309 KIR785244:KIR785309 KSN785244:KSN785309 LCJ785244:LCJ785309 LMF785244:LMF785309 LWB785244:LWB785309 MFX785244:MFX785309 MPT785244:MPT785309 MZP785244:MZP785309 NJL785244:NJL785309 NTH785244:NTH785309 ODD785244:ODD785309 OMZ785244:OMZ785309 OWV785244:OWV785309 PGR785244:PGR785309 PQN785244:PQN785309 QAJ785244:QAJ785309 QKF785244:QKF785309 QUB785244:QUB785309 RDX785244:RDX785309 RNT785244:RNT785309 RXP785244:RXP785309 SHL785244:SHL785309 SRH785244:SRH785309 TBD785244:TBD785309 TKZ785244:TKZ785309 TUV785244:TUV785309 UER785244:UER785309 UON785244:UON785309 UYJ785244:UYJ785309 VIF785244:VIF785309 VSB785244:VSB785309 WBX785244:WBX785309 WLT785244:WLT785309 WVP785244:WVP785309 H850780:H850845 JD850780:JD850845 SZ850780:SZ850845 ACV850780:ACV850845 AMR850780:AMR850845 AWN850780:AWN850845 BGJ850780:BGJ850845 BQF850780:BQF850845 CAB850780:CAB850845 CJX850780:CJX850845 CTT850780:CTT850845 DDP850780:DDP850845 DNL850780:DNL850845 DXH850780:DXH850845 EHD850780:EHD850845 EQZ850780:EQZ850845 FAV850780:FAV850845 FKR850780:FKR850845 FUN850780:FUN850845 GEJ850780:GEJ850845 GOF850780:GOF850845 GYB850780:GYB850845 HHX850780:HHX850845 HRT850780:HRT850845 IBP850780:IBP850845 ILL850780:ILL850845 IVH850780:IVH850845 JFD850780:JFD850845 JOZ850780:JOZ850845 JYV850780:JYV850845 KIR850780:KIR850845 KSN850780:KSN850845 LCJ850780:LCJ850845 LMF850780:LMF850845 LWB850780:LWB850845 MFX850780:MFX850845 MPT850780:MPT850845 MZP850780:MZP850845 NJL850780:NJL850845 NTH850780:NTH850845 ODD850780:ODD850845 OMZ850780:OMZ850845 OWV850780:OWV850845 PGR850780:PGR850845 PQN850780:PQN850845 QAJ850780:QAJ850845 QKF850780:QKF850845 QUB850780:QUB850845 RDX850780:RDX850845 RNT850780:RNT850845 RXP850780:RXP850845 SHL850780:SHL850845 SRH850780:SRH850845 TBD850780:TBD850845 TKZ850780:TKZ850845 TUV850780:TUV850845 UER850780:UER850845 UON850780:UON850845 UYJ850780:UYJ850845 VIF850780:VIF850845 VSB850780:VSB850845 WBX850780:WBX850845 WLT850780:WLT850845 WVP850780:WVP850845 H916316:H916381 JD916316:JD916381 SZ916316:SZ916381 ACV916316:ACV916381 AMR916316:AMR916381 AWN916316:AWN916381 BGJ916316:BGJ916381 BQF916316:BQF916381 CAB916316:CAB916381 CJX916316:CJX916381 CTT916316:CTT916381 DDP916316:DDP916381 DNL916316:DNL916381 DXH916316:DXH916381 EHD916316:EHD916381 EQZ916316:EQZ916381 FAV916316:FAV916381 FKR916316:FKR916381 FUN916316:FUN916381 GEJ916316:GEJ916381 GOF916316:GOF916381 GYB916316:GYB916381 HHX916316:HHX916381 HRT916316:HRT916381 IBP916316:IBP916381 ILL916316:ILL916381 IVH916316:IVH916381 JFD916316:JFD916381 JOZ916316:JOZ916381 JYV916316:JYV916381 KIR916316:KIR916381 KSN916316:KSN916381 LCJ916316:LCJ916381 LMF916316:LMF916381 LWB916316:LWB916381 MFX916316:MFX916381 MPT916316:MPT916381 MZP916316:MZP916381 NJL916316:NJL916381 NTH916316:NTH916381 ODD916316:ODD916381 OMZ916316:OMZ916381 OWV916316:OWV916381 PGR916316:PGR916381 PQN916316:PQN916381 QAJ916316:QAJ916381 QKF916316:QKF916381 QUB916316:QUB916381 RDX916316:RDX916381 RNT916316:RNT916381 RXP916316:RXP916381 SHL916316:SHL916381 SRH916316:SRH916381 TBD916316:TBD916381 TKZ916316:TKZ916381 TUV916316:TUV916381 UER916316:UER916381 UON916316:UON916381 UYJ916316:UYJ916381 VIF916316:VIF916381 VSB916316:VSB916381 WBX916316:WBX916381 WLT916316:WLT916381 WVP916316:WVP916381 H981852:H981917 JD981852:JD981917 SZ981852:SZ981917 ACV981852:ACV981917 AMR981852:AMR981917 AWN981852:AWN981917 BGJ981852:BGJ981917 BQF981852:BQF981917 CAB981852:CAB981917 CJX981852:CJX981917 CTT981852:CTT981917 DDP981852:DDP981917 DNL981852:DNL981917 DXH981852:DXH981917 EHD981852:EHD981917 EQZ981852:EQZ981917 FAV981852:FAV981917 FKR981852:FKR981917 FUN981852:FUN981917 GEJ981852:GEJ981917 GOF981852:GOF981917 GYB981852:GYB981917 HHX981852:HHX981917 HRT981852:HRT981917 IBP981852:IBP981917 ILL981852:ILL981917 IVH981852:IVH981917 JFD981852:JFD981917 JOZ981852:JOZ981917 JYV981852:JYV981917 KIR981852:KIR981917 KSN981852:KSN981917 LCJ981852:LCJ981917 LMF981852:LMF981917 LWB981852:LWB981917 MFX981852:MFX981917 MPT981852:MPT981917 MZP981852:MZP981917 NJL981852:NJL981917 NTH981852:NTH981917 ODD981852:ODD981917 OMZ981852:OMZ981917 OWV981852:OWV981917 PGR981852:PGR981917 PQN981852:PQN981917 QAJ981852:QAJ981917 QKF981852:QKF981917 QUB981852:QUB981917 RDX981852:RDX981917 RNT981852:RNT981917 RXP981852:RXP981917 SHL981852:SHL981917 SRH981852:SRH981917 TBD981852:TBD981917 TKZ981852:TKZ981917 TUV981852:TUV981917 UER981852:UER981917 UON981852:UON981917 UYJ981852:UYJ981917 VIF981852:VIF981917 VSB981852:VSB981917 WBX981852:WBX981917 WLT981852:WLT981917 WVP981852:WVP981917 H1047388:H1047453 JD1047388:JD1047453 SZ1047388:SZ1047453 ACV1047388:ACV1047453 AMR1047388:AMR1047453 AWN1047388:AWN1047453 BGJ1047388:BGJ1047453 BQF1047388:BQF1047453 CAB1047388:CAB1047453 CJX1047388:CJX1047453 CTT1047388:CTT1047453 DDP1047388:DDP1047453 DNL1047388:DNL1047453 DXH1047388:DXH1047453 EHD1047388:EHD1047453 EQZ1047388:EQZ1047453 FAV1047388:FAV1047453 FKR1047388:FKR1047453 FUN1047388:FUN1047453 GEJ1047388:GEJ1047453 GOF1047388:GOF1047453 GYB1047388:GYB1047453 HHX1047388:HHX1047453 HRT1047388:HRT1047453 IBP1047388:IBP1047453 ILL1047388:ILL1047453 IVH1047388:IVH1047453 JFD1047388:JFD1047453 JOZ1047388:JOZ1047453 JYV1047388:JYV1047453 KIR1047388:KIR1047453 KSN1047388:KSN1047453 LCJ1047388:LCJ1047453 LMF1047388:LMF1047453 LWB1047388:LWB1047453 MFX1047388:MFX1047453 MPT1047388:MPT1047453 MZP1047388:MZP1047453 NJL1047388:NJL1047453 NTH1047388:NTH1047453 ODD1047388:ODD1047453 OMZ1047388:OMZ1047453 OWV1047388:OWV1047453 PGR1047388:PGR1047453 PQN1047388:PQN1047453 QAJ1047388:QAJ1047453 QKF1047388:QKF1047453 QUB1047388:QUB1047453 RDX1047388:RDX1047453 RNT1047388:RNT1047453 RXP1047388:RXP1047453 SHL1047388:SHL1047453 SRH1047388:SRH1047453 TBD1047388:TBD1047453 TKZ1047388:TKZ1047453 TUV1047388:TUV1047453 UER1047388:UER1047453 UON1047388:UON1047453 UYJ1047388:UYJ1047453 VIF1047388:VIF1047453 VSB1047388:VSB1047453 WBX1047388:WBX1047453 WLT1047388:WLT1047453 WVP1047388:WVP1047453" xr:uid="{08DBCF4B-9BEA-4014-A41B-2B5FA384A02E}">
      <formula1>$AL$5:$AL$12</formula1>
    </dataValidation>
    <dataValidation type="list" allowBlank="1" showInputMessage="1" showErrorMessage="1" sqref="E64348:F64413 WVM983027:WVN983098 WLQ983027:WLR983098 WBU983027:WBV983098 VRY983027:VRZ983098 VIC983027:VID983098 UYG983027:UYH983098 UOK983027:UOL983098 UEO983027:UEP983098 TUS983027:TUT983098 TKW983027:TKX983098 TBA983027:TBB983098 SRE983027:SRF983098 SHI983027:SHJ983098 RXM983027:RXN983098 RNQ983027:RNR983098 RDU983027:RDV983098 QTY983027:QTZ983098 QKC983027:QKD983098 QAG983027:QAH983098 PQK983027:PQL983098 PGO983027:PGP983098 OWS983027:OWT983098 OMW983027:OMX983098 ODA983027:ODB983098 NTE983027:NTF983098 NJI983027:NJJ983098 MZM983027:MZN983098 MPQ983027:MPR983098 MFU983027:MFV983098 LVY983027:LVZ983098 LMC983027:LMD983098 LCG983027:LCH983098 KSK983027:KSL983098 KIO983027:KIP983098 JYS983027:JYT983098 JOW983027:JOX983098 JFA983027:JFB983098 IVE983027:IVF983098 ILI983027:ILJ983098 IBM983027:IBN983098 HRQ983027:HRR983098 HHU983027:HHV983098 GXY983027:GXZ983098 GOC983027:GOD983098 GEG983027:GEH983098 FUK983027:FUL983098 FKO983027:FKP983098 FAS983027:FAT983098 EQW983027:EQX983098 EHA983027:EHB983098 DXE983027:DXF983098 DNI983027:DNJ983098 DDM983027:DDN983098 CTQ983027:CTR983098 CJU983027:CJV983098 BZY983027:BZZ983098 BQC983027:BQD983098 BGG983027:BGH983098 AWK983027:AWL983098 AMO983027:AMP983098 ACS983027:ACT983098 SW983027:SX983098 JA983027:JB983098 E983027:F983098 WVM917491:WVN917562 WLQ917491:WLR917562 WBU917491:WBV917562 VRY917491:VRZ917562 VIC917491:VID917562 UYG917491:UYH917562 UOK917491:UOL917562 UEO917491:UEP917562 TUS917491:TUT917562 TKW917491:TKX917562 TBA917491:TBB917562 SRE917491:SRF917562 SHI917491:SHJ917562 RXM917491:RXN917562 RNQ917491:RNR917562 RDU917491:RDV917562 QTY917491:QTZ917562 QKC917491:QKD917562 QAG917491:QAH917562 PQK917491:PQL917562 PGO917491:PGP917562 OWS917491:OWT917562 OMW917491:OMX917562 ODA917491:ODB917562 NTE917491:NTF917562 NJI917491:NJJ917562 MZM917491:MZN917562 MPQ917491:MPR917562 MFU917491:MFV917562 LVY917491:LVZ917562 LMC917491:LMD917562 LCG917491:LCH917562 KSK917491:KSL917562 KIO917491:KIP917562 JYS917491:JYT917562 JOW917491:JOX917562 JFA917491:JFB917562 IVE917491:IVF917562 ILI917491:ILJ917562 IBM917491:IBN917562 HRQ917491:HRR917562 HHU917491:HHV917562 GXY917491:GXZ917562 GOC917491:GOD917562 GEG917491:GEH917562 FUK917491:FUL917562 FKO917491:FKP917562 FAS917491:FAT917562 EQW917491:EQX917562 EHA917491:EHB917562 DXE917491:DXF917562 DNI917491:DNJ917562 DDM917491:DDN917562 CTQ917491:CTR917562 CJU917491:CJV917562 BZY917491:BZZ917562 BQC917491:BQD917562 BGG917491:BGH917562 AWK917491:AWL917562 AMO917491:AMP917562 ACS917491:ACT917562 SW917491:SX917562 JA917491:JB917562 E917491:F917562 WVM851955:WVN852026 WLQ851955:WLR852026 WBU851955:WBV852026 VRY851955:VRZ852026 VIC851955:VID852026 UYG851955:UYH852026 UOK851955:UOL852026 UEO851955:UEP852026 TUS851955:TUT852026 TKW851955:TKX852026 TBA851955:TBB852026 SRE851955:SRF852026 SHI851955:SHJ852026 RXM851955:RXN852026 RNQ851955:RNR852026 RDU851955:RDV852026 QTY851955:QTZ852026 QKC851955:QKD852026 QAG851955:QAH852026 PQK851955:PQL852026 PGO851955:PGP852026 OWS851955:OWT852026 OMW851955:OMX852026 ODA851955:ODB852026 NTE851955:NTF852026 NJI851955:NJJ852026 MZM851955:MZN852026 MPQ851955:MPR852026 MFU851955:MFV852026 LVY851955:LVZ852026 LMC851955:LMD852026 LCG851955:LCH852026 KSK851955:KSL852026 KIO851955:KIP852026 JYS851955:JYT852026 JOW851955:JOX852026 JFA851955:JFB852026 IVE851955:IVF852026 ILI851955:ILJ852026 IBM851955:IBN852026 HRQ851955:HRR852026 HHU851955:HHV852026 GXY851955:GXZ852026 GOC851955:GOD852026 GEG851955:GEH852026 FUK851955:FUL852026 FKO851955:FKP852026 FAS851955:FAT852026 EQW851955:EQX852026 EHA851955:EHB852026 DXE851955:DXF852026 DNI851955:DNJ852026 DDM851955:DDN852026 CTQ851955:CTR852026 CJU851955:CJV852026 BZY851955:BZZ852026 BQC851955:BQD852026 BGG851955:BGH852026 AWK851955:AWL852026 AMO851955:AMP852026 ACS851955:ACT852026 SW851955:SX852026 JA851955:JB852026 E851955:F852026 WVM786419:WVN786490 WLQ786419:WLR786490 WBU786419:WBV786490 VRY786419:VRZ786490 VIC786419:VID786490 UYG786419:UYH786490 UOK786419:UOL786490 UEO786419:UEP786490 TUS786419:TUT786490 TKW786419:TKX786490 TBA786419:TBB786490 SRE786419:SRF786490 SHI786419:SHJ786490 RXM786419:RXN786490 RNQ786419:RNR786490 RDU786419:RDV786490 QTY786419:QTZ786490 QKC786419:QKD786490 QAG786419:QAH786490 PQK786419:PQL786490 PGO786419:PGP786490 OWS786419:OWT786490 OMW786419:OMX786490 ODA786419:ODB786490 NTE786419:NTF786490 NJI786419:NJJ786490 MZM786419:MZN786490 MPQ786419:MPR786490 MFU786419:MFV786490 LVY786419:LVZ786490 LMC786419:LMD786490 LCG786419:LCH786490 KSK786419:KSL786490 KIO786419:KIP786490 JYS786419:JYT786490 JOW786419:JOX786490 JFA786419:JFB786490 IVE786419:IVF786490 ILI786419:ILJ786490 IBM786419:IBN786490 HRQ786419:HRR786490 HHU786419:HHV786490 GXY786419:GXZ786490 GOC786419:GOD786490 GEG786419:GEH786490 FUK786419:FUL786490 FKO786419:FKP786490 FAS786419:FAT786490 EQW786419:EQX786490 EHA786419:EHB786490 DXE786419:DXF786490 DNI786419:DNJ786490 DDM786419:DDN786490 CTQ786419:CTR786490 CJU786419:CJV786490 BZY786419:BZZ786490 BQC786419:BQD786490 BGG786419:BGH786490 AWK786419:AWL786490 AMO786419:AMP786490 ACS786419:ACT786490 SW786419:SX786490 JA786419:JB786490 E786419:F786490 WVM720883:WVN720954 WLQ720883:WLR720954 WBU720883:WBV720954 VRY720883:VRZ720954 VIC720883:VID720954 UYG720883:UYH720954 UOK720883:UOL720954 UEO720883:UEP720954 TUS720883:TUT720954 TKW720883:TKX720954 TBA720883:TBB720954 SRE720883:SRF720954 SHI720883:SHJ720954 RXM720883:RXN720954 RNQ720883:RNR720954 RDU720883:RDV720954 QTY720883:QTZ720954 QKC720883:QKD720954 QAG720883:QAH720954 PQK720883:PQL720954 PGO720883:PGP720954 OWS720883:OWT720954 OMW720883:OMX720954 ODA720883:ODB720954 NTE720883:NTF720954 NJI720883:NJJ720954 MZM720883:MZN720954 MPQ720883:MPR720954 MFU720883:MFV720954 LVY720883:LVZ720954 LMC720883:LMD720954 LCG720883:LCH720954 KSK720883:KSL720954 KIO720883:KIP720954 JYS720883:JYT720954 JOW720883:JOX720954 JFA720883:JFB720954 IVE720883:IVF720954 ILI720883:ILJ720954 IBM720883:IBN720954 HRQ720883:HRR720954 HHU720883:HHV720954 GXY720883:GXZ720954 GOC720883:GOD720954 GEG720883:GEH720954 FUK720883:FUL720954 FKO720883:FKP720954 FAS720883:FAT720954 EQW720883:EQX720954 EHA720883:EHB720954 DXE720883:DXF720954 DNI720883:DNJ720954 DDM720883:DDN720954 CTQ720883:CTR720954 CJU720883:CJV720954 BZY720883:BZZ720954 BQC720883:BQD720954 BGG720883:BGH720954 AWK720883:AWL720954 AMO720883:AMP720954 ACS720883:ACT720954 SW720883:SX720954 JA720883:JB720954 E720883:F720954 WVM655347:WVN655418 WLQ655347:WLR655418 WBU655347:WBV655418 VRY655347:VRZ655418 VIC655347:VID655418 UYG655347:UYH655418 UOK655347:UOL655418 UEO655347:UEP655418 TUS655347:TUT655418 TKW655347:TKX655418 TBA655347:TBB655418 SRE655347:SRF655418 SHI655347:SHJ655418 RXM655347:RXN655418 RNQ655347:RNR655418 RDU655347:RDV655418 QTY655347:QTZ655418 QKC655347:QKD655418 QAG655347:QAH655418 PQK655347:PQL655418 PGO655347:PGP655418 OWS655347:OWT655418 OMW655347:OMX655418 ODA655347:ODB655418 NTE655347:NTF655418 NJI655347:NJJ655418 MZM655347:MZN655418 MPQ655347:MPR655418 MFU655347:MFV655418 LVY655347:LVZ655418 LMC655347:LMD655418 LCG655347:LCH655418 KSK655347:KSL655418 KIO655347:KIP655418 JYS655347:JYT655418 JOW655347:JOX655418 JFA655347:JFB655418 IVE655347:IVF655418 ILI655347:ILJ655418 IBM655347:IBN655418 HRQ655347:HRR655418 HHU655347:HHV655418 GXY655347:GXZ655418 GOC655347:GOD655418 GEG655347:GEH655418 FUK655347:FUL655418 FKO655347:FKP655418 FAS655347:FAT655418 EQW655347:EQX655418 EHA655347:EHB655418 DXE655347:DXF655418 DNI655347:DNJ655418 DDM655347:DDN655418 CTQ655347:CTR655418 CJU655347:CJV655418 BZY655347:BZZ655418 BQC655347:BQD655418 BGG655347:BGH655418 AWK655347:AWL655418 AMO655347:AMP655418 ACS655347:ACT655418 SW655347:SX655418 JA655347:JB655418 E655347:F655418 WVM589811:WVN589882 WLQ589811:WLR589882 WBU589811:WBV589882 VRY589811:VRZ589882 VIC589811:VID589882 UYG589811:UYH589882 UOK589811:UOL589882 UEO589811:UEP589882 TUS589811:TUT589882 TKW589811:TKX589882 TBA589811:TBB589882 SRE589811:SRF589882 SHI589811:SHJ589882 RXM589811:RXN589882 RNQ589811:RNR589882 RDU589811:RDV589882 QTY589811:QTZ589882 QKC589811:QKD589882 QAG589811:QAH589882 PQK589811:PQL589882 PGO589811:PGP589882 OWS589811:OWT589882 OMW589811:OMX589882 ODA589811:ODB589882 NTE589811:NTF589882 NJI589811:NJJ589882 MZM589811:MZN589882 MPQ589811:MPR589882 MFU589811:MFV589882 LVY589811:LVZ589882 LMC589811:LMD589882 LCG589811:LCH589882 KSK589811:KSL589882 KIO589811:KIP589882 JYS589811:JYT589882 JOW589811:JOX589882 JFA589811:JFB589882 IVE589811:IVF589882 ILI589811:ILJ589882 IBM589811:IBN589882 HRQ589811:HRR589882 HHU589811:HHV589882 GXY589811:GXZ589882 GOC589811:GOD589882 GEG589811:GEH589882 FUK589811:FUL589882 FKO589811:FKP589882 FAS589811:FAT589882 EQW589811:EQX589882 EHA589811:EHB589882 DXE589811:DXF589882 DNI589811:DNJ589882 DDM589811:DDN589882 CTQ589811:CTR589882 CJU589811:CJV589882 BZY589811:BZZ589882 BQC589811:BQD589882 BGG589811:BGH589882 AWK589811:AWL589882 AMO589811:AMP589882 ACS589811:ACT589882 SW589811:SX589882 JA589811:JB589882 E589811:F589882 WVM524275:WVN524346 WLQ524275:WLR524346 WBU524275:WBV524346 VRY524275:VRZ524346 VIC524275:VID524346 UYG524275:UYH524346 UOK524275:UOL524346 UEO524275:UEP524346 TUS524275:TUT524346 TKW524275:TKX524346 TBA524275:TBB524346 SRE524275:SRF524346 SHI524275:SHJ524346 RXM524275:RXN524346 RNQ524275:RNR524346 RDU524275:RDV524346 QTY524275:QTZ524346 QKC524275:QKD524346 QAG524275:QAH524346 PQK524275:PQL524346 PGO524275:PGP524346 OWS524275:OWT524346 OMW524275:OMX524346 ODA524275:ODB524346 NTE524275:NTF524346 NJI524275:NJJ524346 MZM524275:MZN524346 MPQ524275:MPR524346 MFU524275:MFV524346 LVY524275:LVZ524346 LMC524275:LMD524346 LCG524275:LCH524346 KSK524275:KSL524346 KIO524275:KIP524346 JYS524275:JYT524346 JOW524275:JOX524346 JFA524275:JFB524346 IVE524275:IVF524346 ILI524275:ILJ524346 IBM524275:IBN524346 HRQ524275:HRR524346 HHU524275:HHV524346 GXY524275:GXZ524346 GOC524275:GOD524346 GEG524275:GEH524346 FUK524275:FUL524346 FKO524275:FKP524346 FAS524275:FAT524346 EQW524275:EQX524346 EHA524275:EHB524346 DXE524275:DXF524346 DNI524275:DNJ524346 DDM524275:DDN524346 CTQ524275:CTR524346 CJU524275:CJV524346 BZY524275:BZZ524346 BQC524275:BQD524346 BGG524275:BGH524346 AWK524275:AWL524346 AMO524275:AMP524346 ACS524275:ACT524346 SW524275:SX524346 JA524275:JB524346 E524275:F524346 WVM458739:WVN458810 WLQ458739:WLR458810 WBU458739:WBV458810 VRY458739:VRZ458810 VIC458739:VID458810 UYG458739:UYH458810 UOK458739:UOL458810 UEO458739:UEP458810 TUS458739:TUT458810 TKW458739:TKX458810 TBA458739:TBB458810 SRE458739:SRF458810 SHI458739:SHJ458810 RXM458739:RXN458810 RNQ458739:RNR458810 RDU458739:RDV458810 QTY458739:QTZ458810 QKC458739:QKD458810 QAG458739:QAH458810 PQK458739:PQL458810 PGO458739:PGP458810 OWS458739:OWT458810 OMW458739:OMX458810 ODA458739:ODB458810 NTE458739:NTF458810 NJI458739:NJJ458810 MZM458739:MZN458810 MPQ458739:MPR458810 MFU458739:MFV458810 LVY458739:LVZ458810 LMC458739:LMD458810 LCG458739:LCH458810 KSK458739:KSL458810 KIO458739:KIP458810 JYS458739:JYT458810 JOW458739:JOX458810 JFA458739:JFB458810 IVE458739:IVF458810 ILI458739:ILJ458810 IBM458739:IBN458810 HRQ458739:HRR458810 HHU458739:HHV458810 GXY458739:GXZ458810 GOC458739:GOD458810 GEG458739:GEH458810 FUK458739:FUL458810 FKO458739:FKP458810 FAS458739:FAT458810 EQW458739:EQX458810 EHA458739:EHB458810 DXE458739:DXF458810 DNI458739:DNJ458810 DDM458739:DDN458810 CTQ458739:CTR458810 CJU458739:CJV458810 BZY458739:BZZ458810 BQC458739:BQD458810 BGG458739:BGH458810 AWK458739:AWL458810 AMO458739:AMP458810 ACS458739:ACT458810 SW458739:SX458810 JA458739:JB458810 E458739:F458810 WVM393203:WVN393274 WLQ393203:WLR393274 WBU393203:WBV393274 VRY393203:VRZ393274 VIC393203:VID393274 UYG393203:UYH393274 UOK393203:UOL393274 UEO393203:UEP393274 TUS393203:TUT393274 TKW393203:TKX393274 TBA393203:TBB393274 SRE393203:SRF393274 SHI393203:SHJ393274 RXM393203:RXN393274 RNQ393203:RNR393274 RDU393203:RDV393274 QTY393203:QTZ393274 QKC393203:QKD393274 QAG393203:QAH393274 PQK393203:PQL393274 PGO393203:PGP393274 OWS393203:OWT393274 OMW393203:OMX393274 ODA393203:ODB393274 NTE393203:NTF393274 NJI393203:NJJ393274 MZM393203:MZN393274 MPQ393203:MPR393274 MFU393203:MFV393274 LVY393203:LVZ393274 LMC393203:LMD393274 LCG393203:LCH393274 KSK393203:KSL393274 KIO393203:KIP393274 JYS393203:JYT393274 JOW393203:JOX393274 JFA393203:JFB393274 IVE393203:IVF393274 ILI393203:ILJ393274 IBM393203:IBN393274 HRQ393203:HRR393274 HHU393203:HHV393274 GXY393203:GXZ393274 GOC393203:GOD393274 GEG393203:GEH393274 FUK393203:FUL393274 FKO393203:FKP393274 FAS393203:FAT393274 EQW393203:EQX393274 EHA393203:EHB393274 DXE393203:DXF393274 DNI393203:DNJ393274 DDM393203:DDN393274 CTQ393203:CTR393274 CJU393203:CJV393274 BZY393203:BZZ393274 BQC393203:BQD393274 BGG393203:BGH393274 AWK393203:AWL393274 AMO393203:AMP393274 ACS393203:ACT393274 SW393203:SX393274 JA393203:JB393274 E393203:F393274 WVM327667:WVN327738 WLQ327667:WLR327738 WBU327667:WBV327738 VRY327667:VRZ327738 VIC327667:VID327738 UYG327667:UYH327738 UOK327667:UOL327738 UEO327667:UEP327738 TUS327667:TUT327738 TKW327667:TKX327738 TBA327667:TBB327738 SRE327667:SRF327738 SHI327667:SHJ327738 RXM327667:RXN327738 RNQ327667:RNR327738 RDU327667:RDV327738 QTY327667:QTZ327738 QKC327667:QKD327738 QAG327667:QAH327738 PQK327667:PQL327738 PGO327667:PGP327738 OWS327667:OWT327738 OMW327667:OMX327738 ODA327667:ODB327738 NTE327667:NTF327738 NJI327667:NJJ327738 MZM327667:MZN327738 MPQ327667:MPR327738 MFU327667:MFV327738 LVY327667:LVZ327738 LMC327667:LMD327738 LCG327667:LCH327738 KSK327667:KSL327738 KIO327667:KIP327738 JYS327667:JYT327738 JOW327667:JOX327738 JFA327667:JFB327738 IVE327667:IVF327738 ILI327667:ILJ327738 IBM327667:IBN327738 HRQ327667:HRR327738 HHU327667:HHV327738 GXY327667:GXZ327738 GOC327667:GOD327738 GEG327667:GEH327738 FUK327667:FUL327738 FKO327667:FKP327738 FAS327667:FAT327738 EQW327667:EQX327738 EHA327667:EHB327738 DXE327667:DXF327738 DNI327667:DNJ327738 DDM327667:DDN327738 CTQ327667:CTR327738 CJU327667:CJV327738 BZY327667:BZZ327738 BQC327667:BQD327738 BGG327667:BGH327738 AWK327667:AWL327738 AMO327667:AMP327738 ACS327667:ACT327738 SW327667:SX327738 JA327667:JB327738 E327667:F327738 WVM262131:WVN262202 WLQ262131:WLR262202 WBU262131:WBV262202 VRY262131:VRZ262202 VIC262131:VID262202 UYG262131:UYH262202 UOK262131:UOL262202 UEO262131:UEP262202 TUS262131:TUT262202 TKW262131:TKX262202 TBA262131:TBB262202 SRE262131:SRF262202 SHI262131:SHJ262202 RXM262131:RXN262202 RNQ262131:RNR262202 RDU262131:RDV262202 QTY262131:QTZ262202 QKC262131:QKD262202 QAG262131:QAH262202 PQK262131:PQL262202 PGO262131:PGP262202 OWS262131:OWT262202 OMW262131:OMX262202 ODA262131:ODB262202 NTE262131:NTF262202 NJI262131:NJJ262202 MZM262131:MZN262202 MPQ262131:MPR262202 MFU262131:MFV262202 LVY262131:LVZ262202 LMC262131:LMD262202 LCG262131:LCH262202 KSK262131:KSL262202 KIO262131:KIP262202 JYS262131:JYT262202 JOW262131:JOX262202 JFA262131:JFB262202 IVE262131:IVF262202 ILI262131:ILJ262202 IBM262131:IBN262202 HRQ262131:HRR262202 HHU262131:HHV262202 GXY262131:GXZ262202 GOC262131:GOD262202 GEG262131:GEH262202 FUK262131:FUL262202 FKO262131:FKP262202 FAS262131:FAT262202 EQW262131:EQX262202 EHA262131:EHB262202 DXE262131:DXF262202 DNI262131:DNJ262202 DDM262131:DDN262202 CTQ262131:CTR262202 CJU262131:CJV262202 BZY262131:BZZ262202 BQC262131:BQD262202 BGG262131:BGH262202 AWK262131:AWL262202 AMO262131:AMP262202 ACS262131:ACT262202 SW262131:SX262202 JA262131:JB262202 E262131:F262202 WVM196595:WVN196666 WLQ196595:WLR196666 WBU196595:WBV196666 VRY196595:VRZ196666 VIC196595:VID196666 UYG196595:UYH196666 UOK196595:UOL196666 UEO196595:UEP196666 TUS196595:TUT196666 TKW196595:TKX196666 TBA196595:TBB196666 SRE196595:SRF196666 SHI196595:SHJ196666 RXM196595:RXN196666 RNQ196595:RNR196666 RDU196595:RDV196666 QTY196595:QTZ196666 QKC196595:QKD196666 QAG196595:QAH196666 PQK196595:PQL196666 PGO196595:PGP196666 OWS196595:OWT196666 OMW196595:OMX196666 ODA196595:ODB196666 NTE196595:NTF196666 NJI196595:NJJ196666 MZM196595:MZN196666 MPQ196595:MPR196666 MFU196595:MFV196666 LVY196595:LVZ196666 LMC196595:LMD196666 LCG196595:LCH196666 KSK196595:KSL196666 KIO196595:KIP196666 JYS196595:JYT196666 JOW196595:JOX196666 JFA196595:JFB196666 IVE196595:IVF196666 ILI196595:ILJ196666 IBM196595:IBN196666 HRQ196595:HRR196666 HHU196595:HHV196666 GXY196595:GXZ196666 GOC196595:GOD196666 GEG196595:GEH196666 FUK196595:FUL196666 FKO196595:FKP196666 FAS196595:FAT196666 EQW196595:EQX196666 EHA196595:EHB196666 DXE196595:DXF196666 DNI196595:DNJ196666 DDM196595:DDN196666 CTQ196595:CTR196666 CJU196595:CJV196666 BZY196595:BZZ196666 BQC196595:BQD196666 BGG196595:BGH196666 AWK196595:AWL196666 AMO196595:AMP196666 ACS196595:ACT196666 SW196595:SX196666 JA196595:JB196666 E196595:F196666 WVM131059:WVN131130 WLQ131059:WLR131130 WBU131059:WBV131130 VRY131059:VRZ131130 VIC131059:VID131130 UYG131059:UYH131130 UOK131059:UOL131130 UEO131059:UEP131130 TUS131059:TUT131130 TKW131059:TKX131130 TBA131059:TBB131130 SRE131059:SRF131130 SHI131059:SHJ131130 RXM131059:RXN131130 RNQ131059:RNR131130 RDU131059:RDV131130 QTY131059:QTZ131130 QKC131059:QKD131130 QAG131059:QAH131130 PQK131059:PQL131130 PGO131059:PGP131130 OWS131059:OWT131130 OMW131059:OMX131130 ODA131059:ODB131130 NTE131059:NTF131130 NJI131059:NJJ131130 MZM131059:MZN131130 MPQ131059:MPR131130 MFU131059:MFV131130 LVY131059:LVZ131130 LMC131059:LMD131130 LCG131059:LCH131130 KSK131059:KSL131130 KIO131059:KIP131130 JYS131059:JYT131130 JOW131059:JOX131130 JFA131059:JFB131130 IVE131059:IVF131130 ILI131059:ILJ131130 IBM131059:IBN131130 HRQ131059:HRR131130 HHU131059:HHV131130 GXY131059:GXZ131130 GOC131059:GOD131130 GEG131059:GEH131130 FUK131059:FUL131130 FKO131059:FKP131130 FAS131059:FAT131130 EQW131059:EQX131130 EHA131059:EHB131130 DXE131059:DXF131130 DNI131059:DNJ131130 DDM131059:DDN131130 CTQ131059:CTR131130 CJU131059:CJV131130 BZY131059:BZZ131130 BQC131059:BQD131130 BGG131059:BGH131130 AWK131059:AWL131130 AMO131059:AMP131130 ACS131059:ACT131130 SW131059:SX131130 JA131059:JB131130 E131059:F131130 WVM65523:WVN65594 WLQ65523:WLR65594 WBU65523:WBV65594 VRY65523:VRZ65594 VIC65523:VID65594 UYG65523:UYH65594 UOK65523:UOL65594 UEO65523:UEP65594 TUS65523:TUT65594 TKW65523:TKX65594 TBA65523:TBB65594 SRE65523:SRF65594 SHI65523:SHJ65594 RXM65523:RXN65594 RNQ65523:RNR65594 RDU65523:RDV65594 QTY65523:QTZ65594 QKC65523:QKD65594 QAG65523:QAH65594 PQK65523:PQL65594 PGO65523:PGP65594 OWS65523:OWT65594 OMW65523:OMX65594 ODA65523:ODB65594 NTE65523:NTF65594 NJI65523:NJJ65594 MZM65523:MZN65594 MPQ65523:MPR65594 MFU65523:MFV65594 LVY65523:LVZ65594 LMC65523:LMD65594 LCG65523:LCH65594 KSK65523:KSL65594 KIO65523:KIP65594 JYS65523:JYT65594 JOW65523:JOX65594 JFA65523:JFB65594 IVE65523:IVF65594 ILI65523:ILJ65594 IBM65523:IBN65594 HRQ65523:HRR65594 HHU65523:HHV65594 GXY65523:GXZ65594 GOC65523:GOD65594 GEG65523:GEH65594 FUK65523:FUL65594 FKO65523:FKP65594 FAS65523:FAT65594 EQW65523:EQX65594 EHA65523:EHB65594 DXE65523:DXF65594 DNI65523:DNJ65594 DDM65523:DDN65594 CTQ65523:CTR65594 CJU65523:CJV65594 BZY65523:BZZ65594 BQC65523:BQD65594 BGG65523:BGH65594 AWK65523:AWL65594 AMO65523:AMP65594 ACS65523:ACT65594 SW65523:SX65594 JA65523:JB65594 E65523:F65594 JA64348:JB64413 WVM1047388:WVN1047453 WLQ1047388:WLR1047453 WBU1047388:WBV1047453 VRY1047388:VRZ1047453 VIC1047388:VID1047453 UYG1047388:UYH1047453 UOK1047388:UOL1047453 UEO1047388:UEP1047453 TUS1047388:TUT1047453 TKW1047388:TKX1047453 TBA1047388:TBB1047453 SRE1047388:SRF1047453 SHI1047388:SHJ1047453 RXM1047388:RXN1047453 RNQ1047388:RNR1047453 RDU1047388:RDV1047453 QTY1047388:QTZ1047453 QKC1047388:QKD1047453 QAG1047388:QAH1047453 PQK1047388:PQL1047453 PGO1047388:PGP1047453 OWS1047388:OWT1047453 OMW1047388:OMX1047453 ODA1047388:ODB1047453 NTE1047388:NTF1047453 NJI1047388:NJJ1047453 MZM1047388:MZN1047453 MPQ1047388:MPR1047453 MFU1047388:MFV1047453 LVY1047388:LVZ1047453 LMC1047388:LMD1047453 LCG1047388:LCH1047453 KSK1047388:KSL1047453 KIO1047388:KIP1047453 JYS1047388:JYT1047453 JOW1047388:JOX1047453 JFA1047388:JFB1047453 IVE1047388:IVF1047453 ILI1047388:ILJ1047453 IBM1047388:IBN1047453 HRQ1047388:HRR1047453 HHU1047388:HHV1047453 GXY1047388:GXZ1047453 GOC1047388:GOD1047453 GEG1047388:GEH1047453 FUK1047388:FUL1047453 FKO1047388:FKP1047453 FAS1047388:FAT1047453 EQW1047388:EQX1047453 EHA1047388:EHB1047453 DXE1047388:DXF1047453 DNI1047388:DNJ1047453 DDM1047388:DDN1047453 CTQ1047388:CTR1047453 CJU1047388:CJV1047453 BZY1047388:BZZ1047453 BQC1047388:BQD1047453 BGG1047388:BGH1047453 AWK1047388:AWL1047453 AMO1047388:AMP1047453 ACS1047388:ACT1047453 SW1047388:SX1047453 JA1047388:JB1047453 E1047388:F1047453 WVM981852:WVN981917 WLQ981852:WLR981917 WBU981852:WBV981917 VRY981852:VRZ981917 VIC981852:VID981917 UYG981852:UYH981917 UOK981852:UOL981917 UEO981852:UEP981917 TUS981852:TUT981917 TKW981852:TKX981917 TBA981852:TBB981917 SRE981852:SRF981917 SHI981852:SHJ981917 RXM981852:RXN981917 RNQ981852:RNR981917 RDU981852:RDV981917 QTY981852:QTZ981917 QKC981852:QKD981917 QAG981852:QAH981917 PQK981852:PQL981917 PGO981852:PGP981917 OWS981852:OWT981917 OMW981852:OMX981917 ODA981852:ODB981917 NTE981852:NTF981917 NJI981852:NJJ981917 MZM981852:MZN981917 MPQ981852:MPR981917 MFU981852:MFV981917 LVY981852:LVZ981917 LMC981852:LMD981917 LCG981852:LCH981917 KSK981852:KSL981917 KIO981852:KIP981917 JYS981852:JYT981917 JOW981852:JOX981917 JFA981852:JFB981917 IVE981852:IVF981917 ILI981852:ILJ981917 IBM981852:IBN981917 HRQ981852:HRR981917 HHU981852:HHV981917 GXY981852:GXZ981917 GOC981852:GOD981917 GEG981852:GEH981917 FUK981852:FUL981917 FKO981852:FKP981917 FAS981852:FAT981917 EQW981852:EQX981917 EHA981852:EHB981917 DXE981852:DXF981917 DNI981852:DNJ981917 DDM981852:DDN981917 CTQ981852:CTR981917 CJU981852:CJV981917 BZY981852:BZZ981917 BQC981852:BQD981917 BGG981852:BGH981917 AWK981852:AWL981917 AMO981852:AMP981917 ACS981852:ACT981917 SW981852:SX981917 JA981852:JB981917 E981852:F981917 WVM916316:WVN916381 WLQ916316:WLR916381 WBU916316:WBV916381 VRY916316:VRZ916381 VIC916316:VID916381 UYG916316:UYH916381 UOK916316:UOL916381 UEO916316:UEP916381 TUS916316:TUT916381 TKW916316:TKX916381 TBA916316:TBB916381 SRE916316:SRF916381 SHI916316:SHJ916381 RXM916316:RXN916381 RNQ916316:RNR916381 RDU916316:RDV916381 QTY916316:QTZ916381 QKC916316:QKD916381 QAG916316:QAH916381 PQK916316:PQL916381 PGO916316:PGP916381 OWS916316:OWT916381 OMW916316:OMX916381 ODA916316:ODB916381 NTE916316:NTF916381 NJI916316:NJJ916381 MZM916316:MZN916381 MPQ916316:MPR916381 MFU916316:MFV916381 LVY916316:LVZ916381 LMC916316:LMD916381 LCG916316:LCH916381 KSK916316:KSL916381 KIO916316:KIP916381 JYS916316:JYT916381 JOW916316:JOX916381 JFA916316:JFB916381 IVE916316:IVF916381 ILI916316:ILJ916381 IBM916316:IBN916381 HRQ916316:HRR916381 HHU916316:HHV916381 GXY916316:GXZ916381 GOC916316:GOD916381 GEG916316:GEH916381 FUK916316:FUL916381 FKO916316:FKP916381 FAS916316:FAT916381 EQW916316:EQX916381 EHA916316:EHB916381 DXE916316:DXF916381 DNI916316:DNJ916381 DDM916316:DDN916381 CTQ916316:CTR916381 CJU916316:CJV916381 BZY916316:BZZ916381 BQC916316:BQD916381 BGG916316:BGH916381 AWK916316:AWL916381 AMO916316:AMP916381 ACS916316:ACT916381 SW916316:SX916381 JA916316:JB916381 E916316:F916381 WVM850780:WVN850845 WLQ850780:WLR850845 WBU850780:WBV850845 VRY850780:VRZ850845 VIC850780:VID850845 UYG850780:UYH850845 UOK850780:UOL850845 UEO850780:UEP850845 TUS850780:TUT850845 TKW850780:TKX850845 TBA850780:TBB850845 SRE850780:SRF850845 SHI850780:SHJ850845 RXM850780:RXN850845 RNQ850780:RNR850845 RDU850780:RDV850845 QTY850780:QTZ850845 QKC850780:QKD850845 QAG850780:QAH850845 PQK850780:PQL850845 PGO850780:PGP850845 OWS850780:OWT850845 OMW850780:OMX850845 ODA850780:ODB850845 NTE850780:NTF850845 NJI850780:NJJ850845 MZM850780:MZN850845 MPQ850780:MPR850845 MFU850780:MFV850845 LVY850780:LVZ850845 LMC850780:LMD850845 LCG850780:LCH850845 KSK850780:KSL850845 KIO850780:KIP850845 JYS850780:JYT850845 JOW850780:JOX850845 JFA850780:JFB850845 IVE850780:IVF850845 ILI850780:ILJ850845 IBM850780:IBN850845 HRQ850780:HRR850845 HHU850780:HHV850845 GXY850780:GXZ850845 GOC850780:GOD850845 GEG850780:GEH850845 FUK850780:FUL850845 FKO850780:FKP850845 FAS850780:FAT850845 EQW850780:EQX850845 EHA850780:EHB850845 DXE850780:DXF850845 DNI850780:DNJ850845 DDM850780:DDN850845 CTQ850780:CTR850845 CJU850780:CJV850845 BZY850780:BZZ850845 BQC850780:BQD850845 BGG850780:BGH850845 AWK850780:AWL850845 AMO850780:AMP850845 ACS850780:ACT850845 SW850780:SX850845 JA850780:JB850845 E850780:F850845 WVM785244:WVN785309 WLQ785244:WLR785309 WBU785244:WBV785309 VRY785244:VRZ785309 VIC785244:VID785309 UYG785244:UYH785309 UOK785244:UOL785309 UEO785244:UEP785309 TUS785244:TUT785309 TKW785244:TKX785309 TBA785244:TBB785309 SRE785244:SRF785309 SHI785244:SHJ785309 RXM785244:RXN785309 RNQ785244:RNR785309 RDU785244:RDV785309 QTY785244:QTZ785309 QKC785244:QKD785309 QAG785244:QAH785309 PQK785244:PQL785309 PGO785244:PGP785309 OWS785244:OWT785309 OMW785244:OMX785309 ODA785244:ODB785309 NTE785244:NTF785309 NJI785244:NJJ785309 MZM785244:MZN785309 MPQ785244:MPR785309 MFU785244:MFV785309 LVY785244:LVZ785309 LMC785244:LMD785309 LCG785244:LCH785309 KSK785244:KSL785309 KIO785244:KIP785309 JYS785244:JYT785309 JOW785244:JOX785309 JFA785244:JFB785309 IVE785244:IVF785309 ILI785244:ILJ785309 IBM785244:IBN785309 HRQ785244:HRR785309 HHU785244:HHV785309 GXY785244:GXZ785309 GOC785244:GOD785309 GEG785244:GEH785309 FUK785244:FUL785309 FKO785244:FKP785309 FAS785244:FAT785309 EQW785244:EQX785309 EHA785244:EHB785309 DXE785244:DXF785309 DNI785244:DNJ785309 DDM785244:DDN785309 CTQ785244:CTR785309 CJU785244:CJV785309 BZY785244:BZZ785309 BQC785244:BQD785309 BGG785244:BGH785309 AWK785244:AWL785309 AMO785244:AMP785309 ACS785244:ACT785309 SW785244:SX785309 JA785244:JB785309 E785244:F785309 WVM719708:WVN719773 WLQ719708:WLR719773 WBU719708:WBV719773 VRY719708:VRZ719773 VIC719708:VID719773 UYG719708:UYH719773 UOK719708:UOL719773 UEO719708:UEP719773 TUS719708:TUT719773 TKW719708:TKX719773 TBA719708:TBB719773 SRE719708:SRF719773 SHI719708:SHJ719773 RXM719708:RXN719773 RNQ719708:RNR719773 RDU719708:RDV719773 QTY719708:QTZ719773 QKC719708:QKD719773 QAG719708:QAH719773 PQK719708:PQL719773 PGO719708:PGP719773 OWS719708:OWT719773 OMW719708:OMX719773 ODA719708:ODB719773 NTE719708:NTF719773 NJI719708:NJJ719773 MZM719708:MZN719773 MPQ719708:MPR719773 MFU719708:MFV719773 LVY719708:LVZ719773 LMC719708:LMD719773 LCG719708:LCH719773 KSK719708:KSL719773 KIO719708:KIP719773 JYS719708:JYT719773 JOW719708:JOX719773 JFA719708:JFB719773 IVE719708:IVF719773 ILI719708:ILJ719773 IBM719708:IBN719773 HRQ719708:HRR719773 HHU719708:HHV719773 GXY719708:GXZ719773 GOC719708:GOD719773 GEG719708:GEH719773 FUK719708:FUL719773 FKO719708:FKP719773 FAS719708:FAT719773 EQW719708:EQX719773 EHA719708:EHB719773 DXE719708:DXF719773 DNI719708:DNJ719773 DDM719708:DDN719773 CTQ719708:CTR719773 CJU719708:CJV719773 BZY719708:BZZ719773 BQC719708:BQD719773 BGG719708:BGH719773 AWK719708:AWL719773 AMO719708:AMP719773 ACS719708:ACT719773 SW719708:SX719773 JA719708:JB719773 E719708:F719773 WVM654172:WVN654237 WLQ654172:WLR654237 WBU654172:WBV654237 VRY654172:VRZ654237 VIC654172:VID654237 UYG654172:UYH654237 UOK654172:UOL654237 UEO654172:UEP654237 TUS654172:TUT654237 TKW654172:TKX654237 TBA654172:TBB654237 SRE654172:SRF654237 SHI654172:SHJ654237 RXM654172:RXN654237 RNQ654172:RNR654237 RDU654172:RDV654237 QTY654172:QTZ654237 QKC654172:QKD654237 QAG654172:QAH654237 PQK654172:PQL654237 PGO654172:PGP654237 OWS654172:OWT654237 OMW654172:OMX654237 ODA654172:ODB654237 NTE654172:NTF654237 NJI654172:NJJ654237 MZM654172:MZN654237 MPQ654172:MPR654237 MFU654172:MFV654237 LVY654172:LVZ654237 LMC654172:LMD654237 LCG654172:LCH654237 KSK654172:KSL654237 KIO654172:KIP654237 JYS654172:JYT654237 JOW654172:JOX654237 JFA654172:JFB654237 IVE654172:IVF654237 ILI654172:ILJ654237 IBM654172:IBN654237 HRQ654172:HRR654237 HHU654172:HHV654237 GXY654172:GXZ654237 GOC654172:GOD654237 GEG654172:GEH654237 FUK654172:FUL654237 FKO654172:FKP654237 FAS654172:FAT654237 EQW654172:EQX654237 EHA654172:EHB654237 DXE654172:DXF654237 DNI654172:DNJ654237 DDM654172:DDN654237 CTQ654172:CTR654237 CJU654172:CJV654237 BZY654172:BZZ654237 BQC654172:BQD654237 BGG654172:BGH654237 AWK654172:AWL654237 AMO654172:AMP654237 ACS654172:ACT654237 SW654172:SX654237 JA654172:JB654237 E654172:F654237 WVM588636:WVN588701 WLQ588636:WLR588701 WBU588636:WBV588701 VRY588636:VRZ588701 VIC588636:VID588701 UYG588636:UYH588701 UOK588636:UOL588701 UEO588636:UEP588701 TUS588636:TUT588701 TKW588636:TKX588701 TBA588636:TBB588701 SRE588636:SRF588701 SHI588636:SHJ588701 RXM588636:RXN588701 RNQ588636:RNR588701 RDU588636:RDV588701 QTY588636:QTZ588701 QKC588636:QKD588701 QAG588636:QAH588701 PQK588636:PQL588701 PGO588636:PGP588701 OWS588636:OWT588701 OMW588636:OMX588701 ODA588636:ODB588701 NTE588636:NTF588701 NJI588636:NJJ588701 MZM588636:MZN588701 MPQ588636:MPR588701 MFU588636:MFV588701 LVY588636:LVZ588701 LMC588636:LMD588701 LCG588636:LCH588701 KSK588636:KSL588701 KIO588636:KIP588701 JYS588636:JYT588701 JOW588636:JOX588701 JFA588636:JFB588701 IVE588636:IVF588701 ILI588636:ILJ588701 IBM588636:IBN588701 HRQ588636:HRR588701 HHU588636:HHV588701 GXY588636:GXZ588701 GOC588636:GOD588701 GEG588636:GEH588701 FUK588636:FUL588701 FKO588636:FKP588701 FAS588636:FAT588701 EQW588636:EQX588701 EHA588636:EHB588701 DXE588636:DXF588701 DNI588636:DNJ588701 DDM588636:DDN588701 CTQ588636:CTR588701 CJU588636:CJV588701 BZY588636:BZZ588701 BQC588636:BQD588701 BGG588636:BGH588701 AWK588636:AWL588701 AMO588636:AMP588701 ACS588636:ACT588701 SW588636:SX588701 JA588636:JB588701 E588636:F588701 WVM523100:WVN523165 WLQ523100:WLR523165 WBU523100:WBV523165 VRY523100:VRZ523165 VIC523100:VID523165 UYG523100:UYH523165 UOK523100:UOL523165 UEO523100:UEP523165 TUS523100:TUT523165 TKW523100:TKX523165 TBA523100:TBB523165 SRE523100:SRF523165 SHI523100:SHJ523165 RXM523100:RXN523165 RNQ523100:RNR523165 RDU523100:RDV523165 QTY523100:QTZ523165 QKC523100:QKD523165 QAG523100:QAH523165 PQK523100:PQL523165 PGO523100:PGP523165 OWS523100:OWT523165 OMW523100:OMX523165 ODA523100:ODB523165 NTE523100:NTF523165 NJI523100:NJJ523165 MZM523100:MZN523165 MPQ523100:MPR523165 MFU523100:MFV523165 LVY523100:LVZ523165 LMC523100:LMD523165 LCG523100:LCH523165 KSK523100:KSL523165 KIO523100:KIP523165 JYS523100:JYT523165 JOW523100:JOX523165 JFA523100:JFB523165 IVE523100:IVF523165 ILI523100:ILJ523165 IBM523100:IBN523165 HRQ523100:HRR523165 HHU523100:HHV523165 GXY523100:GXZ523165 GOC523100:GOD523165 GEG523100:GEH523165 FUK523100:FUL523165 FKO523100:FKP523165 FAS523100:FAT523165 EQW523100:EQX523165 EHA523100:EHB523165 DXE523100:DXF523165 DNI523100:DNJ523165 DDM523100:DDN523165 CTQ523100:CTR523165 CJU523100:CJV523165 BZY523100:BZZ523165 BQC523100:BQD523165 BGG523100:BGH523165 AWK523100:AWL523165 AMO523100:AMP523165 ACS523100:ACT523165 SW523100:SX523165 JA523100:JB523165 E523100:F523165 WVM457564:WVN457629 WLQ457564:WLR457629 WBU457564:WBV457629 VRY457564:VRZ457629 VIC457564:VID457629 UYG457564:UYH457629 UOK457564:UOL457629 UEO457564:UEP457629 TUS457564:TUT457629 TKW457564:TKX457629 TBA457564:TBB457629 SRE457564:SRF457629 SHI457564:SHJ457629 RXM457564:RXN457629 RNQ457564:RNR457629 RDU457564:RDV457629 QTY457564:QTZ457629 QKC457564:QKD457629 QAG457564:QAH457629 PQK457564:PQL457629 PGO457564:PGP457629 OWS457564:OWT457629 OMW457564:OMX457629 ODA457564:ODB457629 NTE457564:NTF457629 NJI457564:NJJ457629 MZM457564:MZN457629 MPQ457564:MPR457629 MFU457564:MFV457629 LVY457564:LVZ457629 LMC457564:LMD457629 LCG457564:LCH457629 KSK457564:KSL457629 KIO457564:KIP457629 JYS457564:JYT457629 JOW457564:JOX457629 JFA457564:JFB457629 IVE457564:IVF457629 ILI457564:ILJ457629 IBM457564:IBN457629 HRQ457564:HRR457629 HHU457564:HHV457629 GXY457564:GXZ457629 GOC457564:GOD457629 GEG457564:GEH457629 FUK457564:FUL457629 FKO457564:FKP457629 FAS457564:FAT457629 EQW457564:EQX457629 EHA457564:EHB457629 DXE457564:DXF457629 DNI457564:DNJ457629 DDM457564:DDN457629 CTQ457564:CTR457629 CJU457564:CJV457629 BZY457564:BZZ457629 BQC457564:BQD457629 BGG457564:BGH457629 AWK457564:AWL457629 AMO457564:AMP457629 ACS457564:ACT457629 SW457564:SX457629 JA457564:JB457629 E457564:F457629 WVM392028:WVN392093 WLQ392028:WLR392093 WBU392028:WBV392093 VRY392028:VRZ392093 VIC392028:VID392093 UYG392028:UYH392093 UOK392028:UOL392093 UEO392028:UEP392093 TUS392028:TUT392093 TKW392028:TKX392093 TBA392028:TBB392093 SRE392028:SRF392093 SHI392028:SHJ392093 RXM392028:RXN392093 RNQ392028:RNR392093 RDU392028:RDV392093 QTY392028:QTZ392093 QKC392028:QKD392093 QAG392028:QAH392093 PQK392028:PQL392093 PGO392028:PGP392093 OWS392028:OWT392093 OMW392028:OMX392093 ODA392028:ODB392093 NTE392028:NTF392093 NJI392028:NJJ392093 MZM392028:MZN392093 MPQ392028:MPR392093 MFU392028:MFV392093 LVY392028:LVZ392093 LMC392028:LMD392093 LCG392028:LCH392093 KSK392028:KSL392093 KIO392028:KIP392093 JYS392028:JYT392093 JOW392028:JOX392093 JFA392028:JFB392093 IVE392028:IVF392093 ILI392028:ILJ392093 IBM392028:IBN392093 HRQ392028:HRR392093 HHU392028:HHV392093 GXY392028:GXZ392093 GOC392028:GOD392093 GEG392028:GEH392093 FUK392028:FUL392093 FKO392028:FKP392093 FAS392028:FAT392093 EQW392028:EQX392093 EHA392028:EHB392093 DXE392028:DXF392093 DNI392028:DNJ392093 DDM392028:DDN392093 CTQ392028:CTR392093 CJU392028:CJV392093 BZY392028:BZZ392093 BQC392028:BQD392093 BGG392028:BGH392093 AWK392028:AWL392093 AMO392028:AMP392093 ACS392028:ACT392093 SW392028:SX392093 JA392028:JB392093 E392028:F392093 WVM326492:WVN326557 WLQ326492:WLR326557 WBU326492:WBV326557 VRY326492:VRZ326557 VIC326492:VID326557 UYG326492:UYH326557 UOK326492:UOL326557 UEO326492:UEP326557 TUS326492:TUT326557 TKW326492:TKX326557 TBA326492:TBB326557 SRE326492:SRF326557 SHI326492:SHJ326557 RXM326492:RXN326557 RNQ326492:RNR326557 RDU326492:RDV326557 QTY326492:QTZ326557 QKC326492:QKD326557 QAG326492:QAH326557 PQK326492:PQL326557 PGO326492:PGP326557 OWS326492:OWT326557 OMW326492:OMX326557 ODA326492:ODB326557 NTE326492:NTF326557 NJI326492:NJJ326557 MZM326492:MZN326557 MPQ326492:MPR326557 MFU326492:MFV326557 LVY326492:LVZ326557 LMC326492:LMD326557 LCG326492:LCH326557 KSK326492:KSL326557 KIO326492:KIP326557 JYS326492:JYT326557 JOW326492:JOX326557 JFA326492:JFB326557 IVE326492:IVF326557 ILI326492:ILJ326557 IBM326492:IBN326557 HRQ326492:HRR326557 HHU326492:HHV326557 GXY326492:GXZ326557 GOC326492:GOD326557 GEG326492:GEH326557 FUK326492:FUL326557 FKO326492:FKP326557 FAS326492:FAT326557 EQW326492:EQX326557 EHA326492:EHB326557 DXE326492:DXF326557 DNI326492:DNJ326557 DDM326492:DDN326557 CTQ326492:CTR326557 CJU326492:CJV326557 BZY326492:BZZ326557 BQC326492:BQD326557 BGG326492:BGH326557 AWK326492:AWL326557 AMO326492:AMP326557 ACS326492:ACT326557 SW326492:SX326557 JA326492:JB326557 E326492:F326557 WVM260956:WVN261021 WLQ260956:WLR261021 WBU260956:WBV261021 VRY260956:VRZ261021 VIC260956:VID261021 UYG260956:UYH261021 UOK260956:UOL261021 UEO260956:UEP261021 TUS260956:TUT261021 TKW260956:TKX261021 TBA260956:TBB261021 SRE260956:SRF261021 SHI260956:SHJ261021 RXM260956:RXN261021 RNQ260956:RNR261021 RDU260956:RDV261021 QTY260956:QTZ261021 QKC260956:QKD261021 QAG260956:QAH261021 PQK260956:PQL261021 PGO260956:PGP261021 OWS260956:OWT261021 OMW260956:OMX261021 ODA260956:ODB261021 NTE260956:NTF261021 NJI260956:NJJ261021 MZM260956:MZN261021 MPQ260956:MPR261021 MFU260956:MFV261021 LVY260956:LVZ261021 LMC260956:LMD261021 LCG260956:LCH261021 KSK260956:KSL261021 KIO260956:KIP261021 JYS260956:JYT261021 JOW260956:JOX261021 JFA260956:JFB261021 IVE260956:IVF261021 ILI260956:ILJ261021 IBM260956:IBN261021 HRQ260956:HRR261021 HHU260956:HHV261021 GXY260956:GXZ261021 GOC260956:GOD261021 GEG260956:GEH261021 FUK260956:FUL261021 FKO260956:FKP261021 FAS260956:FAT261021 EQW260956:EQX261021 EHA260956:EHB261021 DXE260956:DXF261021 DNI260956:DNJ261021 DDM260956:DDN261021 CTQ260956:CTR261021 CJU260956:CJV261021 BZY260956:BZZ261021 BQC260956:BQD261021 BGG260956:BGH261021 AWK260956:AWL261021 AMO260956:AMP261021 ACS260956:ACT261021 SW260956:SX261021 JA260956:JB261021 E260956:F261021 WVM195420:WVN195485 WLQ195420:WLR195485 WBU195420:WBV195485 VRY195420:VRZ195485 VIC195420:VID195485 UYG195420:UYH195485 UOK195420:UOL195485 UEO195420:UEP195485 TUS195420:TUT195485 TKW195420:TKX195485 TBA195420:TBB195485 SRE195420:SRF195485 SHI195420:SHJ195485 RXM195420:RXN195485 RNQ195420:RNR195485 RDU195420:RDV195485 QTY195420:QTZ195485 QKC195420:QKD195485 QAG195420:QAH195485 PQK195420:PQL195485 PGO195420:PGP195485 OWS195420:OWT195485 OMW195420:OMX195485 ODA195420:ODB195485 NTE195420:NTF195485 NJI195420:NJJ195485 MZM195420:MZN195485 MPQ195420:MPR195485 MFU195420:MFV195485 LVY195420:LVZ195485 LMC195420:LMD195485 LCG195420:LCH195485 KSK195420:KSL195485 KIO195420:KIP195485 JYS195420:JYT195485 JOW195420:JOX195485 JFA195420:JFB195485 IVE195420:IVF195485 ILI195420:ILJ195485 IBM195420:IBN195485 HRQ195420:HRR195485 HHU195420:HHV195485 GXY195420:GXZ195485 GOC195420:GOD195485 GEG195420:GEH195485 FUK195420:FUL195485 FKO195420:FKP195485 FAS195420:FAT195485 EQW195420:EQX195485 EHA195420:EHB195485 DXE195420:DXF195485 DNI195420:DNJ195485 DDM195420:DDN195485 CTQ195420:CTR195485 CJU195420:CJV195485 BZY195420:BZZ195485 BQC195420:BQD195485 BGG195420:BGH195485 AWK195420:AWL195485 AMO195420:AMP195485 ACS195420:ACT195485 SW195420:SX195485 JA195420:JB195485 E195420:F195485 WVM129884:WVN129949 WLQ129884:WLR129949 WBU129884:WBV129949 VRY129884:VRZ129949 VIC129884:VID129949 UYG129884:UYH129949 UOK129884:UOL129949 UEO129884:UEP129949 TUS129884:TUT129949 TKW129884:TKX129949 TBA129884:TBB129949 SRE129884:SRF129949 SHI129884:SHJ129949 RXM129884:RXN129949 RNQ129884:RNR129949 RDU129884:RDV129949 QTY129884:QTZ129949 QKC129884:QKD129949 QAG129884:QAH129949 PQK129884:PQL129949 PGO129884:PGP129949 OWS129884:OWT129949 OMW129884:OMX129949 ODA129884:ODB129949 NTE129884:NTF129949 NJI129884:NJJ129949 MZM129884:MZN129949 MPQ129884:MPR129949 MFU129884:MFV129949 LVY129884:LVZ129949 LMC129884:LMD129949 LCG129884:LCH129949 KSK129884:KSL129949 KIO129884:KIP129949 JYS129884:JYT129949 JOW129884:JOX129949 JFA129884:JFB129949 IVE129884:IVF129949 ILI129884:ILJ129949 IBM129884:IBN129949 HRQ129884:HRR129949 HHU129884:HHV129949 GXY129884:GXZ129949 GOC129884:GOD129949 GEG129884:GEH129949 FUK129884:FUL129949 FKO129884:FKP129949 FAS129884:FAT129949 EQW129884:EQX129949 EHA129884:EHB129949 DXE129884:DXF129949 DNI129884:DNJ129949 DDM129884:DDN129949 CTQ129884:CTR129949 CJU129884:CJV129949 BZY129884:BZZ129949 BQC129884:BQD129949 BGG129884:BGH129949 AWK129884:AWL129949 AMO129884:AMP129949 ACS129884:ACT129949 SW129884:SX129949 JA129884:JB129949 E129884:F129949 WVM64348:WVN64413 WLQ64348:WLR64413 WBU64348:WBV64413 VRY64348:VRZ64413 VIC64348:VID64413 UYG64348:UYH64413 UOK64348:UOL64413 UEO64348:UEP64413 TUS64348:TUT64413 TKW64348:TKX64413 TBA64348:TBB64413 SRE64348:SRF64413 SHI64348:SHJ64413 RXM64348:RXN64413 RNQ64348:RNR64413 RDU64348:RDV64413 QTY64348:QTZ64413 QKC64348:QKD64413 QAG64348:QAH64413 PQK64348:PQL64413 PGO64348:PGP64413 OWS64348:OWT64413 OMW64348:OMX64413 ODA64348:ODB64413 NTE64348:NTF64413 NJI64348:NJJ64413 MZM64348:MZN64413 MPQ64348:MPR64413 MFU64348:MFV64413 LVY64348:LVZ64413 LMC64348:LMD64413 LCG64348:LCH64413 KSK64348:KSL64413 KIO64348:KIP64413 JYS64348:JYT64413 JOW64348:JOX64413 JFA64348:JFB64413 IVE64348:IVF64413 ILI64348:ILJ64413 IBM64348:IBN64413 HRQ64348:HRR64413 HHU64348:HHV64413 GXY64348:GXZ64413 GOC64348:GOD64413 GEG64348:GEH64413 FUK64348:FUL64413 FKO64348:FKP64413 FAS64348:FAT64413 EQW64348:EQX64413 EHA64348:EHB64413 DXE64348:DXF64413 DNI64348:DNJ64413 DDM64348:DDN64413 CTQ64348:CTR64413 CJU64348:CJV64413 BZY64348:BZZ64413 BQC64348:BQD64413 BGG64348:BGH64413 AWK64348:AWL64413 AMO64348:AMP64413 ACS64348:ACT64413 SW64348:SX64413 WVM2:WVN72 JA2:JB72 SW2:SX72 ACS2:ACT72 AMO2:AMP72 AWK2:AWL72 BGG2:BGH72 BQC2:BQD72 BZY2:BZZ72 CJU2:CJV72 CTQ2:CTR72 DDM2:DDN72 DNI2:DNJ72 DXE2:DXF72 EHA2:EHB72 EQW2:EQX72 FAS2:FAT72 FKO2:FKP72 FUK2:FUL72 GEG2:GEH72 GOC2:GOD72 GXY2:GXZ72 HHU2:HHV72 HRQ2:HRR72 IBM2:IBN72 ILI2:ILJ72 IVE2:IVF72 JFA2:JFB72 JOW2:JOX72 JYS2:JYT72 KIO2:KIP72 KSK2:KSL72 LCG2:LCH72 LMC2:LMD72 LVY2:LVZ72 MFU2:MFV72 MPQ2:MPR72 MZM2:MZN72 NJI2:NJJ72 NTE2:NTF72 ODA2:ODB72 OMW2:OMX72 OWS2:OWT72 PGO2:PGP72 PQK2:PQL72 QAG2:QAH72 QKC2:QKD72 QTY2:QTZ72 RDU2:RDV72 RNQ2:RNR72 RXM2:RXN72 SHI2:SHJ72 SRE2:SRF72 TBA2:TBB72 TKW2:TKX72 TUS2:TUT72 UEO2:UEP72 UOK2:UOL72 UYG2:UYH72 VIC2:VID72 VRY2:VRZ72 WBU2:WBV72 WLQ2:WLR72" xr:uid="{708194AF-B01A-48A1-84E7-327E425FEC49}">
      <formula1>#REF!</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7537C-269D-472A-9A7E-F1C8C6AC9E32}">
  <dimension ref="A1:BA443"/>
  <sheetViews>
    <sheetView zoomScale="70" zoomScaleNormal="70" zoomScaleSheetLayoutView="100" workbookViewId="0">
      <selection activeCell="M39" sqref="M39"/>
    </sheetView>
  </sheetViews>
  <sheetFormatPr defaultRowHeight="13.5" x14ac:dyDescent="0.15"/>
  <cols>
    <col min="1" max="3" width="9" style="53"/>
    <col min="4" max="4" width="10.5" style="53" bestFit="1" customWidth="1"/>
    <col min="5" max="16" width="9" style="53"/>
    <col min="17" max="17" width="9" style="16"/>
    <col min="18" max="19" width="9" style="53"/>
    <col min="20" max="20" width="9" style="16"/>
    <col min="21" max="21" width="10.5" style="53" bestFit="1" customWidth="1"/>
    <col min="22" max="22" width="9" style="16"/>
    <col min="23" max="32" width="9" style="53"/>
    <col min="33" max="33" width="16.875" style="53" bestFit="1" customWidth="1"/>
    <col min="34" max="34" width="15.625" style="53" customWidth="1"/>
    <col min="35" max="39" width="9" style="127"/>
    <col min="40" max="16384" width="9" style="53"/>
  </cols>
  <sheetData>
    <row r="1" spans="1:53" ht="45" x14ac:dyDescent="0.15">
      <c r="A1" s="44" t="s">
        <v>0</v>
      </c>
      <c r="B1" s="55" t="s">
        <v>1</v>
      </c>
      <c r="C1" s="55" t="s">
        <v>2</v>
      </c>
      <c r="D1" s="56" t="s">
        <v>3</v>
      </c>
      <c r="E1" s="45" t="s">
        <v>4</v>
      </c>
      <c r="F1" s="45" t="s">
        <v>312</v>
      </c>
      <c r="G1" s="45" t="s">
        <v>6</v>
      </c>
      <c r="H1" s="45" t="s">
        <v>7</v>
      </c>
      <c r="I1" s="45" t="s">
        <v>8</v>
      </c>
      <c r="J1" s="45" t="s">
        <v>9</v>
      </c>
      <c r="K1" s="137" t="s">
        <v>10</v>
      </c>
      <c r="L1" s="56" t="s">
        <v>11</v>
      </c>
      <c r="M1" s="56" t="s">
        <v>12</v>
      </c>
      <c r="N1" s="56" t="s">
        <v>13</v>
      </c>
      <c r="O1" s="56" t="s">
        <v>14</v>
      </c>
      <c r="P1" s="56" t="s">
        <v>15</v>
      </c>
      <c r="Q1" s="3" t="s">
        <v>16</v>
      </c>
      <c r="R1" s="56" t="s">
        <v>17</v>
      </c>
      <c r="S1" s="56" t="s">
        <v>18</v>
      </c>
      <c r="T1" s="3" t="s">
        <v>19</v>
      </c>
      <c r="U1" s="58" t="s">
        <v>108</v>
      </c>
      <c r="V1" s="5" t="s">
        <v>20</v>
      </c>
      <c r="W1" s="56" t="s">
        <v>21</v>
      </c>
      <c r="X1" s="45" t="s">
        <v>22</v>
      </c>
      <c r="Y1" s="45" t="s">
        <v>23</v>
      </c>
      <c r="Z1" s="45" t="s">
        <v>24</v>
      </c>
      <c r="AA1" s="46" t="s">
        <v>25</v>
      </c>
      <c r="AB1" s="80" t="s">
        <v>26</v>
      </c>
      <c r="AE1" s="60" t="s">
        <v>0</v>
      </c>
      <c r="AF1" s="61"/>
      <c r="AG1" s="60" t="s">
        <v>4</v>
      </c>
      <c r="AH1" s="60" t="s">
        <v>5</v>
      </c>
      <c r="AI1" s="138"/>
      <c r="AJ1" s="139" t="s">
        <v>6</v>
      </c>
      <c r="AK1" s="138"/>
      <c r="AL1" s="140" t="s">
        <v>7</v>
      </c>
      <c r="AM1" s="138"/>
      <c r="AN1" s="10" t="s">
        <v>8</v>
      </c>
      <c r="AO1" s="61"/>
      <c r="AP1" s="10" t="s">
        <v>27</v>
      </c>
      <c r="AQ1" s="61"/>
      <c r="AR1" s="10" t="s">
        <v>10</v>
      </c>
      <c r="AS1" s="61"/>
      <c r="AT1" s="11" t="s">
        <v>28</v>
      </c>
      <c r="AU1" s="61"/>
      <c r="AV1" s="10" t="s">
        <v>29</v>
      </c>
      <c r="AX1" s="12" t="s">
        <v>30</v>
      </c>
      <c r="AY1" s="13" t="s">
        <v>31</v>
      </c>
      <c r="AZ1" s="13" t="s">
        <v>32</v>
      </c>
      <c r="BA1" s="14" t="s">
        <v>33</v>
      </c>
    </row>
    <row r="2" spans="1:53" x14ac:dyDescent="0.15">
      <c r="A2" s="141" t="s">
        <v>34</v>
      </c>
      <c r="B2" s="141" t="s">
        <v>232</v>
      </c>
      <c r="C2" s="141">
        <v>2019</v>
      </c>
      <c r="D2" s="142" t="s">
        <v>313</v>
      </c>
      <c r="E2" s="141" t="s">
        <v>314</v>
      </c>
      <c r="F2" s="141" t="s">
        <v>315</v>
      </c>
      <c r="G2" s="143" t="s">
        <v>36</v>
      </c>
      <c r="H2" s="144" t="s">
        <v>164</v>
      </c>
      <c r="I2" s="127" t="s">
        <v>159</v>
      </c>
      <c r="J2" s="145" t="s">
        <v>38</v>
      </c>
      <c r="K2" s="127" t="s">
        <v>161</v>
      </c>
      <c r="L2" s="146">
        <v>1</v>
      </c>
      <c r="M2" s="147"/>
      <c r="N2" s="147">
        <v>1</v>
      </c>
      <c r="O2" s="147">
        <v>0.85</v>
      </c>
      <c r="P2" s="147">
        <v>0.8</v>
      </c>
      <c r="Q2" s="148">
        <f>IF(OR(O2="",P2=""),"",AVERAGE(O2,P2))</f>
        <v>0.82499999999999996</v>
      </c>
      <c r="R2" s="149">
        <v>16.3</v>
      </c>
      <c r="S2" s="144">
        <v>122</v>
      </c>
      <c r="T2" s="150">
        <f t="shared" ref="T2:T65" si="0">IF(H2="","",IF(OR(H2="GREEN",H2="GK"),IF(S2&gt;=$AX$2,VLOOKUP(S2,$AX$2:$AY$7,2,1),""),IF(S2&gt;=$AZ$2,VLOOKUP(S2,$AZ$2:$BA$7,2,1),"")))</f>
        <v>30</v>
      </c>
      <c r="U2" s="127">
        <v>108</v>
      </c>
      <c r="V2" s="150">
        <f t="shared" ref="V2:V65" si="1">IF(OR(N2="",U2="",T2=""),"",U2/N2*T2)</f>
        <v>3240</v>
      </c>
      <c r="W2" s="151">
        <v>6</v>
      </c>
      <c r="X2" s="152" t="s">
        <v>46</v>
      </c>
      <c r="Y2" s="152" t="s">
        <v>88</v>
      </c>
      <c r="Z2" s="152" t="s">
        <v>106</v>
      </c>
      <c r="AA2" s="152" t="s">
        <v>97</v>
      </c>
      <c r="AB2" s="53" t="s">
        <v>236</v>
      </c>
      <c r="AE2" s="64" t="s">
        <v>35</v>
      </c>
      <c r="AG2" s="67" t="s">
        <v>314</v>
      </c>
      <c r="AH2" s="67" t="s">
        <v>315</v>
      </c>
      <c r="AJ2" s="130" t="s">
        <v>36</v>
      </c>
      <c r="AL2" s="67" t="s">
        <v>127</v>
      </c>
      <c r="AN2" s="67" t="s">
        <v>37</v>
      </c>
      <c r="AP2" s="67" t="s">
        <v>38</v>
      </c>
      <c r="AR2" s="67" t="s">
        <v>120</v>
      </c>
      <c r="AT2" s="67" t="s">
        <v>39</v>
      </c>
      <c r="AV2" s="67" t="s">
        <v>40</v>
      </c>
      <c r="AX2" s="68">
        <v>1</v>
      </c>
      <c r="AY2" s="69">
        <v>50</v>
      </c>
      <c r="AZ2" s="69">
        <v>1</v>
      </c>
      <c r="BA2" s="70">
        <v>50</v>
      </c>
    </row>
    <row r="3" spans="1:53" x14ac:dyDescent="0.15">
      <c r="A3" s="153" t="s">
        <v>34</v>
      </c>
      <c r="B3" s="153" t="s">
        <v>157</v>
      </c>
      <c r="C3" s="154">
        <v>2019</v>
      </c>
      <c r="D3" s="155" t="s">
        <v>316</v>
      </c>
      <c r="E3" s="153" t="s">
        <v>314</v>
      </c>
      <c r="F3" s="153" t="s">
        <v>315</v>
      </c>
      <c r="G3" s="156" t="s">
        <v>36</v>
      </c>
      <c r="H3" s="127" t="s">
        <v>164</v>
      </c>
      <c r="I3" s="127" t="s">
        <v>159</v>
      </c>
      <c r="J3" s="127" t="s">
        <v>38</v>
      </c>
      <c r="K3" s="127" t="s">
        <v>161</v>
      </c>
      <c r="L3" s="53">
        <v>2</v>
      </c>
      <c r="N3" s="53">
        <v>1</v>
      </c>
      <c r="O3" s="53">
        <v>1</v>
      </c>
      <c r="P3" s="34">
        <v>0.9</v>
      </c>
      <c r="Q3" s="157">
        <f t="shared" ref="Q3:Q66" si="2">IF(OR(O3="",P3=""),"",AVERAGE(O3,P3))</f>
        <v>0.95</v>
      </c>
      <c r="R3" s="158">
        <v>14.4</v>
      </c>
      <c r="S3" s="158">
        <v>125</v>
      </c>
      <c r="T3" s="16">
        <f t="shared" si="0"/>
        <v>30</v>
      </c>
      <c r="U3" s="159">
        <v>108</v>
      </c>
      <c r="V3" s="38">
        <f t="shared" si="1"/>
        <v>3240</v>
      </c>
      <c r="W3" s="160">
        <v>6</v>
      </c>
      <c r="X3" s="161" t="s">
        <v>46</v>
      </c>
      <c r="Y3" s="161" t="s">
        <v>88</v>
      </c>
      <c r="Z3" s="161" t="s">
        <v>106</v>
      </c>
      <c r="AA3" s="152" t="s">
        <v>97</v>
      </c>
      <c r="AB3" s="53" t="s">
        <v>158</v>
      </c>
      <c r="AE3" s="22" t="s">
        <v>41</v>
      </c>
      <c r="AG3" s="67" t="s">
        <v>317</v>
      </c>
      <c r="AH3" s="67" t="s">
        <v>318</v>
      </c>
      <c r="AJ3" s="162" t="s">
        <v>42</v>
      </c>
      <c r="AL3" s="23" t="s">
        <v>128</v>
      </c>
      <c r="AN3" s="23" t="s">
        <v>43</v>
      </c>
      <c r="AP3" s="23" t="s">
        <v>44</v>
      </c>
      <c r="AR3" s="23" t="s">
        <v>45</v>
      </c>
      <c r="AT3" s="23" t="s">
        <v>46</v>
      </c>
      <c r="AV3" s="23" t="s">
        <v>47</v>
      </c>
      <c r="AX3" s="24">
        <v>72</v>
      </c>
      <c r="AY3" s="25">
        <v>46</v>
      </c>
      <c r="AZ3" s="25">
        <v>71</v>
      </c>
      <c r="BA3" s="26">
        <v>42</v>
      </c>
    </row>
    <row r="4" spans="1:53" x14ac:dyDescent="0.15">
      <c r="A4" s="153" t="s">
        <v>34</v>
      </c>
      <c r="B4" s="153" t="s">
        <v>157</v>
      </c>
      <c r="C4" s="153">
        <v>2019</v>
      </c>
      <c r="D4" s="155" t="s">
        <v>316</v>
      </c>
      <c r="E4" s="153" t="s">
        <v>314</v>
      </c>
      <c r="F4" s="153" t="s">
        <v>315</v>
      </c>
      <c r="G4" s="156" t="s">
        <v>36</v>
      </c>
      <c r="H4" s="127" t="s">
        <v>164</v>
      </c>
      <c r="I4" s="127" t="s">
        <v>159</v>
      </c>
      <c r="J4" s="127" t="s">
        <v>38</v>
      </c>
      <c r="K4" s="127" t="s">
        <v>161</v>
      </c>
      <c r="L4" s="53">
        <v>3</v>
      </c>
      <c r="N4" s="53">
        <v>1</v>
      </c>
      <c r="O4" s="53">
        <v>0.9</v>
      </c>
      <c r="P4" s="34">
        <v>1.05</v>
      </c>
      <c r="Q4" s="75">
        <f t="shared" si="2"/>
        <v>0.97500000000000009</v>
      </c>
      <c r="R4" s="163">
        <v>15.1</v>
      </c>
      <c r="S4" s="163">
        <v>120</v>
      </c>
      <c r="T4" s="16">
        <f t="shared" si="0"/>
        <v>30</v>
      </c>
      <c r="U4" s="164">
        <v>108</v>
      </c>
      <c r="V4" s="38">
        <f t="shared" si="1"/>
        <v>3240</v>
      </c>
      <c r="W4" s="160">
        <v>6</v>
      </c>
      <c r="X4" s="161" t="s">
        <v>46</v>
      </c>
      <c r="Y4" s="161" t="s">
        <v>88</v>
      </c>
      <c r="Z4" s="161" t="s">
        <v>106</v>
      </c>
      <c r="AA4" s="152" t="s">
        <v>97</v>
      </c>
      <c r="AB4" s="53" t="s">
        <v>158</v>
      </c>
      <c r="AE4" s="22" t="s">
        <v>34</v>
      </c>
      <c r="AG4" s="67" t="s">
        <v>319</v>
      </c>
      <c r="AH4" s="67" t="s">
        <v>318</v>
      </c>
      <c r="AJ4" s="165" t="s">
        <v>48</v>
      </c>
      <c r="AL4" s="27" t="s">
        <v>129</v>
      </c>
      <c r="AN4" s="28" t="s">
        <v>49</v>
      </c>
      <c r="AP4" s="23" t="s">
        <v>93</v>
      </c>
      <c r="AR4" s="23" t="s">
        <v>121</v>
      </c>
      <c r="AT4" s="28"/>
      <c r="AV4" s="23" t="s">
        <v>50</v>
      </c>
      <c r="AX4" s="24">
        <v>75</v>
      </c>
      <c r="AY4" s="25">
        <v>42</v>
      </c>
      <c r="AZ4" s="25">
        <v>76</v>
      </c>
      <c r="BA4" s="26">
        <v>39</v>
      </c>
    </row>
    <row r="5" spans="1:53" x14ac:dyDescent="0.15">
      <c r="A5" s="153" t="s">
        <v>34</v>
      </c>
      <c r="B5" s="153" t="s">
        <v>157</v>
      </c>
      <c r="C5" s="154">
        <v>2019</v>
      </c>
      <c r="D5" s="155" t="s">
        <v>316</v>
      </c>
      <c r="E5" s="153" t="s">
        <v>314</v>
      </c>
      <c r="F5" s="153" t="s">
        <v>315</v>
      </c>
      <c r="G5" s="156" t="s">
        <v>36</v>
      </c>
      <c r="H5" s="127" t="s">
        <v>160</v>
      </c>
      <c r="I5" s="127" t="s">
        <v>159</v>
      </c>
      <c r="J5" s="127" t="s">
        <v>38</v>
      </c>
      <c r="K5" s="127" t="s">
        <v>161</v>
      </c>
      <c r="L5" s="53">
        <v>1</v>
      </c>
      <c r="N5" s="53">
        <v>1</v>
      </c>
      <c r="O5" s="53">
        <v>0.65</v>
      </c>
      <c r="P5" s="53">
        <v>0.6</v>
      </c>
      <c r="Q5" s="75">
        <f t="shared" si="2"/>
        <v>0.625</v>
      </c>
      <c r="R5" s="163">
        <v>17.399999999999999</v>
      </c>
      <c r="S5" s="163">
        <v>124</v>
      </c>
      <c r="T5" s="16">
        <f t="shared" si="0"/>
        <v>30</v>
      </c>
      <c r="U5" s="164">
        <v>128</v>
      </c>
      <c r="V5" s="38">
        <f t="shared" si="1"/>
        <v>3840</v>
      </c>
      <c r="W5" s="160">
        <v>6</v>
      </c>
      <c r="X5" s="161" t="s">
        <v>46</v>
      </c>
      <c r="Y5" s="161" t="s">
        <v>88</v>
      </c>
      <c r="Z5" s="161" t="s">
        <v>106</v>
      </c>
      <c r="AA5" s="152" t="s">
        <v>97</v>
      </c>
      <c r="AB5" s="53" t="s">
        <v>158</v>
      </c>
      <c r="AE5" s="22" t="s">
        <v>51</v>
      </c>
      <c r="AG5" s="67" t="s">
        <v>314</v>
      </c>
      <c r="AH5" s="67" t="s">
        <v>320</v>
      </c>
      <c r="AJ5" s="166"/>
      <c r="AL5" s="73" t="s">
        <v>66</v>
      </c>
      <c r="AN5" s="73" t="s">
        <v>52</v>
      </c>
      <c r="AP5" s="23" t="s">
        <v>119</v>
      </c>
      <c r="AR5" s="23" t="s">
        <v>54</v>
      </c>
      <c r="AV5" s="23" t="s">
        <v>55</v>
      </c>
      <c r="AX5" s="24">
        <v>84</v>
      </c>
      <c r="AY5" s="25">
        <v>39</v>
      </c>
      <c r="AZ5" s="25">
        <v>84</v>
      </c>
      <c r="BA5" s="26">
        <v>36</v>
      </c>
    </row>
    <row r="6" spans="1:53" x14ac:dyDescent="0.15">
      <c r="A6" s="153" t="s">
        <v>34</v>
      </c>
      <c r="B6" s="153" t="s">
        <v>157</v>
      </c>
      <c r="C6" s="153">
        <v>2019</v>
      </c>
      <c r="D6" s="155" t="s">
        <v>316</v>
      </c>
      <c r="E6" s="153" t="s">
        <v>314</v>
      </c>
      <c r="F6" s="153" t="s">
        <v>315</v>
      </c>
      <c r="G6" s="156" t="s">
        <v>36</v>
      </c>
      <c r="H6" s="127" t="s">
        <v>160</v>
      </c>
      <c r="I6" s="127" t="s">
        <v>159</v>
      </c>
      <c r="J6" s="127" t="s">
        <v>38</v>
      </c>
      <c r="K6" s="127" t="s">
        <v>161</v>
      </c>
      <c r="L6" s="53">
        <v>2</v>
      </c>
      <c r="N6" s="53">
        <v>1</v>
      </c>
      <c r="O6" s="53">
        <v>0.8</v>
      </c>
      <c r="P6" s="53">
        <v>0.75</v>
      </c>
      <c r="Q6" s="75">
        <f t="shared" si="2"/>
        <v>0.77500000000000002</v>
      </c>
      <c r="R6" s="163">
        <v>16.399999999999999</v>
      </c>
      <c r="S6" s="163">
        <v>119</v>
      </c>
      <c r="T6" s="16">
        <f t="shared" si="0"/>
        <v>30</v>
      </c>
      <c r="U6" s="164">
        <v>128</v>
      </c>
      <c r="V6" s="38">
        <f t="shared" si="1"/>
        <v>3840</v>
      </c>
      <c r="W6" s="160">
        <v>6</v>
      </c>
      <c r="X6" s="161" t="s">
        <v>46</v>
      </c>
      <c r="Y6" s="161" t="s">
        <v>88</v>
      </c>
      <c r="Z6" s="161" t="s">
        <v>106</v>
      </c>
      <c r="AA6" s="152" t="s">
        <v>97</v>
      </c>
      <c r="AB6" s="53" t="s">
        <v>158</v>
      </c>
      <c r="AE6" s="22" t="s">
        <v>56</v>
      </c>
      <c r="AG6" s="67" t="s">
        <v>210</v>
      </c>
      <c r="AH6" s="67" t="s">
        <v>321</v>
      </c>
      <c r="AL6" s="73" t="s">
        <v>99</v>
      </c>
      <c r="AN6" s="73" t="s">
        <v>57</v>
      </c>
      <c r="AP6" s="23" t="s">
        <v>53</v>
      </c>
      <c r="AR6" s="23" t="s">
        <v>59</v>
      </c>
      <c r="AV6" s="23" t="s">
        <v>60</v>
      </c>
      <c r="AX6" s="24">
        <v>97</v>
      </c>
      <c r="AY6" s="25">
        <v>36</v>
      </c>
      <c r="AZ6" s="25">
        <v>99</v>
      </c>
      <c r="BA6" s="26">
        <v>33</v>
      </c>
    </row>
    <row r="7" spans="1:53" x14ac:dyDescent="0.15">
      <c r="A7" s="153" t="s">
        <v>34</v>
      </c>
      <c r="B7" s="153" t="s">
        <v>157</v>
      </c>
      <c r="C7" s="154">
        <v>2019</v>
      </c>
      <c r="D7" s="155" t="s">
        <v>316</v>
      </c>
      <c r="E7" s="153" t="s">
        <v>314</v>
      </c>
      <c r="F7" s="153" t="s">
        <v>315</v>
      </c>
      <c r="G7" s="156" t="s">
        <v>36</v>
      </c>
      <c r="H7" s="127" t="s">
        <v>160</v>
      </c>
      <c r="I7" s="127" t="s">
        <v>159</v>
      </c>
      <c r="J7" s="127" t="s">
        <v>38</v>
      </c>
      <c r="K7" s="127" t="s">
        <v>161</v>
      </c>
      <c r="L7" s="53">
        <v>3</v>
      </c>
      <c r="N7" s="53">
        <v>1</v>
      </c>
      <c r="O7" s="53">
        <v>0.75</v>
      </c>
      <c r="P7" s="53">
        <v>0.8</v>
      </c>
      <c r="Q7" s="75">
        <f t="shared" si="2"/>
        <v>0.77500000000000002</v>
      </c>
      <c r="R7" s="163">
        <v>16.5</v>
      </c>
      <c r="S7" s="163">
        <v>125</v>
      </c>
      <c r="T7" s="16">
        <f t="shared" si="0"/>
        <v>30</v>
      </c>
      <c r="U7" s="164">
        <v>128</v>
      </c>
      <c r="V7" s="38">
        <f t="shared" si="1"/>
        <v>3840</v>
      </c>
      <c r="W7" s="160">
        <v>6</v>
      </c>
      <c r="X7" s="161" t="s">
        <v>46</v>
      </c>
      <c r="Y7" s="161" t="s">
        <v>88</v>
      </c>
      <c r="Z7" s="161" t="s">
        <v>106</v>
      </c>
      <c r="AA7" s="152" t="s">
        <v>97</v>
      </c>
      <c r="AB7" s="53" t="s">
        <v>158</v>
      </c>
      <c r="AE7" s="22" t="s">
        <v>61</v>
      </c>
      <c r="AG7" s="67" t="s">
        <v>322</v>
      </c>
      <c r="AH7" s="67" t="s">
        <v>321</v>
      </c>
      <c r="AL7" s="34" t="s">
        <v>109</v>
      </c>
      <c r="AP7" s="23" t="s">
        <v>58</v>
      </c>
      <c r="AR7" s="23" t="s">
        <v>122</v>
      </c>
      <c r="AV7" s="23" t="s">
        <v>64</v>
      </c>
      <c r="AX7" s="24">
        <v>109</v>
      </c>
      <c r="AY7" s="25">
        <v>33</v>
      </c>
      <c r="AZ7" s="25">
        <v>113</v>
      </c>
      <c r="BA7" s="26">
        <v>30</v>
      </c>
    </row>
    <row r="8" spans="1:53" x14ac:dyDescent="0.15">
      <c r="A8" s="153" t="s">
        <v>34</v>
      </c>
      <c r="B8" s="153" t="s">
        <v>157</v>
      </c>
      <c r="C8" s="153">
        <v>2019</v>
      </c>
      <c r="D8" s="155" t="s">
        <v>316</v>
      </c>
      <c r="E8" s="154" t="s">
        <v>317</v>
      </c>
      <c r="F8" s="153" t="s">
        <v>318</v>
      </c>
      <c r="G8" s="156" t="s">
        <v>36</v>
      </c>
      <c r="H8" s="127" t="s">
        <v>164</v>
      </c>
      <c r="I8" s="127" t="s">
        <v>159</v>
      </c>
      <c r="J8" s="127" t="s">
        <v>38</v>
      </c>
      <c r="K8" s="127" t="s">
        <v>161</v>
      </c>
      <c r="L8" s="53">
        <v>1</v>
      </c>
      <c r="N8" s="53">
        <v>7</v>
      </c>
      <c r="O8" s="53">
        <v>0.75</v>
      </c>
      <c r="P8" s="53">
        <v>0.75</v>
      </c>
      <c r="Q8" s="75">
        <f t="shared" si="2"/>
        <v>0.75</v>
      </c>
      <c r="R8" s="163">
        <v>13.5</v>
      </c>
      <c r="S8" s="163">
        <v>93</v>
      </c>
      <c r="T8" s="16">
        <f t="shared" si="0"/>
        <v>36</v>
      </c>
      <c r="U8" s="159">
        <v>398</v>
      </c>
      <c r="V8" s="38">
        <f t="shared" si="1"/>
        <v>2046.8571428571427</v>
      </c>
      <c r="W8" s="160">
        <v>4</v>
      </c>
      <c r="X8" s="161" t="s">
        <v>46</v>
      </c>
      <c r="Y8" s="167" t="s">
        <v>88</v>
      </c>
      <c r="Z8" s="161" t="s">
        <v>78</v>
      </c>
      <c r="AA8" s="152" t="s">
        <v>86</v>
      </c>
      <c r="AB8" s="53" t="s">
        <v>158</v>
      </c>
      <c r="AE8" s="22" t="s">
        <v>59</v>
      </c>
      <c r="AG8" s="67" t="s">
        <v>210</v>
      </c>
      <c r="AH8" s="67" t="s">
        <v>323</v>
      </c>
      <c r="AL8" s="34" t="s">
        <v>134</v>
      </c>
      <c r="AP8" s="23" t="s">
        <v>62</v>
      </c>
      <c r="AR8" s="23" t="s">
        <v>81</v>
      </c>
      <c r="AV8" s="23" t="s">
        <v>97</v>
      </c>
      <c r="AX8" s="24">
        <v>151</v>
      </c>
      <c r="AY8" s="25">
        <v>22</v>
      </c>
      <c r="AZ8" s="25">
        <v>152</v>
      </c>
      <c r="BA8" s="26">
        <v>18</v>
      </c>
    </row>
    <row r="9" spans="1:53" x14ac:dyDescent="0.15">
      <c r="A9" s="153" t="s">
        <v>34</v>
      </c>
      <c r="B9" s="153" t="s">
        <v>157</v>
      </c>
      <c r="C9" s="154">
        <v>2019</v>
      </c>
      <c r="D9" s="155" t="s">
        <v>316</v>
      </c>
      <c r="E9" s="154" t="s">
        <v>317</v>
      </c>
      <c r="F9" s="153" t="s">
        <v>318</v>
      </c>
      <c r="G9" s="156" t="s">
        <v>36</v>
      </c>
      <c r="H9" s="127" t="s">
        <v>164</v>
      </c>
      <c r="I9" s="127" t="s">
        <v>159</v>
      </c>
      <c r="J9" s="127" t="s">
        <v>38</v>
      </c>
      <c r="K9" s="127" t="s">
        <v>161</v>
      </c>
      <c r="L9" s="53">
        <v>2</v>
      </c>
      <c r="N9" s="53">
        <v>7</v>
      </c>
      <c r="O9" s="53">
        <v>1</v>
      </c>
      <c r="P9" s="53">
        <v>0.9</v>
      </c>
      <c r="Q9" s="75">
        <f t="shared" si="2"/>
        <v>0.95</v>
      </c>
      <c r="R9" s="163">
        <v>11.7</v>
      </c>
      <c r="S9" s="163">
        <v>100</v>
      </c>
      <c r="T9" s="16">
        <f t="shared" si="0"/>
        <v>33</v>
      </c>
      <c r="U9" s="159">
        <v>398</v>
      </c>
      <c r="V9" s="38">
        <f t="shared" si="1"/>
        <v>1876.2857142857142</v>
      </c>
      <c r="W9" s="160">
        <v>4</v>
      </c>
      <c r="X9" s="161" t="s">
        <v>46</v>
      </c>
      <c r="Y9" s="167" t="s">
        <v>88</v>
      </c>
      <c r="Z9" s="161" t="s">
        <v>78</v>
      </c>
      <c r="AA9" s="152" t="s">
        <v>86</v>
      </c>
      <c r="AB9" s="53" t="s">
        <v>158</v>
      </c>
      <c r="AE9" s="22" t="s">
        <v>98</v>
      </c>
      <c r="AG9" s="67" t="s">
        <v>139</v>
      </c>
      <c r="AH9" s="67" t="s">
        <v>323</v>
      </c>
      <c r="AL9" s="73"/>
      <c r="AP9" s="23" t="s">
        <v>95</v>
      </c>
      <c r="AR9" s="23" t="s">
        <v>89</v>
      </c>
      <c r="AV9" s="23" t="s">
        <v>102</v>
      </c>
      <c r="AX9" s="31">
        <v>180</v>
      </c>
      <c r="AY9" s="32">
        <v>18</v>
      </c>
      <c r="AZ9" s="32">
        <v>181</v>
      </c>
      <c r="BA9" s="33">
        <v>16</v>
      </c>
    </row>
    <row r="10" spans="1:53" x14ac:dyDescent="0.15">
      <c r="A10" s="153" t="s">
        <v>34</v>
      </c>
      <c r="B10" s="153" t="s">
        <v>157</v>
      </c>
      <c r="C10" s="153">
        <v>2019</v>
      </c>
      <c r="D10" s="155" t="s">
        <v>316</v>
      </c>
      <c r="E10" s="154" t="s">
        <v>317</v>
      </c>
      <c r="F10" s="153" t="s">
        <v>318</v>
      </c>
      <c r="G10" s="156" t="s">
        <v>36</v>
      </c>
      <c r="H10" s="127" t="s">
        <v>164</v>
      </c>
      <c r="I10" s="127" t="s">
        <v>159</v>
      </c>
      <c r="J10" s="127" t="s">
        <v>38</v>
      </c>
      <c r="K10" s="127" t="s">
        <v>161</v>
      </c>
      <c r="L10" s="53">
        <v>3</v>
      </c>
      <c r="N10" s="53">
        <v>7</v>
      </c>
      <c r="O10" s="53">
        <v>0.95</v>
      </c>
      <c r="P10" s="53">
        <v>0.9</v>
      </c>
      <c r="Q10" s="75">
        <f t="shared" si="2"/>
        <v>0.92500000000000004</v>
      </c>
      <c r="R10" s="163">
        <v>13.3</v>
      </c>
      <c r="S10" s="163">
        <v>102</v>
      </c>
      <c r="T10" s="16">
        <f t="shared" si="0"/>
        <v>33</v>
      </c>
      <c r="U10" s="159">
        <v>398</v>
      </c>
      <c r="V10" s="38">
        <f t="shared" si="1"/>
        <v>1876.2857142857142</v>
      </c>
      <c r="W10" s="160">
        <v>4</v>
      </c>
      <c r="X10" s="161" t="s">
        <v>46</v>
      </c>
      <c r="Y10" s="167" t="s">
        <v>88</v>
      </c>
      <c r="Z10" s="161" t="s">
        <v>78</v>
      </c>
      <c r="AA10" s="152" t="s">
        <v>86</v>
      </c>
      <c r="AB10" s="53" t="s">
        <v>158</v>
      </c>
      <c r="AE10" s="22" t="s">
        <v>103</v>
      </c>
      <c r="AG10" s="67" t="s">
        <v>133</v>
      </c>
      <c r="AH10" s="67" t="s">
        <v>324</v>
      </c>
      <c r="AL10" s="34"/>
      <c r="AP10" s="23" t="s">
        <v>100</v>
      </c>
      <c r="AR10" s="23" t="s">
        <v>123</v>
      </c>
      <c r="AV10" s="23" t="s">
        <v>106</v>
      </c>
    </row>
    <row r="11" spans="1:53" x14ac:dyDescent="0.15">
      <c r="A11" s="153" t="s">
        <v>34</v>
      </c>
      <c r="B11" s="153" t="s">
        <v>157</v>
      </c>
      <c r="C11" s="154">
        <v>2019</v>
      </c>
      <c r="D11" s="155" t="s">
        <v>316</v>
      </c>
      <c r="E11" s="154" t="s">
        <v>317</v>
      </c>
      <c r="F11" s="153" t="s">
        <v>318</v>
      </c>
      <c r="G11" s="156" t="s">
        <v>36</v>
      </c>
      <c r="H11" s="127" t="s">
        <v>160</v>
      </c>
      <c r="I11" s="127" t="s">
        <v>159</v>
      </c>
      <c r="J11" s="127" t="s">
        <v>38</v>
      </c>
      <c r="K11" s="127" t="s">
        <v>161</v>
      </c>
      <c r="L11" s="53">
        <v>1</v>
      </c>
      <c r="N11" s="53">
        <v>1</v>
      </c>
      <c r="O11" s="53">
        <v>0.6</v>
      </c>
      <c r="P11" s="53">
        <v>0.55000000000000004</v>
      </c>
      <c r="Q11" s="75">
        <f t="shared" si="2"/>
        <v>0.57499999999999996</v>
      </c>
      <c r="R11" s="163">
        <v>14.4</v>
      </c>
      <c r="S11" s="163">
        <v>117</v>
      </c>
      <c r="T11" s="16">
        <f t="shared" si="0"/>
        <v>30</v>
      </c>
      <c r="U11" s="159">
        <v>98</v>
      </c>
      <c r="V11" s="38">
        <f t="shared" si="1"/>
        <v>2940</v>
      </c>
      <c r="W11" s="160">
        <v>4</v>
      </c>
      <c r="X11" s="161" t="s">
        <v>46</v>
      </c>
      <c r="Y11" s="167" t="s">
        <v>88</v>
      </c>
      <c r="Z11" s="161" t="s">
        <v>78</v>
      </c>
      <c r="AA11" s="167" t="s">
        <v>86</v>
      </c>
      <c r="AB11" s="53" t="s">
        <v>158</v>
      </c>
      <c r="AE11" s="22" t="s">
        <v>65</v>
      </c>
      <c r="AG11" s="23" t="s">
        <v>269</v>
      </c>
      <c r="AH11" s="23" t="s">
        <v>325</v>
      </c>
      <c r="AL11" s="34"/>
      <c r="AP11" s="23" t="s">
        <v>104</v>
      </c>
      <c r="AR11" s="23" t="s">
        <v>87</v>
      </c>
      <c r="AV11" s="23" t="s">
        <v>69</v>
      </c>
    </row>
    <row r="12" spans="1:53" x14ac:dyDescent="0.15">
      <c r="A12" s="153" t="s">
        <v>34</v>
      </c>
      <c r="B12" s="153" t="s">
        <v>157</v>
      </c>
      <c r="C12" s="153">
        <v>2019</v>
      </c>
      <c r="D12" s="155" t="s">
        <v>316</v>
      </c>
      <c r="E12" s="154" t="s">
        <v>317</v>
      </c>
      <c r="F12" s="153" t="s">
        <v>318</v>
      </c>
      <c r="G12" s="156" t="s">
        <v>36</v>
      </c>
      <c r="H12" s="127" t="s">
        <v>160</v>
      </c>
      <c r="I12" s="127" t="s">
        <v>159</v>
      </c>
      <c r="J12" s="127" t="s">
        <v>38</v>
      </c>
      <c r="K12" s="127" t="s">
        <v>161</v>
      </c>
      <c r="L12" s="53">
        <v>2</v>
      </c>
      <c r="N12" s="53">
        <v>1</v>
      </c>
      <c r="O12" s="53">
        <v>0.65</v>
      </c>
      <c r="P12" s="53">
        <v>0.6</v>
      </c>
      <c r="Q12" s="75">
        <f t="shared" si="2"/>
        <v>0.625</v>
      </c>
      <c r="R12" s="163">
        <v>15.2</v>
      </c>
      <c r="S12" s="163">
        <v>106</v>
      </c>
      <c r="T12" s="16">
        <f t="shared" si="0"/>
        <v>33</v>
      </c>
      <c r="U12" s="159">
        <v>98</v>
      </c>
      <c r="V12" s="38">
        <f t="shared" si="1"/>
        <v>3234</v>
      </c>
      <c r="W12" s="160">
        <v>4</v>
      </c>
      <c r="X12" s="161" t="s">
        <v>46</v>
      </c>
      <c r="Y12" s="167" t="s">
        <v>88</v>
      </c>
      <c r="Z12" s="161" t="s">
        <v>78</v>
      </c>
      <c r="AA12" s="167" t="s">
        <v>86</v>
      </c>
      <c r="AB12" s="53" t="s">
        <v>158</v>
      </c>
      <c r="AE12" s="22" t="s">
        <v>70</v>
      </c>
      <c r="AG12" s="23"/>
      <c r="AH12" s="23"/>
      <c r="AL12" s="34"/>
      <c r="AP12" s="23" t="s">
        <v>67</v>
      </c>
      <c r="AR12" s="23" t="s">
        <v>124</v>
      </c>
      <c r="AV12" s="23" t="s">
        <v>72</v>
      </c>
    </row>
    <row r="13" spans="1:53" x14ac:dyDescent="0.15">
      <c r="A13" s="153" t="s">
        <v>34</v>
      </c>
      <c r="B13" s="153" t="s">
        <v>157</v>
      </c>
      <c r="C13" s="154">
        <v>2019</v>
      </c>
      <c r="D13" s="155" t="s">
        <v>316</v>
      </c>
      <c r="E13" s="154" t="s">
        <v>317</v>
      </c>
      <c r="F13" s="153" t="s">
        <v>318</v>
      </c>
      <c r="G13" s="156" t="s">
        <v>36</v>
      </c>
      <c r="H13" s="127" t="s">
        <v>160</v>
      </c>
      <c r="I13" s="127" t="s">
        <v>159</v>
      </c>
      <c r="J13" s="127" t="s">
        <v>38</v>
      </c>
      <c r="K13" s="127" t="s">
        <v>161</v>
      </c>
      <c r="L13" s="53">
        <v>3</v>
      </c>
      <c r="N13" s="53">
        <v>1</v>
      </c>
      <c r="O13" s="53">
        <v>0.6</v>
      </c>
      <c r="P13" s="53">
        <v>0.65</v>
      </c>
      <c r="Q13" s="75">
        <f t="shared" si="2"/>
        <v>0.625</v>
      </c>
      <c r="R13" s="163">
        <v>15.5</v>
      </c>
      <c r="S13" s="163">
        <v>106</v>
      </c>
      <c r="T13" s="16">
        <f t="shared" si="0"/>
        <v>33</v>
      </c>
      <c r="U13" s="159">
        <v>98</v>
      </c>
      <c r="V13" s="38">
        <f t="shared" si="1"/>
        <v>3234</v>
      </c>
      <c r="W13" s="160">
        <v>4</v>
      </c>
      <c r="X13" s="161" t="s">
        <v>46</v>
      </c>
      <c r="Y13" s="167" t="s">
        <v>88</v>
      </c>
      <c r="Z13" s="161" t="s">
        <v>78</v>
      </c>
      <c r="AA13" s="167" t="s">
        <v>86</v>
      </c>
      <c r="AB13" s="53" t="s">
        <v>158</v>
      </c>
      <c r="AE13" s="22" t="s">
        <v>73</v>
      </c>
      <c r="AG13" s="28"/>
      <c r="AH13" s="28"/>
      <c r="AP13" s="23" t="s">
        <v>71</v>
      </c>
      <c r="AR13" s="23" t="s">
        <v>103</v>
      </c>
      <c r="AV13" s="23" t="s">
        <v>75</v>
      </c>
    </row>
    <row r="14" spans="1:53" x14ac:dyDescent="0.15">
      <c r="A14" s="153" t="s">
        <v>34</v>
      </c>
      <c r="B14" s="153" t="s">
        <v>157</v>
      </c>
      <c r="C14" s="153">
        <v>2019</v>
      </c>
      <c r="D14" s="155" t="s">
        <v>316</v>
      </c>
      <c r="E14" s="154" t="s">
        <v>319</v>
      </c>
      <c r="F14" s="153" t="s">
        <v>318</v>
      </c>
      <c r="G14" s="156" t="s">
        <v>36</v>
      </c>
      <c r="H14" s="127" t="s">
        <v>164</v>
      </c>
      <c r="I14" s="127" t="s">
        <v>159</v>
      </c>
      <c r="J14" s="127" t="s">
        <v>38</v>
      </c>
      <c r="K14" s="127" t="s">
        <v>161</v>
      </c>
      <c r="L14" s="53">
        <v>1</v>
      </c>
      <c r="N14" s="53">
        <v>1</v>
      </c>
      <c r="O14" s="53">
        <v>0.75</v>
      </c>
      <c r="P14" s="53">
        <v>0.8</v>
      </c>
      <c r="Q14" s="75">
        <f t="shared" si="2"/>
        <v>0.77500000000000002</v>
      </c>
      <c r="R14" s="163">
        <v>16.600000000000001</v>
      </c>
      <c r="S14" s="163">
        <v>133</v>
      </c>
      <c r="T14" s="16">
        <f t="shared" si="0"/>
        <v>30</v>
      </c>
      <c r="U14" s="159">
        <v>98</v>
      </c>
      <c r="V14" s="38">
        <f t="shared" si="1"/>
        <v>2940</v>
      </c>
      <c r="W14" s="160">
        <v>4</v>
      </c>
      <c r="X14" s="161" t="s">
        <v>46</v>
      </c>
      <c r="Y14" s="167" t="s">
        <v>97</v>
      </c>
      <c r="Z14" s="167" t="s">
        <v>88</v>
      </c>
      <c r="AA14" s="167" t="s">
        <v>78</v>
      </c>
      <c r="AB14" s="53" t="s">
        <v>158</v>
      </c>
      <c r="AC14" s="34"/>
      <c r="AE14" s="22" t="s">
        <v>76</v>
      </c>
      <c r="AP14" s="23" t="s">
        <v>74</v>
      </c>
      <c r="AR14" s="23" t="s">
        <v>125</v>
      </c>
      <c r="AV14" s="23" t="s">
        <v>78</v>
      </c>
    </row>
    <row r="15" spans="1:53" x14ac:dyDescent="0.15">
      <c r="A15" s="153" t="s">
        <v>34</v>
      </c>
      <c r="B15" s="153" t="s">
        <v>157</v>
      </c>
      <c r="C15" s="154">
        <v>2019</v>
      </c>
      <c r="D15" s="155" t="s">
        <v>316</v>
      </c>
      <c r="E15" s="154" t="s">
        <v>319</v>
      </c>
      <c r="F15" s="153" t="s">
        <v>318</v>
      </c>
      <c r="G15" s="156" t="s">
        <v>36</v>
      </c>
      <c r="H15" s="127" t="s">
        <v>164</v>
      </c>
      <c r="I15" s="127" t="s">
        <v>159</v>
      </c>
      <c r="J15" s="127" t="s">
        <v>38</v>
      </c>
      <c r="K15" s="127" t="s">
        <v>161</v>
      </c>
      <c r="L15" s="53">
        <v>2</v>
      </c>
      <c r="N15" s="53">
        <v>1</v>
      </c>
      <c r="O15" s="53">
        <v>0.8</v>
      </c>
      <c r="P15" s="53">
        <v>0.7</v>
      </c>
      <c r="Q15" s="75">
        <f t="shared" si="2"/>
        <v>0.75</v>
      </c>
      <c r="R15" s="163">
        <v>15.8</v>
      </c>
      <c r="S15" s="163">
        <v>122</v>
      </c>
      <c r="T15" s="16">
        <f t="shared" si="0"/>
        <v>30</v>
      </c>
      <c r="U15" s="159">
        <v>98</v>
      </c>
      <c r="V15" s="38">
        <f t="shared" si="1"/>
        <v>2940</v>
      </c>
      <c r="W15" s="160">
        <v>4</v>
      </c>
      <c r="X15" s="161" t="s">
        <v>46</v>
      </c>
      <c r="Y15" s="167" t="s">
        <v>97</v>
      </c>
      <c r="Z15" s="167" t="s">
        <v>88</v>
      </c>
      <c r="AA15" s="167" t="s">
        <v>78</v>
      </c>
      <c r="AB15" s="53" t="s">
        <v>158</v>
      </c>
      <c r="AC15" s="34"/>
      <c r="AE15" s="22" t="s">
        <v>79</v>
      </c>
      <c r="AP15" s="23" t="s">
        <v>77</v>
      </c>
      <c r="AR15" s="23" t="s">
        <v>94</v>
      </c>
      <c r="AV15" s="23" t="s">
        <v>107</v>
      </c>
    </row>
    <row r="16" spans="1:53" x14ac:dyDescent="0.15">
      <c r="A16" s="153" t="s">
        <v>34</v>
      </c>
      <c r="B16" s="153" t="s">
        <v>157</v>
      </c>
      <c r="C16" s="153">
        <v>2019</v>
      </c>
      <c r="D16" s="155" t="s">
        <v>316</v>
      </c>
      <c r="E16" s="154" t="s">
        <v>319</v>
      </c>
      <c r="F16" s="153" t="s">
        <v>318</v>
      </c>
      <c r="G16" s="156" t="s">
        <v>36</v>
      </c>
      <c r="H16" s="127" t="s">
        <v>164</v>
      </c>
      <c r="I16" s="127" t="s">
        <v>159</v>
      </c>
      <c r="J16" s="127" t="s">
        <v>38</v>
      </c>
      <c r="K16" s="127" t="s">
        <v>161</v>
      </c>
      <c r="L16" s="53">
        <v>3</v>
      </c>
      <c r="N16" s="53">
        <v>1</v>
      </c>
      <c r="O16" s="53">
        <v>0.8</v>
      </c>
      <c r="P16" s="53">
        <v>0.75</v>
      </c>
      <c r="Q16" s="75">
        <f t="shared" si="2"/>
        <v>0.77500000000000002</v>
      </c>
      <c r="R16" s="163">
        <v>16.2</v>
      </c>
      <c r="S16" s="163">
        <v>122</v>
      </c>
      <c r="T16" s="16">
        <f t="shared" si="0"/>
        <v>30</v>
      </c>
      <c r="U16" s="159">
        <v>98</v>
      </c>
      <c r="V16" s="38">
        <f t="shared" si="1"/>
        <v>2940</v>
      </c>
      <c r="W16" s="160">
        <v>4</v>
      </c>
      <c r="X16" s="161" t="s">
        <v>46</v>
      </c>
      <c r="Y16" s="167" t="s">
        <v>97</v>
      </c>
      <c r="Z16" s="167" t="s">
        <v>88</v>
      </c>
      <c r="AA16" s="167" t="s">
        <v>78</v>
      </c>
      <c r="AB16" s="53" t="s">
        <v>158</v>
      </c>
      <c r="AC16" s="34"/>
      <c r="AE16" s="22" t="s">
        <v>82</v>
      </c>
      <c r="AP16" s="23" t="s">
        <v>80</v>
      </c>
      <c r="AR16" s="23" t="s">
        <v>63</v>
      </c>
      <c r="AV16" s="23" t="s">
        <v>84</v>
      </c>
    </row>
    <row r="17" spans="1:48" x14ac:dyDescent="0.15">
      <c r="A17" s="153" t="s">
        <v>34</v>
      </c>
      <c r="B17" s="153" t="s">
        <v>232</v>
      </c>
      <c r="C17" s="154">
        <v>2019</v>
      </c>
      <c r="D17" s="155" t="s">
        <v>316</v>
      </c>
      <c r="E17" s="154" t="s">
        <v>319</v>
      </c>
      <c r="F17" s="153" t="s">
        <v>318</v>
      </c>
      <c r="G17" s="156" t="s">
        <v>36</v>
      </c>
      <c r="H17" s="127" t="s">
        <v>160</v>
      </c>
      <c r="I17" s="127" t="s">
        <v>159</v>
      </c>
      <c r="J17" s="127" t="s">
        <v>38</v>
      </c>
      <c r="K17" s="127" t="s">
        <v>161</v>
      </c>
      <c r="L17" s="53">
        <v>1</v>
      </c>
      <c r="N17" s="53">
        <v>1</v>
      </c>
      <c r="O17" s="53">
        <v>0.95</v>
      </c>
      <c r="P17" s="53">
        <v>0.8</v>
      </c>
      <c r="Q17" s="75">
        <f t="shared" si="2"/>
        <v>0.875</v>
      </c>
      <c r="R17" s="163">
        <v>12.9</v>
      </c>
      <c r="S17" s="163">
        <v>109</v>
      </c>
      <c r="T17" s="16">
        <f t="shared" si="0"/>
        <v>33</v>
      </c>
      <c r="U17" s="159">
        <v>148</v>
      </c>
      <c r="V17" s="38">
        <f t="shared" si="1"/>
        <v>4884</v>
      </c>
      <c r="W17" s="160">
        <v>4</v>
      </c>
      <c r="X17" s="161" t="s">
        <v>39</v>
      </c>
      <c r="Y17" s="167" t="s">
        <v>97</v>
      </c>
      <c r="Z17" s="167" t="s">
        <v>88</v>
      </c>
      <c r="AA17" s="167" t="s">
        <v>78</v>
      </c>
      <c r="AB17" s="53" t="s">
        <v>158</v>
      </c>
      <c r="AC17" s="34"/>
      <c r="AE17" s="22" t="s">
        <v>85</v>
      </c>
      <c r="AP17" s="27" t="s">
        <v>110</v>
      </c>
      <c r="AR17" s="23" t="s">
        <v>96</v>
      </c>
      <c r="AV17" s="23" t="s">
        <v>86</v>
      </c>
    </row>
    <row r="18" spans="1:48" x14ac:dyDescent="0.15">
      <c r="A18" s="153" t="s">
        <v>34</v>
      </c>
      <c r="B18" s="153" t="s">
        <v>157</v>
      </c>
      <c r="C18" s="153">
        <v>2019</v>
      </c>
      <c r="D18" s="155" t="s">
        <v>316</v>
      </c>
      <c r="E18" s="154" t="s">
        <v>319</v>
      </c>
      <c r="F18" s="153" t="s">
        <v>318</v>
      </c>
      <c r="G18" s="156" t="s">
        <v>36</v>
      </c>
      <c r="H18" s="127" t="s">
        <v>160</v>
      </c>
      <c r="I18" s="127" t="s">
        <v>159</v>
      </c>
      <c r="J18" s="127" t="s">
        <v>38</v>
      </c>
      <c r="K18" s="127" t="s">
        <v>161</v>
      </c>
      <c r="L18" s="53">
        <v>2</v>
      </c>
      <c r="N18" s="53">
        <v>1</v>
      </c>
      <c r="O18" s="53">
        <v>0.85</v>
      </c>
      <c r="P18" s="53">
        <v>0.95</v>
      </c>
      <c r="Q18" s="75">
        <f t="shared" si="2"/>
        <v>0.89999999999999991</v>
      </c>
      <c r="R18" s="163">
        <v>13.7</v>
      </c>
      <c r="S18" s="163">
        <v>113</v>
      </c>
      <c r="T18" s="16">
        <f t="shared" si="0"/>
        <v>30</v>
      </c>
      <c r="U18" s="159">
        <v>148</v>
      </c>
      <c r="V18" s="38">
        <f t="shared" si="1"/>
        <v>4440</v>
      </c>
      <c r="W18" s="160">
        <v>4</v>
      </c>
      <c r="X18" s="161" t="s">
        <v>39</v>
      </c>
      <c r="Y18" s="167" t="s">
        <v>97</v>
      </c>
      <c r="Z18" s="167" t="s">
        <v>88</v>
      </c>
      <c r="AA18" s="167" t="s">
        <v>78</v>
      </c>
      <c r="AB18" s="53" t="s">
        <v>158</v>
      </c>
      <c r="AC18" s="34"/>
      <c r="AE18" s="22" t="s">
        <v>87</v>
      </c>
      <c r="AP18" s="27" t="s">
        <v>111</v>
      </c>
      <c r="AR18" s="23" t="s">
        <v>101</v>
      </c>
      <c r="AV18" s="23" t="s">
        <v>88</v>
      </c>
    </row>
    <row r="19" spans="1:48" x14ac:dyDescent="0.15">
      <c r="A19" s="153" t="s">
        <v>34</v>
      </c>
      <c r="B19" s="153" t="s">
        <v>157</v>
      </c>
      <c r="C19" s="154">
        <v>2019</v>
      </c>
      <c r="D19" s="155" t="s">
        <v>316</v>
      </c>
      <c r="E19" s="154" t="s">
        <v>319</v>
      </c>
      <c r="F19" s="153" t="s">
        <v>318</v>
      </c>
      <c r="G19" s="156" t="s">
        <v>36</v>
      </c>
      <c r="H19" s="127" t="s">
        <v>160</v>
      </c>
      <c r="I19" s="127" t="s">
        <v>159</v>
      </c>
      <c r="J19" s="127" t="s">
        <v>38</v>
      </c>
      <c r="K19" s="127" t="s">
        <v>161</v>
      </c>
      <c r="L19" s="53">
        <v>3</v>
      </c>
      <c r="N19" s="53">
        <v>1</v>
      </c>
      <c r="O19" s="53">
        <v>0.9</v>
      </c>
      <c r="P19" s="53">
        <v>0.8</v>
      </c>
      <c r="Q19" s="75">
        <f t="shared" si="2"/>
        <v>0.85000000000000009</v>
      </c>
      <c r="R19" s="163">
        <v>15.1</v>
      </c>
      <c r="S19" s="163">
        <v>112</v>
      </c>
      <c r="T19" s="16">
        <f t="shared" si="0"/>
        <v>33</v>
      </c>
      <c r="U19" s="159">
        <v>148</v>
      </c>
      <c r="V19" s="38">
        <f t="shared" si="1"/>
        <v>4884</v>
      </c>
      <c r="W19" s="160">
        <v>4</v>
      </c>
      <c r="X19" s="161" t="s">
        <v>39</v>
      </c>
      <c r="Y19" s="167" t="s">
        <v>97</v>
      </c>
      <c r="Z19" s="167" t="s">
        <v>88</v>
      </c>
      <c r="AA19" s="167" t="s">
        <v>78</v>
      </c>
      <c r="AB19" s="53" t="s">
        <v>158</v>
      </c>
      <c r="AC19" s="34"/>
      <c r="AE19" s="35" t="s">
        <v>89</v>
      </c>
      <c r="AP19" s="27" t="s">
        <v>112</v>
      </c>
      <c r="AR19" s="23" t="s">
        <v>126</v>
      </c>
      <c r="AV19" s="23" t="s">
        <v>90</v>
      </c>
    </row>
    <row r="20" spans="1:48" x14ac:dyDescent="0.15">
      <c r="A20" s="153" t="s">
        <v>34</v>
      </c>
      <c r="B20" s="153" t="s">
        <v>157</v>
      </c>
      <c r="C20" s="153">
        <v>2019</v>
      </c>
      <c r="D20" s="155" t="s">
        <v>316</v>
      </c>
      <c r="E20" s="154" t="s">
        <v>314</v>
      </c>
      <c r="F20" s="153" t="s">
        <v>320</v>
      </c>
      <c r="G20" s="156" t="s">
        <v>36</v>
      </c>
      <c r="H20" s="127" t="s">
        <v>164</v>
      </c>
      <c r="I20" s="127" t="s">
        <v>159</v>
      </c>
      <c r="J20" s="127" t="s">
        <v>38</v>
      </c>
      <c r="K20" s="127" t="s">
        <v>161</v>
      </c>
      <c r="L20" s="53">
        <v>1</v>
      </c>
      <c r="N20" s="53">
        <v>1</v>
      </c>
      <c r="O20" s="53">
        <v>1.1000000000000001</v>
      </c>
      <c r="P20" s="53">
        <v>0.9</v>
      </c>
      <c r="Q20" s="75">
        <f t="shared" si="2"/>
        <v>1</v>
      </c>
      <c r="R20" s="163">
        <v>15</v>
      </c>
      <c r="S20" s="163">
        <v>116</v>
      </c>
      <c r="T20" s="16">
        <f t="shared" si="0"/>
        <v>30</v>
      </c>
      <c r="U20" s="159">
        <v>128</v>
      </c>
      <c r="V20" s="38">
        <f t="shared" si="1"/>
        <v>3840</v>
      </c>
      <c r="W20" s="160">
        <v>6</v>
      </c>
      <c r="X20" s="161" t="s">
        <v>46</v>
      </c>
      <c r="Y20" s="167" t="s">
        <v>97</v>
      </c>
      <c r="Z20" s="167" t="s">
        <v>88</v>
      </c>
      <c r="AA20" s="167" t="s">
        <v>69</v>
      </c>
      <c r="AB20" s="53" t="s">
        <v>158</v>
      </c>
      <c r="AE20" s="35"/>
      <c r="AP20" s="27" t="s">
        <v>113</v>
      </c>
      <c r="AR20" s="23" t="s">
        <v>105</v>
      </c>
      <c r="AV20" s="27" t="s">
        <v>135</v>
      </c>
    </row>
    <row r="21" spans="1:48" x14ac:dyDescent="0.15">
      <c r="A21" s="153" t="s">
        <v>34</v>
      </c>
      <c r="B21" s="153" t="s">
        <v>157</v>
      </c>
      <c r="C21" s="154">
        <v>2019</v>
      </c>
      <c r="D21" s="155" t="s">
        <v>316</v>
      </c>
      <c r="E21" s="154" t="s">
        <v>314</v>
      </c>
      <c r="F21" s="153" t="s">
        <v>320</v>
      </c>
      <c r="G21" s="156" t="s">
        <v>36</v>
      </c>
      <c r="H21" s="127" t="s">
        <v>164</v>
      </c>
      <c r="I21" s="127" t="s">
        <v>159</v>
      </c>
      <c r="J21" s="127" t="s">
        <v>38</v>
      </c>
      <c r="K21" s="127" t="s">
        <v>161</v>
      </c>
      <c r="L21" s="53">
        <v>2</v>
      </c>
      <c r="N21" s="53">
        <v>1</v>
      </c>
      <c r="O21" s="53">
        <v>0.9</v>
      </c>
      <c r="P21" s="53">
        <v>0.85</v>
      </c>
      <c r="Q21" s="75">
        <f t="shared" si="2"/>
        <v>0.875</v>
      </c>
      <c r="R21" s="163">
        <v>16.600000000000001</v>
      </c>
      <c r="S21" s="163">
        <v>124</v>
      </c>
      <c r="T21" s="16">
        <f t="shared" si="0"/>
        <v>30</v>
      </c>
      <c r="U21" s="159">
        <v>128</v>
      </c>
      <c r="V21" s="38">
        <f t="shared" si="1"/>
        <v>3840</v>
      </c>
      <c r="W21" s="160">
        <v>6</v>
      </c>
      <c r="X21" s="161" t="s">
        <v>46</v>
      </c>
      <c r="Y21" s="167" t="s">
        <v>97</v>
      </c>
      <c r="Z21" s="167" t="s">
        <v>88</v>
      </c>
      <c r="AA21" s="167" t="s">
        <v>69</v>
      </c>
      <c r="AB21" s="53" t="s">
        <v>158</v>
      </c>
      <c r="AE21" s="28"/>
      <c r="AP21" s="27" t="s">
        <v>114</v>
      </c>
      <c r="AR21" s="23" t="s">
        <v>68</v>
      </c>
      <c r="AV21" s="27" t="s">
        <v>136</v>
      </c>
    </row>
    <row r="22" spans="1:48" x14ac:dyDescent="0.15">
      <c r="A22" s="153" t="s">
        <v>34</v>
      </c>
      <c r="B22" s="153" t="s">
        <v>157</v>
      </c>
      <c r="C22" s="153">
        <v>2019</v>
      </c>
      <c r="D22" s="155" t="s">
        <v>316</v>
      </c>
      <c r="E22" s="154" t="s">
        <v>314</v>
      </c>
      <c r="F22" s="153" t="s">
        <v>320</v>
      </c>
      <c r="G22" s="156" t="s">
        <v>36</v>
      </c>
      <c r="H22" s="127" t="s">
        <v>164</v>
      </c>
      <c r="I22" s="127" t="s">
        <v>159</v>
      </c>
      <c r="J22" s="127" t="s">
        <v>38</v>
      </c>
      <c r="K22" s="127" t="s">
        <v>161</v>
      </c>
      <c r="L22" s="53">
        <v>3</v>
      </c>
      <c r="N22" s="53">
        <v>1</v>
      </c>
      <c r="O22" s="53">
        <v>0.95</v>
      </c>
      <c r="P22" s="34">
        <v>0.95</v>
      </c>
      <c r="Q22" s="75">
        <f t="shared" si="2"/>
        <v>0.95</v>
      </c>
      <c r="R22" s="163">
        <v>14.3</v>
      </c>
      <c r="S22" s="163">
        <v>120</v>
      </c>
      <c r="T22" s="16">
        <f t="shared" si="0"/>
        <v>30</v>
      </c>
      <c r="U22" s="159">
        <v>128</v>
      </c>
      <c r="V22" s="38">
        <f t="shared" si="1"/>
        <v>3840</v>
      </c>
      <c r="W22" s="160">
        <v>6</v>
      </c>
      <c r="X22" s="161" t="s">
        <v>46</v>
      </c>
      <c r="Y22" s="167" t="s">
        <v>97</v>
      </c>
      <c r="Z22" s="167" t="s">
        <v>88</v>
      </c>
      <c r="AA22" s="167" t="s">
        <v>69</v>
      </c>
      <c r="AB22" s="53" t="s">
        <v>158</v>
      </c>
      <c r="AP22" s="27" t="s">
        <v>115</v>
      </c>
      <c r="AR22" s="23" t="s">
        <v>83</v>
      </c>
      <c r="AV22" s="23"/>
    </row>
    <row r="23" spans="1:48" x14ac:dyDescent="0.15">
      <c r="A23" s="153" t="s">
        <v>34</v>
      </c>
      <c r="B23" s="153" t="s">
        <v>157</v>
      </c>
      <c r="C23" s="154">
        <v>2019</v>
      </c>
      <c r="D23" s="155" t="s">
        <v>316</v>
      </c>
      <c r="E23" s="154" t="s">
        <v>314</v>
      </c>
      <c r="F23" s="153" t="s">
        <v>320</v>
      </c>
      <c r="G23" s="156" t="s">
        <v>36</v>
      </c>
      <c r="H23" s="127" t="s">
        <v>160</v>
      </c>
      <c r="I23" s="127" t="s">
        <v>159</v>
      </c>
      <c r="J23" s="127" t="s">
        <v>38</v>
      </c>
      <c r="K23" s="127" t="s">
        <v>161</v>
      </c>
      <c r="L23" s="53">
        <v>1</v>
      </c>
      <c r="N23" s="53">
        <v>1</v>
      </c>
      <c r="O23" s="53">
        <v>0.55000000000000004</v>
      </c>
      <c r="P23" s="34">
        <v>0.6</v>
      </c>
      <c r="Q23" s="75">
        <f t="shared" si="2"/>
        <v>0.57499999999999996</v>
      </c>
      <c r="R23" s="163">
        <v>18.2</v>
      </c>
      <c r="S23" s="163">
        <v>118</v>
      </c>
      <c r="T23" s="16">
        <f t="shared" si="0"/>
        <v>30</v>
      </c>
      <c r="U23" s="159">
        <v>138</v>
      </c>
      <c r="V23" s="38">
        <f t="shared" si="1"/>
        <v>4140</v>
      </c>
      <c r="W23" s="160">
        <v>6</v>
      </c>
      <c r="X23" s="161" t="s">
        <v>46</v>
      </c>
      <c r="Y23" s="167" t="s">
        <v>97</v>
      </c>
      <c r="Z23" s="167" t="s">
        <v>88</v>
      </c>
      <c r="AA23" s="167" t="s">
        <v>69</v>
      </c>
      <c r="AB23" s="53" t="s">
        <v>158</v>
      </c>
      <c r="AP23" s="27" t="s">
        <v>137</v>
      </c>
      <c r="AR23" s="23" t="s">
        <v>61</v>
      </c>
      <c r="AV23" s="23"/>
    </row>
    <row r="24" spans="1:48" x14ac:dyDescent="0.15">
      <c r="A24" s="153" t="s">
        <v>34</v>
      </c>
      <c r="B24" s="153" t="s">
        <v>157</v>
      </c>
      <c r="C24" s="153">
        <v>2019</v>
      </c>
      <c r="D24" s="155" t="s">
        <v>316</v>
      </c>
      <c r="E24" s="154" t="s">
        <v>314</v>
      </c>
      <c r="F24" s="153" t="s">
        <v>320</v>
      </c>
      <c r="G24" s="156" t="s">
        <v>36</v>
      </c>
      <c r="H24" s="127" t="s">
        <v>160</v>
      </c>
      <c r="I24" s="127" t="s">
        <v>159</v>
      </c>
      <c r="J24" s="127" t="s">
        <v>38</v>
      </c>
      <c r="K24" s="127" t="s">
        <v>161</v>
      </c>
      <c r="L24" s="53">
        <v>2</v>
      </c>
      <c r="N24" s="53">
        <v>1</v>
      </c>
      <c r="O24" s="53">
        <v>0.6</v>
      </c>
      <c r="P24" s="34">
        <v>0.6</v>
      </c>
      <c r="Q24" s="75">
        <f t="shared" si="2"/>
        <v>0.6</v>
      </c>
      <c r="R24" s="163">
        <v>17.2</v>
      </c>
      <c r="S24" s="163">
        <v>121</v>
      </c>
      <c r="T24" s="16">
        <f t="shared" si="0"/>
        <v>30</v>
      </c>
      <c r="U24" s="159">
        <v>138</v>
      </c>
      <c r="V24" s="38">
        <f t="shared" si="1"/>
        <v>4140</v>
      </c>
      <c r="W24" s="160">
        <v>6</v>
      </c>
      <c r="X24" s="161" t="s">
        <v>46</v>
      </c>
      <c r="Y24" s="167" t="s">
        <v>97</v>
      </c>
      <c r="Z24" s="167" t="s">
        <v>88</v>
      </c>
      <c r="AA24" s="167" t="s">
        <v>69</v>
      </c>
      <c r="AB24" s="53" t="s">
        <v>158</v>
      </c>
      <c r="AP24" s="27" t="s">
        <v>138</v>
      </c>
      <c r="AR24" s="23" t="s">
        <v>91</v>
      </c>
      <c r="AV24" s="23"/>
    </row>
    <row r="25" spans="1:48" x14ac:dyDescent="0.15">
      <c r="A25" s="153" t="s">
        <v>34</v>
      </c>
      <c r="B25" s="153" t="s">
        <v>157</v>
      </c>
      <c r="C25" s="154">
        <v>2019</v>
      </c>
      <c r="D25" s="155" t="s">
        <v>316</v>
      </c>
      <c r="E25" s="154" t="s">
        <v>314</v>
      </c>
      <c r="F25" s="153" t="s">
        <v>320</v>
      </c>
      <c r="G25" s="156" t="s">
        <v>36</v>
      </c>
      <c r="H25" s="127" t="s">
        <v>160</v>
      </c>
      <c r="I25" s="127" t="s">
        <v>159</v>
      </c>
      <c r="J25" s="127" t="s">
        <v>38</v>
      </c>
      <c r="K25" s="127" t="s">
        <v>161</v>
      </c>
      <c r="L25" s="53">
        <v>3</v>
      </c>
      <c r="N25" s="53">
        <v>1</v>
      </c>
      <c r="O25" s="53">
        <v>0.65</v>
      </c>
      <c r="P25" s="34">
        <v>0.6</v>
      </c>
      <c r="Q25" s="75">
        <f t="shared" si="2"/>
        <v>0.625</v>
      </c>
      <c r="R25" s="163">
        <v>17.3</v>
      </c>
      <c r="S25" s="163">
        <v>121</v>
      </c>
      <c r="T25" s="16">
        <f t="shared" si="0"/>
        <v>30</v>
      </c>
      <c r="U25" s="159">
        <v>138</v>
      </c>
      <c r="V25" s="38">
        <f t="shared" si="1"/>
        <v>4140</v>
      </c>
      <c r="W25" s="160">
        <v>6</v>
      </c>
      <c r="X25" s="161" t="s">
        <v>46</v>
      </c>
      <c r="Y25" s="167" t="s">
        <v>97</v>
      </c>
      <c r="Z25" s="167" t="s">
        <v>88</v>
      </c>
      <c r="AA25" s="167" t="s">
        <v>69</v>
      </c>
      <c r="AB25" s="53" t="s">
        <v>158</v>
      </c>
      <c r="AP25" s="27" t="s">
        <v>116</v>
      </c>
      <c r="AR25" s="27" t="s">
        <v>92</v>
      </c>
      <c r="AV25" s="23"/>
    </row>
    <row r="26" spans="1:48" x14ac:dyDescent="0.15">
      <c r="A26" s="153" t="s">
        <v>34</v>
      </c>
      <c r="B26" s="153" t="s">
        <v>157</v>
      </c>
      <c r="C26" s="153">
        <v>2019</v>
      </c>
      <c r="D26" s="155" t="s">
        <v>316</v>
      </c>
      <c r="E26" s="154" t="s">
        <v>210</v>
      </c>
      <c r="F26" s="153" t="s">
        <v>321</v>
      </c>
      <c r="G26" s="156" t="s">
        <v>42</v>
      </c>
      <c r="H26" s="127" t="s">
        <v>164</v>
      </c>
      <c r="I26" s="127" t="s">
        <v>159</v>
      </c>
      <c r="J26" s="127" t="s">
        <v>38</v>
      </c>
      <c r="K26" s="127" t="s">
        <v>161</v>
      </c>
      <c r="L26" s="53">
        <v>1</v>
      </c>
      <c r="N26" s="53">
        <v>1</v>
      </c>
      <c r="O26" s="53">
        <v>0.9</v>
      </c>
      <c r="P26" s="53">
        <v>0.85</v>
      </c>
      <c r="Q26" s="75">
        <f t="shared" si="2"/>
        <v>0.875</v>
      </c>
      <c r="R26" s="163">
        <v>13.4</v>
      </c>
      <c r="S26" s="163">
        <v>111</v>
      </c>
      <c r="T26" s="16">
        <f t="shared" si="0"/>
        <v>33</v>
      </c>
      <c r="U26" s="159">
        <v>97</v>
      </c>
      <c r="V26" s="38">
        <f t="shared" si="1"/>
        <v>3201</v>
      </c>
      <c r="W26" s="160">
        <v>12</v>
      </c>
      <c r="X26" s="161" t="s">
        <v>46</v>
      </c>
      <c r="Y26" s="167" t="s">
        <v>97</v>
      </c>
      <c r="Z26" s="167" t="s">
        <v>88</v>
      </c>
      <c r="AA26" s="167" t="s">
        <v>102</v>
      </c>
      <c r="AB26" s="53" t="s">
        <v>158</v>
      </c>
      <c r="AP26" s="27" t="s">
        <v>117</v>
      </c>
      <c r="AR26" s="23" t="s">
        <v>153</v>
      </c>
      <c r="AV26" s="27"/>
    </row>
    <row r="27" spans="1:48" x14ac:dyDescent="0.15">
      <c r="A27" s="153" t="s">
        <v>34</v>
      </c>
      <c r="B27" s="153" t="s">
        <v>157</v>
      </c>
      <c r="C27" s="154">
        <v>2019</v>
      </c>
      <c r="D27" s="155" t="s">
        <v>316</v>
      </c>
      <c r="E27" s="154" t="s">
        <v>210</v>
      </c>
      <c r="F27" s="153" t="s">
        <v>321</v>
      </c>
      <c r="G27" s="156" t="s">
        <v>42</v>
      </c>
      <c r="H27" s="127" t="s">
        <v>164</v>
      </c>
      <c r="I27" s="127" t="s">
        <v>159</v>
      </c>
      <c r="J27" s="127" t="s">
        <v>38</v>
      </c>
      <c r="K27" s="127" t="s">
        <v>161</v>
      </c>
      <c r="L27" s="53">
        <v>2</v>
      </c>
      <c r="N27" s="53">
        <v>1</v>
      </c>
      <c r="O27" s="34">
        <v>0.85</v>
      </c>
      <c r="P27" s="53">
        <v>0.8</v>
      </c>
      <c r="Q27" s="75">
        <f t="shared" si="2"/>
        <v>0.82499999999999996</v>
      </c>
      <c r="R27" s="163">
        <v>14</v>
      </c>
      <c r="S27" s="163">
        <v>105</v>
      </c>
      <c r="T27" s="16">
        <f t="shared" si="0"/>
        <v>33</v>
      </c>
      <c r="U27" s="159">
        <v>97</v>
      </c>
      <c r="V27" s="38">
        <f t="shared" si="1"/>
        <v>3201</v>
      </c>
      <c r="W27" s="160">
        <v>12</v>
      </c>
      <c r="X27" s="161" t="s">
        <v>46</v>
      </c>
      <c r="Y27" s="167" t="s">
        <v>97</v>
      </c>
      <c r="Z27" s="167" t="s">
        <v>88</v>
      </c>
      <c r="AA27" s="167" t="s">
        <v>102</v>
      </c>
      <c r="AB27" s="53" t="s">
        <v>158</v>
      </c>
      <c r="AP27" s="27" t="s">
        <v>118</v>
      </c>
      <c r="AR27" s="23"/>
    </row>
    <row r="28" spans="1:48" x14ac:dyDescent="0.15">
      <c r="A28" s="153" t="s">
        <v>34</v>
      </c>
      <c r="B28" s="153" t="s">
        <v>157</v>
      </c>
      <c r="C28" s="153">
        <v>2019</v>
      </c>
      <c r="D28" s="155" t="s">
        <v>316</v>
      </c>
      <c r="E28" s="154" t="s">
        <v>210</v>
      </c>
      <c r="F28" s="153" t="s">
        <v>321</v>
      </c>
      <c r="G28" s="156" t="s">
        <v>42</v>
      </c>
      <c r="H28" s="127" t="s">
        <v>164</v>
      </c>
      <c r="I28" s="127" t="s">
        <v>159</v>
      </c>
      <c r="J28" s="127" t="s">
        <v>38</v>
      </c>
      <c r="K28" s="127" t="s">
        <v>161</v>
      </c>
      <c r="L28" s="53">
        <v>3</v>
      </c>
      <c r="N28" s="53">
        <v>1</v>
      </c>
      <c r="O28" s="34">
        <v>0.9</v>
      </c>
      <c r="P28" s="53">
        <v>0.85</v>
      </c>
      <c r="Q28" s="75">
        <f t="shared" si="2"/>
        <v>0.875</v>
      </c>
      <c r="R28" s="163">
        <v>14.3</v>
      </c>
      <c r="S28" s="163">
        <v>112</v>
      </c>
      <c r="T28" s="16">
        <f t="shared" si="0"/>
        <v>33</v>
      </c>
      <c r="U28" s="159">
        <v>97</v>
      </c>
      <c r="V28" s="38">
        <f t="shared" si="1"/>
        <v>3201</v>
      </c>
      <c r="W28" s="160">
        <v>12</v>
      </c>
      <c r="X28" s="161" t="s">
        <v>46</v>
      </c>
      <c r="Y28" s="167" t="s">
        <v>97</v>
      </c>
      <c r="Z28" s="167" t="s">
        <v>88</v>
      </c>
      <c r="AA28" s="167" t="s">
        <v>102</v>
      </c>
      <c r="AB28" s="53" t="s">
        <v>158</v>
      </c>
      <c r="AR28" s="23"/>
    </row>
    <row r="29" spans="1:48" x14ac:dyDescent="0.15">
      <c r="A29" s="153" t="s">
        <v>34</v>
      </c>
      <c r="B29" s="153" t="s">
        <v>157</v>
      </c>
      <c r="C29" s="153">
        <v>2019</v>
      </c>
      <c r="D29" s="155" t="s">
        <v>316</v>
      </c>
      <c r="E29" s="154" t="s">
        <v>210</v>
      </c>
      <c r="F29" s="153" t="s">
        <v>321</v>
      </c>
      <c r="G29" s="156" t="s">
        <v>42</v>
      </c>
      <c r="H29" s="127" t="s">
        <v>160</v>
      </c>
      <c r="I29" s="127" t="s">
        <v>159</v>
      </c>
      <c r="J29" s="127" t="s">
        <v>38</v>
      </c>
      <c r="K29" s="127" t="s">
        <v>161</v>
      </c>
      <c r="L29" s="53">
        <v>1</v>
      </c>
      <c r="N29" s="53">
        <v>1</v>
      </c>
      <c r="O29" s="53">
        <v>0.85</v>
      </c>
      <c r="P29" s="53">
        <v>0.9</v>
      </c>
      <c r="Q29" s="75">
        <f t="shared" si="2"/>
        <v>0.875</v>
      </c>
      <c r="R29" s="163">
        <v>15.2</v>
      </c>
      <c r="S29" s="163">
        <v>125</v>
      </c>
      <c r="T29" s="16">
        <f t="shared" si="0"/>
        <v>30</v>
      </c>
      <c r="U29" s="159">
        <v>97</v>
      </c>
      <c r="V29" s="38">
        <f t="shared" si="1"/>
        <v>2910</v>
      </c>
      <c r="W29" s="160">
        <v>12</v>
      </c>
      <c r="X29" s="161" t="s">
        <v>46</v>
      </c>
      <c r="Y29" s="167" t="s">
        <v>97</v>
      </c>
      <c r="Z29" s="167" t="s">
        <v>88</v>
      </c>
      <c r="AA29" s="167" t="s">
        <v>102</v>
      </c>
      <c r="AB29" s="53" t="s">
        <v>158</v>
      </c>
      <c r="AR29" s="28"/>
    </row>
    <row r="30" spans="1:48" x14ac:dyDescent="0.15">
      <c r="A30" s="153" t="s">
        <v>34</v>
      </c>
      <c r="B30" s="153" t="s">
        <v>157</v>
      </c>
      <c r="C30" s="154">
        <v>2019</v>
      </c>
      <c r="D30" s="155" t="s">
        <v>316</v>
      </c>
      <c r="E30" s="154" t="s">
        <v>210</v>
      </c>
      <c r="F30" s="153" t="s">
        <v>321</v>
      </c>
      <c r="G30" s="156" t="s">
        <v>42</v>
      </c>
      <c r="H30" s="127" t="s">
        <v>160</v>
      </c>
      <c r="I30" s="127" t="s">
        <v>159</v>
      </c>
      <c r="J30" s="127" t="s">
        <v>38</v>
      </c>
      <c r="K30" s="127" t="s">
        <v>161</v>
      </c>
      <c r="L30" s="53">
        <v>2</v>
      </c>
      <c r="N30" s="53">
        <v>1</v>
      </c>
      <c r="O30" s="53">
        <v>0.7</v>
      </c>
      <c r="P30" s="53">
        <v>0.8</v>
      </c>
      <c r="Q30" s="75">
        <f t="shared" si="2"/>
        <v>0.75</v>
      </c>
      <c r="R30" s="163">
        <v>15.7</v>
      </c>
      <c r="S30" s="163">
        <v>120</v>
      </c>
      <c r="T30" s="16">
        <f t="shared" si="0"/>
        <v>30</v>
      </c>
      <c r="U30" s="159">
        <v>97</v>
      </c>
      <c r="V30" s="38">
        <f t="shared" si="1"/>
        <v>2910</v>
      </c>
      <c r="W30" s="160">
        <v>12</v>
      </c>
      <c r="X30" s="161" t="s">
        <v>46</v>
      </c>
      <c r="Y30" s="167" t="s">
        <v>97</v>
      </c>
      <c r="Z30" s="167" t="s">
        <v>88</v>
      </c>
      <c r="AA30" s="167" t="s">
        <v>102</v>
      </c>
      <c r="AB30" s="53" t="s">
        <v>158</v>
      </c>
    </row>
    <row r="31" spans="1:48" x14ac:dyDescent="0.15">
      <c r="A31" s="153" t="s">
        <v>34</v>
      </c>
      <c r="B31" s="153" t="s">
        <v>157</v>
      </c>
      <c r="C31" s="153">
        <v>2019</v>
      </c>
      <c r="D31" s="155" t="s">
        <v>316</v>
      </c>
      <c r="E31" s="154" t="s">
        <v>210</v>
      </c>
      <c r="F31" s="153" t="s">
        <v>321</v>
      </c>
      <c r="G31" s="156" t="s">
        <v>42</v>
      </c>
      <c r="H31" s="127" t="s">
        <v>160</v>
      </c>
      <c r="I31" s="127" t="s">
        <v>159</v>
      </c>
      <c r="J31" s="127" t="s">
        <v>38</v>
      </c>
      <c r="K31" s="127" t="s">
        <v>161</v>
      </c>
      <c r="L31" s="53">
        <v>3</v>
      </c>
      <c r="N31" s="53">
        <v>1</v>
      </c>
      <c r="O31" s="53">
        <v>0.75</v>
      </c>
      <c r="P31" s="53">
        <v>0.75</v>
      </c>
      <c r="Q31" s="75">
        <f t="shared" si="2"/>
        <v>0.75</v>
      </c>
      <c r="R31" s="163">
        <v>15.7</v>
      </c>
      <c r="S31" s="163">
        <v>116</v>
      </c>
      <c r="T31" s="16">
        <f t="shared" si="0"/>
        <v>30</v>
      </c>
      <c r="U31" s="159">
        <v>97</v>
      </c>
      <c r="V31" s="38">
        <f t="shared" si="1"/>
        <v>2910</v>
      </c>
      <c r="W31" s="160">
        <v>12</v>
      </c>
      <c r="X31" s="161" t="s">
        <v>46</v>
      </c>
      <c r="Y31" s="167" t="s">
        <v>97</v>
      </c>
      <c r="Z31" s="167" t="s">
        <v>88</v>
      </c>
      <c r="AA31" s="167" t="s">
        <v>102</v>
      </c>
      <c r="AB31" s="53" t="s">
        <v>158</v>
      </c>
    </row>
    <row r="32" spans="1:48" ht="14.25" customHeight="1" x14ac:dyDescent="0.15">
      <c r="A32" s="153" t="s">
        <v>34</v>
      </c>
      <c r="B32" s="153" t="s">
        <v>157</v>
      </c>
      <c r="C32" s="154">
        <v>2019</v>
      </c>
      <c r="D32" s="155" t="s">
        <v>316</v>
      </c>
      <c r="E32" s="154" t="s">
        <v>269</v>
      </c>
      <c r="F32" s="153" t="s">
        <v>321</v>
      </c>
      <c r="G32" s="156" t="s">
        <v>42</v>
      </c>
      <c r="H32" s="127" t="s">
        <v>164</v>
      </c>
      <c r="I32" s="127" t="s">
        <v>159</v>
      </c>
      <c r="J32" s="127" t="s">
        <v>38</v>
      </c>
      <c r="K32" s="127" t="s">
        <v>161</v>
      </c>
      <c r="L32" s="53">
        <v>1</v>
      </c>
      <c r="N32" s="53">
        <v>1</v>
      </c>
      <c r="O32" s="53">
        <v>0.45</v>
      </c>
      <c r="P32" s="53">
        <v>0.5</v>
      </c>
      <c r="Q32" s="75">
        <f t="shared" si="2"/>
        <v>0.47499999999999998</v>
      </c>
      <c r="R32" s="163">
        <v>15.5</v>
      </c>
      <c r="S32" s="163">
        <v>122</v>
      </c>
      <c r="T32" s="16">
        <f t="shared" si="0"/>
        <v>30</v>
      </c>
      <c r="U32" s="159">
        <v>118</v>
      </c>
      <c r="V32" s="38">
        <f t="shared" si="1"/>
        <v>3540</v>
      </c>
      <c r="W32" s="160">
        <v>6</v>
      </c>
      <c r="X32" s="161" t="s">
        <v>46</v>
      </c>
      <c r="Y32" s="167" t="s">
        <v>88</v>
      </c>
      <c r="Z32" s="167" t="s">
        <v>102</v>
      </c>
      <c r="AA32" s="167" t="s">
        <v>106</v>
      </c>
      <c r="AB32" s="53" t="s">
        <v>158</v>
      </c>
    </row>
    <row r="33" spans="1:28" x14ac:dyDescent="0.15">
      <c r="A33" s="153" t="s">
        <v>34</v>
      </c>
      <c r="B33" s="153" t="s">
        <v>157</v>
      </c>
      <c r="C33" s="153">
        <v>2019</v>
      </c>
      <c r="D33" s="155" t="s">
        <v>316</v>
      </c>
      <c r="E33" s="154" t="s">
        <v>269</v>
      </c>
      <c r="F33" s="153" t="s">
        <v>321</v>
      </c>
      <c r="G33" s="156" t="s">
        <v>42</v>
      </c>
      <c r="H33" s="127" t="s">
        <v>164</v>
      </c>
      <c r="I33" s="127" t="s">
        <v>159</v>
      </c>
      <c r="J33" s="127" t="s">
        <v>38</v>
      </c>
      <c r="K33" s="127" t="s">
        <v>161</v>
      </c>
      <c r="L33" s="53">
        <v>2</v>
      </c>
      <c r="N33" s="53">
        <v>1</v>
      </c>
      <c r="O33" s="53">
        <v>0.5</v>
      </c>
      <c r="P33" s="53">
        <v>0.45</v>
      </c>
      <c r="Q33" s="75">
        <f t="shared" si="2"/>
        <v>0.47499999999999998</v>
      </c>
      <c r="R33" s="163">
        <v>15.7</v>
      </c>
      <c r="S33" s="163">
        <v>125</v>
      </c>
      <c r="T33" s="16">
        <f t="shared" si="0"/>
        <v>30</v>
      </c>
      <c r="U33" s="159">
        <v>118</v>
      </c>
      <c r="V33" s="38">
        <f t="shared" si="1"/>
        <v>3540</v>
      </c>
      <c r="W33" s="160">
        <v>6</v>
      </c>
      <c r="X33" s="161" t="s">
        <v>46</v>
      </c>
      <c r="Y33" s="167" t="s">
        <v>88</v>
      </c>
      <c r="Z33" s="167" t="s">
        <v>102</v>
      </c>
      <c r="AA33" s="167" t="s">
        <v>106</v>
      </c>
      <c r="AB33" s="53" t="s">
        <v>158</v>
      </c>
    </row>
    <row r="34" spans="1:28" x14ac:dyDescent="0.15">
      <c r="A34" s="153" t="s">
        <v>34</v>
      </c>
      <c r="B34" s="153" t="s">
        <v>157</v>
      </c>
      <c r="C34" s="154">
        <v>2019</v>
      </c>
      <c r="D34" s="155" t="s">
        <v>316</v>
      </c>
      <c r="E34" s="154" t="s">
        <v>269</v>
      </c>
      <c r="F34" s="153" t="s">
        <v>321</v>
      </c>
      <c r="G34" s="156" t="s">
        <v>42</v>
      </c>
      <c r="H34" s="127" t="s">
        <v>164</v>
      </c>
      <c r="I34" s="127" t="s">
        <v>159</v>
      </c>
      <c r="J34" s="127" t="s">
        <v>38</v>
      </c>
      <c r="K34" s="127" t="s">
        <v>161</v>
      </c>
      <c r="L34" s="53">
        <v>3</v>
      </c>
      <c r="N34" s="53">
        <v>1</v>
      </c>
      <c r="O34" s="53">
        <v>0.5</v>
      </c>
      <c r="P34" s="34">
        <v>0.45</v>
      </c>
      <c r="Q34" s="75">
        <f t="shared" si="2"/>
        <v>0.47499999999999998</v>
      </c>
      <c r="R34" s="163">
        <v>14.8</v>
      </c>
      <c r="S34" s="163">
        <v>126</v>
      </c>
      <c r="T34" s="16">
        <f t="shared" si="0"/>
        <v>30</v>
      </c>
      <c r="U34" s="159">
        <v>118</v>
      </c>
      <c r="V34" s="38">
        <f t="shared" si="1"/>
        <v>3540</v>
      </c>
      <c r="W34" s="160">
        <v>6</v>
      </c>
      <c r="X34" s="161" t="s">
        <v>46</v>
      </c>
      <c r="Y34" s="167" t="s">
        <v>88</v>
      </c>
      <c r="Z34" s="167" t="s">
        <v>102</v>
      </c>
      <c r="AA34" s="167" t="s">
        <v>106</v>
      </c>
      <c r="AB34" s="53" t="s">
        <v>158</v>
      </c>
    </row>
    <row r="35" spans="1:28" x14ac:dyDescent="0.15">
      <c r="A35" s="153" t="s">
        <v>34</v>
      </c>
      <c r="B35" s="153" t="s">
        <v>157</v>
      </c>
      <c r="C35" s="153">
        <v>2019</v>
      </c>
      <c r="D35" s="155" t="s">
        <v>316</v>
      </c>
      <c r="E35" s="154" t="s">
        <v>269</v>
      </c>
      <c r="F35" s="153" t="s">
        <v>321</v>
      </c>
      <c r="G35" s="156" t="s">
        <v>42</v>
      </c>
      <c r="H35" s="127" t="s">
        <v>160</v>
      </c>
      <c r="I35" s="127" t="s">
        <v>159</v>
      </c>
      <c r="J35" s="127" t="s">
        <v>38</v>
      </c>
      <c r="K35" s="127" t="s">
        <v>161</v>
      </c>
      <c r="L35" s="53">
        <v>1</v>
      </c>
      <c r="N35" s="53">
        <v>1</v>
      </c>
      <c r="O35" s="53">
        <v>0.6</v>
      </c>
      <c r="P35" s="53">
        <v>0.55000000000000004</v>
      </c>
      <c r="Q35" s="75">
        <f t="shared" si="2"/>
        <v>0.57499999999999996</v>
      </c>
      <c r="R35" s="163">
        <v>15.8</v>
      </c>
      <c r="S35" s="163">
        <v>99</v>
      </c>
      <c r="T35" s="16">
        <f t="shared" si="0"/>
        <v>33</v>
      </c>
      <c r="U35" s="159">
        <v>79</v>
      </c>
      <c r="V35" s="38">
        <f t="shared" si="1"/>
        <v>2607</v>
      </c>
      <c r="W35" s="160">
        <v>6</v>
      </c>
      <c r="X35" s="161" t="s">
        <v>46</v>
      </c>
      <c r="Y35" s="167" t="s">
        <v>88</v>
      </c>
      <c r="Z35" s="167" t="s">
        <v>102</v>
      </c>
      <c r="AA35" s="167" t="s">
        <v>106</v>
      </c>
      <c r="AB35" s="53" t="s">
        <v>158</v>
      </c>
    </row>
    <row r="36" spans="1:28" x14ac:dyDescent="0.15">
      <c r="A36" s="153" t="s">
        <v>34</v>
      </c>
      <c r="B36" s="153" t="s">
        <v>157</v>
      </c>
      <c r="C36" s="154">
        <v>2019</v>
      </c>
      <c r="D36" s="155" t="s">
        <v>316</v>
      </c>
      <c r="E36" s="154" t="s">
        <v>269</v>
      </c>
      <c r="F36" s="153" t="s">
        <v>321</v>
      </c>
      <c r="G36" s="156" t="s">
        <v>42</v>
      </c>
      <c r="H36" s="127" t="s">
        <v>160</v>
      </c>
      <c r="I36" s="127" t="s">
        <v>159</v>
      </c>
      <c r="J36" s="127" t="s">
        <v>38</v>
      </c>
      <c r="K36" s="127" t="s">
        <v>161</v>
      </c>
      <c r="L36" s="53">
        <v>2</v>
      </c>
      <c r="N36" s="53">
        <v>1</v>
      </c>
      <c r="O36" s="53">
        <v>0.65</v>
      </c>
      <c r="P36" s="53">
        <v>0.6</v>
      </c>
      <c r="Q36" s="75">
        <f t="shared" si="2"/>
        <v>0.625</v>
      </c>
      <c r="R36" s="163">
        <v>15.3</v>
      </c>
      <c r="S36" s="163">
        <v>105</v>
      </c>
      <c r="T36" s="16">
        <f t="shared" si="0"/>
        <v>33</v>
      </c>
      <c r="U36" s="159">
        <v>79</v>
      </c>
      <c r="V36" s="38">
        <f t="shared" si="1"/>
        <v>2607</v>
      </c>
      <c r="W36" s="160">
        <v>6</v>
      </c>
      <c r="X36" s="161" t="s">
        <v>46</v>
      </c>
      <c r="Y36" s="167" t="s">
        <v>88</v>
      </c>
      <c r="Z36" s="167" t="s">
        <v>102</v>
      </c>
      <c r="AA36" s="167" t="s">
        <v>106</v>
      </c>
      <c r="AB36" s="53" t="s">
        <v>158</v>
      </c>
    </row>
    <row r="37" spans="1:28" x14ac:dyDescent="0.15">
      <c r="A37" s="153" t="s">
        <v>34</v>
      </c>
      <c r="B37" s="153" t="s">
        <v>157</v>
      </c>
      <c r="C37" s="153">
        <v>2019</v>
      </c>
      <c r="D37" s="155" t="s">
        <v>316</v>
      </c>
      <c r="E37" s="154" t="s">
        <v>269</v>
      </c>
      <c r="F37" s="153" t="s">
        <v>321</v>
      </c>
      <c r="G37" s="156" t="s">
        <v>42</v>
      </c>
      <c r="H37" s="127" t="s">
        <v>160</v>
      </c>
      <c r="I37" s="127" t="s">
        <v>159</v>
      </c>
      <c r="J37" s="127" t="s">
        <v>38</v>
      </c>
      <c r="K37" s="127" t="s">
        <v>161</v>
      </c>
      <c r="L37" s="53">
        <v>3</v>
      </c>
      <c r="N37" s="53">
        <v>1</v>
      </c>
      <c r="O37" s="53">
        <v>0.6</v>
      </c>
      <c r="P37" s="53">
        <v>0.65</v>
      </c>
      <c r="Q37" s="75">
        <f t="shared" si="2"/>
        <v>0.625</v>
      </c>
      <c r="R37" s="163">
        <v>15.5</v>
      </c>
      <c r="S37" s="163">
        <v>98</v>
      </c>
      <c r="T37" s="16">
        <f t="shared" si="0"/>
        <v>36</v>
      </c>
      <c r="U37" s="159">
        <v>79</v>
      </c>
      <c r="V37" s="38">
        <f t="shared" si="1"/>
        <v>2844</v>
      </c>
      <c r="W37" s="160">
        <v>6</v>
      </c>
      <c r="X37" s="161" t="s">
        <v>46</v>
      </c>
      <c r="Y37" s="167" t="s">
        <v>88</v>
      </c>
      <c r="Z37" s="167" t="s">
        <v>102</v>
      </c>
      <c r="AA37" s="167" t="s">
        <v>106</v>
      </c>
      <c r="AB37" s="53" t="s">
        <v>158</v>
      </c>
    </row>
    <row r="38" spans="1:28" x14ac:dyDescent="0.15">
      <c r="A38" s="153" t="s">
        <v>34</v>
      </c>
      <c r="B38" s="153" t="s">
        <v>157</v>
      </c>
      <c r="C38" s="154">
        <v>2019</v>
      </c>
      <c r="D38" s="155" t="s">
        <v>316</v>
      </c>
      <c r="E38" s="154" t="s">
        <v>210</v>
      </c>
      <c r="F38" s="153" t="s">
        <v>323</v>
      </c>
      <c r="G38" s="156" t="s">
        <v>42</v>
      </c>
      <c r="H38" s="127" t="s">
        <v>164</v>
      </c>
      <c r="I38" s="127" t="s">
        <v>159</v>
      </c>
      <c r="J38" s="127" t="s">
        <v>38</v>
      </c>
      <c r="K38" s="127" t="s">
        <v>161</v>
      </c>
      <c r="L38" s="53">
        <v>1</v>
      </c>
      <c r="N38" s="53">
        <v>4</v>
      </c>
      <c r="O38" s="53">
        <v>0.8</v>
      </c>
      <c r="P38" s="53">
        <v>0.85</v>
      </c>
      <c r="Q38" s="75">
        <f t="shared" si="2"/>
        <v>0.82499999999999996</v>
      </c>
      <c r="R38" s="163">
        <v>14.3</v>
      </c>
      <c r="S38" s="163">
        <v>79</v>
      </c>
      <c r="T38" s="16">
        <f t="shared" si="0"/>
        <v>39</v>
      </c>
      <c r="U38" s="159">
        <v>377</v>
      </c>
      <c r="V38" s="38">
        <f t="shared" si="1"/>
        <v>3675.75</v>
      </c>
      <c r="W38" s="160">
        <v>8</v>
      </c>
      <c r="X38" s="161" t="s">
        <v>46</v>
      </c>
      <c r="Y38" s="167" t="s">
        <v>102</v>
      </c>
      <c r="Z38" s="167" t="s">
        <v>78</v>
      </c>
      <c r="AA38" s="167" t="s">
        <v>97</v>
      </c>
      <c r="AB38" s="53" t="s">
        <v>158</v>
      </c>
    </row>
    <row r="39" spans="1:28" x14ac:dyDescent="0.15">
      <c r="A39" s="153" t="s">
        <v>34</v>
      </c>
      <c r="B39" s="153" t="s">
        <v>157</v>
      </c>
      <c r="C39" s="153">
        <v>2019</v>
      </c>
      <c r="D39" s="155" t="s">
        <v>316</v>
      </c>
      <c r="E39" s="154" t="s">
        <v>210</v>
      </c>
      <c r="F39" s="153" t="s">
        <v>323</v>
      </c>
      <c r="G39" s="156" t="s">
        <v>42</v>
      </c>
      <c r="H39" s="127" t="s">
        <v>164</v>
      </c>
      <c r="I39" s="127" t="s">
        <v>159</v>
      </c>
      <c r="J39" s="127" t="s">
        <v>38</v>
      </c>
      <c r="K39" s="127" t="s">
        <v>161</v>
      </c>
      <c r="L39" s="53">
        <v>2</v>
      </c>
      <c r="N39" s="53">
        <v>4</v>
      </c>
      <c r="O39" s="53">
        <v>0.95</v>
      </c>
      <c r="P39" s="53">
        <v>0.9</v>
      </c>
      <c r="Q39" s="75">
        <f t="shared" si="2"/>
        <v>0.92500000000000004</v>
      </c>
      <c r="R39" s="163">
        <v>14.5</v>
      </c>
      <c r="S39" s="163">
        <v>79</v>
      </c>
      <c r="T39" s="16">
        <f t="shared" si="0"/>
        <v>39</v>
      </c>
      <c r="U39" s="159">
        <v>377</v>
      </c>
      <c r="V39" s="38">
        <f t="shared" si="1"/>
        <v>3675.75</v>
      </c>
      <c r="W39" s="160">
        <v>8</v>
      </c>
      <c r="X39" s="161" t="s">
        <v>46</v>
      </c>
      <c r="Y39" s="167" t="s">
        <v>102</v>
      </c>
      <c r="Z39" s="167" t="s">
        <v>78</v>
      </c>
      <c r="AA39" s="167" t="s">
        <v>97</v>
      </c>
      <c r="AB39" s="53" t="s">
        <v>158</v>
      </c>
    </row>
    <row r="40" spans="1:28" ht="12.75" customHeight="1" x14ac:dyDescent="0.15">
      <c r="A40" s="153" t="s">
        <v>34</v>
      </c>
      <c r="B40" s="153" t="s">
        <v>157</v>
      </c>
      <c r="C40" s="154">
        <v>2019</v>
      </c>
      <c r="D40" s="155" t="s">
        <v>316</v>
      </c>
      <c r="E40" s="154" t="s">
        <v>210</v>
      </c>
      <c r="F40" s="153" t="s">
        <v>323</v>
      </c>
      <c r="G40" s="156" t="s">
        <v>42</v>
      </c>
      <c r="H40" s="127" t="s">
        <v>164</v>
      </c>
      <c r="I40" s="127" t="s">
        <v>159</v>
      </c>
      <c r="J40" s="127" t="s">
        <v>38</v>
      </c>
      <c r="K40" s="127" t="s">
        <v>161</v>
      </c>
      <c r="L40" s="53">
        <v>3</v>
      </c>
      <c r="N40" s="53">
        <v>4</v>
      </c>
      <c r="O40" s="53">
        <v>0.85</v>
      </c>
      <c r="P40" s="53">
        <v>0.8</v>
      </c>
      <c r="Q40" s="75">
        <f t="shared" si="2"/>
        <v>0.82499999999999996</v>
      </c>
      <c r="R40" s="163">
        <v>14.7</v>
      </c>
      <c r="S40" s="163">
        <v>78</v>
      </c>
      <c r="T40" s="16">
        <f t="shared" si="0"/>
        <v>39</v>
      </c>
      <c r="U40" s="159">
        <v>377</v>
      </c>
      <c r="V40" s="38">
        <f t="shared" si="1"/>
        <v>3675.75</v>
      </c>
      <c r="W40" s="160">
        <v>8</v>
      </c>
      <c r="X40" s="161" t="s">
        <v>46</v>
      </c>
      <c r="Y40" s="167" t="s">
        <v>102</v>
      </c>
      <c r="Z40" s="167" t="s">
        <v>78</v>
      </c>
      <c r="AA40" s="167" t="s">
        <v>97</v>
      </c>
      <c r="AB40" s="53" t="s">
        <v>158</v>
      </c>
    </row>
    <row r="41" spans="1:28" ht="12.75" customHeight="1" x14ac:dyDescent="0.15">
      <c r="A41" s="127" t="s">
        <v>34</v>
      </c>
      <c r="B41" s="153" t="s">
        <v>157</v>
      </c>
      <c r="C41" s="154">
        <v>2019</v>
      </c>
      <c r="D41" s="155" t="s">
        <v>316</v>
      </c>
      <c r="E41" s="154" t="s">
        <v>210</v>
      </c>
      <c r="F41" s="153" t="s">
        <v>323</v>
      </c>
      <c r="G41" s="156" t="s">
        <v>42</v>
      </c>
      <c r="H41" s="127" t="s">
        <v>160</v>
      </c>
      <c r="I41" s="127" t="s">
        <v>159</v>
      </c>
      <c r="J41" s="127" t="s">
        <v>38</v>
      </c>
      <c r="K41" s="127" t="s">
        <v>161</v>
      </c>
      <c r="L41" s="53">
        <v>1</v>
      </c>
      <c r="N41" s="53">
        <v>1</v>
      </c>
      <c r="O41" s="53">
        <v>0.75</v>
      </c>
      <c r="P41" s="53">
        <v>0.8</v>
      </c>
      <c r="Q41" s="75">
        <f t="shared" si="2"/>
        <v>0.77500000000000002</v>
      </c>
      <c r="R41" s="163">
        <v>14.8</v>
      </c>
      <c r="S41" s="163">
        <v>114</v>
      </c>
      <c r="T41" s="16">
        <f t="shared" si="0"/>
        <v>30</v>
      </c>
      <c r="U41" s="159">
        <v>97</v>
      </c>
      <c r="V41" s="38">
        <f t="shared" si="1"/>
        <v>2910</v>
      </c>
      <c r="W41" s="53">
        <v>8</v>
      </c>
      <c r="X41" s="161" t="s">
        <v>46</v>
      </c>
      <c r="Y41" s="168" t="s">
        <v>102</v>
      </c>
      <c r="Z41" s="168" t="s">
        <v>78</v>
      </c>
      <c r="AA41" s="168" t="s">
        <v>97</v>
      </c>
      <c r="AB41" s="53" t="s">
        <v>158</v>
      </c>
    </row>
    <row r="42" spans="1:28" ht="12.75" customHeight="1" x14ac:dyDescent="0.15">
      <c r="A42" s="127" t="s">
        <v>34</v>
      </c>
      <c r="B42" s="153" t="s">
        <v>157</v>
      </c>
      <c r="C42" s="154">
        <v>2019</v>
      </c>
      <c r="D42" s="155" t="s">
        <v>316</v>
      </c>
      <c r="E42" s="154" t="s">
        <v>210</v>
      </c>
      <c r="F42" s="153" t="s">
        <v>323</v>
      </c>
      <c r="G42" s="156" t="s">
        <v>42</v>
      </c>
      <c r="H42" s="127" t="s">
        <v>160</v>
      </c>
      <c r="I42" s="127" t="s">
        <v>159</v>
      </c>
      <c r="J42" s="127" t="s">
        <v>38</v>
      </c>
      <c r="K42" s="127" t="s">
        <v>161</v>
      </c>
      <c r="L42" s="53">
        <v>2</v>
      </c>
      <c r="N42" s="53">
        <v>1</v>
      </c>
      <c r="O42" s="53">
        <v>0.65</v>
      </c>
      <c r="P42" s="53">
        <v>0.7</v>
      </c>
      <c r="Q42" s="75">
        <f t="shared" si="2"/>
        <v>0.67500000000000004</v>
      </c>
      <c r="R42" s="163">
        <v>15.4</v>
      </c>
      <c r="S42" s="163">
        <v>125</v>
      </c>
      <c r="T42" s="16">
        <f t="shared" si="0"/>
        <v>30</v>
      </c>
      <c r="U42" s="159">
        <v>97</v>
      </c>
      <c r="V42" s="38">
        <f t="shared" si="1"/>
        <v>2910</v>
      </c>
      <c r="W42" s="53">
        <v>8</v>
      </c>
      <c r="X42" s="161" t="s">
        <v>46</v>
      </c>
      <c r="Y42" s="168" t="s">
        <v>102</v>
      </c>
      <c r="Z42" s="168" t="s">
        <v>78</v>
      </c>
      <c r="AA42" s="168" t="s">
        <v>97</v>
      </c>
      <c r="AB42" s="53" t="s">
        <v>158</v>
      </c>
    </row>
    <row r="43" spans="1:28" ht="12.75" customHeight="1" x14ac:dyDescent="0.15">
      <c r="A43" s="127" t="s">
        <v>34</v>
      </c>
      <c r="B43" s="153" t="s">
        <v>157</v>
      </c>
      <c r="C43" s="154">
        <v>2019</v>
      </c>
      <c r="D43" s="155" t="s">
        <v>316</v>
      </c>
      <c r="E43" s="154" t="s">
        <v>210</v>
      </c>
      <c r="F43" s="153" t="s">
        <v>323</v>
      </c>
      <c r="G43" s="156" t="s">
        <v>42</v>
      </c>
      <c r="H43" s="127" t="s">
        <v>160</v>
      </c>
      <c r="I43" s="127" t="s">
        <v>159</v>
      </c>
      <c r="J43" s="127" t="s">
        <v>38</v>
      </c>
      <c r="K43" s="127" t="s">
        <v>161</v>
      </c>
      <c r="L43" s="53">
        <v>3</v>
      </c>
      <c r="N43" s="53">
        <v>1</v>
      </c>
      <c r="O43" s="53">
        <v>0.7</v>
      </c>
      <c r="P43" s="53">
        <v>0.65</v>
      </c>
      <c r="Q43" s="75">
        <f t="shared" si="2"/>
        <v>0.67500000000000004</v>
      </c>
      <c r="R43" s="163">
        <v>15.4</v>
      </c>
      <c r="S43" s="163">
        <v>115</v>
      </c>
      <c r="T43" s="16">
        <f t="shared" si="0"/>
        <v>30</v>
      </c>
      <c r="U43" s="159">
        <v>97</v>
      </c>
      <c r="V43" s="38">
        <f t="shared" si="1"/>
        <v>2910</v>
      </c>
      <c r="W43" s="53">
        <v>8</v>
      </c>
      <c r="X43" s="161" t="s">
        <v>46</v>
      </c>
      <c r="Y43" s="168" t="s">
        <v>102</v>
      </c>
      <c r="Z43" s="168" t="s">
        <v>78</v>
      </c>
      <c r="AA43" s="168" t="s">
        <v>97</v>
      </c>
      <c r="AB43" s="53" t="s">
        <v>158</v>
      </c>
    </row>
    <row r="44" spans="1:28" x14ac:dyDescent="0.15">
      <c r="A44" s="53" t="s">
        <v>34</v>
      </c>
      <c r="B44" s="153" t="s">
        <v>157</v>
      </c>
      <c r="C44" s="154">
        <v>2019</v>
      </c>
      <c r="D44" s="155" t="s">
        <v>316</v>
      </c>
      <c r="E44" s="154" t="s">
        <v>139</v>
      </c>
      <c r="F44" s="153" t="s">
        <v>323</v>
      </c>
      <c r="G44" s="156" t="s">
        <v>36</v>
      </c>
      <c r="H44" s="127" t="s">
        <v>164</v>
      </c>
      <c r="I44" s="127" t="s">
        <v>159</v>
      </c>
      <c r="J44" s="53" t="s">
        <v>38</v>
      </c>
      <c r="K44" s="127" t="s">
        <v>161</v>
      </c>
      <c r="L44" s="53">
        <v>1</v>
      </c>
      <c r="N44" s="53">
        <v>1</v>
      </c>
      <c r="O44" s="53">
        <v>0.8</v>
      </c>
      <c r="P44" s="53">
        <v>0.85</v>
      </c>
      <c r="Q44" s="75">
        <f t="shared" si="2"/>
        <v>0.82499999999999996</v>
      </c>
      <c r="R44" s="163">
        <v>15.7</v>
      </c>
      <c r="S44" s="163">
        <v>107</v>
      </c>
      <c r="T44" s="16">
        <f t="shared" si="0"/>
        <v>33</v>
      </c>
      <c r="U44" s="159">
        <v>108</v>
      </c>
      <c r="V44" s="16">
        <f t="shared" si="1"/>
        <v>3564</v>
      </c>
      <c r="W44" s="53">
        <v>12</v>
      </c>
      <c r="X44" s="161" t="s">
        <v>46</v>
      </c>
      <c r="Y44" s="168" t="s">
        <v>88</v>
      </c>
      <c r="Z44" s="168" t="s">
        <v>97</v>
      </c>
      <c r="AA44" s="168" t="s">
        <v>102</v>
      </c>
      <c r="AB44" s="53" t="s">
        <v>158</v>
      </c>
    </row>
    <row r="45" spans="1:28" x14ac:dyDescent="0.15">
      <c r="A45" s="53" t="s">
        <v>34</v>
      </c>
      <c r="B45" s="153" t="s">
        <v>157</v>
      </c>
      <c r="C45" s="153">
        <v>2019</v>
      </c>
      <c r="D45" s="155" t="s">
        <v>316</v>
      </c>
      <c r="E45" s="154" t="s">
        <v>139</v>
      </c>
      <c r="F45" s="153" t="s">
        <v>323</v>
      </c>
      <c r="G45" s="156" t="s">
        <v>36</v>
      </c>
      <c r="H45" s="127" t="s">
        <v>164</v>
      </c>
      <c r="I45" s="127" t="s">
        <v>159</v>
      </c>
      <c r="J45" s="53" t="s">
        <v>38</v>
      </c>
      <c r="K45" s="127" t="s">
        <v>161</v>
      </c>
      <c r="L45" s="53">
        <v>2</v>
      </c>
      <c r="N45" s="53">
        <v>1</v>
      </c>
      <c r="O45" s="53">
        <v>0.8</v>
      </c>
      <c r="P45" s="53">
        <v>0.7</v>
      </c>
      <c r="Q45" s="75">
        <f t="shared" si="2"/>
        <v>0.75</v>
      </c>
      <c r="R45" s="163">
        <v>15.6</v>
      </c>
      <c r="S45" s="163">
        <v>110</v>
      </c>
      <c r="T45" s="16">
        <f t="shared" si="0"/>
        <v>33</v>
      </c>
      <c r="U45" s="159">
        <v>108</v>
      </c>
      <c r="V45" s="16">
        <f t="shared" si="1"/>
        <v>3564</v>
      </c>
      <c r="W45" s="53">
        <v>12</v>
      </c>
      <c r="X45" s="161" t="s">
        <v>46</v>
      </c>
      <c r="Y45" s="168" t="s">
        <v>88</v>
      </c>
      <c r="Z45" s="168" t="s">
        <v>97</v>
      </c>
      <c r="AA45" s="168" t="s">
        <v>102</v>
      </c>
      <c r="AB45" s="53" t="s">
        <v>158</v>
      </c>
    </row>
    <row r="46" spans="1:28" x14ac:dyDescent="0.15">
      <c r="A46" s="53" t="s">
        <v>34</v>
      </c>
      <c r="B46" s="153" t="s">
        <v>157</v>
      </c>
      <c r="C46" s="154">
        <v>2019</v>
      </c>
      <c r="D46" s="155" t="s">
        <v>316</v>
      </c>
      <c r="E46" s="154" t="s">
        <v>139</v>
      </c>
      <c r="F46" s="153" t="s">
        <v>323</v>
      </c>
      <c r="G46" s="156" t="s">
        <v>36</v>
      </c>
      <c r="H46" s="127" t="s">
        <v>164</v>
      </c>
      <c r="I46" s="127" t="s">
        <v>159</v>
      </c>
      <c r="J46" s="53" t="s">
        <v>38</v>
      </c>
      <c r="K46" s="127" t="s">
        <v>161</v>
      </c>
      <c r="L46" s="53">
        <v>3</v>
      </c>
      <c r="N46" s="53">
        <v>1</v>
      </c>
      <c r="O46" s="53">
        <v>0.75</v>
      </c>
      <c r="P46" s="53">
        <v>0.7</v>
      </c>
      <c r="Q46" s="75">
        <f t="shared" si="2"/>
        <v>0.72499999999999998</v>
      </c>
      <c r="R46" s="163">
        <v>15.8</v>
      </c>
      <c r="S46" s="163">
        <v>107</v>
      </c>
      <c r="T46" s="16">
        <f t="shared" si="0"/>
        <v>33</v>
      </c>
      <c r="U46" s="159">
        <v>108</v>
      </c>
      <c r="V46" s="16">
        <f t="shared" si="1"/>
        <v>3564</v>
      </c>
      <c r="W46" s="53">
        <v>12</v>
      </c>
      <c r="X46" s="161" t="s">
        <v>46</v>
      </c>
      <c r="Y46" s="168" t="s">
        <v>88</v>
      </c>
      <c r="Z46" s="168" t="s">
        <v>97</v>
      </c>
      <c r="AA46" s="168" t="s">
        <v>102</v>
      </c>
      <c r="AB46" s="53" t="s">
        <v>158</v>
      </c>
    </row>
    <row r="47" spans="1:28" x14ac:dyDescent="0.15">
      <c r="A47" s="53" t="s">
        <v>34</v>
      </c>
      <c r="B47" s="34" t="s">
        <v>157</v>
      </c>
      <c r="C47" s="53">
        <v>2019</v>
      </c>
      <c r="D47" s="169" t="s">
        <v>316</v>
      </c>
      <c r="E47" s="53" t="s">
        <v>139</v>
      </c>
      <c r="F47" s="153" t="s">
        <v>323</v>
      </c>
      <c r="G47" s="156" t="s">
        <v>36</v>
      </c>
      <c r="H47" s="127" t="s">
        <v>160</v>
      </c>
      <c r="I47" s="127" t="s">
        <v>159</v>
      </c>
      <c r="J47" s="53" t="s">
        <v>38</v>
      </c>
      <c r="K47" s="127" t="s">
        <v>161</v>
      </c>
      <c r="L47" s="53">
        <v>1</v>
      </c>
      <c r="N47" s="53">
        <v>1</v>
      </c>
      <c r="O47" s="53">
        <v>0.9</v>
      </c>
      <c r="P47" s="53">
        <v>0.8</v>
      </c>
      <c r="Q47" s="75">
        <f t="shared" si="2"/>
        <v>0.85000000000000009</v>
      </c>
      <c r="R47" s="163">
        <v>16</v>
      </c>
      <c r="S47" s="163">
        <v>112</v>
      </c>
      <c r="T47" s="16">
        <f t="shared" si="0"/>
        <v>33</v>
      </c>
      <c r="U47" s="53">
        <v>108</v>
      </c>
      <c r="V47" s="16">
        <f t="shared" si="1"/>
        <v>3564</v>
      </c>
      <c r="W47" s="53">
        <v>12</v>
      </c>
      <c r="X47" s="161" t="s">
        <v>46</v>
      </c>
      <c r="Y47" s="53" t="s">
        <v>88</v>
      </c>
      <c r="Z47" s="53" t="s">
        <v>97</v>
      </c>
      <c r="AA47" s="53" t="s">
        <v>102</v>
      </c>
      <c r="AB47" s="53" t="s">
        <v>158</v>
      </c>
    </row>
    <row r="48" spans="1:28" x14ac:dyDescent="0.15">
      <c r="A48" s="53" t="s">
        <v>34</v>
      </c>
      <c r="B48" s="34" t="s">
        <v>157</v>
      </c>
      <c r="C48" s="53">
        <v>2019</v>
      </c>
      <c r="D48" s="169" t="s">
        <v>316</v>
      </c>
      <c r="E48" s="53" t="s">
        <v>139</v>
      </c>
      <c r="F48" s="153" t="s">
        <v>323</v>
      </c>
      <c r="G48" s="156" t="s">
        <v>36</v>
      </c>
      <c r="H48" s="127" t="s">
        <v>160</v>
      </c>
      <c r="I48" s="127" t="s">
        <v>159</v>
      </c>
      <c r="J48" s="53" t="s">
        <v>38</v>
      </c>
      <c r="K48" s="127" t="s">
        <v>161</v>
      </c>
      <c r="L48" s="53">
        <v>2</v>
      </c>
      <c r="N48" s="53">
        <v>1</v>
      </c>
      <c r="O48" s="53">
        <v>0.75</v>
      </c>
      <c r="P48" s="53">
        <v>0.8</v>
      </c>
      <c r="Q48" s="75">
        <f t="shared" si="2"/>
        <v>0.77500000000000002</v>
      </c>
      <c r="R48" s="163">
        <v>16.3</v>
      </c>
      <c r="S48" s="163">
        <v>110</v>
      </c>
      <c r="T48" s="16">
        <f t="shared" si="0"/>
        <v>33</v>
      </c>
      <c r="U48" s="53">
        <v>108</v>
      </c>
      <c r="V48" s="16">
        <f t="shared" si="1"/>
        <v>3564</v>
      </c>
      <c r="W48" s="53">
        <v>12</v>
      </c>
      <c r="X48" s="161" t="s">
        <v>46</v>
      </c>
      <c r="Y48" s="53" t="s">
        <v>88</v>
      </c>
      <c r="Z48" s="53" t="s">
        <v>97</v>
      </c>
      <c r="AA48" s="53" t="s">
        <v>102</v>
      </c>
      <c r="AB48" s="53" t="s">
        <v>158</v>
      </c>
    </row>
    <row r="49" spans="1:28" x14ac:dyDescent="0.15">
      <c r="A49" s="53" t="s">
        <v>34</v>
      </c>
      <c r="B49" s="34" t="s">
        <v>157</v>
      </c>
      <c r="C49" s="53">
        <v>2019</v>
      </c>
      <c r="D49" s="169" t="s">
        <v>316</v>
      </c>
      <c r="E49" s="53" t="s">
        <v>139</v>
      </c>
      <c r="F49" s="153" t="s">
        <v>323</v>
      </c>
      <c r="G49" s="156" t="s">
        <v>36</v>
      </c>
      <c r="H49" s="127" t="s">
        <v>160</v>
      </c>
      <c r="I49" s="127" t="s">
        <v>159</v>
      </c>
      <c r="J49" s="53" t="s">
        <v>38</v>
      </c>
      <c r="K49" s="127" t="s">
        <v>161</v>
      </c>
      <c r="L49" s="53">
        <v>3</v>
      </c>
      <c r="N49" s="53">
        <v>1</v>
      </c>
      <c r="O49" s="53">
        <v>0.85</v>
      </c>
      <c r="P49" s="53">
        <v>0.8</v>
      </c>
      <c r="Q49" s="75">
        <f t="shared" si="2"/>
        <v>0.82499999999999996</v>
      </c>
      <c r="R49" s="163">
        <v>15.9</v>
      </c>
      <c r="S49" s="163">
        <v>108</v>
      </c>
      <c r="T49" s="16">
        <f t="shared" si="0"/>
        <v>33</v>
      </c>
      <c r="U49" s="53">
        <v>108</v>
      </c>
      <c r="V49" s="16">
        <f t="shared" si="1"/>
        <v>3564</v>
      </c>
      <c r="W49" s="53">
        <v>12</v>
      </c>
      <c r="X49" s="161" t="s">
        <v>46</v>
      </c>
      <c r="Y49" s="53" t="s">
        <v>88</v>
      </c>
      <c r="Z49" s="53" t="s">
        <v>97</v>
      </c>
      <c r="AA49" s="53" t="s">
        <v>102</v>
      </c>
      <c r="AB49" s="53" t="s">
        <v>158</v>
      </c>
    </row>
    <row r="50" spans="1:28" x14ac:dyDescent="0.15">
      <c r="A50" s="53" t="s">
        <v>34</v>
      </c>
      <c r="B50" s="53" t="s">
        <v>157</v>
      </c>
      <c r="C50" s="53">
        <v>2019</v>
      </c>
      <c r="D50" s="169" t="s">
        <v>316</v>
      </c>
      <c r="E50" s="53" t="s">
        <v>133</v>
      </c>
      <c r="F50" s="153" t="s">
        <v>324</v>
      </c>
      <c r="G50" s="156" t="s">
        <v>36</v>
      </c>
      <c r="H50" s="53" t="s">
        <v>164</v>
      </c>
      <c r="I50" s="53" t="s">
        <v>159</v>
      </c>
      <c r="J50" s="53" t="s">
        <v>38</v>
      </c>
      <c r="K50" s="127" t="s">
        <v>161</v>
      </c>
      <c r="L50" s="53">
        <v>1</v>
      </c>
      <c r="N50" s="53">
        <v>1</v>
      </c>
      <c r="O50" s="53">
        <v>1</v>
      </c>
      <c r="P50" s="53">
        <v>0.9</v>
      </c>
      <c r="Q50" s="75">
        <f t="shared" si="2"/>
        <v>0.95</v>
      </c>
      <c r="R50" s="53">
        <v>15.5</v>
      </c>
      <c r="S50" s="53">
        <v>116</v>
      </c>
      <c r="T50" s="16">
        <f t="shared" si="0"/>
        <v>30</v>
      </c>
      <c r="U50" s="53">
        <v>98</v>
      </c>
      <c r="V50" s="16">
        <f t="shared" si="1"/>
        <v>2940</v>
      </c>
      <c r="W50" s="53">
        <v>14</v>
      </c>
      <c r="X50" s="161" t="s">
        <v>46</v>
      </c>
      <c r="Y50" s="53" t="s">
        <v>97</v>
      </c>
      <c r="Z50" s="53" t="s">
        <v>102</v>
      </c>
      <c r="AA50" s="53" t="s">
        <v>86</v>
      </c>
      <c r="AB50" s="53" t="s">
        <v>158</v>
      </c>
    </row>
    <row r="51" spans="1:28" x14ac:dyDescent="0.15">
      <c r="A51" s="53" t="s">
        <v>34</v>
      </c>
      <c r="B51" s="53" t="s">
        <v>157</v>
      </c>
      <c r="C51" s="53">
        <v>2019</v>
      </c>
      <c r="D51" s="169" t="s">
        <v>316</v>
      </c>
      <c r="E51" s="53" t="s">
        <v>133</v>
      </c>
      <c r="F51" s="153" t="s">
        <v>324</v>
      </c>
      <c r="G51" s="156" t="s">
        <v>36</v>
      </c>
      <c r="H51" s="53" t="s">
        <v>164</v>
      </c>
      <c r="I51" s="53" t="s">
        <v>159</v>
      </c>
      <c r="J51" s="53" t="s">
        <v>38</v>
      </c>
      <c r="K51" s="127" t="s">
        <v>161</v>
      </c>
      <c r="L51" s="53">
        <v>2</v>
      </c>
      <c r="N51" s="53">
        <v>1</v>
      </c>
      <c r="O51" s="53">
        <v>0.85</v>
      </c>
      <c r="P51" s="53">
        <v>0.75</v>
      </c>
      <c r="Q51" s="75">
        <f t="shared" si="2"/>
        <v>0.8</v>
      </c>
      <c r="R51" s="53">
        <v>15.8</v>
      </c>
      <c r="S51" s="53">
        <v>109</v>
      </c>
      <c r="T51" s="16">
        <f t="shared" si="0"/>
        <v>33</v>
      </c>
      <c r="U51" s="53">
        <v>98</v>
      </c>
      <c r="V51" s="16">
        <f t="shared" si="1"/>
        <v>3234</v>
      </c>
      <c r="W51" s="53">
        <v>14</v>
      </c>
      <c r="X51" s="161" t="s">
        <v>46</v>
      </c>
      <c r="Y51" s="53" t="s">
        <v>97</v>
      </c>
      <c r="Z51" s="53" t="s">
        <v>102</v>
      </c>
      <c r="AA51" s="53" t="s">
        <v>86</v>
      </c>
      <c r="AB51" s="53" t="s">
        <v>158</v>
      </c>
    </row>
    <row r="52" spans="1:28" x14ac:dyDescent="0.15">
      <c r="A52" s="53" t="s">
        <v>34</v>
      </c>
      <c r="B52" s="53" t="s">
        <v>157</v>
      </c>
      <c r="C52" s="53">
        <v>2019</v>
      </c>
      <c r="D52" s="169" t="s">
        <v>316</v>
      </c>
      <c r="E52" s="53" t="s">
        <v>133</v>
      </c>
      <c r="F52" s="153" t="s">
        <v>324</v>
      </c>
      <c r="G52" s="156" t="s">
        <v>36</v>
      </c>
      <c r="H52" s="53" t="s">
        <v>164</v>
      </c>
      <c r="I52" s="53" t="s">
        <v>159</v>
      </c>
      <c r="J52" s="53" t="s">
        <v>38</v>
      </c>
      <c r="K52" s="127" t="s">
        <v>161</v>
      </c>
      <c r="L52" s="53">
        <v>3</v>
      </c>
      <c r="N52" s="53">
        <v>1</v>
      </c>
      <c r="O52" s="53">
        <v>0.9</v>
      </c>
      <c r="P52" s="53">
        <v>0.95</v>
      </c>
      <c r="Q52" s="75">
        <f t="shared" si="2"/>
        <v>0.92500000000000004</v>
      </c>
      <c r="R52" s="53">
        <v>15.6</v>
      </c>
      <c r="S52" s="53">
        <v>108</v>
      </c>
      <c r="T52" s="16">
        <f t="shared" si="0"/>
        <v>33</v>
      </c>
      <c r="U52" s="53">
        <v>98</v>
      </c>
      <c r="V52" s="16">
        <f t="shared" si="1"/>
        <v>3234</v>
      </c>
      <c r="W52" s="53">
        <v>14</v>
      </c>
      <c r="X52" s="161" t="s">
        <v>46</v>
      </c>
      <c r="Y52" s="53" t="s">
        <v>97</v>
      </c>
      <c r="Z52" s="53" t="s">
        <v>102</v>
      </c>
      <c r="AA52" s="53" t="s">
        <v>86</v>
      </c>
      <c r="AB52" s="53" t="s">
        <v>158</v>
      </c>
    </row>
    <row r="53" spans="1:28" x14ac:dyDescent="0.15">
      <c r="A53" s="53" t="s">
        <v>34</v>
      </c>
      <c r="B53" s="53" t="s">
        <v>157</v>
      </c>
      <c r="C53" s="53">
        <v>2019</v>
      </c>
      <c r="D53" s="169" t="s">
        <v>316</v>
      </c>
      <c r="E53" s="53" t="s">
        <v>133</v>
      </c>
      <c r="F53" s="153" t="s">
        <v>324</v>
      </c>
      <c r="G53" s="156" t="s">
        <v>36</v>
      </c>
      <c r="H53" s="53" t="s">
        <v>160</v>
      </c>
      <c r="I53" s="53" t="s">
        <v>159</v>
      </c>
      <c r="J53" s="53" t="s">
        <v>38</v>
      </c>
      <c r="K53" s="127" t="s">
        <v>161</v>
      </c>
      <c r="L53" s="53">
        <v>1</v>
      </c>
      <c r="N53" s="53">
        <v>1</v>
      </c>
      <c r="O53" s="53">
        <v>0.8</v>
      </c>
      <c r="P53" s="53">
        <v>0.75</v>
      </c>
      <c r="Q53" s="75">
        <f t="shared" si="2"/>
        <v>0.77500000000000002</v>
      </c>
      <c r="R53" s="53">
        <v>16.8</v>
      </c>
      <c r="S53" s="53">
        <v>145</v>
      </c>
      <c r="T53" s="16">
        <f t="shared" si="0"/>
        <v>30</v>
      </c>
      <c r="U53" s="53">
        <v>138</v>
      </c>
      <c r="V53" s="16">
        <f t="shared" si="1"/>
        <v>4140</v>
      </c>
      <c r="W53" s="53">
        <v>14</v>
      </c>
      <c r="X53" s="161" t="s">
        <v>46</v>
      </c>
      <c r="Y53" s="53" t="s">
        <v>97</v>
      </c>
      <c r="Z53" s="53" t="s">
        <v>102</v>
      </c>
      <c r="AA53" s="53" t="s">
        <v>86</v>
      </c>
      <c r="AB53" s="53" t="s">
        <v>158</v>
      </c>
    </row>
    <row r="54" spans="1:28" x14ac:dyDescent="0.15">
      <c r="A54" s="53" t="s">
        <v>34</v>
      </c>
      <c r="B54" s="53" t="s">
        <v>157</v>
      </c>
      <c r="C54" s="53">
        <v>2019</v>
      </c>
      <c r="D54" s="169" t="s">
        <v>316</v>
      </c>
      <c r="E54" s="53" t="s">
        <v>133</v>
      </c>
      <c r="F54" s="153" t="s">
        <v>324</v>
      </c>
      <c r="G54" s="156" t="s">
        <v>36</v>
      </c>
      <c r="H54" s="53" t="s">
        <v>160</v>
      </c>
      <c r="I54" s="53" t="s">
        <v>159</v>
      </c>
      <c r="J54" s="53" t="s">
        <v>38</v>
      </c>
      <c r="K54" s="127" t="s">
        <v>161</v>
      </c>
      <c r="L54" s="53">
        <v>2</v>
      </c>
      <c r="N54" s="53">
        <v>1</v>
      </c>
      <c r="O54" s="53">
        <v>0.8</v>
      </c>
      <c r="P54" s="53">
        <v>0.8</v>
      </c>
      <c r="Q54" s="75">
        <f t="shared" si="2"/>
        <v>0.8</v>
      </c>
      <c r="R54" s="53">
        <v>16.2</v>
      </c>
      <c r="S54" s="53">
        <v>136</v>
      </c>
      <c r="T54" s="16">
        <f t="shared" si="0"/>
        <v>30</v>
      </c>
      <c r="U54" s="53">
        <v>138</v>
      </c>
      <c r="V54" s="16">
        <f t="shared" si="1"/>
        <v>4140</v>
      </c>
      <c r="W54" s="53">
        <v>14</v>
      </c>
      <c r="X54" s="161" t="s">
        <v>46</v>
      </c>
      <c r="Y54" s="53" t="s">
        <v>97</v>
      </c>
      <c r="Z54" s="53" t="s">
        <v>102</v>
      </c>
      <c r="AA54" s="53" t="s">
        <v>86</v>
      </c>
      <c r="AB54" s="53" t="s">
        <v>158</v>
      </c>
    </row>
    <row r="55" spans="1:28" x14ac:dyDescent="0.15">
      <c r="A55" s="53" t="s">
        <v>34</v>
      </c>
      <c r="B55" s="53" t="s">
        <v>157</v>
      </c>
      <c r="C55" s="53">
        <v>2019</v>
      </c>
      <c r="D55" s="169" t="s">
        <v>316</v>
      </c>
      <c r="E55" s="53" t="s">
        <v>133</v>
      </c>
      <c r="F55" s="153" t="s">
        <v>324</v>
      </c>
      <c r="G55" s="156" t="s">
        <v>36</v>
      </c>
      <c r="H55" s="53" t="s">
        <v>160</v>
      </c>
      <c r="I55" s="53" t="s">
        <v>159</v>
      </c>
      <c r="J55" s="53" t="s">
        <v>38</v>
      </c>
      <c r="K55" s="127" t="s">
        <v>161</v>
      </c>
      <c r="L55" s="53">
        <v>3</v>
      </c>
      <c r="N55" s="53">
        <v>1</v>
      </c>
      <c r="O55" s="53">
        <v>0.65</v>
      </c>
      <c r="P55" s="53">
        <v>0.7</v>
      </c>
      <c r="Q55" s="75">
        <f t="shared" si="2"/>
        <v>0.67500000000000004</v>
      </c>
      <c r="R55" s="53">
        <v>18.100000000000001</v>
      </c>
      <c r="S55" s="53">
        <v>147</v>
      </c>
      <c r="T55" s="16">
        <f t="shared" si="0"/>
        <v>30</v>
      </c>
      <c r="U55" s="53">
        <v>138</v>
      </c>
      <c r="V55" s="16">
        <f t="shared" si="1"/>
        <v>4140</v>
      </c>
      <c r="W55" s="53">
        <v>14</v>
      </c>
      <c r="X55" s="161" t="s">
        <v>46</v>
      </c>
      <c r="Y55" s="53" t="s">
        <v>97</v>
      </c>
      <c r="Z55" s="53" t="s">
        <v>102</v>
      </c>
      <c r="AA55" s="53" t="s">
        <v>86</v>
      </c>
      <c r="AB55" s="53" t="s">
        <v>158</v>
      </c>
    </row>
    <row r="56" spans="1:28" x14ac:dyDescent="0.15">
      <c r="A56" s="53" t="s">
        <v>34</v>
      </c>
      <c r="B56" s="53" t="s">
        <v>157</v>
      </c>
      <c r="C56" s="53">
        <v>2019</v>
      </c>
      <c r="D56" s="169" t="s">
        <v>316</v>
      </c>
      <c r="E56" s="53" t="s">
        <v>269</v>
      </c>
      <c r="F56" s="153" t="s">
        <v>325</v>
      </c>
      <c r="G56" s="156" t="s">
        <v>36</v>
      </c>
      <c r="H56" s="53" t="s">
        <v>164</v>
      </c>
      <c r="I56" s="53" t="s">
        <v>159</v>
      </c>
      <c r="J56" s="53" t="s">
        <v>38</v>
      </c>
      <c r="K56" s="127" t="s">
        <v>161</v>
      </c>
      <c r="L56" s="53">
        <v>1</v>
      </c>
      <c r="N56" s="53">
        <v>7</v>
      </c>
      <c r="O56" s="53">
        <v>0.45</v>
      </c>
      <c r="P56" s="53">
        <v>0.4</v>
      </c>
      <c r="Q56" s="75">
        <f t="shared" si="2"/>
        <v>0.42500000000000004</v>
      </c>
      <c r="R56" s="53">
        <v>13.8</v>
      </c>
      <c r="S56" s="53">
        <v>74</v>
      </c>
      <c r="T56" s="16">
        <f t="shared" si="0"/>
        <v>42</v>
      </c>
      <c r="U56" s="53">
        <v>398</v>
      </c>
      <c r="V56" s="16">
        <f t="shared" si="1"/>
        <v>2388</v>
      </c>
      <c r="W56" s="53">
        <v>6</v>
      </c>
      <c r="X56" s="161" t="s">
        <v>46</v>
      </c>
      <c r="Y56" s="53" t="s">
        <v>102</v>
      </c>
      <c r="Z56" s="53" t="s">
        <v>97</v>
      </c>
      <c r="AA56" s="53" t="s">
        <v>88</v>
      </c>
      <c r="AB56" s="53" t="s">
        <v>158</v>
      </c>
    </row>
    <row r="57" spans="1:28" x14ac:dyDescent="0.15">
      <c r="A57" s="53" t="s">
        <v>34</v>
      </c>
      <c r="B57" s="53" t="s">
        <v>157</v>
      </c>
      <c r="C57" s="53">
        <v>2019</v>
      </c>
      <c r="D57" s="169" t="s">
        <v>316</v>
      </c>
      <c r="E57" s="53" t="s">
        <v>269</v>
      </c>
      <c r="F57" s="153" t="s">
        <v>325</v>
      </c>
      <c r="G57" s="156" t="s">
        <v>36</v>
      </c>
      <c r="H57" s="53" t="s">
        <v>164</v>
      </c>
      <c r="I57" s="53" t="s">
        <v>159</v>
      </c>
      <c r="J57" s="53" t="s">
        <v>38</v>
      </c>
      <c r="K57" s="127" t="s">
        <v>161</v>
      </c>
      <c r="L57" s="53">
        <v>2</v>
      </c>
      <c r="N57" s="53">
        <v>7</v>
      </c>
      <c r="O57" s="53">
        <v>0.5</v>
      </c>
      <c r="P57" s="53">
        <v>0.4</v>
      </c>
      <c r="Q57" s="75">
        <f t="shared" si="2"/>
        <v>0.45</v>
      </c>
      <c r="R57" s="53">
        <v>14.4</v>
      </c>
      <c r="S57" s="53">
        <v>73</v>
      </c>
      <c r="T57" s="16">
        <f t="shared" si="0"/>
        <v>42</v>
      </c>
      <c r="U57" s="53">
        <v>398</v>
      </c>
      <c r="V57" s="16">
        <f t="shared" si="1"/>
        <v>2388</v>
      </c>
      <c r="W57" s="53">
        <v>6</v>
      </c>
      <c r="X57" s="161" t="s">
        <v>46</v>
      </c>
      <c r="Y57" s="53" t="s">
        <v>102</v>
      </c>
      <c r="Z57" s="53" t="s">
        <v>97</v>
      </c>
      <c r="AA57" s="53" t="s">
        <v>88</v>
      </c>
      <c r="AB57" s="53" t="s">
        <v>158</v>
      </c>
    </row>
    <row r="58" spans="1:28" x14ac:dyDescent="0.15">
      <c r="A58" s="53" t="s">
        <v>34</v>
      </c>
      <c r="B58" s="53" t="s">
        <v>157</v>
      </c>
      <c r="C58" s="53">
        <v>2019</v>
      </c>
      <c r="D58" s="169" t="s">
        <v>316</v>
      </c>
      <c r="E58" s="53" t="s">
        <v>269</v>
      </c>
      <c r="F58" s="153" t="s">
        <v>325</v>
      </c>
      <c r="G58" s="156" t="s">
        <v>36</v>
      </c>
      <c r="H58" s="53" t="s">
        <v>164</v>
      </c>
      <c r="I58" s="53" t="s">
        <v>159</v>
      </c>
      <c r="J58" s="53" t="s">
        <v>38</v>
      </c>
      <c r="K58" s="127" t="s">
        <v>161</v>
      </c>
      <c r="L58" s="53">
        <v>3</v>
      </c>
      <c r="N58" s="53">
        <v>7</v>
      </c>
      <c r="O58" s="53">
        <v>0.35</v>
      </c>
      <c r="P58" s="53">
        <v>0.3</v>
      </c>
      <c r="Q58" s="75">
        <f t="shared" si="2"/>
        <v>0.32499999999999996</v>
      </c>
      <c r="R58" s="53">
        <v>14.3</v>
      </c>
      <c r="S58" s="53">
        <v>81</v>
      </c>
      <c r="T58" s="16">
        <f t="shared" si="0"/>
        <v>39</v>
      </c>
      <c r="U58" s="53">
        <v>398</v>
      </c>
      <c r="V58" s="16">
        <f t="shared" si="1"/>
        <v>2217.4285714285711</v>
      </c>
      <c r="W58" s="53">
        <v>6</v>
      </c>
      <c r="X58" s="161" t="s">
        <v>46</v>
      </c>
      <c r="Y58" s="53" t="s">
        <v>102</v>
      </c>
      <c r="Z58" s="53" t="s">
        <v>97</v>
      </c>
      <c r="AA58" s="53" t="s">
        <v>88</v>
      </c>
      <c r="AB58" s="53" t="s">
        <v>158</v>
      </c>
    </row>
    <row r="59" spans="1:28" x14ac:dyDescent="0.15">
      <c r="A59" s="53" t="s">
        <v>34</v>
      </c>
      <c r="B59" s="53" t="s">
        <v>157</v>
      </c>
      <c r="C59" s="53">
        <v>2019</v>
      </c>
      <c r="D59" s="169" t="s">
        <v>316</v>
      </c>
      <c r="E59" s="53" t="s">
        <v>269</v>
      </c>
      <c r="F59" s="153" t="s">
        <v>325</v>
      </c>
      <c r="G59" s="156" t="s">
        <v>36</v>
      </c>
      <c r="H59" s="53" t="s">
        <v>160</v>
      </c>
      <c r="I59" s="53" t="s">
        <v>159</v>
      </c>
      <c r="J59" s="53" t="s">
        <v>38</v>
      </c>
      <c r="K59" s="127" t="s">
        <v>161</v>
      </c>
      <c r="L59" s="53">
        <v>1</v>
      </c>
      <c r="N59" s="53">
        <v>1</v>
      </c>
      <c r="O59" s="53">
        <v>0.55000000000000004</v>
      </c>
      <c r="P59" s="53">
        <v>0.5</v>
      </c>
      <c r="Q59" s="75">
        <f t="shared" si="2"/>
        <v>0.52500000000000002</v>
      </c>
      <c r="R59" s="53">
        <v>16.100000000000001</v>
      </c>
      <c r="S59" s="53">
        <v>102</v>
      </c>
      <c r="T59" s="16">
        <f t="shared" si="0"/>
        <v>33</v>
      </c>
      <c r="U59" s="53">
        <v>79</v>
      </c>
      <c r="V59" s="16">
        <f t="shared" si="1"/>
        <v>2607</v>
      </c>
      <c r="W59" s="53">
        <v>6</v>
      </c>
      <c r="X59" s="161" t="s">
        <v>46</v>
      </c>
      <c r="Y59" s="53" t="s">
        <v>102</v>
      </c>
      <c r="Z59" s="53" t="s">
        <v>97</v>
      </c>
      <c r="AA59" s="53" t="s">
        <v>88</v>
      </c>
      <c r="AB59" s="53" t="s">
        <v>158</v>
      </c>
    </row>
    <row r="60" spans="1:28" x14ac:dyDescent="0.15">
      <c r="A60" s="53" t="s">
        <v>34</v>
      </c>
      <c r="B60" s="53" t="s">
        <v>157</v>
      </c>
      <c r="C60" s="53">
        <v>2019</v>
      </c>
      <c r="D60" s="169" t="s">
        <v>316</v>
      </c>
      <c r="E60" s="53" t="s">
        <v>269</v>
      </c>
      <c r="F60" s="153" t="s">
        <v>325</v>
      </c>
      <c r="G60" s="156" t="s">
        <v>36</v>
      </c>
      <c r="H60" s="53" t="s">
        <v>160</v>
      </c>
      <c r="I60" s="53" t="s">
        <v>159</v>
      </c>
      <c r="J60" s="53" t="s">
        <v>38</v>
      </c>
      <c r="K60" s="127" t="s">
        <v>161</v>
      </c>
      <c r="L60" s="53">
        <v>2</v>
      </c>
      <c r="N60" s="53">
        <v>1</v>
      </c>
      <c r="O60" s="53">
        <v>0.6</v>
      </c>
      <c r="P60" s="53">
        <v>0.55000000000000004</v>
      </c>
      <c r="Q60" s="75">
        <f t="shared" si="2"/>
        <v>0.57499999999999996</v>
      </c>
      <c r="R60" s="53">
        <v>15.8</v>
      </c>
      <c r="S60" s="53">
        <v>99</v>
      </c>
      <c r="T60" s="16">
        <f t="shared" si="0"/>
        <v>33</v>
      </c>
      <c r="U60" s="53">
        <v>79</v>
      </c>
      <c r="V60" s="16">
        <f t="shared" si="1"/>
        <v>2607</v>
      </c>
      <c r="W60" s="53">
        <v>6</v>
      </c>
      <c r="X60" s="161" t="s">
        <v>46</v>
      </c>
      <c r="Y60" s="53" t="s">
        <v>102</v>
      </c>
      <c r="Z60" s="53" t="s">
        <v>97</v>
      </c>
      <c r="AA60" s="53" t="s">
        <v>88</v>
      </c>
      <c r="AB60" s="53" t="s">
        <v>158</v>
      </c>
    </row>
    <row r="61" spans="1:28" x14ac:dyDescent="0.15">
      <c r="A61" s="53" t="s">
        <v>34</v>
      </c>
      <c r="B61" s="53" t="s">
        <v>157</v>
      </c>
      <c r="C61" s="53">
        <v>2019</v>
      </c>
      <c r="D61" s="169" t="s">
        <v>316</v>
      </c>
      <c r="E61" s="53" t="s">
        <v>269</v>
      </c>
      <c r="F61" s="153" t="s">
        <v>325</v>
      </c>
      <c r="G61" s="156" t="s">
        <v>36</v>
      </c>
      <c r="H61" s="53" t="s">
        <v>160</v>
      </c>
      <c r="I61" s="53" t="s">
        <v>159</v>
      </c>
      <c r="J61" s="53" t="s">
        <v>38</v>
      </c>
      <c r="K61" s="127" t="s">
        <v>161</v>
      </c>
      <c r="L61" s="53">
        <v>3</v>
      </c>
      <c r="N61" s="53">
        <v>1</v>
      </c>
      <c r="O61" s="53">
        <v>0.55000000000000004</v>
      </c>
      <c r="P61" s="53">
        <v>0.5</v>
      </c>
      <c r="Q61" s="75">
        <f t="shared" si="2"/>
        <v>0.52500000000000002</v>
      </c>
      <c r="R61" s="53">
        <v>16.2</v>
      </c>
      <c r="S61" s="53">
        <v>99</v>
      </c>
      <c r="T61" s="16">
        <f t="shared" si="0"/>
        <v>33</v>
      </c>
      <c r="U61" s="53">
        <v>79</v>
      </c>
      <c r="V61" s="16">
        <f t="shared" si="1"/>
        <v>2607</v>
      </c>
      <c r="W61" s="53">
        <v>6</v>
      </c>
      <c r="X61" s="161" t="s">
        <v>46</v>
      </c>
      <c r="Y61" s="53" t="s">
        <v>102</v>
      </c>
      <c r="Z61" s="53" t="s">
        <v>97</v>
      </c>
      <c r="AA61" s="53" t="s">
        <v>88</v>
      </c>
      <c r="AB61" s="53" t="s">
        <v>158</v>
      </c>
    </row>
    <row r="62" spans="1:28" x14ac:dyDescent="0.15">
      <c r="D62" s="169"/>
      <c r="F62" s="153"/>
      <c r="G62" s="156"/>
      <c r="K62" s="127"/>
      <c r="Q62" s="75" t="str">
        <f t="shared" si="2"/>
        <v/>
      </c>
      <c r="T62" s="16" t="str">
        <f t="shared" si="0"/>
        <v/>
      </c>
      <c r="V62" s="16" t="str">
        <f t="shared" si="1"/>
        <v/>
      </c>
      <c r="X62" s="161"/>
    </row>
    <row r="63" spans="1:28" x14ac:dyDescent="0.15">
      <c r="D63" s="169"/>
      <c r="F63" s="153"/>
      <c r="G63" s="156"/>
      <c r="K63" s="127"/>
      <c r="Q63" s="75" t="str">
        <f t="shared" si="2"/>
        <v/>
      </c>
      <c r="T63" s="16" t="str">
        <f t="shared" si="0"/>
        <v/>
      </c>
      <c r="V63" s="16" t="str">
        <f t="shared" si="1"/>
        <v/>
      </c>
      <c r="X63" s="161"/>
    </row>
    <row r="64" spans="1:28" x14ac:dyDescent="0.15">
      <c r="D64" s="169"/>
      <c r="F64" s="153"/>
      <c r="G64" s="156"/>
      <c r="K64" s="127"/>
      <c r="Q64" s="75" t="str">
        <f t="shared" si="2"/>
        <v/>
      </c>
      <c r="T64" s="16" t="str">
        <f t="shared" si="0"/>
        <v/>
      </c>
      <c r="V64" s="16" t="str">
        <f t="shared" si="1"/>
        <v/>
      </c>
      <c r="X64" s="161"/>
    </row>
    <row r="65" spans="4:24" x14ac:dyDescent="0.15">
      <c r="D65" s="169"/>
      <c r="F65" s="153"/>
      <c r="G65" s="156"/>
      <c r="K65" s="127"/>
      <c r="Q65" s="75" t="str">
        <f t="shared" si="2"/>
        <v/>
      </c>
      <c r="T65" s="16" t="str">
        <f t="shared" si="0"/>
        <v/>
      </c>
      <c r="V65" s="16" t="str">
        <f t="shared" si="1"/>
        <v/>
      </c>
      <c r="X65" s="161"/>
    </row>
    <row r="66" spans="4:24" x14ac:dyDescent="0.15">
      <c r="D66" s="169"/>
      <c r="F66" s="153"/>
      <c r="G66" s="156"/>
      <c r="K66" s="127"/>
      <c r="Q66" s="75" t="str">
        <f t="shared" si="2"/>
        <v/>
      </c>
      <c r="T66" s="16" t="str">
        <f t="shared" ref="T66:T91" si="3">IF(H66="","",IF(OR(H66="GREEN",H66="GK"),IF(S66&gt;=$AX$2,VLOOKUP(S66,$AX$2:$AY$7,2,1),""),IF(S66&gt;=$AZ$2,VLOOKUP(S66,$AZ$2:$BA$7,2,1),"")))</f>
        <v/>
      </c>
      <c r="V66" s="16" t="str">
        <f t="shared" ref="V66:V91" si="4">IF(OR(N66="",U66="",T66=""),"",U66/N66*T66)</f>
        <v/>
      </c>
      <c r="X66" s="161"/>
    </row>
    <row r="67" spans="4:24" x14ac:dyDescent="0.15">
      <c r="D67" s="169"/>
      <c r="F67" s="153"/>
      <c r="G67" s="156"/>
      <c r="K67" s="127"/>
      <c r="Q67" s="75" t="str">
        <f t="shared" ref="Q67:Q92" si="5">IF(OR(O67="",P67=""),"",AVERAGE(O67,P67))</f>
        <v/>
      </c>
      <c r="T67" s="16" t="str">
        <f t="shared" si="3"/>
        <v/>
      </c>
      <c r="V67" s="16" t="str">
        <f t="shared" si="4"/>
        <v/>
      </c>
      <c r="X67" s="161"/>
    </row>
    <row r="68" spans="4:24" x14ac:dyDescent="0.15">
      <c r="D68" s="169"/>
      <c r="F68" s="153"/>
      <c r="G68" s="156"/>
      <c r="K68" s="127"/>
      <c r="Q68" s="75" t="str">
        <f t="shared" si="5"/>
        <v/>
      </c>
      <c r="T68" s="16" t="str">
        <f t="shared" si="3"/>
        <v/>
      </c>
      <c r="V68" s="16" t="str">
        <f t="shared" si="4"/>
        <v/>
      </c>
      <c r="X68" s="161"/>
    </row>
    <row r="69" spans="4:24" x14ac:dyDescent="0.15">
      <c r="D69" s="169"/>
      <c r="F69" s="153"/>
      <c r="G69" s="156"/>
      <c r="K69" s="127"/>
      <c r="Q69" s="75" t="str">
        <f t="shared" si="5"/>
        <v/>
      </c>
      <c r="T69" s="16" t="str">
        <f t="shared" si="3"/>
        <v/>
      </c>
      <c r="V69" s="16" t="str">
        <f t="shared" si="4"/>
        <v/>
      </c>
      <c r="X69" s="161"/>
    </row>
    <row r="70" spans="4:24" x14ac:dyDescent="0.15">
      <c r="D70" s="169"/>
      <c r="F70" s="153"/>
      <c r="G70" s="156"/>
      <c r="K70" s="127"/>
      <c r="Q70" s="75" t="str">
        <f t="shared" si="5"/>
        <v/>
      </c>
      <c r="T70" s="16" t="str">
        <f t="shared" si="3"/>
        <v/>
      </c>
      <c r="V70" s="16" t="str">
        <f t="shared" si="4"/>
        <v/>
      </c>
      <c r="X70" s="161"/>
    </row>
    <row r="71" spans="4:24" x14ac:dyDescent="0.15">
      <c r="D71" s="169"/>
      <c r="F71" s="153"/>
      <c r="G71" s="156"/>
      <c r="K71" s="127"/>
      <c r="Q71" s="75" t="str">
        <f t="shared" si="5"/>
        <v/>
      </c>
      <c r="T71" s="16" t="str">
        <f t="shared" si="3"/>
        <v/>
      </c>
      <c r="V71" s="16" t="str">
        <f t="shared" si="4"/>
        <v/>
      </c>
      <c r="X71" s="161"/>
    </row>
    <row r="72" spans="4:24" x14ac:dyDescent="0.15">
      <c r="D72" s="169"/>
      <c r="F72" s="153"/>
      <c r="G72" s="156"/>
      <c r="K72" s="127"/>
      <c r="Q72" s="75" t="str">
        <f t="shared" si="5"/>
        <v/>
      </c>
      <c r="T72" s="16" t="str">
        <f t="shared" si="3"/>
        <v/>
      </c>
      <c r="V72" s="16" t="str">
        <f t="shared" si="4"/>
        <v/>
      </c>
      <c r="X72" s="161"/>
    </row>
    <row r="73" spans="4:24" x14ac:dyDescent="0.15">
      <c r="D73" s="169"/>
      <c r="F73" s="153"/>
      <c r="G73" s="156"/>
      <c r="K73" s="127"/>
      <c r="Q73" s="75" t="str">
        <f t="shared" si="5"/>
        <v/>
      </c>
      <c r="T73" s="16" t="str">
        <f t="shared" si="3"/>
        <v/>
      </c>
      <c r="V73" s="16" t="str">
        <f t="shared" si="4"/>
        <v/>
      </c>
      <c r="X73" s="161"/>
    </row>
    <row r="74" spans="4:24" x14ac:dyDescent="0.15">
      <c r="D74" s="169"/>
      <c r="F74" s="153"/>
      <c r="G74" s="156"/>
      <c r="K74" s="127"/>
      <c r="Q74" s="75" t="str">
        <f t="shared" si="5"/>
        <v/>
      </c>
      <c r="T74" s="16" t="str">
        <f t="shared" si="3"/>
        <v/>
      </c>
      <c r="V74" s="16" t="str">
        <f t="shared" si="4"/>
        <v/>
      </c>
      <c r="X74" s="161"/>
    </row>
    <row r="75" spans="4:24" x14ac:dyDescent="0.15">
      <c r="D75" s="169"/>
      <c r="F75" s="153"/>
      <c r="G75" s="156"/>
      <c r="K75" s="127"/>
      <c r="Q75" s="75" t="str">
        <f t="shared" si="5"/>
        <v/>
      </c>
      <c r="T75" s="16" t="str">
        <f t="shared" si="3"/>
        <v/>
      </c>
      <c r="V75" s="16" t="str">
        <f t="shared" si="4"/>
        <v/>
      </c>
      <c r="X75" s="161"/>
    </row>
    <row r="76" spans="4:24" x14ac:dyDescent="0.15">
      <c r="D76" s="169"/>
      <c r="F76" s="153"/>
      <c r="G76" s="156"/>
      <c r="K76" s="127"/>
      <c r="Q76" s="75" t="str">
        <f t="shared" si="5"/>
        <v/>
      </c>
      <c r="T76" s="16" t="str">
        <f t="shared" si="3"/>
        <v/>
      </c>
      <c r="V76" s="16" t="str">
        <f t="shared" si="4"/>
        <v/>
      </c>
      <c r="X76" s="161"/>
    </row>
    <row r="77" spans="4:24" x14ac:dyDescent="0.15">
      <c r="D77" s="169"/>
      <c r="F77" s="153"/>
      <c r="G77" s="156"/>
      <c r="K77" s="127"/>
      <c r="Q77" s="75" t="str">
        <f t="shared" si="5"/>
        <v/>
      </c>
      <c r="T77" s="16" t="str">
        <f t="shared" si="3"/>
        <v/>
      </c>
      <c r="V77" s="16" t="str">
        <f t="shared" si="4"/>
        <v/>
      </c>
      <c r="X77" s="161"/>
    </row>
    <row r="78" spans="4:24" x14ac:dyDescent="0.15">
      <c r="D78" s="169"/>
      <c r="F78" s="153"/>
      <c r="G78" s="156"/>
      <c r="K78" s="127"/>
      <c r="Q78" s="75" t="str">
        <f t="shared" si="5"/>
        <v/>
      </c>
      <c r="T78" s="16" t="str">
        <f t="shared" si="3"/>
        <v/>
      </c>
      <c r="V78" s="16" t="str">
        <f t="shared" si="4"/>
        <v/>
      </c>
      <c r="X78" s="161"/>
    </row>
    <row r="79" spans="4:24" x14ac:dyDescent="0.15">
      <c r="D79" s="169"/>
      <c r="F79" s="153"/>
      <c r="G79" s="156"/>
      <c r="K79" s="127"/>
      <c r="Q79" s="75" t="str">
        <f t="shared" si="5"/>
        <v/>
      </c>
      <c r="T79" s="16" t="str">
        <f t="shared" si="3"/>
        <v/>
      </c>
      <c r="V79" s="16" t="str">
        <f t="shared" si="4"/>
        <v/>
      </c>
      <c r="X79" s="161"/>
    </row>
    <row r="80" spans="4:24" x14ac:dyDescent="0.15">
      <c r="K80" s="127"/>
      <c r="Q80" s="75" t="str">
        <f t="shared" si="5"/>
        <v/>
      </c>
      <c r="T80" s="16" t="str">
        <f t="shared" si="3"/>
        <v/>
      </c>
      <c r="V80" s="16" t="str">
        <f t="shared" si="4"/>
        <v/>
      </c>
    </row>
    <row r="81" spans="11:22" x14ac:dyDescent="0.15">
      <c r="K81" s="127"/>
      <c r="Q81" s="75" t="str">
        <f t="shared" si="5"/>
        <v/>
      </c>
      <c r="T81" s="16" t="str">
        <f t="shared" si="3"/>
        <v/>
      </c>
      <c r="V81" s="16" t="str">
        <f t="shared" si="4"/>
        <v/>
      </c>
    </row>
    <row r="82" spans="11:22" x14ac:dyDescent="0.15">
      <c r="K82" s="127"/>
      <c r="Q82" s="75" t="str">
        <f t="shared" si="5"/>
        <v/>
      </c>
      <c r="T82" s="16" t="str">
        <f t="shared" si="3"/>
        <v/>
      </c>
      <c r="V82" s="16" t="str">
        <f t="shared" si="4"/>
        <v/>
      </c>
    </row>
    <row r="83" spans="11:22" x14ac:dyDescent="0.15">
      <c r="K83" s="127"/>
      <c r="Q83" s="75" t="str">
        <f t="shared" si="5"/>
        <v/>
      </c>
      <c r="T83" s="16" t="str">
        <f t="shared" si="3"/>
        <v/>
      </c>
      <c r="V83" s="16" t="str">
        <f t="shared" si="4"/>
        <v/>
      </c>
    </row>
    <row r="84" spans="11:22" x14ac:dyDescent="0.15">
      <c r="K84" s="127"/>
      <c r="Q84" s="75" t="str">
        <f t="shared" si="5"/>
        <v/>
      </c>
      <c r="T84" s="16" t="str">
        <f t="shared" si="3"/>
        <v/>
      </c>
      <c r="V84" s="16" t="str">
        <f t="shared" si="4"/>
        <v/>
      </c>
    </row>
    <row r="85" spans="11:22" x14ac:dyDescent="0.15">
      <c r="K85" s="127"/>
      <c r="Q85" s="75" t="str">
        <f t="shared" si="5"/>
        <v/>
      </c>
      <c r="T85" s="16" t="str">
        <f t="shared" si="3"/>
        <v/>
      </c>
      <c r="V85" s="16" t="str">
        <f t="shared" si="4"/>
        <v/>
      </c>
    </row>
    <row r="86" spans="11:22" x14ac:dyDescent="0.15">
      <c r="K86" s="127"/>
      <c r="Q86" s="75" t="str">
        <f t="shared" si="5"/>
        <v/>
      </c>
      <c r="T86" s="16" t="str">
        <f t="shared" si="3"/>
        <v/>
      </c>
      <c r="V86" s="16" t="str">
        <f t="shared" si="4"/>
        <v/>
      </c>
    </row>
    <row r="87" spans="11:22" x14ac:dyDescent="0.15">
      <c r="K87" s="127"/>
      <c r="Q87" s="75" t="str">
        <f t="shared" si="5"/>
        <v/>
      </c>
      <c r="T87" s="16" t="str">
        <f t="shared" si="3"/>
        <v/>
      </c>
      <c r="V87" s="16" t="str">
        <f t="shared" si="4"/>
        <v/>
      </c>
    </row>
    <row r="88" spans="11:22" x14ac:dyDescent="0.15">
      <c r="K88" s="127"/>
      <c r="Q88" s="75" t="str">
        <f t="shared" si="5"/>
        <v/>
      </c>
      <c r="T88" s="16" t="str">
        <f t="shared" si="3"/>
        <v/>
      </c>
      <c r="V88" s="16" t="str">
        <f t="shared" si="4"/>
        <v/>
      </c>
    </row>
    <row r="89" spans="11:22" x14ac:dyDescent="0.15">
      <c r="K89" s="127"/>
      <c r="Q89" s="75" t="str">
        <f t="shared" si="5"/>
        <v/>
      </c>
      <c r="T89" s="16" t="str">
        <f t="shared" si="3"/>
        <v/>
      </c>
      <c r="V89" s="16" t="str">
        <f t="shared" si="4"/>
        <v/>
      </c>
    </row>
    <row r="90" spans="11:22" x14ac:dyDescent="0.15">
      <c r="K90" s="127"/>
      <c r="Q90" s="75" t="str">
        <f t="shared" si="5"/>
        <v/>
      </c>
      <c r="T90" s="16" t="str">
        <f t="shared" si="3"/>
        <v/>
      </c>
      <c r="V90" s="16" t="str">
        <f t="shared" si="4"/>
        <v/>
      </c>
    </row>
    <row r="91" spans="11:22" x14ac:dyDescent="0.15">
      <c r="K91" s="127"/>
      <c r="Q91" s="75" t="str">
        <f t="shared" si="5"/>
        <v/>
      </c>
      <c r="T91" s="16" t="str">
        <f t="shared" si="3"/>
        <v/>
      </c>
      <c r="V91" s="16" t="str">
        <f t="shared" si="4"/>
        <v/>
      </c>
    </row>
    <row r="92" spans="11:22" x14ac:dyDescent="0.15">
      <c r="K92" s="127"/>
      <c r="Q92" s="75"/>
    </row>
    <row r="93" spans="11:22" x14ac:dyDescent="0.15">
      <c r="K93" s="127"/>
      <c r="Q93" s="75"/>
    </row>
    <row r="94" spans="11:22" x14ac:dyDescent="0.15">
      <c r="K94" s="127"/>
      <c r="Q94" s="75"/>
    </row>
    <row r="95" spans="11:22" x14ac:dyDescent="0.15">
      <c r="K95" s="127"/>
      <c r="Q95" s="75"/>
    </row>
    <row r="96" spans="11:22" x14ac:dyDescent="0.15">
      <c r="K96" s="127"/>
      <c r="Q96" s="75"/>
    </row>
    <row r="97" spans="11:17" x14ac:dyDescent="0.15">
      <c r="K97" s="127"/>
      <c r="Q97" s="75"/>
    </row>
    <row r="98" spans="11:17" x14ac:dyDescent="0.15">
      <c r="K98" s="127"/>
      <c r="Q98" s="75"/>
    </row>
    <row r="99" spans="11:17" x14ac:dyDescent="0.15">
      <c r="K99" s="127"/>
      <c r="Q99" s="75"/>
    </row>
    <row r="100" spans="11:17" x14ac:dyDescent="0.15">
      <c r="K100" s="127"/>
      <c r="Q100" s="75"/>
    </row>
    <row r="101" spans="11:17" x14ac:dyDescent="0.15">
      <c r="K101" s="127"/>
      <c r="Q101" s="75"/>
    </row>
    <row r="102" spans="11:17" x14ac:dyDescent="0.15">
      <c r="K102" s="127"/>
      <c r="Q102" s="75"/>
    </row>
    <row r="103" spans="11:17" x14ac:dyDescent="0.15">
      <c r="K103" s="127"/>
      <c r="Q103" s="75"/>
    </row>
    <row r="104" spans="11:17" x14ac:dyDescent="0.15">
      <c r="K104" s="127"/>
      <c r="Q104" s="75"/>
    </row>
    <row r="105" spans="11:17" x14ac:dyDescent="0.15">
      <c r="K105" s="127"/>
      <c r="Q105" s="75"/>
    </row>
    <row r="106" spans="11:17" x14ac:dyDescent="0.15">
      <c r="K106" s="127"/>
      <c r="Q106" s="75"/>
    </row>
    <row r="107" spans="11:17" x14ac:dyDescent="0.15">
      <c r="K107" s="127"/>
      <c r="Q107" s="75"/>
    </row>
    <row r="108" spans="11:17" x14ac:dyDescent="0.15">
      <c r="K108" s="127"/>
      <c r="Q108" s="75"/>
    </row>
    <row r="109" spans="11:17" x14ac:dyDescent="0.15">
      <c r="K109" s="127"/>
      <c r="Q109" s="75"/>
    </row>
    <row r="110" spans="11:17" x14ac:dyDescent="0.15">
      <c r="K110" s="127"/>
      <c r="Q110" s="75"/>
    </row>
    <row r="111" spans="11:17" x14ac:dyDescent="0.15">
      <c r="K111" s="127"/>
      <c r="Q111" s="75"/>
    </row>
    <row r="112" spans="11:17" x14ac:dyDescent="0.15">
      <c r="K112" s="127"/>
      <c r="Q112" s="75"/>
    </row>
    <row r="113" spans="11:17" x14ac:dyDescent="0.15">
      <c r="K113" s="127"/>
      <c r="Q113" s="75"/>
    </row>
    <row r="114" spans="11:17" x14ac:dyDescent="0.15">
      <c r="K114" s="127"/>
      <c r="Q114" s="75"/>
    </row>
    <row r="115" spans="11:17" x14ac:dyDescent="0.15">
      <c r="K115" s="127"/>
      <c r="Q115" s="75"/>
    </row>
    <row r="116" spans="11:17" x14ac:dyDescent="0.15">
      <c r="K116" s="127"/>
      <c r="Q116" s="75"/>
    </row>
    <row r="117" spans="11:17" x14ac:dyDescent="0.15">
      <c r="K117" s="127"/>
      <c r="Q117" s="75"/>
    </row>
    <row r="118" spans="11:17" x14ac:dyDescent="0.15">
      <c r="K118" s="127"/>
      <c r="Q118" s="75"/>
    </row>
    <row r="119" spans="11:17" x14ac:dyDescent="0.15">
      <c r="K119" s="127"/>
      <c r="Q119" s="75"/>
    </row>
    <row r="120" spans="11:17" x14ac:dyDescent="0.15">
      <c r="K120" s="127"/>
      <c r="Q120" s="75"/>
    </row>
    <row r="121" spans="11:17" x14ac:dyDescent="0.15">
      <c r="K121" s="127"/>
      <c r="Q121" s="75"/>
    </row>
    <row r="122" spans="11:17" x14ac:dyDescent="0.15">
      <c r="K122" s="127"/>
      <c r="Q122" s="75"/>
    </row>
    <row r="123" spans="11:17" x14ac:dyDescent="0.15">
      <c r="K123" s="127"/>
      <c r="Q123" s="75"/>
    </row>
    <row r="124" spans="11:17" x14ac:dyDescent="0.15">
      <c r="K124" s="127"/>
      <c r="Q124" s="75"/>
    </row>
    <row r="125" spans="11:17" x14ac:dyDescent="0.15">
      <c r="K125" s="127"/>
      <c r="Q125" s="75"/>
    </row>
    <row r="126" spans="11:17" x14ac:dyDescent="0.15">
      <c r="K126" s="127"/>
      <c r="Q126" s="75"/>
    </row>
    <row r="127" spans="11:17" x14ac:dyDescent="0.15">
      <c r="K127" s="127"/>
      <c r="Q127" s="75"/>
    </row>
    <row r="128" spans="11:17" x14ac:dyDescent="0.15">
      <c r="K128" s="127"/>
      <c r="Q128" s="75"/>
    </row>
    <row r="129" spans="11:17" x14ac:dyDescent="0.15">
      <c r="K129" s="127"/>
      <c r="Q129" s="75"/>
    </row>
    <row r="130" spans="11:17" x14ac:dyDescent="0.15">
      <c r="K130" s="127"/>
      <c r="Q130" s="75"/>
    </row>
    <row r="131" spans="11:17" x14ac:dyDescent="0.15">
      <c r="K131" s="127"/>
      <c r="Q131" s="75"/>
    </row>
    <row r="132" spans="11:17" x14ac:dyDescent="0.15">
      <c r="K132" s="127"/>
      <c r="Q132" s="75"/>
    </row>
    <row r="133" spans="11:17" x14ac:dyDescent="0.15">
      <c r="K133" s="127"/>
      <c r="Q133" s="75"/>
    </row>
    <row r="134" spans="11:17" x14ac:dyDescent="0.15">
      <c r="K134" s="127"/>
      <c r="Q134" s="75"/>
    </row>
    <row r="135" spans="11:17" x14ac:dyDescent="0.15">
      <c r="K135" s="127"/>
      <c r="Q135" s="75"/>
    </row>
    <row r="136" spans="11:17" x14ac:dyDescent="0.15">
      <c r="K136" s="127"/>
      <c r="Q136" s="75"/>
    </row>
    <row r="137" spans="11:17" x14ac:dyDescent="0.15">
      <c r="K137" s="127"/>
      <c r="Q137" s="75"/>
    </row>
    <row r="138" spans="11:17" x14ac:dyDescent="0.15">
      <c r="K138" s="127"/>
      <c r="Q138" s="75"/>
    </row>
    <row r="139" spans="11:17" x14ac:dyDescent="0.15">
      <c r="K139" s="127"/>
      <c r="Q139" s="75"/>
    </row>
    <row r="140" spans="11:17" x14ac:dyDescent="0.15">
      <c r="K140" s="127"/>
      <c r="Q140" s="75"/>
    </row>
    <row r="141" spans="11:17" x14ac:dyDescent="0.15">
      <c r="K141" s="127"/>
      <c r="Q141" s="75"/>
    </row>
    <row r="142" spans="11:17" x14ac:dyDescent="0.15">
      <c r="K142" s="127"/>
      <c r="Q142" s="75"/>
    </row>
    <row r="143" spans="11:17" x14ac:dyDescent="0.15">
      <c r="K143" s="127"/>
      <c r="Q143" s="75"/>
    </row>
    <row r="144" spans="11:17" x14ac:dyDescent="0.15">
      <c r="K144" s="127"/>
      <c r="Q144" s="75"/>
    </row>
    <row r="145" spans="11:17" x14ac:dyDescent="0.15">
      <c r="K145" s="127"/>
      <c r="Q145" s="75"/>
    </row>
    <row r="146" spans="11:17" x14ac:dyDescent="0.15">
      <c r="K146" s="127"/>
      <c r="Q146" s="75"/>
    </row>
    <row r="147" spans="11:17" x14ac:dyDescent="0.15">
      <c r="K147" s="127"/>
      <c r="Q147" s="75"/>
    </row>
    <row r="148" spans="11:17" x14ac:dyDescent="0.15">
      <c r="K148" s="127"/>
      <c r="Q148" s="75"/>
    </row>
    <row r="149" spans="11:17" x14ac:dyDescent="0.15">
      <c r="K149" s="127"/>
      <c r="Q149" s="75"/>
    </row>
    <row r="150" spans="11:17" x14ac:dyDescent="0.15">
      <c r="K150" s="127"/>
      <c r="Q150" s="75"/>
    </row>
    <row r="151" spans="11:17" x14ac:dyDescent="0.15">
      <c r="K151" s="127"/>
      <c r="Q151" s="75"/>
    </row>
    <row r="152" spans="11:17" x14ac:dyDescent="0.15">
      <c r="K152" s="127"/>
      <c r="Q152" s="75"/>
    </row>
    <row r="153" spans="11:17" x14ac:dyDescent="0.15">
      <c r="K153" s="127"/>
      <c r="Q153" s="75"/>
    </row>
    <row r="154" spans="11:17" x14ac:dyDescent="0.15">
      <c r="K154" s="127"/>
      <c r="Q154" s="75"/>
    </row>
    <row r="155" spans="11:17" x14ac:dyDescent="0.15">
      <c r="K155" s="127"/>
      <c r="Q155" s="75"/>
    </row>
    <row r="156" spans="11:17" x14ac:dyDescent="0.15">
      <c r="K156" s="127"/>
      <c r="Q156" s="75"/>
    </row>
    <row r="157" spans="11:17" x14ac:dyDescent="0.15">
      <c r="K157" s="127"/>
      <c r="Q157" s="75"/>
    </row>
    <row r="158" spans="11:17" x14ac:dyDescent="0.15">
      <c r="K158" s="127"/>
      <c r="Q158" s="75"/>
    </row>
    <row r="159" spans="11:17" x14ac:dyDescent="0.15">
      <c r="K159" s="127"/>
      <c r="Q159" s="75"/>
    </row>
    <row r="160" spans="11:17" x14ac:dyDescent="0.15">
      <c r="K160" s="127"/>
      <c r="Q160" s="75"/>
    </row>
    <row r="161" spans="11:17" x14ac:dyDescent="0.15">
      <c r="K161" s="127"/>
      <c r="Q161" s="75"/>
    </row>
    <row r="162" spans="11:17" x14ac:dyDescent="0.15">
      <c r="K162" s="127"/>
      <c r="Q162" s="75"/>
    </row>
    <row r="163" spans="11:17" x14ac:dyDescent="0.15">
      <c r="K163" s="127"/>
      <c r="Q163" s="75"/>
    </row>
    <row r="164" spans="11:17" x14ac:dyDescent="0.15">
      <c r="K164" s="127"/>
      <c r="Q164" s="75"/>
    </row>
    <row r="165" spans="11:17" x14ac:dyDescent="0.15">
      <c r="K165" s="127"/>
      <c r="Q165" s="75"/>
    </row>
    <row r="166" spans="11:17" x14ac:dyDescent="0.15">
      <c r="K166" s="127"/>
      <c r="Q166" s="75"/>
    </row>
    <row r="167" spans="11:17" x14ac:dyDescent="0.15">
      <c r="K167" s="127"/>
      <c r="Q167" s="75"/>
    </row>
    <row r="168" spans="11:17" x14ac:dyDescent="0.15">
      <c r="K168" s="127"/>
      <c r="Q168" s="75"/>
    </row>
    <row r="169" spans="11:17" x14ac:dyDescent="0.15">
      <c r="K169" s="127"/>
      <c r="Q169" s="75"/>
    </row>
    <row r="170" spans="11:17" x14ac:dyDescent="0.15">
      <c r="K170" s="127"/>
      <c r="Q170" s="75"/>
    </row>
    <row r="171" spans="11:17" x14ac:dyDescent="0.15">
      <c r="K171" s="127"/>
      <c r="Q171" s="75"/>
    </row>
    <row r="172" spans="11:17" x14ac:dyDescent="0.15">
      <c r="K172" s="127"/>
      <c r="Q172" s="75"/>
    </row>
    <row r="173" spans="11:17" x14ac:dyDescent="0.15">
      <c r="K173" s="127"/>
      <c r="Q173" s="75"/>
    </row>
    <row r="174" spans="11:17" x14ac:dyDescent="0.15">
      <c r="K174" s="127"/>
      <c r="Q174" s="75"/>
    </row>
    <row r="175" spans="11:17" x14ac:dyDescent="0.15">
      <c r="K175" s="127"/>
      <c r="Q175" s="75"/>
    </row>
    <row r="176" spans="11:17" x14ac:dyDescent="0.15">
      <c r="K176" s="127"/>
      <c r="Q176" s="75"/>
    </row>
    <row r="177" spans="11:17" x14ac:dyDescent="0.15">
      <c r="K177" s="127"/>
      <c r="Q177" s="75"/>
    </row>
    <row r="178" spans="11:17" x14ac:dyDescent="0.15">
      <c r="K178" s="127"/>
      <c r="Q178" s="75"/>
    </row>
    <row r="179" spans="11:17" x14ac:dyDescent="0.15">
      <c r="K179" s="127"/>
      <c r="Q179" s="75"/>
    </row>
    <row r="180" spans="11:17" x14ac:dyDescent="0.15">
      <c r="K180" s="127"/>
      <c r="Q180" s="75"/>
    </row>
    <row r="181" spans="11:17" x14ac:dyDescent="0.15">
      <c r="K181" s="127"/>
      <c r="Q181" s="75"/>
    </row>
    <row r="182" spans="11:17" x14ac:dyDescent="0.15">
      <c r="K182" s="127"/>
      <c r="Q182" s="75"/>
    </row>
    <row r="183" spans="11:17" x14ac:dyDescent="0.15">
      <c r="K183" s="127"/>
      <c r="Q183" s="75"/>
    </row>
    <row r="184" spans="11:17" x14ac:dyDescent="0.15">
      <c r="K184" s="127"/>
      <c r="Q184" s="75"/>
    </row>
    <row r="185" spans="11:17" x14ac:dyDescent="0.15">
      <c r="K185" s="127"/>
      <c r="Q185" s="75"/>
    </row>
    <row r="186" spans="11:17" x14ac:dyDescent="0.15">
      <c r="K186" s="127"/>
      <c r="Q186" s="75"/>
    </row>
    <row r="187" spans="11:17" x14ac:dyDescent="0.15">
      <c r="K187" s="127"/>
      <c r="Q187" s="75"/>
    </row>
    <row r="188" spans="11:17" x14ac:dyDescent="0.15">
      <c r="K188" s="127"/>
      <c r="Q188" s="75"/>
    </row>
    <row r="189" spans="11:17" x14ac:dyDescent="0.15">
      <c r="K189" s="127"/>
      <c r="Q189" s="75"/>
    </row>
    <row r="190" spans="11:17" x14ac:dyDescent="0.15">
      <c r="K190" s="127"/>
      <c r="Q190" s="75"/>
    </row>
    <row r="191" spans="11:17" x14ac:dyDescent="0.15">
      <c r="K191" s="127"/>
      <c r="Q191" s="75"/>
    </row>
    <row r="192" spans="11:17" x14ac:dyDescent="0.15">
      <c r="K192" s="127"/>
      <c r="Q192" s="75"/>
    </row>
    <row r="193" spans="11:17" x14ac:dyDescent="0.15">
      <c r="K193" s="127"/>
      <c r="Q193" s="75"/>
    </row>
    <row r="194" spans="11:17" x14ac:dyDescent="0.15">
      <c r="K194" s="127"/>
      <c r="Q194" s="75"/>
    </row>
    <row r="195" spans="11:17" x14ac:dyDescent="0.15">
      <c r="K195" s="127"/>
      <c r="Q195" s="75"/>
    </row>
    <row r="196" spans="11:17" x14ac:dyDescent="0.15">
      <c r="K196" s="127"/>
      <c r="Q196" s="75"/>
    </row>
    <row r="197" spans="11:17" x14ac:dyDescent="0.15">
      <c r="K197" s="127"/>
      <c r="Q197" s="75"/>
    </row>
    <row r="198" spans="11:17" x14ac:dyDescent="0.15">
      <c r="K198" s="127"/>
      <c r="Q198" s="75"/>
    </row>
    <row r="199" spans="11:17" x14ac:dyDescent="0.15">
      <c r="K199" s="127"/>
      <c r="Q199" s="75"/>
    </row>
    <row r="200" spans="11:17" x14ac:dyDescent="0.15">
      <c r="K200" s="127"/>
      <c r="Q200" s="75"/>
    </row>
    <row r="201" spans="11:17" x14ac:dyDescent="0.15">
      <c r="K201" s="127"/>
      <c r="Q201" s="75"/>
    </row>
    <row r="202" spans="11:17" x14ac:dyDescent="0.15">
      <c r="K202" s="127"/>
      <c r="Q202" s="75"/>
    </row>
    <row r="203" spans="11:17" x14ac:dyDescent="0.15">
      <c r="K203" s="127"/>
      <c r="Q203" s="75"/>
    </row>
    <row r="204" spans="11:17" x14ac:dyDescent="0.15">
      <c r="K204" s="127"/>
      <c r="Q204" s="75"/>
    </row>
    <row r="205" spans="11:17" x14ac:dyDescent="0.15">
      <c r="K205" s="127"/>
      <c r="Q205" s="75"/>
    </row>
    <row r="206" spans="11:17" x14ac:dyDescent="0.15">
      <c r="K206" s="127"/>
      <c r="Q206" s="75"/>
    </row>
    <row r="207" spans="11:17" x14ac:dyDescent="0.15">
      <c r="K207" s="127"/>
      <c r="Q207" s="75"/>
    </row>
    <row r="208" spans="11:17" x14ac:dyDescent="0.15">
      <c r="K208" s="127"/>
      <c r="Q208" s="75"/>
    </row>
    <row r="209" spans="11:17" x14ac:dyDescent="0.15">
      <c r="K209" s="127"/>
      <c r="Q209" s="75"/>
    </row>
    <row r="210" spans="11:17" x14ac:dyDescent="0.15">
      <c r="K210" s="127"/>
      <c r="Q210" s="75"/>
    </row>
    <row r="211" spans="11:17" x14ac:dyDescent="0.15">
      <c r="K211" s="127"/>
      <c r="Q211" s="75"/>
    </row>
    <row r="212" spans="11:17" x14ac:dyDescent="0.15">
      <c r="K212" s="127"/>
      <c r="Q212" s="75"/>
    </row>
    <row r="213" spans="11:17" x14ac:dyDescent="0.15">
      <c r="K213" s="127"/>
      <c r="Q213" s="75"/>
    </row>
    <row r="214" spans="11:17" x14ac:dyDescent="0.15">
      <c r="K214" s="127"/>
      <c r="Q214" s="75"/>
    </row>
    <row r="215" spans="11:17" x14ac:dyDescent="0.15">
      <c r="K215" s="127"/>
      <c r="Q215" s="75"/>
    </row>
    <row r="216" spans="11:17" x14ac:dyDescent="0.15">
      <c r="K216" s="127"/>
      <c r="Q216" s="75"/>
    </row>
    <row r="217" spans="11:17" x14ac:dyDescent="0.15">
      <c r="K217" s="127"/>
      <c r="Q217" s="75"/>
    </row>
    <row r="218" spans="11:17" x14ac:dyDescent="0.15">
      <c r="K218" s="127"/>
      <c r="Q218" s="75"/>
    </row>
    <row r="219" spans="11:17" x14ac:dyDescent="0.15">
      <c r="K219" s="127"/>
      <c r="Q219" s="75"/>
    </row>
    <row r="220" spans="11:17" x14ac:dyDescent="0.15">
      <c r="K220" s="127"/>
      <c r="Q220" s="75"/>
    </row>
    <row r="221" spans="11:17" x14ac:dyDescent="0.15">
      <c r="K221" s="127"/>
      <c r="Q221" s="75"/>
    </row>
    <row r="222" spans="11:17" x14ac:dyDescent="0.15">
      <c r="K222" s="127"/>
      <c r="Q222" s="75"/>
    </row>
    <row r="223" spans="11:17" x14ac:dyDescent="0.15">
      <c r="K223" s="127"/>
      <c r="Q223" s="75"/>
    </row>
    <row r="224" spans="11:17" x14ac:dyDescent="0.15">
      <c r="K224" s="127"/>
      <c r="Q224" s="75"/>
    </row>
    <row r="225" spans="11:17" x14ac:dyDescent="0.15">
      <c r="K225" s="127"/>
      <c r="Q225" s="75"/>
    </row>
    <row r="226" spans="11:17" x14ac:dyDescent="0.15">
      <c r="K226" s="127"/>
      <c r="Q226" s="75"/>
    </row>
    <row r="227" spans="11:17" x14ac:dyDescent="0.15">
      <c r="K227" s="127"/>
      <c r="Q227" s="75"/>
    </row>
    <row r="228" spans="11:17" x14ac:dyDescent="0.15">
      <c r="K228" s="127"/>
      <c r="Q228" s="75"/>
    </row>
    <row r="229" spans="11:17" x14ac:dyDescent="0.15">
      <c r="K229" s="127"/>
      <c r="Q229" s="75"/>
    </row>
    <row r="230" spans="11:17" x14ac:dyDescent="0.15">
      <c r="K230" s="127"/>
      <c r="Q230" s="75"/>
    </row>
    <row r="231" spans="11:17" x14ac:dyDescent="0.15">
      <c r="K231" s="127"/>
      <c r="Q231" s="75"/>
    </row>
    <row r="232" spans="11:17" x14ac:dyDescent="0.15">
      <c r="K232" s="127"/>
      <c r="Q232" s="75"/>
    </row>
    <row r="233" spans="11:17" x14ac:dyDescent="0.15">
      <c r="K233" s="127"/>
      <c r="Q233" s="75"/>
    </row>
    <row r="234" spans="11:17" x14ac:dyDescent="0.15">
      <c r="K234" s="127"/>
      <c r="Q234" s="75"/>
    </row>
    <row r="235" spans="11:17" x14ac:dyDescent="0.15">
      <c r="K235" s="127"/>
      <c r="Q235" s="75"/>
    </row>
    <row r="236" spans="11:17" x14ac:dyDescent="0.15">
      <c r="K236" s="127"/>
      <c r="Q236" s="75"/>
    </row>
    <row r="237" spans="11:17" x14ac:dyDescent="0.15">
      <c r="K237" s="127"/>
      <c r="Q237" s="75"/>
    </row>
    <row r="238" spans="11:17" x14ac:dyDescent="0.15">
      <c r="K238" s="127"/>
      <c r="Q238" s="75"/>
    </row>
    <row r="239" spans="11:17" x14ac:dyDescent="0.15">
      <c r="K239" s="127"/>
      <c r="Q239" s="75"/>
    </row>
    <row r="240" spans="11:17" x14ac:dyDescent="0.15">
      <c r="K240" s="127"/>
      <c r="Q240" s="75"/>
    </row>
    <row r="241" spans="11:17" x14ac:dyDescent="0.15">
      <c r="K241" s="127"/>
      <c r="Q241" s="75"/>
    </row>
    <row r="242" spans="11:17" x14ac:dyDescent="0.15">
      <c r="K242" s="127"/>
      <c r="Q242" s="75"/>
    </row>
    <row r="243" spans="11:17" x14ac:dyDescent="0.15">
      <c r="K243" s="127"/>
      <c r="Q243" s="75"/>
    </row>
    <row r="244" spans="11:17" x14ac:dyDescent="0.15">
      <c r="K244" s="127"/>
      <c r="Q244" s="75"/>
    </row>
    <row r="245" spans="11:17" x14ac:dyDescent="0.15">
      <c r="K245" s="127"/>
      <c r="Q245" s="75"/>
    </row>
    <row r="246" spans="11:17" x14ac:dyDescent="0.15">
      <c r="K246" s="127"/>
      <c r="Q246" s="75"/>
    </row>
    <row r="247" spans="11:17" x14ac:dyDescent="0.15">
      <c r="K247" s="127"/>
      <c r="Q247" s="75"/>
    </row>
    <row r="248" spans="11:17" x14ac:dyDescent="0.15">
      <c r="K248" s="127"/>
      <c r="Q248" s="75"/>
    </row>
    <row r="249" spans="11:17" x14ac:dyDescent="0.15">
      <c r="K249" s="127"/>
      <c r="Q249" s="75"/>
    </row>
    <row r="250" spans="11:17" x14ac:dyDescent="0.15">
      <c r="K250" s="127"/>
      <c r="Q250" s="75"/>
    </row>
    <row r="251" spans="11:17" x14ac:dyDescent="0.15">
      <c r="K251" s="127"/>
      <c r="Q251" s="75"/>
    </row>
    <row r="252" spans="11:17" x14ac:dyDescent="0.15">
      <c r="K252" s="127"/>
      <c r="Q252" s="75"/>
    </row>
    <row r="253" spans="11:17" x14ac:dyDescent="0.15">
      <c r="K253" s="127"/>
      <c r="Q253" s="75"/>
    </row>
    <row r="254" spans="11:17" x14ac:dyDescent="0.15">
      <c r="K254" s="127"/>
      <c r="Q254" s="75"/>
    </row>
    <row r="255" spans="11:17" x14ac:dyDescent="0.15">
      <c r="K255" s="127"/>
      <c r="Q255" s="75"/>
    </row>
    <row r="256" spans="11:17" x14ac:dyDescent="0.15">
      <c r="K256" s="127"/>
      <c r="Q256" s="75"/>
    </row>
    <row r="257" spans="11:17" x14ac:dyDescent="0.15">
      <c r="K257" s="127"/>
      <c r="Q257" s="75"/>
    </row>
    <row r="258" spans="11:17" x14ac:dyDescent="0.15">
      <c r="K258" s="127"/>
      <c r="Q258" s="75"/>
    </row>
    <row r="259" spans="11:17" x14ac:dyDescent="0.15">
      <c r="K259" s="127"/>
      <c r="Q259" s="75"/>
    </row>
    <row r="260" spans="11:17" x14ac:dyDescent="0.15">
      <c r="K260" s="127"/>
      <c r="Q260" s="75"/>
    </row>
    <row r="261" spans="11:17" x14ac:dyDescent="0.15">
      <c r="K261" s="127"/>
      <c r="Q261" s="75"/>
    </row>
    <row r="262" spans="11:17" x14ac:dyDescent="0.15">
      <c r="K262" s="127"/>
      <c r="Q262" s="75"/>
    </row>
    <row r="263" spans="11:17" x14ac:dyDescent="0.15">
      <c r="K263" s="127"/>
      <c r="Q263" s="75"/>
    </row>
    <row r="264" spans="11:17" x14ac:dyDescent="0.15">
      <c r="K264" s="127"/>
      <c r="Q264" s="75"/>
    </row>
    <row r="265" spans="11:17" x14ac:dyDescent="0.15">
      <c r="K265" s="127"/>
      <c r="Q265" s="75"/>
    </row>
    <row r="266" spans="11:17" x14ac:dyDescent="0.15">
      <c r="K266" s="127"/>
      <c r="Q266" s="75"/>
    </row>
    <row r="267" spans="11:17" x14ac:dyDescent="0.15">
      <c r="K267" s="127"/>
      <c r="Q267" s="75"/>
    </row>
    <row r="268" spans="11:17" x14ac:dyDescent="0.15">
      <c r="K268" s="127"/>
      <c r="Q268" s="75"/>
    </row>
    <row r="269" spans="11:17" x14ac:dyDescent="0.15">
      <c r="K269" s="127"/>
      <c r="Q269" s="75"/>
    </row>
    <row r="270" spans="11:17" x14ac:dyDescent="0.15">
      <c r="K270" s="127"/>
      <c r="Q270" s="75"/>
    </row>
    <row r="271" spans="11:17" x14ac:dyDescent="0.15">
      <c r="K271" s="127"/>
      <c r="Q271" s="75"/>
    </row>
    <row r="272" spans="11:17" x14ac:dyDescent="0.15">
      <c r="K272" s="127"/>
      <c r="Q272" s="75"/>
    </row>
    <row r="273" spans="11:17" x14ac:dyDescent="0.15">
      <c r="K273" s="127"/>
      <c r="Q273" s="75"/>
    </row>
    <row r="274" spans="11:17" x14ac:dyDescent="0.15">
      <c r="K274" s="127"/>
      <c r="Q274" s="75"/>
    </row>
    <row r="275" spans="11:17" x14ac:dyDescent="0.15">
      <c r="K275" s="127"/>
      <c r="Q275" s="75"/>
    </row>
    <row r="276" spans="11:17" x14ac:dyDescent="0.15">
      <c r="K276" s="127"/>
      <c r="Q276" s="75"/>
    </row>
    <row r="277" spans="11:17" x14ac:dyDescent="0.15">
      <c r="K277" s="127"/>
      <c r="Q277" s="75"/>
    </row>
    <row r="278" spans="11:17" x14ac:dyDescent="0.15">
      <c r="K278" s="127"/>
      <c r="Q278" s="75"/>
    </row>
    <row r="279" spans="11:17" x14ac:dyDescent="0.15">
      <c r="K279" s="127"/>
      <c r="Q279" s="75"/>
    </row>
    <row r="280" spans="11:17" x14ac:dyDescent="0.15">
      <c r="K280" s="127"/>
      <c r="Q280" s="75"/>
    </row>
    <row r="281" spans="11:17" x14ac:dyDescent="0.15">
      <c r="K281" s="127"/>
      <c r="Q281" s="75"/>
    </row>
    <row r="282" spans="11:17" x14ac:dyDescent="0.15">
      <c r="K282" s="127"/>
      <c r="Q282" s="75"/>
    </row>
    <row r="283" spans="11:17" x14ac:dyDescent="0.15">
      <c r="K283" s="127"/>
      <c r="Q283" s="75"/>
    </row>
    <row r="284" spans="11:17" x14ac:dyDescent="0.15">
      <c r="K284" s="127"/>
      <c r="Q284" s="75"/>
    </row>
    <row r="285" spans="11:17" x14ac:dyDescent="0.15">
      <c r="K285" s="127"/>
      <c r="Q285" s="75"/>
    </row>
    <row r="286" spans="11:17" x14ac:dyDescent="0.15">
      <c r="K286" s="127"/>
      <c r="Q286" s="75"/>
    </row>
    <row r="287" spans="11:17" x14ac:dyDescent="0.15">
      <c r="K287" s="127"/>
      <c r="Q287" s="75"/>
    </row>
    <row r="288" spans="11:17" x14ac:dyDescent="0.15">
      <c r="K288" s="127"/>
      <c r="Q288" s="75"/>
    </row>
    <row r="289" spans="11:17" x14ac:dyDescent="0.15">
      <c r="K289" s="127"/>
      <c r="Q289" s="75"/>
    </row>
    <row r="290" spans="11:17" x14ac:dyDescent="0.15">
      <c r="K290" s="127"/>
      <c r="Q290" s="75"/>
    </row>
    <row r="291" spans="11:17" x14ac:dyDescent="0.15">
      <c r="K291" s="127"/>
      <c r="Q291" s="75"/>
    </row>
    <row r="292" spans="11:17" x14ac:dyDescent="0.15">
      <c r="K292" s="127"/>
    </row>
    <row r="293" spans="11:17" x14ac:dyDescent="0.15">
      <c r="K293" s="127"/>
    </row>
    <row r="294" spans="11:17" x14ac:dyDescent="0.15">
      <c r="K294" s="127"/>
    </row>
    <row r="295" spans="11:17" x14ac:dyDescent="0.15">
      <c r="K295" s="127"/>
    </row>
    <row r="296" spans="11:17" x14ac:dyDescent="0.15">
      <c r="K296" s="127"/>
    </row>
    <row r="297" spans="11:17" x14ac:dyDescent="0.15">
      <c r="K297" s="127"/>
    </row>
    <row r="298" spans="11:17" x14ac:dyDescent="0.15">
      <c r="K298" s="127"/>
    </row>
    <row r="299" spans="11:17" x14ac:dyDescent="0.15">
      <c r="K299" s="127"/>
    </row>
    <row r="300" spans="11:17" x14ac:dyDescent="0.15">
      <c r="K300" s="127"/>
    </row>
    <row r="301" spans="11:17" x14ac:dyDescent="0.15">
      <c r="K301" s="127"/>
    </row>
    <row r="302" spans="11:17" x14ac:dyDescent="0.15">
      <c r="K302" s="127"/>
    </row>
    <row r="303" spans="11:17" x14ac:dyDescent="0.15">
      <c r="K303" s="127"/>
    </row>
    <row r="304" spans="11:17" x14ac:dyDescent="0.15">
      <c r="K304" s="127"/>
    </row>
    <row r="305" spans="11:11" x14ac:dyDescent="0.15">
      <c r="K305" s="127"/>
    </row>
    <row r="306" spans="11:11" x14ac:dyDescent="0.15">
      <c r="K306" s="127"/>
    </row>
    <row r="307" spans="11:11" x14ac:dyDescent="0.15">
      <c r="K307" s="127"/>
    </row>
    <row r="308" spans="11:11" x14ac:dyDescent="0.15">
      <c r="K308" s="127"/>
    </row>
    <row r="309" spans="11:11" x14ac:dyDescent="0.15">
      <c r="K309" s="127"/>
    </row>
    <row r="310" spans="11:11" x14ac:dyDescent="0.15">
      <c r="K310" s="127"/>
    </row>
    <row r="311" spans="11:11" x14ac:dyDescent="0.15">
      <c r="K311" s="127"/>
    </row>
    <row r="312" spans="11:11" x14ac:dyDescent="0.15">
      <c r="K312" s="127"/>
    </row>
    <row r="313" spans="11:11" x14ac:dyDescent="0.15">
      <c r="K313" s="127"/>
    </row>
    <row r="314" spans="11:11" x14ac:dyDescent="0.15">
      <c r="K314" s="127"/>
    </row>
    <row r="315" spans="11:11" x14ac:dyDescent="0.15">
      <c r="K315" s="127"/>
    </row>
    <row r="316" spans="11:11" x14ac:dyDescent="0.15">
      <c r="K316" s="127"/>
    </row>
    <row r="317" spans="11:11" x14ac:dyDescent="0.15">
      <c r="K317" s="127"/>
    </row>
    <row r="318" spans="11:11" x14ac:dyDescent="0.15">
      <c r="K318" s="127"/>
    </row>
    <row r="319" spans="11:11" x14ac:dyDescent="0.15">
      <c r="K319" s="127"/>
    </row>
    <row r="320" spans="11:11" x14ac:dyDescent="0.15">
      <c r="K320" s="127"/>
    </row>
    <row r="321" spans="11:11" x14ac:dyDescent="0.15">
      <c r="K321" s="127"/>
    </row>
    <row r="322" spans="11:11" x14ac:dyDescent="0.15">
      <c r="K322" s="127"/>
    </row>
    <row r="323" spans="11:11" x14ac:dyDescent="0.15">
      <c r="K323" s="127"/>
    </row>
    <row r="324" spans="11:11" x14ac:dyDescent="0.15">
      <c r="K324" s="127"/>
    </row>
    <row r="325" spans="11:11" x14ac:dyDescent="0.15">
      <c r="K325" s="127"/>
    </row>
    <row r="326" spans="11:11" x14ac:dyDescent="0.15">
      <c r="K326" s="127"/>
    </row>
    <row r="327" spans="11:11" x14ac:dyDescent="0.15">
      <c r="K327" s="127"/>
    </row>
    <row r="328" spans="11:11" x14ac:dyDescent="0.15">
      <c r="K328" s="127"/>
    </row>
    <row r="329" spans="11:11" x14ac:dyDescent="0.15">
      <c r="K329" s="127"/>
    </row>
    <row r="330" spans="11:11" x14ac:dyDescent="0.15">
      <c r="K330" s="127"/>
    </row>
    <row r="331" spans="11:11" x14ac:dyDescent="0.15">
      <c r="K331" s="127"/>
    </row>
    <row r="332" spans="11:11" x14ac:dyDescent="0.15">
      <c r="K332" s="127"/>
    </row>
    <row r="333" spans="11:11" x14ac:dyDescent="0.15">
      <c r="K333" s="127"/>
    </row>
    <row r="334" spans="11:11" x14ac:dyDescent="0.15">
      <c r="K334" s="127"/>
    </row>
    <row r="335" spans="11:11" x14ac:dyDescent="0.15">
      <c r="K335" s="127"/>
    </row>
    <row r="336" spans="11:11" x14ac:dyDescent="0.15">
      <c r="K336" s="127"/>
    </row>
    <row r="337" spans="11:11" x14ac:dyDescent="0.15">
      <c r="K337" s="127"/>
    </row>
    <row r="338" spans="11:11" x14ac:dyDescent="0.15">
      <c r="K338" s="127"/>
    </row>
    <row r="339" spans="11:11" x14ac:dyDescent="0.15">
      <c r="K339" s="127"/>
    </row>
    <row r="340" spans="11:11" x14ac:dyDescent="0.15">
      <c r="K340" s="127"/>
    </row>
    <row r="341" spans="11:11" x14ac:dyDescent="0.15">
      <c r="K341" s="127"/>
    </row>
    <row r="342" spans="11:11" x14ac:dyDescent="0.15">
      <c r="K342" s="127"/>
    </row>
    <row r="343" spans="11:11" x14ac:dyDescent="0.15">
      <c r="K343" s="127"/>
    </row>
    <row r="344" spans="11:11" x14ac:dyDescent="0.15">
      <c r="K344" s="127"/>
    </row>
    <row r="345" spans="11:11" x14ac:dyDescent="0.15">
      <c r="K345" s="127"/>
    </row>
    <row r="346" spans="11:11" x14ac:dyDescent="0.15">
      <c r="K346" s="127"/>
    </row>
    <row r="347" spans="11:11" x14ac:dyDescent="0.15">
      <c r="K347" s="127"/>
    </row>
    <row r="348" spans="11:11" x14ac:dyDescent="0.15">
      <c r="K348" s="127"/>
    </row>
    <row r="349" spans="11:11" x14ac:dyDescent="0.15">
      <c r="K349" s="127"/>
    </row>
    <row r="350" spans="11:11" x14ac:dyDescent="0.15">
      <c r="K350" s="127"/>
    </row>
    <row r="351" spans="11:11" x14ac:dyDescent="0.15">
      <c r="K351" s="127"/>
    </row>
    <row r="352" spans="11:11" x14ac:dyDescent="0.15">
      <c r="K352" s="127"/>
    </row>
    <row r="353" spans="11:11" x14ac:dyDescent="0.15">
      <c r="K353" s="127"/>
    </row>
    <row r="354" spans="11:11" x14ac:dyDescent="0.15">
      <c r="K354" s="127"/>
    </row>
    <row r="355" spans="11:11" x14ac:dyDescent="0.15">
      <c r="K355" s="127"/>
    </row>
    <row r="356" spans="11:11" x14ac:dyDescent="0.15">
      <c r="K356" s="127"/>
    </row>
    <row r="357" spans="11:11" x14ac:dyDescent="0.15">
      <c r="K357" s="127"/>
    </row>
    <row r="358" spans="11:11" x14ac:dyDescent="0.15">
      <c r="K358" s="127"/>
    </row>
    <row r="359" spans="11:11" x14ac:dyDescent="0.15">
      <c r="K359" s="127"/>
    </row>
    <row r="360" spans="11:11" x14ac:dyDescent="0.15">
      <c r="K360" s="127"/>
    </row>
    <row r="361" spans="11:11" x14ac:dyDescent="0.15">
      <c r="K361" s="127"/>
    </row>
    <row r="362" spans="11:11" x14ac:dyDescent="0.15">
      <c r="K362" s="127"/>
    </row>
    <row r="363" spans="11:11" x14ac:dyDescent="0.15">
      <c r="K363" s="127"/>
    </row>
    <row r="364" spans="11:11" x14ac:dyDescent="0.15">
      <c r="K364" s="127"/>
    </row>
    <row r="365" spans="11:11" x14ac:dyDescent="0.15">
      <c r="K365" s="127"/>
    </row>
    <row r="366" spans="11:11" x14ac:dyDescent="0.15">
      <c r="K366" s="127"/>
    </row>
    <row r="367" spans="11:11" x14ac:dyDescent="0.15">
      <c r="K367" s="127"/>
    </row>
    <row r="368" spans="11:11" x14ac:dyDescent="0.15">
      <c r="K368" s="127"/>
    </row>
    <row r="369" spans="11:11" x14ac:dyDescent="0.15">
      <c r="K369" s="127"/>
    </row>
    <row r="370" spans="11:11" x14ac:dyDescent="0.15">
      <c r="K370" s="127"/>
    </row>
    <row r="371" spans="11:11" x14ac:dyDescent="0.15">
      <c r="K371" s="127"/>
    </row>
    <row r="372" spans="11:11" x14ac:dyDescent="0.15">
      <c r="K372" s="127"/>
    </row>
    <row r="373" spans="11:11" x14ac:dyDescent="0.15">
      <c r="K373" s="127"/>
    </row>
    <row r="374" spans="11:11" x14ac:dyDescent="0.15">
      <c r="K374" s="127"/>
    </row>
    <row r="375" spans="11:11" x14ac:dyDescent="0.15">
      <c r="K375" s="127"/>
    </row>
    <row r="376" spans="11:11" x14ac:dyDescent="0.15">
      <c r="K376" s="127"/>
    </row>
    <row r="377" spans="11:11" x14ac:dyDescent="0.15">
      <c r="K377" s="127"/>
    </row>
    <row r="378" spans="11:11" x14ac:dyDescent="0.15">
      <c r="K378" s="127"/>
    </row>
    <row r="379" spans="11:11" x14ac:dyDescent="0.15">
      <c r="K379" s="127"/>
    </row>
    <row r="380" spans="11:11" x14ac:dyDescent="0.15">
      <c r="K380" s="127"/>
    </row>
    <row r="381" spans="11:11" x14ac:dyDescent="0.15">
      <c r="K381" s="127"/>
    </row>
    <row r="382" spans="11:11" x14ac:dyDescent="0.15">
      <c r="K382" s="127"/>
    </row>
    <row r="383" spans="11:11" x14ac:dyDescent="0.15">
      <c r="K383" s="127"/>
    </row>
    <row r="384" spans="11:11" x14ac:dyDescent="0.15">
      <c r="K384" s="127"/>
    </row>
    <row r="385" spans="11:11" x14ac:dyDescent="0.15">
      <c r="K385" s="127"/>
    </row>
    <row r="386" spans="11:11" x14ac:dyDescent="0.15">
      <c r="K386" s="127"/>
    </row>
    <row r="387" spans="11:11" x14ac:dyDescent="0.15">
      <c r="K387" s="127"/>
    </row>
    <row r="388" spans="11:11" x14ac:dyDescent="0.15">
      <c r="K388" s="127"/>
    </row>
    <row r="389" spans="11:11" x14ac:dyDescent="0.15">
      <c r="K389" s="127"/>
    </row>
    <row r="390" spans="11:11" x14ac:dyDescent="0.15">
      <c r="K390" s="127"/>
    </row>
    <row r="391" spans="11:11" x14ac:dyDescent="0.15">
      <c r="K391" s="127"/>
    </row>
    <row r="392" spans="11:11" x14ac:dyDescent="0.15">
      <c r="K392" s="127"/>
    </row>
    <row r="393" spans="11:11" x14ac:dyDescent="0.15">
      <c r="K393" s="127"/>
    </row>
    <row r="394" spans="11:11" x14ac:dyDescent="0.15">
      <c r="K394" s="127"/>
    </row>
    <row r="395" spans="11:11" x14ac:dyDescent="0.15">
      <c r="K395" s="127"/>
    </row>
    <row r="396" spans="11:11" x14ac:dyDescent="0.15">
      <c r="K396" s="127"/>
    </row>
    <row r="397" spans="11:11" x14ac:dyDescent="0.15">
      <c r="K397" s="127"/>
    </row>
    <row r="398" spans="11:11" x14ac:dyDescent="0.15">
      <c r="K398" s="127"/>
    </row>
    <row r="399" spans="11:11" x14ac:dyDescent="0.15">
      <c r="K399" s="127"/>
    </row>
    <row r="400" spans="11:11" x14ac:dyDescent="0.15">
      <c r="K400" s="127"/>
    </row>
    <row r="401" spans="11:11" x14ac:dyDescent="0.15">
      <c r="K401" s="127"/>
    </row>
    <row r="402" spans="11:11" x14ac:dyDescent="0.15">
      <c r="K402" s="127"/>
    </row>
    <row r="403" spans="11:11" x14ac:dyDescent="0.15">
      <c r="K403" s="127"/>
    </row>
    <row r="404" spans="11:11" x14ac:dyDescent="0.15">
      <c r="K404" s="127"/>
    </row>
    <row r="405" spans="11:11" x14ac:dyDescent="0.15">
      <c r="K405" s="127"/>
    </row>
    <row r="406" spans="11:11" x14ac:dyDescent="0.15">
      <c r="K406" s="127"/>
    </row>
    <row r="407" spans="11:11" x14ac:dyDescent="0.15">
      <c r="K407" s="127"/>
    </row>
    <row r="408" spans="11:11" x14ac:dyDescent="0.15">
      <c r="K408" s="127"/>
    </row>
    <row r="409" spans="11:11" x14ac:dyDescent="0.15">
      <c r="K409" s="127"/>
    </row>
    <row r="410" spans="11:11" x14ac:dyDescent="0.15">
      <c r="K410" s="127"/>
    </row>
    <row r="411" spans="11:11" x14ac:dyDescent="0.15">
      <c r="K411" s="127"/>
    </row>
    <row r="412" spans="11:11" x14ac:dyDescent="0.15">
      <c r="K412" s="127"/>
    </row>
    <row r="413" spans="11:11" x14ac:dyDescent="0.15">
      <c r="K413" s="127"/>
    </row>
    <row r="414" spans="11:11" x14ac:dyDescent="0.15">
      <c r="K414" s="127"/>
    </row>
    <row r="415" spans="11:11" x14ac:dyDescent="0.15">
      <c r="K415" s="127"/>
    </row>
    <row r="416" spans="11:11" x14ac:dyDescent="0.15">
      <c r="K416" s="127"/>
    </row>
    <row r="417" spans="11:11" x14ac:dyDescent="0.15">
      <c r="K417" s="127"/>
    </row>
    <row r="418" spans="11:11" x14ac:dyDescent="0.15">
      <c r="K418" s="127"/>
    </row>
    <row r="419" spans="11:11" x14ac:dyDescent="0.15">
      <c r="K419" s="127"/>
    </row>
    <row r="420" spans="11:11" x14ac:dyDescent="0.15">
      <c r="K420" s="127"/>
    </row>
    <row r="421" spans="11:11" x14ac:dyDescent="0.15">
      <c r="K421" s="127"/>
    </row>
    <row r="422" spans="11:11" x14ac:dyDescent="0.15">
      <c r="K422" s="127"/>
    </row>
    <row r="423" spans="11:11" x14ac:dyDescent="0.15">
      <c r="K423" s="127"/>
    </row>
    <row r="424" spans="11:11" x14ac:dyDescent="0.15">
      <c r="K424" s="127"/>
    </row>
    <row r="425" spans="11:11" x14ac:dyDescent="0.15">
      <c r="K425" s="127"/>
    </row>
    <row r="426" spans="11:11" x14ac:dyDescent="0.15">
      <c r="K426" s="127"/>
    </row>
    <row r="427" spans="11:11" x14ac:dyDescent="0.15">
      <c r="K427" s="127"/>
    </row>
    <row r="428" spans="11:11" x14ac:dyDescent="0.15">
      <c r="K428" s="127"/>
    </row>
    <row r="429" spans="11:11" x14ac:dyDescent="0.15">
      <c r="K429" s="127"/>
    </row>
    <row r="430" spans="11:11" x14ac:dyDescent="0.15">
      <c r="K430" s="127"/>
    </row>
    <row r="431" spans="11:11" x14ac:dyDescent="0.15">
      <c r="K431" s="127"/>
    </row>
    <row r="432" spans="11:11" x14ac:dyDescent="0.15">
      <c r="K432" s="127"/>
    </row>
    <row r="433" spans="11:11" x14ac:dyDescent="0.15">
      <c r="K433" s="127"/>
    </row>
    <row r="434" spans="11:11" x14ac:dyDescent="0.15">
      <c r="K434" s="127"/>
    </row>
    <row r="435" spans="11:11" x14ac:dyDescent="0.15">
      <c r="K435" s="127"/>
    </row>
    <row r="436" spans="11:11" x14ac:dyDescent="0.15">
      <c r="K436" s="127"/>
    </row>
    <row r="437" spans="11:11" x14ac:dyDescent="0.15">
      <c r="K437" s="127"/>
    </row>
    <row r="438" spans="11:11" x14ac:dyDescent="0.15">
      <c r="K438" s="127"/>
    </row>
    <row r="439" spans="11:11" x14ac:dyDescent="0.15">
      <c r="K439" s="127"/>
    </row>
    <row r="440" spans="11:11" x14ac:dyDescent="0.15">
      <c r="K440" s="127"/>
    </row>
    <row r="441" spans="11:11" x14ac:dyDescent="0.15">
      <c r="K441" s="127"/>
    </row>
    <row r="442" spans="11:11" x14ac:dyDescent="0.15">
      <c r="K442" s="127"/>
    </row>
    <row r="443" spans="11:11" x14ac:dyDescent="0.15">
      <c r="K443" s="127"/>
    </row>
  </sheetData>
  <autoFilter ref="A1:BA1" xr:uid="{00000000-0009-0000-0000-000000000000}"/>
  <phoneticPr fontId="3"/>
  <dataValidations count="20">
    <dataValidation type="list" allowBlank="1" showInputMessage="1" showErrorMessage="1" sqref="F2:F491" xr:uid="{931759BE-2183-4125-9E75-9F9C6C9B779E}">
      <formula1>$AH$2:$AH$11</formula1>
    </dataValidation>
    <dataValidation type="list" allowBlank="1" showInputMessage="1" showErrorMessage="1" sqref="E2:E491" xr:uid="{EBB3EA4C-944D-45E6-8699-1BADB6DD34F0}">
      <formula1>$AG$2:$AG$11</formula1>
    </dataValidation>
    <dataValidation type="decimal" allowBlank="1" showInputMessage="1" showErrorMessage="1" error="硬度を正しく入力して下さい。" sqref="O2:P491" xr:uid="{4AB1B3F5-3CBE-43A3-A75F-5D33EA2430B9}">
      <formula1>0</formula1>
      <formula2>7</formula2>
    </dataValidation>
    <dataValidation type="list" allowBlank="1" showInputMessage="1" showErrorMessage="1" sqref="Y2:AA491" xr:uid="{DDD8206C-5DE0-493A-92F6-8019B11E36DB}">
      <formula1>$AV$2:$AV$21</formula1>
    </dataValidation>
    <dataValidation type="list" allowBlank="1" showInputMessage="1" showErrorMessage="1" sqref="K444:K491" xr:uid="{EEB81466-CF03-4A4B-8DDE-BF777CC8EE2F}">
      <formula1>$AR$2:$AR$25</formula1>
    </dataValidation>
    <dataValidation type="list" allowBlank="1" showInputMessage="1" showErrorMessage="1" sqref="I2:I491" xr:uid="{BAA9757C-897C-462C-A125-D2EA49228388}">
      <formula1>$AN$5:$AN$6</formula1>
    </dataValidation>
    <dataValidation type="list" allowBlank="1" showInputMessage="1" showErrorMessage="1" sqref="H2:H491" xr:uid="{567EE7E1-1DA8-4578-8AFC-B342427700EC}">
      <formula1>$AL$2:$AL$8</formula1>
    </dataValidation>
    <dataValidation type="list" allowBlank="1" showInputMessage="1" showErrorMessage="1" sqref="A2:A491" xr:uid="{05BEAA6C-D180-4EDE-AF37-7F36BA5B4119}">
      <formula1>$AE$2:$AE$19</formula1>
    </dataValidation>
    <dataValidation type="list" allowBlank="1" showInputMessage="1" showErrorMessage="1" sqref="X2:X491" xr:uid="{3DF8B218-3243-42B2-8F6C-15B30057D456}">
      <formula1>$AT$2:$AT$3</formula1>
    </dataValidation>
    <dataValidation type="list" allowBlank="1" showInputMessage="1" showErrorMessage="1" sqref="G2:G491" xr:uid="{791E99BE-5AF2-42B9-8BDE-0216CAB28D47}">
      <formula1>$AJ$2:$AJ$4</formula1>
    </dataValidation>
    <dataValidation type="list" allowBlank="1" showInputMessage="1" showErrorMessage="1" sqref="J2:J491" xr:uid="{147BA431-5A55-4A88-A0F3-623858C8860B}">
      <formula1>$AP$2:$AP$27</formula1>
    </dataValidation>
    <dataValidation operator="equal" allowBlank="1" showInputMessage="1" showErrorMessage="1" sqref="B2:B46" xr:uid="{532C5085-BA55-475E-B563-2257658E9537}"/>
    <dataValidation type="list" allowBlank="1" showInputMessage="1" showErrorMessage="1" sqref="F492:F64242" xr:uid="{0230E4D1-AF59-4B0F-B391-00841C7764A5}">
      <formula1>$AH$2:$AH$8</formula1>
    </dataValidation>
    <dataValidation type="list" allowBlank="1" showInputMessage="1" showErrorMessage="1" sqref="E492:E64242" xr:uid="{7C72FB57-BE7E-4367-A192-D88CDDC16018}">
      <formula1>$AG$2:$AG$9</formula1>
    </dataValidation>
    <dataValidation type="list" allowBlank="1" showInputMessage="1" showErrorMessage="1" sqref="H492:H64242" xr:uid="{F7006DC2-6BCE-4A53-AD92-9B134488E9ED}">
      <formula1>$AL$2:$AL$10</formula1>
    </dataValidation>
    <dataValidation type="list" allowBlank="1" showInputMessage="1" showErrorMessage="1" sqref="K492:K64242" xr:uid="{270C1B59-AAA7-4DDD-B79F-DA7F291F4010}">
      <formula1>$AR$2:$AR$28</formula1>
    </dataValidation>
    <dataValidation type="list" allowBlank="1" showInputMessage="1" showErrorMessage="1" sqref="Y492:AA64242" xr:uid="{BD0FA218-67B6-45F4-98FD-2025D5BB5586}">
      <formula1>$AV$2:$AV$26</formula1>
    </dataValidation>
    <dataValidation type="list" allowBlank="1" showInputMessage="1" showErrorMessage="1" sqref="I492:I64242" xr:uid="{34387702-7CBA-40C7-8B96-65AB3C2DB659}">
      <formula1>$AN$2:$AN$6</formula1>
    </dataValidation>
    <dataValidation type="list" allowBlank="1" showInputMessage="1" showErrorMessage="1" sqref="J492:J64242" xr:uid="{DE4B055D-8311-4515-8997-0E1B7C257851}">
      <formula1>$AP$2:$AP$16</formula1>
    </dataValidation>
    <dataValidation type="list" allowBlank="1" showInputMessage="1" showErrorMessage="1" sqref="K2:K443" xr:uid="{55916042-0ABD-40FF-B408-78B6A0B6CD82}">
      <formula1>$AR$2:$AR$26</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DB771-9F21-4A61-A71B-96D5DB56C2C5}">
  <dimension ref="A1:BA124"/>
  <sheetViews>
    <sheetView zoomScale="70" zoomScaleNormal="70" workbookViewId="0">
      <pane ySplit="1" topLeftCell="A71" activePane="bottomLeft" state="frozen"/>
      <selection pane="bottomLeft" activeCell="AD31" sqref="AD31"/>
    </sheetView>
  </sheetViews>
  <sheetFormatPr defaultRowHeight="13.5" x14ac:dyDescent="0.15"/>
  <cols>
    <col min="1" max="3" width="9" style="53"/>
    <col min="4" max="4" width="10.5" style="53" bestFit="1" customWidth="1"/>
    <col min="5" max="5" width="10.875" style="53" bestFit="1" customWidth="1"/>
    <col min="6" max="6" width="18.875" style="53" bestFit="1" customWidth="1"/>
    <col min="7" max="9" width="9" style="53"/>
    <col min="10" max="10" width="9.25" style="53" customWidth="1"/>
    <col min="11" max="12" width="9" style="53"/>
    <col min="13" max="13" width="10" style="53" bestFit="1" customWidth="1"/>
    <col min="14" max="16" width="9" style="53"/>
    <col min="17" max="17" width="9" style="16"/>
    <col min="18" max="19" width="9" style="53"/>
    <col min="20" max="20" width="9" style="16"/>
    <col min="21" max="21" width="9" style="53"/>
    <col min="22" max="22" width="14.25" style="16" customWidth="1"/>
    <col min="23" max="23" width="9" style="53"/>
    <col min="24" max="24" width="9.625" style="53" customWidth="1"/>
    <col min="25" max="26" width="9" style="53"/>
    <col min="27" max="27" width="12.125" style="53" customWidth="1"/>
    <col min="28" max="32" width="9" style="53"/>
    <col min="33" max="33" width="15.125" style="53" bestFit="1" customWidth="1"/>
    <col min="34" max="34" width="19.625" style="53" bestFit="1" customWidth="1"/>
    <col min="35" max="16384" width="9" style="53"/>
  </cols>
  <sheetData>
    <row r="1" spans="1:53" ht="67.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13</v>
      </c>
      <c r="O1" s="56" t="s">
        <v>14</v>
      </c>
      <c r="P1" s="56" t="s">
        <v>15</v>
      </c>
      <c r="Q1" s="3" t="s">
        <v>16</v>
      </c>
      <c r="R1" s="56" t="s">
        <v>17</v>
      </c>
      <c r="S1" s="56" t="s">
        <v>18</v>
      </c>
      <c r="T1" s="3" t="s">
        <v>19</v>
      </c>
      <c r="U1" s="58" t="s">
        <v>327</v>
      </c>
      <c r="V1" s="5" t="s">
        <v>20</v>
      </c>
      <c r="W1" s="56" t="s">
        <v>21</v>
      </c>
      <c r="X1" s="45" t="s">
        <v>22</v>
      </c>
      <c r="Y1" s="45" t="s">
        <v>23</v>
      </c>
      <c r="Z1" s="45" t="s">
        <v>370</v>
      </c>
      <c r="AA1" s="46" t="s">
        <v>25</v>
      </c>
      <c r="AB1" s="80" t="s">
        <v>26</v>
      </c>
      <c r="AE1" s="60" t="s">
        <v>0</v>
      </c>
      <c r="AF1" s="61"/>
      <c r="AG1" s="175"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34</v>
      </c>
      <c r="B2" s="53" t="s">
        <v>232</v>
      </c>
      <c r="C2" s="53">
        <v>2019</v>
      </c>
      <c r="D2" s="176" t="s">
        <v>313</v>
      </c>
      <c r="E2" s="53" t="s">
        <v>371</v>
      </c>
      <c r="F2" s="53" t="s">
        <v>372</v>
      </c>
      <c r="G2" s="53" t="s">
        <v>36</v>
      </c>
      <c r="H2" s="53" t="s">
        <v>164</v>
      </c>
      <c r="I2" s="53" t="s">
        <v>159</v>
      </c>
      <c r="J2" s="53" t="s">
        <v>38</v>
      </c>
      <c r="K2" s="53" t="s">
        <v>161</v>
      </c>
      <c r="L2" s="53">
        <v>1</v>
      </c>
      <c r="N2" s="53">
        <v>5</v>
      </c>
      <c r="O2" s="53">
        <v>1.2</v>
      </c>
      <c r="P2" s="53">
        <v>1.5</v>
      </c>
      <c r="Q2" s="75">
        <f t="shared" ref="Q2:Q82" si="0">IF(OR(O2="",P2=""),"",AVERAGE(O2,P2))</f>
        <v>1.35</v>
      </c>
      <c r="R2" s="53">
        <v>17.3</v>
      </c>
      <c r="S2" s="53">
        <v>83</v>
      </c>
      <c r="T2" s="16">
        <f t="shared" ref="T2:T86" si="1">IF(H2="","",IF(OR(H2="GREEN",H2="GK"),IF(S2&gt;=$AX$2,VLOOKUP(S2,$AX$2:$AY$9,2,1),""),IF(S2&gt;=$AZ$2,VLOOKUP(S2,$AZ$2:$BA$9,2,1),"")))</f>
        <v>39</v>
      </c>
      <c r="U2" s="53">
        <v>320</v>
      </c>
      <c r="V2" s="16">
        <f t="shared" ref="V2:V85" si="2">IF(OR(N2="",U2="",T2=""),"",U2/N2*T2)</f>
        <v>2496</v>
      </c>
      <c r="W2" s="53">
        <v>1</v>
      </c>
      <c r="X2" s="53" t="s">
        <v>46</v>
      </c>
      <c r="Y2" s="53" t="s">
        <v>97</v>
      </c>
      <c r="Z2" s="53" t="s">
        <v>60</v>
      </c>
      <c r="AA2" s="53" t="s">
        <v>78</v>
      </c>
      <c r="AB2" s="53" t="s">
        <v>236</v>
      </c>
      <c r="AE2" s="64" t="s">
        <v>35</v>
      </c>
      <c r="AG2" s="177" t="s">
        <v>319</v>
      </c>
      <c r="AH2" s="67" t="s">
        <v>373</v>
      </c>
      <c r="AJ2" s="67" t="s">
        <v>36</v>
      </c>
      <c r="AL2" s="67" t="s">
        <v>127</v>
      </c>
      <c r="AN2" s="67" t="s">
        <v>37</v>
      </c>
      <c r="AP2" s="67" t="s">
        <v>38</v>
      </c>
      <c r="AR2" s="67" t="s">
        <v>120</v>
      </c>
      <c r="AT2" s="67" t="s">
        <v>39</v>
      </c>
      <c r="AV2" s="67" t="s">
        <v>40</v>
      </c>
      <c r="AX2" s="68">
        <v>1</v>
      </c>
      <c r="AY2" s="69">
        <v>50</v>
      </c>
      <c r="AZ2" s="69">
        <v>1</v>
      </c>
      <c r="BA2" s="70">
        <v>50</v>
      </c>
    </row>
    <row r="3" spans="1:53" x14ac:dyDescent="0.15">
      <c r="A3" s="53" t="s">
        <v>34</v>
      </c>
      <c r="B3" s="53" t="s">
        <v>232</v>
      </c>
      <c r="C3" s="53">
        <v>2019</v>
      </c>
      <c r="D3" s="176" t="s">
        <v>313</v>
      </c>
      <c r="E3" s="53" t="s">
        <v>371</v>
      </c>
      <c r="F3" s="53" t="s">
        <v>372</v>
      </c>
      <c r="G3" s="53" t="s">
        <v>36</v>
      </c>
      <c r="H3" s="53" t="s">
        <v>164</v>
      </c>
      <c r="I3" s="53" t="s">
        <v>159</v>
      </c>
      <c r="J3" s="53" t="s">
        <v>38</v>
      </c>
      <c r="K3" s="53" t="s">
        <v>161</v>
      </c>
      <c r="L3" s="53">
        <v>2</v>
      </c>
      <c r="N3" s="53">
        <v>5</v>
      </c>
      <c r="O3" s="53">
        <v>1.2</v>
      </c>
      <c r="P3" s="53">
        <v>0.85</v>
      </c>
      <c r="Q3" s="75">
        <f t="shared" si="0"/>
        <v>1.0249999999999999</v>
      </c>
      <c r="R3" s="53">
        <v>17</v>
      </c>
      <c r="S3" s="53">
        <v>77</v>
      </c>
      <c r="T3" s="16">
        <f t="shared" si="1"/>
        <v>39</v>
      </c>
      <c r="U3" s="53">
        <v>320</v>
      </c>
      <c r="V3" s="16">
        <f t="shared" si="2"/>
        <v>2496</v>
      </c>
      <c r="W3" s="53">
        <v>1</v>
      </c>
      <c r="X3" s="53" t="s">
        <v>46</v>
      </c>
      <c r="Y3" s="53" t="s">
        <v>97</v>
      </c>
      <c r="Z3" s="53" t="s">
        <v>60</v>
      </c>
      <c r="AA3" s="53" t="s">
        <v>78</v>
      </c>
      <c r="AB3" s="53" t="s">
        <v>236</v>
      </c>
      <c r="AE3" s="22" t="s">
        <v>41</v>
      </c>
      <c r="AG3" s="178" t="s">
        <v>374</v>
      </c>
      <c r="AH3" s="67" t="s">
        <v>375</v>
      </c>
      <c r="AJ3" s="23" t="s">
        <v>42</v>
      </c>
      <c r="AL3" s="23" t="s">
        <v>128</v>
      </c>
      <c r="AN3" s="23" t="s">
        <v>43</v>
      </c>
      <c r="AP3" s="23" t="s">
        <v>44</v>
      </c>
      <c r="AR3" s="23" t="s">
        <v>45</v>
      </c>
      <c r="AT3" s="23" t="s">
        <v>46</v>
      </c>
      <c r="AV3" s="23" t="s">
        <v>47</v>
      </c>
      <c r="AX3" s="24">
        <v>72</v>
      </c>
      <c r="AY3" s="25">
        <v>46</v>
      </c>
      <c r="AZ3" s="25">
        <v>71</v>
      </c>
      <c r="BA3" s="26">
        <v>42</v>
      </c>
    </row>
    <row r="4" spans="1:53" x14ac:dyDescent="0.15">
      <c r="A4" s="53" t="s">
        <v>34</v>
      </c>
      <c r="B4" s="53" t="s">
        <v>232</v>
      </c>
      <c r="C4" s="53">
        <v>2019</v>
      </c>
      <c r="D4" s="176" t="s">
        <v>313</v>
      </c>
      <c r="E4" s="53" t="s">
        <v>371</v>
      </c>
      <c r="F4" s="53" t="s">
        <v>372</v>
      </c>
      <c r="G4" s="53" t="s">
        <v>36</v>
      </c>
      <c r="H4" s="53" t="s">
        <v>164</v>
      </c>
      <c r="I4" s="53" t="s">
        <v>159</v>
      </c>
      <c r="J4" s="53" t="s">
        <v>38</v>
      </c>
      <c r="K4" s="53" t="s">
        <v>161</v>
      </c>
      <c r="L4" s="53">
        <v>3</v>
      </c>
      <c r="N4" s="53">
        <v>5</v>
      </c>
      <c r="O4" s="53">
        <v>1.2</v>
      </c>
      <c r="P4" s="53">
        <v>1</v>
      </c>
      <c r="Q4" s="75">
        <f t="shared" si="0"/>
        <v>1.1000000000000001</v>
      </c>
      <c r="R4" s="53">
        <v>12.9</v>
      </c>
      <c r="S4" s="53">
        <v>80</v>
      </c>
      <c r="T4" s="16">
        <f t="shared" si="1"/>
        <v>39</v>
      </c>
      <c r="U4" s="53">
        <v>320</v>
      </c>
      <c r="V4" s="16">
        <f t="shared" si="2"/>
        <v>2496</v>
      </c>
      <c r="W4" s="53">
        <v>1</v>
      </c>
      <c r="X4" s="53" t="s">
        <v>46</v>
      </c>
      <c r="Y4" s="53" t="s">
        <v>97</v>
      </c>
      <c r="Z4" s="53" t="s">
        <v>60</v>
      </c>
      <c r="AA4" s="53" t="s">
        <v>78</v>
      </c>
      <c r="AB4" s="53" t="s">
        <v>236</v>
      </c>
      <c r="AE4" s="22" t="s">
        <v>34</v>
      </c>
      <c r="AG4" s="178" t="s">
        <v>376</v>
      </c>
      <c r="AH4" s="67" t="s">
        <v>377</v>
      </c>
      <c r="AJ4" s="27" t="s">
        <v>48</v>
      </c>
      <c r="AL4" s="27" t="s">
        <v>129</v>
      </c>
      <c r="AN4" s="28" t="s">
        <v>49</v>
      </c>
      <c r="AP4" s="23" t="s">
        <v>93</v>
      </c>
      <c r="AR4" s="23" t="s">
        <v>121</v>
      </c>
      <c r="AT4" s="28"/>
      <c r="AV4" s="23" t="s">
        <v>50</v>
      </c>
      <c r="AX4" s="24">
        <v>75</v>
      </c>
      <c r="AY4" s="25">
        <v>42</v>
      </c>
      <c r="AZ4" s="25">
        <v>76</v>
      </c>
      <c r="BA4" s="26">
        <v>39</v>
      </c>
    </row>
    <row r="5" spans="1:53" x14ac:dyDescent="0.15">
      <c r="A5" s="53" t="s">
        <v>34</v>
      </c>
      <c r="B5" s="53" t="s">
        <v>232</v>
      </c>
      <c r="C5" s="53">
        <v>2019</v>
      </c>
      <c r="D5" s="176" t="s">
        <v>313</v>
      </c>
      <c r="E5" s="53" t="s">
        <v>371</v>
      </c>
      <c r="F5" s="53" t="s">
        <v>372</v>
      </c>
      <c r="G5" s="53" t="s">
        <v>36</v>
      </c>
      <c r="H5" s="53" t="s">
        <v>160</v>
      </c>
      <c r="I5" s="53" t="s">
        <v>159</v>
      </c>
      <c r="J5" s="53" t="s">
        <v>38</v>
      </c>
      <c r="K5" s="53" t="s">
        <v>161</v>
      </c>
      <c r="L5" s="53">
        <v>1</v>
      </c>
      <c r="N5" s="53">
        <v>1</v>
      </c>
      <c r="O5" s="53">
        <v>0.2</v>
      </c>
      <c r="P5" s="53">
        <v>0.2</v>
      </c>
      <c r="Q5" s="75">
        <f t="shared" si="0"/>
        <v>0.2</v>
      </c>
      <c r="R5" s="53">
        <v>19.5</v>
      </c>
      <c r="S5" s="53">
        <v>114</v>
      </c>
      <c r="T5" s="16">
        <f t="shared" si="1"/>
        <v>30</v>
      </c>
      <c r="U5" s="53">
        <v>100</v>
      </c>
      <c r="V5" s="16">
        <f t="shared" si="2"/>
        <v>3000</v>
      </c>
      <c r="W5" s="53">
        <v>2</v>
      </c>
      <c r="X5" s="53" t="s">
        <v>46</v>
      </c>
      <c r="Y5" s="53" t="s">
        <v>97</v>
      </c>
      <c r="Z5" s="53" t="s">
        <v>60</v>
      </c>
      <c r="AA5" s="53" t="s">
        <v>78</v>
      </c>
      <c r="AB5" s="53" t="s">
        <v>236</v>
      </c>
      <c r="AE5" s="22" t="s">
        <v>51</v>
      </c>
      <c r="AG5" s="178" t="s">
        <v>378</v>
      </c>
      <c r="AH5" s="67" t="s">
        <v>379</v>
      </c>
      <c r="AJ5" s="28"/>
      <c r="AL5" s="73" t="s">
        <v>66</v>
      </c>
      <c r="AN5" s="73" t="s">
        <v>52</v>
      </c>
      <c r="AP5" s="23" t="s">
        <v>119</v>
      </c>
      <c r="AR5" s="23" t="s">
        <v>54</v>
      </c>
      <c r="AV5" s="23" t="s">
        <v>55</v>
      </c>
      <c r="AX5" s="24">
        <v>84</v>
      </c>
      <c r="AY5" s="25">
        <v>39</v>
      </c>
      <c r="AZ5" s="25">
        <v>84</v>
      </c>
      <c r="BA5" s="26">
        <v>36</v>
      </c>
    </row>
    <row r="6" spans="1:53" x14ac:dyDescent="0.15">
      <c r="A6" s="53" t="s">
        <v>34</v>
      </c>
      <c r="B6" s="53" t="s">
        <v>232</v>
      </c>
      <c r="C6" s="53">
        <v>2019</v>
      </c>
      <c r="D6" s="176" t="s">
        <v>313</v>
      </c>
      <c r="E6" s="53" t="s">
        <v>371</v>
      </c>
      <c r="F6" s="53" t="s">
        <v>372</v>
      </c>
      <c r="G6" s="53" t="s">
        <v>36</v>
      </c>
      <c r="H6" s="53" t="s">
        <v>160</v>
      </c>
      <c r="I6" s="53" t="s">
        <v>159</v>
      </c>
      <c r="J6" s="53" t="s">
        <v>38</v>
      </c>
      <c r="K6" s="53" t="s">
        <v>161</v>
      </c>
      <c r="L6" s="53">
        <v>2</v>
      </c>
      <c r="N6" s="53">
        <v>1</v>
      </c>
      <c r="O6" s="53">
        <v>0.2</v>
      </c>
      <c r="P6" s="53">
        <v>0.2</v>
      </c>
      <c r="Q6" s="75">
        <f t="shared" si="0"/>
        <v>0.2</v>
      </c>
      <c r="R6" s="53">
        <v>20.6</v>
      </c>
      <c r="S6" s="53">
        <v>120</v>
      </c>
      <c r="T6" s="16">
        <f t="shared" si="1"/>
        <v>30</v>
      </c>
      <c r="U6" s="53">
        <v>100</v>
      </c>
      <c r="V6" s="16">
        <f t="shared" si="2"/>
        <v>3000</v>
      </c>
      <c r="W6" s="53">
        <v>2</v>
      </c>
      <c r="X6" s="53" t="s">
        <v>46</v>
      </c>
      <c r="Y6" s="53" t="s">
        <v>97</v>
      </c>
      <c r="Z6" s="53" t="s">
        <v>60</v>
      </c>
      <c r="AA6" s="53" t="s">
        <v>78</v>
      </c>
      <c r="AB6" s="53" t="s">
        <v>236</v>
      </c>
      <c r="AE6" s="22" t="s">
        <v>56</v>
      </c>
      <c r="AG6" s="178" t="s">
        <v>380</v>
      </c>
      <c r="AH6" s="67" t="s">
        <v>381</v>
      </c>
      <c r="AL6" s="73" t="s">
        <v>99</v>
      </c>
      <c r="AN6" s="73" t="s">
        <v>57</v>
      </c>
      <c r="AP6" s="23" t="s">
        <v>53</v>
      </c>
      <c r="AR6" s="23" t="s">
        <v>59</v>
      </c>
      <c r="AV6" s="23" t="s">
        <v>60</v>
      </c>
      <c r="AX6" s="24">
        <v>97</v>
      </c>
      <c r="AY6" s="25">
        <v>36</v>
      </c>
      <c r="AZ6" s="25">
        <v>99</v>
      </c>
      <c r="BA6" s="26">
        <v>33</v>
      </c>
    </row>
    <row r="7" spans="1:53" x14ac:dyDescent="0.15">
      <c r="A7" s="53" t="s">
        <v>34</v>
      </c>
      <c r="B7" s="53" t="s">
        <v>232</v>
      </c>
      <c r="C7" s="53">
        <v>2019</v>
      </c>
      <c r="D7" s="176" t="s">
        <v>313</v>
      </c>
      <c r="E7" s="53" t="s">
        <v>371</v>
      </c>
      <c r="F7" s="53" t="s">
        <v>372</v>
      </c>
      <c r="G7" s="53" t="s">
        <v>36</v>
      </c>
      <c r="H7" s="53" t="s">
        <v>160</v>
      </c>
      <c r="I7" s="53" t="s">
        <v>159</v>
      </c>
      <c r="J7" s="53" t="s">
        <v>38</v>
      </c>
      <c r="K7" s="53" t="s">
        <v>161</v>
      </c>
      <c r="L7" s="53">
        <v>3</v>
      </c>
      <c r="N7" s="53">
        <v>1</v>
      </c>
      <c r="O7" s="53">
        <v>0.2</v>
      </c>
      <c r="P7" s="53">
        <v>0.2</v>
      </c>
      <c r="Q7" s="75">
        <f t="shared" si="0"/>
        <v>0.2</v>
      </c>
      <c r="R7" s="53">
        <v>18.600000000000001</v>
      </c>
      <c r="S7" s="53">
        <v>116</v>
      </c>
      <c r="T7" s="16">
        <f t="shared" si="1"/>
        <v>30</v>
      </c>
      <c r="U7" s="53">
        <v>100</v>
      </c>
      <c r="V7" s="16">
        <f t="shared" si="2"/>
        <v>3000</v>
      </c>
      <c r="W7" s="53">
        <v>2</v>
      </c>
      <c r="X7" s="53" t="s">
        <v>46</v>
      </c>
      <c r="Y7" s="53" t="s">
        <v>97</v>
      </c>
      <c r="Z7" s="53" t="s">
        <v>60</v>
      </c>
      <c r="AA7" s="53" t="s">
        <v>78</v>
      </c>
      <c r="AB7" s="53" t="s">
        <v>236</v>
      </c>
      <c r="AE7" s="22" t="s">
        <v>61</v>
      </c>
      <c r="AG7" s="178" t="s">
        <v>269</v>
      </c>
      <c r="AH7" s="67" t="s">
        <v>382</v>
      </c>
      <c r="AL7" s="34" t="s">
        <v>109</v>
      </c>
      <c r="AP7" s="23" t="s">
        <v>58</v>
      </c>
      <c r="AR7" s="23" t="s">
        <v>122</v>
      </c>
      <c r="AV7" s="23" t="s">
        <v>64</v>
      </c>
      <c r="AX7" s="24">
        <v>109</v>
      </c>
      <c r="AY7" s="25">
        <v>33</v>
      </c>
      <c r="AZ7" s="25">
        <v>113</v>
      </c>
      <c r="BA7" s="26">
        <v>30</v>
      </c>
    </row>
    <row r="8" spans="1:53" x14ac:dyDescent="0.15">
      <c r="A8" s="53" t="s">
        <v>34</v>
      </c>
      <c r="B8" s="53" t="s">
        <v>232</v>
      </c>
      <c r="C8" s="53">
        <v>2019</v>
      </c>
      <c r="D8" s="176" t="s">
        <v>313</v>
      </c>
      <c r="E8" s="53" t="s">
        <v>383</v>
      </c>
      <c r="F8" s="53" t="s">
        <v>384</v>
      </c>
      <c r="G8" s="53" t="s">
        <v>36</v>
      </c>
      <c r="H8" s="53" t="s">
        <v>164</v>
      </c>
      <c r="I8" s="53" t="s">
        <v>159</v>
      </c>
      <c r="J8" s="53" t="s">
        <v>38</v>
      </c>
      <c r="K8" s="53" t="s">
        <v>161</v>
      </c>
      <c r="L8" s="53">
        <v>1</v>
      </c>
      <c r="N8" s="53">
        <v>1</v>
      </c>
      <c r="O8" s="53">
        <v>0.7</v>
      </c>
      <c r="P8" s="53">
        <v>0.55000000000000004</v>
      </c>
      <c r="Q8" s="75">
        <f t="shared" si="0"/>
        <v>0.625</v>
      </c>
      <c r="R8" s="53">
        <v>14.4</v>
      </c>
      <c r="S8" s="53">
        <v>130</v>
      </c>
      <c r="T8" s="16">
        <f t="shared" si="1"/>
        <v>30</v>
      </c>
      <c r="U8" s="53">
        <v>105</v>
      </c>
      <c r="V8" s="16">
        <f t="shared" si="2"/>
        <v>3150</v>
      </c>
      <c r="W8" s="53">
        <v>4</v>
      </c>
      <c r="X8" s="53" t="s">
        <v>46</v>
      </c>
      <c r="Y8" s="53" t="s">
        <v>102</v>
      </c>
      <c r="Z8" s="53" t="s">
        <v>55</v>
      </c>
      <c r="AA8" s="53" t="s">
        <v>69</v>
      </c>
      <c r="AB8" s="53" t="s">
        <v>236</v>
      </c>
      <c r="AE8" s="22" t="s">
        <v>59</v>
      </c>
      <c r="AG8" s="178" t="s">
        <v>383</v>
      </c>
      <c r="AH8" s="67" t="s">
        <v>384</v>
      </c>
      <c r="AL8" s="34" t="s">
        <v>134</v>
      </c>
      <c r="AP8" s="23" t="s">
        <v>62</v>
      </c>
      <c r="AR8" s="23" t="s">
        <v>81</v>
      </c>
      <c r="AV8" s="23" t="s">
        <v>97</v>
      </c>
      <c r="AX8" s="24">
        <v>151</v>
      </c>
      <c r="AY8" s="25">
        <v>22</v>
      </c>
      <c r="AZ8" s="25">
        <v>152</v>
      </c>
      <c r="BA8" s="26">
        <v>18</v>
      </c>
    </row>
    <row r="9" spans="1:53" x14ac:dyDescent="0.15">
      <c r="A9" s="53" t="s">
        <v>34</v>
      </c>
      <c r="B9" s="53" t="s">
        <v>232</v>
      </c>
      <c r="C9" s="53">
        <v>2019</v>
      </c>
      <c r="D9" s="176" t="s">
        <v>313</v>
      </c>
      <c r="E9" s="53" t="s">
        <v>383</v>
      </c>
      <c r="F9" s="53" t="s">
        <v>384</v>
      </c>
      <c r="G9" s="53" t="s">
        <v>36</v>
      </c>
      <c r="H9" s="53" t="s">
        <v>164</v>
      </c>
      <c r="I9" s="53" t="s">
        <v>159</v>
      </c>
      <c r="J9" s="53" t="s">
        <v>38</v>
      </c>
      <c r="K9" s="53" t="s">
        <v>161</v>
      </c>
      <c r="L9" s="53">
        <v>2</v>
      </c>
      <c r="N9" s="53">
        <v>1</v>
      </c>
      <c r="O9" s="53">
        <v>0.55000000000000004</v>
      </c>
      <c r="P9" s="53">
        <v>0.45</v>
      </c>
      <c r="Q9" s="75">
        <f t="shared" si="0"/>
        <v>0.5</v>
      </c>
      <c r="R9" s="53">
        <v>15.1</v>
      </c>
      <c r="S9" s="53">
        <v>132</v>
      </c>
      <c r="T9" s="16">
        <f t="shared" si="1"/>
        <v>30</v>
      </c>
      <c r="U9" s="53">
        <v>105</v>
      </c>
      <c r="V9" s="16">
        <f t="shared" si="2"/>
        <v>3150</v>
      </c>
      <c r="W9" s="53">
        <v>4</v>
      </c>
      <c r="X9" s="53" t="s">
        <v>46</v>
      </c>
      <c r="Y9" s="53" t="s">
        <v>102</v>
      </c>
      <c r="Z9" s="53" t="s">
        <v>55</v>
      </c>
      <c r="AA9" s="53" t="s">
        <v>69</v>
      </c>
      <c r="AB9" s="53" t="s">
        <v>236</v>
      </c>
      <c r="AE9" s="22" t="s">
        <v>98</v>
      </c>
      <c r="AG9" s="178" t="s">
        <v>385</v>
      </c>
      <c r="AH9" s="67" t="s">
        <v>386</v>
      </c>
      <c r="AL9" s="73"/>
      <c r="AP9" s="23" t="s">
        <v>95</v>
      </c>
      <c r="AR9" s="23" t="s">
        <v>89</v>
      </c>
      <c r="AV9" s="23" t="s">
        <v>102</v>
      </c>
      <c r="AX9" s="31">
        <v>180</v>
      </c>
      <c r="AY9" s="32">
        <v>18</v>
      </c>
      <c r="AZ9" s="32">
        <v>181</v>
      </c>
      <c r="BA9" s="33">
        <v>16</v>
      </c>
    </row>
    <row r="10" spans="1:53" x14ac:dyDescent="0.15">
      <c r="A10" s="53" t="s">
        <v>34</v>
      </c>
      <c r="B10" s="53" t="s">
        <v>232</v>
      </c>
      <c r="C10" s="53">
        <v>2019</v>
      </c>
      <c r="D10" s="176" t="s">
        <v>313</v>
      </c>
      <c r="E10" s="53" t="s">
        <v>383</v>
      </c>
      <c r="F10" s="53" t="s">
        <v>384</v>
      </c>
      <c r="G10" s="53" t="s">
        <v>36</v>
      </c>
      <c r="H10" s="53" t="s">
        <v>164</v>
      </c>
      <c r="I10" s="53" t="s">
        <v>159</v>
      </c>
      <c r="J10" s="53" t="s">
        <v>38</v>
      </c>
      <c r="K10" s="53" t="s">
        <v>161</v>
      </c>
      <c r="L10" s="53">
        <v>3</v>
      </c>
      <c r="N10" s="53">
        <v>1</v>
      </c>
      <c r="O10" s="53">
        <v>0.7</v>
      </c>
      <c r="P10" s="53">
        <v>0.6</v>
      </c>
      <c r="Q10" s="75">
        <f t="shared" si="0"/>
        <v>0.64999999999999991</v>
      </c>
      <c r="R10" s="53">
        <v>15.4</v>
      </c>
      <c r="S10" s="53">
        <v>128</v>
      </c>
      <c r="T10" s="16">
        <f t="shared" si="1"/>
        <v>30</v>
      </c>
      <c r="U10" s="53">
        <v>105</v>
      </c>
      <c r="V10" s="16">
        <f t="shared" si="2"/>
        <v>3150</v>
      </c>
      <c r="W10" s="53">
        <v>4</v>
      </c>
      <c r="X10" s="53" t="s">
        <v>46</v>
      </c>
      <c r="Y10" s="53" t="s">
        <v>102</v>
      </c>
      <c r="Z10" s="53" t="s">
        <v>55</v>
      </c>
      <c r="AA10" s="53" t="s">
        <v>69</v>
      </c>
      <c r="AB10" s="53" t="s">
        <v>236</v>
      </c>
      <c r="AE10" s="22" t="s">
        <v>103</v>
      </c>
      <c r="AG10" s="178" t="s">
        <v>371</v>
      </c>
      <c r="AH10" s="67" t="s">
        <v>372</v>
      </c>
      <c r="AL10" s="34"/>
      <c r="AP10" s="23" t="s">
        <v>100</v>
      </c>
      <c r="AR10" s="23" t="s">
        <v>123</v>
      </c>
      <c r="AV10" s="23" t="s">
        <v>106</v>
      </c>
    </row>
    <row r="11" spans="1:53" x14ac:dyDescent="0.15">
      <c r="A11" s="53" t="s">
        <v>34</v>
      </c>
      <c r="B11" s="53" t="s">
        <v>232</v>
      </c>
      <c r="C11" s="53">
        <v>2019</v>
      </c>
      <c r="D11" s="176" t="s">
        <v>313</v>
      </c>
      <c r="E11" s="53" t="s">
        <v>383</v>
      </c>
      <c r="F11" s="53" t="s">
        <v>384</v>
      </c>
      <c r="G11" s="53" t="s">
        <v>36</v>
      </c>
      <c r="H11" s="53" t="s">
        <v>164</v>
      </c>
      <c r="I11" s="53" t="s">
        <v>159</v>
      </c>
      <c r="J11" s="53" t="s">
        <v>38</v>
      </c>
      <c r="K11" s="53" t="s">
        <v>161</v>
      </c>
      <c r="L11" s="53">
        <v>1</v>
      </c>
      <c r="N11" s="53">
        <v>8</v>
      </c>
      <c r="O11" s="53">
        <v>0.75</v>
      </c>
      <c r="P11" s="53">
        <v>0.65</v>
      </c>
      <c r="Q11" s="75">
        <f t="shared" si="0"/>
        <v>0.7</v>
      </c>
      <c r="R11" s="53">
        <v>13.6</v>
      </c>
      <c r="S11" s="53">
        <v>91</v>
      </c>
      <c r="T11" s="16">
        <f t="shared" si="1"/>
        <v>36</v>
      </c>
      <c r="U11" s="53">
        <v>410</v>
      </c>
      <c r="V11" s="16">
        <f t="shared" si="2"/>
        <v>1845</v>
      </c>
      <c r="W11" s="53">
        <v>4</v>
      </c>
      <c r="X11" s="53" t="s">
        <v>46</v>
      </c>
      <c r="Y11" s="53" t="s">
        <v>102</v>
      </c>
      <c r="Z11" s="53" t="s">
        <v>55</v>
      </c>
      <c r="AA11" s="53" t="s">
        <v>69</v>
      </c>
      <c r="AB11" s="53" t="s">
        <v>236</v>
      </c>
      <c r="AE11" s="22" t="s">
        <v>65</v>
      </c>
      <c r="AG11" s="178" t="s">
        <v>210</v>
      </c>
      <c r="AH11" s="67" t="s">
        <v>387</v>
      </c>
      <c r="AL11" s="34"/>
      <c r="AP11" s="23" t="s">
        <v>104</v>
      </c>
      <c r="AR11" s="23" t="s">
        <v>87</v>
      </c>
      <c r="AV11" s="23" t="s">
        <v>69</v>
      </c>
    </row>
    <row r="12" spans="1:53" x14ac:dyDescent="0.15">
      <c r="A12" s="53" t="s">
        <v>34</v>
      </c>
      <c r="B12" s="53" t="s">
        <v>232</v>
      </c>
      <c r="C12" s="53">
        <v>2019</v>
      </c>
      <c r="D12" s="176" t="s">
        <v>313</v>
      </c>
      <c r="E12" s="53" t="s">
        <v>383</v>
      </c>
      <c r="F12" s="53" t="s">
        <v>384</v>
      </c>
      <c r="G12" s="53" t="s">
        <v>36</v>
      </c>
      <c r="H12" s="53" t="s">
        <v>164</v>
      </c>
      <c r="I12" s="53" t="s">
        <v>159</v>
      </c>
      <c r="J12" s="53" t="s">
        <v>38</v>
      </c>
      <c r="K12" s="53" t="s">
        <v>161</v>
      </c>
      <c r="L12" s="53">
        <v>2</v>
      </c>
      <c r="N12" s="53">
        <v>8</v>
      </c>
      <c r="O12" s="53">
        <v>0.55000000000000004</v>
      </c>
      <c r="P12" s="53">
        <v>0.45</v>
      </c>
      <c r="Q12" s="75">
        <f t="shared" si="0"/>
        <v>0.5</v>
      </c>
      <c r="R12" s="53">
        <v>14.7</v>
      </c>
      <c r="S12" s="53">
        <v>91</v>
      </c>
      <c r="T12" s="16">
        <f t="shared" si="1"/>
        <v>36</v>
      </c>
      <c r="U12" s="53">
        <v>410</v>
      </c>
      <c r="V12" s="16">
        <f t="shared" si="2"/>
        <v>1845</v>
      </c>
      <c r="W12" s="53">
        <v>4</v>
      </c>
      <c r="X12" s="53" t="s">
        <v>46</v>
      </c>
      <c r="Y12" s="53" t="s">
        <v>102</v>
      </c>
      <c r="Z12" s="53" t="s">
        <v>55</v>
      </c>
      <c r="AA12" s="53" t="s">
        <v>69</v>
      </c>
      <c r="AB12" s="53" t="s">
        <v>236</v>
      </c>
      <c r="AE12" s="22" t="s">
        <v>70</v>
      </c>
      <c r="AG12" s="28"/>
      <c r="AH12" s="23"/>
      <c r="AL12" s="34"/>
      <c r="AP12" s="23" t="s">
        <v>67</v>
      </c>
      <c r="AR12" s="23" t="s">
        <v>124</v>
      </c>
      <c r="AV12" s="23" t="s">
        <v>72</v>
      </c>
    </row>
    <row r="13" spans="1:53" x14ac:dyDescent="0.15">
      <c r="A13" s="53" t="s">
        <v>34</v>
      </c>
      <c r="B13" s="53" t="s">
        <v>232</v>
      </c>
      <c r="C13" s="53">
        <v>2019</v>
      </c>
      <c r="D13" s="176" t="s">
        <v>313</v>
      </c>
      <c r="E13" s="53" t="s">
        <v>383</v>
      </c>
      <c r="F13" s="53" t="s">
        <v>384</v>
      </c>
      <c r="G13" s="53" t="s">
        <v>36</v>
      </c>
      <c r="H13" s="53" t="s">
        <v>160</v>
      </c>
      <c r="I13" s="53" t="s">
        <v>159</v>
      </c>
      <c r="J13" s="53" t="s">
        <v>38</v>
      </c>
      <c r="K13" s="53" t="s">
        <v>161</v>
      </c>
      <c r="L13" s="53">
        <v>3</v>
      </c>
      <c r="N13" s="53">
        <v>8</v>
      </c>
      <c r="O13" s="53">
        <v>0.2</v>
      </c>
      <c r="P13" s="53">
        <v>0.2</v>
      </c>
      <c r="Q13" s="75">
        <f t="shared" si="0"/>
        <v>0.2</v>
      </c>
      <c r="R13" s="53">
        <v>13.7</v>
      </c>
      <c r="S13" s="53">
        <v>94</v>
      </c>
      <c r="T13" s="16">
        <f t="shared" si="1"/>
        <v>36</v>
      </c>
      <c r="U13" s="53">
        <v>410</v>
      </c>
      <c r="V13" s="16">
        <f t="shared" si="2"/>
        <v>1845</v>
      </c>
      <c r="W13" s="53">
        <v>4</v>
      </c>
      <c r="X13" s="53" t="s">
        <v>46</v>
      </c>
      <c r="Y13" s="53" t="s">
        <v>102</v>
      </c>
      <c r="Z13" s="53" t="s">
        <v>55</v>
      </c>
      <c r="AA13" s="53" t="s">
        <v>69</v>
      </c>
      <c r="AB13" s="53" t="s">
        <v>236</v>
      </c>
      <c r="AE13" s="22" t="s">
        <v>73</v>
      </c>
      <c r="AH13" s="28"/>
      <c r="AP13" s="23" t="s">
        <v>71</v>
      </c>
      <c r="AR13" s="23" t="s">
        <v>103</v>
      </c>
      <c r="AV13" s="23" t="s">
        <v>75</v>
      </c>
    </row>
    <row r="14" spans="1:53" x14ac:dyDescent="0.15">
      <c r="A14" s="53" t="s">
        <v>34</v>
      </c>
      <c r="B14" s="53" t="s">
        <v>232</v>
      </c>
      <c r="C14" s="53">
        <v>2019</v>
      </c>
      <c r="D14" s="176" t="s">
        <v>313</v>
      </c>
      <c r="E14" s="53" t="s">
        <v>383</v>
      </c>
      <c r="F14" s="53" t="s">
        <v>384</v>
      </c>
      <c r="G14" s="53" t="s">
        <v>36</v>
      </c>
      <c r="H14" s="53" t="s">
        <v>160</v>
      </c>
      <c r="I14" s="53" t="s">
        <v>159</v>
      </c>
      <c r="J14" s="53" t="s">
        <v>38</v>
      </c>
      <c r="K14" s="53" t="s">
        <v>161</v>
      </c>
      <c r="L14" s="53">
        <v>1</v>
      </c>
      <c r="N14" s="53">
        <v>1</v>
      </c>
      <c r="O14" s="53">
        <v>0.2</v>
      </c>
      <c r="P14" s="53">
        <v>0.2</v>
      </c>
      <c r="Q14" s="75">
        <f t="shared" si="0"/>
        <v>0.2</v>
      </c>
      <c r="R14" s="53">
        <v>16.3</v>
      </c>
      <c r="S14" s="53">
        <v>128</v>
      </c>
      <c r="T14" s="16">
        <f t="shared" si="1"/>
        <v>30</v>
      </c>
      <c r="U14" s="53">
        <v>105</v>
      </c>
      <c r="V14" s="16">
        <f t="shared" si="2"/>
        <v>3150</v>
      </c>
      <c r="W14" s="53">
        <v>6</v>
      </c>
      <c r="X14" s="53" t="s">
        <v>46</v>
      </c>
      <c r="Y14" s="53" t="s">
        <v>102</v>
      </c>
      <c r="Z14" s="53" t="s">
        <v>55</v>
      </c>
      <c r="AA14" s="53" t="s">
        <v>69</v>
      </c>
      <c r="AB14" s="53" t="s">
        <v>236</v>
      </c>
      <c r="AE14" s="22" t="s">
        <v>76</v>
      </c>
      <c r="AG14" s="179"/>
      <c r="AP14" s="23" t="s">
        <v>74</v>
      </c>
      <c r="AR14" s="23" t="s">
        <v>125</v>
      </c>
      <c r="AV14" s="23" t="s">
        <v>78</v>
      </c>
    </row>
    <row r="15" spans="1:53" x14ac:dyDescent="0.15">
      <c r="A15" s="53" t="s">
        <v>34</v>
      </c>
      <c r="B15" s="53" t="s">
        <v>232</v>
      </c>
      <c r="C15" s="53">
        <v>2019</v>
      </c>
      <c r="D15" s="176" t="s">
        <v>313</v>
      </c>
      <c r="E15" s="53" t="s">
        <v>383</v>
      </c>
      <c r="F15" s="53" t="s">
        <v>384</v>
      </c>
      <c r="G15" s="53" t="s">
        <v>36</v>
      </c>
      <c r="H15" s="53" t="s">
        <v>160</v>
      </c>
      <c r="I15" s="53" t="s">
        <v>159</v>
      </c>
      <c r="J15" s="53" t="s">
        <v>38</v>
      </c>
      <c r="K15" s="53" t="s">
        <v>161</v>
      </c>
      <c r="L15" s="53">
        <v>2</v>
      </c>
      <c r="N15" s="53">
        <v>1</v>
      </c>
      <c r="O15" s="53">
        <v>0.5</v>
      </c>
      <c r="P15" s="53">
        <v>0.55000000000000004</v>
      </c>
      <c r="Q15" s="75">
        <f t="shared" si="0"/>
        <v>0.52500000000000002</v>
      </c>
      <c r="R15" s="53">
        <v>15.7</v>
      </c>
      <c r="S15" s="53">
        <v>132</v>
      </c>
      <c r="T15" s="16">
        <f t="shared" si="1"/>
        <v>30</v>
      </c>
      <c r="U15" s="53">
        <v>105</v>
      </c>
      <c r="V15" s="16">
        <f t="shared" si="2"/>
        <v>3150</v>
      </c>
      <c r="W15" s="53">
        <v>6</v>
      </c>
      <c r="X15" s="53" t="s">
        <v>46</v>
      </c>
      <c r="Y15" s="53" t="s">
        <v>102</v>
      </c>
      <c r="Z15" s="53" t="s">
        <v>55</v>
      </c>
      <c r="AA15" s="53" t="s">
        <v>69</v>
      </c>
      <c r="AB15" s="53" t="s">
        <v>236</v>
      </c>
      <c r="AE15" s="22" t="s">
        <v>79</v>
      </c>
      <c r="AP15" s="23" t="s">
        <v>77</v>
      </c>
      <c r="AR15" s="23" t="s">
        <v>94</v>
      </c>
      <c r="AV15" s="23" t="s">
        <v>107</v>
      </c>
    </row>
    <row r="16" spans="1:53" x14ac:dyDescent="0.15">
      <c r="A16" s="53" t="s">
        <v>34</v>
      </c>
      <c r="B16" s="53" t="s">
        <v>232</v>
      </c>
      <c r="C16" s="53">
        <v>2019</v>
      </c>
      <c r="D16" s="176" t="s">
        <v>313</v>
      </c>
      <c r="E16" s="53" t="s">
        <v>383</v>
      </c>
      <c r="F16" s="53" t="s">
        <v>384</v>
      </c>
      <c r="G16" s="53" t="s">
        <v>36</v>
      </c>
      <c r="H16" s="53" t="s">
        <v>160</v>
      </c>
      <c r="I16" s="53" t="s">
        <v>159</v>
      </c>
      <c r="J16" s="53" t="s">
        <v>38</v>
      </c>
      <c r="K16" s="53" t="s">
        <v>161</v>
      </c>
      <c r="L16" s="53">
        <v>3</v>
      </c>
      <c r="N16" s="53">
        <v>1</v>
      </c>
      <c r="O16" s="53">
        <v>0.6</v>
      </c>
      <c r="P16" s="53">
        <v>0.45</v>
      </c>
      <c r="Q16" s="75">
        <f t="shared" si="0"/>
        <v>0.52500000000000002</v>
      </c>
      <c r="R16" s="53">
        <v>14.4</v>
      </c>
      <c r="S16" s="53">
        <v>134</v>
      </c>
      <c r="T16" s="16">
        <f t="shared" si="1"/>
        <v>30</v>
      </c>
      <c r="U16" s="53">
        <v>105</v>
      </c>
      <c r="V16" s="16">
        <f t="shared" si="2"/>
        <v>3150</v>
      </c>
      <c r="W16" s="53">
        <v>6</v>
      </c>
      <c r="X16" s="53" t="s">
        <v>46</v>
      </c>
      <c r="Y16" s="53" t="s">
        <v>102</v>
      </c>
      <c r="Z16" s="53" t="s">
        <v>55</v>
      </c>
      <c r="AA16" s="53" t="s">
        <v>69</v>
      </c>
      <c r="AB16" s="53" t="s">
        <v>236</v>
      </c>
      <c r="AE16" s="22" t="s">
        <v>82</v>
      </c>
      <c r="AP16" s="23" t="s">
        <v>80</v>
      </c>
      <c r="AR16" s="23" t="s">
        <v>63</v>
      </c>
      <c r="AV16" s="23" t="s">
        <v>84</v>
      </c>
    </row>
    <row r="17" spans="1:48" x14ac:dyDescent="0.15">
      <c r="A17" s="53" t="s">
        <v>34</v>
      </c>
      <c r="B17" s="53" t="s">
        <v>232</v>
      </c>
      <c r="C17" s="53">
        <v>2019</v>
      </c>
      <c r="D17" s="176" t="s">
        <v>313</v>
      </c>
      <c r="E17" s="53" t="s">
        <v>383</v>
      </c>
      <c r="F17" s="53" t="s">
        <v>384</v>
      </c>
      <c r="G17" s="53" t="s">
        <v>36</v>
      </c>
      <c r="H17" s="53" t="s">
        <v>160</v>
      </c>
      <c r="I17" s="53" t="s">
        <v>159</v>
      </c>
      <c r="J17" s="53" t="s">
        <v>38</v>
      </c>
      <c r="K17" s="53" t="s">
        <v>161</v>
      </c>
      <c r="L17" s="53">
        <v>1</v>
      </c>
      <c r="N17" s="53">
        <v>8</v>
      </c>
      <c r="O17" s="53">
        <v>0.45</v>
      </c>
      <c r="P17" s="53">
        <v>0.2</v>
      </c>
      <c r="Q17" s="75">
        <f t="shared" si="0"/>
        <v>0.32500000000000001</v>
      </c>
      <c r="R17" s="53">
        <v>15.2</v>
      </c>
      <c r="S17" s="53">
        <v>100</v>
      </c>
      <c r="T17" s="16">
        <f t="shared" si="1"/>
        <v>33</v>
      </c>
      <c r="U17" s="53">
        <v>645</v>
      </c>
      <c r="V17" s="16">
        <f t="shared" si="2"/>
        <v>2660.625</v>
      </c>
      <c r="W17" s="53">
        <v>6</v>
      </c>
      <c r="X17" s="53" t="s">
        <v>46</v>
      </c>
      <c r="Y17" s="53" t="s">
        <v>102</v>
      </c>
      <c r="Z17" s="53" t="s">
        <v>55</v>
      </c>
      <c r="AA17" s="53" t="s">
        <v>69</v>
      </c>
      <c r="AB17" s="53" t="s">
        <v>236</v>
      </c>
      <c r="AE17" s="22" t="s">
        <v>85</v>
      </c>
      <c r="AP17" s="27" t="s">
        <v>110</v>
      </c>
      <c r="AR17" s="23" t="s">
        <v>96</v>
      </c>
      <c r="AV17" s="23" t="s">
        <v>86</v>
      </c>
    </row>
    <row r="18" spans="1:48" x14ac:dyDescent="0.15">
      <c r="A18" s="53" t="s">
        <v>34</v>
      </c>
      <c r="B18" s="53" t="s">
        <v>232</v>
      </c>
      <c r="C18" s="53">
        <v>2019</v>
      </c>
      <c r="D18" s="176" t="s">
        <v>313</v>
      </c>
      <c r="E18" s="53" t="s">
        <v>383</v>
      </c>
      <c r="F18" s="53" t="s">
        <v>384</v>
      </c>
      <c r="G18" s="53" t="s">
        <v>36</v>
      </c>
      <c r="H18" s="53" t="s">
        <v>160</v>
      </c>
      <c r="I18" s="53" t="s">
        <v>159</v>
      </c>
      <c r="J18" s="53" t="s">
        <v>38</v>
      </c>
      <c r="K18" s="53" t="s">
        <v>161</v>
      </c>
      <c r="L18" s="53">
        <v>2</v>
      </c>
      <c r="N18" s="53">
        <v>8</v>
      </c>
      <c r="O18" s="53">
        <v>0.6</v>
      </c>
      <c r="P18" s="53">
        <v>0.85</v>
      </c>
      <c r="Q18" s="75">
        <f t="shared" si="0"/>
        <v>0.72499999999999998</v>
      </c>
      <c r="R18" s="53">
        <v>14.6</v>
      </c>
      <c r="S18" s="53">
        <v>92</v>
      </c>
      <c r="T18" s="16">
        <f t="shared" si="1"/>
        <v>36</v>
      </c>
      <c r="U18" s="53">
        <v>645</v>
      </c>
      <c r="V18" s="16">
        <f t="shared" si="2"/>
        <v>2902.5</v>
      </c>
      <c r="W18" s="53">
        <v>6</v>
      </c>
      <c r="X18" s="53" t="s">
        <v>46</v>
      </c>
      <c r="Y18" s="53" t="s">
        <v>102</v>
      </c>
      <c r="Z18" s="53" t="s">
        <v>55</v>
      </c>
      <c r="AA18" s="53" t="s">
        <v>69</v>
      </c>
      <c r="AB18" s="53" t="s">
        <v>236</v>
      </c>
      <c r="AE18" s="22" t="s">
        <v>87</v>
      </c>
      <c r="AP18" s="27" t="s">
        <v>111</v>
      </c>
      <c r="AR18" s="23" t="s">
        <v>101</v>
      </c>
      <c r="AV18" s="23" t="s">
        <v>88</v>
      </c>
    </row>
    <row r="19" spans="1:48" x14ac:dyDescent="0.15">
      <c r="A19" s="53" t="s">
        <v>34</v>
      </c>
      <c r="B19" s="53" t="s">
        <v>232</v>
      </c>
      <c r="C19" s="53">
        <v>2019</v>
      </c>
      <c r="D19" s="176" t="s">
        <v>313</v>
      </c>
      <c r="E19" s="53" t="s">
        <v>383</v>
      </c>
      <c r="F19" s="53" t="s">
        <v>384</v>
      </c>
      <c r="G19" s="53" t="s">
        <v>36</v>
      </c>
      <c r="H19" s="53" t="s">
        <v>160</v>
      </c>
      <c r="I19" s="53" t="s">
        <v>159</v>
      </c>
      <c r="J19" s="53" t="s">
        <v>38</v>
      </c>
      <c r="K19" s="53" t="s">
        <v>161</v>
      </c>
      <c r="L19" s="53">
        <v>3</v>
      </c>
      <c r="N19" s="53">
        <v>8</v>
      </c>
      <c r="O19" s="53">
        <v>0.45</v>
      </c>
      <c r="P19" s="53">
        <v>0.55000000000000004</v>
      </c>
      <c r="Q19" s="75">
        <f t="shared" si="0"/>
        <v>0.5</v>
      </c>
      <c r="R19" s="53">
        <v>15</v>
      </c>
      <c r="S19" s="53">
        <v>102</v>
      </c>
      <c r="T19" s="16">
        <f t="shared" si="1"/>
        <v>33</v>
      </c>
      <c r="U19" s="53">
        <v>645</v>
      </c>
      <c r="V19" s="16">
        <f t="shared" si="2"/>
        <v>2660.625</v>
      </c>
      <c r="W19" s="53">
        <v>6</v>
      </c>
      <c r="X19" s="53" t="s">
        <v>46</v>
      </c>
      <c r="Y19" s="53" t="s">
        <v>102</v>
      </c>
      <c r="Z19" s="53" t="s">
        <v>55</v>
      </c>
      <c r="AA19" s="53" t="s">
        <v>69</v>
      </c>
      <c r="AB19" s="53" t="s">
        <v>236</v>
      </c>
      <c r="AE19" s="35" t="s">
        <v>89</v>
      </c>
      <c r="AP19" s="27" t="s">
        <v>112</v>
      </c>
      <c r="AR19" s="23" t="s">
        <v>126</v>
      </c>
      <c r="AV19" s="23" t="s">
        <v>90</v>
      </c>
    </row>
    <row r="20" spans="1:48" x14ac:dyDescent="0.15">
      <c r="A20" s="53" t="s">
        <v>34</v>
      </c>
      <c r="B20" s="53" t="s">
        <v>232</v>
      </c>
      <c r="C20" s="53">
        <v>2019</v>
      </c>
      <c r="D20" s="176" t="s">
        <v>313</v>
      </c>
      <c r="E20" s="53" t="s">
        <v>210</v>
      </c>
      <c r="F20" s="53" t="s">
        <v>387</v>
      </c>
      <c r="G20" s="53" t="s">
        <v>36</v>
      </c>
      <c r="H20" s="53" t="s">
        <v>164</v>
      </c>
      <c r="I20" s="53" t="s">
        <v>159</v>
      </c>
      <c r="J20" s="53" t="s">
        <v>38</v>
      </c>
      <c r="K20" s="53" t="s">
        <v>161</v>
      </c>
      <c r="L20" s="53">
        <v>1</v>
      </c>
      <c r="N20" s="53">
        <v>1</v>
      </c>
      <c r="O20" s="53">
        <v>0.2</v>
      </c>
      <c r="P20" s="53">
        <v>0.2</v>
      </c>
      <c r="Q20" s="75">
        <f t="shared" si="0"/>
        <v>0.2</v>
      </c>
      <c r="R20" s="53">
        <v>17.3</v>
      </c>
      <c r="S20" s="53">
        <v>106</v>
      </c>
      <c r="T20" s="16">
        <f t="shared" si="1"/>
        <v>33</v>
      </c>
      <c r="U20" s="53">
        <v>105</v>
      </c>
      <c r="V20" s="16">
        <f t="shared" si="2"/>
        <v>3465</v>
      </c>
      <c r="W20" s="53">
        <v>2</v>
      </c>
      <c r="X20" s="53" t="s">
        <v>39</v>
      </c>
      <c r="Y20" s="53" t="s">
        <v>88</v>
      </c>
      <c r="Z20" s="53" t="s">
        <v>102</v>
      </c>
      <c r="AA20" s="53" t="s">
        <v>69</v>
      </c>
      <c r="AB20" s="53" t="s">
        <v>236</v>
      </c>
      <c r="AP20" s="27" t="s">
        <v>113</v>
      </c>
      <c r="AR20" s="23" t="s">
        <v>105</v>
      </c>
      <c r="AV20" s="27" t="s">
        <v>135</v>
      </c>
    </row>
    <row r="21" spans="1:48" x14ac:dyDescent="0.15">
      <c r="A21" s="53" t="s">
        <v>34</v>
      </c>
      <c r="B21" s="53" t="s">
        <v>232</v>
      </c>
      <c r="C21" s="53">
        <v>2019</v>
      </c>
      <c r="D21" s="176" t="s">
        <v>313</v>
      </c>
      <c r="E21" s="53" t="s">
        <v>210</v>
      </c>
      <c r="F21" s="53" t="s">
        <v>387</v>
      </c>
      <c r="G21" s="53" t="s">
        <v>36</v>
      </c>
      <c r="H21" s="53" t="s">
        <v>164</v>
      </c>
      <c r="I21" s="53" t="s">
        <v>159</v>
      </c>
      <c r="J21" s="53" t="s">
        <v>38</v>
      </c>
      <c r="K21" s="53" t="s">
        <v>161</v>
      </c>
      <c r="L21" s="53">
        <v>2</v>
      </c>
      <c r="N21" s="53">
        <v>1</v>
      </c>
      <c r="O21" s="53">
        <v>0.2</v>
      </c>
      <c r="P21" s="53">
        <v>0.2</v>
      </c>
      <c r="Q21" s="75">
        <f t="shared" si="0"/>
        <v>0.2</v>
      </c>
      <c r="R21" s="53">
        <v>17.7</v>
      </c>
      <c r="S21" s="53">
        <v>106</v>
      </c>
      <c r="T21" s="16">
        <f t="shared" si="1"/>
        <v>33</v>
      </c>
      <c r="U21" s="53">
        <v>105</v>
      </c>
      <c r="V21" s="16">
        <f t="shared" si="2"/>
        <v>3465</v>
      </c>
      <c r="W21" s="53">
        <v>2</v>
      </c>
      <c r="X21" s="53" t="s">
        <v>39</v>
      </c>
      <c r="Y21" s="53" t="s">
        <v>88</v>
      </c>
      <c r="Z21" s="53" t="s">
        <v>102</v>
      </c>
      <c r="AA21" s="53" t="s">
        <v>69</v>
      </c>
      <c r="AB21" s="53" t="s">
        <v>236</v>
      </c>
      <c r="AP21" s="27" t="s">
        <v>114</v>
      </c>
      <c r="AR21" s="23" t="s">
        <v>68</v>
      </c>
      <c r="AV21" s="27" t="s">
        <v>136</v>
      </c>
    </row>
    <row r="22" spans="1:48" x14ac:dyDescent="0.15">
      <c r="A22" s="53" t="s">
        <v>34</v>
      </c>
      <c r="B22" s="53" t="s">
        <v>232</v>
      </c>
      <c r="C22" s="53">
        <v>2019</v>
      </c>
      <c r="D22" s="176" t="s">
        <v>313</v>
      </c>
      <c r="E22" s="53" t="s">
        <v>210</v>
      </c>
      <c r="F22" s="53" t="s">
        <v>387</v>
      </c>
      <c r="G22" s="53" t="s">
        <v>36</v>
      </c>
      <c r="H22" s="53" t="s">
        <v>164</v>
      </c>
      <c r="I22" s="53" t="s">
        <v>159</v>
      </c>
      <c r="J22" s="53" t="s">
        <v>38</v>
      </c>
      <c r="K22" s="53" t="s">
        <v>161</v>
      </c>
      <c r="L22" s="53">
        <v>3</v>
      </c>
      <c r="N22" s="53">
        <v>1</v>
      </c>
      <c r="O22" s="53">
        <v>0.2</v>
      </c>
      <c r="P22" s="53">
        <v>0.2</v>
      </c>
      <c r="Q22" s="75">
        <f t="shared" si="0"/>
        <v>0.2</v>
      </c>
      <c r="R22" s="53">
        <v>18</v>
      </c>
      <c r="S22" s="53">
        <v>110</v>
      </c>
      <c r="T22" s="16">
        <f t="shared" si="1"/>
        <v>33</v>
      </c>
      <c r="U22" s="53">
        <v>105</v>
      </c>
      <c r="V22" s="16">
        <f t="shared" si="2"/>
        <v>3465</v>
      </c>
      <c r="W22" s="53">
        <v>2</v>
      </c>
      <c r="X22" s="53" t="s">
        <v>39</v>
      </c>
      <c r="Y22" s="53" t="s">
        <v>88</v>
      </c>
      <c r="Z22" s="53" t="s">
        <v>102</v>
      </c>
      <c r="AA22" s="53" t="s">
        <v>69</v>
      </c>
      <c r="AB22" s="53" t="s">
        <v>236</v>
      </c>
      <c r="AP22" s="27" t="s">
        <v>115</v>
      </c>
      <c r="AR22" s="23" t="s">
        <v>83</v>
      </c>
      <c r="AV22" s="27"/>
    </row>
    <row r="23" spans="1:48" x14ac:dyDescent="0.15">
      <c r="A23" s="53" t="s">
        <v>34</v>
      </c>
      <c r="B23" s="53" t="s">
        <v>232</v>
      </c>
      <c r="C23" s="53">
        <v>2019</v>
      </c>
      <c r="D23" s="176" t="s">
        <v>313</v>
      </c>
      <c r="E23" s="53" t="s">
        <v>210</v>
      </c>
      <c r="F23" s="53" t="s">
        <v>387</v>
      </c>
      <c r="G23" s="53" t="s">
        <v>36</v>
      </c>
      <c r="H23" s="53" t="s">
        <v>164</v>
      </c>
      <c r="I23" s="53" t="s">
        <v>159</v>
      </c>
      <c r="J23" s="53" t="s">
        <v>38</v>
      </c>
      <c r="K23" s="53" t="s">
        <v>161</v>
      </c>
      <c r="L23" s="53">
        <v>1</v>
      </c>
      <c r="N23" s="53">
        <v>4</v>
      </c>
      <c r="O23" s="53">
        <v>0.65</v>
      </c>
      <c r="P23" s="53">
        <v>0.7</v>
      </c>
      <c r="Q23" s="75">
        <f t="shared" si="0"/>
        <v>0.67500000000000004</v>
      </c>
      <c r="R23" s="53">
        <v>18</v>
      </c>
      <c r="S23" s="53">
        <v>77</v>
      </c>
      <c r="T23" s="16">
        <f t="shared" si="1"/>
        <v>39</v>
      </c>
      <c r="U23" s="53">
        <v>407</v>
      </c>
      <c r="V23" s="16">
        <f t="shared" si="2"/>
        <v>3968.25</v>
      </c>
      <c r="W23" s="53">
        <v>2</v>
      </c>
      <c r="X23" s="53" t="s">
        <v>39</v>
      </c>
      <c r="Y23" s="53" t="s">
        <v>88</v>
      </c>
      <c r="Z23" s="53" t="s">
        <v>102</v>
      </c>
      <c r="AA23" s="53" t="s">
        <v>69</v>
      </c>
      <c r="AB23" s="53" t="s">
        <v>236</v>
      </c>
      <c r="AP23" s="27" t="s">
        <v>117</v>
      </c>
      <c r="AR23" s="23" t="s">
        <v>153</v>
      </c>
    </row>
    <row r="24" spans="1:48" x14ac:dyDescent="0.15">
      <c r="A24" s="53" t="s">
        <v>34</v>
      </c>
      <c r="B24" s="53" t="s">
        <v>232</v>
      </c>
      <c r="C24" s="53">
        <v>2019</v>
      </c>
      <c r="D24" s="176" t="s">
        <v>313</v>
      </c>
      <c r="E24" s="53" t="s">
        <v>210</v>
      </c>
      <c r="F24" s="53" t="s">
        <v>387</v>
      </c>
      <c r="G24" s="53" t="s">
        <v>36</v>
      </c>
      <c r="H24" s="53" t="s">
        <v>164</v>
      </c>
      <c r="I24" s="53" t="s">
        <v>159</v>
      </c>
      <c r="J24" s="53" t="s">
        <v>38</v>
      </c>
      <c r="K24" s="53" t="s">
        <v>161</v>
      </c>
      <c r="L24" s="53">
        <v>2</v>
      </c>
      <c r="N24" s="53">
        <v>4</v>
      </c>
      <c r="O24" s="53">
        <v>0.55000000000000004</v>
      </c>
      <c r="P24" s="53">
        <v>0.6</v>
      </c>
      <c r="Q24" s="75">
        <f t="shared" si="0"/>
        <v>0.57499999999999996</v>
      </c>
      <c r="R24" s="53">
        <v>13.5</v>
      </c>
      <c r="S24" s="53">
        <v>82</v>
      </c>
      <c r="T24" s="16">
        <f t="shared" si="1"/>
        <v>39</v>
      </c>
      <c r="U24" s="53">
        <v>407</v>
      </c>
      <c r="V24" s="16">
        <f t="shared" si="2"/>
        <v>3968.25</v>
      </c>
      <c r="W24" s="53">
        <v>2</v>
      </c>
      <c r="X24" s="53" t="s">
        <v>39</v>
      </c>
      <c r="Y24" s="53" t="s">
        <v>88</v>
      </c>
      <c r="Z24" s="53" t="s">
        <v>102</v>
      </c>
      <c r="AA24" s="53" t="s">
        <v>69</v>
      </c>
      <c r="AB24" s="53" t="s">
        <v>236</v>
      </c>
      <c r="AP24" s="27" t="s">
        <v>118</v>
      </c>
    </row>
    <row r="25" spans="1:48" x14ac:dyDescent="0.15">
      <c r="A25" s="53" t="s">
        <v>34</v>
      </c>
      <c r="B25" s="53" t="s">
        <v>232</v>
      </c>
      <c r="C25" s="53">
        <v>2019</v>
      </c>
      <c r="D25" s="176" t="s">
        <v>313</v>
      </c>
      <c r="E25" s="53" t="s">
        <v>210</v>
      </c>
      <c r="F25" s="53" t="s">
        <v>387</v>
      </c>
      <c r="G25" s="53" t="s">
        <v>36</v>
      </c>
      <c r="H25" s="53" t="s">
        <v>164</v>
      </c>
      <c r="I25" s="53" t="s">
        <v>159</v>
      </c>
      <c r="J25" s="53" t="s">
        <v>38</v>
      </c>
      <c r="K25" s="53" t="s">
        <v>161</v>
      </c>
      <c r="L25" s="53">
        <v>3</v>
      </c>
      <c r="N25" s="53">
        <v>4</v>
      </c>
      <c r="O25" s="53">
        <v>0.2</v>
      </c>
      <c r="P25" s="53">
        <v>0.2</v>
      </c>
      <c r="Q25" s="75">
        <f t="shared" si="0"/>
        <v>0.2</v>
      </c>
      <c r="R25" s="53">
        <v>18.100000000000001</v>
      </c>
      <c r="S25" s="53">
        <v>70</v>
      </c>
      <c r="T25" s="16">
        <f t="shared" si="1"/>
        <v>50</v>
      </c>
      <c r="U25" s="53">
        <v>407</v>
      </c>
      <c r="V25" s="16">
        <f t="shared" si="2"/>
        <v>5087.5</v>
      </c>
      <c r="W25" s="53">
        <v>2</v>
      </c>
      <c r="X25" s="53" t="s">
        <v>39</v>
      </c>
      <c r="Y25" s="53" t="s">
        <v>88</v>
      </c>
      <c r="Z25" s="53" t="s">
        <v>102</v>
      </c>
      <c r="AA25" s="53" t="s">
        <v>69</v>
      </c>
      <c r="AB25" s="53" t="s">
        <v>236</v>
      </c>
    </row>
    <row r="26" spans="1:48" x14ac:dyDescent="0.15">
      <c r="A26" s="53" t="s">
        <v>34</v>
      </c>
      <c r="B26" s="53" t="s">
        <v>232</v>
      </c>
      <c r="C26" s="53">
        <v>2019</v>
      </c>
      <c r="D26" s="176" t="s">
        <v>313</v>
      </c>
      <c r="E26" s="53" t="s">
        <v>210</v>
      </c>
      <c r="F26" s="53" t="s">
        <v>387</v>
      </c>
      <c r="G26" s="53" t="s">
        <v>36</v>
      </c>
      <c r="H26" s="53" t="s">
        <v>160</v>
      </c>
      <c r="I26" s="53" t="s">
        <v>159</v>
      </c>
      <c r="J26" s="53" t="s">
        <v>38</v>
      </c>
      <c r="K26" s="53" t="s">
        <v>161</v>
      </c>
      <c r="L26" s="53">
        <v>1</v>
      </c>
      <c r="N26" s="53">
        <v>1</v>
      </c>
      <c r="O26" s="53">
        <v>0.2</v>
      </c>
      <c r="P26" s="53">
        <v>0.2</v>
      </c>
      <c r="Q26" s="75">
        <f t="shared" si="0"/>
        <v>0.2</v>
      </c>
      <c r="R26" s="53">
        <v>18.5</v>
      </c>
      <c r="S26" s="53">
        <v>77</v>
      </c>
      <c r="T26" s="16">
        <f t="shared" si="1"/>
        <v>39</v>
      </c>
      <c r="U26" s="53">
        <v>105</v>
      </c>
      <c r="V26" s="16">
        <f t="shared" si="2"/>
        <v>4095</v>
      </c>
      <c r="W26" s="53">
        <v>3</v>
      </c>
      <c r="X26" s="53" t="s">
        <v>39</v>
      </c>
      <c r="Y26" s="53" t="s">
        <v>88</v>
      </c>
      <c r="Z26" s="53" t="s">
        <v>102</v>
      </c>
      <c r="AA26" s="53" t="s">
        <v>69</v>
      </c>
      <c r="AB26" s="53" t="s">
        <v>236</v>
      </c>
    </row>
    <row r="27" spans="1:48" x14ac:dyDescent="0.15">
      <c r="A27" s="53" t="s">
        <v>34</v>
      </c>
      <c r="B27" s="53" t="s">
        <v>232</v>
      </c>
      <c r="C27" s="53">
        <v>2019</v>
      </c>
      <c r="D27" s="176" t="s">
        <v>313</v>
      </c>
      <c r="E27" s="53" t="s">
        <v>210</v>
      </c>
      <c r="F27" s="53" t="s">
        <v>387</v>
      </c>
      <c r="G27" s="53" t="s">
        <v>36</v>
      </c>
      <c r="H27" s="53" t="s">
        <v>160</v>
      </c>
      <c r="I27" s="53" t="s">
        <v>159</v>
      </c>
      <c r="J27" s="53" t="s">
        <v>38</v>
      </c>
      <c r="K27" s="53" t="s">
        <v>161</v>
      </c>
      <c r="L27" s="53">
        <v>2</v>
      </c>
      <c r="N27" s="53">
        <v>1</v>
      </c>
      <c r="O27" s="53">
        <v>0.55000000000000004</v>
      </c>
      <c r="P27" s="53">
        <v>0.55000000000000004</v>
      </c>
      <c r="Q27" s="75">
        <f t="shared" si="0"/>
        <v>0.55000000000000004</v>
      </c>
      <c r="R27" s="53">
        <v>17.8</v>
      </c>
      <c r="S27" s="53">
        <v>82</v>
      </c>
      <c r="T27" s="16">
        <f t="shared" si="1"/>
        <v>39</v>
      </c>
      <c r="U27" s="53">
        <v>105</v>
      </c>
      <c r="V27" s="16">
        <f t="shared" si="2"/>
        <v>4095</v>
      </c>
      <c r="W27" s="53">
        <v>3</v>
      </c>
      <c r="X27" s="53" t="s">
        <v>39</v>
      </c>
      <c r="Y27" s="53" t="s">
        <v>88</v>
      </c>
      <c r="Z27" s="53" t="s">
        <v>102</v>
      </c>
      <c r="AA27" s="53" t="s">
        <v>69</v>
      </c>
      <c r="AB27" s="53" t="s">
        <v>236</v>
      </c>
    </row>
    <row r="28" spans="1:48" x14ac:dyDescent="0.15">
      <c r="A28" s="53" t="s">
        <v>34</v>
      </c>
      <c r="B28" s="53" t="s">
        <v>232</v>
      </c>
      <c r="C28" s="53">
        <v>2019</v>
      </c>
      <c r="D28" s="176" t="s">
        <v>313</v>
      </c>
      <c r="E28" s="53" t="s">
        <v>210</v>
      </c>
      <c r="F28" s="53" t="s">
        <v>387</v>
      </c>
      <c r="G28" s="53" t="s">
        <v>36</v>
      </c>
      <c r="H28" s="53" t="s">
        <v>160</v>
      </c>
      <c r="I28" s="53" t="s">
        <v>159</v>
      </c>
      <c r="J28" s="53" t="s">
        <v>38</v>
      </c>
      <c r="K28" s="53" t="s">
        <v>161</v>
      </c>
      <c r="L28" s="53">
        <v>3</v>
      </c>
      <c r="N28" s="53">
        <v>1</v>
      </c>
      <c r="O28" s="53">
        <v>0.45</v>
      </c>
      <c r="P28" s="53">
        <v>0.45</v>
      </c>
      <c r="Q28" s="75">
        <f>IF(OR(O28="",P28=""),"",AVERAGE(O28,P28))</f>
        <v>0.45</v>
      </c>
      <c r="R28" s="53">
        <v>17.2</v>
      </c>
      <c r="S28" s="53">
        <v>70</v>
      </c>
      <c r="T28" s="16">
        <f t="shared" si="1"/>
        <v>50</v>
      </c>
      <c r="U28" s="53">
        <v>105</v>
      </c>
      <c r="V28" s="16">
        <f t="shared" si="2"/>
        <v>5250</v>
      </c>
      <c r="W28" s="53">
        <v>3</v>
      </c>
      <c r="X28" s="53" t="s">
        <v>39</v>
      </c>
      <c r="Y28" s="53" t="s">
        <v>88</v>
      </c>
      <c r="Z28" s="53" t="s">
        <v>102</v>
      </c>
      <c r="AA28" s="53" t="s">
        <v>69</v>
      </c>
      <c r="AB28" s="53" t="s">
        <v>236</v>
      </c>
    </row>
    <row r="29" spans="1:48" x14ac:dyDescent="0.15">
      <c r="A29" s="53" t="s">
        <v>34</v>
      </c>
      <c r="B29" s="53" t="s">
        <v>232</v>
      </c>
      <c r="C29" s="53">
        <v>2019</v>
      </c>
      <c r="D29" s="176" t="s">
        <v>313</v>
      </c>
      <c r="E29" s="53" t="s">
        <v>210</v>
      </c>
      <c r="F29" s="53" t="s">
        <v>387</v>
      </c>
      <c r="G29" s="53" t="s">
        <v>36</v>
      </c>
      <c r="H29" s="53" t="s">
        <v>160</v>
      </c>
      <c r="I29" s="53" t="s">
        <v>159</v>
      </c>
      <c r="J29" s="53" t="s">
        <v>38</v>
      </c>
      <c r="K29" s="53" t="s">
        <v>161</v>
      </c>
      <c r="L29" s="53">
        <v>1</v>
      </c>
      <c r="N29" s="53">
        <v>4</v>
      </c>
      <c r="O29" s="53">
        <v>0.2</v>
      </c>
      <c r="P29" s="53">
        <v>0.2</v>
      </c>
      <c r="Q29" s="75">
        <f t="shared" si="0"/>
        <v>0.2</v>
      </c>
      <c r="R29" s="53">
        <v>20.7</v>
      </c>
      <c r="S29" s="53">
        <v>94</v>
      </c>
      <c r="T29" s="16">
        <f t="shared" si="1"/>
        <v>36</v>
      </c>
      <c r="U29" s="53">
        <v>407</v>
      </c>
      <c r="V29" s="16">
        <f t="shared" si="2"/>
        <v>3663</v>
      </c>
      <c r="W29" s="53">
        <v>3</v>
      </c>
      <c r="X29" s="53" t="s">
        <v>39</v>
      </c>
      <c r="Y29" s="53" t="s">
        <v>88</v>
      </c>
      <c r="Z29" s="53" t="s">
        <v>102</v>
      </c>
      <c r="AA29" s="53" t="s">
        <v>69</v>
      </c>
      <c r="AB29" s="53" t="s">
        <v>236</v>
      </c>
    </row>
    <row r="30" spans="1:48" x14ac:dyDescent="0.15">
      <c r="A30" s="53" t="s">
        <v>34</v>
      </c>
      <c r="B30" s="53" t="s">
        <v>232</v>
      </c>
      <c r="C30" s="53">
        <v>2019</v>
      </c>
      <c r="D30" s="176" t="s">
        <v>313</v>
      </c>
      <c r="E30" s="53" t="s">
        <v>210</v>
      </c>
      <c r="F30" s="53" t="s">
        <v>387</v>
      </c>
      <c r="G30" s="53" t="s">
        <v>36</v>
      </c>
      <c r="H30" s="53" t="s">
        <v>160</v>
      </c>
      <c r="I30" s="53" t="s">
        <v>159</v>
      </c>
      <c r="J30" s="53" t="s">
        <v>38</v>
      </c>
      <c r="K30" s="53" t="s">
        <v>161</v>
      </c>
      <c r="L30" s="53">
        <v>2</v>
      </c>
      <c r="N30" s="53">
        <v>4</v>
      </c>
      <c r="O30" s="53">
        <v>0.55000000000000004</v>
      </c>
      <c r="P30" s="53">
        <v>0.2</v>
      </c>
      <c r="Q30" s="75">
        <f t="shared" si="0"/>
        <v>0.375</v>
      </c>
      <c r="R30" s="53">
        <v>20.8</v>
      </c>
      <c r="S30" s="53">
        <v>95</v>
      </c>
      <c r="T30" s="16">
        <f t="shared" si="1"/>
        <v>36</v>
      </c>
      <c r="U30" s="53">
        <v>407</v>
      </c>
      <c r="V30" s="16">
        <f t="shared" si="2"/>
        <v>3663</v>
      </c>
      <c r="W30" s="53">
        <v>3</v>
      </c>
      <c r="X30" s="53" t="s">
        <v>39</v>
      </c>
      <c r="Y30" s="53" t="s">
        <v>88</v>
      </c>
      <c r="Z30" s="53" t="s">
        <v>102</v>
      </c>
      <c r="AA30" s="53" t="s">
        <v>69</v>
      </c>
      <c r="AB30" s="53" t="s">
        <v>236</v>
      </c>
    </row>
    <row r="31" spans="1:48" x14ac:dyDescent="0.15">
      <c r="A31" s="53" t="s">
        <v>34</v>
      </c>
      <c r="B31" s="53" t="s">
        <v>232</v>
      </c>
      <c r="C31" s="53">
        <v>2019</v>
      </c>
      <c r="D31" s="176" t="s">
        <v>313</v>
      </c>
      <c r="E31" s="53" t="s">
        <v>210</v>
      </c>
      <c r="F31" s="53" t="s">
        <v>387</v>
      </c>
      <c r="G31" s="53" t="s">
        <v>36</v>
      </c>
      <c r="H31" s="53" t="s">
        <v>160</v>
      </c>
      <c r="I31" s="53" t="s">
        <v>159</v>
      </c>
      <c r="J31" s="53" t="s">
        <v>38</v>
      </c>
      <c r="K31" s="53" t="s">
        <v>161</v>
      </c>
      <c r="L31" s="53">
        <v>3</v>
      </c>
      <c r="N31" s="53">
        <v>4</v>
      </c>
      <c r="O31" s="53">
        <v>0.5</v>
      </c>
      <c r="P31" s="53">
        <v>0.2</v>
      </c>
      <c r="Q31" s="75">
        <f t="shared" si="0"/>
        <v>0.35</v>
      </c>
      <c r="R31" s="53">
        <v>20.7</v>
      </c>
      <c r="S31" s="53">
        <v>102</v>
      </c>
      <c r="T31" s="16">
        <f t="shared" si="1"/>
        <v>33</v>
      </c>
      <c r="U31" s="53">
        <v>407</v>
      </c>
      <c r="V31" s="16">
        <f t="shared" si="2"/>
        <v>3357.75</v>
      </c>
      <c r="W31" s="53">
        <v>3</v>
      </c>
      <c r="X31" s="53" t="s">
        <v>39</v>
      </c>
      <c r="Y31" s="53" t="s">
        <v>88</v>
      </c>
      <c r="Z31" s="53" t="s">
        <v>102</v>
      </c>
      <c r="AA31" s="53" t="s">
        <v>69</v>
      </c>
      <c r="AB31" s="53" t="s">
        <v>236</v>
      </c>
    </row>
    <row r="32" spans="1:48" x14ac:dyDescent="0.15">
      <c r="A32" s="53" t="s">
        <v>34</v>
      </c>
      <c r="B32" s="53" t="s">
        <v>232</v>
      </c>
      <c r="C32" s="53">
        <v>2019</v>
      </c>
      <c r="D32" s="176" t="s">
        <v>316</v>
      </c>
      <c r="E32" s="53" t="s">
        <v>376</v>
      </c>
      <c r="F32" s="53" t="s">
        <v>377</v>
      </c>
      <c r="G32" s="53" t="s">
        <v>36</v>
      </c>
      <c r="H32" s="53" t="s">
        <v>164</v>
      </c>
      <c r="I32" s="53" t="s">
        <v>159</v>
      </c>
      <c r="J32" s="53" t="s">
        <v>38</v>
      </c>
      <c r="K32" s="53" t="s">
        <v>161</v>
      </c>
      <c r="L32" s="53">
        <v>1</v>
      </c>
      <c r="N32" s="53">
        <v>1</v>
      </c>
      <c r="O32" s="53">
        <v>0.5</v>
      </c>
      <c r="P32" s="53">
        <v>0.55000000000000004</v>
      </c>
      <c r="Q32" s="75">
        <f t="shared" si="0"/>
        <v>0.52500000000000002</v>
      </c>
      <c r="R32" s="53">
        <v>15.8</v>
      </c>
      <c r="S32" s="53">
        <v>136</v>
      </c>
      <c r="T32" s="16">
        <f t="shared" si="1"/>
        <v>30</v>
      </c>
      <c r="U32" s="53">
        <v>108</v>
      </c>
      <c r="V32" s="16">
        <f t="shared" si="2"/>
        <v>3240</v>
      </c>
      <c r="W32" s="53">
        <v>4</v>
      </c>
      <c r="X32" s="53" t="s">
        <v>46</v>
      </c>
      <c r="Y32" s="53" t="s">
        <v>88</v>
      </c>
      <c r="Z32" s="53" t="s">
        <v>78</v>
      </c>
      <c r="AA32" s="53" t="s">
        <v>55</v>
      </c>
      <c r="AB32" s="53" t="s">
        <v>236</v>
      </c>
    </row>
    <row r="33" spans="1:28" x14ac:dyDescent="0.15">
      <c r="A33" s="53" t="s">
        <v>34</v>
      </c>
      <c r="B33" s="53" t="s">
        <v>232</v>
      </c>
      <c r="C33" s="53">
        <v>2019</v>
      </c>
      <c r="D33" s="176" t="s">
        <v>316</v>
      </c>
      <c r="E33" s="53" t="s">
        <v>376</v>
      </c>
      <c r="F33" s="53" t="s">
        <v>377</v>
      </c>
      <c r="G33" s="53" t="s">
        <v>36</v>
      </c>
      <c r="H33" s="53" t="s">
        <v>164</v>
      </c>
      <c r="I33" s="53" t="s">
        <v>159</v>
      </c>
      <c r="J33" s="53" t="s">
        <v>38</v>
      </c>
      <c r="K33" s="53" t="s">
        <v>161</v>
      </c>
      <c r="L33" s="53">
        <v>2</v>
      </c>
      <c r="N33" s="53">
        <v>1</v>
      </c>
      <c r="O33" s="53">
        <v>0.55000000000000004</v>
      </c>
      <c r="P33" s="53">
        <v>0.6</v>
      </c>
      <c r="Q33" s="75">
        <f t="shared" si="0"/>
        <v>0.57499999999999996</v>
      </c>
      <c r="R33" s="53">
        <v>18.7</v>
      </c>
      <c r="S33" s="53">
        <v>144</v>
      </c>
      <c r="T33" s="16">
        <f t="shared" si="1"/>
        <v>30</v>
      </c>
      <c r="U33" s="53">
        <v>108</v>
      </c>
      <c r="V33" s="16">
        <f t="shared" si="2"/>
        <v>3240</v>
      </c>
      <c r="W33" s="53">
        <v>4</v>
      </c>
      <c r="X33" s="53" t="s">
        <v>46</v>
      </c>
      <c r="Y33" s="53" t="s">
        <v>88</v>
      </c>
      <c r="Z33" s="53" t="s">
        <v>78</v>
      </c>
      <c r="AA33" s="53" t="s">
        <v>55</v>
      </c>
      <c r="AB33" s="53" t="s">
        <v>236</v>
      </c>
    </row>
    <row r="34" spans="1:28" x14ac:dyDescent="0.15">
      <c r="A34" s="53" t="s">
        <v>34</v>
      </c>
      <c r="B34" s="53" t="s">
        <v>232</v>
      </c>
      <c r="C34" s="53">
        <v>2019</v>
      </c>
      <c r="D34" s="176" t="s">
        <v>316</v>
      </c>
      <c r="E34" s="53" t="s">
        <v>376</v>
      </c>
      <c r="F34" s="53" t="s">
        <v>377</v>
      </c>
      <c r="G34" s="53" t="s">
        <v>36</v>
      </c>
      <c r="H34" s="53" t="s">
        <v>164</v>
      </c>
      <c r="I34" s="53" t="s">
        <v>159</v>
      </c>
      <c r="J34" s="53" t="s">
        <v>38</v>
      </c>
      <c r="K34" s="53" t="s">
        <v>161</v>
      </c>
      <c r="L34" s="53">
        <v>3</v>
      </c>
      <c r="N34" s="53">
        <v>1</v>
      </c>
      <c r="O34" s="53">
        <v>0.45</v>
      </c>
      <c r="P34" s="53">
        <v>0.55000000000000004</v>
      </c>
      <c r="Q34" s="75">
        <f>IF(OR(O34="",P34=""),"",AVERAGE(O34,P34))</f>
        <v>0.5</v>
      </c>
      <c r="R34" s="53">
        <v>17.7</v>
      </c>
      <c r="S34" s="53">
        <v>130</v>
      </c>
      <c r="T34" s="16">
        <f t="shared" si="1"/>
        <v>30</v>
      </c>
      <c r="U34" s="53">
        <v>108</v>
      </c>
      <c r="V34" s="16">
        <f t="shared" si="2"/>
        <v>3240</v>
      </c>
      <c r="W34" s="53">
        <v>4</v>
      </c>
      <c r="X34" s="53" t="s">
        <v>46</v>
      </c>
      <c r="Y34" s="53" t="s">
        <v>88</v>
      </c>
      <c r="Z34" s="53" t="s">
        <v>78</v>
      </c>
      <c r="AA34" s="53" t="s">
        <v>55</v>
      </c>
      <c r="AB34" s="53" t="s">
        <v>236</v>
      </c>
    </row>
    <row r="35" spans="1:28" x14ac:dyDescent="0.15">
      <c r="A35" s="53" t="s">
        <v>34</v>
      </c>
      <c r="B35" s="53" t="s">
        <v>232</v>
      </c>
      <c r="C35" s="53">
        <v>2019</v>
      </c>
      <c r="D35" s="176" t="s">
        <v>316</v>
      </c>
      <c r="E35" s="53" t="s">
        <v>376</v>
      </c>
      <c r="F35" s="53" t="s">
        <v>377</v>
      </c>
      <c r="G35" s="53" t="s">
        <v>36</v>
      </c>
      <c r="H35" s="53" t="s">
        <v>160</v>
      </c>
      <c r="I35" s="53" t="s">
        <v>159</v>
      </c>
      <c r="J35" s="53" t="s">
        <v>38</v>
      </c>
      <c r="K35" s="53" t="s">
        <v>161</v>
      </c>
      <c r="L35" s="53">
        <v>1</v>
      </c>
      <c r="N35" s="53">
        <v>1</v>
      </c>
      <c r="O35" s="53">
        <v>0.45</v>
      </c>
      <c r="P35" s="53">
        <v>0.2</v>
      </c>
      <c r="Q35" s="75">
        <f t="shared" ref="Q35:Q36" si="3">IF(OR(O35="",P35=""),"",AVERAGE(O35,P35))</f>
        <v>0.32500000000000001</v>
      </c>
      <c r="R35" s="53">
        <v>19.5</v>
      </c>
      <c r="S35" s="53">
        <v>148</v>
      </c>
      <c r="T35" s="16">
        <f t="shared" si="1"/>
        <v>30</v>
      </c>
      <c r="U35" s="53">
        <v>138</v>
      </c>
      <c r="V35" s="16">
        <f t="shared" si="2"/>
        <v>4140</v>
      </c>
      <c r="W35" s="53">
        <v>4</v>
      </c>
      <c r="X35" s="53" t="s">
        <v>39</v>
      </c>
      <c r="Y35" s="53" t="s">
        <v>88</v>
      </c>
      <c r="Z35" s="53" t="s">
        <v>78</v>
      </c>
      <c r="AA35" s="53" t="s">
        <v>55</v>
      </c>
      <c r="AB35" s="53" t="s">
        <v>236</v>
      </c>
    </row>
    <row r="36" spans="1:28" x14ac:dyDescent="0.15">
      <c r="A36" s="53" t="s">
        <v>34</v>
      </c>
      <c r="B36" s="53" t="s">
        <v>232</v>
      </c>
      <c r="C36" s="53">
        <v>2019</v>
      </c>
      <c r="D36" s="176" t="s">
        <v>316</v>
      </c>
      <c r="E36" s="53" t="s">
        <v>376</v>
      </c>
      <c r="F36" s="53" t="s">
        <v>377</v>
      </c>
      <c r="G36" s="53" t="s">
        <v>36</v>
      </c>
      <c r="H36" s="53" t="s">
        <v>160</v>
      </c>
      <c r="I36" s="53" t="s">
        <v>159</v>
      </c>
      <c r="J36" s="53" t="s">
        <v>38</v>
      </c>
      <c r="K36" s="53" t="s">
        <v>161</v>
      </c>
      <c r="L36" s="53">
        <v>2</v>
      </c>
      <c r="N36" s="53">
        <v>1</v>
      </c>
      <c r="O36" s="53">
        <v>0.2</v>
      </c>
      <c r="P36" s="53">
        <v>0.55000000000000004</v>
      </c>
      <c r="Q36" s="75">
        <f t="shared" si="3"/>
        <v>0.375</v>
      </c>
      <c r="R36" s="53">
        <v>20.8</v>
      </c>
      <c r="S36" s="53">
        <v>146</v>
      </c>
      <c r="T36" s="16">
        <f t="shared" si="1"/>
        <v>30</v>
      </c>
      <c r="U36" s="53">
        <v>138</v>
      </c>
      <c r="V36" s="16">
        <f t="shared" si="2"/>
        <v>4140</v>
      </c>
      <c r="W36" s="53">
        <v>4</v>
      </c>
      <c r="X36" s="53" t="s">
        <v>39</v>
      </c>
      <c r="Y36" s="53" t="s">
        <v>88</v>
      </c>
      <c r="Z36" s="53" t="s">
        <v>78</v>
      </c>
      <c r="AA36" s="53" t="s">
        <v>55</v>
      </c>
      <c r="AB36" s="53" t="s">
        <v>236</v>
      </c>
    </row>
    <row r="37" spans="1:28" x14ac:dyDescent="0.15">
      <c r="A37" s="53" t="s">
        <v>34</v>
      </c>
      <c r="B37" s="53" t="s">
        <v>232</v>
      </c>
      <c r="C37" s="53">
        <v>2019</v>
      </c>
      <c r="D37" s="176" t="s">
        <v>316</v>
      </c>
      <c r="E37" s="53" t="s">
        <v>376</v>
      </c>
      <c r="F37" s="53" t="s">
        <v>377</v>
      </c>
      <c r="G37" s="53" t="s">
        <v>36</v>
      </c>
      <c r="H37" s="53" t="s">
        <v>160</v>
      </c>
      <c r="I37" s="53" t="s">
        <v>159</v>
      </c>
      <c r="J37" s="53" t="s">
        <v>38</v>
      </c>
      <c r="K37" s="53" t="s">
        <v>161</v>
      </c>
      <c r="L37" s="53">
        <v>3</v>
      </c>
      <c r="N37" s="53">
        <v>1</v>
      </c>
      <c r="O37" s="53">
        <v>0.2</v>
      </c>
      <c r="P37" s="53">
        <v>0.2</v>
      </c>
      <c r="Q37" s="75">
        <f>IF(OR(O37="",P37=""),"",AVERAGE(O37,P37))</f>
        <v>0.2</v>
      </c>
      <c r="R37" s="53">
        <v>19.399999999999999</v>
      </c>
      <c r="S37" s="53">
        <v>140</v>
      </c>
      <c r="T37" s="16">
        <f t="shared" si="1"/>
        <v>30</v>
      </c>
      <c r="U37" s="53">
        <v>138</v>
      </c>
      <c r="V37" s="16">
        <f t="shared" si="2"/>
        <v>4140</v>
      </c>
      <c r="W37" s="53">
        <v>4</v>
      </c>
      <c r="X37" s="53" t="s">
        <v>39</v>
      </c>
      <c r="Y37" s="53" t="s">
        <v>88</v>
      </c>
      <c r="Z37" s="53" t="s">
        <v>78</v>
      </c>
      <c r="AA37" s="53" t="s">
        <v>55</v>
      </c>
      <c r="AB37" s="53" t="s">
        <v>236</v>
      </c>
    </row>
    <row r="38" spans="1:28" x14ac:dyDescent="0.15">
      <c r="A38" s="53" t="s">
        <v>34</v>
      </c>
      <c r="B38" s="53" t="s">
        <v>232</v>
      </c>
      <c r="C38" s="53">
        <v>2019</v>
      </c>
      <c r="D38" s="176" t="s">
        <v>316</v>
      </c>
      <c r="E38" s="53" t="s">
        <v>385</v>
      </c>
      <c r="F38" s="53" t="s">
        <v>386</v>
      </c>
      <c r="G38" s="53" t="s">
        <v>36</v>
      </c>
      <c r="H38" s="53" t="s">
        <v>164</v>
      </c>
      <c r="I38" s="53" t="s">
        <v>159</v>
      </c>
      <c r="J38" s="53" t="s">
        <v>38</v>
      </c>
      <c r="K38" s="53" t="s">
        <v>161</v>
      </c>
      <c r="L38" s="53">
        <v>1</v>
      </c>
      <c r="N38" s="53">
        <v>1</v>
      </c>
      <c r="O38" s="53">
        <v>0.6</v>
      </c>
      <c r="P38" s="53">
        <v>0.6</v>
      </c>
      <c r="Q38" s="75">
        <f t="shared" ref="Q38:Q39" si="4">IF(OR(O38="",P38=""),"",AVERAGE(O38,P38))</f>
        <v>0.6</v>
      </c>
      <c r="R38" s="53">
        <v>17.7</v>
      </c>
      <c r="S38" s="53">
        <v>120</v>
      </c>
      <c r="T38" s="16">
        <f t="shared" si="1"/>
        <v>30</v>
      </c>
      <c r="U38" s="53">
        <v>95</v>
      </c>
      <c r="V38" s="16">
        <f t="shared" si="2"/>
        <v>2850</v>
      </c>
      <c r="W38" s="53">
        <v>3</v>
      </c>
      <c r="X38" s="53" t="s">
        <v>46</v>
      </c>
      <c r="Y38" s="53" t="s">
        <v>88</v>
      </c>
      <c r="Z38" s="53" t="s">
        <v>78</v>
      </c>
      <c r="AA38" s="53" t="s">
        <v>97</v>
      </c>
      <c r="AB38" s="53" t="s">
        <v>236</v>
      </c>
    </row>
    <row r="39" spans="1:28" x14ac:dyDescent="0.15">
      <c r="A39" s="53" t="s">
        <v>34</v>
      </c>
      <c r="B39" s="53" t="s">
        <v>232</v>
      </c>
      <c r="C39" s="53">
        <v>2019</v>
      </c>
      <c r="D39" s="176" t="s">
        <v>316</v>
      </c>
      <c r="E39" s="53" t="s">
        <v>385</v>
      </c>
      <c r="F39" s="53" t="s">
        <v>386</v>
      </c>
      <c r="G39" s="53" t="s">
        <v>36</v>
      </c>
      <c r="H39" s="53" t="s">
        <v>164</v>
      </c>
      <c r="I39" s="53" t="s">
        <v>159</v>
      </c>
      <c r="J39" s="53" t="s">
        <v>38</v>
      </c>
      <c r="K39" s="53" t="s">
        <v>161</v>
      </c>
      <c r="L39" s="53">
        <v>2</v>
      </c>
      <c r="N39" s="53">
        <v>1</v>
      </c>
      <c r="O39" s="53">
        <v>0.9</v>
      </c>
      <c r="P39" s="53">
        <v>0.8</v>
      </c>
      <c r="Q39" s="75">
        <f t="shared" si="4"/>
        <v>0.85000000000000009</v>
      </c>
      <c r="R39" s="53">
        <v>18.5</v>
      </c>
      <c r="S39" s="53">
        <v>118</v>
      </c>
      <c r="T39" s="16">
        <f t="shared" si="1"/>
        <v>30</v>
      </c>
      <c r="U39" s="53">
        <v>95</v>
      </c>
      <c r="V39" s="16">
        <f t="shared" si="2"/>
        <v>2850</v>
      </c>
      <c r="W39" s="53">
        <v>3</v>
      </c>
      <c r="X39" s="53" t="s">
        <v>46</v>
      </c>
      <c r="Y39" s="53" t="s">
        <v>88</v>
      </c>
      <c r="Z39" s="53" t="s">
        <v>78</v>
      </c>
      <c r="AA39" s="53" t="s">
        <v>97</v>
      </c>
      <c r="AB39" s="53" t="s">
        <v>236</v>
      </c>
    </row>
    <row r="40" spans="1:28" x14ac:dyDescent="0.15">
      <c r="A40" s="53" t="s">
        <v>34</v>
      </c>
      <c r="B40" s="53" t="s">
        <v>232</v>
      </c>
      <c r="C40" s="53">
        <v>2019</v>
      </c>
      <c r="D40" s="176" t="s">
        <v>316</v>
      </c>
      <c r="E40" s="53" t="s">
        <v>385</v>
      </c>
      <c r="F40" s="53" t="s">
        <v>386</v>
      </c>
      <c r="G40" s="53" t="s">
        <v>36</v>
      </c>
      <c r="H40" s="53" t="s">
        <v>164</v>
      </c>
      <c r="I40" s="53" t="s">
        <v>159</v>
      </c>
      <c r="J40" s="53" t="s">
        <v>38</v>
      </c>
      <c r="K40" s="53" t="s">
        <v>161</v>
      </c>
      <c r="L40" s="53">
        <v>3</v>
      </c>
      <c r="N40" s="53">
        <v>1</v>
      </c>
      <c r="O40" s="53">
        <v>0.8</v>
      </c>
      <c r="P40" s="53">
        <v>1.2</v>
      </c>
      <c r="Q40" s="75">
        <f>IF(OR(O40="",P40=""),"",AVERAGE(O40,P40))</f>
        <v>1</v>
      </c>
      <c r="R40" s="53">
        <v>18.100000000000001</v>
      </c>
      <c r="S40" s="53">
        <v>118</v>
      </c>
      <c r="T40" s="16">
        <f t="shared" si="1"/>
        <v>30</v>
      </c>
      <c r="U40" s="53">
        <v>95</v>
      </c>
      <c r="V40" s="16">
        <f t="shared" si="2"/>
        <v>2850</v>
      </c>
      <c r="W40" s="53">
        <v>3</v>
      </c>
      <c r="X40" s="53" t="s">
        <v>46</v>
      </c>
      <c r="Y40" s="53" t="s">
        <v>88</v>
      </c>
      <c r="Z40" s="53" t="s">
        <v>78</v>
      </c>
      <c r="AA40" s="53" t="s">
        <v>97</v>
      </c>
      <c r="AB40" s="53" t="s">
        <v>236</v>
      </c>
    </row>
    <row r="41" spans="1:28" x14ac:dyDescent="0.15">
      <c r="A41" s="53" t="s">
        <v>34</v>
      </c>
      <c r="B41" s="53" t="s">
        <v>232</v>
      </c>
      <c r="C41" s="53">
        <v>2019</v>
      </c>
      <c r="D41" s="176" t="s">
        <v>316</v>
      </c>
      <c r="E41" s="53" t="s">
        <v>385</v>
      </c>
      <c r="F41" s="53" t="s">
        <v>386</v>
      </c>
      <c r="G41" s="53" t="s">
        <v>36</v>
      </c>
      <c r="H41" s="53" t="s">
        <v>164</v>
      </c>
      <c r="I41" s="53" t="s">
        <v>159</v>
      </c>
      <c r="J41" s="53" t="s">
        <v>38</v>
      </c>
      <c r="K41" s="53" t="s">
        <v>161</v>
      </c>
      <c r="L41" s="53">
        <v>1</v>
      </c>
      <c r="N41" s="53">
        <v>4</v>
      </c>
      <c r="O41" s="53">
        <v>0.55000000000000004</v>
      </c>
      <c r="P41" s="53">
        <v>0.55000000000000004</v>
      </c>
      <c r="Q41" s="75">
        <f t="shared" si="0"/>
        <v>0.55000000000000004</v>
      </c>
      <c r="R41" s="53">
        <v>17.8</v>
      </c>
      <c r="S41" s="53">
        <v>91</v>
      </c>
      <c r="T41" s="16">
        <f t="shared" si="1"/>
        <v>36</v>
      </c>
      <c r="U41" s="53">
        <v>429</v>
      </c>
      <c r="V41" s="16">
        <f t="shared" si="2"/>
        <v>3861</v>
      </c>
      <c r="W41" s="53">
        <v>3</v>
      </c>
      <c r="X41" s="53" t="s">
        <v>46</v>
      </c>
      <c r="Y41" s="53" t="s">
        <v>88</v>
      </c>
      <c r="Z41" s="53" t="s">
        <v>78</v>
      </c>
      <c r="AA41" s="53" t="s">
        <v>97</v>
      </c>
      <c r="AB41" s="53" t="s">
        <v>236</v>
      </c>
    </row>
    <row r="42" spans="1:28" x14ac:dyDescent="0.15">
      <c r="A42" s="53" t="s">
        <v>34</v>
      </c>
      <c r="B42" s="53" t="s">
        <v>232</v>
      </c>
      <c r="C42" s="53">
        <v>2019</v>
      </c>
      <c r="D42" s="176" t="s">
        <v>316</v>
      </c>
      <c r="E42" s="53" t="s">
        <v>385</v>
      </c>
      <c r="F42" s="53" t="s">
        <v>386</v>
      </c>
      <c r="G42" s="53" t="s">
        <v>36</v>
      </c>
      <c r="H42" s="53" t="s">
        <v>164</v>
      </c>
      <c r="I42" s="53" t="s">
        <v>159</v>
      </c>
      <c r="J42" s="53" t="s">
        <v>38</v>
      </c>
      <c r="K42" s="53" t="s">
        <v>161</v>
      </c>
      <c r="L42" s="53">
        <v>2</v>
      </c>
      <c r="N42" s="53">
        <v>4</v>
      </c>
      <c r="O42" s="53">
        <v>0.7</v>
      </c>
      <c r="P42" s="53">
        <v>0.75</v>
      </c>
      <c r="Q42" s="75">
        <f t="shared" si="0"/>
        <v>0.72499999999999998</v>
      </c>
      <c r="R42" s="53">
        <v>17.399999999999999</v>
      </c>
      <c r="S42" s="53">
        <v>83</v>
      </c>
      <c r="T42" s="16">
        <f t="shared" si="1"/>
        <v>39</v>
      </c>
      <c r="U42" s="53">
        <v>429</v>
      </c>
      <c r="V42" s="16">
        <f t="shared" si="2"/>
        <v>4182.75</v>
      </c>
      <c r="W42" s="53">
        <v>3</v>
      </c>
      <c r="X42" s="53" t="s">
        <v>46</v>
      </c>
      <c r="Y42" s="53" t="s">
        <v>88</v>
      </c>
      <c r="Z42" s="53" t="s">
        <v>78</v>
      </c>
      <c r="AA42" s="53" t="s">
        <v>97</v>
      </c>
      <c r="AB42" s="53" t="s">
        <v>236</v>
      </c>
    </row>
    <row r="43" spans="1:28" x14ac:dyDescent="0.15">
      <c r="A43" s="53" t="s">
        <v>34</v>
      </c>
      <c r="B43" s="53" t="s">
        <v>232</v>
      </c>
      <c r="C43" s="53">
        <v>2019</v>
      </c>
      <c r="D43" s="176" t="s">
        <v>316</v>
      </c>
      <c r="E43" s="53" t="s">
        <v>385</v>
      </c>
      <c r="F43" s="53" t="s">
        <v>386</v>
      </c>
      <c r="G43" s="53" t="s">
        <v>36</v>
      </c>
      <c r="H43" s="53" t="s">
        <v>164</v>
      </c>
      <c r="I43" s="53" t="s">
        <v>159</v>
      </c>
      <c r="J43" s="53" t="s">
        <v>38</v>
      </c>
      <c r="K43" s="53" t="s">
        <v>161</v>
      </c>
      <c r="L43" s="53">
        <v>3</v>
      </c>
      <c r="N43" s="53">
        <v>4</v>
      </c>
      <c r="O43" s="53">
        <v>0.55000000000000004</v>
      </c>
      <c r="P43" s="53">
        <v>0.6</v>
      </c>
      <c r="Q43" s="75">
        <f t="shared" si="0"/>
        <v>0.57499999999999996</v>
      </c>
      <c r="R43" s="53">
        <v>17.100000000000001</v>
      </c>
      <c r="S43" s="53">
        <v>72</v>
      </c>
      <c r="T43" s="16">
        <f t="shared" si="1"/>
        <v>42</v>
      </c>
      <c r="U43" s="53">
        <v>429</v>
      </c>
      <c r="V43" s="16">
        <f t="shared" si="2"/>
        <v>4504.5</v>
      </c>
      <c r="W43" s="53">
        <v>3</v>
      </c>
      <c r="X43" s="53" t="s">
        <v>46</v>
      </c>
      <c r="Y43" s="53" t="s">
        <v>88</v>
      </c>
      <c r="Z43" s="53" t="s">
        <v>78</v>
      </c>
      <c r="AA43" s="53" t="s">
        <v>97</v>
      </c>
      <c r="AB43" s="53" t="s">
        <v>236</v>
      </c>
    </row>
    <row r="44" spans="1:28" x14ac:dyDescent="0.15">
      <c r="A44" s="53" t="s">
        <v>34</v>
      </c>
      <c r="B44" s="53" t="s">
        <v>232</v>
      </c>
      <c r="C44" s="53">
        <v>2019</v>
      </c>
      <c r="D44" s="176" t="s">
        <v>316</v>
      </c>
      <c r="E44" s="53" t="s">
        <v>385</v>
      </c>
      <c r="F44" s="53" t="s">
        <v>386</v>
      </c>
      <c r="G44" s="53" t="s">
        <v>36</v>
      </c>
      <c r="H44" s="53" t="s">
        <v>164</v>
      </c>
      <c r="I44" s="53" t="s">
        <v>159</v>
      </c>
      <c r="J44" s="53" t="s">
        <v>38</v>
      </c>
      <c r="K44" s="53" t="s">
        <v>161</v>
      </c>
      <c r="L44" s="53">
        <v>1</v>
      </c>
      <c r="N44" s="53">
        <v>8</v>
      </c>
      <c r="O44" s="53">
        <v>0.75</v>
      </c>
      <c r="P44" s="53">
        <v>0.2</v>
      </c>
      <c r="Q44" s="75">
        <f t="shared" si="0"/>
        <v>0.47499999999999998</v>
      </c>
      <c r="R44" s="53">
        <v>17.7</v>
      </c>
      <c r="S44" s="53">
        <v>92</v>
      </c>
      <c r="T44" s="16">
        <f t="shared" si="1"/>
        <v>36</v>
      </c>
      <c r="U44" s="53">
        <v>754</v>
      </c>
      <c r="V44" s="16">
        <f t="shared" si="2"/>
        <v>3393</v>
      </c>
      <c r="W44" s="53">
        <v>3</v>
      </c>
      <c r="X44" s="53" t="s">
        <v>46</v>
      </c>
      <c r="Y44" s="53" t="s">
        <v>88</v>
      </c>
      <c r="Z44" s="53" t="s">
        <v>78</v>
      </c>
      <c r="AA44" s="53" t="s">
        <v>97</v>
      </c>
      <c r="AB44" s="53" t="s">
        <v>236</v>
      </c>
    </row>
    <row r="45" spans="1:28" x14ac:dyDescent="0.15">
      <c r="A45" s="53" t="s">
        <v>34</v>
      </c>
      <c r="B45" s="53" t="s">
        <v>232</v>
      </c>
      <c r="C45" s="53">
        <v>2019</v>
      </c>
      <c r="D45" s="176" t="s">
        <v>316</v>
      </c>
      <c r="E45" s="53" t="s">
        <v>385</v>
      </c>
      <c r="F45" s="53" t="s">
        <v>386</v>
      </c>
      <c r="G45" s="53" t="s">
        <v>36</v>
      </c>
      <c r="H45" s="53" t="s">
        <v>164</v>
      </c>
      <c r="I45" s="53" t="s">
        <v>159</v>
      </c>
      <c r="J45" s="53" t="s">
        <v>38</v>
      </c>
      <c r="K45" s="53" t="s">
        <v>161</v>
      </c>
      <c r="L45" s="53">
        <v>2</v>
      </c>
      <c r="N45" s="53">
        <v>8</v>
      </c>
      <c r="O45" s="53">
        <v>0.2</v>
      </c>
      <c r="P45" s="53">
        <v>0.2</v>
      </c>
      <c r="Q45" s="75">
        <f t="shared" si="0"/>
        <v>0.2</v>
      </c>
      <c r="R45" s="53">
        <v>16</v>
      </c>
      <c r="S45" s="53">
        <v>82</v>
      </c>
      <c r="T45" s="16">
        <f t="shared" si="1"/>
        <v>39</v>
      </c>
      <c r="U45" s="53">
        <v>754</v>
      </c>
      <c r="V45" s="16">
        <f t="shared" si="2"/>
        <v>3675.75</v>
      </c>
      <c r="W45" s="53">
        <v>3</v>
      </c>
      <c r="X45" s="53" t="s">
        <v>46</v>
      </c>
      <c r="Y45" s="53" t="s">
        <v>88</v>
      </c>
      <c r="Z45" s="53" t="s">
        <v>78</v>
      </c>
      <c r="AA45" s="53" t="s">
        <v>97</v>
      </c>
      <c r="AB45" s="53" t="s">
        <v>236</v>
      </c>
    </row>
    <row r="46" spans="1:28" x14ac:dyDescent="0.15">
      <c r="A46" s="53" t="s">
        <v>34</v>
      </c>
      <c r="B46" s="53" t="s">
        <v>232</v>
      </c>
      <c r="C46" s="53">
        <v>2019</v>
      </c>
      <c r="D46" s="176" t="s">
        <v>316</v>
      </c>
      <c r="E46" s="53" t="s">
        <v>385</v>
      </c>
      <c r="F46" s="53" t="s">
        <v>386</v>
      </c>
      <c r="G46" s="53" t="s">
        <v>36</v>
      </c>
      <c r="H46" s="53" t="s">
        <v>164</v>
      </c>
      <c r="I46" s="53" t="s">
        <v>159</v>
      </c>
      <c r="J46" s="53" t="s">
        <v>38</v>
      </c>
      <c r="K46" s="53" t="s">
        <v>161</v>
      </c>
      <c r="L46" s="53">
        <v>3</v>
      </c>
      <c r="N46" s="53">
        <v>8</v>
      </c>
      <c r="O46" s="53">
        <v>0.2</v>
      </c>
      <c r="P46" s="53">
        <v>0.2</v>
      </c>
      <c r="Q46" s="75">
        <f t="shared" si="0"/>
        <v>0.2</v>
      </c>
      <c r="R46" s="53">
        <v>17.5</v>
      </c>
      <c r="S46" s="53">
        <v>987</v>
      </c>
      <c r="T46" s="16">
        <f t="shared" si="1"/>
        <v>16</v>
      </c>
      <c r="U46" s="53">
        <v>754</v>
      </c>
      <c r="V46" s="16">
        <f t="shared" si="2"/>
        <v>1508</v>
      </c>
      <c r="W46" s="53">
        <v>3</v>
      </c>
      <c r="X46" s="53" t="s">
        <v>46</v>
      </c>
      <c r="Y46" s="53" t="s">
        <v>88</v>
      </c>
      <c r="Z46" s="53" t="s">
        <v>78</v>
      </c>
      <c r="AA46" s="53" t="s">
        <v>97</v>
      </c>
      <c r="AB46" s="53" t="s">
        <v>236</v>
      </c>
    </row>
    <row r="47" spans="1:28" x14ac:dyDescent="0.15">
      <c r="A47" s="53" t="s">
        <v>34</v>
      </c>
      <c r="B47" s="53" t="s">
        <v>232</v>
      </c>
      <c r="C47" s="53">
        <v>2019</v>
      </c>
      <c r="D47" s="176" t="s">
        <v>316</v>
      </c>
      <c r="E47" s="53" t="s">
        <v>385</v>
      </c>
      <c r="F47" s="53" t="s">
        <v>386</v>
      </c>
      <c r="G47" s="53" t="s">
        <v>36</v>
      </c>
      <c r="H47" s="53" t="s">
        <v>164</v>
      </c>
      <c r="I47" s="53" t="s">
        <v>165</v>
      </c>
      <c r="J47" s="53" t="s">
        <v>38</v>
      </c>
      <c r="K47" s="53" t="s">
        <v>161</v>
      </c>
      <c r="L47" s="53">
        <v>1</v>
      </c>
      <c r="N47" s="53">
        <v>4</v>
      </c>
      <c r="O47" s="53">
        <v>0.2</v>
      </c>
      <c r="P47" s="53">
        <v>0.2</v>
      </c>
      <c r="Q47" s="75">
        <f t="shared" si="0"/>
        <v>0.2</v>
      </c>
      <c r="R47" s="53">
        <v>18.8</v>
      </c>
      <c r="S47" s="53">
        <v>100</v>
      </c>
      <c r="T47" s="16">
        <f t="shared" si="1"/>
        <v>33</v>
      </c>
      <c r="U47" s="53">
        <v>429</v>
      </c>
      <c r="V47" s="16">
        <f t="shared" si="2"/>
        <v>3539.25</v>
      </c>
      <c r="W47" s="53">
        <v>3</v>
      </c>
      <c r="X47" s="53" t="s">
        <v>46</v>
      </c>
      <c r="Y47" s="53" t="s">
        <v>88</v>
      </c>
      <c r="Z47" s="53" t="s">
        <v>78</v>
      </c>
      <c r="AA47" s="53" t="s">
        <v>97</v>
      </c>
      <c r="AB47" s="53" t="s">
        <v>236</v>
      </c>
    </row>
    <row r="48" spans="1:28" x14ac:dyDescent="0.15">
      <c r="A48" s="53" t="s">
        <v>34</v>
      </c>
      <c r="B48" s="53" t="s">
        <v>232</v>
      </c>
      <c r="C48" s="53">
        <v>2019</v>
      </c>
      <c r="D48" s="176" t="s">
        <v>316</v>
      </c>
      <c r="E48" s="53" t="s">
        <v>385</v>
      </c>
      <c r="F48" s="53" t="s">
        <v>386</v>
      </c>
      <c r="G48" s="53" t="s">
        <v>36</v>
      </c>
      <c r="H48" s="53" t="s">
        <v>164</v>
      </c>
      <c r="I48" s="53" t="s">
        <v>165</v>
      </c>
      <c r="J48" s="53" t="s">
        <v>38</v>
      </c>
      <c r="K48" s="53" t="s">
        <v>161</v>
      </c>
      <c r="L48" s="53">
        <v>2</v>
      </c>
      <c r="N48" s="53">
        <v>4</v>
      </c>
      <c r="O48" s="53">
        <v>0.2</v>
      </c>
      <c r="P48" s="53">
        <v>0.2</v>
      </c>
      <c r="Q48" s="75">
        <f t="shared" si="0"/>
        <v>0.2</v>
      </c>
      <c r="R48" s="53">
        <v>17.7</v>
      </c>
      <c r="S48" s="53">
        <v>106</v>
      </c>
      <c r="T48" s="16">
        <f t="shared" si="1"/>
        <v>33</v>
      </c>
      <c r="U48" s="53">
        <v>429</v>
      </c>
      <c r="V48" s="16">
        <f t="shared" si="2"/>
        <v>3539.25</v>
      </c>
      <c r="W48" s="53">
        <v>3</v>
      </c>
      <c r="X48" s="53" t="s">
        <v>46</v>
      </c>
      <c r="Y48" s="53" t="s">
        <v>88</v>
      </c>
      <c r="Z48" s="53" t="s">
        <v>78</v>
      </c>
      <c r="AA48" s="53" t="s">
        <v>97</v>
      </c>
      <c r="AB48" s="53" t="s">
        <v>236</v>
      </c>
    </row>
    <row r="49" spans="1:28" x14ac:dyDescent="0.15">
      <c r="A49" s="53" t="s">
        <v>34</v>
      </c>
      <c r="B49" s="53" t="s">
        <v>232</v>
      </c>
      <c r="C49" s="53">
        <v>2019</v>
      </c>
      <c r="D49" s="176" t="s">
        <v>316</v>
      </c>
      <c r="E49" s="53" t="s">
        <v>385</v>
      </c>
      <c r="F49" s="53" t="s">
        <v>386</v>
      </c>
      <c r="G49" s="53" t="s">
        <v>36</v>
      </c>
      <c r="H49" s="53" t="s">
        <v>164</v>
      </c>
      <c r="I49" s="53" t="s">
        <v>165</v>
      </c>
      <c r="J49" s="53" t="s">
        <v>38</v>
      </c>
      <c r="K49" s="53" t="s">
        <v>161</v>
      </c>
      <c r="L49" s="53">
        <v>3</v>
      </c>
      <c r="N49" s="53">
        <v>4</v>
      </c>
      <c r="O49" s="53">
        <v>0.75</v>
      </c>
      <c r="P49" s="53">
        <v>0.6</v>
      </c>
      <c r="Q49" s="75">
        <f t="shared" si="0"/>
        <v>0.67500000000000004</v>
      </c>
      <c r="R49" s="53">
        <v>18.8</v>
      </c>
      <c r="S49" s="53">
        <v>99</v>
      </c>
      <c r="T49" s="16">
        <f t="shared" si="1"/>
        <v>33</v>
      </c>
      <c r="U49" s="53">
        <v>429</v>
      </c>
      <c r="V49" s="16">
        <f t="shared" si="2"/>
        <v>3539.25</v>
      </c>
      <c r="W49" s="53">
        <v>3</v>
      </c>
      <c r="X49" s="53" t="s">
        <v>46</v>
      </c>
      <c r="Y49" s="53" t="s">
        <v>88</v>
      </c>
      <c r="Z49" s="53" t="s">
        <v>78</v>
      </c>
      <c r="AA49" s="53" t="s">
        <v>97</v>
      </c>
      <c r="AB49" s="53" t="s">
        <v>236</v>
      </c>
    </row>
    <row r="50" spans="1:28" x14ac:dyDescent="0.15">
      <c r="A50" s="53" t="s">
        <v>34</v>
      </c>
      <c r="B50" s="53" t="s">
        <v>232</v>
      </c>
      <c r="C50" s="53">
        <v>2019</v>
      </c>
      <c r="D50" s="176" t="s">
        <v>316</v>
      </c>
      <c r="E50" s="53" t="s">
        <v>385</v>
      </c>
      <c r="F50" s="53" t="s">
        <v>386</v>
      </c>
      <c r="G50" s="53" t="s">
        <v>36</v>
      </c>
      <c r="H50" s="53" t="s">
        <v>160</v>
      </c>
      <c r="I50" s="53" t="s">
        <v>159</v>
      </c>
      <c r="J50" s="53" t="s">
        <v>38</v>
      </c>
      <c r="K50" s="53" t="s">
        <v>161</v>
      </c>
      <c r="L50" s="53">
        <v>1</v>
      </c>
      <c r="N50" s="53">
        <v>1</v>
      </c>
      <c r="O50" s="53">
        <v>0.5</v>
      </c>
      <c r="P50" s="53">
        <v>0.55000000000000004</v>
      </c>
      <c r="Q50" s="75">
        <f t="shared" si="0"/>
        <v>0.52500000000000002</v>
      </c>
      <c r="R50" s="53">
        <v>19</v>
      </c>
      <c r="S50" s="53">
        <v>116</v>
      </c>
      <c r="T50" s="16">
        <f t="shared" si="1"/>
        <v>30</v>
      </c>
      <c r="U50" s="53">
        <v>105</v>
      </c>
      <c r="V50" s="16">
        <f t="shared" si="2"/>
        <v>3150</v>
      </c>
      <c r="W50" s="53">
        <v>3</v>
      </c>
      <c r="X50" s="53" t="s">
        <v>46</v>
      </c>
      <c r="Y50" s="53" t="s">
        <v>88</v>
      </c>
      <c r="Z50" s="53" t="s">
        <v>78</v>
      </c>
      <c r="AA50" s="53" t="s">
        <v>97</v>
      </c>
      <c r="AB50" s="53" t="s">
        <v>236</v>
      </c>
    </row>
    <row r="51" spans="1:28" x14ac:dyDescent="0.15">
      <c r="A51" s="53" t="s">
        <v>34</v>
      </c>
      <c r="B51" s="53" t="s">
        <v>232</v>
      </c>
      <c r="C51" s="53">
        <v>2019</v>
      </c>
      <c r="D51" s="176" t="s">
        <v>316</v>
      </c>
      <c r="E51" s="53" t="s">
        <v>385</v>
      </c>
      <c r="F51" s="53" t="s">
        <v>386</v>
      </c>
      <c r="G51" s="53" t="s">
        <v>36</v>
      </c>
      <c r="H51" s="53" t="s">
        <v>160</v>
      </c>
      <c r="I51" s="53" t="s">
        <v>159</v>
      </c>
      <c r="J51" s="53" t="s">
        <v>38</v>
      </c>
      <c r="K51" s="53" t="s">
        <v>161</v>
      </c>
      <c r="L51" s="53">
        <v>2</v>
      </c>
      <c r="N51" s="53">
        <v>1</v>
      </c>
      <c r="O51" s="53">
        <v>0.6</v>
      </c>
      <c r="P51" s="53">
        <v>0.6</v>
      </c>
      <c r="Q51" s="75">
        <f t="shared" si="0"/>
        <v>0.6</v>
      </c>
      <c r="R51" s="53">
        <v>19.5</v>
      </c>
      <c r="S51" s="53">
        <v>110</v>
      </c>
      <c r="T51" s="16">
        <f t="shared" si="1"/>
        <v>33</v>
      </c>
      <c r="U51" s="53">
        <v>105</v>
      </c>
      <c r="V51" s="16">
        <f t="shared" si="2"/>
        <v>3465</v>
      </c>
      <c r="W51" s="53">
        <v>3</v>
      </c>
      <c r="X51" s="53" t="s">
        <v>46</v>
      </c>
      <c r="Y51" s="53" t="s">
        <v>88</v>
      </c>
      <c r="Z51" s="53" t="s">
        <v>78</v>
      </c>
      <c r="AA51" s="53" t="s">
        <v>97</v>
      </c>
      <c r="AB51" s="53" t="s">
        <v>236</v>
      </c>
    </row>
    <row r="52" spans="1:28" x14ac:dyDescent="0.15">
      <c r="A52" s="53" t="s">
        <v>34</v>
      </c>
      <c r="B52" s="53" t="s">
        <v>232</v>
      </c>
      <c r="C52" s="53">
        <v>2019</v>
      </c>
      <c r="D52" s="176" t="s">
        <v>316</v>
      </c>
      <c r="E52" s="53" t="s">
        <v>385</v>
      </c>
      <c r="F52" s="53" t="s">
        <v>386</v>
      </c>
      <c r="G52" s="53" t="s">
        <v>36</v>
      </c>
      <c r="H52" s="53" t="s">
        <v>160</v>
      </c>
      <c r="I52" s="53" t="s">
        <v>159</v>
      </c>
      <c r="J52" s="53" t="s">
        <v>38</v>
      </c>
      <c r="K52" s="53" t="s">
        <v>161</v>
      </c>
      <c r="L52" s="53">
        <v>3</v>
      </c>
      <c r="N52" s="53">
        <v>1</v>
      </c>
      <c r="O52" s="53">
        <v>0.4</v>
      </c>
      <c r="P52" s="53">
        <v>0.4</v>
      </c>
      <c r="Q52" s="75">
        <f t="shared" si="0"/>
        <v>0.4</v>
      </c>
      <c r="R52" s="53">
        <v>18</v>
      </c>
      <c r="S52" s="53">
        <v>118</v>
      </c>
      <c r="T52" s="16">
        <f t="shared" si="1"/>
        <v>30</v>
      </c>
      <c r="U52" s="53">
        <v>105</v>
      </c>
      <c r="V52" s="16">
        <f t="shared" si="2"/>
        <v>3150</v>
      </c>
      <c r="W52" s="53">
        <v>3</v>
      </c>
      <c r="X52" s="53" t="s">
        <v>46</v>
      </c>
      <c r="Y52" s="53" t="s">
        <v>88</v>
      </c>
      <c r="Z52" s="53" t="s">
        <v>78</v>
      </c>
      <c r="AA52" s="53" t="s">
        <v>97</v>
      </c>
      <c r="AB52" s="53" t="s">
        <v>236</v>
      </c>
    </row>
    <row r="53" spans="1:28" x14ac:dyDescent="0.15">
      <c r="A53" s="53" t="s">
        <v>34</v>
      </c>
      <c r="B53" s="53" t="s">
        <v>232</v>
      </c>
      <c r="C53" s="53">
        <v>2019</v>
      </c>
      <c r="D53" s="176" t="s">
        <v>316</v>
      </c>
      <c r="E53" s="53" t="s">
        <v>385</v>
      </c>
      <c r="F53" s="53" t="s">
        <v>386</v>
      </c>
      <c r="G53" s="53" t="s">
        <v>36</v>
      </c>
      <c r="H53" s="53" t="s">
        <v>160</v>
      </c>
      <c r="I53" s="53" t="s">
        <v>159</v>
      </c>
      <c r="J53" s="53" t="s">
        <v>38</v>
      </c>
      <c r="K53" s="53" t="s">
        <v>161</v>
      </c>
      <c r="L53" s="53">
        <v>1</v>
      </c>
      <c r="N53" s="53">
        <v>4</v>
      </c>
      <c r="O53" s="53">
        <v>0.2</v>
      </c>
      <c r="P53" s="53">
        <v>0.55000000000000004</v>
      </c>
      <c r="Q53" s="75">
        <f t="shared" si="0"/>
        <v>0.375</v>
      </c>
      <c r="R53" s="53">
        <v>17.399999999999999</v>
      </c>
      <c r="S53" s="53">
        <v>95</v>
      </c>
      <c r="T53" s="16">
        <f t="shared" si="1"/>
        <v>36</v>
      </c>
      <c r="U53" s="53">
        <v>538</v>
      </c>
      <c r="V53" s="16">
        <f t="shared" si="2"/>
        <v>4842</v>
      </c>
      <c r="W53" s="53">
        <v>3</v>
      </c>
      <c r="X53" s="53" t="s">
        <v>46</v>
      </c>
      <c r="Y53" s="53" t="s">
        <v>88</v>
      </c>
      <c r="Z53" s="53" t="s">
        <v>78</v>
      </c>
      <c r="AA53" s="53" t="s">
        <v>97</v>
      </c>
      <c r="AB53" s="53" t="s">
        <v>236</v>
      </c>
    </row>
    <row r="54" spans="1:28" x14ac:dyDescent="0.15">
      <c r="A54" s="53" t="s">
        <v>34</v>
      </c>
      <c r="B54" s="53" t="s">
        <v>232</v>
      </c>
      <c r="C54" s="53">
        <v>2019</v>
      </c>
      <c r="D54" s="176" t="s">
        <v>316</v>
      </c>
      <c r="E54" s="53" t="s">
        <v>385</v>
      </c>
      <c r="F54" s="53" t="s">
        <v>386</v>
      </c>
      <c r="G54" s="53" t="s">
        <v>36</v>
      </c>
      <c r="H54" s="53" t="s">
        <v>160</v>
      </c>
      <c r="I54" s="53" t="s">
        <v>159</v>
      </c>
      <c r="J54" s="53" t="s">
        <v>38</v>
      </c>
      <c r="K54" s="53" t="s">
        <v>161</v>
      </c>
      <c r="L54" s="53">
        <v>2</v>
      </c>
      <c r="N54" s="53">
        <v>4</v>
      </c>
      <c r="O54" s="53">
        <v>0.65</v>
      </c>
      <c r="P54" s="53">
        <v>0.55000000000000004</v>
      </c>
      <c r="Q54" s="75">
        <f t="shared" si="0"/>
        <v>0.60000000000000009</v>
      </c>
      <c r="R54" s="53">
        <v>18</v>
      </c>
      <c r="S54" s="53">
        <v>96</v>
      </c>
      <c r="T54" s="16">
        <f t="shared" si="1"/>
        <v>36</v>
      </c>
      <c r="U54" s="53">
        <v>538</v>
      </c>
      <c r="V54" s="16">
        <f t="shared" si="2"/>
        <v>4842</v>
      </c>
      <c r="W54" s="53">
        <v>3</v>
      </c>
      <c r="X54" s="53" t="s">
        <v>46</v>
      </c>
      <c r="Y54" s="53" t="s">
        <v>88</v>
      </c>
      <c r="Z54" s="53" t="s">
        <v>78</v>
      </c>
      <c r="AA54" s="53" t="s">
        <v>97</v>
      </c>
      <c r="AB54" s="53" t="s">
        <v>236</v>
      </c>
    </row>
    <row r="55" spans="1:28" x14ac:dyDescent="0.15">
      <c r="A55" s="53" t="s">
        <v>34</v>
      </c>
      <c r="B55" s="53" t="s">
        <v>232</v>
      </c>
      <c r="C55" s="53">
        <v>2019</v>
      </c>
      <c r="D55" s="176" t="s">
        <v>316</v>
      </c>
      <c r="E55" s="53" t="s">
        <v>385</v>
      </c>
      <c r="F55" s="53" t="s">
        <v>386</v>
      </c>
      <c r="G55" s="53" t="s">
        <v>36</v>
      </c>
      <c r="H55" s="53" t="s">
        <v>160</v>
      </c>
      <c r="I55" s="53" t="s">
        <v>159</v>
      </c>
      <c r="J55" s="53" t="s">
        <v>38</v>
      </c>
      <c r="K55" s="53" t="s">
        <v>161</v>
      </c>
      <c r="L55" s="53">
        <v>3</v>
      </c>
      <c r="N55" s="53">
        <v>4</v>
      </c>
      <c r="O55" s="53">
        <v>0.55000000000000004</v>
      </c>
      <c r="P55" s="53">
        <v>0.5</v>
      </c>
      <c r="Q55" s="75">
        <f t="shared" si="0"/>
        <v>0.52500000000000002</v>
      </c>
      <c r="R55" s="53">
        <v>17.899999999999999</v>
      </c>
      <c r="S55" s="53">
        <v>99</v>
      </c>
      <c r="T55" s="16">
        <f t="shared" si="1"/>
        <v>33</v>
      </c>
      <c r="U55" s="53">
        <v>538</v>
      </c>
      <c r="V55" s="16">
        <f t="shared" si="2"/>
        <v>4438.5</v>
      </c>
      <c r="W55" s="53">
        <v>3</v>
      </c>
      <c r="X55" s="53" t="s">
        <v>46</v>
      </c>
      <c r="Y55" s="53" t="s">
        <v>88</v>
      </c>
      <c r="Z55" s="53" t="s">
        <v>78</v>
      </c>
      <c r="AA55" s="53" t="s">
        <v>97</v>
      </c>
      <c r="AB55" s="53" t="s">
        <v>236</v>
      </c>
    </row>
    <row r="56" spans="1:28" x14ac:dyDescent="0.15">
      <c r="A56" s="53" t="s">
        <v>34</v>
      </c>
      <c r="B56" s="53" t="s">
        <v>232</v>
      </c>
      <c r="C56" s="53">
        <v>2019</v>
      </c>
      <c r="D56" s="176" t="s">
        <v>316</v>
      </c>
      <c r="E56" s="53" t="s">
        <v>385</v>
      </c>
      <c r="F56" s="53" t="s">
        <v>386</v>
      </c>
      <c r="G56" s="53" t="s">
        <v>36</v>
      </c>
      <c r="H56" s="53" t="s">
        <v>160</v>
      </c>
      <c r="I56" s="53" t="s">
        <v>159</v>
      </c>
      <c r="J56" s="53" t="s">
        <v>38</v>
      </c>
      <c r="K56" s="53" t="s">
        <v>161</v>
      </c>
      <c r="L56" s="53">
        <v>1</v>
      </c>
      <c r="N56" s="53">
        <v>8</v>
      </c>
      <c r="O56" s="53">
        <v>0.65</v>
      </c>
      <c r="P56" s="53">
        <v>0.65</v>
      </c>
      <c r="Q56" s="75">
        <f t="shared" si="0"/>
        <v>0.65</v>
      </c>
      <c r="R56" s="53">
        <v>19.5</v>
      </c>
      <c r="S56" s="53">
        <v>102</v>
      </c>
      <c r="T56" s="16">
        <f t="shared" si="1"/>
        <v>33</v>
      </c>
      <c r="U56" s="53">
        <v>862</v>
      </c>
      <c r="V56" s="16">
        <f t="shared" si="2"/>
        <v>3555.75</v>
      </c>
      <c r="W56" s="53">
        <v>3</v>
      </c>
      <c r="X56" s="53" t="s">
        <v>46</v>
      </c>
      <c r="Y56" s="53" t="s">
        <v>88</v>
      </c>
      <c r="Z56" s="53" t="s">
        <v>78</v>
      </c>
      <c r="AA56" s="53" t="s">
        <v>97</v>
      </c>
      <c r="AB56" s="53" t="s">
        <v>236</v>
      </c>
    </row>
    <row r="57" spans="1:28" x14ac:dyDescent="0.15">
      <c r="A57" s="53" t="s">
        <v>34</v>
      </c>
      <c r="B57" s="53" t="s">
        <v>232</v>
      </c>
      <c r="C57" s="53">
        <v>2019</v>
      </c>
      <c r="D57" s="176" t="s">
        <v>316</v>
      </c>
      <c r="E57" s="53" t="s">
        <v>385</v>
      </c>
      <c r="F57" s="53" t="s">
        <v>386</v>
      </c>
      <c r="G57" s="53" t="s">
        <v>36</v>
      </c>
      <c r="H57" s="53" t="s">
        <v>160</v>
      </c>
      <c r="I57" s="53" t="s">
        <v>159</v>
      </c>
      <c r="J57" s="53" t="s">
        <v>38</v>
      </c>
      <c r="K57" s="53" t="s">
        <v>161</v>
      </c>
      <c r="L57" s="53">
        <v>2</v>
      </c>
      <c r="N57" s="53">
        <v>8</v>
      </c>
      <c r="O57" s="53">
        <v>0.55000000000000004</v>
      </c>
      <c r="P57" s="53">
        <v>0.5</v>
      </c>
      <c r="Q57" s="75">
        <f t="shared" si="0"/>
        <v>0.52500000000000002</v>
      </c>
      <c r="R57" s="53">
        <v>18.2</v>
      </c>
      <c r="S57" s="53">
        <v>106</v>
      </c>
      <c r="T57" s="16">
        <f t="shared" si="1"/>
        <v>33</v>
      </c>
      <c r="U57" s="53">
        <v>862</v>
      </c>
      <c r="V57" s="16">
        <f t="shared" si="2"/>
        <v>3555.75</v>
      </c>
      <c r="W57" s="53">
        <v>3</v>
      </c>
      <c r="X57" s="53" t="s">
        <v>46</v>
      </c>
      <c r="Y57" s="53" t="s">
        <v>88</v>
      </c>
      <c r="Z57" s="53" t="s">
        <v>78</v>
      </c>
      <c r="AA57" s="53" t="s">
        <v>97</v>
      </c>
      <c r="AB57" s="53" t="s">
        <v>236</v>
      </c>
    </row>
    <row r="58" spans="1:28" x14ac:dyDescent="0.15">
      <c r="A58" s="53" t="s">
        <v>34</v>
      </c>
      <c r="B58" s="53" t="s">
        <v>232</v>
      </c>
      <c r="C58" s="53">
        <v>2019</v>
      </c>
      <c r="D58" s="176" t="s">
        <v>316</v>
      </c>
      <c r="E58" s="53" t="s">
        <v>385</v>
      </c>
      <c r="F58" s="53" t="s">
        <v>386</v>
      </c>
      <c r="G58" s="53" t="s">
        <v>36</v>
      </c>
      <c r="H58" s="53" t="s">
        <v>160</v>
      </c>
      <c r="I58" s="53" t="s">
        <v>159</v>
      </c>
      <c r="J58" s="53" t="s">
        <v>38</v>
      </c>
      <c r="K58" s="53" t="s">
        <v>161</v>
      </c>
      <c r="L58" s="53">
        <v>3</v>
      </c>
      <c r="N58" s="53">
        <v>8</v>
      </c>
      <c r="O58" s="53">
        <v>0.55000000000000004</v>
      </c>
      <c r="P58" s="53">
        <v>0.2</v>
      </c>
      <c r="Q58" s="75">
        <f t="shared" si="0"/>
        <v>0.375</v>
      </c>
      <c r="R58" s="53">
        <v>20.7</v>
      </c>
      <c r="S58" s="53">
        <v>97</v>
      </c>
      <c r="T58" s="16">
        <f t="shared" si="1"/>
        <v>36</v>
      </c>
      <c r="U58" s="53">
        <v>862</v>
      </c>
      <c r="V58" s="16">
        <f t="shared" si="2"/>
        <v>3879</v>
      </c>
      <c r="W58" s="53">
        <v>3</v>
      </c>
      <c r="X58" s="53" t="s">
        <v>46</v>
      </c>
      <c r="Y58" s="53" t="s">
        <v>88</v>
      </c>
      <c r="Z58" s="53" t="s">
        <v>78</v>
      </c>
      <c r="AA58" s="53" t="s">
        <v>97</v>
      </c>
      <c r="AB58" s="53" t="s">
        <v>236</v>
      </c>
    </row>
    <row r="59" spans="1:28" x14ac:dyDescent="0.15">
      <c r="A59" s="53" t="s">
        <v>34</v>
      </c>
      <c r="B59" s="53" t="s">
        <v>232</v>
      </c>
      <c r="C59" s="53">
        <v>2019</v>
      </c>
      <c r="D59" s="176" t="s">
        <v>316</v>
      </c>
      <c r="E59" s="53" t="s">
        <v>385</v>
      </c>
      <c r="F59" s="53" t="s">
        <v>386</v>
      </c>
      <c r="G59" s="53" t="s">
        <v>36</v>
      </c>
      <c r="H59" s="53" t="s">
        <v>160</v>
      </c>
      <c r="I59" s="53" t="s">
        <v>165</v>
      </c>
      <c r="J59" s="53" t="s">
        <v>38</v>
      </c>
      <c r="K59" s="53" t="s">
        <v>161</v>
      </c>
      <c r="L59" s="53">
        <v>1</v>
      </c>
      <c r="N59" s="53">
        <v>4</v>
      </c>
      <c r="O59" s="53">
        <v>0.5</v>
      </c>
      <c r="P59" s="53">
        <v>0.55000000000000004</v>
      </c>
      <c r="Q59" s="75">
        <f t="shared" si="0"/>
        <v>0.52500000000000002</v>
      </c>
      <c r="R59" s="53">
        <v>19.8</v>
      </c>
      <c r="S59" s="53">
        <v>108</v>
      </c>
      <c r="T59" s="16">
        <f t="shared" si="1"/>
        <v>33</v>
      </c>
      <c r="U59" s="53">
        <v>538</v>
      </c>
      <c r="V59" s="16">
        <f t="shared" si="2"/>
        <v>4438.5</v>
      </c>
      <c r="W59" s="53">
        <v>3</v>
      </c>
      <c r="X59" s="53" t="s">
        <v>46</v>
      </c>
      <c r="Y59" s="53" t="s">
        <v>88</v>
      </c>
      <c r="Z59" s="53" t="s">
        <v>78</v>
      </c>
      <c r="AA59" s="53" t="s">
        <v>97</v>
      </c>
      <c r="AB59" s="53" t="s">
        <v>236</v>
      </c>
    </row>
    <row r="60" spans="1:28" x14ac:dyDescent="0.15">
      <c r="A60" s="53" t="s">
        <v>34</v>
      </c>
      <c r="B60" s="53" t="s">
        <v>232</v>
      </c>
      <c r="C60" s="53">
        <v>2019</v>
      </c>
      <c r="D60" s="176" t="s">
        <v>316</v>
      </c>
      <c r="E60" s="53" t="s">
        <v>385</v>
      </c>
      <c r="F60" s="53" t="s">
        <v>386</v>
      </c>
      <c r="G60" s="53" t="s">
        <v>36</v>
      </c>
      <c r="H60" s="53" t="s">
        <v>160</v>
      </c>
      <c r="I60" s="53" t="s">
        <v>165</v>
      </c>
      <c r="J60" s="53" t="s">
        <v>38</v>
      </c>
      <c r="K60" s="53" t="s">
        <v>161</v>
      </c>
      <c r="L60" s="53">
        <v>2</v>
      </c>
      <c r="N60" s="53">
        <v>4</v>
      </c>
      <c r="O60" s="53">
        <v>0.55000000000000004</v>
      </c>
      <c r="P60" s="53">
        <v>0.5</v>
      </c>
      <c r="Q60" s="75">
        <f t="shared" si="0"/>
        <v>0.52500000000000002</v>
      </c>
      <c r="R60" s="53">
        <v>20.5</v>
      </c>
      <c r="S60" s="53">
        <v>106</v>
      </c>
      <c r="T60" s="16">
        <f t="shared" si="1"/>
        <v>33</v>
      </c>
      <c r="U60" s="53">
        <v>538</v>
      </c>
      <c r="V60" s="16">
        <f t="shared" si="2"/>
        <v>4438.5</v>
      </c>
      <c r="W60" s="53">
        <v>3</v>
      </c>
      <c r="X60" s="53" t="s">
        <v>46</v>
      </c>
      <c r="Y60" s="53" t="s">
        <v>88</v>
      </c>
      <c r="Z60" s="53" t="s">
        <v>78</v>
      </c>
      <c r="AA60" s="53" t="s">
        <v>97</v>
      </c>
      <c r="AB60" s="53" t="s">
        <v>236</v>
      </c>
    </row>
    <row r="61" spans="1:28" x14ac:dyDescent="0.15">
      <c r="A61" s="53" t="s">
        <v>34</v>
      </c>
      <c r="B61" s="53" t="s">
        <v>232</v>
      </c>
      <c r="C61" s="53">
        <v>2019</v>
      </c>
      <c r="D61" s="176" t="s">
        <v>316</v>
      </c>
      <c r="E61" s="53" t="s">
        <v>385</v>
      </c>
      <c r="F61" s="53" t="s">
        <v>386</v>
      </c>
      <c r="G61" s="53" t="s">
        <v>36</v>
      </c>
      <c r="H61" s="53" t="s">
        <v>160</v>
      </c>
      <c r="I61" s="53" t="s">
        <v>165</v>
      </c>
      <c r="J61" s="53" t="s">
        <v>38</v>
      </c>
      <c r="K61" s="53" t="s">
        <v>161</v>
      </c>
      <c r="L61" s="53">
        <v>3</v>
      </c>
      <c r="N61" s="53">
        <v>4</v>
      </c>
      <c r="O61" s="53">
        <v>0.2</v>
      </c>
      <c r="P61" s="53">
        <v>0.2</v>
      </c>
      <c r="Q61" s="75">
        <f t="shared" si="0"/>
        <v>0.2</v>
      </c>
      <c r="R61" s="53">
        <v>20</v>
      </c>
      <c r="S61" s="53">
        <v>106</v>
      </c>
      <c r="T61" s="16">
        <f t="shared" si="1"/>
        <v>33</v>
      </c>
      <c r="U61" s="53">
        <v>538</v>
      </c>
      <c r="V61" s="16">
        <f t="shared" si="2"/>
        <v>4438.5</v>
      </c>
      <c r="W61" s="53">
        <v>3</v>
      </c>
      <c r="X61" s="53" t="s">
        <v>46</v>
      </c>
      <c r="Y61" s="53" t="s">
        <v>88</v>
      </c>
      <c r="Z61" s="53" t="s">
        <v>78</v>
      </c>
      <c r="AA61" s="53" t="s">
        <v>97</v>
      </c>
      <c r="AB61" s="53" t="s">
        <v>236</v>
      </c>
    </row>
    <row r="62" spans="1:28" x14ac:dyDescent="0.15">
      <c r="A62" s="53" t="s">
        <v>34</v>
      </c>
      <c r="B62" s="53" t="s">
        <v>232</v>
      </c>
      <c r="C62" s="53">
        <v>2019</v>
      </c>
      <c r="D62" s="176" t="s">
        <v>316</v>
      </c>
      <c r="E62" s="53" t="s">
        <v>374</v>
      </c>
      <c r="F62" s="53" t="s">
        <v>375</v>
      </c>
      <c r="G62" s="53" t="s">
        <v>36</v>
      </c>
      <c r="H62" s="53" t="s">
        <v>164</v>
      </c>
      <c r="I62" s="53" t="s">
        <v>159</v>
      </c>
      <c r="J62" s="53" t="s">
        <v>38</v>
      </c>
      <c r="K62" s="53" t="s">
        <v>161</v>
      </c>
      <c r="L62" s="53">
        <v>1</v>
      </c>
      <c r="N62" s="53">
        <v>1</v>
      </c>
      <c r="O62" s="53">
        <v>0.2</v>
      </c>
      <c r="P62" s="53">
        <v>0.2</v>
      </c>
      <c r="Q62" s="75">
        <f t="shared" si="0"/>
        <v>0.2</v>
      </c>
      <c r="R62" s="53">
        <v>18.8</v>
      </c>
      <c r="S62" s="53">
        <v>124</v>
      </c>
      <c r="T62" s="16">
        <f t="shared" si="1"/>
        <v>30</v>
      </c>
      <c r="U62" s="53">
        <v>108</v>
      </c>
      <c r="V62" s="16">
        <f t="shared" si="2"/>
        <v>3240</v>
      </c>
      <c r="W62" s="53">
        <v>3</v>
      </c>
      <c r="X62" s="53" t="s">
        <v>46</v>
      </c>
      <c r="Y62" s="53" t="s">
        <v>88</v>
      </c>
      <c r="Z62" s="53" t="s">
        <v>69</v>
      </c>
      <c r="AA62" s="53" t="s">
        <v>102</v>
      </c>
      <c r="AB62" s="53" t="s">
        <v>236</v>
      </c>
    </row>
    <row r="63" spans="1:28" x14ac:dyDescent="0.15">
      <c r="A63" s="53" t="s">
        <v>34</v>
      </c>
      <c r="B63" s="53" t="s">
        <v>232</v>
      </c>
      <c r="C63" s="53">
        <v>2019</v>
      </c>
      <c r="D63" s="176" t="s">
        <v>316</v>
      </c>
      <c r="E63" s="53" t="s">
        <v>374</v>
      </c>
      <c r="F63" s="53" t="s">
        <v>375</v>
      </c>
      <c r="G63" s="53" t="s">
        <v>36</v>
      </c>
      <c r="H63" s="53" t="s">
        <v>164</v>
      </c>
      <c r="I63" s="53" t="s">
        <v>159</v>
      </c>
      <c r="J63" s="53" t="s">
        <v>38</v>
      </c>
      <c r="K63" s="53" t="s">
        <v>161</v>
      </c>
      <c r="L63" s="53">
        <v>2</v>
      </c>
      <c r="N63" s="53">
        <v>1</v>
      </c>
      <c r="O63" s="53">
        <v>0.45</v>
      </c>
      <c r="P63" s="53">
        <v>0.5</v>
      </c>
      <c r="Q63" s="75">
        <f t="shared" si="0"/>
        <v>0.47499999999999998</v>
      </c>
      <c r="R63" s="53">
        <v>18.7</v>
      </c>
      <c r="S63" s="53">
        <v>122</v>
      </c>
      <c r="T63" s="16">
        <f t="shared" si="1"/>
        <v>30</v>
      </c>
      <c r="U63" s="53">
        <v>108</v>
      </c>
      <c r="V63" s="16">
        <f t="shared" si="2"/>
        <v>3240</v>
      </c>
      <c r="W63" s="53">
        <v>3</v>
      </c>
      <c r="X63" s="53" t="s">
        <v>46</v>
      </c>
      <c r="Y63" s="53" t="s">
        <v>88</v>
      </c>
      <c r="Z63" s="53" t="s">
        <v>69</v>
      </c>
      <c r="AA63" s="53" t="s">
        <v>102</v>
      </c>
      <c r="AB63" s="53" t="s">
        <v>236</v>
      </c>
    </row>
    <row r="64" spans="1:28" x14ac:dyDescent="0.15">
      <c r="A64" s="53" t="s">
        <v>34</v>
      </c>
      <c r="B64" s="53" t="s">
        <v>232</v>
      </c>
      <c r="C64" s="53">
        <v>2019</v>
      </c>
      <c r="D64" s="176" t="s">
        <v>316</v>
      </c>
      <c r="E64" s="53" t="s">
        <v>374</v>
      </c>
      <c r="F64" s="53" t="s">
        <v>375</v>
      </c>
      <c r="G64" s="53" t="s">
        <v>36</v>
      </c>
      <c r="H64" s="53" t="s">
        <v>164</v>
      </c>
      <c r="I64" s="53" t="s">
        <v>159</v>
      </c>
      <c r="J64" s="53" t="s">
        <v>38</v>
      </c>
      <c r="K64" s="53" t="s">
        <v>161</v>
      </c>
      <c r="L64" s="53">
        <v>3</v>
      </c>
      <c r="N64" s="53">
        <v>1</v>
      </c>
      <c r="O64" s="53">
        <v>0.5</v>
      </c>
      <c r="P64" s="53">
        <v>0.55000000000000004</v>
      </c>
      <c r="Q64" s="75">
        <f t="shared" si="0"/>
        <v>0.52500000000000002</v>
      </c>
      <c r="R64" s="53">
        <v>17.5</v>
      </c>
      <c r="S64" s="53">
        <v>124</v>
      </c>
      <c r="T64" s="16">
        <f t="shared" si="1"/>
        <v>30</v>
      </c>
      <c r="U64" s="53">
        <v>108</v>
      </c>
      <c r="V64" s="16">
        <f t="shared" si="2"/>
        <v>3240</v>
      </c>
      <c r="W64" s="53">
        <v>3</v>
      </c>
      <c r="X64" s="53" t="s">
        <v>46</v>
      </c>
      <c r="Y64" s="53" t="s">
        <v>88</v>
      </c>
      <c r="Z64" s="53" t="s">
        <v>69</v>
      </c>
      <c r="AA64" s="53" t="s">
        <v>102</v>
      </c>
      <c r="AB64" s="53" t="s">
        <v>236</v>
      </c>
    </row>
    <row r="65" spans="1:28" x14ac:dyDescent="0.15">
      <c r="A65" s="53" t="s">
        <v>34</v>
      </c>
      <c r="B65" s="53" t="s">
        <v>232</v>
      </c>
      <c r="C65" s="53">
        <v>2019</v>
      </c>
      <c r="D65" s="176" t="s">
        <v>316</v>
      </c>
      <c r="E65" s="53" t="s">
        <v>374</v>
      </c>
      <c r="F65" s="53" t="s">
        <v>375</v>
      </c>
      <c r="G65" s="53" t="s">
        <v>36</v>
      </c>
      <c r="H65" s="53" t="s">
        <v>164</v>
      </c>
      <c r="I65" s="53" t="s">
        <v>159</v>
      </c>
      <c r="J65" s="53" t="s">
        <v>38</v>
      </c>
      <c r="K65" s="53" t="s">
        <v>161</v>
      </c>
      <c r="L65" s="53">
        <v>1</v>
      </c>
      <c r="N65" s="53">
        <v>4</v>
      </c>
      <c r="O65" s="53">
        <v>0.2</v>
      </c>
      <c r="P65" s="53">
        <v>0.2</v>
      </c>
      <c r="Q65" s="75">
        <f t="shared" si="0"/>
        <v>0.2</v>
      </c>
      <c r="R65" s="53">
        <v>16.600000000000001</v>
      </c>
      <c r="S65" s="53">
        <v>91</v>
      </c>
      <c r="T65" s="16">
        <f t="shared" si="1"/>
        <v>36</v>
      </c>
      <c r="U65" s="53">
        <v>321</v>
      </c>
      <c r="V65" s="16">
        <f t="shared" si="2"/>
        <v>2889</v>
      </c>
      <c r="W65" s="53">
        <v>3</v>
      </c>
      <c r="X65" s="53" t="s">
        <v>46</v>
      </c>
      <c r="Y65" s="53" t="s">
        <v>88</v>
      </c>
      <c r="Z65" s="53" t="s">
        <v>69</v>
      </c>
      <c r="AA65" s="53" t="s">
        <v>102</v>
      </c>
      <c r="AB65" s="53" t="s">
        <v>236</v>
      </c>
    </row>
    <row r="66" spans="1:28" x14ac:dyDescent="0.15">
      <c r="A66" s="53" t="s">
        <v>34</v>
      </c>
      <c r="B66" s="53" t="s">
        <v>232</v>
      </c>
      <c r="C66" s="53">
        <v>2019</v>
      </c>
      <c r="D66" s="176" t="s">
        <v>316</v>
      </c>
      <c r="E66" s="53" t="s">
        <v>374</v>
      </c>
      <c r="F66" s="53" t="s">
        <v>375</v>
      </c>
      <c r="G66" s="53" t="s">
        <v>36</v>
      </c>
      <c r="H66" s="53" t="s">
        <v>164</v>
      </c>
      <c r="I66" s="53" t="s">
        <v>159</v>
      </c>
      <c r="J66" s="53" t="s">
        <v>38</v>
      </c>
      <c r="K66" s="53" t="s">
        <v>161</v>
      </c>
      <c r="L66" s="53">
        <v>2</v>
      </c>
      <c r="N66" s="53">
        <v>4</v>
      </c>
      <c r="O66" s="53">
        <v>0.5</v>
      </c>
      <c r="P66" s="53">
        <v>0.6</v>
      </c>
      <c r="Q66" s="75">
        <f t="shared" si="0"/>
        <v>0.55000000000000004</v>
      </c>
      <c r="R66" s="53">
        <v>15.5</v>
      </c>
      <c r="S66" s="53">
        <v>96</v>
      </c>
      <c r="T66" s="16">
        <f t="shared" si="1"/>
        <v>36</v>
      </c>
      <c r="U66" s="53">
        <v>321</v>
      </c>
      <c r="V66" s="16">
        <f t="shared" si="2"/>
        <v>2889</v>
      </c>
      <c r="W66" s="53">
        <v>3</v>
      </c>
      <c r="X66" s="53" t="s">
        <v>46</v>
      </c>
      <c r="Y66" s="53" t="s">
        <v>88</v>
      </c>
      <c r="Z66" s="53" t="s">
        <v>69</v>
      </c>
      <c r="AA66" s="53" t="s">
        <v>102</v>
      </c>
      <c r="AB66" s="53" t="s">
        <v>236</v>
      </c>
    </row>
    <row r="67" spans="1:28" x14ac:dyDescent="0.15">
      <c r="A67" s="53" t="s">
        <v>34</v>
      </c>
      <c r="B67" s="53" t="s">
        <v>232</v>
      </c>
      <c r="C67" s="53">
        <v>2019</v>
      </c>
      <c r="D67" s="176" t="s">
        <v>316</v>
      </c>
      <c r="E67" s="53" t="s">
        <v>374</v>
      </c>
      <c r="F67" s="53" t="s">
        <v>375</v>
      </c>
      <c r="G67" s="53" t="s">
        <v>36</v>
      </c>
      <c r="H67" s="53" t="s">
        <v>164</v>
      </c>
      <c r="I67" s="53" t="s">
        <v>159</v>
      </c>
      <c r="J67" s="53" t="s">
        <v>38</v>
      </c>
      <c r="K67" s="53" t="s">
        <v>161</v>
      </c>
      <c r="L67" s="53">
        <v>3</v>
      </c>
      <c r="N67" s="53">
        <v>4</v>
      </c>
      <c r="O67" s="53">
        <v>0.2</v>
      </c>
      <c r="P67" s="53">
        <v>0.2</v>
      </c>
      <c r="Q67" s="75">
        <f t="shared" si="0"/>
        <v>0.2</v>
      </c>
      <c r="R67" s="53">
        <v>14.3</v>
      </c>
      <c r="S67" s="53">
        <v>91</v>
      </c>
      <c r="T67" s="16">
        <f t="shared" si="1"/>
        <v>36</v>
      </c>
      <c r="U67" s="53">
        <v>321</v>
      </c>
      <c r="V67" s="16">
        <f t="shared" si="2"/>
        <v>2889</v>
      </c>
      <c r="W67" s="53">
        <v>3</v>
      </c>
      <c r="X67" s="53" t="s">
        <v>46</v>
      </c>
      <c r="Y67" s="53" t="s">
        <v>88</v>
      </c>
      <c r="Z67" s="53" t="s">
        <v>69</v>
      </c>
      <c r="AA67" s="53" t="s">
        <v>102</v>
      </c>
      <c r="AB67" s="53" t="s">
        <v>236</v>
      </c>
    </row>
    <row r="68" spans="1:28" x14ac:dyDescent="0.15">
      <c r="A68" s="53" t="s">
        <v>34</v>
      </c>
      <c r="B68" s="53" t="s">
        <v>232</v>
      </c>
      <c r="C68" s="53">
        <v>2019</v>
      </c>
      <c r="D68" s="176" t="s">
        <v>316</v>
      </c>
      <c r="E68" s="53" t="s">
        <v>374</v>
      </c>
      <c r="F68" s="53" t="s">
        <v>375</v>
      </c>
      <c r="G68" s="53" t="s">
        <v>36</v>
      </c>
      <c r="H68" s="53" t="s">
        <v>160</v>
      </c>
      <c r="I68" s="53" t="s">
        <v>159</v>
      </c>
      <c r="J68" s="53" t="s">
        <v>38</v>
      </c>
      <c r="K68" s="53" t="s">
        <v>161</v>
      </c>
      <c r="L68" s="53">
        <v>1</v>
      </c>
      <c r="N68" s="53">
        <v>1</v>
      </c>
      <c r="O68" s="53">
        <v>0.5</v>
      </c>
      <c r="P68" s="53">
        <v>0.5</v>
      </c>
      <c r="Q68" s="75">
        <f t="shared" si="0"/>
        <v>0.5</v>
      </c>
      <c r="R68" s="53">
        <v>19.100000000000001</v>
      </c>
      <c r="S68" s="53">
        <v>124</v>
      </c>
      <c r="T68" s="16">
        <f t="shared" si="1"/>
        <v>30</v>
      </c>
      <c r="U68" s="53">
        <v>108</v>
      </c>
      <c r="V68" s="16">
        <f t="shared" si="2"/>
        <v>3240</v>
      </c>
      <c r="W68" s="53">
        <v>3</v>
      </c>
      <c r="X68" s="53" t="s">
        <v>46</v>
      </c>
      <c r="Y68" s="53" t="s">
        <v>88</v>
      </c>
      <c r="Z68" s="53" t="s">
        <v>69</v>
      </c>
      <c r="AA68" s="53" t="s">
        <v>102</v>
      </c>
      <c r="AB68" s="53" t="s">
        <v>236</v>
      </c>
    </row>
    <row r="69" spans="1:28" x14ac:dyDescent="0.15">
      <c r="A69" s="53" t="s">
        <v>34</v>
      </c>
      <c r="B69" s="53" t="s">
        <v>232</v>
      </c>
      <c r="C69" s="53">
        <v>2019</v>
      </c>
      <c r="D69" s="176" t="s">
        <v>316</v>
      </c>
      <c r="E69" s="53" t="s">
        <v>374</v>
      </c>
      <c r="F69" s="53" t="s">
        <v>375</v>
      </c>
      <c r="G69" s="53" t="s">
        <v>36</v>
      </c>
      <c r="H69" s="53" t="s">
        <v>160</v>
      </c>
      <c r="I69" s="53" t="s">
        <v>159</v>
      </c>
      <c r="J69" s="53" t="s">
        <v>38</v>
      </c>
      <c r="K69" s="53" t="s">
        <v>161</v>
      </c>
      <c r="L69" s="53">
        <v>2</v>
      </c>
      <c r="N69" s="53">
        <v>1</v>
      </c>
      <c r="O69" s="53">
        <v>0.55000000000000004</v>
      </c>
      <c r="P69" s="53">
        <v>0.65</v>
      </c>
      <c r="Q69" s="75">
        <f t="shared" si="0"/>
        <v>0.60000000000000009</v>
      </c>
      <c r="R69" s="53">
        <v>19.3</v>
      </c>
      <c r="S69" s="53">
        <v>124</v>
      </c>
      <c r="T69" s="16">
        <f t="shared" si="1"/>
        <v>30</v>
      </c>
      <c r="U69" s="53">
        <v>108</v>
      </c>
      <c r="V69" s="16">
        <f t="shared" si="2"/>
        <v>3240</v>
      </c>
      <c r="W69" s="53">
        <v>3</v>
      </c>
      <c r="X69" s="53" t="s">
        <v>46</v>
      </c>
      <c r="Y69" s="53" t="s">
        <v>88</v>
      </c>
      <c r="Z69" s="53" t="s">
        <v>69</v>
      </c>
      <c r="AA69" s="53" t="s">
        <v>102</v>
      </c>
      <c r="AB69" s="53" t="s">
        <v>236</v>
      </c>
    </row>
    <row r="70" spans="1:28" x14ac:dyDescent="0.15">
      <c r="A70" s="53" t="s">
        <v>34</v>
      </c>
      <c r="B70" s="53" t="s">
        <v>232</v>
      </c>
      <c r="C70" s="53">
        <v>2019</v>
      </c>
      <c r="D70" s="176" t="s">
        <v>316</v>
      </c>
      <c r="E70" s="53" t="s">
        <v>374</v>
      </c>
      <c r="F70" s="53" t="s">
        <v>375</v>
      </c>
      <c r="G70" s="53" t="s">
        <v>36</v>
      </c>
      <c r="H70" s="53" t="s">
        <v>160</v>
      </c>
      <c r="I70" s="53" t="s">
        <v>159</v>
      </c>
      <c r="J70" s="53" t="s">
        <v>38</v>
      </c>
      <c r="K70" s="53" t="s">
        <v>161</v>
      </c>
      <c r="L70" s="53">
        <v>3</v>
      </c>
      <c r="N70" s="53">
        <v>1</v>
      </c>
      <c r="O70" s="53">
        <v>0.2</v>
      </c>
      <c r="P70" s="53">
        <v>0.55000000000000004</v>
      </c>
      <c r="Q70" s="75">
        <f t="shared" si="0"/>
        <v>0.375</v>
      </c>
      <c r="R70" s="53">
        <v>18.600000000000001</v>
      </c>
      <c r="S70" s="53">
        <v>126</v>
      </c>
      <c r="T70" s="16">
        <f t="shared" si="1"/>
        <v>30</v>
      </c>
      <c r="U70" s="53">
        <v>108</v>
      </c>
      <c r="V70" s="16">
        <f t="shared" si="2"/>
        <v>3240</v>
      </c>
      <c r="W70" s="53">
        <v>3</v>
      </c>
      <c r="X70" s="53" t="s">
        <v>46</v>
      </c>
      <c r="Y70" s="53" t="s">
        <v>88</v>
      </c>
      <c r="Z70" s="53" t="s">
        <v>69</v>
      </c>
      <c r="AA70" s="53" t="s">
        <v>102</v>
      </c>
      <c r="AB70" s="53" t="s">
        <v>236</v>
      </c>
    </row>
    <row r="71" spans="1:28" x14ac:dyDescent="0.15">
      <c r="A71" s="53" t="s">
        <v>34</v>
      </c>
      <c r="B71" s="53" t="s">
        <v>232</v>
      </c>
      <c r="C71" s="53">
        <v>2019</v>
      </c>
      <c r="D71" s="176" t="s">
        <v>316</v>
      </c>
      <c r="E71" s="53" t="s">
        <v>374</v>
      </c>
      <c r="F71" s="53" t="s">
        <v>375</v>
      </c>
      <c r="G71" s="53" t="s">
        <v>36</v>
      </c>
      <c r="H71" s="53" t="s">
        <v>160</v>
      </c>
      <c r="I71" s="53" t="s">
        <v>159</v>
      </c>
      <c r="J71" s="53" t="s">
        <v>38</v>
      </c>
      <c r="K71" s="53" t="s">
        <v>161</v>
      </c>
      <c r="L71" s="53">
        <v>1</v>
      </c>
      <c r="N71" s="53">
        <v>4</v>
      </c>
      <c r="O71" s="53">
        <v>0.2</v>
      </c>
      <c r="P71" s="53">
        <v>0.5</v>
      </c>
      <c r="Q71" s="75">
        <f t="shared" si="0"/>
        <v>0.35</v>
      </c>
      <c r="R71" s="53">
        <v>17.8</v>
      </c>
      <c r="S71" s="53">
        <v>104</v>
      </c>
      <c r="T71" s="16">
        <f t="shared" si="1"/>
        <v>33</v>
      </c>
      <c r="U71" s="53">
        <v>429</v>
      </c>
      <c r="V71" s="16">
        <f t="shared" si="2"/>
        <v>3539.25</v>
      </c>
      <c r="W71" s="53">
        <v>3</v>
      </c>
      <c r="X71" s="53" t="s">
        <v>46</v>
      </c>
      <c r="Y71" s="53" t="s">
        <v>88</v>
      </c>
      <c r="Z71" s="53" t="s">
        <v>69</v>
      </c>
      <c r="AA71" s="53" t="s">
        <v>102</v>
      </c>
      <c r="AB71" s="53" t="s">
        <v>236</v>
      </c>
    </row>
    <row r="72" spans="1:28" x14ac:dyDescent="0.15">
      <c r="A72" s="53" t="s">
        <v>34</v>
      </c>
      <c r="B72" s="53" t="s">
        <v>232</v>
      </c>
      <c r="C72" s="53">
        <v>2019</v>
      </c>
      <c r="D72" s="176" t="s">
        <v>316</v>
      </c>
      <c r="E72" s="53" t="s">
        <v>374</v>
      </c>
      <c r="F72" s="53" t="s">
        <v>375</v>
      </c>
      <c r="G72" s="53" t="s">
        <v>36</v>
      </c>
      <c r="H72" s="53" t="s">
        <v>160</v>
      </c>
      <c r="I72" s="53" t="s">
        <v>159</v>
      </c>
      <c r="J72" s="53" t="s">
        <v>38</v>
      </c>
      <c r="K72" s="53" t="s">
        <v>161</v>
      </c>
      <c r="L72" s="53">
        <v>2</v>
      </c>
      <c r="N72" s="53">
        <v>4</v>
      </c>
      <c r="O72" s="53">
        <v>0.2</v>
      </c>
      <c r="P72" s="53">
        <v>0.2</v>
      </c>
      <c r="Q72" s="75">
        <f t="shared" si="0"/>
        <v>0.2</v>
      </c>
      <c r="R72" s="53">
        <v>18.100000000000001</v>
      </c>
      <c r="S72" s="53">
        <v>104</v>
      </c>
      <c r="T72" s="16">
        <f t="shared" si="1"/>
        <v>33</v>
      </c>
      <c r="U72" s="53">
        <v>429</v>
      </c>
      <c r="V72" s="16">
        <f t="shared" si="2"/>
        <v>3539.25</v>
      </c>
      <c r="W72" s="53">
        <v>3</v>
      </c>
      <c r="X72" s="53" t="s">
        <v>46</v>
      </c>
      <c r="Y72" s="53" t="s">
        <v>88</v>
      </c>
      <c r="Z72" s="53" t="s">
        <v>69</v>
      </c>
      <c r="AA72" s="53" t="s">
        <v>102</v>
      </c>
      <c r="AB72" s="53" t="s">
        <v>236</v>
      </c>
    </row>
    <row r="73" spans="1:28" x14ac:dyDescent="0.15">
      <c r="A73" s="53" t="s">
        <v>34</v>
      </c>
      <c r="B73" s="53" t="s">
        <v>232</v>
      </c>
      <c r="C73" s="53">
        <v>2019</v>
      </c>
      <c r="D73" s="176" t="s">
        <v>316</v>
      </c>
      <c r="E73" s="53" t="s">
        <v>374</v>
      </c>
      <c r="F73" s="53" t="s">
        <v>375</v>
      </c>
      <c r="G73" s="53" t="s">
        <v>36</v>
      </c>
      <c r="H73" s="53" t="s">
        <v>160</v>
      </c>
      <c r="I73" s="53" t="s">
        <v>159</v>
      </c>
      <c r="J73" s="53" t="s">
        <v>38</v>
      </c>
      <c r="K73" s="53" t="s">
        <v>161</v>
      </c>
      <c r="L73" s="53">
        <v>3</v>
      </c>
      <c r="N73" s="53">
        <v>4</v>
      </c>
      <c r="O73" s="53">
        <v>0.2</v>
      </c>
      <c r="P73" s="53">
        <v>0.2</v>
      </c>
      <c r="Q73" s="75">
        <f t="shared" si="0"/>
        <v>0.2</v>
      </c>
      <c r="R73" s="53">
        <v>14.4</v>
      </c>
      <c r="S73" s="53">
        <v>110</v>
      </c>
      <c r="T73" s="16">
        <f t="shared" si="1"/>
        <v>33</v>
      </c>
      <c r="U73" s="53">
        <v>429</v>
      </c>
      <c r="V73" s="16">
        <f t="shared" si="2"/>
        <v>3539.25</v>
      </c>
      <c r="W73" s="53">
        <v>3</v>
      </c>
      <c r="X73" s="53" t="s">
        <v>46</v>
      </c>
      <c r="Y73" s="53" t="s">
        <v>88</v>
      </c>
      <c r="Z73" s="53" t="s">
        <v>69</v>
      </c>
      <c r="AA73" s="53" t="s">
        <v>102</v>
      </c>
      <c r="AB73" s="53" t="s">
        <v>236</v>
      </c>
    </row>
    <row r="74" spans="1:28" x14ac:dyDescent="0.15">
      <c r="A74" s="53" t="s">
        <v>34</v>
      </c>
      <c r="B74" s="53" t="s">
        <v>232</v>
      </c>
      <c r="C74" s="53">
        <v>2019</v>
      </c>
      <c r="D74" s="176" t="s">
        <v>316</v>
      </c>
      <c r="E74" s="53" t="s">
        <v>374</v>
      </c>
      <c r="F74" s="53" t="s">
        <v>375</v>
      </c>
      <c r="G74" s="53" t="s">
        <v>36</v>
      </c>
      <c r="H74" s="53" t="s">
        <v>164</v>
      </c>
      <c r="I74" s="53" t="s">
        <v>159</v>
      </c>
      <c r="J74" s="53" t="s">
        <v>38</v>
      </c>
      <c r="K74" s="53" t="s">
        <v>161</v>
      </c>
      <c r="L74" s="53">
        <v>1</v>
      </c>
      <c r="N74" s="53">
        <v>1</v>
      </c>
      <c r="O74" s="53">
        <v>0.9</v>
      </c>
      <c r="P74" s="53">
        <v>0.8</v>
      </c>
      <c r="Q74" s="75">
        <f t="shared" si="0"/>
        <v>0.85000000000000009</v>
      </c>
      <c r="R74" s="53">
        <v>18.3</v>
      </c>
      <c r="S74" s="53">
        <v>132</v>
      </c>
      <c r="T74" s="16">
        <f t="shared" si="1"/>
        <v>30</v>
      </c>
      <c r="U74" s="53">
        <v>105</v>
      </c>
      <c r="V74" s="16">
        <f t="shared" si="2"/>
        <v>3150</v>
      </c>
      <c r="W74" s="53">
        <v>2</v>
      </c>
      <c r="X74" s="53" t="s">
        <v>46</v>
      </c>
      <c r="Y74" s="53" t="s">
        <v>88</v>
      </c>
      <c r="Z74" s="53" t="s">
        <v>78</v>
      </c>
      <c r="AA74" s="53" t="s">
        <v>69</v>
      </c>
      <c r="AB74" s="53" t="s">
        <v>236</v>
      </c>
    </row>
    <row r="75" spans="1:28" x14ac:dyDescent="0.15">
      <c r="A75" s="53" t="s">
        <v>34</v>
      </c>
      <c r="B75" s="53" t="s">
        <v>232</v>
      </c>
      <c r="C75" s="53">
        <v>2019</v>
      </c>
      <c r="D75" s="176" t="s">
        <v>316</v>
      </c>
      <c r="E75" s="53" t="s">
        <v>319</v>
      </c>
      <c r="F75" s="53" t="s">
        <v>373</v>
      </c>
      <c r="G75" s="53" t="s">
        <v>36</v>
      </c>
      <c r="H75" s="53" t="s">
        <v>164</v>
      </c>
      <c r="I75" s="53" t="s">
        <v>159</v>
      </c>
      <c r="J75" s="53" t="s">
        <v>38</v>
      </c>
      <c r="K75" s="53" t="s">
        <v>161</v>
      </c>
      <c r="L75" s="53">
        <v>2</v>
      </c>
      <c r="N75" s="53">
        <v>1</v>
      </c>
      <c r="O75" s="53">
        <v>0.6</v>
      </c>
      <c r="P75" s="53">
        <v>0.2</v>
      </c>
      <c r="Q75" s="75">
        <f t="shared" si="0"/>
        <v>0.4</v>
      </c>
      <c r="R75" s="53">
        <v>18.399999999999999</v>
      </c>
      <c r="S75" s="53">
        <v>136</v>
      </c>
      <c r="T75" s="16">
        <f t="shared" si="1"/>
        <v>30</v>
      </c>
      <c r="U75" s="53">
        <v>105</v>
      </c>
      <c r="V75" s="16">
        <f t="shared" si="2"/>
        <v>3150</v>
      </c>
      <c r="W75" s="53">
        <v>2</v>
      </c>
      <c r="X75" s="53" t="s">
        <v>46</v>
      </c>
      <c r="Y75" s="53" t="s">
        <v>88</v>
      </c>
      <c r="Z75" s="53" t="s">
        <v>78</v>
      </c>
      <c r="AA75" s="53" t="s">
        <v>69</v>
      </c>
      <c r="AB75" s="53" t="s">
        <v>236</v>
      </c>
    </row>
    <row r="76" spans="1:28" x14ac:dyDescent="0.15">
      <c r="A76" s="53" t="s">
        <v>34</v>
      </c>
      <c r="B76" s="53" t="s">
        <v>232</v>
      </c>
      <c r="C76" s="53">
        <v>2019</v>
      </c>
      <c r="D76" s="176" t="s">
        <v>316</v>
      </c>
      <c r="E76" s="53" t="s">
        <v>319</v>
      </c>
      <c r="F76" s="53" t="s">
        <v>373</v>
      </c>
      <c r="G76" s="53" t="s">
        <v>36</v>
      </c>
      <c r="H76" s="53" t="s">
        <v>164</v>
      </c>
      <c r="I76" s="53" t="s">
        <v>159</v>
      </c>
      <c r="J76" s="53" t="s">
        <v>38</v>
      </c>
      <c r="K76" s="53" t="s">
        <v>161</v>
      </c>
      <c r="L76" s="53">
        <v>3</v>
      </c>
      <c r="N76" s="53">
        <v>1</v>
      </c>
      <c r="O76" s="53">
        <v>0.8</v>
      </c>
      <c r="P76" s="53">
        <v>0.1</v>
      </c>
      <c r="Q76" s="75">
        <f t="shared" si="0"/>
        <v>0.45</v>
      </c>
      <c r="R76" s="53">
        <v>18.100000000000001</v>
      </c>
      <c r="S76" s="53">
        <v>136</v>
      </c>
      <c r="T76" s="16">
        <f t="shared" si="1"/>
        <v>30</v>
      </c>
      <c r="U76" s="53">
        <v>105</v>
      </c>
      <c r="V76" s="16">
        <f t="shared" si="2"/>
        <v>3150</v>
      </c>
      <c r="W76" s="53">
        <v>2</v>
      </c>
      <c r="X76" s="53" t="s">
        <v>46</v>
      </c>
      <c r="Y76" s="53" t="s">
        <v>88</v>
      </c>
      <c r="Z76" s="53" t="s">
        <v>78</v>
      </c>
      <c r="AA76" s="53" t="s">
        <v>69</v>
      </c>
      <c r="AB76" s="53" t="s">
        <v>236</v>
      </c>
    </row>
    <row r="77" spans="1:28" x14ac:dyDescent="0.15">
      <c r="A77" s="53" t="s">
        <v>34</v>
      </c>
      <c r="B77" s="53" t="s">
        <v>232</v>
      </c>
      <c r="C77" s="53">
        <v>2019</v>
      </c>
      <c r="D77" s="176" t="s">
        <v>316</v>
      </c>
      <c r="E77" s="53" t="s">
        <v>319</v>
      </c>
      <c r="F77" s="53" t="s">
        <v>373</v>
      </c>
      <c r="G77" s="53" t="s">
        <v>36</v>
      </c>
      <c r="H77" s="53" t="s">
        <v>160</v>
      </c>
      <c r="I77" s="53" t="s">
        <v>159</v>
      </c>
      <c r="J77" s="53" t="s">
        <v>38</v>
      </c>
      <c r="K77" s="53" t="s">
        <v>161</v>
      </c>
      <c r="L77" s="53">
        <v>1</v>
      </c>
      <c r="N77" s="53">
        <v>1</v>
      </c>
      <c r="O77" s="53">
        <v>1.2</v>
      </c>
      <c r="P77" s="53">
        <v>0.6</v>
      </c>
      <c r="Q77" s="75">
        <f t="shared" si="0"/>
        <v>0.89999999999999991</v>
      </c>
      <c r="R77" s="53">
        <v>18.100000000000001</v>
      </c>
      <c r="S77" s="53">
        <v>104</v>
      </c>
      <c r="T77" s="16">
        <f t="shared" si="1"/>
        <v>33</v>
      </c>
      <c r="U77" s="53">
        <v>101</v>
      </c>
      <c r="V77" s="16">
        <f t="shared" si="2"/>
        <v>3333</v>
      </c>
      <c r="W77" s="53">
        <v>2</v>
      </c>
      <c r="X77" s="53" t="s">
        <v>46</v>
      </c>
      <c r="Y77" s="53" t="s">
        <v>88</v>
      </c>
      <c r="Z77" s="53" t="s">
        <v>78</v>
      </c>
      <c r="AA77" s="53" t="s">
        <v>69</v>
      </c>
      <c r="AB77" s="53" t="s">
        <v>236</v>
      </c>
    </row>
    <row r="78" spans="1:28" x14ac:dyDescent="0.15">
      <c r="A78" s="53" t="s">
        <v>34</v>
      </c>
      <c r="B78" s="53" t="s">
        <v>232</v>
      </c>
      <c r="C78" s="53">
        <v>2019</v>
      </c>
      <c r="D78" s="176" t="s">
        <v>316</v>
      </c>
      <c r="E78" s="53" t="s">
        <v>319</v>
      </c>
      <c r="F78" s="53" t="s">
        <v>373</v>
      </c>
      <c r="G78" s="53" t="s">
        <v>36</v>
      </c>
      <c r="H78" s="53" t="s">
        <v>160</v>
      </c>
      <c r="I78" s="53" t="s">
        <v>159</v>
      </c>
      <c r="J78" s="53" t="s">
        <v>38</v>
      </c>
      <c r="K78" s="53" t="s">
        <v>161</v>
      </c>
      <c r="L78" s="53">
        <v>2</v>
      </c>
      <c r="N78" s="53">
        <v>1</v>
      </c>
      <c r="O78" s="53">
        <v>0.8</v>
      </c>
      <c r="P78" s="53">
        <v>0.6</v>
      </c>
      <c r="Q78" s="75">
        <f t="shared" si="0"/>
        <v>0.7</v>
      </c>
      <c r="R78" s="53">
        <v>19.100000000000001</v>
      </c>
      <c r="S78" s="53">
        <v>112</v>
      </c>
      <c r="T78" s="16">
        <f t="shared" si="1"/>
        <v>33</v>
      </c>
      <c r="U78" s="53">
        <v>101</v>
      </c>
      <c r="V78" s="16">
        <f t="shared" si="2"/>
        <v>3333</v>
      </c>
      <c r="W78" s="53">
        <v>2</v>
      </c>
      <c r="X78" s="53" t="s">
        <v>46</v>
      </c>
      <c r="Y78" s="53" t="s">
        <v>88</v>
      </c>
      <c r="Z78" s="53" t="s">
        <v>78</v>
      </c>
      <c r="AA78" s="53" t="s">
        <v>69</v>
      </c>
      <c r="AB78" s="53" t="s">
        <v>236</v>
      </c>
    </row>
    <row r="79" spans="1:28" x14ac:dyDescent="0.15">
      <c r="A79" s="53" t="s">
        <v>34</v>
      </c>
      <c r="B79" s="53" t="s">
        <v>232</v>
      </c>
      <c r="C79" s="53">
        <v>2019</v>
      </c>
      <c r="D79" s="176" t="s">
        <v>316</v>
      </c>
      <c r="E79" s="53" t="s">
        <v>319</v>
      </c>
      <c r="F79" s="53" t="s">
        <v>373</v>
      </c>
      <c r="G79" s="53" t="s">
        <v>36</v>
      </c>
      <c r="H79" s="53" t="s">
        <v>160</v>
      </c>
      <c r="I79" s="53" t="s">
        <v>159</v>
      </c>
      <c r="J79" s="53" t="s">
        <v>38</v>
      </c>
      <c r="K79" s="53" t="s">
        <v>161</v>
      </c>
      <c r="L79" s="53">
        <v>3</v>
      </c>
      <c r="N79" s="53">
        <v>1</v>
      </c>
      <c r="O79" s="53">
        <v>0.7</v>
      </c>
      <c r="P79" s="53">
        <v>0.75</v>
      </c>
      <c r="Q79" s="75">
        <f t="shared" si="0"/>
        <v>0.72499999999999998</v>
      </c>
      <c r="R79" s="53">
        <v>17.399999999999999</v>
      </c>
      <c r="S79" s="53">
        <v>112</v>
      </c>
      <c r="T79" s="16">
        <f t="shared" si="1"/>
        <v>33</v>
      </c>
      <c r="U79" s="53">
        <v>101</v>
      </c>
      <c r="V79" s="16">
        <f t="shared" si="2"/>
        <v>3333</v>
      </c>
      <c r="W79" s="53">
        <v>2</v>
      </c>
      <c r="X79" s="53" t="s">
        <v>46</v>
      </c>
      <c r="Y79" s="53" t="s">
        <v>88</v>
      </c>
      <c r="Z79" s="53" t="s">
        <v>78</v>
      </c>
      <c r="AA79" s="53" t="s">
        <v>69</v>
      </c>
      <c r="AB79" s="53" t="s">
        <v>236</v>
      </c>
    </row>
    <row r="80" spans="1:28" x14ac:dyDescent="0.15">
      <c r="A80" s="53" t="s">
        <v>34</v>
      </c>
      <c r="B80" s="53" t="s">
        <v>232</v>
      </c>
      <c r="C80" s="53">
        <v>2019</v>
      </c>
      <c r="D80" s="176" t="s">
        <v>316</v>
      </c>
      <c r="E80" s="53" t="s">
        <v>319</v>
      </c>
      <c r="F80" s="53" t="s">
        <v>373</v>
      </c>
      <c r="G80" s="53" t="s">
        <v>36</v>
      </c>
      <c r="H80" s="53" t="s">
        <v>164</v>
      </c>
      <c r="I80" s="53" t="s">
        <v>159</v>
      </c>
      <c r="J80" s="53" t="s">
        <v>38</v>
      </c>
      <c r="K80" s="53" t="s">
        <v>161</v>
      </c>
      <c r="L80" s="53">
        <v>1</v>
      </c>
      <c r="N80" s="53">
        <v>1</v>
      </c>
      <c r="O80" s="53">
        <v>0.2</v>
      </c>
      <c r="P80" s="53">
        <v>0.2</v>
      </c>
      <c r="Q80" s="75">
        <f t="shared" si="0"/>
        <v>0.2</v>
      </c>
      <c r="R80" s="53">
        <v>18.3</v>
      </c>
      <c r="S80" s="53">
        <v>130</v>
      </c>
      <c r="T80" s="16">
        <f t="shared" si="1"/>
        <v>30</v>
      </c>
      <c r="U80" s="53">
        <v>127</v>
      </c>
      <c r="V80" s="16">
        <f t="shared" si="2"/>
        <v>3810</v>
      </c>
      <c r="W80" s="53">
        <v>6</v>
      </c>
      <c r="X80" s="53" t="s">
        <v>46</v>
      </c>
      <c r="Y80" s="53" t="s">
        <v>55</v>
      </c>
      <c r="Z80" s="53" t="s">
        <v>88</v>
      </c>
      <c r="AA80" s="53" t="s">
        <v>69</v>
      </c>
      <c r="AB80" s="53" t="s">
        <v>236</v>
      </c>
    </row>
    <row r="81" spans="1:28" x14ac:dyDescent="0.15">
      <c r="A81" s="53" t="s">
        <v>34</v>
      </c>
      <c r="B81" s="53" t="s">
        <v>232</v>
      </c>
      <c r="C81" s="53">
        <v>2019</v>
      </c>
      <c r="D81" s="176" t="s">
        <v>316</v>
      </c>
      <c r="E81" s="53" t="s">
        <v>378</v>
      </c>
      <c r="F81" s="53" t="s">
        <v>379</v>
      </c>
      <c r="G81" s="53" t="s">
        <v>36</v>
      </c>
      <c r="H81" s="53" t="s">
        <v>164</v>
      </c>
      <c r="I81" s="53" t="s">
        <v>159</v>
      </c>
      <c r="J81" s="53" t="s">
        <v>38</v>
      </c>
      <c r="K81" s="53" t="s">
        <v>161</v>
      </c>
      <c r="L81" s="53">
        <v>2</v>
      </c>
      <c r="N81" s="53">
        <v>1</v>
      </c>
      <c r="O81" s="53">
        <v>0.7</v>
      </c>
      <c r="P81" s="53">
        <v>0.75</v>
      </c>
      <c r="Q81" s="75">
        <f t="shared" si="0"/>
        <v>0.72499999999999998</v>
      </c>
      <c r="R81" s="53">
        <v>17.899999999999999</v>
      </c>
      <c r="S81" s="53">
        <v>140</v>
      </c>
      <c r="T81" s="16">
        <f t="shared" si="1"/>
        <v>30</v>
      </c>
      <c r="U81" s="53">
        <v>127</v>
      </c>
      <c r="V81" s="16">
        <f t="shared" si="2"/>
        <v>3810</v>
      </c>
      <c r="W81" s="53">
        <v>6</v>
      </c>
      <c r="X81" s="53" t="s">
        <v>46</v>
      </c>
      <c r="Y81" s="53" t="s">
        <v>55</v>
      </c>
      <c r="Z81" s="53" t="s">
        <v>88</v>
      </c>
      <c r="AA81" s="53" t="s">
        <v>69</v>
      </c>
      <c r="AB81" s="53" t="s">
        <v>236</v>
      </c>
    </row>
    <row r="82" spans="1:28" x14ac:dyDescent="0.15">
      <c r="A82" s="53" t="s">
        <v>34</v>
      </c>
      <c r="B82" s="53" t="s">
        <v>232</v>
      </c>
      <c r="C82" s="53">
        <v>2019</v>
      </c>
      <c r="D82" s="176" t="s">
        <v>316</v>
      </c>
      <c r="E82" s="53" t="s">
        <v>378</v>
      </c>
      <c r="F82" s="53" t="s">
        <v>379</v>
      </c>
      <c r="G82" s="53" t="s">
        <v>36</v>
      </c>
      <c r="H82" s="53" t="s">
        <v>164</v>
      </c>
      <c r="I82" s="53" t="s">
        <v>159</v>
      </c>
      <c r="J82" s="53" t="s">
        <v>38</v>
      </c>
      <c r="K82" s="53" t="s">
        <v>161</v>
      </c>
      <c r="L82" s="53">
        <v>3</v>
      </c>
      <c r="N82" s="53">
        <v>1</v>
      </c>
      <c r="O82" s="53">
        <v>0.65</v>
      </c>
      <c r="P82" s="53">
        <v>0.7</v>
      </c>
      <c r="Q82" s="75">
        <f t="shared" si="0"/>
        <v>0.67500000000000004</v>
      </c>
      <c r="R82" s="53">
        <v>17.7</v>
      </c>
      <c r="S82" s="53">
        <v>126</v>
      </c>
      <c r="T82" s="16">
        <f t="shared" si="1"/>
        <v>30</v>
      </c>
      <c r="U82" s="53">
        <v>127</v>
      </c>
      <c r="V82" s="16">
        <f t="shared" si="2"/>
        <v>3810</v>
      </c>
      <c r="W82" s="53">
        <v>6</v>
      </c>
      <c r="X82" s="53" t="s">
        <v>46</v>
      </c>
      <c r="Y82" s="53" t="s">
        <v>55</v>
      </c>
      <c r="Z82" s="53" t="s">
        <v>88</v>
      </c>
      <c r="AA82" s="53" t="s">
        <v>69</v>
      </c>
      <c r="AB82" s="53" t="s">
        <v>236</v>
      </c>
    </row>
    <row r="83" spans="1:28" x14ac:dyDescent="0.15">
      <c r="A83" s="53" t="s">
        <v>34</v>
      </c>
      <c r="B83" s="53" t="s">
        <v>232</v>
      </c>
      <c r="C83" s="53">
        <v>2019</v>
      </c>
      <c r="D83" s="176" t="s">
        <v>316</v>
      </c>
      <c r="E83" s="53" t="s">
        <v>378</v>
      </c>
      <c r="F83" s="53" t="s">
        <v>379</v>
      </c>
      <c r="G83" s="53" t="s">
        <v>36</v>
      </c>
      <c r="H83" s="53" t="s">
        <v>164</v>
      </c>
      <c r="I83" s="53" t="s">
        <v>159</v>
      </c>
      <c r="J83" s="53" t="s">
        <v>38</v>
      </c>
      <c r="K83" s="53" t="s">
        <v>161</v>
      </c>
      <c r="L83" s="53">
        <v>1</v>
      </c>
      <c r="N83" s="53">
        <v>4</v>
      </c>
      <c r="O83" s="53">
        <v>0.2</v>
      </c>
      <c r="P83" s="53">
        <v>0.2</v>
      </c>
      <c r="Q83" s="75">
        <f t="shared" ref="Q83:Q118" si="5">IF(OR(O83="",P83=""),"",AVERAGE(O83,P83))</f>
        <v>0.2</v>
      </c>
      <c r="R83" s="53">
        <v>15.5</v>
      </c>
      <c r="S83" s="53">
        <v>75</v>
      </c>
      <c r="T83" s="16">
        <f t="shared" si="1"/>
        <v>42</v>
      </c>
      <c r="U83" s="53">
        <v>429</v>
      </c>
      <c r="V83" s="16">
        <f t="shared" si="2"/>
        <v>4504.5</v>
      </c>
      <c r="W83" s="53">
        <v>6</v>
      </c>
      <c r="X83" s="53" t="s">
        <v>46</v>
      </c>
      <c r="Y83" s="53" t="s">
        <v>55</v>
      </c>
      <c r="Z83" s="53" t="s">
        <v>88</v>
      </c>
      <c r="AA83" s="53" t="s">
        <v>69</v>
      </c>
      <c r="AB83" s="53" t="s">
        <v>236</v>
      </c>
    </row>
    <row r="84" spans="1:28" x14ac:dyDescent="0.15">
      <c r="A84" s="53" t="s">
        <v>34</v>
      </c>
      <c r="B84" s="53" t="s">
        <v>232</v>
      </c>
      <c r="C84" s="53">
        <v>2019</v>
      </c>
      <c r="D84" s="176" t="s">
        <v>316</v>
      </c>
      <c r="E84" s="53" t="s">
        <v>378</v>
      </c>
      <c r="F84" s="53" t="s">
        <v>379</v>
      </c>
      <c r="G84" s="53" t="s">
        <v>36</v>
      </c>
      <c r="H84" s="53" t="s">
        <v>164</v>
      </c>
      <c r="I84" s="53" t="s">
        <v>159</v>
      </c>
      <c r="J84" s="53" t="s">
        <v>38</v>
      </c>
      <c r="K84" s="53" t="s">
        <v>161</v>
      </c>
      <c r="L84" s="53">
        <v>2</v>
      </c>
      <c r="N84" s="53">
        <v>4</v>
      </c>
      <c r="O84" s="53">
        <v>0.2</v>
      </c>
      <c r="P84" s="53">
        <v>0.2</v>
      </c>
      <c r="Q84" s="75">
        <f t="shared" si="5"/>
        <v>0.2</v>
      </c>
      <c r="R84" s="53">
        <v>16.8</v>
      </c>
      <c r="S84" s="53">
        <v>74</v>
      </c>
      <c r="T84" s="16">
        <f t="shared" si="1"/>
        <v>42</v>
      </c>
      <c r="U84" s="53">
        <v>429</v>
      </c>
      <c r="V84" s="16">
        <f t="shared" si="2"/>
        <v>4504.5</v>
      </c>
      <c r="W84" s="53">
        <v>6</v>
      </c>
      <c r="X84" s="53" t="s">
        <v>46</v>
      </c>
      <c r="Y84" s="53" t="s">
        <v>55</v>
      </c>
      <c r="Z84" s="53" t="s">
        <v>88</v>
      </c>
      <c r="AA84" s="53" t="s">
        <v>69</v>
      </c>
      <c r="AB84" s="53" t="s">
        <v>236</v>
      </c>
    </row>
    <row r="85" spans="1:28" x14ac:dyDescent="0.15">
      <c r="A85" s="53" t="s">
        <v>34</v>
      </c>
      <c r="B85" s="53" t="s">
        <v>232</v>
      </c>
      <c r="C85" s="53">
        <v>2019</v>
      </c>
      <c r="D85" s="176" t="s">
        <v>316</v>
      </c>
      <c r="E85" s="53" t="s">
        <v>378</v>
      </c>
      <c r="F85" s="53" t="s">
        <v>379</v>
      </c>
      <c r="G85" s="53" t="s">
        <v>36</v>
      </c>
      <c r="H85" s="53" t="s">
        <v>164</v>
      </c>
      <c r="I85" s="53" t="s">
        <v>159</v>
      </c>
      <c r="J85" s="53" t="s">
        <v>38</v>
      </c>
      <c r="K85" s="53" t="s">
        <v>161</v>
      </c>
      <c r="L85" s="53">
        <v>3</v>
      </c>
      <c r="N85" s="53">
        <v>4</v>
      </c>
      <c r="O85" s="53">
        <v>0.2</v>
      </c>
      <c r="P85" s="53">
        <v>0.2</v>
      </c>
      <c r="Q85" s="75">
        <f t="shared" si="5"/>
        <v>0.2</v>
      </c>
      <c r="R85" s="53">
        <v>16.899999999999999</v>
      </c>
      <c r="S85" s="53">
        <v>80</v>
      </c>
      <c r="T85" s="16">
        <f t="shared" si="1"/>
        <v>39</v>
      </c>
      <c r="U85" s="53">
        <v>429</v>
      </c>
      <c r="V85" s="16">
        <f t="shared" si="2"/>
        <v>4182.75</v>
      </c>
      <c r="W85" s="53">
        <v>6</v>
      </c>
      <c r="X85" s="53" t="s">
        <v>46</v>
      </c>
      <c r="Y85" s="53" t="s">
        <v>55</v>
      </c>
      <c r="Z85" s="53" t="s">
        <v>88</v>
      </c>
      <c r="AA85" s="53" t="s">
        <v>69</v>
      </c>
      <c r="AB85" s="53" t="s">
        <v>236</v>
      </c>
    </row>
    <row r="86" spans="1:28" x14ac:dyDescent="0.15">
      <c r="A86" s="53" t="s">
        <v>34</v>
      </c>
      <c r="B86" s="53" t="s">
        <v>232</v>
      </c>
      <c r="C86" s="53">
        <v>2019</v>
      </c>
      <c r="D86" s="176" t="s">
        <v>316</v>
      </c>
      <c r="E86" s="53" t="s">
        <v>378</v>
      </c>
      <c r="F86" s="53" t="s">
        <v>379</v>
      </c>
      <c r="G86" s="53" t="s">
        <v>36</v>
      </c>
      <c r="H86" s="53" t="s">
        <v>164</v>
      </c>
      <c r="I86" s="53" t="s">
        <v>159</v>
      </c>
      <c r="J86" s="53" t="s">
        <v>38</v>
      </c>
      <c r="K86" s="53" t="s">
        <v>161</v>
      </c>
      <c r="L86" s="53">
        <v>1</v>
      </c>
      <c r="N86" s="53">
        <v>10</v>
      </c>
      <c r="O86" s="53">
        <v>0.65</v>
      </c>
      <c r="P86" s="53">
        <v>0.6</v>
      </c>
      <c r="Q86" s="75">
        <f t="shared" si="5"/>
        <v>0.625</v>
      </c>
      <c r="R86" s="53">
        <v>17.7</v>
      </c>
      <c r="S86" s="53">
        <v>76</v>
      </c>
      <c r="T86" s="16">
        <f t="shared" si="1"/>
        <v>39</v>
      </c>
      <c r="U86" s="53">
        <v>429</v>
      </c>
      <c r="V86" s="16">
        <f t="shared" ref="V86:V119" si="6">IF(OR(N86="",U86="",T86=""),"",U86/N86*T86)</f>
        <v>1673.1</v>
      </c>
      <c r="W86" s="53">
        <v>6</v>
      </c>
      <c r="X86" s="53" t="s">
        <v>46</v>
      </c>
      <c r="Y86" s="53" t="s">
        <v>55</v>
      </c>
      <c r="Z86" s="53" t="s">
        <v>88</v>
      </c>
      <c r="AA86" s="53" t="s">
        <v>69</v>
      </c>
      <c r="AB86" s="53" t="s">
        <v>236</v>
      </c>
    </row>
    <row r="87" spans="1:28" x14ac:dyDescent="0.15">
      <c r="A87" s="53" t="s">
        <v>34</v>
      </c>
      <c r="B87" s="53" t="s">
        <v>232</v>
      </c>
      <c r="C87" s="53">
        <v>2019</v>
      </c>
      <c r="D87" s="176" t="s">
        <v>316</v>
      </c>
      <c r="E87" s="53" t="s">
        <v>378</v>
      </c>
      <c r="F87" s="53" t="s">
        <v>379</v>
      </c>
      <c r="G87" s="53" t="s">
        <v>36</v>
      </c>
      <c r="H87" s="53" t="s">
        <v>164</v>
      </c>
      <c r="I87" s="53" t="s">
        <v>159</v>
      </c>
      <c r="J87" s="53" t="s">
        <v>38</v>
      </c>
      <c r="K87" s="53" t="s">
        <v>161</v>
      </c>
      <c r="L87" s="53">
        <v>2</v>
      </c>
      <c r="N87" s="53">
        <v>10</v>
      </c>
      <c r="O87" s="53">
        <v>0.2</v>
      </c>
      <c r="P87" s="53">
        <v>0.2</v>
      </c>
      <c r="Q87" s="75">
        <f t="shared" si="5"/>
        <v>0.2</v>
      </c>
      <c r="R87" s="53">
        <v>17.3</v>
      </c>
      <c r="S87" s="53">
        <v>78</v>
      </c>
      <c r="T87" s="16">
        <f t="shared" ref="T87:T119" si="7">IF(H87="","",IF(OR(H87="GREEN",H87="GK"),IF(S87&gt;=$AX$2,VLOOKUP(S87,$AX$2:$AY$9,2,1),""),IF(S87&gt;=$AZ$2,VLOOKUP(S87,$AZ$2:$BA$9,2,1),"")))</f>
        <v>39</v>
      </c>
      <c r="U87" s="53">
        <v>429</v>
      </c>
      <c r="V87" s="16">
        <f t="shared" si="6"/>
        <v>1673.1</v>
      </c>
      <c r="W87" s="53">
        <v>6</v>
      </c>
      <c r="X87" s="53" t="s">
        <v>46</v>
      </c>
      <c r="Y87" s="53" t="s">
        <v>55</v>
      </c>
      <c r="Z87" s="53" t="s">
        <v>88</v>
      </c>
      <c r="AA87" s="53" t="s">
        <v>69</v>
      </c>
      <c r="AB87" s="53" t="s">
        <v>236</v>
      </c>
    </row>
    <row r="88" spans="1:28" x14ac:dyDescent="0.15">
      <c r="A88" s="53" t="s">
        <v>34</v>
      </c>
      <c r="B88" s="53" t="s">
        <v>232</v>
      </c>
      <c r="C88" s="53">
        <v>2019</v>
      </c>
      <c r="D88" s="176" t="s">
        <v>316</v>
      </c>
      <c r="E88" s="53" t="s">
        <v>378</v>
      </c>
      <c r="F88" s="53" t="s">
        <v>379</v>
      </c>
      <c r="G88" s="53" t="s">
        <v>36</v>
      </c>
      <c r="H88" s="53" t="s">
        <v>164</v>
      </c>
      <c r="I88" s="53" t="s">
        <v>159</v>
      </c>
      <c r="J88" s="53" t="s">
        <v>38</v>
      </c>
      <c r="K88" s="53" t="s">
        <v>161</v>
      </c>
      <c r="L88" s="53">
        <v>3</v>
      </c>
      <c r="N88" s="53">
        <v>10</v>
      </c>
      <c r="O88" s="53">
        <v>0.2</v>
      </c>
      <c r="P88" s="53">
        <v>0.2</v>
      </c>
      <c r="Q88" s="75">
        <f t="shared" si="5"/>
        <v>0.2</v>
      </c>
      <c r="R88" s="53">
        <v>17.8</v>
      </c>
      <c r="S88" s="53">
        <v>79</v>
      </c>
      <c r="T88" s="16">
        <f t="shared" si="7"/>
        <v>39</v>
      </c>
      <c r="U88" s="53">
        <v>429</v>
      </c>
      <c r="V88" s="16">
        <f t="shared" si="6"/>
        <v>1673.1</v>
      </c>
      <c r="W88" s="53">
        <v>6</v>
      </c>
      <c r="X88" s="53" t="s">
        <v>46</v>
      </c>
      <c r="Y88" s="53" t="s">
        <v>55</v>
      </c>
      <c r="Z88" s="53" t="s">
        <v>88</v>
      </c>
      <c r="AA88" s="53" t="s">
        <v>69</v>
      </c>
      <c r="AB88" s="53" t="s">
        <v>236</v>
      </c>
    </row>
    <row r="89" spans="1:28" x14ac:dyDescent="0.15">
      <c r="A89" s="53" t="s">
        <v>34</v>
      </c>
      <c r="B89" s="53" t="s">
        <v>232</v>
      </c>
      <c r="C89" s="53">
        <v>2019</v>
      </c>
      <c r="D89" s="176" t="s">
        <v>316</v>
      </c>
      <c r="E89" s="53" t="s">
        <v>378</v>
      </c>
      <c r="F89" s="53" t="s">
        <v>379</v>
      </c>
      <c r="G89" s="53" t="s">
        <v>36</v>
      </c>
      <c r="H89" s="53" t="s">
        <v>160</v>
      </c>
      <c r="I89" s="53" t="s">
        <v>159</v>
      </c>
      <c r="J89" s="53" t="s">
        <v>38</v>
      </c>
      <c r="K89" s="53" t="s">
        <v>161</v>
      </c>
      <c r="L89" s="53">
        <v>1</v>
      </c>
      <c r="N89" s="53">
        <v>1</v>
      </c>
      <c r="O89" s="53">
        <v>0.55000000000000004</v>
      </c>
      <c r="P89" s="53">
        <v>0.2</v>
      </c>
      <c r="Q89" s="75">
        <f t="shared" si="5"/>
        <v>0.375</v>
      </c>
      <c r="R89" s="53">
        <v>18.3</v>
      </c>
      <c r="S89" s="53">
        <v>126</v>
      </c>
      <c r="T89" s="16">
        <f t="shared" si="7"/>
        <v>30</v>
      </c>
      <c r="U89" s="53">
        <v>105</v>
      </c>
      <c r="V89" s="16">
        <f t="shared" si="6"/>
        <v>3150</v>
      </c>
      <c r="W89" s="53">
        <v>6</v>
      </c>
      <c r="X89" s="53" t="s">
        <v>46</v>
      </c>
      <c r="Y89" s="53" t="s">
        <v>55</v>
      </c>
      <c r="Z89" s="53" t="s">
        <v>88</v>
      </c>
      <c r="AA89" s="53" t="s">
        <v>69</v>
      </c>
      <c r="AB89" s="53" t="s">
        <v>236</v>
      </c>
    </row>
    <row r="90" spans="1:28" x14ac:dyDescent="0.15">
      <c r="A90" s="53" t="s">
        <v>34</v>
      </c>
      <c r="B90" s="53" t="s">
        <v>232</v>
      </c>
      <c r="C90" s="53">
        <v>2019</v>
      </c>
      <c r="D90" s="176" t="s">
        <v>316</v>
      </c>
      <c r="E90" s="53" t="s">
        <v>378</v>
      </c>
      <c r="F90" s="53" t="s">
        <v>379</v>
      </c>
      <c r="G90" s="53" t="s">
        <v>36</v>
      </c>
      <c r="H90" s="53" t="s">
        <v>160</v>
      </c>
      <c r="I90" s="53" t="s">
        <v>159</v>
      </c>
      <c r="J90" s="53" t="s">
        <v>38</v>
      </c>
      <c r="K90" s="53" t="s">
        <v>161</v>
      </c>
      <c r="L90" s="53">
        <v>2</v>
      </c>
      <c r="N90" s="53">
        <v>1</v>
      </c>
      <c r="O90" s="53">
        <v>0.55000000000000004</v>
      </c>
      <c r="P90" s="53">
        <v>0.55000000000000004</v>
      </c>
      <c r="Q90" s="75">
        <f t="shared" si="5"/>
        <v>0.55000000000000004</v>
      </c>
      <c r="R90" s="53">
        <v>17.899999999999999</v>
      </c>
      <c r="S90" s="53">
        <v>126</v>
      </c>
      <c r="T90" s="16">
        <f t="shared" si="7"/>
        <v>30</v>
      </c>
      <c r="U90" s="53">
        <v>105</v>
      </c>
      <c r="V90" s="16">
        <f t="shared" si="6"/>
        <v>3150</v>
      </c>
      <c r="W90" s="53">
        <v>6</v>
      </c>
      <c r="X90" s="53" t="s">
        <v>46</v>
      </c>
      <c r="Y90" s="53" t="s">
        <v>55</v>
      </c>
      <c r="Z90" s="53" t="s">
        <v>88</v>
      </c>
      <c r="AA90" s="53" t="s">
        <v>69</v>
      </c>
      <c r="AB90" s="53" t="s">
        <v>236</v>
      </c>
    </row>
    <row r="91" spans="1:28" x14ac:dyDescent="0.15">
      <c r="A91" s="53" t="s">
        <v>34</v>
      </c>
      <c r="B91" s="53" t="s">
        <v>232</v>
      </c>
      <c r="C91" s="53">
        <v>2019</v>
      </c>
      <c r="D91" s="176" t="s">
        <v>316</v>
      </c>
      <c r="E91" s="53" t="s">
        <v>378</v>
      </c>
      <c r="F91" s="53" t="s">
        <v>379</v>
      </c>
      <c r="G91" s="53" t="s">
        <v>36</v>
      </c>
      <c r="H91" s="53" t="s">
        <v>160</v>
      </c>
      <c r="I91" s="53" t="s">
        <v>159</v>
      </c>
      <c r="J91" s="53" t="s">
        <v>38</v>
      </c>
      <c r="K91" s="53" t="s">
        <v>161</v>
      </c>
      <c r="L91" s="53">
        <v>3</v>
      </c>
      <c r="N91" s="53">
        <v>1</v>
      </c>
      <c r="O91" s="53">
        <v>0.7</v>
      </c>
      <c r="P91" s="53">
        <v>0.65</v>
      </c>
      <c r="Q91" s="75">
        <f t="shared" si="5"/>
        <v>0.67500000000000004</v>
      </c>
      <c r="R91" s="53">
        <v>17.7</v>
      </c>
      <c r="S91" s="53">
        <v>128</v>
      </c>
      <c r="T91" s="16">
        <f t="shared" si="7"/>
        <v>30</v>
      </c>
      <c r="U91" s="53">
        <v>105</v>
      </c>
      <c r="V91" s="16">
        <f t="shared" si="6"/>
        <v>3150</v>
      </c>
      <c r="W91" s="53">
        <v>6</v>
      </c>
      <c r="X91" s="53" t="s">
        <v>46</v>
      </c>
      <c r="Y91" s="53" t="s">
        <v>55</v>
      </c>
      <c r="Z91" s="53" t="s">
        <v>88</v>
      </c>
      <c r="AA91" s="53" t="s">
        <v>69</v>
      </c>
      <c r="AB91" s="53" t="s">
        <v>236</v>
      </c>
    </row>
    <row r="92" spans="1:28" x14ac:dyDescent="0.15">
      <c r="A92" s="53" t="s">
        <v>34</v>
      </c>
      <c r="B92" s="53" t="s">
        <v>232</v>
      </c>
      <c r="C92" s="53">
        <v>2019</v>
      </c>
      <c r="D92" s="176" t="s">
        <v>316</v>
      </c>
      <c r="E92" s="53" t="s">
        <v>378</v>
      </c>
      <c r="F92" s="53" t="s">
        <v>379</v>
      </c>
      <c r="G92" s="53" t="s">
        <v>36</v>
      </c>
      <c r="H92" s="53" t="s">
        <v>160</v>
      </c>
      <c r="I92" s="53" t="s">
        <v>159</v>
      </c>
      <c r="J92" s="53" t="s">
        <v>38</v>
      </c>
      <c r="K92" s="53" t="s">
        <v>161</v>
      </c>
      <c r="L92" s="53">
        <v>1</v>
      </c>
      <c r="N92" s="53">
        <v>4</v>
      </c>
      <c r="O92" s="53">
        <v>0.2</v>
      </c>
      <c r="P92" s="53">
        <v>0.2</v>
      </c>
      <c r="Q92" s="75">
        <f t="shared" si="5"/>
        <v>0.2</v>
      </c>
      <c r="R92" s="53">
        <v>18.5</v>
      </c>
      <c r="S92" s="53">
        <v>97</v>
      </c>
      <c r="T92" s="16">
        <f t="shared" si="7"/>
        <v>36</v>
      </c>
      <c r="U92" s="53">
        <v>538</v>
      </c>
      <c r="V92" s="16">
        <f t="shared" si="6"/>
        <v>4842</v>
      </c>
      <c r="W92" s="53">
        <v>6</v>
      </c>
      <c r="X92" s="53" t="s">
        <v>46</v>
      </c>
      <c r="Y92" s="53" t="s">
        <v>55</v>
      </c>
      <c r="Z92" s="53" t="s">
        <v>88</v>
      </c>
      <c r="AA92" s="53" t="s">
        <v>69</v>
      </c>
      <c r="AB92" s="53" t="s">
        <v>236</v>
      </c>
    </row>
    <row r="93" spans="1:28" x14ac:dyDescent="0.15">
      <c r="A93" s="53" t="s">
        <v>34</v>
      </c>
      <c r="B93" s="53" t="s">
        <v>232</v>
      </c>
      <c r="C93" s="53">
        <v>2019</v>
      </c>
      <c r="D93" s="176" t="s">
        <v>316</v>
      </c>
      <c r="E93" s="53" t="s">
        <v>378</v>
      </c>
      <c r="F93" s="53" t="s">
        <v>379</v>
      </c>
      <c r="G93" s="53" t="s">
        <v>36</v>
      </c>
      <c r="H93" s="53" t="s">
        <v>160</v>
      </c>
      <c r="I93" s="53" t="s">
        <v>159</v>
      </c>
      <c r="J93" s="53" t="s">
        <v>38</v>
      </c>
      <c r="K93" s="53" t="s">
        <v>161</v>
      </c>
      <c r="L93" s="53">
        <v>2</v>
      </c>
      <c r="N93" s="53">
        <v>4</v>
      </c>
      <c r="O93" s="53">
        <v>0.2</v>
      </c>
      <c r="P93" s="53">
        <v>0.2</v>
      </c>
      <c r="Q93" s="75">
        <f t="shared" si="5"/>
        <v>0.2</v>
      </c>
      <c r="R93" s="53">
        <v>21</v>
      </c>
      <c r="S93" s="53">
        <v>89</v>
      </c>
      <c r="T93" s="16">
        <f t="shared" si="7"/>
        <v>36</v>
      </c>
      <c r="U93" s="53">
        <v>538</v>
      </c>
      <c r="V93" s="16">
        <f t="shared" si="6"/>
        <v>4842</v>
      </c>
      <c r="W93" s="53">
        <v>6</v>
      </c>
      <c r="X93" s="53" t="s">
        <v>46</v>
      </c>
      <c r="Y93" s="53" t="s">
        <v>55</v>
      </c>
      <c r="Z93" s="53" t="s">
        <v>88</v>
      </c>
      <c r="AA93" s="53" t="s">
        <v>69</v>
      </c>
      <c r="AB93" s="53" t="s">
        <v>236</v>
      </c>
    </row>
    <row r="94" spans="1:28" x14ac:dyDescent="0.15">
      <c r="A94" s="53" t="s">
        <v>34</v>
      </c>
      <c r="B94" s="53" t="s">
        <v>232</v>
      </c>
      <c r="C94" s="53">
        <v>2019</v>
      </c>
      <c r="D94" s="176" t="s">
        <v>316</v>
      </c>
      <c r="E94" s="53" t="s">
        <v>378</v>
      </c>
      <c r="F94" s="53" t="s">
        <v>379</v>
      </c>
      <c r="G94" s="53" t="s">
        <v>36</v>
      </c>
      <c r="H94" s="53" t="s">
        <v>160</v>
      </c>
      <c r="I94" s="53" t="s">
        <v>159</v>
      </c>
      <c r="J94" s="53" t="s">
        <v>38</v>
      </c>
      <c r="K94" s="53" t="s">
        <v>161</v>
      </c>
      <c r="L94" s="53">
        <v>3</v>
      </c>
      <c r="N94" s="53">
        <v>4</v>
      </c>
      <c r="O94" s="53">
        <v>0.2</v>
      </c>
      <c r="P94" s="53">
        <v>0.2</v>
      </c>
      <c r="Q94" s="75">
        <f t="shared" si="5"/>
        <v>0.2</v>
      </c>
      <c r="R94" s="53">
        <v>18.5</v>
      </c>
      <c r="S94" s="53">
        <v>90</v>
      </c>
      <c r="T94" s="16">
        <f t="shared" si="7"/>
        <v>36</v>
      </c>
      <c r="U94" s="53">
        <v>538</v>
      </c>
      <c r="V94" s="16">
        <f t="shared" si="6"/>
        <v>4842</v>
      </c>
      <c r="W94" s="53">
        <v>6</v>
      </c>
      <c r="X94" s="53" t="s">
        <v>46</v>
      </c>
      <c r="Y94" s="53" t="s">
        <v>55</v>
      </c>
      <c r="Z94" s="53" t="s">
        <v>88</v>
      </c>
      <c r="AA94" s="53" t="s">
        <v>69</v>
      </c>
      <c r="AB94" s="53" t="s">
        <v>236</v>
      </c>
    </row>
    <row r="95" spans="1:28" x14ac:dyDescent="0.15">
      <c r="A95" s="53" t="s">
        <v>34</v>
      </c>
      <c r="B95" s="53" t="s">
        <v>232</v>
      </c>
      <c r="C95" s="53">
        <v>2019</v>
      </c>
      <c r="D95" s="176" t="s">
        <v>316</v>
      </c>
      <c r="E95" s="53" t="s">
        <v>378</v>
      </c>
      <c r="F95" s="53" t="s">
        <v>379</v>
      </c>
      <c r="G95" s="53" t="s">
        <v>36</v>
      </c>
      <c r="H95" s="53" t="s">
        <v>160</v>
      </c>
      <c r="I95" s="53" t="s">
        <v>159</v>
      </c>
      <c r="J95" s="53" t="s">
        <v>38</v>
      </c>
      <c r="K95" s="53" t="s">
        <v>161</v>
      </c>
      <c r="L95" s="53">
        <v>1</v>
      </c>
      <c r="N95" s="53">
        <v>10</v>
      </c>
      <c r="O95" s="53">
        <v>0.2</v>
      </c>
      <c r="P95" s="53">
        <v>0.2</v>
      </c>
      <c r="Q95" s="75">
        <f t="shared" si="5"/>
        <v>0.2</v>
      </c>
      <c r="R95" s="53">
        <v>19.3</v>
      </c>
      <c r="S95" s="53">
        <v>93</v>
      </c>
      <c r="T95" s="16">
        <f t="shared" si="7"/>
        <v>36</v>
      </c>
      <c r="U95" s="53">
        <v>1058</v>
      </c>
      <c r="V95" s="16">
        <f t="shared" si="6"/>
        <v>3808.7999999999997</v>
      </c>
      <c r="W95" s="53">
        <v>6</v>
      </c>
      <c r="X95" s="53" t="s">
        <v>46</v>
      </c>
      <c r="Y95" s="53" t="s">
        <v>55</v>
      </c>
      <c r="Z95" s="53" t="s">
        <v>88</v>
      </c>
      <c r="AA95" s="53" t="s">
        <v>69</v>
      </c>
      <c r="AB95" s="53" t="s">
        <v>236</v>
      </c>
    </row>
    <row r="96" spans="1:28" x14ac:dyDescent="0.15">
      <c r="A96" s="53" t="s">
        <v>34</v>
      </c>
      <c r="B96" s="53" t="s">
        <v>232</v>
      </c>
      <c r="C96" s="53">
        <v>2019</v>
      </c>
      <c r="D96" s="176" t="s">
        <v>316</v>
      </c>
      <c r="E96" s="53" t="s">
        <v>378</v>
      </c>
      <c r="F96" s="53" t="s">
        <v>379</v>
      </c>
      <c r="G96" s="53" t="s">
        <v>36</v>
      </c>
      <c r="H96" s="53" t="s">
        <v>160</v>
      </c>
      <c r="I96" s="53" t="s">
        <v>159</v>
      </c>
      <c r="J96" s="53" t="s">
        <v>38</v>
      </c>
      <c r="K96" s="53" t="s">
        <v>161</v>
      </c>
      <c r="L96" s="53">
        <v>2</v>
      </c>
      <c r="N96" s="53">
        <v>10</v>
      </c>
      <c r="O96" s="53">
        <v>0.2</v>
      </c>
      <c r="P96" s="53">
        <v>0.2</v>
      </c>
      <c r="Q96" s="75">
        <f t="shared" si="5"/>
        <v>0.2</v>
      </c>
      <c r="R96" s="53">
        <v>17.3</v>
      </c>
      <c r="S96" s="53">
        <v>93</v>
      </c>
      <c r="T96" s="16">
        <f t="shared" si="7"/>
        <v>36</v>
      </c>
      <c r="U96" s="53">
        <v>1058</v>
      </c>
      <c r="V96" s="16">
        <f t="shared" si="6"/>
        <v>3808.7999999999997</v>
      </c>
      <c r="W96" s="53">
        <v>6</v>
      </c>
      <c r="X96" s="53" t="s">
        <v>46</v>
      </c>
      <c r="Y96" s="53" t="s">
        <v>55</v>
      </c>
      <c r="Z96" s="53" t="s">
        <v>88</v>
      </c>
      <c r="AA96" s="53" t="s">
        <v>69</v>
      </c>
      <c r="AB96" s="53" t="s">
        <v>236</v>
      </c>
    </row>
    <row r="97" spans="1:28" x14ac:dyDescent="0.15">
      <c r="A97" s="53" t="s">
        <v>34</v>
      </c>
      <c r="B97" s="53" t="s">
        <v>232</v>
      </c>
      <c r="C97" s="53">
        <v>2019</v>
      </c>
      <c r="D97" s="176" t="s">
        <v>316</v>
      </c>
      <c r="E97" s="53" t="s">
        <v>378</v>
      </c>
      <c r="F97" s="53" t="s">
        <v>379</v>
      </c>
      <c r="G97" s="53" t="s">
        <v>36</v>
      </c>
      <c r="H97" s="53" t="s">
        <v>160</v>
      </c>
      <c r="I97" s="53" t="s">
        <v>159</v>
      </c>
      <c r="J97" s="53" t="s">
        <v>38</v>
      </c>
      <c r="K97" s="53" t="s">
        <v>161</v>
      </c>
      <c r="L97" s="53">
        <v>3</v>
      </c>
      <c r="N97" s="53">
        <v>10</v>
      </c>
      <c r="O97" s="53">
        <v>0.2</v>
      </c>
      <c r="P97" s="53">
        <v>0.6</v>
      </c>
      <c r="Q97" s="75">
        <f t="shared" si="5"/>
        <v>0.4</v>
      </c>
      <c r="R97" s="53">
        <v>18.2</v>
      </c>
      <c r="S97" s="53">
        <v>87</v>
      </c>
      <c r="T97" s="16">
        <f t="shared" si="7"/>
        <v>36</v>
      </c>
      <c r="U97" s="53">
        <v>1058</v>
      </c>
      <c r="V97" s="16">
        <f t="shared" si="6"/>
        <v>3808.7999999999997</v>
      </c>
      <c r="W97" s="53">
        <v>6</v>
      </c>
      <c r="X97" s="53" t="s">
        <v>46</v>
      </c>
      <c r="Y97" s="53" t="s">
        <v>55</v>
      </c>
      <c r="Z97" s="53" t="s">
        <v>88</v>
      </c>
      <c r="AA97" s="53" t="s">
        <v>69</v>
      </c>
      <c r="AB97" s="53" t="s">
        <v>236</v>
      </c>
    </row>
    <row r="98" spans="1:28" x14ac:dyDescent="0.15">
      <c r="A98" s="53" t="s">
        <v>34</v>
      </c>
      <c r="B98" s="53" t="s">
        <v>232</v>
      </c>
      <c r="C98" s="53">
        <v>2019</v>
      </c>
      <c r="D98" s="176" t="s">
        <v>316</v>
      </c>
      <c r="E98" s="53" t="s">
        <v>380</v>
      </c>
      <c r="F98" s="53" t="s">
        <v>381</v>
      </c>
      <c r="G98" s="53" t="s">
        <v>36</v>
      </c>
      <c r="H98" s="53" t="s">
        <v>164</v>
      </c>
      <c r="I98" s="53" t="s">
        <v>159</v>
      </c>
      <c r="J98" s="53" t="s">
        <v>38</v>
      </c>
      <c r="K98" s="53" t="s">
        <v>161</v>
      </c>
      <c r="L98" s="53">
        <v>1</v>
      </c>
      <c r="N98" s="53">
        <v>1</v>
      </c>
      <c r="O98" s="53">
        <v>0.2</v>
      </c>
      <c r="P98" s="53">
        <v>0.2</v>
      </c>
      <c r="Q98" s="75">
        <f t="shared" si="5"/>
        <v>0.2</v>
      </c>
      <c r="R98" s="53">
        <v>18.2</v>
      </c>
      <c r="S98" s="53">
        <v>102</v>
      </c>
      <c r="T98" s="16">
        <f t="shared" si="7"/>
        <v>33</v>
      </c>
      <c r="U98" s="53">
        <v>78</v>
      </c>
      <c r="V98" s="16">
        <f t="shared" si="6"/>
        <v>2574</v>
      </c>
      <c r="W98" s="53">
        <v>4</v>
      </c>
      <c r="X98" s="53" t="s">
        <v>46</v>
      </c>
      <c r="Y98" s="53" t="s">
        <v>102</v>
      </c>
      <c r="Z98" s="53" t="s">
        <v>69</v>
      </c>
      <c r="AA98" s="53" t="s">
        <v>88</v>
      </c>
      <c r="AB98" s="53" t="s">
        <v>236</v>
      </c>
    </row>
    <row r="99" spans="1:28" x14ac:dyDescent="0.15">
      <c r="A99" s="53" t="s">
        <v>34</v>
      </c>
      <c r="B99" s="53" t="s">
        <v>232</v>
      </c>
      <c r="C99" s="53">
        <v>2019</v>
      </c>
      <c r="D99" s="176" t="s">
        <v>316</v>
      </c>
      <c r="E99" s="53" t="s">
        <v>380</v>
      </c>
      <c r="F99" s="53" t="s">
        <v>381</v>
      </c>
      <c r="G99" s="53" t="s">
        <v>36</v>
      </c>
      <c r="H99" s="53" t="s">
        <v>164</v>
      </c>
      <c r="I99" s="53" t="s">
        <v>159</v>
      </c>
      <c r="J99" s="53" t="s">
        <v>38</v>
      </c>
      <c r="K99" s="53" t="s">
        <v>161</v>
      </c>
      <c r="L99" s="53">
        <v>2</v>
      </c>
      <c r="N99" s="53">
        <v>1</v>
      </c>
      <c r="O99" s="53">
        <v>0.6</v>
      </c>
      <c r="P99" s="53">
        <v>0.2</v>
      </c>
      <c r="Q99" s="75">
        <f t="shared" si="5"/>
        <v>0.4</v>
      </c>
      <c r="R99" s="53">
        <v>18.100000000000001</v>
      </c>
      <c r="S99" s="53">
        <v>95</v>
      </c>
      <c r="T99" s="16">
        <f t="shared" si="7"/>
        <v>36</v>
      </c>
      <c r="U99" s="53">
        <v>78</v>
      </c>
      <c r="V99" s="16">
        <f t="shared" si="6"/>
        <v>2808</v>
      </c>
      <c r="W99" s="53">
        <v>4</v>
      </c>
      <c r="X99" s="53" t="s">
        <v>46</v>
      </c>
      <c r="Y99" s="53" t="s">
        <v>102</v>
      </c>
      <c r="Z99" s="53" t="s">
        <v>69</v>
      </c>
      <c r="AA99" s="53" t="s">
        <v>88</v>
      </c>
      <c r="AB99" s="53" t="s">
        <v>236</v>
      </c>
    </row>
    <row r="100" spans="1:28" x14ac:dyDescent="0.15">
      <c r="A100" s="53" t="s">
        <v>34</v>
      </c>
      <c r="B100" s="53" t="s">
        <v>232</v>
      </c>
      <c r="C100" s="53">
        <v>2019</v>
      </c>
      <c r="D100" s="176" t="s">
        <v>316</v>
      </c>
      <c r="E100" s="53" t="s">
        <v>380</v>
      </c>
      <c r="F100" s="53" t="s">
        <v>381</v>
      </c>
      <c r="G100" s="53" t="s">
        <v>36</v>
      </c>
      <c r="H100" s="53" t="s">
        <v>164</v>
      </c>
      <c r="I100" s="53" t="s">
        <v>159</v>
      </c>
      <c r="J100" s="53" t="s">
        <v>38</v>
      </c>
      <c r="K100" s="53" t="s">
        <v>161</v>
      </c>
      <c r="L100" s="53">
        <v>3</v>
      </c>
      <c r="N100" s="53">
        <v>1</v>
      </c>
      <c r="O100" s="53">
        <v>0.5</v>
      </c>
      <c r="P100" s="53">
        <v>0.2</v>
      </c>
      <c r="Q100" s="75">
        <f t="shared" si="5"/>
        <v>0.35</v>
      </c>
      <c r="R100" s="53">
        <v>18</v>
      </c>
      <c r="S100" s="53">
        <v>99</v>
      </c>
      <c r="T100" s="16">
        <f t="shared" si="7"/>
        <v>33</v>
      </c>
      <c r="U100" s="53">
        <v>78</v>
      </c>
      <c r="V100" s="16">
        <f t="shared" si="6"/>
        <v>2574</v>
      </c>
      <c r="W100" s="53">
        <v>4</v>
      </c>
      <c r="X100" s="53" t="s">
        <v>46</v>
      </c>
      <c r="Y100" s="53" t="s">
        <v>102</v>
      </c>
      <c r="Z100" s="53" t="s">
        <v>69</v>
      </c>
      <c r="AA100" s="53" t="s">
        <v>88</v>
      </c>
      <c r="AB100" s="53" t="s">
        <v>236</v>
      </c>
    </row>
    <row r="101" spans="1:28" x14ac:dyDescent="0.15">
      <c r="A101" s="53" t="s">
        <v>34</v>
      </c>
      <c r="B101" s="53" t="s">
        <v>232</v>
      </c>
      <c r="C101" s="53">
        <v>2019</v>
      </c>
      <c r="D101" s="176" t="s">
        <v>316</v>
      </c>
      <c r="E101" s="53" t="s">
        <v>380</v>
      </c>
      <c r="F101" s="53" t="s">
        <v>381</v>
      </c>
      <c r="G101" s="53" t="s">
        <v>36</v>
      </c>
      <c r="H101" s="53" t="s">
        <v>160</v>
      </c>
      <c r="I101" s="53" t="s">
        <v>159</v>
      </c>
      <c r="J101" s="53" t="s">
        <v>38</v>
      </c>
      <c r="K101" s="53" t="s">
        <v>161</v>
      </c>
      <c r="L101" s="53">
        <v>1</v>
      </c>
      <c r="N101" s="53">
        <v>1</v>
      </c>
      <c r="O101" s="53">
        <v>0.65</v>
      </c>
      <c r="P101" s="53">
        <v>0.7</v>
      </c>
      <c r="Q101" s="75">
        <f t="shared" si="5"/>
        <v>0.67500000000000004</v>
      </c>
      <c r="R101" s="53">
        <v>20.2</v>
      </c>
      <c r="S101" s="53">
        <v>108</v>
      </c>
      <c r="T101" s="16">
        <f t="shared" si="7"/>
        <v>33</v>
      </c>
      <c r="U101" s="53">
        <v>138</v>
      </c>
      <c r="V101" s="16">
        <f t="shared" si="6"/>
        <v>4554</v>
      </c>
      <c r="W101" s="53">
        <v>4</v>
      </c>
      <c r="X101" s="53" t="s">
        <v>46</v>
      </c>
      <c r="Y101" s="53" t="s">
        <v>102</v>
      </c>
      <c r="Z101" s="53" t="s">
        <v>69</v>
      </c>
      <c r="AA101" s="53" t="s">
        <v>88</v>
      </c>
      <c r="AB101" s="53" t="s">
        <v>236</v>
      </c>
    </row>
    <row r="102" spans="1:28" x14ac:dyDescent="0.15">
      <c r="A102" s="53" t="s">
        <v>34</v>
      </c>
      <c r="B102" s="53" t="s">
        <v>232</v>
      </c>
      <c r="C102" s="53">
        <v>2019</v>
      </c>
      <c r="D102" s="176" t="s">
        <v>316</v>
      </c>
      <c r="E102" s="53" t="s">
        <v>380</v>
      </c>
      <c r="F102" s="53" t="s">
        <v>381</v>
      </c>
      <c r="G102" s="53" t="s">
        <v>36</v>
      </c>
      <c r="H102" s="53" t="s">
        <v>160</v>
      </c>
      <c r="I102" s="53" t="s">
        <v>159</v>
      </c>
      <c r="J102" s="53" t="s">
        <v>38</v>
      </c>
      <c r="K102" s="53" t="s">
        <v>161</v>
      </c>
      <c r="L102" s="53">
        <v>2</v>
      </c>
      <c r="N102" s="53">
        <v>1</v>
      </c>
      <c r="O102" s="53">
        <v>0.65</v>
      </c>
      <c r="P102" s="53">
        <v>0.65</v>
      </c>
      <c r="Q102" s="75">
        <f t="shared" si="5"/>
        <v>0.65</v>
      </c>
      <c r="R102" s="53">
        <v>19.7</v>
      </c>
      <c r="S102" s="53">
        <v>110</v>
      </c>
      <c r="T102" s="16">
        <f t="shared" si="7"/>
        <v>33</v>
      </c>
      <c r="U102" s="53">
        <v>138</v>
      </c>
      <c r="V102" s="16">
        <f t="shared" si="6"/>
        <v>4554</v>
      </c>
      <c r="W102" s="53">
        <v>4</v>
      </c>
      <c r="X102" s="53" t="s">
        <v>46</v>
      </c>
      <c r="Y102" s="53" t="s">
        <v>102</v>
      </c>
      <c r="Z102" s="53" t="s">
        <v>69</v>
      </c>
      <c r="AA102" s="53" t="s">
        <v>88</v>
      </c>
      <c r="AB102" s="53" t="s">
        <v>236</v>
      </c>
    </row>
    <row r="103" spans="1:28" x14ac:dyDescent="0.15">
      <c r="A103" s="53" t="s">
        <v>34</v>
      </c>
      <c r="B103" s="53" t="s">
        <v>232</v>
      </c>
      <c r="C103" s="53">
        <v>2019</v>
      </c>
      <c r="D103" s="176" t="s">
        <v>316</v>
      </c>
      <c r="E103" s="53" t="s">
        <v>380</v>
      </c>
      <c r="F103" s="53" t="s">
        <v>381</v>
      </c>
      <c r="G103" s="53" t="s">
        <v>36</v>
      </c>
      <c r="H103" s="53" t="s">
        <v>160</v>
      </c>
      <c r="I103" s="53" t="s">
        <v>159</v>
      </c>
      <c r="J103" s="53" t="s">
        <v>38</v>
      </c>
      <c r="K103" s="53" t="s">
        <v>161</v>
      </c>
      <c r="L103" s="53">
        <v>3</v>
      </c>
      <c r="N103" s="53">
        <v>1</v>
      </c>
      <c r="O103" s="53">
        <v>0.85</v>
      </c>
      <c r="P103" s="53">
        <v>0.95</v>
      </c>
      <c r="Q103" s="75">
        <f t="shared" si="5"/>
        <v>0.89999999999999991</v>
      </c>
      <c r="R103" s="53">
        <v>19.600000000000001</v>
      </c>
      <c r="S103" s="53">
        <v>106</v>
      </c>
      <c r="T103" s="16">
        <f t="shared" si="7"/>
        <v>33</v>
      </c>
      <c r="U103" s="53">
        <v>138</v>
      </c>
      <c r="V103" s="16">
        <f t="shared" si="6"/>
        <v>4554</v>
      </c>
      <c r="W103" s="53">
        <v>4</v>
      </c>
      <c r="X103" s="53" t="s">
        <v>46</v>
      </c>
      <c r="Y103" s="53" t="s">
        <v>102</v>
      </c>
      <c r="Z103" s="53" t="s">
        <v>69</v>
      </c>
      <c r="AA103" s="53" t="s">
        <v>88</v>
      </c>
      <c r="AB103" s="53" t="s">
        <v>236</v>
      </c>
    </row>
    <row r="104" spans="1:28" x14ac:dyDescent="0.15">
      <c r="A104" s="53" t="s">
        <v>34</v>
      </c>
      <c r="B104" s="53" t="s">
        <v>232</v>
      </c>
      <c r="C104" s="53">
        <v>2019</v>
      </c>
      <c r="D104" s="176" t="s">
        <v>316</v>
      </c>
      <c r="E104" s="53" t="s">
        <v>380</v>
      </c>
      <c r="F104" s="53" t="s">
        <v>381</v>
      </c>
      <c r="G104" s="53" t="s">
        <v>36</v>
      </c>
      <c r="H104" s="53" t="s">
        <v>164</v>
      </c>
      <c r="I104" s="53" t="s">
        <v>165</v>
      </c>
      <c r="J104" s="53" t="s">
        <v>38</v>
      </c>
      <c r="K104" s="53" t="s">
        <v>161</v>
      </c>
      <c r="L104" s="53">
        <v>1</v>
      </c>
      <c r="N104" s="53">
        <v>4</v>
      </c>
      <c r="O104" s="53">
        <v>0.2</v>
      </c>
      <c r="P104" s="53">
        <v>0.2</v>
      </c>
      <c r="Q104" s="75">
        <f t="shared" si="5"/>
        <v>0.2</v>
      </c>
      <c r="R104" s="53">
        <v>14.4</v>
      </c>
      <c r="S104" s="53">
        <v>102</v>
      </c>
      <c r="T104" s="16">
        <f t="shared" si="7"/>
        <v>33</v>
      </c>
      <c r="U104" s="53">
        <v>429</v>
      </c>
      <c r="V104" s="16">
        <f t="shared" si="6"/>
        <v>3539.25</v>
      </c>
      <c r="W104" s="53">
        <v>4</v>
      </c>
      <c r="X104" s="53" t="s">
        <v>46</v>
      </c>
      <c r="Y104" s="53" t="s">
        <v>102</v>
      </c>
      <c r="Z104" s="53" t="s">
        <v>69</v>
      </c>
      <c r="AA104" s="53" t="s">
        <v>88</v>
      </c>
      <c r="AB104" s="53" t="s">
        <v>236</v>
      </c>
    </row>
    <row r="105" spans="1:28" x14ac:dyDescent="0.15">
      <c r="A105" s="53" t="s">
        <v>34</v>
      </c>
      <c r="B105" s="53" t="s">
        <v>232</v>
      </c>
      <c r="C105" s="53">
        <v>2019</v>
      </c>
      <c r="D105" s="176" t="s">
        <v>316</v>
      </c>
      <c r="E105" s="53" t="s">
        <v>380</v>
      </c>
      <c r="F105" s="53" t="s">
        <v>381</v>
      </c>
      <c r="G105" s="53" t="s">
        <v>36</v>
      </c>
      <c r="H105" s="53" t="s">
        <v>164</v>
      </c>
      <c r="I105" s="53" t="s">
        <v>165</v>
      </c>
      <c r="J105" s="53" t="s">
        <v>38</v>
      </c>
      <c r="K105" s="53" t="s">
        <v>161</v>
      </c>
      <c r="L105" s="53">
        <v>2</v>
      </c>
      <c r="N105" s="53">
        <v>4</v>
      </c>
      <c r="O105" s="53">
        <v>0.2</v>
      </c>
      <c r="P105" s="53">
        <v>0.2</v>
      </c>
      <c r="Q105" s="75">
        <f t="shared" si="5"/>
        <v>0.2</v>
      </c>
      <c r="R105" s="53">
        <v>16.100000000000001</v>
      </c>
      <c r="S105" s="53">
        <v>94</v>
      </c>
      <c r="T105" s="16">
        <f t="shared" si="7"/>
        <v>36</v>
      </c>
      <c r="U105" s="53">
        <v>429</v>
      </c>
      <c r="V105" s="16">
        <f t="shared" si="6"/>
        <v>3861</v>
      </c>
      <c r="W105" s="53">
        <v>4</v>
      </c>
      <c r="X105" s="53" t="s">
        <v>46</v>
      </c>
      <c r="Y105" s="53" t="s">
        <v>102</v>
      </c>
      <c r="Z105" s="53" t="s">
        <v>69</v>
      </c>
      <c r="AA105" s="53" t="s">
        <v>88</v>
      </c>
      <c r="AB105" s="53" t="s">
        <v>236</v>
      </c>
    </row>
    <row r="106" spans="1:28" x14ac:dyDescent="0.15">
      <c r="A106" s="53" t="s">
        <v>34</v>
      </c>
      <c r="B106" s="53" t="s">
        <v>232</v>
      </c>
      <c r="C106" s="53">
        <v>2019</v>
      </c>
      <c r="D106" s="176" t="s">
        <v>316</v>
      </c>
      <c r="E106" s="53" t="s">
        <v>380</v>
      </c>
      <c r="F106" s="53" t="s">
        <v>381</v>
      </c>
      <c r="G106" s="53" t="s">
        <v>36</v>
      </c>
      <c r="H106" s="53" t="s">
        <v>164</v>
      </c>
      <c r="I106" s="53" t="s">
        <v>165</v>
      </c>
      <c r="J106" s="53" t="s">
        <v>38</v>
      </c>
      <c r="K106" s="53" t="s">
        <v>161</v>
      </c>
      <c r="L106" s="53">
        <v>3</v>
      </c>
      <c r="N106" s="53">
        <v>4</v>
      </c>
      <c r="O106" s="53">
        <v>0.2</v>
      </c>
      <c r="P106" s="53">
        <v>0.2</v>
      </c>
      <c r="Q106" s="75">
        <f t="shared" si="5"/>
        <v>0.2</v>
      </c>
      <c r="R106" s="53">
        <v>13.6</v>
      </c>
      <c r="S106" s="53">
        <v>98</v>
      </c>
      <c r="T106" s="16">
        <f t="shared" si="7"/>
        <v>36</v>
      </c>
      <c r="U106" s="53">
        <v>429</v>
      </c>
      <c r="V106" s="16">
        <f t="shared" si="6"/>
        <v>3861</v>
      </c>
      <c r="W106" s="53">
        <v>4</v>
      </c>
      <c r="X106" s="53" t="s">
        <v>46</v>
      </c>
      <c r="Y106" s="53" t="s">
        <v>102</v>
      </c>
      <c r="Z106" s="53" t="s">
        <v>69</v>
      </c>
      <c r="AA106" s="53" t="s">
        <v>88</v>
      </c>
      <c r="AB106" s="53" t="s">
        <v>236</v>
      </c>
    </row>
    <row r="107" spans="1:28" x14ac:dyDescent="0.15">
      <c r="A107" s="53" t="s">
        <v>34</v>
      </c>
      <c r="B107" s="53" t="s">
        <v>232</v>
      </c>
      <c r="C107" s="53">
        <v>2019</v>
      </c>
      <c r="D107" s="176" t="s">
        <v>316</v>
      </c>
      <c r="E107" s="53" t="s">
        <v>269</v>
      </c>
      <c r="F107" s="53" t="s">
        <v>382</v>
      </c>
      <c r="G107" s="53" t="s">
        <v>36</v>
      </c>
      <c r="H107" s="53" t="s">
        <v>164</v>
      </c>
      <c r="I107" s="53" t="s">
        <v>159</v>
      </c>
      <c r="J107" s="53" t="s">
        <v>38</v>
      </c>
      <c r="K107" s="53" t="s">
        <v>161</v>
      </c>
      <c r="L107" s="53">
        <v>1</v>
      </c>
      <c r="N107" s="53">
        <v>1</v>
      </c>
      <c r="O107" s="53">
        <v>0.2</v>
      </c>
      <c r="P107" s="53">
        <v>0.2</v>
      </c>
      <c r="Q107" s="75">
        <f t="shared" si="5"/>
        <v>0.2</v>
      </c>
      <c r="R107" s="53">
        <v>18.7</v>
      </c>
      <c r="S107" s="53">
        <v>120</v>
      </c>
      <c r="T107" s="16">
        <f t="shared" si="7"/>
        <v>30</v>
      </c>
      <c r="U107" s="53">
        <v>85</v>
      </c>
      <c r="V107" s="16">
        <f t="shared" si="6"/>
        <v>2550</v>
      </c>
      <c r="W107" s="53">
        <v>4</v>
      </c>
      <c r="X107" s="53" t="s">
        <v>46</v>
      </c>
      <c r="Y107" s="53" t="s">
        <v>102</v>
      </c>
      <c r="Z107" s="53" t="s">
        <v>55</v>
      </c>
      <c r="AA107" s="53" t="s">
        <v>69</v>
      </c>
      <c r="AB107" s="53" t="s">
        <v>236</v>
      </c>
    </row>
    <row r="108" spans="1:28" x14ac:dyDescent="0.15">
      <c r="A108" s="53" t="s">
        <v>34</v>
      </c>
      <c r="B108" s="53" t="s">
        <v>232</v>
      </c>
      <c r="C108" s="53">
        <v>2019</v>
      </c>
      <c r="D108" s="176" t="s">
        <v>316</v>
      </c>
      <c r="E108" s="53" t="s">
        <v>269</v>
      </c>
      <c r="F108" s="53" t="s">
        <v>382</v>
      </c>
      <c r="G108" s="53" t="s">
        <v>36</v>
      </c>
      <c r="H108" s="53" t="s">
        <v>164</v>
      </c>
      <c r="I108" s="53" t="s">
        <v>159</v>
      </c>
      <c r="J108" s="53" t="s">
        <v>38</v>
      </c>
      <c r="K108" s="53" t="s">
        <v>161</v>
      </c>
      <c r="L108" s="53">
        <v>2</v>
      </c>
      <c r="N108" s="53">
        <v>1</v>
      </c>
      <c r="O108" s="53">
        <v>0.2</v>
      </c>
      <c r="P108" s="53">
        <v>0.2</v>
      </c>
      <c r="Q108" s="16">
        <f t="shared" si="5"/>
        <v>0.2</v>
      </c>
      <c r="R108" s="53">
        <v>17.5</v>
      </c>
      <c r="S108" s="53">
        <v>130</v>
      </c>
      <c r="T108" s="16">
        <f t="shared" si="7"/>
        <v>30</v>
      </c>
      <c r="U108" s="53">
        <v>85</v>
      </c>
      <c r="V108" s="16">
        <f t="shared" si="6"/>
        <v>2550</v>
      </c>
      <c r="W108" s="53">
        <v>4</v>
      </c>
      <c r="X108" s="53" t="s">
        <v>46</v>
      </c>
      <c r="Y108" s="53" t="s">
        <v>102</v>
      </c>
      <c r="Z108" s="53" t="s">
        <v>55</v>
      </c>
      <c r="AA108" s="53" t="s">
        <v>69</v>
      </c>
      <c r="AB108" s="53" t="s">
        <v>236</v>
      </c>
    </row>
    <row r="109" spans="1:28" x14ac:dyDescent="0.15">
      <c r="A109" s="53" t="s">
        <v>34</v>
      </c>
      <c r="B109" s="53" t="s">
        <v>232</v>
      </c>
      <c r="C109" s="53">
        <v>2019</v>
      </c>
      <c r="D109" s="176" t="s">
        <v>316</v>
      </c>
      <c r="E109" s="53" t="s">
        <v>269</v>
      </c>
      <c r="F109" s="53" t="s">
        <v>382</v>
      </c>
      <c r="G109" s="53" t="s">
        <v>36</v>
      </c>
      <c r="H109" s="53" t="s">
        <v>164</v>
      </c>
      <c r="I109" s="53" t="s">
        <v>159</v>
      </c>
      <c r="J109" s="53" t="s">
        <v>38</v>
      </c>
      <c r="K109" s="53" t="s">
        <v>161</v>
      </c>
      <c r="L109" s="53">
        <v>3</v>
      </c>
      <c r="N109" s="53">
        <v>1</v>
      </c>
      <c r="O109" s="53">
        <v>0.2</v>
      </c>
      <c r="P109" s="53">
        <v>0.2</v>
      </c>
      <c r="Q109" s="16">
        <f t="shared" si="5"/>
        <v>0.2</v>
      </c>
      <c r="R109" s="53">
        <v>17.600000000000001</v>
      </c>
      <c r="S109" s="53">
        <v>126</v>
      </c>
      <c r="T109" s="16">
        <f t="shared" si="7"/>
        <v>30</v>
      </c>
      <c r="U109" s="53">
        <v>85</v>
      </c>
      <c r="V109" s="16">
        <f t="shared" si="6"/>
        <v>2550</v>
      </c>
      <c r="W109" s="53">
        <v>4</v>
      </c>
      <c r="X109" s="53" t="s">
        <v>46</v>
      </c>
      <c r="Y109" s="53" t="s">
        <v>102</v>
      </c>
      <c r="Z109" s="53" t="s">
        <v>55</v>
      </c>
      <c r="AA109" s="53" t="s">
        <v>69</v>
      </c>
      <c r="AB109" s="53" t="s">
        <v>236</v>
      </c>
    </row>
    <row r="110" spans="1:28" x14ac:dyDescent="0.15">
      <c r="A110" s="53" t="s">
        <v>34</v>
      </c>
      <c r="B110" s="53" t="s">
        <v>232</v>
      </c>
      <c r="C110" s="53">
        <v>2019</v>
      </c>
      <c r="D110" s="176" t="s">
        <v>316</v>
      </c>
      <c r="E110" s="53" t="s">
        <v>269</v>
      </c>
      <c r="F110" s="53" t="s">
        <v>382</v>
      </c>
      <c r="G110" s="53" t="s">
        <v>36</v>
      </c>
      <c r="H110" s="53" t="s">
        <v>164</v>
      </c>
      <c r="I110" s="53" t="s">
        <v>159</v>
      </c>
      <c r="J110" s="53" t="s">
        <v>38</v>
      </c>
      <c r="K110" s="53" t="s">
        <v>161</v>
      </c>
      <c r="L110" s="53">
        <v>1</v>
      </c>
      <c r="N110" s="53">
        <v>7</v>
      </c>
      <c r="O110" s="53">
        <v>0.5</v>
      </c>
      <c r="P110" s="53">
        <v>0.6</v>
      </c>
      <c r="Q110" s="16">
        <f t="shared" si="5"/>
        <v>0.55000000000000004</v>
      </c>
      <c r="R110" s="53">
        <v>21.1</v>
      </c>
      <c r="S110" s="53">
        <v>102</v>
      </c>
      <c r="T110" s="16">
        <f t="shared" si="7"/>
        <v>33</v>
      </c>
      <c r="U110" s="53">
        <v>138</v>
      </c>
      <c r="V110" s="16">
        <f t="shared" si="6"/>
        <v>650.57142857142856</v>
      </c>
      <c r="W110" s="53">
        <v>4</v>
      </c>
      <c r="X110" s="53" t="s">
        <v>46</v>
      </c>
      <c r="Y110" s="53" t="s">
        <v>102</v>
      </c>
      <c r="Z110" s="53" t="s">
        <v>55</v>
      </c>
      <c r="AA110" s="53" t="s">
        <v>69</v>
      </c>
      <c r="AB110" s="53" t="s">
        <v>236</v>
      </c>
    </row>
    <row r="111" spans="1:28" x14ac:dyDescent="0.15">
      <c r="A111" s="53" t="s">
        <v>34</v>
      </c>
      <c r="B111" s="53" t="s">
        <v>232</v>
      </c>
      <c r="C111" s="53">
        <v>2019</v>
      </c>
      <c r="D111" s="176" t="s">
        <v>316</v>
      </c>
      <c r="E111" s="53" t="s">
        <v>269</v>
      </c>
      <c r="F111" s="53" t="s">
        <v>382</v>
      </c>
      <c r="G111" s="53" t="s">
        <v>36</v>
      </c>
      <c r="H111" s="53" t="s">
        <v>164</v>
      </c>
      <c r="I111" s="53" t="s">
        <v>159</v>
      </c>
      <c r="J111" s="53" t="s">
        <v>38</v>
      </c>
      <c r="K111" s="53" t="s">
        <v>161</v>
      </c>
      <c r="L111" s="53">
        <v>2</v>
      </c>
      <c r="N111" s="53">
        <v>7</v>
      </c>
      <c r="O111" s="53">
        <v>0.7</v>
      </c>
      <c r="P111" s="53">
        <v>0.75</v>
      </c>
      <c r="Q111" s="16">
        <f t="shared" si="5"/>
        <v>0.72499999999999998</v>
      </c>
      <c r="R111" s="53">
        <v>17.600000000000001</v>
      </c>
      <c r="S111" s="53">
        <v>100</v>
      </c>
      <c r="T111" s="16">
        <f t="shared" si="7"/>
        <v>33</v>
      </c>
      <c r="U111" s="53">
        <v>138</v>
      </c>
      <c r="V111" s="16">
        <f t="shared" si="6"/>
        <v>650.57142857142856</v>
      </c>
      <c r="W111" s="53">
        <v>4</v>
      </c>
      <c r="X111" s="53" t="s">
        <v>46</v>
      </c>
      <c r="Y111" s="53" t="s">
        <v>102</v>
      </c>
      <c r="Z111" s="53" t="s">
        <v>55</v>
      </c>
      <c r="AA111" s="53" t="s">
        <v>69</v>
      </c>
      <c r="AB111" s="53" t="s">
        <v>236</v>
      </c>
    </row>
    <row r="112" spans="1:28" x14ac:dyDescent="0.15">
      <c r="A112" s="53" t="s">
        <v>34</v>
      </c>
      <c r="B112" s="53" t="s">
        <v>232</v>
      </c>
      <c r="C112" s="53">
        <v>2019</v>
      </c>
      <c r="D112" s="176" t="s">
        <v>316</v>
      </c>
      <c r="E112" s="53" t="s">
        <v>269</v>
      </c>
      <c r="F112" s="53" t="s">
        <v>382</v>
      </c>
      <c r="G112" s="53" t="s">
        <v>36</v>
      </c>
      <c r="H112" s="53" t="s">
        <v>164</v>
      </c>
      <c r="I112" s="53" t="s">
        <v>159</v>
      </c>
      <c r="J112" s="53" t="s">
        <v>38</v>
      </c>
      <c r="K112" s="53" t="s">
        <v>161</v>
      </c>
      <c r="L112" s="53">
        <v>3</v>
      </c>
      <c r="N112" s="53">
        <v>7</v>
      </c>
      <c r="O112" s="53">
        <v>0.75</v>
      </c>
      <c r="P112" s="53">
        <v>0.75</v>
      </c>
      <c r="Q112" s="16">
        <f t="shared" si="5"/>
        <v>0.75</v>
      </c>
      <c r="R112" s="53">
        <v>18.2</v>
      </c>
      <c r="S112" s="53">
        <v>104</v>
      </c>
      <c r="T112" s="16">
        <f t="shared" si="7"/>
        <v>33</v>
      </c>
      <c r="U112" s="53">
        <v>138</v>
      </c>
      <c r="V112" s="16">
        <f t="shared" si="6"/>
        <v>650.57142857142856</v>
      </c>
      <c r="W112" s="53">
        <v>4</v>
      </c>
      <c r="X112" s="53" t="s">
        <v>46</v>
      </c>
      <c r="Y112" s="53" t="s">
        <v>102</v>
      </c>
      <c r="Z112" s="53" t="s">
        <v>55</v>
      </c>
      <c r="AA112" s="53" t="s">
        <v>69</v>
      </c>
      <c r="AB112" s="53" t="s">
        <v>236</v>
      </c>
    </row>
    <row r="113" spans="1:28" x14ac:dyDescent="0.15">
      <c r="A113" s="53" t="s">
        <v>34</v>
      </c>
      <c r="B113" s="53" t="s">
        <v>232</v>
      </c>
      <c r="C113" s="53">
        <v>2019</v>
      </c>
      <c r="D113" s="176" t="s">
        <v>316</v>
      </c>
      <c r="E113" s="53" t="s">
        <v>269</v>
      </c>
      <c r="F113" s="53" t="s">
        <v>382</v>
      </c>
      <c r="G113" s="53" t="s">
        <v>36</v>
      </c>
      <c r="H113" s="53" t="s">
        <v>160</v>
      </c>
      <c r="I113" s="53" t="s">
        <v>159</v>
      </c>
      <c r="J113" s="53" t="s">
        <v>38</v>
      </c>
      <c r="K113" s="53" t="s">
        <v>161</v>
      </c>
      <c r="L113" s="53">
        <v>1</v>
      </c>
      <c r="N113" s="53">
        <v>1</v>
      </c>
      <c r="O113" s="53">
        <v>0.6</v>
      </c>
      <c r="P113" s="53">
        <v>0.55000000000000004</v>
      </c>
      <c r="Q113" s="16">
        <f t="shared" si="5"/>
        <v>0.57499999999999996</v>
      </c>
      <c r="R113" s="53">
        <v>17.7</v>
      </c>
      <c r="S113" s="53">
        <v>81</v>
      </c>
      <c r="T113" s="16">
        <f t="shared" si="7"/>
        <v>39</v>
      </c>
      <c r="U113" s="53">
        <v>429</v>
      </c>
      <c r="V113" s="16">
        <f t="shared" si="6"/>
        <v>16731</v>
      </c>
      <c r="W113" s="53">
        <v>2</v>
      </c>
      <c r="X113" s="53" t="s">
        <v>46</v>
      </c>
      <c r="Y113" s="53" t="s">
        <v>102</v>
      </c>
      <c r="Z113" s="53" t="s">
        <v>55</v>
      </c>
      <c r="AA113" s="53" t="s">
        <v>69</v>
      </c>
      <c r="AB113" s="53" t="s">
        <v>236</v>
      </c>
    </row>
    <row r="114" spans="1:28" x14ac:dyDescent="0.15">
      <c r="A114" s="53" t="s">
        <v>34</v>
      </c>
      <c r="B114" s="53" t="s">
        <v>232</v>
      </c>
      <c r="C114" s="53">
        <v>2019</v>
      </c>
      <c r="D114" s="176" t="s">
        <v>316</v>
      </c>
      <c r="E114" s="53" t="s">
        <v>269</v>
      </c>
      <c r="F114" s="53" t="s">
        <v>382</v>
      </c>
      <c r="G114" s="53" t="s">
        <v>36</v>
      </c>
      <c r="H114" s="53" t="s">
        <v>160</v>
      </c>
      <c r="I114" s="53" t="s">
        <v>159</v>
      </c>
      <c r="J114" s="53" t="s">
        <v>38</v>
      </c>
      <c r="K114" s="53" t="s">
        <v>161</v>
      </c>
      <c r="L114" s="53">
        <v>2</v>
      </c>
      <c r="N114" s="53">
        <v>1</v>
      </c>
      <c r="O114" s="53">
        <v>0.65</v>
      </c>
      <c r="P114" s="53">
        <v>0.55000000000000004</v>
      </c>
      <c r="Q114" s="16">
        <f t="shared" si="5"/>
        <v>0.60000000000000009</v>
      </c>
      <c r="R114" s="53">
        <v>13.6</v>
      </c>
      <c r="S114" s="53">
        <v>83</v>
      </c>
      <c r="T114" s="16">
        <f t="shared" si="7"/>
        <v>39</v>
      </c>
      <c r="U114" s="53">
        <v>429</v>
      </c>
      <c r="V114" s="16">
        <f t="shared" si="6"/>
        <v>16731</v>
      </c>
      <c r="W114" s="53">
        <v>2</v>
      </c>
      <c r="X114" s="53" t="s">
        <v>46</v>
      </c>
      <c r="Y114" s="53" t="s">
        <v>102</v>
      </c>
      <c r="Z114" s="53" t="s">
        <v>55</v>
      </c>
      <c r="AA114" s="53" t="s">
        <v>69</v>
      </c>
      <c r="AB114" s="53" t="s">
        <v>236</v>
      </c>
    </row>
    <row r="115" spans="1:28" x14ac:dyDescent="0.15">
      <c r="A115" s="53" t="s">
        <v>34</v>
      </c>
      <c r="B115" s="53" t="s">
        <v>232</v>
      </c>
      <c r="C115" s="53">
        <v>2019</v>
      </c>
      <c r="D115" s="176" t="s">
        <v>316</v>
      </c>
      <c r="E115" s="53" t="s">
        <v>269</v>
      </c>
      <c r="F115" s="53" t="s">
        <v>382</v>
      </c>
      <c r="G115" s="53" t="s">
        <v>36</v>
      </c>
      <c r="H115" s="53" t="s">
        <v>160</v>
      </c>
      <c r="I115" s="53" t="s">
        <v>159</v>
      </c>
      <c r="J115" s="53" t="s">
        <v>38</v>
      </c>
      <c r="K115" s="53" t="s">
        <v>161</v>
      </c>
      <c r="L115" s="53">
        <v>3</v>
      </c>
      <c r="N115" s="53">
        <v>1</v>
      </c>
      <c r="O115" s="53">
        <v>0.2</v>
      </c>
      <c r="P115" s="53">
        <v>0.55000000000000004</v>
      </c>
      <c r="Q115" s="16">
        <f t="shared" si="5"/>
        <v>0.375</v>
      </c>
      <c r="R115" s="53">
        <v>17.2</v>
      </c>
      <c r="S115" s="53">
        <v>85</v>
      </c>
      <c r="T115" s="16">
        <f t="shared" si="7"/>
        <v>36</v>
      </c>
      <c r="U115" s="53">
        <v>429</v>
      </c>
      <c r="V115" s="16">
        <f t="shared" si="6"/>
        <v>15444</v>
      </c>
      <c r="W115" s="53">
        <v>2</v>
      </c>
      <c r="X115" s="53" t="s">
        <v>46</v>
      </c>
      <c r="Y115" s="53" t="s">
        <v>102</v>
      </c>
      <c r="Z115" s="53" t="s">
        <v>55</v>
      </c>
      <c r="AA115" s="53" t="s">
        <v>69</v>
      </c>
      <c r="AB115" s="53" t="s">
        <v>236</v>
      </c>
    </row>
    <row r="116" spans="1:28" x14ac:dyDescent="0.15">
      <c r="A116" s="53" t="s">
        <v>34</v>
      </c>
      <c r="B116" s="53" t="s">
        <v>232</v>
      </c>
      <c r="C116" s="53">
        <v>2019</v>
      </c>
      <c r="D116" s="176" t="s">
        <v>316</v>
      </c>
      <c r="E116" s="53" t="s">
        <v>269</v>
      </c>
      <c r="F116" s="53" t="s">
        <v>382</v>
      </c>
      <c r="G116" s="53" t="s">
        <v>36</v>
      </c>
      <c r="H116" s="53" t="s">
        <v>160</v>
      </c>
      <c r="I116" s="53" t="s">
        <v>159</v>
      </c>
      <c r="J116" s="53" t="s">
        <v>38</v>
      </c>
      <c r="K116" s="53" t="s">
        <v>161</v>
      </c>
      <c r="L116" s="53">
        <v>1</v>
      </c>
      <c r="N116" s="53">
        <v>4</v>
      </c>
      <c r="O116" s="53">
        <v>0.6</v>
      </c>
      <c r="P116" s="53">
        <v>0.75</v>
      </c>
      <c r="Q116" s="16">
        <f t="shared" si="5"/>
        <v>0.67500000000000004</v>
      </c>
      <c r="R116" s="53">
        <v>17.2</v>
      </c>
      <c r="S116" s="53">
        <v>96</v>
      </c>
      <c r="T116" s="16">
        <f t="shared" si="7"/>
        <v>36</v>
      </c>
      <c r="U116" s="53">
        <v>321</v>
      </c>
      <c r="V116" s="16">
        <f t="shared" si="6"/>
        <v>2889</v>
      </c>
      <c r="W116" s="53">
        <v>2</v>
      </c>
      <c r="X116" s="53" t="s">
        <v>46</v>
      </c>
      <c r="Y116" s="53" t="s">
        <v>102</v>
      </c>
      <c r="Z116" s="53" t="s">
        <v>55</v>
      </c>
      <c r="AA116" s="53" t="s">
        <v>69</v>
      </c>
      <c r="AB116" s="53" t="s">
        <v>236</v>
      </c>
    </row>
    <row r="117" spans="1:28" x14ac:dyDescent="0.15">
      <c r="A117" s="53" t="s">
        <v>34</v>
      </c>
      <c r="B117" s="53" t="s">
        <v>232</v>
      </c>
      <c r="C117" s="53">
        <v>2019</v>
      </c>
      <c r="D117" s="176" t="s">
        <v>316</v>
      </c>
      <c r="E117" s="53" t="s">
        <v>269</v>
      </c>
      <c r="F117" s="53" t="s">
        <v>382</v>
      </c>
      <c r="G117" s="53" t="s">
        <v>36</v>
      </c>
      <c r="H117" s="53" t="s">
        <v>160</v>
      </c>
      <c r="I117" s="53" t="s">
        <v>159</v>
      </c>
      <c r="J117" s="53" t="s">
        <v>38</v>
      </c>
      <c r="K117" s="53" t="s">
        <v>161</v>
      </c>
      <c r="L117" s="53">
        <v>2</v>
      </c>
      <c r="N117" s="53">
        <v>4</v>
      </c>
      <c r="O117" s="53">
        <v>0.7</v>
      </c>
      <c r="P117" s="53">
        <v>0.6</v>
      </c>
      <c r="Q117" s="16">
        <f t="shared" si="5"/>
        <v>0.64999999999999991</v>
      </c>
      <c r="R117" s="53">
        <v>18.100000000000001</v>
      </c>
      <c r="S117" s="53">
        <v>96</v>
      </c>
      <c r="T117" s="16">
        <f t="shared" si="7"/>
        <v>36</v>
      </c>
      <c r="U117" s="53">
        <v>321</v>
      </c>
      <c r="V117" s="16">
        <f t="shared" si="6"/>
        <v>2889</v>
      </c>
      <c r="W117" s="53">
        <v>2</v>
      </c>
      <c r="X117" s="53" t="s">
        <v>46</v>
      </c>
      <c r="Y117" s="53" t="s">
        <v>102</v>
      </c>
      <c r="Z117" s="53" t="s">
        <v>55</v>
      </c>
      <c r="AA117" s="53" t="s">
        <v>69</v>
      </c>
      <c r="AB117" s="53" t="s">
        <v>236</v>
      </c>
    </row>
    <row r="118" spans="1:28" x14ac:dyDescent="0.15">
      <c r="A118" s="53" t="s">
        <v>34</v>
      </c>
      <c r="B118" s="53" t="s">
        <v>232</v>
      </c>
      <c r="C118" s="53">
        <v>2019</v>
      </c>
      <c r="D118" s="176" t="s">
        <v>316</v>
      </c>
      <c r="E118" s="53" t="s">
        <v>269</v>
      </c>
      <c r="F118" s="53" t="s">
        <v>382</v>
      </c>
      <c r="G118" s="53" t="s">
        <v>36</v>
      </c>
      <c r="H118" s="53" t="s">
        <v>160</v>
      </c>
      <c r="I118" s="53" t="s">
        <v>159</v>
      </c>
      <c r="J118" s="53" t="s">
        <v>38</v>
      </c>
      <c r="K118" s="53" t="s">
        <v>161</v>
      </c>
      <c r="L118" s="53">
        <v>3</v>
      </c>
      <c r="N118" s="53">
        <v>4</v>
      </c>
      <c r="O118" s="53">
        <v>0.2</v>
      </c>
      <c r="P118" s="53">
        <v>0.2</v>
      </c>
      <c r="Q118" s="16">
        <f t="shared" si="5"/>
        <v>0.2</v>
      </c>
      <c r="R118" s="53">
        <v>17.100000000000001</v>
      </c>
      <c r="S118" s="53">
        <v>98</v>
      </c>
      <c r="T118" s="16">
        <f t="shared" si="7"/>
        <v>36</v>
      </c>
      <c r="U118" s="53">
        <v>321</v>
      </c>
      <c r="V118" s="16">
        <f t="shared" si="6"/>
        <v>2889</v>
      </c>
      <c r="W118" s="53">
        <v>2</v>
      </c>
      <c r="X118" s="53" t="s">
        <v>46</v>
      </c>
      <c r="Y118" s="53" t="s">
        <v>102</v>
      </c>
      <c r="Z118" s="53" t="s">
        <v>55</v>
      </c>
      <c r="AA118" s="53" t="s">
        <v>69</v>
      </c>
      <c r="AB118" s="53" t="s">
        <v>236</v>
      </c>
    </row>
    <row r="119" spans="1:28" x14ac:dyDescent="0.15">
      <c r="D119" s="176"/>
      <c r="T119" s="16" t="str">
        <f t="shared" si="7"/>
        <v/>
      </c>
      <c r="V119" s="16" t="str">
        <f t="shared" si="6"/>
        <v/>
      </c>
    </row>
    <row r="120" spans="1:28" x14ac:dyDescent="0.15">
      <c r="D120" s="176"/>
    </row>
    <row r="121" spans="1:28" x14ac:dyDescent="0.15">
      <c r="D121" s="176"/>
    </row>
    <row r="122" spans="1:28" x14ac:dyDescent="0.15">
      <c r="D122" s="176"/>
    </row>
    <row r="123" spans="1:28" x14ac:dyDescent="0.15">
      <c r="D123" s="176"/>
    </row>
    <row r="124" spans="1:28" x14ac:dyDescent="0.15">
      <c r="D124" s="176"/>
    </row>
  </sheetData>
  <autoFilter ref="A1:BA119" xr:uid="{00000000-0009-0000-0000-000000000000}"/>
  <phoneticPr fontId="3"/>
  <dataValidations count="12">
    <dataValidation type="list" allowBlank="1" showInputMessage="1" showErrorMessage="1" sqref="K2:K782" xr:uid="{F4CA830D-5D64-4339-AB08-3D517A5ED8DE}">
      <formula1>$AR$2:$AR$23</formula1>
    </dataValidation>
    <dataValidation type="decimal" allowBlank="1" showInputMessage="1" showErrorMessage="1" error="硬度を正しく入力して下さい。" sqref="O2:P49 O59:P470" xr:uid="{45EF05BB-D4E0-4BD3-A20F-E5F7B3F3B057}">
      <formula1>0</formula1>
      <formula2>7</formula2>
    </dataValidation>
    <dataValidation operator="equal" allowBlank="1" showInputMessage="1" showErrorMessage="1" sqref="B2:B124" xr:uid="{1020B601-E158-42C8-8E3B-3BB61564D7ED}"/>
    <dataValidation type="list" allowBlank="1" showInputMessage="1" showErrorMessage="1" sqref="A2:A469" xr:uid="{E9E27A67-9CE9-446C-858C-B3703BEA6802}">
      <formula1>$AE$2:$AE$19</formula1>
    </dataValidation>
    <dataValidation type="list" allowBlank="1" showInputMessage="1" showErrorMessage="1" sqref="Y2:AA470" xr:uid="{4D99D9F1-FD23-417D-B156-27D761AFAC88}">
      <formula1>$AV$2:$AV$21</formula1>
    </dataValidation>
    <dataValidation type="list" allowBlank="1" showInputMessage="1" showErrorMessage="1" sqref="H2:H470" xr:uid="{0EDF58DD-24FD-4484-B6E6-CE35DCFAEF5F}">
      <formula1>$AL$2:$AL$8</formula1>
    </dataValidation>
    <dataValidation type="list" allowBlank="1" showInputMessage="1" showErrorMessage="1" sqref="X2:X470" xr:uid="{5090C47E-DAEA-4861-B9D5-B703234AFC1D}">
      <formula1>$AT$2:$AT$3</formula1>
    </dataValidation>
    <dataValidation type="list" allowBlank="1" showInputMessage="1" showErrorMessage="1" sqref="G2:G470" xr:uid="{162D293C-06BD-48F4-83FE-B1BF3D05F1E7}">
      <formula1>$AJ$2:$AJ$4</formula1>
    </dataValidation>
    <dataValidation type="list" allowBlank="1" showInputMessage="1" showErrorMessage="1" sqref="I2:I470" xr:uid="{A7878A81-6C28-4DA5-A12D-740603C2A899}">
      <formula1>$AN$5:$AN$6</formula1>
    </dataValidation>
    <dataValidation type="list" allowBlank="1" showInputMessage="1" showErrorMessage="1" sqref="J2:J470" xr:uid="{C0C4EB7E-6D70-4D10-B82F-FCFDE68068FC}">
      <formula1>$AP$2:$AP$24</formula1>
    </dataValidation>
    <dataValidation type="list" allowBlank="1" showInputMessage="1" showErrorMessage="1" sqref="F2:F470" xr:uid="{1696771D-1E20-479A-B45B-A28E0DC1D783}">
      <formula1>$AH$2:$AH$11</formula1>
    </dataValidation>
    <dataValidation type="list" allowBlank="1" showInputMessage="1" showErrorMessage="1" sqref="E2:E470" xr:uid="{0693CBAE-E2E2-4339-BB16-B7705F108851}">
      <formula1>$AG$2:$AG$11</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748CEFE-6519-41E2-A791-586402F6DC3E}"/>
</file>

<file path=customXml/itemProps2.xml><?xml version="1.0" encoding="utf-8"?>
<ds:datastoreItem xmlns:ds="http://schemas.openxmlformats.org/officeDocument/2006/customXml" ds:itemID="{21EDD028-3A86-44EA-8ADE-7A20A6F606E2}"/>
</file>

<file path=customXml/itemProps3.xml><?xml version="1.0" encoding="utf-8"?>
<ds:datastoreItem xmlns:ds="http://schemas.openxmlformats.org/officeDocument/2006/customXml" ds:itemID="{D185E320-9CBE-42EB-AAA6-5AAAF86A7FD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sapporo</vt:lpstr>
      <vt:lpstr>miyagi</vt:lpstr>
      <vt:lpstr>nagoya</vt:lpstr>
      <vt:lpstr>osaka</vt:lpstr>
      <vt:lpstr>hiroshima</vt:lpstr>
      <vt:lpstr>fukuoka</vt:lpstr>
      <vt:lpstr>tokyo-east(ota)</vt:lpstr>
      <vt:lpstr>tokyo-west(kato)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2019-08-19T05:24:17Z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