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01"/>
  <workbookPr defaultThemeVersion="124226"/>
  <mc:AlternateContent xmlns:mc="http://schemas.openxmlformats.org/markup-compatibility/2006">
    <mc:Choice Requires="x15">
      <x15ac:absPath xmlns:x15ac="http://schemas.microsoft.com/office/spreadsheetml/2010/11/ac" url="C:\Users\aspeuser\AppData\Local\Microsoft\Windows\INetCache\Content.Outlook\ZAIFXP6C\"/>
    </mc:Choice>
  </mc:AlternateContent>
  <xr:revisionPtr revIDLastSave="0" documentId="13_ncr:1_{EC50C875-3E66-492C-89D8-6ED44E981FCE}"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fukuoka!$A$1:$BA$152</definedName>
    <definedName name="_xlnm._FilterDatabase" localSheetId="4" hidden="1">hiroshima!$A$1:$BA$1</definedName>
    <definedName name="_xlnm._FilterDatabase" localSheetId="1" hidden="1">miyagi!$A$1:$BA$399</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118" i="24" l="1"/>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52" i="22" l="1"/>
  <c r="T152" i="22"/>
  <c r="Q152" i="22"/>
  <c r="V151" i="22"/>
  <c r="T151" i="22"/>
  <c r="Q151" i="22"/>
  <c r="V150" i="22"/>
  <c r="T150" i="22"/>
  <c r="Q150" i="22"/>
  <c r="V149" i="22"/>
  <c r="T149" i="22"/>
  <c r="Q149" i="22"/>
  <c r="V148" i="22"/>
  <c r="T148" i="22"/>
  <c r="Q148" i="22"/>
  <c r="V147" i="22"/>
  <c r="T147" i="22"/>
  <c r="Q147" i="22"/>
  <c r="V146" i="22"/>
  <c r="T146" i="22"/>
  <c r="Q146" i="22"/>
  <c r="V145" i="22"/>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9" i="21" l="1"/>
  <c r="V79" i="21" s="1"/>
  <c r="Q79" i="21"/>
  <c r="T78" i="21"/>
  <c r="V78" i="21" s="1"/>
  <c r="Q78" i="21"/>
  <c r="T77" i="21"/>
  <c r="V77" i="21" s="1"/>
  <c r="Q77"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7" i="19"/>
  <c r="V67" i="19" s="1"/>
  <c r="Q67" i="19"/>
  <c r="T66" i="19"/>
  <c r="V66" i="19" s="1"/>
  <c r="Q66" i="19"/>
  <c r="T65" i="19"/>
  <c r="V65" i="19" s="1"/>
  <c r="Q65" i="19"/>
  <c r="T64" i="19"/>
  <c r="V64" i="19" s="1"/>
  <c r="Q64" i="19"/>
  <c r="T63" i="19"/>
  <c r="V63" i="19" s="1"/>
  <c r="Q63" i="19"/>
  <c r="T62" i="19"/>
  <c r="V62" i="19" s="1"/>
  <c r="Q62" i="19"/>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99" i="18" l="1"/>
  <c r="T398" i="18"/>
  <c r="T397" i="18"/>
  <c r="T396" i="18"/>
  <c r="T395" i="18"/>
  <c r="T394" i="18"/>
  <c r="T393" i="18"/>
  <c r="T392" i="18"/>
  <c r="T391" i="18"/>
  <c r="T390" i="18"/>
  <c r="T389" i="18"/>
  <c r="T388" i="18"/>
  <c r="T387" i="18"/>
  <c r="T386" i="18"/>
  <c r="T385" i="18"/>
  <c r="T384" i="18"/>
  <c r="T383" i="18"/>
  <c r="T382" i="18"/>
  <c r="T381" i="18"/>
  <c r="T380" i="18"/>
  <c r="T379" i="18"/>
  <c r="V379" i="18" s="1"/>
  <c r="T378" i="18"/>
  <c r="V378" i="18" s="1"/>
  <c r="V377" i="18"/>
  <c r="T377" i="18"/>
  <c r="T376" i="18"/>
  <c r="V376" i="18" s="1"/>
  <c r="V375" i="18"/>
  <c r="T375" i="18"/>
  <c r="T374" i="18"/>
  <c r="V374" i="18" s="1"/>
  <c r="T373" i="18"/>
  <c r="V373" i="18" s="1"/>
  <c r="T372" i="18"/>
  <c r="V372" i="18" s="1"/>
  <c r="V371" i="18"/>
  <c r="T371" i="18"/>
  <c r="Q371" i="18"/>
  <c r="T370" i="18"/>
  <c r="V370" i="18" s="1"/>
  <c r="Q370" i="18"/>
  <c r="T369" i="18"/>
  <c r="V369" i="18" s="1"/>
  <c r="Q369" i="18"/>
  <c r="T368" i="18"/>
  <c r="V368" i="18" s="1"/>
  <c r="Q368" i="18"/>
  <c r="V367" i="18"/>
  <c r="T367" i="18"/>
  <c r="Q367" i="18"/>
  <c r="T366" i="18"/>
  <c r="V366" i="18" s="1"/>
  <c r="Q366" i="18"/>
  <c r="T365" i="18"/>
  <c r="V365" i="18" s="1"/>
  <c r="Q365" i="18"/>
  <c r="T364" i="18"/>
  <c r="V364" i="18" s="1"/>
  <c r="Q364" i="18"/>
  <c r="V363" i="18"/>
  <c r="T363" i="18"/>
  <c r="Q363" i="18"/>
  <c r="T362" i="18"/>
  <c r="V362" i="18" s="1"/>
  <c r="Q362" i="18"/>
  <c r="T361" i="18"/>
  <c r="V361" i="18" s="1"/>
  <c r="Q361" i="18"/>
  <c r="T360" i="18"/>
  <c r="V360" i="18" s="1"/>
  <c r="Q360" i="18"/>
  <c r="V359" i="18"/>
  <c r="T359" i="18"/>
  <c r="Q359" i="18"/>
  <c r="T358" i="18"/>
  <c r="V358" i="18" s="1"/>
  <c r="Q358" i="18"/>
  <c r="T357" i="18"/>
  <c r="V357" i="18" s="1"/>
  <c r="Q357" i="18"/>
  <c r="T356" i="18"/>
  <c r="V356" i="18" s="1"/>
  <c r="Q356" i="18"/>
  <c r="V355" i="18"/>
  <c r="T355" i="18"/>
  <c r="Q355" i="18"/>
  <c r="T354" i="18"/>
  <c r="V354" i="18" s="1"/>
  <c r="Q354" i="18"/>
  <c r="T353" i="18"/>
  <c r="V353" i="18" s="1"/>
  <c r="Q353" i="18"/>
  <c r="T352" i="18"/>
  <c r="V352" i="18" s="1"/>
  <c r="Q352" i="18"/>
  <c r="V351" i="18"/>
  <c r="T351" i="18"/>
  <c r="Q351" i="18"/>
  <c r="T350" i="18"/>
  <c r="V350" i="18" s="1"/>
  <c r="Q350" i="18"/>
  <c r="T349" i="18"/>
  <c r="V349" i="18" s="1"/>
  <c r="Q349" i="18"/>
  <c r="T348" i="18"/>
  <c r="V348" i="18" s="1"/>
  <c r="Q348" i="18"/>
  <c r="V347" i="18"/>
  <c r="T347" i="18"/>
  <c r="Q347" i="18"/>
  <c r="T346" i="18"/>
  <c r="V346" i="18" s="1"/>
  <c r="Q346" i="18"/>
  <c r="T345" i="18"/>
  <c r="V345" i="18" s="1"/>
  <c r="Q345" i="18"/>
  <c r="T344" i="18"/>
  <c r="V344" i="18" s="1"/>
  <c r="Q344" i="18"/>
  <c r="V343" i="18"/>
  <c r="T343" i="18"/>
  <c r="Q343" i="18"/>
  <c r="T342" i="18"/>
  <c r="V342" i="18" s="1"/>
  <c r="Q342" i="18"/>
  <c r="T341" i="18"/>
  <c r="V341" i="18" s="1"/>
  <c r="Q341" i="18"/>
  <c r="T340" i="18"/>
  <c r="V340" i="18" s="1"/>
  <c r="Q340" i="18"/>
  <c r="V339" i="18"/>
  <c r="T339" i="18"/>
  <c r="Q339" i="18"/>
  <c r="T338" i="18"/>
  <c r="V338" i="18" s="1"/>
  <c r="Q338" i="18"/>
  <c r="T337" i="18"/>
  <c r="V337" i="18" s="1"/>
  <c r="Q337" i="18"/>
  <c r="T336" i="18"/>
  <c r="V336" i="18" s="1"/>
  <c r="Q336" i="18"/>
  <c r="V335" i="18"/>
  <c r="T335" i="18"/>
  <c r="Q335" i="18"/>
  <c r="T334" i="18"/>
  <c r="V334" i="18" s="1"/>
  <c r="Q334" i="18"/>
  <c r="T333" i="18"/>
  <c r="V333" i="18" s="1"/>
  <c r="Q333" i="18"/>
  <c r="T332" i="18"/>
  <c r="V332" i="18" s="1"/>
  <c r="Q332" i="18"/>
  <c r="V331" i="18"/>
  <c r="T331" i="18"/>
  <c r="Q331" i="18"/>
  <c r="T330" i="18"/>
  <c r="V330" i="18" s="1"/>
  <c r="Q330" i="18"/>
  <c r="T329" i="18"/>
  <c r="V329" i="18" s="1"/>
  <c r="Q329" i="18"/>
  <c r="T328" i="18"/>
  <c r="V328" i="18" s="1"/>
  <c r="Q328" i="18"/>
  <c r="V327" i="18"/>
  <c r="T327" i="18"/>
  <c r="Q327" i="18"/>
  <c r="T326" i="18"/>
  <c r="V326" i="18" s="1"/>
  <c r="Q326" i="18"/>
  <c r="T325" i="18"/>
  <c r="V325" i="18" s="1"/>
  <c r="Q325" i="18"/>
  <c r="T324" i="18"/>
  <c r="V324" i="18" s="1"/>
  <c r="Q324" i="18"/>
  <c r="V323" i="18"/>
  <c r="T323" i="18"/>
  <c r="Q323" i="18"/>
  <c r="T322" i="18"/>
  <c r="V322" i="18" s="1"/>
  <c r="Q322" i="18"/>
  <c r="T321" i="18"/>
  <c r="V321" i="18" s="1"/>
  <c r="Q321" i="18"/>
  <c r="T320" i="18"/>
  <c r="V320" i="18" s="1"/>
  <c r="Q320" i="18"/>
  <c r="V319" i="18"/>
  <c r="T319" i="18"/>
  <c r="Q319" i="18"/>
  <c r="T318" i="18"/>
  <c r="V318" i="18" s="1"/>
  <c r="Q318" i="18"/>
  <c r="T317" i="18"/>
  <c r="V317" i="18" s="1"/>
  <c r="Q317" i="18"/>
  <c r="T316" i="18"/>
  <c r="V316" i="18" s="1"/>
  <c r="Q316" i="18"/>
  <c r="V315" i="18"/>
  <c r="T315" i="18"/>
  <c r="Q315" i="18"/>
  <c r="T314" i="18"/>
  <c r="V314" i="18" s="1"/>
  <c r="Q314" i="18"/>
  <c r="T313" i="18"/>
  <c r="V313" i="18" s="1"/>
  <c r="Q313" i="18"/>
  <c r="T312" i="18"/>
  <c r="V312" i="18" s="1"/>
  <c r="Q312" i="18"/>
  <c r="V311" i="18"/>
  <c r="T311" i="18"/>
  <c r="Q311" i="18"/>
  <c r="T310" i="18"/>
  <c r="V310" i="18" s="1"/>
  <c r="Q310" i="18"/>
  <c r="T309" i="18"/>
  <c r="V309" i="18" s="1"/>
  <c r="Q309" i="18"/>
  <c r="T308" i="18"/>
  <c r="V308" i="18" s="1"/>
  <c r="Q308" i="18"/>
  <c r="V307" i="18"/>
  <c r="T307" i="18"/>
  <c r="Q307" i="18"/>
  <c r="T306" i="18"/>
  <c r="V306" i="18" s="1"/>
  <c r="Q306" i="18"/>
  <c r="T305" i="18"/>
  <c r="V305" i="18" s="1"/>
  <c r="Q305" i="18"/>
  <c r="T304" i="18"/>
  <c r="V304" i="18" s="1"/>
  <c r="Q304" i="18"/>
  <c r="V303" i="18"/>
  <c r="T303" i="18"/>
  <c r="Q303" i="18"/>
  <c r="T302" i="18"/>
  <c r="V302" i="18" s="1"/>
  <c r="Q302" i="18"/>
  <c r="T301" i="18"/>
  <c r="V301" i="18" s="1"/>
  <c r="Q301" i="18"/>
  <c r="T300" i="18"/>
  <c r="V300" i="18" s="1"/>
  <c r="Q300" i="18"/>
  <c r="V299" i="18"/>
  <c r="T299" i="18"/>
  <c r="Q299" i="18"/>
  <c r="T298" i="18"/>
  <c r="V298" i="18" s="1"/>
  <c r="Q298" i="18"/>
  <c r="T297" i="18"/>
  <c r="V297" i="18" s="1"/>
  <c r="Q297" i="18"/>
  <c r="T296" i="18"/>
  <c r="V296" i="18" s="1"/>
  <c r="Q296" i="18"/>
  <c r="V295" i="18"/>
  <c r="T295" i="18"/>
  <c r="Q295" i="18"/>
  <c r="T294" i="18"/>
  <c r="V294" i="18" s="1"/>
  <c r="Q294" i="18"/>
  <c r="T293" i="18"/>
  <c r="V293" i="18" s="1"/>
  <c r="Q293" i="18"/>
  <c r="T292" i="18"/>
  <c r="V292" i="18" s="1"/>
  <c r="Q292" i="18"/>
  <c r="V291" i="18"/>
  <c r="T291" i="18"/>
  <c r="Q291" i="18"/>
  <c r="T290" i="18"/>
  <c r="V290" i="18" s="1"/>
  <c r="Q290" i="18"/>
  <c r="T289" i="18"/>
  <c r="V289" i="18" s="1"/>
  <c r="Q289" i="18"/>
  <c r="T288" i="18"/>
  <c r="V288" i="18" s="1"/>
  <c r="Q288" i="18"/>
  <c r="V287" i="18"/>
  <c r="T287" i="18"/>
  <c r="Q287" i="18"/>
  <c r="T286" i="18"/>
  <c r="V286" i="18" s="1"/>
  <c r="Q286" i="18"/>
  <c r="T285" i="18"/>
  <c r="V285" i="18" s="1"/>
  <c r="Q285" i="18"/>
  <c r="T284" i="18"/>
  <c r="V284" i="18" s="1"/>
  <c r="Q284" i="18"/>
  <c r="V283" i="18"/>
  <c r="T283" i="18"/>
  <c r="Q283" i="18"/>
  <c r="T282" i="18"/>
  <c r="V282" i="18" s="1"/>
  <c r="Q282" i="18"/>
  <c r="T281" i="18"/>
  <c r="V281" i="18" s="1"/>
  <c r="Q281" i="18"/>
  <c r="T280" i="18"/>
  <c r="V280" i="18" s="1"/>
  <c r="Q280" i="18"/>
  <c r="V279" i="18"/>
  <c r="T279" i="18"/>
  <c r="Q279" i="18"/>
  <c r="T278" i="18"/>
  <c r="V278" i="18" s="1"/>
  <c r="Q278" i="18"/>
  <c r="T277" i="18"/>
  <c r="V277" i="18" s="1"/>
  <c r="Q277" i="18"/>
  <c r="T276" i="18"/>
  <c r="V276" i="18" s="1"/>
  <c r="Q276" i="18"/>
  <c r="V275" i="18"/>
  <c r="T275" i="18"/>
  <c r="Q275" i="18"/>
  <c r="T274" i="18"/>
  <c r="V274" i="18" s="1"/>
  <c r="Q274" i="18"/>
  <c r="T273" i="18"/>
  <c r="V273" i="18" s="1"/>
  <c r="Q273" i="18"/>
  <c r="T272" i="18"/>
  <c r="V272" i="18" s="1"/>
  <c r="Q272" i="18"/>
  <c r="V271" i="18"/>
  <c r="T271" i="18"/>
  <c r="Q271" i="18"/>
  <c r="T270" i="18"/>
  <c r="V270" i="18" s="1"/>
  <c r="Q270" i="18"/>
  <c r="T269" i="18"/>
  <c r="V269" i="18" s="1"/>
  <c r="Q269" i="18"/>
  <c r="T268" i="18"/>
  <c r="V268" i="18" s="1"/>
  <c r="Q268" i="18"/>
  <c r="V267" i="18"/>
  <c r="T267" i="18"/>
  <c r="Q267" i="18"/>
  <c r="T266" i="18"/>
  <c r="V266" i="18" s="1"/>
  <c r="Q266" i="18"/>
  <c r="T265" i="18"/>
  <c r="V265" i="18" s="1"/>
  <c r="Q265" i="18"/>
  <c r="T264" i="18"/>
  <c r="V264" i="18" s="1"/>
  <c r="Q264" i="18"/>
  <c r="T263" i="18"/>
  <c r="V263" i="18" s="1"/>
  <c r="Q263" i="18"/>
  <c r="T262" i="18"/>
  <c r="V262" i="18" s="1"/>
  <c r="Q262" i="18"/>
  <c r="T261" i="18"/>
  <c r="V261" i="18" s="1"/>
  <c r="Q261" i="18"/>
  <c r="T260" i="18"/>
  <c r="V260" i="18" s="1"/>
  <c r="Q260" i="18"/>
  <c r="V259" i="18"/>
  <c r="T259" i="18"/>
  <c r="Q259" i="18"/>
  <c r="T258" i="18"/>
  <c r="V258" i="18" s="1"/>
  <c r="Q258" i="18"/>
  <c r="T257" i="18"/>
  <c r="V257" i="18" s="1"/>
  <c r="Q257" i="18"/>
  <c r="T256" i="18"/>
  <c r="V256" i="18" s="1"/>
  <c r="Q256" i="18"/>
  <c r="V255" i="18"/>
  <c r="T255" i="18"/>
  <c r="Q255" i="18"/>
  <c r="T254" i="18"/>
  <c r="V254" i="18" s="1"/>
  <c r="Q254" i="18"/>
  <c r="T253" i="18"/>
  <c r="V253" i="18" s="1"/>
  <c r="Q253" i="18"/>
  <c r="T252" i="18"/>
  <c r="V252" i="18" s="1"/>
  <c r="Q252" i="18"/>
  <c r="V251" i="18"/>
  <c r="T251" i="18"/>
  <c r="Q251" i="18"/>
  <c r="T250" i="18"/>
  <c r="V250" i="18" s="1"/>
  <c r="Q250" i="18"/>
  <c r="T249" i="18"/>
  <c r="V249" i="18" s="1"/>
  <c r="Q249" i="18"/>
  <c r="T248" i="18"/>
  <c r="V248" i="18" s="1"/>
  <c r="Q248" i="18"/>
  <c r="V247" i="18"/>
  <c r="T247" i="18"/>
  <c r="Q247" i="18"/>
  <c r="T246" i="18"/>
  <c r="V246" i="18" s="1"/>
  <c r="Q246" i="18"/>
  <c r="T245" i="18"/>
  <c r="V245" i="18" s="1"/>
  <c r="Q245" i="18"/>
  <c r="T244" i="18"/>
  <c r="V244" i="18" s="1"/>
  <c r="Q244" i="18"/>
  <c r="T243" i="18"/>
  <c r="V243" i="18" s="1"/>
  <c r="Q243" i="18"/>
  <c r="T242" i="18"/>
  <c r="V242" i="18" s="1"/>
  <c r="Q242" i="18"/>
  <c r="T241" i="18"/>
  <c r="V241" i="18" s="1"/>
  <c r="Q241" i="18"/>
  <c r="T240" i="18"/>
  <c r="V240" i="18" s="1"/>
  <c r="Q240" i="18"/>
  <c r="V239" i="18"/>
  <c r="T239" i="18"/>
  <c r="Q239" i="18"/>
  <c r="T238" i="18"/>
  <c r="V238" i="18" s="1"/>
  <c r="Q238" i="18"/>
  <c r="T237" i="18"/>
  <c r="V237" i="18" s="1"/>
  <c r="Q237" i="18"/>
  <c r="T236" i="18"/>
  <c r="V236" i="18" s="1"/>
  <c r="Q236" i="18"/>
  <c r="V235" i="18"/>
  <c r="T235" i="18"/>
  <c r="Q235" i="18"/>
  <c r="T234" i="18"/>
  <c r="V234" i="18" s="1"/>
  <c r="Q234" i="18"/>
  <c r="T233" i="18"/>
  <c r="V233" i="18" s="1"/>
  <c r="Q233" i="18"/>
  <c r="T232" i="18"/>
  <c r="V232" i="18" s="1"/>
  <c r="Q232" i="18"/>
  <c r="T231" i="18"/>
  <c r="V231" i="18" s="1"/>
  <c r="Q231" i="18"/>
  <c r="T230" i="18"/>
  <c r="V230" i="18" s="1"/>
  <c r="Q230" i="18"/>
  <c r="T229" i="18"/>
  <c r="V229" i="18" s="1"/>
  <c r="Q229" i="18"/>
  <c r="T228" i="18"/>
  <c r="V228" i="18" s="1"/>
  <c r="Q228" i="18"/>
  <c r="T227" i="18"/>
  <c r="V227" i="18" s="1"/>
  <c r="Q227" i="18"/>
  <c r="T226" i="18"/>
  <c r="V226" i="18" s="1"/>
  <c r="Q226" i="18"/>
  <c r="T225" i="18"/>
  <c r="V225" i="18" s="1"/>
  <c r="Q225" i="18"/>
  <c r="T224" i="18"/>
  <c r="V224" i="18" s="1"/>
  <c r="Q224" i="18"/>
  <c r="V223" i="18"/>
  <c r="T223" i="18"/>
  <c r="Q223" i="18"/>
  <c r="T222" i="18"/>
  <c r="V222" i="18" s="1"/>
  <c r="Q222" i="18"/>
  <c r="T221" i="18"/>
  <c r="V221" i="18" s="1"/>
  <c r="Q221" i="18"/>
  <c r="T220" i="18"/>
  <c r="V220" i="18" s="1"/>
  <c r="Q220" i="18"/>
  <c r="V219" i="18"/>
  <c r="T219" i="18"/>
  <c r="Q219" i="18"/>
  <c r="T218" i="18"/>
  <c r="V218" i="18" s="1"/>
  <c r="Q218" i="18"/>
  <c r="T217" i="18"/>
  <c r="V217" i="18" s="1"/>
  <c r="Q217" i="18"/>
  <c r="T216" i="18"/>
  <c r="V216" i="18" s="1"/>
  <c r="Q216" i="18"/>
  <c r="V215" i="18"/>
  <c r="T215" i="18"/>
  <c r="Q215" i="18"/>
  <c r="T214" i="18"/>
  <c r="V214" i="18" s="1"/>
  <c r="Q214" i="18"/>
  <c r="T213" i="18"/>
  <c r="V213" i="18" s="1"/>
  <c r="Q213" i="18"/>
  <c r="T212" i="18"/>
  <c r="V212" i="18" s="1"/>
  <c r="Q212" i="18"/>
  <c r="T211" i="18"/>
  <c r="V211" i="18" s="1"/>
  <c r="Q211" i="18"/>
  <c r="T210" i="18"/>
  <c r="V210" i="18" s="1"/>
  <c r="Q210" i="18"/>
  <c r="T209" i="18"/>
  <c r="V209" i="18" s="1"/>
  <c r="Q209" i="18"/>
  <c r="T208" i="18"/>
  <c r="V208" i="18" s="1"/>
  <c r="Q208" i="18"/>
  <c r="V207" i="18"/>
  <c r="T207" i="18"/>
  <c r="Q207" i="18"/>
  <c r="T206" i="18"/>
  <c r="V206" i="18" s="1"/>
  <c r="Q206" i="18"/>
  <c r="T205" i="18"/>
  <c r="V205" i="18" s="1"/>
  <c r="Q205" i="18"/>
  <c r="T204" i="18"/>
  <c r="V204" i="18" s="1"/>
  <c r="Q204" i="18"/>
  <c r="V203" i="18"/>
  <c r="T203" i="18"/>
  <c r="Q203" i="18"/>
  <c r="T202" i="18"/>
  <c r="V202" i="18" s="1"/>
  <c r="Q202" i="18"/>
  <c r="T201" i="18"/>
  <c r="V201" i="18" s="1"/>
  <c r="Q201" i="18"/>
  <c r="T200" i="18"/>
  <c r="V200" i="18" s="1"/>
  <c r="Q200" i="18"/>
  <c r="V199" i="18"/>
  <c r="T199" i="18"/>
  <c r="Q199" i="18"/>
  <c r="T198" i="18"/>
  <c r="V198" i="18" s="1"/>
  <c r="Q198" i="18"/>
  <c r="T197" i="18"/>
  <c r="V197" i="18" s="1"/>
  <c r="Q197" i="18"/>
  <c r="T196" i="18"/>
  <c r="V196" i="18" s="1"/>
  <c r="Q196" i="18"/>
  <c r="T195" i="18"/>
  <c r="V195" i="18" s="1"/>
  <c r="Q195" i="18"/>
  <c r="T194" i="18"/>
  <c r="V194" i="18" s="1"/>
  <c r="Q194" i="18"/>
  <c r="T193" i="18"/>
  <c r="V193" i="18" s="1"/>
  <c r="Q193" i="18"/>
  <c r="T192" i="18"/>
  <c r="V192" i="18" s="1"/>
  <c r="Q192" i="18"/>
  <c r="V191" i="18"/>
  <c r="T191" i="18"/>
  <c r="Q191" i="18"/>
  <c r="T190" i="18"/>
  <c r="V190" i="18" s="1"/>
  <c r="Q190" i="18"/>
  <c r="T189" i="18"/>
  <c r="V189" i="18" s="1"/>
  <c r="Q189" i="18"/>
  <c r="T188" i="18"/>
  <c r="V188" i="18" s="1"/>
  <c r="Q188" i="18"/>
  <c r="V187" i="18"/>
  <c r="T187" i="18"/>
  <c r="Q187" i="18"/>
  <c r="T186" i="18"/>
  <c r="V186" i="18" s="1"/>
  <c r="Q186" i="18"/>
  <c r="T185" i="18"/>
  <c r="V185" i="18" s="1"/>
  <c r="Q185" i="18"/>
  <c r="T184" i="18"/>
  <c r="V184" i="18" s="1"/>
  <c r="Q184" i="18"/>
  <c r="V183" i="18"/>
  <c r="T183" i="18"/>
  <c r="Q183" i="18"/>
  <c r="T182" i="18"/>
  <c r="V182" i="18" s="1"/>
  <c r="Q182" i="18"/>
  <c r="T181" i="18"/>
  <c r="V181" i="18" s="1"/>
  <c r="Q181" i="18"/>
  <c r="T180" i="18"/>
  <c r="V180" i="18" s="1"/>
  <c r="Q180" i="18"/>
  <c r="T179" i="18"/>
  <c r="V179" i="18" s="1"/>
  <c r="Q179" i="18"/>
  <c r="T178" i="18"/>
  <c r="V178" i="18" s="1"/>
  <c r="Q178" i="18"/>
  <c r="T177" i="18"/>
  <c r="V177" i="18" s="1"/>
  <c r="Q177" i="18"/>
  <c r="T176" i="18"/>
  <c r="V176" i="18" s="1"/>
  <c r="Q176" i="18"/>
  <c r="V175" i="18"/>
  <c r="T175" i="18"/>
  <c r="Q175" i="18"/>
  <c r="T174" i="18"/>
  <c r="V174" i="18" s="1"/>
  <c r="Q174" i="18"/>
  <c r="T173" i="18"/>
  <c r="V173" i="18" s="1"/>
  <c r="Q173" i="18"/>
  <c r="T172" i="18"/>
  <c r="V172" i="18" s="1"/>
  <c r="Q172" i="18"/>
  <c r="V171" i="18"/>
  <c r="T171" i="18"/>
  <c r="Q171" i="18"/>
  <c r="T170" i="18"/>
  <c r="V170" i="18" s="1"/>
  <c r="Q170" i="18"/>
  <c r="T169" i="18"/>
  <c r="V169" i="18" s="1"/>
  <c r="Q169" i="18"/>
  <c r="T168" i="18"/>
  <c r="V168" i="18" s="1"/>
  <c r="Q168" i="18"/>
  <c r="V167" i="18"/>
  <c r="T167" i="18"/>
  <c r="Q167" i="18"/>
  <c r="T166" i="18"/>
  <c r="V166" i="18" s="1"/>
  <c r="Q166" i="18"/>
  <c r="T165" i="18"/>
  <c r="V165" i="18" s="1"/>
  <c r="Q165" i="18"/>
  <c r="T164" i="18"/>
  <c r="V164" i="18" s="1"/>
  <c r="Q164" i="18"/>
  <c r="T163" i="18"/>
  <c r="V163" i="18" s="1"/>
  <c r="Q163" i="18"/>
  <c r="T162" i="18"/>
  <c r="V162" i="18" s="1"/>
  <c r="Q162" i="18"/>
  <c r="T161" i="18"/>
  <c r="V161" i="18" s="1"/>
  <c r="Q161" i="18"/>
  <c r="T160" i="18"/>
  <c r="V160" i="18" s="1"/>
  <c r="Q160" i="18"/>
  <c r="V159" i="18"/>
  <c r="T159" i="18"/>
  <c r="Q159" i="18"/>
  <c r="T158" i="18"/>
  <c r="V158" i="18" s="1"/>
  <c r="Q158" i="18"/>
  <c r="T157" i="18"/>
  <c r="V157" i="18" s="1"/>
  <c r="Q157" i="18"/>
  <c r="T156" i="18"/>
  <c r="V156" i="18" s="1"/>
  <c r="Q156" i="18"/>
  <c r="V155" i="18"/>
  <c r="T155" i="18"/>
  <c r="Q155" i="18"/>
  <c r="T154" i="18"/>
  <c r="V154" i="18" s="1"/>
  <c r="Q154" i="18"/>
  <c r="T153" i="18"/>
  <c r="V153" i="18" s="1"/>
  <c r="Q153" i="18"/>
  <c r="T152" i="18"/>
  <c r="V152" i="18" s="1"/>
  <c r="Q152" i="18"/>
  <c r="V151" i="18"/>
  <c r="T151" i="18"/>
  <c r="Q151" i="18"/>
  <c r="T150" i="18"/>
  <c r="V150" i="18" s="1"/>
  <c r="Q150" i="18"/>
  <c r="T149" i="18"/>
  <c r="V149" i="18" s="1"/>
  <c r="Q149" i="18"/>
  <c r="T148" i="18"/>
  <c r="V148" i="18" s="1"/>
  <c r="Q148" i="18"/>
  <c r="T147" i="18"/>
  <c r="V147" i="18" s="1"/>
  <c r="Q147" i="18"/>
  <c r="T146" i="18"/>
  <c r="V146" i="18" s="1"/>
  <c r="Q146" i="18"/>
  <c r="T145" i="18"/>
  <c r="V145" i="18" s="1"/>
  <c r="Q145" i="18"/>
  <c r="T144" i="18"/>
  <c r="V144" i="18" s="1"/>
  <c r="Q144" i="18"/>
  <c r="V143" i="18"/>
  <c r="T143" i="18"/>
  <c r="Q143" i="18"/>
  <c r="T142" i="18"/>
  <c r="V142" i="18" s="1"/>
  <c r="Q142" i="18"/>
  <c r="T141" i="18"/>
  <c r="V141" i="18" s="1"/>
  <c r="Q141" i="18"/>
  <c r="T140" i="18"/>
  <c r="V140" i="18" s="1"/>
  <c r="Q140" i="18"/>
  <c r="V139" i="18"/>
  <c r="T139" i="18"/>
  <c r="Q139" i="18"/>
  <c r="T138" i="18"/>
  <c r="V138" i="18" s="1"/>
  <c r="Q138" i="18"/>
  <c r="T137" i="18"/>
  <c r="V137" i="18" s="1"/>
  <c r="Q137" i="18"/>
  <c r="T136" i="18"/>
  <c r="V136" i="18" s="1"/>
  <c r="Q136" i="18"/>
  <c r="V135" i="18"/>
  <c r="T135" i="18"/>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V127" i="18"/>
  <c r="T127" i="18"/>
  <c r="Q127" i="18"/>
  <c r="T126" i="18"/>
  <c r="V126" i="18" s="1"/>
  <c r="Q126" i="18"/>
  <c r="T125" i="18"/>
  <c r="V125" i="18" s="1"/>
  <c r="Q125" i="18"/>
  <c r="T124" i="18"/>
  <c r="V124" i="18" s="1"/>
  <c r="Q124" i="18"/>
  <c r="V123" i="18"/>
  <c r="T123" i="18"/>
  <c r="Q123" i="18"/>
  <c r="T122" i="18"/>
  <c r="V122" i="18" s="1"/>
  <c r="Q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V111" i="18"/>
  <c r="T111" i="18"/>
  <c r="Q111" i="18"/>
  <c r="T110" i="18"/>
  <c r="V110" i="18" s="1"/>
  <c r="Q110" i="18"/>
  <c r="T109" i="18"/>
  <c r="V109" i="18" s="1"/>
  <c r="Q109" i="18"/>
  <c r="T108" i="18"/>
  <c r="V108" i="18" s="1"/>
  <c r="Q108" i="18"/>
  <c r="V107" i="18"/>
  <c r="T107" i="18"/>
  <c r="Q107" i="18"/>
  <c r="T106" i="18"/>
  <c r="V106" i="18" s="1"/>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T98" i="18"/>
  <c r="V98" i="18" s="1"/>
  <c r="Q98" i="18"/>
  <c r="T97" i="18"/>
  <c r="V97" i="18" s="1"/>
  <c r="Q97" i="18"/>
  <c r="T96" i="18"/>
  <c r="V96" i="18" s="1"/>
  <c r="Q96" i="18"/>
  <c r="V95" i="18"/>
  <c r="T95" i="18"/>
  <c r="Q95" i="18"/>
  <c r="T94" i="18"/>
  <c r="V94" i="18" s="1"/>
  <c r="Q94" i="18"/>
  <c r="T93" i="18"/>
  <c r="V93" i="18" s="1"/>
  <c r="Q93" i="18"/>
  <c r="T92" i="18"/>
  <c r="V92" i="18" s="1"/>
  <c r="Q92" i="18"/>
  <c r="V91" i="18"/>
  <c r="T91" i="18"/>
  <c r="Q91" i="18"/>
  <c r="T90" i="18"/>
  <c r="V90" i="18" s="1"/>
  <c r="Q90" i="18"/>
  <c r="T89" i="18"/>
  <c r="V89" i="18" s="1"/>
  <c r="Q89" i="18"/>
  <c r="T88" i="18"/>
  <c r="V88" i="18" s="1"/>
  <c r="Q88" i="18"/>
  <c r="T87" i="18"/>
  <c r="V87" i="18" s="1"/>
  <c r="Q87" i="18"/>
  <c r="T86" i="18"/>
  <c r="V86" i="18" s="1"/>
  <c r="Q86" i="18"/>
  <c r="T85" i="18"/>
  <c r="V85" i="18" s="1"/>
  <c r="Q85" i="18"/>
  <c r="T84" i="18"/>
  <c r="V84" i="18" s="1"/>
  <c r="Q84" i="18"/>
  <c r="T83" i="18"/>
  <c r="V83" i="18" s="1"/>
  <c r="Q83" i="18"/>
  <c r="T82" i="18"/>
  <c r="V82" i="18" s="1"/>
  <c r="Q82" i="18"/>
  <c r="T81" i="18"/>
  <c r="V81" i="18" s="1"/>
  <c r="Q81" i="18"/>
  <c r="T80" i="18"/>
  <c r="V80" i="18" s="1"/>
  <c r="Q80" i="18"/>
  <c r="V79" i="18"/>
  <c r="T79" i="18"/>
  <c r="Q79" i="18"/>
  <c r="T78" i="18"/>
  <c r="V78" i="18" s="1"/>
  <c r="Q78" i="18"/>
  <c r="T77" i="18"/>
  <c r="V77" i="18" s="1"/>
  <c r="Q77" i="18"/>
  <c r="T76" i="18"/>
  <c r="V76" i="18" s="1"/>
  <c r="Q76" i="18"/>
  <c r="V75" i="18"/>
  <c r="T75" i="18"/>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V63" i="18"/>
  <c r="T63" i="18"/>
  <c r="Q63" i="18"/>
  <c r="T62" i="18"/>
  <c r="V62" i="18" s="1"/>
  <c r="Q62" i="18"/>
  <c r="T61" i="18"/>
  <c r="V61" i="18" s="1"/>
  <c r="Q61" i="18"/>
  <c r="T60" i="18"/>
  <c r="V60" i="18" s="1"/>
  <c r="Q60" i="18"/>
  <c r="V59" i="18"/>
  <c r="T59" i="18"/>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V47" i="18"/>
  <c r="T47" i="18"/>
  <c r="Q47" i="18"/>
  <c r="T46" i="18"/>
  <c r="V46" i="18" s="1"/>
  <c r="Q46" i="18"/>
  <c r="T45" i="18"/>
  <c r="V45" i="18" s="1"/>
  <c r="Q45" i="18"/>
  <c r="T44" i="18"/>
  <c r="V44" i="18" s="1"/>
  <c r="Q44" i="18"/>
  <c r="V43" i="18"/>
  <c r="T43" i="18"/>
  <c r="Q43" i="18"/>
  <c r="T42" i="18"/>
  <c r="V42" i="18" s="1"/>
  <c r="Q42" i="18"/>
  <c r="T41" i="18"/>
  <c r="V41" i="18" s="1"/>
  <c r="Q41" i="18"/>
  <c r="T40" i="18"/>
  <c r="V40" i="18" s="1"/>
  <c r="Q40" i="18"/>
  <c r="T39" i="18"/>
  <c r="V39" i="18" s="1"/>
  <c r="Q39" i="18"/>
  <c r="T38" i="18"/>
  <c r="V38" i="18" s="1"/>
  <c r="Q38" i="18"/>
  <c r="T37" i="18"/>
  <c r="V37" i="18" s="1"/>
  <c r="Q37" i="18"/>
  <c r="T36" i="18"/>
  <c r="V36" i="18" s="1"/>
  <c r="Q36" i="18"/>
  <c r="T35" i="18"/>
  <c r="V35" i="18" s="1"/>
  <c r="Q35" i="18"/>
  <c r="T34" i="18"/>
  <c r="V34" i="18" s="1"/>
  <c r="Q34" i="18"/>
  <c r="T33" i="18"/>
  <c r="V33" i="18" s="1"/>
  <c r="Q33" i="18"/>
  <c r="T32" i="18"/>
  <c r="V32" i="18" s="1"/>
  <c r="Q32" i="18"/>
  <c r="T31" i="18"/>
  <c r="V31" i="18" s="1"/>
  <c r="Q31" i="18"/>
  <c r="T30" i="18"/>
  <c r="V30" i="18" s="1"/>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<sst xmlns="http://schemas.openxmlformats.org/spreadsheetml/2006/main" count="11123" uniqueCount="382">
  <si>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</si>
  <si>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</si>
  <si>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</si>
  <si>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</si>
  <si>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</si>
  <si>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</si>
  <si>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</si>
  <si>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</si>
  <si>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</si>
  <si>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</si>
  <si>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</si>
  <si>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</si>
  <si>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</si>
  <si>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</si>
  <si>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</si>
  <si>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</si>
  <si>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</si>
  <si>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</si>
  <si>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</si>
  <si>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</si>
  <si>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</si>
  <si>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</si>
  <si>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</si>
  <si>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</si>
  <si>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</si>
  <si>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</si>
  <si>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</si>
  <si>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</si>
  <si>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</si>
  <si>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</si>
  <si>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</si>
  <si>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</si>
  <si>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</si>
  <si>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</si>
  <si>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</si>
  <si>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</si>
  <si>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</si>
  <si>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</si>
  <si>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</si>
  <si>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</si>
  <si>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</si>
  <si>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</si>
  <si>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</si>
  <si>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</si>
  <si>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</si>
  <si>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</si>
  <si>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</si>
  <si>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</si>
  <si>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</si>
  <si>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</si>
  <si>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</si>
  <si>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</si>
  <si>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</si>
  <si>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</si>
  <si>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</si>
  <si>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</si>
  <si>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</si>
  <si>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</si>
  <si>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</si>
  <si>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</si>
  <si>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</si>
  <si>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</si>
  <si>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</si>
  <si>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</si>
  <si>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</si>
  <si>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</si>
  <si>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</si>
  <si>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</si>
  <si>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</si>
  <si>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</si>
  <si>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</si>
  <si>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</si>
  <si>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</si>
  <si>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</si>
  <si>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</si>
  <si>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</si>
  <si>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</si>
  <si>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</si>
  <si>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</si>
  <si>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</si>
  <si>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</si>
  <si>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</si>
  <si>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</si>
  <si>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</si>
  <si>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</si>
  <si>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</si>
  <si>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</si>
  <si>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</si>
  <si>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</si>
  <si>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</si>
  <si>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</si>
  <si>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</si>
  <si>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</si>
  <si>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</si>
  <si>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</si>
  <si>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</si>
  <si>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</si>
  <si>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</si>
  <si>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</si>
  <si>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</si>
  <si>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</si>
  <si>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</si>
  <si>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</si>
  <si>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</si>
  <si>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</si>
  <si>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</si>
  <si>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</si>
  <si>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</si>
  <si>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</si>
  <si>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</si>
  <si>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</si>
  <si>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</si>
  <si>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</si>
  <si>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</si>
  <si>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</si>
  <si>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</si>
  <si>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</si>
  <si>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</si>
  <si>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</si>
  <si>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</si>
  <si>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</si>
  <si>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</si>
  <si>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</si>
  <si>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</si>
  <si>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</si>
  <si>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</si>
  <si>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</si>
  <si>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</si>
  <si>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</si>
  <si>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</si>
  <si>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</si>
  <si>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</si>
  <si>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</si>
  <si>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</si>
  <si>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</si>
  <si>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</si>
  <si>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</si>
  <si>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</si>
  <si>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</si>
  <si>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</si>
  <si>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</si>
  <si>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</si>
  <si>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</si>
  <si>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</si>
  <si>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</si>
  <si>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</si>
  <si>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</si>
  <si>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</si>
  <si>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</si>
  <si>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</si>
  <si>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</si>
  <si>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</si>
  <si>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</si>
  <si>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</si>
  <si>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</si>
  <si>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</si>
  <si>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</si>
  <si>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</si>
  <si>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</si>
  <si>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</si>
  <si>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</si>
  <si>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</si>
  <si>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</si>
  <si>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</si>
  <si>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HE</t>
  </si>
  <si>
    <t>HW</t>
  </si>
  <si>
    <t>OB</t>
  </si>
  <si>
    <t>14.05.2019</t>
  </si>
  <si>
    <t>14.05.2019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</si>
  <si>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</si>
  <si>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</si>
  <si>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</si>
  <si>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</si>
  <si>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</si>
  <si>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</si>
  <si>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</si>
  <si>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</si>
  <si>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</si>
  <si>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</si>
  <si>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</si>
  <si>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</si>
  <si>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</si>
  <si>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</si>
  <si>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</si>
  <si>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</si>
  <si>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15.05.2019</t>
  </si>
  <si>
    <t>利府店</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</si>
  <si>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</si>
  <si>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</si>
  <si>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</si>
  <si>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</si>
  <si>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</si>
  <si>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</si>
  <si>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</si>
  <si>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</si>
  <si>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</si>
  <si>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</si>
  <si>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</si>
  <si>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</si>
  <si>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</si>
  <si>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</si>
  <si>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</si>
  <si>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</si>
  <si>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</si>
  <si>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</si>
  <si>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</si>
  <si>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</si>
  <si>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</si>
  <si>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</si>
  <si>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</si>
  <si>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</si>
  <si>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</si>
  <si>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</si>
  <si>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</si>
  <si>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</si>
  <si>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</si>
  <si>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</si>
  <si>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</si>
  <si>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</si>
  <si>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</si>
  <si>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</si>
  <si>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</si>
  <si>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</si>
  <si>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</si>
  <si>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</si>
  <si>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</si>
  <si>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</si>
  <si>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</si>
  <si>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</si>
  <si>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</si>
  <si>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</si>
  <si>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</si>
  <si>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</si>
  <si>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16.05.2019</t>
    <phoneticPr fontId="3"/>
  </si>
  <si>
    <t>旬楽膳</t>
    <rPh sb="0" eb="1">
      <t>シュン</t>
    </rPh>
    <rPh sb="1" eb="2">
      <t>ラク</t>
    </rPh>
    <rPh sb="2" eb="3">
      <t>ゼン</t>
    </rPh>
    <phoneticPr fontId="4"/>
  </si>
  <si>
    <t>日進店</t>
    <rPh sb="0" eb="2">
      <t>ニッシン</t>
    </rPh>
    <rPh sb="2" eb="3">
      <t>ミセ</t>
    </rPh>
    <phoneticPr fontId="4"/>
  </si>
  <si>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</si>
  <si>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</si>
  <si>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</si>
  <si>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</si>
  <si>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</si>
  <si>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</si>
  <si>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</si>
  <si>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</si>
  <si>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</si>
  <si>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</si>
  <si>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</si>
  <si>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</si>
  <si>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</si>
  <si>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</si>
  <si>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</si>
  <si>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ラフランス</t>
    <phoneticPr fontId="4"/>
  </si>
  <si>
    <t>ピアゴ</t>
  </si>
  <si>
    <t>長久手南店</t>
  </si>
  <si>
    <t>カネスエ</t>
  </si>
  <si>
    <t>カネトク</t>
  </si>
  <si>
    <t>フェルナ</t>
  </si>
  <si>
    <t>アピタ</t>
  </si>
  <si>
    <t>JPY</t>
    <phoneticPr fontId="3"/>
  </si>
  <si>
    <t>17.05.2019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</si>
  <si>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</si>
  <si>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</si>
  <si>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</si>
  <si>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</si>
  <si>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</si>
  <si>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</si>
  <si>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</si>
  <si>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</si>
  <si>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</si>
  <si>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</si>
  <si>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</si>
  <si>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</si>
  <si>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</si>
  <si>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</si>
  <si>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</si>
  <si>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</si>
  <si>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</si>
  <si>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</si>
  <si>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</si>
  <si>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</si>
  <si>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</si>
  <si>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15.05.2019</t>
    <phoneticPr fontId="3"/>
  </si>
  <si>
    <t>福や</t>
  </si>
  <si>
    <t>鉄砲町店</t>
    <rPh sb="3" eb="4">
      <t>テン</t>
    </rPh>
    <phoneticPr fontId="3"/>
  </si>
  <si>
    <t>オレンジ</t>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</si>
  <si>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</si>
  <si>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</si>
  <si>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</si>
  <si>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</si>
  <si>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</si>
  <si>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</si>
  <si>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</si>
  <si>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</si>
  <si>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</si>
  <si>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</si>
  <si>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</si>
  <si>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</si>
  <si>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</si>
  <si>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</si>
  <si>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</si>
  <si>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</si>
  <si>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</si>
  <si>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</si>
  <si>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</si>
  <si>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</si>
  <si>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</si>
  <si>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</si>
  <si>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</si>
  <si>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</si>
  <si>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</si>
  <si>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販売
ユニット
個数</t>
    <phoneticPr fontId="4"/>
  </si>
  <si>
    <t>U/P JPY</t>
    <phoneticPr fontId="4"/>
  </si>
  <si>
    <t>マルショク</t>
    <phoneticPr fontId="3"/>
  </si>
  <si>
    <t>野間大池</t>
    <rPh sb="0" eb="2">
      <t>ノマ</t>
    </rPh>
    <rPh sb="2" eb="4">
      <t>オオイケ</t>
    </rPh>
    <phoneticPr fontId="3"/>
  </si>
  <si>
    <t>りんご</t>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</si>
  <si>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</si>
  <si>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</si>
  <si>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</si>
  <si>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</si>
  <si>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</si>
  <si>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</si>
  <si>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</si>
  <si>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</si>
  <si>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</si>
  <si>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</si>
  <si>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</si>
  <si>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</si>
  <si>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</si>
  <si>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</si>
  <si>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</si>
  <si>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</si>
  <si>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</si>
  <si>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</si>
  <si>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</si>
  <si>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</si>
  <si>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</si>
  <si>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</si>
  <si>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</si>
  <si>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</si>
  <si>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</si>
  <si>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</si>
  <si>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</si>
  <si>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</si>
  <si>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</si>
  <si>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</si>
  <si>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</si>
  <si>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</si>
  <si>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</si>
  <si>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</si>
  <si>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</si>
  <si>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</si>
  <si>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</si>
  <si>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</si>
  <si>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サミット</t>
  </si>
  <si>
    <t>久が原食品館</t>
  </si>
  <si>
    <t>16.05.2019</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</si>
  <si>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</si>
  <si>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</si>
  <si>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</si>
  <si>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</si>
  <si>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</si>
  <si>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</si>
  <si>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</si>
  <si>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</si>
  <si>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</si>
  <si>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</si>
  <si>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</si>
  <si>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</si>
  <si>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</si>
  <si>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</si>
  <si>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ヤマイチ</t>
  </si>
  <si>
    <t>中央店</t>
    <rPh sb="0" eb="2">
      <t>チュウオウ</t>
    </rPh>
    <phoneticPr fontId="3"/>
  </si>
  <si>
    <t>東武ストア</t>
  </si>
  <si>
    <t>新小岩店</t>
  </si>
  <si>
    <t>コモディイイダ</t>
  </si>
  <si>
    <t>西瑞江店</t>
  </si>
  <si>
    <t>いなげや</t>
  </si>
  <si>
    <t>江戸川春江店</t>
  </si>
  <si>
    <t>鹿骨店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</si>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</sst>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9"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theme="0" tint="-0.14990691854609822"/>
      </left>
      <right/>
      <top style="thin">
        <color auto="1"/>
      </top>
      <bottom/>
      <diagonal/>
    </border>
    <border>
      <left style="thin">
        <color auto="1"/>
      </left>
      <right/>
      <top/>
      <bottom/>
      <diagonal/>
    </border>
    <border>
      <left style="hair">
        <color auto="1"/>
      </left>
      <right style="thin">
        <color auto="1"/>
      </right>
      <top/>
      <bottom/>
      <diagonal/>
    </border>
    <border>
      <left style="thin">
        <color theme="0" tint="-0.14990691854609822"/>
      </left>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223">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0" fontId="1" fillId="0" borderId="0" xfId="1" applyFont="1" applyFill="1" applyAlignment="1"/>
    <xf numFmtId="0" fontId="1" fillId="0" borderId="0" xfId="1" applyFont="1" applyFill="1" applyAlignment="1">
      <alignment horizontal="center"/>
    </xf>
    <xf numFmtId="14" fontId="15" fillId="0" borderId="0" xfId="1" applyNumberFormat="1" applyFont="1" applyFill="1" applyAlignment="1">
      <alignment horizontal="right"/>
    </xf>
    <xf numFmtId="178" fontId="1" fillId="3" borderId="22" xfId="1" applyNumberFormat="1" applyFont="1" applyFill="1" applyBorder="1"/>
    <xf numFmtId="0" fontId="1" fillId="2" borderId="0" xfId="1" applyFont="1" applyFill="1"/>
    <xf numFmtId="0" fontId="16" fillId="0" borderId="23" xfId="2" applyFont="1" applyBorder="1" applyAlignment="1">
      <alignment horizontal="center" vertical="center"/>
    </xf>
    <xf numFmtId="0" fontId="16" fillId="0" borderId="24" xfId="2" applyFont="1" applyBorder="1" applyAlignment="1">
      <alignment horizontal="center" vertical="center"/>
    </xf>
    <xf numFmtId="0" fontId="1" fillId="0" borderId="8" xfId="1" applyFont="1" applyFill="1" applyBorder="1"/>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178" fontId="1" fillId="3" borderId="25" xfId="1" applyNumberFormat="1" applyFont="1" applyFill="1" applyBorder="1"/>
    <xf numFmtId="0" fontId="16" fillId="0" borderId="12" xfId="2"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178" fontId="1" fillId="2" borderId="0" xfId="1" applyNumberFormat="1" applyFont="1" applyFill="1"/>
    <xf numFmtId="0" fontId="1" fillId="0" borderId="16" xfId="1" applyFont="1" applyBorder="1"/>
    <xf numFmtId="0" fontId="1" fillId="0" borderId="17"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5" fillId="0" borderId="0" xfId="1" applyFont="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0" fontId="15" fillId="0" borderId="0" xfId="2" applyFont="1">
      <alignment vertical="center"/>
    </xf>
    <xf numFmtId="178" fontId="1" fillId="3" borderId="0" xfId="1" applyNumberFormat="1" applyFont="1" applyFill="1"/>
    <xf numFmtId="0" fontId="1" fillId="3" borderId="0" xfId="1" applyFont="1" applyFill="1"/>
    <xf numFmtId="0" fontId="15" fillId="0" borderId="0" xfId="2" applyFont="1" applyFill="1">
      <alignment vertical="center"/>
    </xf>
    <xf numFmtId="0"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178" fontId="1" fillId="2" borderId="0" xfId="1" applyNumberForma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0" fontId="1" fillId="0" borderId="0" xfId="5" applyFont="1" applyFill="1" applyAlignment="1"/>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2" borderId="0" xfId="5" applyFill="1" applyAlignment="1"/>
    <xf numFmtId="0" fontId="1" fillId="0" borderId="0" xfId="5" applyFill="1" applyAlignment="1"/>
    <xf numFmtId="14" fontId="0" fillId="0" borderId="0" xfId="5" applyNumberFormat="1" applyFont="1"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6" xfId="1" applyFont="1" applyBorder="1" applyAlignment="1">
      <alignment horizontal="left" wrapText="1"/>
    </xf>
    <xf numFmtId="0" fontId="1" fillId="4" borderId="0" xfId="1" applyFill="1" applyBorder="1"/>
    <xf numFmtId="14" fontId="1" fillId="4" borderId="0" xfId="1" applyNumberFormat="1" applyFont="1" applyFill="1" applyBorder="1"/>
    <xf numFmtId="0" fontId="1" fillId="0" borderId="0" xfId="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8" fillId="0" borderId="1" xfId="0" applyFont="1" applyFill="1" applyBorder="1">
      <alignment vertical="center"/>
    </xf>
    <xf numFmtId="0" fontId="15" fillId="0" borderId="4" xfId="0" applyFont="1" applyFill="1" applyBorder="1">
      <alignment vertical="center"/>
    </xf>
    <xf numFmtId="0" fontId="1" fillId="0" borderId="8" xfId="1" applyBorder="1"/>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5" fillId="0" borderId="1" xfId="0" applyFont="1" applyFill="1" applyBorder="1">
      <alignment vertical="center"/>
    </xf>
    <xf numFmtId="0" fontId="15" fillId="0" borderId="6" xfId="0" applyFont="1" applyFill="1" applyBorder="1">
      <alignment vertical="center"/>
    </xf>
    <xf numFmtId="49" fontId="2" fillId="5" borderId="27" xfId="1" applyNumberFormat="1" applyFont="1" applyFill="1" applyBorder="1" applyAlignment="1">
      <alignment horizontal="center" vertical="center" wrapText="1"/>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8" xfId="1" applyFill="1" applyBorder="1"/>
    <xf numFmtId="14" fontId="0" fillId="4" borderId="29" xfId="1" applyNumberFormat="1" applyFont="1" applyFill="1" applyBorder="1"/>
    <xf numFmtId="0" fontId="1" fillId="4" borderId="30" xfId="1" applyFill="1" applyBorder="1"/>
    <xf numFmtId="0" fontId="1" fillId="4" borderId="31" xfId="1" applyFill="1" applyBorder="1"/>
    <xf numFmtId="0" fontId="1" fillId="4" borderId="32" xfId="1" applyFill="1" applyBorder="1"/>
    <xf numFmtId="0" fontId="1" fillId="4" borderId="33" xfId="1" applyFill="1" applyBorder="1"/>
    <xf numFmtId="0" fontId="1" fillId="4" borderId="34" xfId="1" applyFill="1" applyBorder="1"/>
    <xf numFmtId="178" fontId="1" fillId="3" borderId="31" xfId="1" applyNumberFormat="1" applyFill="1" applyBorder="1"/>
    <xf numFmtId="0" fontId="1" fillId="4" borderId="35" xfId="1" applyFill="1" applyBorder="1"/>
    <xf numFmtId="0" fontId="1" fillId="3" borderId="32" xfId="1" applyFill="1" applyBorder="1"/>
    <xf numFmtId="0" fontId="1" fillId="4" borderId="36" xfId="1" applyFill="1" applyBorder="1"/>
    <xf numFmtId="0" fontId="1" fillId="4" borderId="37" xfId="1" applyFill="1" applyBorder="1"/>
    <xf numFmtId="0" fontId="1" fillId="4" borderId="37" xfId="1" applyFont="1" applyFill="1" applyBorder="1"/>
    <xf numFmtId="0" fontId="1" fillId="4" borderId="38" xfId="1" applyFill="1" applyBorder="1"/>
    <xf numFmtId="0" fontId="1" fillId="0" borderId="38" xfId="1" applyBorder="1"/>
    <xf numFmtId="14" fontId="0" fillId="4" borderId="39" xfId="1" applyNumberFormat="1" applyFont="1" applyFill="1" applyBorder="1"/>
    <xf numFmtId="0" fontId="1" fillId="4" borderId="40" xfId="1" applyFill="1" applyBorder="1"/>
    <xf numFmtId="178" fontId="1" fillId="3" borderId="41" xfId="1" applyNumberFormat="1" applyFill="1" applyBorder="1"/>
    <xf numFmtId="0" fontId="1" fillId="0" borderId="42" xfId="1" applyBorder="1"/>
    <xf numFmtId="0" fontId="1" fillId="0" borderId="43" xfId="1" applyFill="1" applyBorder="1"/>
    <xf numFmtId="0" fontId="1" fillId="3" borderId="0" xfId="1" applyFill="1" applyBorder="1"/>
    <xf numFmtId="0" fontId="1" fillId="0" borderId="44" xfId="1" applyFill="1" applyBorder="1"/>
    <xf numFmtId="0" fontId="1" fillId="4" borderId="45" xfId="1" applyFill="1" applyBorder="1"/>
    <xf numFmtId="0" fontId="1" fillId="4" borderId="12" xfId="1" applyFill="1" applyBorder="1"/>
    <xf numFmtId="0" fontId="1" fillId="0" borderId="46" xfId="1" applyBorder="1"/>
    <xf numFmtId="0" fontId="1" fillId="4" borderId="43" xfId="1" applyFill="1" applyBorder="1"/>
    <xf numFmtId="0" fontId="1" fillId="0" borderId="44" xfId="1" applyBorder="1"/>
    <xf numFmtId="0" fontId="1" fillId="4" borderId="16" xfId="1" applyFill="1" applyBorder="1"/>
    <xf numFmtId="0" fontId="1" fillId="4" borderId="17" xfId="1" applyFill="1" applyBorder="1"/>
    <xf numFmtId="0" fontId="1" fillId="0" borderId="43" xfId="1" applyBorder="1"/>
    <xf numFmtId="0" fontId="1" fillId="0" borderId="45" xfId="1" applyBorder="1"/>
    <xf numFmtId="0" fontId="1" fillId="0" borderId="45" xfId="1" applyFont="1" applyBorder="1"/>
    <xf numFmtId="0" fontId="1" fillId="0" borderId="17" xfId="1" applyFill="1" applyBorder="1"/>
    <xf numFmtId="0" fontId="1" fillId="0" borderId="46" xfId="1" applyFont="1" applyBorder="1"/>
    <xf numFmtId="0" fontId="1" fillId="0" borderId="37" xfId="1" applyBorder="1"/>
    <xf numFmtId="14" fontId="0" fillId="0" borderId="0" xfId="1" applyNumberFormat="1" applyFont="1"/>
    <xf numFmtId="49" fontId="8" fillId="0" borderId="26"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M13" sqref="M13"/>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168</v>
      </c>
      <c r="E2" s="15" t="s">
        <v>141</v>
      </c>
      <c r="F2" s="15" t="s">
        <v>149</v>
      </c>
      <c r="G2" s="15" t="s">
        <v>36</v>
      </c>
      <c r="H2" s="15" t="s">
        <v>165</v>
      </c>
      <c r="I2" s="15" t="s">
        <v>159</v>
      </c>
      <c r="J2" s="15" t="s">
        <v>38</v>
      </c>
      <c r="K2" s="7" t="s">
        <v>161</v>
      </c>
      <c r="L2" s="7">
        <v>1</v>
      </c>
      <c r="N2" s="47">
        <v>1</v>
      </c>
      <c r="O2" s="15">
        <v>0.65</v>
      </c>
      <c r="P2" s="15">
        <v>0.75</v>
      </c>
      <c r="Q2" s="51">
        <f t="shared" ref="Q2:Q65" si="0">IF(OR(O2="",P2=""),"",AVERAGE(O2,P2))</f>
        <v>0.7</v>
      </c>
      <c r="R2" s="15">
        <v>14.4</v>
      </c>
      <c r="S2" s="15">
        <v>117</v>
      </c>
      <c r="T2" s="38">
        <f t="shared" ref="T2:T59" si="1">IF(H2="","",IF(OR(H2="GREEN",H2="GK"),IF(S2&gt;=$AX$2,VLOOKUP(S2,$AX$2:$AY$12,2,1),""),IF(S2&gt;=$AZ$2,VLOOKUP(S2,$AZ$2:$BA$12,2,1),"")))</f>
        <v>30</v>
      </c>
      <c r="U2" s="15">
        <v>105</v>
      </c>
      <c r="V2" s="38">
        <f t="shared" ref="V2:V65" si="2">IF(OR(N2="",U2="",T2=""),"",U2/N2*T2)</f>
        <v>3150</v>
      </c>
      <c r="W2" s="15">
        <v>10</v>
      </c>
      <c r="X2" s="15" t="s">
        <v>46</v>
      </c>
      <c r="Y2" s="15" t="s">
        <v>55</v>
      </c>
      <c r="Z2" s="15" t="s">
        <v>47</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167</v>
      </c>
      <c r="E3" s="15" t="s">
        <v>141</v>
      </c>
      <c r="F3" s="7" t="s">
        <v>149</v>
      </c>
      <c r="G3" s="7" t="s">
        <v>36</v>
      </c>
      <c r="H3" s="15" t="s">
        <v>165</v>
      </c>
      <c r="I3" s="7" t="s">
        <v>159</v>
      </c>
      <c r="J3" s="15" t="s">
        <v>38</v>
      </c>
      <c r="K3" s="7" t="s">
        <v>161</v>
      </c>
      <c r="L3" s="7">
        <v>2</v>
      </c>
      <c r="N3" s="7">
        <v>1</v>
      </c>
      <c r="O3" s="34">
        <v>0.6</v>
      </c>
      <c r="P3" s="7">
        <v>0.65</v>
      </c>
      <c r="Q3" s="52">
        <f t="shared" si="0"/>
        <v>0.625</v>
      </c>
      <c r="R3" s="7">
        <v>13.8</v>
      </c>
      <c r="S3" s="7">
        <v>115</v>
      </c>
      <c r="T3" s="16">
        <f t="shared" si="1"/>
        <v>30</v>
      </c>
      <c r="U3" s="15">
        <v>105</v>
      </c>
      <c r="V3" s="16">
        <f t="shared" si="2"/>
        <v>3150</v>
      </c>
      <c r="W3" s="15">
        <v>10</v>
      </c>
      <c r="X3" s="15" t="s">
        <v>46</v>
      </c>
      <c r="Y3" s="15" t="s">
        <v>55</v>
      </c>
      <c r="Z3" s="15" t="s">
        <v>47</v>
      </c>
      <c r="AA3" s="15"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167</v>
      </c>
      <c r="E4" s="15" t="s">
        <v>141</v>
      </c>
      <c r="F4" s="7" t="s">
        <v>149</v>
      </c>
      <c r="G4" s="7" t="s">
        <v>36</v>
      </c>
      <c r="H4" s="15" t="s">
        <v>165</v>
      </c>
      <c r="I4" s="7" t="s">
        <v>159</v>
      </c>
      <c r="J4" s="15" t="s">
        <v>38</v>
      </c>
      <c r="K4" s="7" t="s">
        <v>161</v>
      </c>
      <c r="L4" s="7">
        <v>3</v>
      </c>
      <c r="N4" s="7">
        <v>1</v>
      </c>
      <c r="O4" s="7">
        <v>0.65</v>
      </c>
      <c r="P4" s="7">
        <v>0.7</v>
      </c>
      <c r="Q4" s="52">
        <f t="shared" si="0"/>
        <v>0.67500000000000004</v>
      </c>
      <c r="R4" s="7">
        <v>15.5</v>
      </c>
      <c r="S4" s="7">
        <v>120</v>
      </c>
      <c r="T4" s="16">
        <f t="shared" si="1"/>
        <v>30</v>
      </c>
      <c r="U4" s="15">
        <v>105</v>
      </c>
      <c r="V4" s="16">
        <f t="shared" si="2"/>
        <v>3150</v>
      </c>
      <c r="W4" s="15">
        <v>10</v>
      </c>
      <c r="X4" s="15" t="s">
        <v>46</v>
      </c>
      <c r="Y4" s="15" t="s">
        <v>55</v>
      </c>
      <c r="Z4" s="15" t="s">
        <v>47</v>
      </c>
      <c r="AA4" s="15"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167</v>
      </c>
      <c r="E5" s="15" t="s">
        <v>141</v>
      </c>
      <c r="F5" s="15" t="s">
        <v>149</v>
      </c>
      <c r="G5" s="7" t="s">
        <v>36</v>
      </c>
      <c r="H5" s="15" t="s">
        <v>160</v>
      </c>
      <c r="I5" s="7" t="s">
        <v>159</v>
      </c>
      <c r="J5" s="15" t="s">
        <v>38</v>
      </c>
      <c r="K5" s="7" t="s">
        <v>161</v>
      </c>
      <c r="L5" s="7">
        <v>1</v>
      </c>
      <c r="N5" s="7">
        <v>1</v>
      </c>
      <c r="O5" s="7">
        <v>0.65</v>
      </c>
      <c r="P5" s="7">
        <v>0.55000000000000004</v>
      </c>
      <c r="Q5" s="52">
        <f t="shared" si="0"/>
        <v>0.60000000000000009</v>
      </c>
      <c r="R5" s="7">
        <v>17.8</v>
      </c>
      <c r="S5" s="7">
        <v>125</v>
      </c>
      <c r="T5" s="16">
        <f t="shared" si="1"/>
        <v>27</v>
      </c>
      <c r="U5" s="15">
        <v>105</v>
      </c>
      <c r="V5" s="16">
        <f t="shared" si="2"/>
        <v>2835</v>
      </c>
      <c r="W5" s="15">
        <v>26</v>
      </c>
      <c r="X5" s="15" t="s">
        <v>46</v>
      </c>
      <c r="Y5" s="15" t="s">
        <v>55</v>
      </c>
      <c r="Z5" s="15" t="s">
        <v>47</v>
      </c>
      <c r="AA5" s="15" t="s">
        <v>90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167</v>
      </c>
      <c r="E6" s="15" t="s">
        <v>141</v>
      </c>
      <c r="F6" s="7" t="s">
        <v>149</v>
      </c>
      <c r="G6" s="7" t="s">
        <v>36</v>
      </c>
      <c r="H6" s="54" t="s">
        <v>160</v>
      </c>
      <c r="I6" s="7" t="s">
        <v>159</v>
      </c>
      <c r="J6" s="15" t="s">
        <v>38</v>
      </c>
      <c r="K6" s="7" t="s">
        <v>161</v>
      </c>
      <c r="L6" s="7">
        <v>2</v>
      </c>
      <c r="N6" s="7">
        <v>1</v>
      </c>
      <c r="O6" s="7">
        <v>0.5</v>
      </c>
      <c r="P6" s="7">
        <v>0.5</v>
      </c>
      <c r="Q6" s="52">
        <f t="shared" si="0"/>
        <v>0.5</v>
      </c>
      <c r="R6" s="7">
        <v>15.8</v>
      </c>
      <c r="S6" s="7">
        <v>129</v>
      </c>
      <c r="T6" s="16">
        <f t="shared" si="1"/>
        <v>25</v>
      </c>
      <c r="U6" s="15">
        <v>105</v>
      </c>
      <c r="V6" s="16">
        <f t="shared" si="2"/>
        <v>2625</v>
      </c>
      <c r="W6" s="15">
        <v>26</v>
      </c>
      <c r="X6" s="15" t="s">
        <v>46</v>
      </c>
      <c r="Y6" s="15" t="s">
        <v>55</v>
      </c>
      <c r="Z6" s="15" t="s">
        <v>47</v>
      </c>
      <c r="AA6" s="15" t="s">
        <v>90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167</v>
      </c>
      <c r="E7" s="15" t="s">
        <v>141</v>
      </c>
      <c r="F7" s="7" t="s">
        <v>149</v>
      </c>
      <c r="G7" s="7" t="s">
        <v>36</v>
      </c>
      <c r="H7" s="54" t="s">
        <v>160</v>
      </c>
      <c r="I7" s="7" t="s">
        <v>159</v>
      </c>
      <c r="J7" s="15" t="s">
        <v>38</v>
      </c>
      <c r="K7" s="7" t="s">
        <v>161</v>
      </c>
      <c r="L7" s="7">
        <v>3</v>
      </c>
      <c r="N7" s="7">
        <v>1</v>
      </c>
      <c r="O7" s="7">
        <v>0.55000000000000004</v>
      </c>
      <c r="P7" s="7">
        <v>0.5</v>
      </c>
      <c r="Q7" s="52">
        <f t="shared" si="0"/>
        <v>0.52500000000000002</v>
      </c>
      <c r="R7" s="34">
        <v>17.7</v>
      </c>
      <c r="S7" s="7">
        <v>127</v>
      </c>
      <c r="T7" s="16">
        <f t="shared" si="1"/>
        <v>27</v>
      </c>
      <c r="U7" s="15">
        <v>105</v>
      </c>
      <c r="V7" s="16">
        <f t="shared" si="2"/>
        <v>2835</v>
      </c>
      <c r="W7" s="15">
        <v>26</v>
      </c>
      <c r="X7" s="15" t="s">
        <v>46</v>
      </c>
      <c r="Y7" s="15" t="s">
        <v>55</v>
      </c>
      <c r="Z7" s="15" t="s">
        <v>47</v>
      </c>
      <c r="AA7" s="15" t="s">
        <v>90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167</v>
      </c>
      <c r="E8" s="15" t="s">
        <v>133</v>
      </c>
      <c r="F8" s="7" t="s">
        <v>150</v>
      </c>
      <c r="G8" s="7" t="s">
        <v>36</v>
      </c>
      <c r="H8" s="15" t="s">
        <v>165</v>
      </c>
      <c r="I8" s="7" t="s">
        <v>159</v>
      </c>
      <c r="J8" s="15" t="s">
        <v>38</v>
      </c>
      <c r="K8" s="7" t="s">
        <v>161</v>
      </c>
      <c r="L8" s="7">
        <v>1</v>
      </c>
      <c r="N8" s="7">
        <v>1</v>
      </c>
      <c r="O8" s="7">
        <v>0.55000000000000004</v>
      </c>
      <c r="P8" s="7">
        <v>0.65</v>
      </c>
      <c r="Q8" s="52">
        <f t="shared" si="0"/>
        <v>0.60000000000000009</v>
      </c>
      <c r="R8" s="34">
        <v>14.1</v>
      </c>
      <c r="S8" s="7">
        <v>140</v>
      </c>
      <c r="T8" s="16">
        <f t="shared" si="1"/>
        <v>22</v>
      </c>
      <c r="U8" s="15">
        <v>158</v>
      </c>
      <c r="V8" s="16">
        <f t="shared" si="2"/>
        <v>3476</v>
      </c>
      <c r="W8" s="15">
        <v>2</v>
      </c>
      <c r="X8" s="15" t="s">
        <v>46</v>
      </c>
      <c r="Y8" s="54" t="s">
        <v>55</v>
      </c>
      <c r="Z8" s="54" t="s">
        <v>47</v>
      </c>
      <c r="AA8" s="54" t="s">
        <v>90</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167</v>
      </c>
      <c r="E9" s="15" t="s">
        <v>133</v>
      </c>
      <c r="F9" s="7" t="s">
        <v>150</v>
      </c>
      <c r="G9" s="7" t="s">
        <v>36</v>
      </c>
      <c r="H9" s="54" t="s">
        <v>165</v>
      </c>
      <c r="I9" s="7" t="s">
        <v>159</v>
      </c>
      <c r="J9" s="15" t="s">
        <v>38</v>
      </c>
      <c r="K9" s="7" t="s">
        <v>161</v>
      </c>
      <c r="L9" s="7">
        <v>2</v>
      </c>
      <c r="N9" s="7">
        <v>1</v>
      </c>
      <c r="O9" s="7">
        <v>0.5</v>
      </c>
      <c r="P9" s="7">
        <v>0.5</v>
      </c>
      <c r="Q9" s="52">
        <f t="shared" si="0"/>
        <v>0.5</v>
      </c>
      <c r="R9" s="7">
        <v>14.4</v>
      </c>
      <c r="S9" s="7">
        <v>138</v>
      </c>
      <c r="T9" s="16">
        <f t="shared" si="1"/>
        <v>22</v>
      </c>
      <c r="U9" s="15">
        <v>158</v>
      </c>
      <c r="V9" s="16">
        <f t="shared" si="2"/>
        <v>3476</v>
      </c>
      <c r="W9" s="15">
        <v>2</v>
      </c>
      <c r="X9" s="15" t="s">
        <v>46</v>
      </c>
      <c r="Y9" s="54" t="s">
        <v>55</v>
      </c>
      <c r="Z9" s="54" t="s">
        <v>47</v>
      </c>
      <c r="AA9" s="54" t="s">
        <v>90</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167</v>
      </c>
      <c r="E10" s="15" t="s">
        <v>133</v>
      </c>
      <c r="F10" s="7" t="s">
        <v>150</v>
      </c>
      <c r="G10" s="7" t="s">
        <v>36</v>
      </c>
      <c r="H10" s="54" t="s">
        <v>165</v>
      </c>
      <c r="I10" s="7" t="s">
        <v>159</v>
      </c>
      <c r="J10" s="15" t="s">
        <v>38</v>
      </c>
      <c r="K10" s="7" t="s">
        <v>161</v>
      </c>
      <c r="L10" s="7">
        <v>3</v>
      </c>
      <c r="N10" s="7">
        <v>1</v>
      </c>
      <c r="O10" s="7">
        <v>0.9</v>
      </c>
      <c r="P10" s="7">
        <v>1</v>
      </c>
      <c r="Q10" s="52">
        <f t="shared" si="0"/>
        <v>0.95</v>
      </c>
      <c r="R10" s="7">
        <v>13</v>
      </c>
      <c r="S10" s="7">
        <v>141</v>
      </c>
      <c r="T10" s="16">
        <f t="shared" si="1"/>
        <v>22</v>
      </c>
      <c r="U10" s="15">
        <v>158</v>
      </c>
      <c r="V10" s="16">
        <f t="shared" si="2"/>
        <v>3476</v>
      </c>
      <c r="W10" s="15">
        <v>2</v>
      </c>
      <c r="X10" s="15" t="s">
        <v>46</v>
      </c>
      <c r="Y10" s="54" t="s">
        <v>55</v>
      </c>
      <c r="Z10" s="54" t="s">
        <v>47</v>
      </c>
      <c r="AA10" s="54" t="s">
        <v>90</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167</v>
      </c>
      <c r="E11" s="15" t="s">
        <v>133</v>
      </c>
      <c r="F11" s="7" t="s">
        <v>150</v>
      </c>
      <c r="G11" s="7" t="s">
        <v>36</v>
      </c>
      <c r="H11" s="15" t="s">
        <v>160</v>
      </c>
      <c r="I11" s="7" t="s">
        <v>159</v>
      </c>
      <c r="J11" s="15" t="s">
        <v>38</v>
      </c>
      <c r="K11" s="7" t="s">
        <v>161</v>
      </c>
      <c r="L11" s="7">
        <v>1</v>
      </c>
      <c r="N11" s="7">
        <v>1</v>
      </c>
      <c r="O11" s="7">
        <v>0.65</v>
      </c>
      <c r="P11" s="7">
        <v>0.75</v>
      </c>
      <c r="Q11" s="52">
        <f t="shared" si="0"/>
        <v>0.7</v>
      </c>
      <c r="R11" s="7">
        <v>16.399999999999999</v>
      </c>
      <c r="S11" s="7">
        <v>108</v>
      </c>
      <c r="T11" s="16">
        <f t="shared" si="1"/>
        <v>33</v>
      </c>
      <c r="U11" s="7">
        <v>75</v>
      </c>
      <c r="V11" s="16">
        <f t="shared" si="2"/>
        <v>2475</v>
      </c>
      <c r="W11" s="7">
        <v>27</v>
      </c>
      <c r="X11" s="15" t="s">
        <v>46</v>
      </c>
      <c r="Y11" s="54" t="s">
        <v>55</v>
      </c>
      <c r="Z11" s="54" t="s">
        <v>47</v>
      </c>
      <c r="AA11" s="54" t="s">
        <v>90</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167</v>
      </c>
      <c r="E12" s="15" t="s">
        <v>133</v>
      </c>
      <c r="F12" s="7" t="s">
        <v>150</v>
      </c>
      <c r="G12" s="7" t="s">
        <v>36</v>
      </c>
      <c r="H12" s="54" t="s">
        <v>160</v>
      </c>
      <c r="I12" s="53" t="s">
        <v>159</v>
      </c>
      <c r="J12" s="15" t="s">
        <v>38</v>
      </c>
      <c r="K12" s="7" t="s">
        <v>161</v>
      </c>
      <c r="L12" s="7">
        <v>2</v>
      </c>
      <c r="N12" s="7">
        <v>1</v>
      </c>
      <c r="O12" s="7">
        <v>0.5</v>
      </c>
      <c r="P12" s="7">
        <v>0.65</v>
      </c>
      <c r="Q12" s="52">
        <f t="shared" si="0"/>
        <v>0.57499999999999996</v>
      </c>
      <c r="R12" s="34">
        <v>18</v>
      </c>
      <c r="S12" s="7">
        <v>112</v>
      </c>
      <c r="T12" s="16">
        <f t="shared" si="1"/>
        <v>33</v>
      </c>
      <c r="U12" s="7">
        <v>75</v>
      </c>
      <c r="V12" s="16">
        <f t="shared" si="2"/>
        <v>2475</v>
      </c>
      <c r="W12" s="7">
        <v>27</v>
      </c>
      <c r="X12" s="15" t="s">
        <v>46</v>
      </c>
      <c r="Y12" s="54" t="s">
        <v>55</v>
      </c>
      <c r="Z12" s="54" t="s">
        <v>47</v>
      </c>
      <c r="AA12" s="54" t="s">
        <v>90</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167</v>
      </c>
      <c r="E13" s="15" t="s">
        <v>133</v>
      </c>
      <c r="F13" s="7" t="s">
        <v>150</v>
      </c>
      <c r="G13" s="7" t="s">
        <v>36</v>
      </c>
      <c r="H13" s="54" t="s">
        <v>160</v>
      </c>
      <c r="I13" s="53" t="s">
        <v>159</v>
      </c>
      <c r="J13" s="15" t="s">
        <v>38</v>
      </c>
      <c r="K13" s="7" t="s">
        <v>161</v>
      </c>
      <c r="L13" s="7">
        <v>3</v>
      </c>
      <c r="N13" s="7">
        <v>1</v>
      </c>
      <c r="O13" s="7">
        <v>0.65</v>
      </c>
      <c r="P13" s="7">
        <v>0.65</v>
      </c>
      <c r="Q13" s="52">
        <f t="shared" si="0"/>
        <v>0.65</v>
      </c>
      <c r="R13" s="7">
        <v>15.4</v>
      </c>
      <c r="S13" s="7">
        <v>108</v>
      </c>
      <c r="T13" s="16">
        <f t="shared" si="1"/>
        <v>33</v>
      </c>
      <c r="U13" s="7">
        <v>75</v>
      </c>
      <c r="V13" s="16">
        <f t="shared" si="2"/>
        <v>2475</v>
      </c>
      <c r="W13" s="7">
        <v>27</v>
      </c>
      <c r="X13" s="15" t="s">
        <v>46</v>
      </c>
      <c r="Y13" s="54" t="s">
        <v>55</v>
      </c>
      <c r="Z13" s="54" t="s">
        <v>47</v>
      </c>
      <c r="AA13" s="54" t="s">
        <v>90</v>
      </c>
      <c r="AB13" s="39" t="s">
        <v>158</v>
      </c>
      <c r="AE13" s="22" t="s">
        <v>73</v>
      </c>
      <c r="AG13" s="23"/>
      <c r="AH13" s="23"/>
      <c r="AP13" s="23" t="s">
        <v>71</v>
      </c>
      <c r="AR13" s="30" t="s">
        <v>103</v>
      </c>
      <c r="AV13" s="23" t="s">
        <v>75</v>
      </c>
    </row>
    <row r="14" spans="1:53" x14ac:dyDescent="0.15">
      <c r="A14" s="15" t="s">
        <v>156</v>
      </c>
      <c r="B14" s="15" t="s">
        <v>157</v>
      </c>
      <c r="C14" s="15">
        <v>2019</v>
      </c>
      <c r="D14" s="37" t="s">
        <v>167</v>
      </c>
      <c r="E14" s="15" t="s">
        <v>142</v>
      </c>
      <c r="F14" s="7" t="s">
        <v>151</v>
      </c>
      <c r="G14" s="7" t="s">
        <v>36</v>
      </c>
      <c r="H14" s="15" t="s">
        <v>165</v>
      </c>
      <c r="I14" s="7" t="s">
        <v>159</v>
      </c>
      <c r="J14" s="15" t="s">
        <v>38</v>
      </c>
      <c r="K14" s="7" t="s">
        <v>161</v>
      </c>
      <c r="L14" s="7">
        <v>1</v>
      </c>
      <c r="N14" s="53">
        <v>1</v>
      </c>
      <c r="O14" s="7">
        <v>1.2</v>
      </c>
      <c r="P14" s="7">
        <v>1.35</v>
      </c>
      <c r="Q14" s="52">
        <f t="shared" si="0"/>
        <v>1.2749999999999999</v>
      </c>
      <c r="R14" s="7">
        <v>13.9</v>
      </c>
      <c r="S14" s="7">
        <v>118</v>
      </c>
      <c r="T14" s="16">
        <f t="shared" si="1"/>
        <v>30</v>
      </c>
      <c r="U14" s="7">
        <v>149</v>
      </c>
      <c r="V14" s="16">
        <f t="shared" si="2"/>
        <v>4470</v>
      </c>
      <c r="W14" s="7">
        <v>2</v>
      </c>
      <c r="X14" s="15" t="s">
        <v>46</v>
      </c>
      <c r="Y14" s="15" t="s">
        <v>55</v>
      </c>
      <c r="Z14" s="54" t="s">
        <v>47</v>
      </c>
      <c r="AA14" s="15" t="s">
        <v>69</v>
      </c>
      <c r="AB14" s="39" t="s">
        <v>158</v>
      </c>
      <c r="AE14" s="22" t="s">
        <v>76</v>
      </c>
      <c r="AG14" s="23"/>
      <c r="AH14" s="23"/>
      <c r="AP14" s="23" t="s">
        <v>74</v>
      </c>
      <c r="AR14" s="30" t="s">
        <v>125</v>
      </c>
      <c r="AV14" s="23" t="s">
        <v>78</v>
      </c>
    </row>
    <row r="15" spans="1:53" x14ac:dyDescent="0.15">
      <c r="A15" s="15" t="s">
        <v>156</v>
      </c>
      <c r="B15" s="15" t="s">
        <v>157</v>
      </c>
      <c r="C15" s="15">
        <v>2019</v>
      </c>
      <c r="D15" s="37" t="s">
        <v>167</v>
      </c>
      <c r="E15" s="15" t="s">
        <v>142</v>
      </c>
      <c r="F15" s="7" t="s">
        <v>151</v>
      </c>
      <c r="G15" s="7" t="s">
        <v>36</v>
      </c>
      <c r="H15" s="15" t="s">
        <v>165</v>
      </c>
      <c r="I15" s="7" t="s">
        <v>159</v>
      </c>
      <c r="J15" s="15" t="s">
        <v>38</v>
      </c>
      <c r="K15" s="7" t="s">
        <v>161</v>
      </c>
      <c r="L15" s="7">
        <v>2</v>
      </c>
      <c r="N15" s="53">
        <v>1</v>
      </c>
      <c r="O15" s="7">
        <v>1.1499999999999999</v>
      </c>
      <c r="P15" s="7">
        <v>1.25</v>
      </c>
      <c r="Q15" s="52">
        <f t="shared" si="0"/>
        <v>1.2</v>
      </c>
      <c r="R15" s="7">
        <v>12.7</v>
      </c>
      <c r="S15" s="7">
        <v>123</v>
      </c>
      <c r="T15" s="16">
        <f t="shared" si="1"/>
        <v>27</v>
      </c>
      <c r="U15" s="7">
        <v>149</v>
      </c>
      <c r="V15" s="16">
        <f t="shared" si="2"/>
        <v>4023</v>
      </c>
      <c r="W15" s="7">
        <v>2</v>
      </c>
      <c r="X15" s="15" t="s">
        <v>46</v>
      </c>
      <c r="Y15" s="54" t="s">
        <v>55</v>
      </c>
      <c r="Z15" s="54" t="s">
        <v>47</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167</v>
      </c>
      <c r="E16" s="15" t="s">
        <v>142</v>
      </c>
      <c r="F16" s="7" t="s">
        <v>151</v>
      </c>
      <c r="G16" s="7" t="s">
        <v>36</v>
      </c>
      <c r="H16" s="15" t="s">
        <v>165</v>
      </c>
      <c r="I16" s="7" t="s">
        <v>159</v>
      </c>
      <c r="J16" s="15" t="s">
        <v>38</v>
      </c>
      <c r="K16" s="7" t="s">
        <v>161</v>
      </c>
      <c r="L16" s="7">
        <v>3</v>
      </c>
      <c r="N16" s="53">
        <v>1</v>
      </c>
      <c r="O16" s="7">
        <v>1.25</v>
      </c>
      <c r="P16" s="7">
        <v>1.3</v>
      </c>
      <c r="Q16" s="52">
        <f t="shared" si="0"/>
        <v>1.2749999999999999</v>
      </c>
      <c r="R16" s="7">
        <v>13.8</v>
      </c>
      <c r="S16" s="7">
        <v>121</v>
      </c>
      <c r="T16" s="16">
        <f t="shared" si="1"/>
        <v>27</v>
      </c>
      <c r="U16" s="7">
        <v>149</v>
      </c>
      <c r="V16" s="16">
        <f t="shared" si="2"/>
        <v>4023</v>
      </c>
      <c r="W16" s="7">
        <v>2</v>
      </c>
      <c r="X16" s="15" t="s">
        <v>46</v>
      </c>
      <c r="Y16" s="54" t="s">
        <v>55</v>
      </c>
      <c r="Z16" s="54" t="s">
        <v>47</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167</v>
      </c>
      <c r="E17" s="15" t="s">
        <v>142</v>
      </c>
      <c r="F17" s="7" t="s">
        <v>151</v>
      </c>
      <c r="G17" s="7" t="s">
        <v>36</v>
      </c>
      <c r="H17" s="15" t="s">
        <v>160</v>
      </c>
      <c r="I17" s="7" t="s">
        <v>159</v>
      </c>
      <c r="J17" s="15" t="s">
        <v>38</v>
      </c>
      <c r="K17" s="7" t="s">
        <v>161</v>
      </c>
      <c r="L17" s="7">
        <v>1</v>
      </c>
      <c r="N17" s="7">
        <v>1</v>
      </c>
      <c r="O17" s="7">
        <v>0.55000000000000004</v>
      </c>
      <c r="P17" s="7">
        <v>0.55000000000000004</v>
      </c>
      <c r="Q17" s="52">
        <f t="shared" si="0"/>
        <v>0.55000000000000004</v>
      </c>
      <c r="R17" s="7">
        <v>15.4</v>
      </c>
      <c r="S17" s="7">
        <v>131</v>
      </c>
      <c r="T17" s="16">
        <f t="shared" si="1"/>
        <v>25</v>
      </c>
      <c r="U17" s="7">
        <v>149</v>
      </c>
      <c r="V17" s="16">
        <f t="shared" si="2"/>
        <v>3725</v>
      </c>
      <c r="W17" s="7">
        <v>6</v>
      </c>
      <c r="X17" s="15" t="s">
        <v>46</v>
      </c>
      <c r="Y17" s="54" t="s">
        <v>55</v>
      </c>
      <c r="Z17" s="54" t="s">
        <v>47</v>
      </c>
      <c r="AA17" s="54" t="s">
        <v>69</v>
      </c>
      <c r="AB17" s="39" t="s">
        <v>158</v>
      </c>
      <c r="AE17" s="22" t="s">
        <v>85</v>
      </c>
      <c r="AP17" s="43" t="s">
        <v>110</v>
      </c>
      <c r="AR17" s="41" t="s">
        <v>96</v>
      </c>
      <c r="AV17" s="23" t="s">
        <v>86</v>
      </c>
    </row>
    <row r="18" spans="1:48" x14ac:dyDescent="0.15">
      <c r="A18" s="15" t="s">
        <v>156</v>
      </c>
      <c r="B18" s="15" t="s">
        <v>157</v>
      </c>
      <c r="C18" s="15">
        <v>2019</v>
      </c>
      <c r="D18" s="37" t="s">
        <v>167</v>
      </c>
      <c r="E18" s="15" t="s">
        <v>142</v>
      </c>
      <c r="F18" s="7" t="s">
        <v>151</v>
      </c>
      <c r="G18" s="7" t="s">
        <v>36</v>
      </c>
      <c r="H18" s="15" t="s">
        <v>160</v>
      </c>
      <c r="I18" s="7" t="s">
        <v>159</v>
      </c>
      <c r="J18" s="15" t="s">
        <v>38</v>
      </c>
      <c r="K18" s="7" t="s">
        <v>161</v>
      </c>
      <c r="L18" s="7">
        <v>2</v>
      </c>
      <c r="N18" s="7">
        <v>1</v>
      </c>
      <c r="O18" s="7">
        <v>0.55000000000000004</v>
      </c>
      <c r="P18" s="7">
        <v>0.5</v>
      </c>
      <c r="Q18" s="52">
        <f t="shared" si="0"/>
        <v>0.52500000000000002</v>
      </c>
      <c r="R18" s="7">
        <v>18.100000000000001</v>
      </c>
      <c r="S18" s="7">
        <v>135</v>
      </c>
      <c r="T18" s="16">
        <f t="shared" si="1"/>
        <v>25</v>
      </c>
      <c r="U18" s="7">
        <v>149</v>
      </c>
      <c r="V18" s="16">
        <f t="shared" si="2"/>
        <v>3725</v>
      </c>
      <c r="W18" s="7">
        <v>6</v>
      </c>
      <c r="X18" s="15" t="s">
        <v>46</v>
      </c>
      <c r="Y18" s="54" t="s">
        <v>55</v>
      </c>
      <c r="Z18" s="54" t="s">
        <v>47</v>
      </c>
      <c r="AA18" s="54" t="s">
        <v>69</v>
      </c>
      <c r="AB18" s="39" t="s">
        <v>158</v>
      </c>
      <c r="AE18" s="22" t="s">
        <v>87</v>
      </c>
      <c r="AP18" s="43" t="s">
        <v>111</v>
      </c>
      <c r="AR18" s="41" t="s">
        <v>101</v>
      </c>
      <c r="AV18" s="23" t="s">
        <v>88</v>
      </c>
    </row>
    <row r="19" spans="1:48" x14ac:dyDescent="0.15">
      <c r="A19" s="15" t="s">
        <v>156</v>
      </c>
      <c r="B19" s="15" t="s">
        <v>157</v>
      </c>
      <c r="C19" s="15">
        <v>2019</v>
      </c>
      <c r="D19" s="37" t="s">
        <v>167</v>
      </c>
      <c r="E19" s="15" t="s">
        <v>142</v>
      </c>
      <c r="F19" s="7" t="s">
        <v>151</v>
      </c>
      <c r="G19" s="7" t="s">
        <v>36</v>
      </c>
      <c r="H19" s="15" t="s">
        <v>160</v>
      </c>
      <c r="I19" s="7" t="s">
        <v>159</v>
      </c>
      <c r="J19" s="15" t="s">
        <v>38</v>
      </c>
      <c r="K19" s="7" t="s">
        <v>161</v>
      </c>
      <c r="L19" s="7">
        <v>3</v>
      </c>
      <c r="N19" s="7">
        <v>1</v>
      </c>
      <c r="O19" s="7">
        <v>0.5</v>
      </c>
      <c r="P19" s="7">
        <v>0.55000000000000004</v>
      </c>
      <c r="Q19" s="52">
        <f t="shared" si="0"/>
        <v>0.52500000000000002</v>
      </c>
      <c r="R19" s="7">
        <v>17.600000000000001</v>
      </c>
      <c r="S19" s="7">
        <v>131</v>
      </c>
      <c r="T19" s="16">
        <f t="shared" si="1"/>
        <v>25</v>
      </c>
      <c r="U19" s="7">
        <v>149</v>
      </c>
      <c r="V19" s="16">
        <f t="shared" si="2"/>
        <v>3725</v>
      </c>
      <c r="W19" s="7">
        <v>6</v>
      </c>
      <c r="X19" s="15" t="s">
        <v>46</v>
      </c>
      <c r="Y19" s="54" t="s">
        <v>55</v>
      </c>
      <c r="Z19" s="54" t="s">
        <v>47</v>
      </c>
      <c r="AA19" s="54" t="s">
        <v>69</v>
      </c>
      <c r="AB19" s="39" t="s">
        <v>158</v>
      </c>
      <c r="AE19" s="35" t="s">
        <v>89</v>
      </c>
      <c r="AP19" s="43" t="s">
        <v>112</v>
      </c>
      <c r="AR19" s="30" t="s">
        <v>126</v>
      </c>
      <c r="AV19" s="23" t="s">
        <v>90</v>
      </c>
    </row>
    <row r="20" spans="1:48" x14ac:dyDescent="0.15">
      <c r="A20" s="15" t="s">
        <v>156</v>
      </c>
      <c r="B20" s="15" t="s">
        <v>157</v>
      </c>
      <c r="C20" s="15">
        <v>2019</v>
      </c>
      <c r="D20" s="37" t="s">
        <v>167</v>
      </c>
      <c r="E20" s="15" t="s">
        <v>143</v>
      </c>
      <c r="F20" s="7" t="s">
        <v>152</v>
      </c>
      <c r="G20" s="7" t="s">
        <v>36</v>
      </c>
      <c r="H20" s="15" t="s">
        <v>165</v>
      </c>
      <c r="I20" s="7" t="s">
        <v>159</v>
      </c>
      <c r="J20" s="15" t="s">
        <v>38</v>
      </c>
      <c r="K20" s="7" t="s">
        <v>161</v>
      </c>
      <c r="L20" s="7">
        <v>1</v>
      </c>
      <c r="N20" s="7">
        <v>1</v>
      </c>
      <c r="O20" s="7">
        <v>0.5</v>
      </c>
      <c r="P20" s="34">
        <v>0.65</v>
      </c>
      <c r="Q20" s="52">
        <f t="shared" si="0"/>
        <v>0.57499999999999996</v>
      </c>
      <c r="R20" s="7">
        <v>15.8</v>
      </c>
      <c r="S20" s="7">
        <v>118</v>
      </c>
      <c r="T20" s="16">
        <f t="shared" si="1"/>
        <v>30</v>
      </c>
      <c r="U20" s="7">
        <v>105</v>
      </c>
      <c r="V20" s="16">
        <f t="shared" si="2"/>
        <v>3150</v>
      </c>
      <c r="W20" s="7">
        <v>5</v>
      </c>
      <c r="X20" s="15" t="s">
        <v>46</v>
      </c>
      <c r="Y20" s="54" t="s">
        <v>55</v>
      </c>
      <c r="Z20" s="54" t="s">
        <v>47</v>
      </c>
      <c r="AA20" s="54" t="s">
        <v>69</v>
      </c>
      <c r="AB20" s="39" t="s">
        <v>158</v>
      </c>
      <c r="AE20" s="22"/>
      <c r="AP20" s="43" t="s">
        <v>113</v>
      </c>
      <c r="AR20" s="41" t="s">
        <v>105</v>
      </c>
      <c r="AV20" s="27" t="s">
        <v>135</v>
      </c>
    </row>
    <row r="21" spans="1:48" x14ac:dyDescent="0.15">
      <c r="A21" s="15" t="s">
        <v>156</v>
      </c>
      <c r="B21" s="15" t="s">
        <v>157</v>
      </c>
      <c r="C21" s="15">
        <v>2019</v>
      </c>
      <c r="D21" s="37" t="s">
        <v>167</v>
      </c>
      <c r="E21" s="15" t="s">
        <v>143</v>
      </c>
      <c r="F21" s="7" t="s">
        <v>152</v>
      </c>
      <c r="G21" s="7" t="s">
        <v>36</v>
      </c>
      <c r="H21" s="15" t="s">
        <v>165</v>
      </c>
      <c r="I21" s="7" t="s">
        <v>159</v>
      </c>
      <c r="J21" s="15" t="s">
        <v>38</v>
      </c>
      <c r="K21" s="7" t="s">
        <v>161</v>
      </c>
      <c r="L21" s="7">
        <v>2</v>
      </c>
      <c r="N21" s="7">
        <v>1</v>
      </c>
      <c r="O21" s="7">
        <v>0.65</v>
      </c>
      <c r="P21" s="7">
        <v>0.65</v>
      </c>
      <c r="Q21" s="52">
        <f t="shared" si="0"/>
        <v>0.65</v>
      </c>
      <c r="R21" s="7">
        <v>13.9</v>
      </c>
      <c r="S21" s="7">
        <v>118</v>
      </c>
      <c r="T21" s="16">
        <f t="shared" si="1"/>
        <v>30</v>
      </c>
      <c r="U21" s="7">
        <v>105</v>
      </c>
      <c r="V21" s="16">
        <f t="shared" si="2"/>
        <v>3150</v>
      </c>
      <c r="W21" s="7">
        <v>5</v>
      </c>
      <c r="X21" s="15" t="s">
        <v>46</v>
      </c>
      <c r="Y21" s="54" t="s">
        <v>55</v>
      </c>
      <c r="Z21" s="54" t="s">
        <v>47</v>
      </c>
      <c r="AA21" s="54" t="s">
        <v>69</v>
      </c>
      <c r="AB21" s="39" t="s">
        <v>158</v>
      </c>
      <c r="AE21" s="22"/>
      <c r="AP21" s="43" t="s">
        <v>114</v>
      </c>
      <c r="AR21" s="41" t="s">
        <v>68</v>
      </c>
      <c r="AV21" s="27" t="s">
        <v>136</v>
      </c>
    </row>
    <row r="22" spans="1:48" x14ac:dyDescent="0.15">
      <c r="A22" s="15" t="s">
        <v>156</v>
      </c>
      <c r="B22" s="15" t="s">
        <v>157</v>
      </c>
      <c r="C22" s="15">
        <v>2019</v>
      </c>
      <c r="D22" s="37" t="s">
        <v>167</v>
      </c>
      <c r="E22" s="15" t="s">
        <v>143</v>
      </c>
      <c r="F22" s="7" t="s">
        <v>152</v>
      </c>
      <c r="G22" s="7" t="s">
        <v>36</v>
      </c>
      <c r="H22" s="15" t="s">
        <v>165</v>
      </c>
      <c r="I22" s="7" t="s">
        <v>159</v>
      </c>
      <c r="J22" s="15" t="s">
        <v>38</v>
      </c>
      <c r="K22" s="7" t="s">
        <v>161</v>
      </c>
      <c r="L22" s="7">
        <v>3</v>
      </c>
      <c r="N22" s="7">
        <v>1</v>
      </c>
      <c r="O22" s="34">
        <v>0.55000000000000004</v>
      </c>
      <c r="P22" s="7">
        <v>0.55000000000000004</v>
      </c>
      <c r="Q22" s="52">
        <f t="shared" si="0"/>
        <v>0.55000000000000004</v>
      </c>
      <c r="R22" s="7">
        <v>15.3</v>
      </c>
      <c r="S22" s="7">
        <v>114</v>
      </c>
      <c r="T22" s="16">
        <f t="shared" si="1"/>
        <v>30</v>
      </c>
      <c r="U22" s="7">
        <v>105</v>
      </c>
      <c r="V22" s="16">
        <f t="shared" si="2"/>
        <v>3150</v>
      </c>
      <c r="W22" s="7">
        <v>5</v>
      </c>
      <c r="X22" s="15" t="s">
        <v>46</v>
      </c>
      <c r="Y22" s="54" t="s">
        <v>55</v>
      </c>
      <c r="Z22" s="54" t="s">
        <v>47</v>
      </c>
      <c r="AA22" s="54" t="s">
        <v>69</v>
      </c>
      <c r="AB22" s="39" t="s">
        <v>158</v>
      </c>
      <c r="AE22" s="35"/>
      <c r="AP22" s="43" t="s">
        <v>115</v>
      </c>
      <c r="AR22" s="41" t="s">
        <v>83</v>
      </c>
      <c r="AV22" s="27"/>
    </row>
    <row r="23" spans="1:48" x14ac:dyDescent="0.15">
      <c r="A23" s="15" t="s">
        <v>156</v>
      </c>
      <c r="B23" s="15" t="s">
        <v>157</v>
      </c>
      <c r="C23" s="15">
        <v>2019</v>
      </c>
      <c r="D23" s="37" t="s">
        <v>167</v>
      </c>
      <c r="E23" s="7" t="s">
        <v>143</v>
      </c>
      <c r="F23" s="7" t="s">
        <v>152</v>
      </c>
      <c r="G23" s="7" t="s">
        <v>36</v>
      </c>
      <c r="H23" s="15" t="s">
        <v>160</v>
      </c>
      <c r="I23" s="7" t="s">
        <v>159</v>
      </c>
      <c r="J23" s="15" t="s">
        <v>38</v>
      </c>
      <c r="K23" s="7" t="s">
        <v>161</v>
      </c>
      <c r="L23" s="7">
        <v>1</v>
      </c>
      <c r="N23" s="7">
        <v>1</v>
      </c>
      <c r="O23" s="34">
        <v>0.65</v>
      </c>
      <c r="P23" s="7">
        <v>0.55000000000000004</v>
      </c>
      <c r="Q23" s="52">
        <f t="shared" si="0"/>
        <v>0.60000000000000009</v>
      </c>
      <c r="R23" s="7">
        <v>16.7</v>
      </c>
      <c r="S23" s="7">
        <v>117</v>
      </c>
      <c r="T23" s="16">
        <f t="shared" si="1"/>
        <v>30</v>
      </c>
      <c r="U23" s="7">
        <v>105</v>
      </c>
      <c r="V23" s="16">
        <f t="shared" si="2"/>
        <v>3150</v>
      </c>
      <c r="W23" s="7">
        <v>7</v>
      </c>
      <c r="X23" s="15" t="s">
        <v>46</v>
      </c>
      <c r="Y23" s="54" t="s">
        <v>55</v>
      </c>
      <c r="Z23" s="54" t="s">
        <v>47</v>
      </c>
      <c r="AA23" s="54" t="s">
        <v>69</v>
      </c>
      <c r="AB23" s="39" t="s">
        <v>158</v>
      </c>
      <c r="AE23" s="22"/>
      <c r="AP23" s="43" t="s">
        <v>137</v>
      </c>
      <c r="AR23" s="41" t="s">
        <v>61</v>
      </c>
      <c r="AV23" s="27"/>
    </row>
    <row r="24" spans="1:48" x14ac:dyDescent="0.15">
      <c r="A24" s="15" t="s">
        <v>156</v>
      </c>
      <c r="B24" s="15" t="s">
        <v>157</v>
      </c>
      <c r="C24" s="15">
        <v>2019</v>
      </c>
      <c r="D24" s="37" t="s">
        <v>167</v>
      </c>
      <c r="E24" s="7" t="s">
        <v>143</v>
      </c>
      <c r="F24" s="7" t="s">
        <v>152</v>
      </c>
      <c r="G24" s="7" t="s">
        <v>36</v>
      </c>
      <c r="H24" s="15" t="s">
        <v>160</v>
      </c>
      <c r="I24" s="7" t="s">
        <v>159</v>
      </c>
      <c r="J24" s="15" t="s">
        <v>38</v>
      </c>
      <c r="K24" s="7" t="s">
        <v>161</v>
      </c>
      <c r="L24" s="7">
        <v>2</v>
      </c>
      <c r="N24" s="7">
        <v>1</v>
      </c>
      <c r="O24" s="7">
        <v>0.6</v>
      </c>
      <c r="P24" s="7">
        <v>0.5</v>
      </c>
      <c r="Q24" s="52">
        <f t="shared" si="0"/>
        <v>0.55000000000000004</v>
      </c>
      <c r="R24" s="7">
        <v>17</v>
      </c>
      <c r="S24" s="7">
        <v>121</v>
      </c>
      <c r="T24" s="16">
        <f t="shared" si="1"/>
        <v>27</v>
      </c>
      <c r="U24" s="7">
        <v>105</v>
      </c>
      <c r="V24" s="16">
        <f t="shared" si="2"/>
        <v>2835</v>
      </c>
      <c r="W24" s="7">
        <v>7</v>
      </c>
      <c r="X24" s="15" t="s">
        <v>46</v>
      </c>
      <c r="Y24" s="54" t="s">
        <v>55</v>
      </c>
      <c r="Z24" s="54" t="s">
        <v>47</v>
      </c>
      <c r="AA24" s="54" t="s">
        <v>69</v>
      </c>
      <c r="AB24" s="39" t="s">
        <v>158</v>
      </c>
      <c r="AE24" s="22"/>
      <c r="AP24" s="43" t="s">
        <v>138</v>
      </c>
      <c r="AR24" s="41" t="s">
        <v>91</v>
      </c>
      <c r="AV24" s="27"/>
    </row>
    <row r="25" spans="1:48" x14ac:dyDescent="0.15">
      <c r="A25" s="15" t="s">
        <v>156</v>
      </c>
      <c r="B25" s="15" t="s">
        <v>157</v>
      </c>
      <c r="C25" s="15">
        <v>2019</v>
      </c>
      <c r="D25" s="37" t="s">
        <v>167</v>
      </c>
      <c r="E25" s="7" t="s">
        <v>143</v>
      </c>
      <c r="F25" s="7" t="s">
        <v>152</v>
      </c>
      <c r="G25" s="7" t="s">
        <v>36</v>
      </c>
      <c r="H25" s="15" t="s">
        <v>160</v>
      </c>
      <c r="I25" s="7" t="s">
        <v>159</v>
      </c>
      <c r="J25" s="15" t="s">
        <v>38</v>
      </c>
      <c r="K25" s="7" t="s">
        <v>161</v>
      </c>
      <c r="L25" s="7">
        <v>3</v>
      </c>
      <c r="N25" s="7">
        <v>1</v>
      </c>
      <c r="O25" s="7">
        <v>0.65</v>
      </c>
      <c r="P25" s="7">
        <v>0.6</v>
      </c>
      <c r="Q25" s="52">
        <f t="shared" si="0"/>
        <v>0.625</v>
      </c>
      <c r="R25" s="7">
        <v>16.7</v>
      </c>
      <c r="S25" s="7">
        <v>121</v>
      </c>
      <c r="T25" s="16">
        <f t="shared" si="1"/>
        <v>27</v>
      </c>
      <c r="U25" s="7">
        <v>105</v>
      </c>
      <c r="V25" s="16">
        <f t="shared" si="2"/>
        <v>2835</v>
      </c>
      <c r="W25" s="7">
        <v>7</v>
      </c>
      <c r="X25" s="15" t="s">
        <v>46</v>
      </c>
      <c r="Y25" s="54" t="s">
        <v>55</v>
      </c>
      <c r="Z25" s="54" t="s">
        <v>47</v>
      </c>
      <c r="AA25" s="54" t="s">
        <v>69</v>
      </c>
      <c r="AB25" s="39" t="s">
        <v>158</v>
      </c>
      <c r="AE25" s="35"/>
      <c r="AP25" s="43" t="s">
        <v>116</v>
      </c>
      <c r="AR25" s="42" t="s">
        <v>92</v>
      </c>
      <c r="AV25" s="27"/>
    </row>
    <row r="26" spans="1:48" x14ac:dyDescent="0.15">
      <c r="A26" s="15" t="s">
        <v>156</v>
      </c>
      <c r="B26" s="15" t="s">
        <v>157</v>
      </c>
      <c r="C26" s="15">
        <v>2019</v>
      </c>
      <c r="D26" s="37" t="s">
        <v>167</v>
      </c>
      <c r="E26" s="7" t="s">
        <v>131</v>
      </c>
      <c r="F26" s="7" t="s">
        <v>144</v>
      </c>
      <c r="G26" s="7" t="s">
        <v>36</v>
      </c>
      <c r="H26" s="15" t="s">
        <v>165</v>
      </c>
      <c r="I26" s="7" t="s">
        <v>159</v>
      </c>
      <c r="J26" s="15" t="s">
        <v>38</v>
      </c>
      <c r="K26" s="7" t="s">
        <v>161</v>
      </c>
      <c r="L26" s="7">
        <v>1</v>
      </c>
      <c r="N26" s="53">
        <v>1</v>
      </c>
      <c r="O26" s="7">
        <v>0.7</v>
      </c>
      <c r="P26" s="7">
        <v>0.7</v>
      </c>
      <c r="Q26" s="52">
        <f t="shared" si="0"/>
        <v>0.7</v>
      </c>
      <c r="R26" s="7">
        <v>15.1</v>
      </c>
      <c r="S26" s="7">
        <v>129</v>
      </c>
      <c r="T26" s="16">
        <f t="shared" si="1"/>
        <v>25</v>
      </c>
      <c r="U26" s="7">
        <v>108</v>
      </c>
      <c r="V26" s="16">
        <f t="shared" si="2"/>
        <v>2700</v>
      </c>
      <c r="W26" s="7">
        <v>2</v>
      </c>
      <c r="X26" s="15" t="s">
        <v>46</v>
      </c>
      <c r="Y26" s="54" t="s">
        <v>55</v>
      </c>
      <c r="Z26" s="54" t="s">
        <v>47</v>
      </c>
      <c r="AA26" s="54" t="s">
        <v>90</v>
      </c>
      <c r="AB26" s="39" t="s">
        <v>158</v>
      </c>
      <c r="AE26" s="35"/>
      <c r="AP26" s="43" t="s">
        <v>117</v>
      </c>
      <c r="AR26" s="23" t="s">
        <v>153</v>
      </c>
      <c r="AV26" s="28"/>
    </row>
    <row r="27" spans="1:48" x14ac:dyDescent="0.15">
      <c r="A27" s="15" t="s">
        <v>156</v>
      </c>
      <c r="B27" s="15" t="s">
        <v>157</v>
      </c>
      <c r="C27" s="15">
        <v>2019</v>
      </c>
      <c r="D27" s="37" t="s">
        <v>167</v>
      </c>
      <c r="E27" s="7" t="s">
        <v>131</v>
      </c>
      <c r="F27" s="7" t="s">
        <v>144</v>
      </c>
      <c r="G27" s="7" t="s">
        <v>36</v>
      </c>
      <c r="H27" s="54" t="s">
        <v>165</v>
      </c>
      <c r="I27" s="7" t="s">
        <v>159</v>
      </c>
      <c r="J27" s="15" t="s">
        <v>38</v>
      </c>
      <c r="K27" s="7" t="s">
        <v>161</v>
      </c>
      <c r="L27" s="7">
        <v>2</v>
      </c>
      <c r="N27" s="53">
        <v>1</v>
      </c>
      <c r="O27" s="7">
        <v>0.75</v>
      </c>
      <c r="P27" s="7">
        <v>0.75</v>
      </c>
      <c r="Q27" s="52">
        <f t="shared" si="0"/>
        <v>0.75</v>
      </c>
      <c r="R27" s="7">
        <v>15.6</v>
      </c>
      <c r="S27" s="7">
        <v>129</v>
      </c>
      <c r="T27" s="16">
        <f t="shared" si="1"/>
        <v>25</v>
      </c>
      <c r="U27" s="7">
        <v>108</v>
      </c>
      <c r="V27" s="16">
        <f t="shared" si="2"/>
        <v>2700</v>
      </c>
      <c r="W27" s="7">
        <v>2</v>
      </c>
      <c r="X27" s="15" t="s">
        <v>46</v>
      </c>
      <c r="Y27" s="54" t="s">
        <v>55</v>
      </c>
      <c r="Z27" s="54" t="s">
        <v>47</v>
      </c>
      <c r="AA27" s="54" t="s">
        <v>90</v>
      </c>
      <c r="AB27" s="39" t="s">
        <v>158</v>
      </c>
      <c r="AE27" s="28"/>
      <c r="AP27" s="43" t="s">
        <v>118</v>
      </c>
      <c r="AR27" s="23"/>
    </row>
    <row r="28" spans="1:48" x14ac:dyDescent="0.15">
      <c r="A28" s="15" t="s">
        <v>156</v>
      </c>
      <c r="B28" s="15" t="s">
        <v>157</v>
      </c>
      <c r="C28" s="15">
        <v>2019</v>
      </c>
      <c r="D28" s="37" t="s">
        <v>167</v>
      </c>
      <c r="E28" s="7" t="s">
        <v>131</v>
      </c>
      <c r="F28" s="7" t="s">
        <v>144</v>
      </c>
      <c r="G28" s="7" t="s">
        <v>36</v>
      </c>
      <c r="H28" s="54" t="s">
        <v>165</v>
      </c>
      <c r="I28" s="7" t="s">
        <v>159</v>
      </c>
      <c r="J28" s="15" t="s">
        <v>38</v>
      </c>
      <c r="K28" s="7" t="s">
        <v>161</v>
      </c>
      <c r="L28" s="7">
        <v>3</v>
      </c>
      <c r="N28" s="53">
        <v>1</v>
      </c>
      <c r="O28" s="7">
        <v>0.5</v>
      </c>
      <c r="P28" s="7">
        <v>0.6</v>
      </c>
      <c r="Q28" s="52">
        <f t="shared" si="0"/>
        <v>0.55000000000000004</v>
      </c>
      <c r="R28" s="7">
        <v>15.5</v>
      </c>
      <c r="S28" s="7">
        <v>136</v>
      </c>
      <c r="T28" s="16">
        <f t="shared" si="1"/>
        <v>25</v>
      </c>
      <c r="U28" s="7">
        <v>108</v>
      </c>
      <c r="V28" s="16">
        <f t="shared" si="2"/>
        <v>2700</v>
      </c>
      <c r="W28" s="7">
        <v>2</v>
      </c>
      <c r="X28" s="15" t="s">
        <v>46</v>
      </c>
      <c r="Y28" s="54" t="s">
        <v>55</v>
      </c>
      <c r="Z28" s="54" t="s">
        <v>47</v>
      </c>
      <c r="AA28" s="54" t="s">
        <v>90</v>
      </c>
      <c r="AB28" s="39" t="s">
        <v>158</v>
      </c>
      <c r="AP28" s="27"/>
      <c r="AR28" s="23"/>
    </row>
    <row r="29" spans="1:48" x14ac:dyDescent="0.15">
      <c r="A29" s="15" t="s">
        <v>156</v>
      </c>
      <c r="B29" s="15" t="s">
        <v>157</v>
      </c>
      <c r="C29" s="15">
        <v>2019</v>
      </c>
      <c r="D29" s="37" t="s">
        <v>167</v>
      </c>
      <c r="E29" s="7" t="s">
        <v>131</v>
      </c>
      <c r="F29" s="7" t="s">
        <v>144</v>
      </c>
      <c r="G29" s="7" t="s">
        <v>36</v>
      </c>
      <c r="H29" s="15" t="s">
        <v>160</v>
      </c>
      <c r="I29" s="7" t="s">
        <v>159</v>
      </c>
      <c r="J29" s="15" t="s">
        <v>38</v>
      </c>
      <c r="K29" s="7" t="s">
        <v>161</v>
      </c>
      <c r="L29" s="7">
        <v>1</v>
      </c>
      <c r="N29" s="53">
        <v>1</v>
      </c>
      <c r="O29" s="7">
        <v>0.6</v>
      </c>
      <c r="P29" s="7">
        <v>0.6</v>
      </c>
      <c r="Q29" s="52">
        <f t="shared" si="0"/>
        <v>0.6</v>
      </c>
      <c r="R29" s="7">
        <v>16.3</v>
      </c>
      <c r="S29" s="7">
        <v>115</v>
      </c>
      <c r="T29" s="16">
        <f t="shared" si="1"/>
        <v>30</v>
      </c>
      <c r="U29" s="7">
        <v>108</v>
      </c>
      <c r="V29" s="16">
        <f t="shared" si="2"/>
        <v>3240</v>
      </c>
      <c r="W29" s="7">
        <v>10</v>
      </c>
      <c r="X29" s="15" t="s">
        <v>46</v>
      </c>
      <c r="Y29" s="54" t="s">
        <v>55</v>
      </c>
      <c r="Z29" s="54" t="s">
        <v>47</v>
      </c>
      <c r="AA29" s="54" t="s">
        <v>90</v>
      </c>
      <c r="AB29" s="39" t="s">
        <v>158</v>
      </c>
      <c r="AP29" s="27"/>
      <c r="AR29" s="27"/>
      <c r="AV29" s="28"/>
    </row>
    <row r="30" spans="1:48" x14ac:dyDescent="0.15">
      <c r="A30" s="15" t="s">
        <v>156</v>
      </c>
      <c r="B30" s="15" t="s">
        <v>157</v>
      </c>
      <c r="C30" s="15">
        <v>2019</v>
      </c>
      <c r="D30" s="37" t="s">
        <v>167</v>
      </c>
      <c r="E30" s="7" t="s">
        <v>131</v>
      </c>
      <c r="F30" s="7" t="s">
        <v>144</v>
      </c>
      <c r="G30" s="7" t="s">
        <v>36</v>
      </c>
      <c r="H30" s="15" t="s">
        <v>160</v>
      </c>
      <c r="I30" s="7" t="s">
        <v>159</v>
      </c>
      <c r="J30" s="15" t="s">
        <v>38</v>
      </c>
      <c r="K30" s="7" t="s">
        <v>161</v>
      </c>
      <c r="L30" s="7">
        <v>2</v>
      </c>
      <c r="N30" s="7">
        <v>1</v>
      </c>
      <c r="O30" s="7">
        <v>0.7</v>
      </c>
      <c r="P30" s="7">
        <v>0.75</v>
      </c>
      <c r="Q30" s="52">
        <f t="shared" si="0"/>
        <v>0.72499999999999998</v>
      </c>
      <c r="R30" s="7">
        <v>15.9</v>
      </c>
      <c r="S30" s="7">
        <v>120</v>
      </c>
      <c r="T30" s="16">
        <f t="shared" si="1"/>
        <v>30</v>
      </c>
      <c r="U30" s="7">
        <v>108</v>
      </c>
      <c r="V30" s="16">
        <f t="shared" si="2"/>
        <v>3240</v>
      </c>
      <c r="W30" s="7">
        <v>10</v>
      </c>
      <c r="X30" s="15" t="s">
        <v>46</v>
      </c>
      <c r="Y30" s="54" t="s">
        <v>55</v>
      </c>
      <c r="Z30" s="54" t="s">
        <v>47</v>
      </c>
      <c r="AA30" s="54" t="s">
        <v>90</v>
      </c>
      <c r="AB30" s="39" t="s">
        <v>158</v>
      </c>
      <c r="AP30" s="27"/>
      <c r="AR30" s="27"/>
    </row>
    <row r="31" spans="1:48" x14ac:dyDescent="0.15">
      <c r="A31" s="15" t="s">
        <v>156</v>
      </c>
      <c r="B31" s="15" t="s">
        <v>157</v>
      </c>
      <c r="C31" s="15">
        <v>2019</v>
      </c>
      <c r="D31" s="37" t="s">
        <v>167</v>
      </c>
      <c r="E31" s="7" t="s">
        <v>131</v>
      </c>
      <c r="F31" s="7" t="s">
        <v>144</v>
      </c>
      <c r="G31" s="7" t="s">
        <v>36</v>
      </c>
      <c r="H31" s="15" t="s">
        <v>160</v>
      </c>
      <c r="I31" s="7" t="s">
        <v>159</v>
      </c>
      <c r="J31" s="15" t="s">
        <v>38</v>
      </c>
      <c r="K31" s="7" t="s">
        <v>161</v>
      </c>
      <c r="L31" s="7">
        <v>3</v>
      </c>
      <c r="N31" s="7">
        <v>1</v>
      </c>
      <c r="O31" s="7">
        <v>0.85</v>
      </c>
      <c r="P31" s="7">
        <v>0.7</v>
      </c>
      <c r="Q31" s="52">
        <f t="shared" si="0"/>
        <v>0.77499999999999991</v>
      </c>
      <c r="R31" s="7">
        <v>15</v>
      </c>
      <c r="S31" s="7">
        <v>116</v>
      </c>
      <c r="T31" s="16">
        <f t="shared" si="1"/>
        <v>30</v>
      </c>
      <c r="U31" s="7">
        <v>108</v>
      </c>
      <c r="V31" s="16">
        <f t="shared" si="2"/>
        <v>3240</v>
      </c>
      <c r="W31" s="7">
        <v>10</v>
      </c>
      <c r="X31" s="15" t="s">
        <v>46</v>
      </c>
      <c r="Y31" s="54" t="s">
        <v>55</v>
      </c>
      <c r="Z31" s="54" t="s">
        <v>47</v>
      </c>
      <c r="AA31" s="54" t="s">
        <v>90</v>
      </c>
      <c r="AB31" s="39" t="s">
        <v>158</v>
      </c>
      <c r="AP31" s="27"/>
      <c r="AR31" s="27"/>
    </row>
    <row r="32" spans="1:48" x14ac:dyDescent="0.15">
      <c r="A32" s="15" t="s">
        <v>156</v>
      </c>
      <c r="B32" s="15" t="s">
        <v>157</v>
      </c>
      <c r="C32" s="15">
        <v>2019</v>
      </c>
      <c r="D32" s="37" t="s">
        <v>167</v>
      </c>
      <c r="E32" s="7" t="s">
        <v>131</v>
      </c>
      <c r="F32" s="7" t="s">
        <v>144</v>
      </c>
      <c r="G32" s="7" t="s">
        <v>36</v>
      </c>
      <c r="H32" s="15" t="s">
        <v>160</v>
      </c>
      <c r="I32" s="7" t="s">
        <v>166</v>
      </c>
      <c r="J32" s="15" t="s">
        <v>38</v>
      </c>
      <c r="K32" s="7" t="s">
        <v>161</v>
      </c>
      <c r="L32" s="7">
        <v>1</v>
      </c>
      <c r="N32" s="7">
        <v>4</v>
      </c>
      <c r="O32" s="7">
        <v>0.75</v>
      </c>
      <c r="P32" s="7">
        <v>0.7</v>
      </c>
      <c r="Q32" s="52">
        <f t="shared" si="0"/>
        <v>0.72499999999999998</v>
      </c>
      <c r="R32" s="7">
        <v>16.600000000000001</v>
      </c>
      <c r="S32" s="7">
        <v>100</v>
      </c>
      <c r="T32" s="16">
        <f t="shared" si="1"/>
        <v>33</v>
      </c>
      <c r="U32" s="7">
        <v>538</v>
      </c>
      <c r="V32" s="16">
        <f t="shared" si="2"/>
        <v>4438.5</v>
      </c>
      <c r="W32" s="7">
        <v>2</v>
      </c>
      <c r="X32" s="15" t="s">
        <v>46</v>
      </c>
      <c r="Y32" s="54" t="s">
        <v>55</v>
      </c>
      <c r="Z32" s="54" t="s">
        <v>47</v>
      </c>
      <c r="AA32" s="54" t="s">
        <v>90</v>
      </c>
      <c r="AB32" s="39" t="s">
        <v>158</v>
      </c>
      <c r="AP32" s="28"/>
      <c r="AR32" s="28"/>
    </row>
    <row r="33" spans="1:44" x14ac:dyDescent="0.15">
      <c r="A33" s="15" t="s">
        <v>156</v>
      </c>
      <c r="B33" s="15" t="s">
        <v>157</v>
      </c>
      <c r="C33" s="15">
        <v>2019</v>
      </c>
      <c r="D33" s="37" t="s">
        <v>167</v>
      </c>
      <c r="E33" s="7" t="s">
        <v>131</v>
      </c>
      <c r="F33" s="7" t="s">
        <v>144</v>
      </c>
      <c r="G33" s="7" t="s">
        <v>36</v>
      </c>
      <c r="H33" s="15" t="s">
        <v>160</v>
      </c>
      <c r="I33" s="53" t="s">
        <v>166</v>
      </c>
      <c r="J33" s="15" t="s">
        <v>38</v>
      </c>
      <c r="K33" s="7" t="s">
        <v>161</v>
      </c>
      <c r="L33" s="7">
        <v>2</v>
      </c>
      <c r="N33" s="7">
        <v>4</v>
      </c>
      <c r="O33" s="7">
        <v>0.7</v>
      </c>
      <c r="P33" s="7">
        <v>0.8</v>
      </c>
      <c r="Q33" s="52">
        <f t="shared" si="0"/>
        <v>0.75</v>
      </c>
      <c r="R33" s="7">
        <v>14.2</v>
      </c>
      <c r="S33" s="7">
        <v>96</v>
      </c>
      <c r="T33" s="16">
        <f t="shared" si="1"/>
        <v>36</v>
      </c>
      <c r="U33" s="7">
        <v>538</v>
      </c>
      <c r="V33" s="16">
        <f t="shared" si="2"/>
        <v>4842</v>
      </c>
      <c r="W33" s="7">
        <v>2</v>
      </c>
      <c r="X33" s="15" t="s">
        <v>46</v>
      </c>
      <c r="Y33" s="54" t="s">
        <v>55</v>
      </c>
      <c r="Z33" s="54" t="s">
        <v>47</v>
      </c>
      <c r="AA33" s="54" t="s">
        <v>90</v>
      </c>
      <c r="AB33" s="39" t="s">
        <v>158</v>
      </c>
    </row>
    <row r="34" spans="1:44" x14ac:dyDescent="0.15">
      <c r="A34" s="15" t="s">
        <v>156</v>
      </c>
      <c r="B34" s="15" t="s">
        <v>157</v>
      </c>
      <c r="C34" s="15">
        <v>2019</v>
      </c>
      <c r="D34" s="37" t="s">
        <v>167</v>
      </c>
      <c r="E34" s="7" t="s">
        <v>131</v>
      </c>
      <c r="F34" s="7" t="s">
        <v>144</v>
      </c>
      <c r="G34" s="7" t="s">
        <v>36</v>
      </c>
      <c r="H34" s="15" t="s">
        <v>160</v>
      </c>
      <c r="I34" s="53" t="s">
        <v>166</v>
      </c>
      <c r="J34" s="15" t="s">
        <v>38</v>
      </c>
      <c r="K34" s="7" t="s">
        <v>161</v>
      </c>
      <c r="L34" s="7">
        <v>3</v>
      </c>
      <c r="N34" s="7">
        <v>4</v>
      </c>
      <c r="O34" s="7">
        <v>0.5</v>
      </c>
      <c r="P34" s="7">
        <v>0.6</v>
      </c>
      <c r="Q34" s="52">
        <f t="shared" si="0"/>
        <v>0.55000000000000004</v>
      </c>
      <c r="R34" s="7">
        <v>19.3</v>
      </c>
      <c r="S34" s="7">
        <v>99</v>
      </c>
      <c r="T34" s="16">
        <f t="shared" si="1"/>
        <v>33</v>
      </c>
      <c r="U34" s="7">
        <v>538</v>
      </c>
      <c r="V34" s="16">
        <f t="shared" si="2"/>
        <v>4438.5</v>
      </c>
      <c r="W34" s="7">
        <v>2</v>
      </c>
      <c r="X34" s="15" t="s">
        <v>46</v>
      </c>
      <c r="Y34" s="54" t="s">
        <v>55</v>
      </c>
      <c r="Z34" s="54" t="s">
        <v>47</v>
      </c>
      <c r="AA34" s="54" t="s">
        <v>90</v>
      </c>
      <c r="AB34" s="39" t="s">
        <v>158</v>
      </c>
    </row>
    <row r="35" spans="1:44" x14ac:dyDescent="0.15">
      <c r="A35" s="15" t="s">
        <v>156</v>
      </c>
      <c r="B35" s="15" t="s">
        <v>157</v>
      </c>
      <c r="C35" s="15">
        <v>2019</v>
      </c>
      <c r="D35" s="37" t="s">
        <v>167</v>
      </c>
      <c r="E35" s="7" t="s">
        <v>139</v>
      </c>
      <c r="F35" s="7" t="s">
        <v>145</v>
      </c>
      <c r="G35" s="7" t="s">
        <v>36</v>
      </c>
      <c r="H35" s="15" t="s">
        <v>165</v>
      </c>
      <c r="I35" s="7" t="s">
        <v>159</v>
      </c>
      <c r="J35" s="15" t="s">
        <v>38</v>
      </c>
      <c r="K35" s="7" t="s">
        <v>161</v>
      </c>
      <c r="L35" s="7">
        <v>1</v>
      </c>
      <c r="N35" s="7">
        <v>1</v>
      </c>
      <c r="O35" s="7">
        <v>0.65</v>
      </c>
      <c r="P35" s="7">
        <v>0.8</v>
      </c>
      <c r="Q35" s="52">
        <f t="shared" si="0"/>
        <v>0.72500000000000009</v>
      </c>
      <c r="R35" s="7">
        <v>16.100000000000001</v>
      </c>
      <c r="S35" s="7">
        <v>115</v>
      </c>
      <c r="T35" s="16">
        <f t="shared" si="1"/>
        <v>30</v>
      </c>
      <c r="U35" s="7">
        <v>100</v>
      </c>
      <c r="V35" s="16">
        <f t="shared" si="2"/>
        <v>3000</v>
      </c>
      <c r="W35" s="7">
        <v>6</v>
      </c>
      <c r="X35" s="15" t="s">
        <v>46</v>
      </c>
      <c r="Y35" s="54" t="s">
        <v>55</v>
      </c>
      <c r="Z35" s="54" t="s">
        <v>47</v>
      </c>
      <c r="AA35" s="54" t="s">
        <v>78</v>
      </c>
      <c r="AB35" s="39" t="s">
        <v>158</v>
      </c>
      <c r="AP35" s="28"/>
      <c r="AR35" s="28"/>
    </row>
    <row r="36" spans="1:44" x14ac:dyDescent="0.15">
      <c r="A36" s="15" t="s">
        <v>156</v>
      </c>
      <c r="B36" s="15" t="s">
        <v>157</v>
      </c>
      <c r="C36" s="15">
        <v>2019</v>
      </c>
      <c r="D36" s="37" t="s">
        <v>167</v>
      </c>
      <c r="E36" s="7" t="s">
        <v>139</v>
      </c>
      <c r="F36" s="7" t="s">
        <v>145</v>
      </c>
      <c r="G36" s="7" t="s">
        <v>36</v>
      </c>
      <c r="H36" s="54" t="s">
        <v>165</v>
      </c>
      <c r="I36" s="7" t="s">
        <v>159</v>
      </c>
      <c r="J36" s="15" t="s">
        <v>38</v>
      </c>
      <c r="K36" s="7" t="s">
        <v>161</v>
      </c>
      <c r="L36" s="7">
        <v>2</v>
      </c>
      <c r="N36" s="7">
        <v>1</v>
      </c>
      <c r="O36" s="7">
        <v>0.6</v>
      </c>
      <c r="P36" s="7">
        <v>0.5</v>
      </c>
      <c r="Q36" s="52">
        <f t="shared" si="0"/>
        <v>0.55000000000000004</v>
      </c>
      <c r="R36" s="7">
        <v>16.399999999999999</v>
      </c>
      <c r="S36" s="7">
        <v>115</v>
      </c>
      <c r="T36" s="16">
        <f t="shared" si="1"/>
        <v>30</v>
      </c>
      <c r="U36" s="7">
        <v>100</v>
      </c>
      <c r="V36" s="16">
        <f t="shared" si="2"/>
        <v>3000</v>
      </c>
      <c r="W36" s="7">
        <v>6</v>
      </c>
      <c r="X36" s="15" t="s">
        <v>46</v>
      </c>
      <c r="Y36" s="54" t="s">
        <v>55</v>
      </c>
      <c r="Z36" s="54" t="s">
        <v>47</v>
      </c>
      <c r="AA36" s="54" t="s">
        <v>78</v>
      </c>
      <c r="AB36" s="39" t="s">
        <v>158</v>
      </c>
    </row>
    <row r="37" spans="1:44" x14ac:dyDescent="0.15">
      <c r="A37" s="15" t="s">
        <v>156</v>
      </c>
      <c r="B37" s="15" t="s">
        <v>157</v>
      </c>
      <c r="C37" s="15">
        <v>2019</v>
      </c>
      <c r="D37" s="37" t="s">
        <v>167</v>
      </c>
      <c r="E37" s="7" t="s">
        <v>139</v>
      </c>
      <c r="F37" s="7" t="s">
        <v>145</v>
      </c>
      <c r="G37" s="7" t="s">
        <v>36</v>
      </c>
      <c r="H37" s="54" t="s">
        <v>165</v>
      </c>
      <c r="I37" s="7" t="s">
        <v>159</v>
      </c>
      <c r="J37" s="15" t="s">
        <v>38</v>
      </c>
      <c r="K37" s="7" t="s">
        <v>161</v>
      </c>
      <c r="L37" s="7">
        <v>3</v>
      </c>
      <c r="N37" s="7">
        <v>1</v>
      </c>
      <c r="O37" s="34">
        <v>0.85</v>
      </c>
      <c r="P37" s="34">
        <v>0.85</v>
      </c>
      <c r="Q37" s="52">
        <f t="shared" si="0"/>
        <v>0.85</v>
      </c>
      <c r="R37" s="7">
        <v>14.2</v>
      </c>
      <c r="S37" s="7">
        <v>108</v>
      </c>
      <c r="T37" s="16">
        <f t="shared" si="1"/>
        <v>33</v>
      </c>
      <c r="U37" s="7">
        <v>100</v>
      </c>
      <c r="V37" s="16">
        <f t="shared" si="2"/>
        <v>3300</v>
      </c>
      <c r="W37" s="7">
        <v>6</v>
      </c>
      <c r="X37" s="15" t="s">
        <v>46</v>
      </c>
      <c r="Y37" s="54" t="s">
        <v>55</v>
      </c>
      <c r="Z37" s="54" t="s">
        <v>47</v>
      </c>
      <c r="AA37" s="54" t="s">
        <v>78</v>
      </c>
      <c r="AB37" s="39" t="s">
        <v>158</v>
      </c>
    </row>
    <row r="38" spans="1:44" x14ac:dyDescent="0.15">
      <c r="A38" s="15" t="s">
        <v>156</v>
      </c>
      <c r="B38" s="15" t="s">
        <v>157</v>
      </c>
      <c r="C38" s="15">
        <v>2019</v>
      </c>
      <c r="D38" s="37" t="s">
        <v>167</v>
      </c>
      <c r="E38" s="7" t="s">
        <v>139</v>
      </c>
      <c r="F38" s="7" t="s">
        <v>145</v>
      </c>
      <c r="G38" s="7" t="s">
        <v>36</v>
      </c>
      <c r="H38" s="15" t="s">
        <v>160</v>
      </c>
      <c r="I38" s="7" t="s">
        <v>159</v>
      </c>
      <c r="J38" s="15" t="s">
        <v>38</v>
      </c>
      <c r="K38" s="7" t="s">
        <v>161</v>
      </c>
      <c r="L38" s="7">
        <v>1</v>
      </c>
      <c r="N38" s="53">
        <v>1</v>
      </c>
      <c r="O38" s="34">
        <v>0.5</v>
      </c>
      <c r="P38" s="34">
        <v>0.5</v>
      </c>
      <c r="Q38" s="52">
        <f t="shared" si="0"/>
        <v>0.5</v>
      </c>
      <c r="R38" s="7">
        <v>16.399999999999999</v>
      </c>
      <c r="S38" s="7">
        <v>115</v>
      </c>
      <c r="T38" s="16">
        <f t="shared" si="1"/>
        <v>30</v>
      </c>
      <c r="U38" s="7">
        <v>100</v>
      </c>
      <c r="V38" s="16">
        <f t="shared" si="2"/>
        <v>3000</v>
      </c>
      <c r="W38" s="7">
        <v>16</v>
      </c>
      <c r="X38" s="15" t="s">
        <v>46</v>
      </c>
      <c r="Y38" s="54" t="s">
        <v>55</v>
      </c>
      <c r="Z38" s="54" t="s">
        <v>47</v>
      </c>
      <c r="AA38" s="54" t="s">
        <v>78</v>
      </c>
      <c r="AB38" s="39" t="s">
        <v>158</v>
      </c>
    </row>
    <row r="39" spans="1:44" x14ac:dyDescent="0.15">
      <c r="A39" s="15" t="s">
        <v>156</v>
      </c>
      <c r="B39" s="15" t="s">
        <v>157</v>
      </c>
      <c r="C39" s="15">
        <v>2019</v>
      </c>
      <c r="D39" s="37" t="s">
        <v>167</v>
      </c>
      <c r="E39" s="7" t="s">
        <v>139</v>
      </c>
      <c r="F39" s="7" t="s">
        <v>145</v>
      </c>
      <c r="G39" s="7" t="s">
        <v>36</v>
      </c>
      <c r="H39" s="54" t="s">
        <v>160</v>
      </c>
      <c r="I39" s="7" t="s">
        <v>159</v>
      </c>
      <c r="J39" s="15" t="s">
        <v>38</v>
      </c>
      <c r="K39" s="7" t="s">
        <v>161</v>
      </c>
      <c r="L39" s="7">
        <v>2</v>
      </c>
      <c r="N39" s="53">
        <v>1</v>
      </c>
      <c r="O39" s="7">
        <v>0.55000000000000004</v>
      </c>
      <c r="P39" s="7">
        <v>0.55000000000000004</v>
      </c>
      <c r="Q39" s="52">
        <f t="shared" si="0"/>
        <v>0.55000000000000004</v>
      </c>
      <c r="R39" s="34">
        <v>14.6</v>
      </c>
      <c r="S39" s="7">
        <v>107</v>
      </c>
      <c r="T39" s="16">
        <f t="shared" si="1"/>
        <v>33</v>
      </c>
      <c r="U39" s="7">
        <v>100</v>
      </c>
      <c r="V39" s="16">
        <f t="shared" si="2"/>
        <v>3300</v>
      </c>
      <c r="W39" s="7">
        <v>16</v>
      </c>
      <c r="X39" s="15" t="s">
        <v>46</v>
      </c>
      <c r="Y39" s="54" t="s">
        <v>55</v>
      </c>
      <c r="Z39" s="54" t="s">
        <v>47</v>
      </c>
      <c r="AA39" s="54" t="s">
        <v>78</v>
      </c>
      <c r="AB39" s="39" t="s">
        <v>158</v>
      </c>
    </row>
    <row r="40" spans="1:44" x14ac:dyDescent="0.15">
      <c r="A40" s="15" t="s">
        <v>156</v>
      </c>
      <c r="B40" s="15" t="s">
        <v>157</v>
      </c>
      <c r="C40" s="15">
        <v>2019</v>
      </c>
      <c r="D40" s="37" t="s">
        <v>167</v>
      </c>
      <c r="E40" s="7" t="s">
        <v>139</v>
      </c>
      <c r="F40" s="7" t="s">
        <v>145</v>
      </c>
      <c r="G40" s="7" t="s">
        <v>36</v>
      </c>
      <c r="H40" s="54" t="s">
        <v>160</v>
      </c>
      <c r="I40" s="7" t="s">
        <v>159</v>
      </c>
      <c r="J40" s="15" t="s">
        <v>38</v>
      </c>
      <c r="K40" s="7" t="s">
        <v>161</v>
      </c>
      <c r="L40" s="7">
        <v>3</v>
      </c>
      <c r="N40" s="53">
        <v>1</v>
      </c>
      <c r="O40" s="7">
        <v>0.5</v>
      </c>
      <c r="P40" s="7">
        <v>0.5</v>
      </c>
      <c r="Q40" s="52">
        <f t="shared" si="0"/>
        <v>0.5</v>
      </c>
      <c r="R40" s="7">
        <v>18.2</v>
      </c>
      <c r="S40" s="7">
        <v>106</v>
      </c>
      <c r="T40" s="16">
        <f t="shared" si="1"/>
        <v>33</v>
      </c>
      <c r="U40" s="7">
        <v>100</v>
      </c>
      <c r="V40" s="16">
        <f t="shared" si="2"/>
        <v>3300</v>
      </c>
      <c r="W40" s="7">
        <v>16</v>
      </c>
      <c r="X40" s="15" t="s">
        <v>46</v>
      </c>
      <c r="Y40" s="54" t="s">
        <v>55</v>
      </c>
      <c r="Z40" s="54" t="s">
        <v>47</v>
      </c>
      <c r="AA40" s="54" t="s">
        <v>78</v>
      </c>
      <c r="AB40" s="39" t="s">
        <v>158</v>
      </c>
    </row>
    <row r="41" spans="1:44" ht="12.75" customHeight="1" x14ac:dyDescent="0.15">
      <c r="A41" s="15" t="s">
        <v>156</v>
      </c>
      <c r="B41" s="15" t="s">
        <v>157</v>
      </c>
      <c r="C41" s="15">
        <v>2019</v>
      </c>
      <c r="D41" s="37" t="s">
        <v>167</v>
      </c>
      <c r="E41" s="7" t="s">
        <v>162</v>
      </c>
      <c r="F41" s="7" t="s">
        <v>163</v>
      </c>
      <c r="G41" s="7" t="s">
        <v>36</v>
      </c>
      <c r="H41" s="15" t="s">
        <v>165</v>
      </c>
      <c r="I41" s="7" t="s">
        <v>159</v>
      </c>
      <c r="J41" s="15" t="s">
        <v>38</v>
      </c>
      <c r="K41" s="7" t="s">
        <v>161</v>
      </c>
      <c r="L41" s="7">
        <v>1</v>
      </c>
      <c r="N41" s="7">
        <v>1</v>
      </c>
      <c r="O41" s="7">
        <v>1.25</v>
      </c>
      <c r="P41" s="7">
        <v>1.3</v>
      </c>
      <c r="Q41" s="52">
        <f t="shared" si="0"/>
        <v>1.2749999999999999</v>
      </c>
      <c r="R41" s="7">
        <v>12.2</v>
      </c>
      <c r="S41" s="7">
        <v>125</v>
      </c>
      <c r="T41" s="16">
        <f t="shared" si="1"/>
        <v>27</v>
      </c>
      <c r="U41" s="7">
        <v>98</v>
      </c>
      <c r="V41" s="16">
        <f t="shared" si="2"/>
        <v>2646</v>
      </c>
      <c r="W41" s="7">
        <v>2</v>
      </c>
      <c r="X41" s="15" t="s">
        <v>46</v>
      </c>
      <c r="Y41" s="54" t="s">
        <v>55</v>
      </c>
      <c r="Z41" s="54" t="s">
        <v>47</v>
      </c>
      <c r="AA41" s="54" t="s">
        <v>40</v>
      </c>
      <c r="AB41" s="39" t="s">
        <v>158</v>
      </c>
    </row>
    <row r="42" spans="1:44" x14ac:dyDescent="0.15">
      <c r="A42" s="15" t="s">
        <v>156</v>
      </c>
      <c r="B42" s="15" t="s">
        <v>157</v>
      </c>
      <c r="C42" s="15">
        <v>2019</v>
      </c>
      <c r="D42" s="37" t="s">
        <v>167</v>
      </c>
      <c r="E42" s="7" t="s">
        <v>162</v>
      </c>
      <c r="F42" s="7" t="s">
        <v>163</v>
      </c>
      <c r="G42" s="7" t="s">
        <v>36</v>
      </c>
      <c r="H42" s="54" t="s">
        <v>165</v>
      </c>
      <c r="I42" s="7" t="s">
        <v>159</v>
      </c>
      <c r="J42" s="15" t="s">
        <v>38</v>
      </c>
      <c r="K42" s="7" t="s">
        <v>161</v>
      </c>
      <c r="L42" s="7">
        <v>2</v>
      </c>
      <c r="N42" s="7">
        <v>1</v>
      </c>
      <c r="O42" s="7">
        <v>1.05</v>
      </c>
      <c r="P42" s="7">
        <v>1.2</v>
      </c>
      <c r="Q42" s="52">
        <f t="shared" si="0"/>
        <v>1.125</v>
      </c>
      <c r="R42" s="7">
        <v>12.3</v>
      </c>
      <c r="S42" s="7">
        <v>119</v>
      </c>
      <c r="T42" s="16">
        <f t="shared" si="1"/>
        <v>30</v>
      </c>
      <c r="U42" s="7">
        <v>98</v>
      </c>
      <c r="V42" s="16">
        <f t="shared" si="2"/>
        <v>2940</v>
      </c>
      <c r="W42" s="7">
        <v>2</v>
      </c>
      <c r="X42" s="15" t="s">
        <v>46</v>
      </c>
      <c r="Y42" s="54" t="s">
        <v>55</v>
      </c>
      <c r="Z42" s="54" t="s">
        <v>47</v>
      </c>
      <c r="AA42" s="54" t="s">
        <v>40</v>
      </c>
      <c r="AB42" s="39" t="s">
        <v>158</v>
      </c>
    </row>
    <row r="43" spans="1:44" x14ac:dyDescent="0.15">
      <c r="A43" s="15" t="s">
        <v>156</v>
      </c>
      <c r="B43" s="15" t="s">
        <v>157</v>
      </c>
      <c r="C43" s="15">
        <v>2019</v>
      </c>
      <c r="D43" s="37" t="s">
        <v>167</v>
      </c>
      <c r="E43" s="7" t="s">
        <v>162</v>
      </c>
      <c r="F43" s="7" t="s">
        <v>163</v>
      </c>
      <c r="G43" s="7" t="s">
        <v>36</v>
      </c>
      <c r="H43" s="54" t="s">
        <v>165</v>
      </c>
      <c r="I43" s="7" t="s">
        <v>159</v>
      </c>
      <c r="J43" s="15" t="s">
        <v>38</v>
      </c>
      <c r="K43" s="7" t="s">
        <v>161</v>
      </c>
      <c r="L43" s="7">
        <v>3</v>
      </c>
      <c r="N43" s="7">
        <v>1</v>
      </c>
      <c r="O43" s="7">
        <v>1.1000000000000001</v>
      </c>
      <c r="P43" s="7">
        <v>1.2</v>
      </c>
      <c r="Q43" s="52">
        <f t="shared" si="0"/>
        <v>1.1499999999999999</v>
      </c>
      <c r="R43" s="7">
        <v>13.8</v>
      </c>
      <c r="S43" s="7">
        <v>120</v>
      </c>
      <c r="T43" s="16">
        <f t="shared" si="1"/>
        <v>30</v>
      </c>
      <c r="U43" s="7">
        <v>98</v>
      </c>
      <c r="V43" s="16">
        <f t="shared" si="2"/>
        <v>2940</v>
      </c>
      <c r="W43" s="7">
        <v>2</v>
      </c>
      <c r="X43" s="15" t="s">
        <v>46</v>
      </c>
      <c r="Y43" s="54" t="s">
        <v>55</v>
      </c>
      <c r="Z43" s="54" t="s">
        <v>47</v>
      </c>
      <c r="AA43" s="54" t="s">
        <v>40</v>
      </c>
      <c r="AB43" s="39" t="s">
        <v>158</v>
      </c>
    </row>
    <row r="44" spans="1:44" x14ac:dyDescent="0.15">
      <c r="A44" s="15" t="s">
        <v>156</v>
      </c>
      <c r="B44" s="15" t="s">
        <v>157</v>
      </c>
      <c r="C44" s="15">
        <v>2019</v>
      </c>
      <c r="D44" s="37" t="s">
        <v>167</v>
      </c>
      <c r="E44" s="7" t="s">
        <v>162</v>
      </c>
      <c r="F44" s="7" t="s">
        <v>163</v>
      </c>
      <c r="G44" s="7" t="s">
        <v>36</v>
      </c>
      <c r="H44" s="15" t="s">
        <v>127</v>
      </c>
      <c r="I44" s="7" t="s">
        <v>159</v>
      </c>
      <c r="J44" s="15" t="s">
        <v>53</v>
      </c>
      <c r="K44" s="7" t="s">
        <v>54</v>
      </c>
      <c r="L44" s="7">
        <v>1</v>
      </c>
      <c r="N44" s="7">
        <v>1</v>
      </c>
      <c r="O44" s="7">
        <v>0.8</v>
      </c>
      <c r="P44" s="7">
        <v>0.8</v>
      </c>
      <c r="Q44" s="52">
        <f t="shared" si="0"/>
        <v>0.8</v>
      </c>
      <c r="R44" s="7">
        <v>12.7</v>
      </c>
      <c r="S44" s="7">
        <v>110</v>
      </c>
      <c r="T44" s="16">
        <f t="shared" si="1"/>
        <v>33</v>
      </c>
      <c r="U44" s="7">
        <v>98</v>
      </c>
      <c r="V44" s="16">
        <f t="shared" si="2"/>
        <v>3234</v>
      </c>
      <c r="W44" s="7">
        <v>2</v>
      </c>
      <c r="X44" s="15" t="s">
        <v>46</v>
      </c>
      <c r="Y44" s="54" t="s">
        <v>55</v>
      </c>
      <c r="Z44" s="54" t="s">
        <v>47</v>
      </c>
      <c r="AA44" s="54" t="s">
        <v>40</v>
      </c>
      <c r="AB44" s="39" t="s">
        <v>158</v>
      </c>
    </row>
    <row r="45" spans="1:44" x14ac:dyDescent="0.15">
      <c r="A45" s="15" t="s">
        <v>156</v>
      </c>
      <c r="B45" s="15" t="s">
        <v>157</v>
      </c>
      <c r="C45" s="15">
        <v>2019</v>
      </c>
      <c r="D45" s="37" t="s">
        <v>167</v>
      </c>
      <c r="E45" s="7" t="s">
        <v>162</v>
      </c>
      <c r="F45" s="7" t="s">
        <v>163</v>
      </c>
      <c r="G45" s="7" t="s">
        <v>36</v>
      </c>
      <c r="H45" s="15" t="s">
        <v>127</v>
      </c>
      <c r="I45" s="7" t="s">
        <v>159</v>
      </c>
      <c r="J45" s="15" t="s">
        <v>53</v>
      </c>
      <c r="K45" s="7" t="s">
        <v>54</v>
      </c>
      <c r="L45" s="7">
        <v>2</v>
      </c>
      <c r="N45" s="7">
        <v>1</v>
      </c>
      <c r="O45" s="7">
        <v>0.75</v>
      </c>
      <c r="P45" s="7">
        <v>0.65</v>
      </c>
      <c r="Q45" s="52">
        <f t="shared" si="0"/>
        <v>0.7</v>
      </c>
      <c r="R45" s="7">
        <v>12</v>
      </c>
      <c r="S45" s="7">
        <v>114</v>
      </c>
      <c r="T45" s="16">
        <f t="shared" si="1"/>
        <v>30</v>
      </c>
      <c r="U45" s="7">
        <v>98</v>
      </c>
      <c r="V45" s="16">
        <f t="shared" si="2"/>
        <v>2940</v>
      </c>
      <c r="W45" s="7">
        <v>2</v>
      </c>
      <c r="X45" s="15" t="s">
        <v>46</v>
      </c>
      <c r="Y45" s="54" t="s">
        <v>55</v>
      </c>
      <c r="Z45" s="54" t="s">
        <v>47</v>
      </c>
      <c r="AA45" s="54" t="s">
        <v>40</v>
      </c>
      <c r="AB45" s="39" t="s">
        <v>158</v>
      </c>
    </row>
    <row r="46" spans="1:44" x14ac:dyDescent="0.15">
      <c r="A46" s="15" t="s">
        <v>156</v>
      </c>
      <c r="B46" s="15" t="s">
        <v>157</v>
      </c>
      <c r="C46" s="15">
        <v>2019</v>
      </c>
      <c r="D46" s="37" t="s">
        <v>167</v>
      </c>
      <c r="E46" s="7" t="s">
        <v>162</v>
      </c>
      <c r="F46" s="7" t="s">
        <v>163</v>
      </c>
      <c r="G46" s="7" t="s">
        <v>36</v>
      </c>
      <c r="H46" s="15" t="s">
        <v>127</v>
      </c>
      <c r="I46" s="7" t="s">
        <v>159</v>
      </c>
      <c r="J46" s="15" t="s">
        <v>53</v>
      </c>
      <c r="K46" s="7" t="s">
        <v>54</v>
      </c>
      <c r="L46" s="7">
        <v>3</v>
      </c>
      <c r="N46" s="7">
        <v>1</v>
      </c>
      <c r="O46" s="7">
        <v>0.85</v>
      </c>
      <c r="P46" s="34">
        <v>0.7</v>
      </c>
      <c r="Q46" s="52">
        <f t="shared" si="0"/>
        <v>0.77499999999999991</v>
      </c>
      <c r="R46" s="7">
        <v>12.2</v>
      </c>
      <c r="S46" s="7">
        <v>112</v>
      </c>
      <c r="T46" s="16">
        <f t="shared" si="1"/>
        <v>33</v>
      </c>
      <c r="U46" s="7">
        <v>98</v>
      </c>
      <c r="V46" s="16">
        <f t="shared" si="2"/>
        <v>3234</v>
      </c>
      <c r="W46" s="7">
        <v>2</v>
      </c>
      <c r="X46" s="15" t="s">
        <v>46</v>
      </c>
      <c r="Y46" s="54" t="s">
        <v>55</v>
      </c>
      <c r="Z46" s="54" t="s">
        <v>47</v>
      </c>
      <c r="AA46" s="54" t="s">
        <v>40</v>
      </c>
      <c r="AB46" s="39" t="s">
        <v>158</v>
      </c>
    </row>
    <row r="47" spans="1:44" x14ac:dyDescent="0.15">
      <c r="A47" s="15" t="s">
        <v>156</v>
      </c>
      <c r="B47" s="15" t="s">
        <v>157</v>
      </c>
      <c r="C47" s="15">
        <v>2019</v>
      </c>
      <c r="D47" s="37" t="s">
        <v>167</v>
      </c>
      <c r="E47" s="7" t="s">
        <v>162</v>
      </c>
      <c r="F47" s="7" t="s">
        <v>163</v>
      </c>
      <c r="G47" s="7" t="s">
        <v>36</v>
      </c>
      <c r="H47" s="15" t="s">
        <v>160</v>
      </c>
      <c r="I47" s="7" t="s">
        <v>159</v>
      </c>
      <c r="J47" s="15" t="s">
        <v>38</v>
      </c>
      <c r="K47" s="7" t="s">
        <v>161</v>
      </c>
      <c r="L47" s="7">
        <v>1</v>
      </c>
      <c r="N47" s="7">
        <v>1</v>
      </c>
      <c r="O47" s="7">
        <v>1.25</v>
      </c>
      <c r="P47" s="7">
        <v>1.3</v>
      </c>
      <c r="Q47" s="52">
        <f t="shared" si="0"/>
        <v>1.2749999999999999</v>
      </c>
      <c r="R47" s="7">
        <v>15.5</v>
      </c>
      <c r="S47" s="7">
        <v>111</v>
      </c>
      <c r="T47" s="16">
        <f t="shared" si="1"/>
        <v>33</v>
      </c>
      <c r="U47" s="7">
        <v>100</v>
      </c>
      <c r="V47" s="16">
        <f t="shared" si="2"/>
        <v>3300</v>
      </c>
      <c r="W47" s="7">
        <v>6</v>
      </c>
      <c r="X47" s="15" t="s">
        <v>46</v>
      </c>
      <c r="Y47" s="54" t="s">
        <v>55</v>
      </c>
      <c r="Z47" s="54" t="s">
        <v>47</v>
      </c>
      <c r="AA47" s="54" t="s">
        <v>40</v>
      </c>
      <c r="AB47" s="39" t="s">
        <v>158</v>
      </c>
    </row>
    <row r="48" spans="1:44" x14ac:dyDescent="0.15">
      <c r="A48" s="15" t="s">
        <v>156</v>
      </c>
      <c r="B48" s="15" t="s">
        <v>157</v>
      </c>
      <c r="C48" s="15">
        <v>2019</v>
      </c>
      <c r="D48" s="37" t="s">
        <v>167</v>
      </c>
      <c r="E48" s="7" t="s">
        <v>162</v>
      </c>
      <c r="F48" s="7" t="s">
        <v>163</v>
      </c>
      <c r="G48" s="7" t="s">
        <v>36</v>
      </c>
      <c r="H48" s="15" t="s">
        <v>160</v>
      </c>
      <c r="I48" s="7" t="s">
        <v>159</v>
      </c>
      <c r="J48" s="15" t="s">
        <v>38</v>
      </c>
      <c r="K48" s="7" t="s">
        <v>161</v>
      </c>
      <c r="L48" s="7">
        <v>2</v>
      </c>
      <c r="N48" s="7">
        <v>1</v>
      </c>
      <c r="O48" s="7">
        <v>1.1499999999999999</v>
      </c>
      <c r="P48" s="7">
        <v>1.3</v>
      </c>
      <c r="Q48" s="52">
        <f t="shared" si="0"/>
        <v>1.2250000000000001</v>
      </c>
      <c r="R48" s="7">
        <v>15.3</v>
      </c>
      <c r="S48" s="7">
        <v>105</v>
      </c>
      <c r="T48" s="16">
        <f t="shared" si="1"/>
        <v>33</v>
      </c>
      <c r="U48" s="7">
        <v>100</v>
      </c>
      <c r="V48" s="16">
        <f t="shared" si="2"/>
        <v>3300</v>
      </c>
      <c r="W48" s="7">
        <v>6</v>
      </c>
      <c r="X48" s="15" t="s">
        <v>46</v>
      </c>
      <c r="Y48" s="54" t="s">
        <v>55</v>
      </c>
      <c r="Z48" s="54" t="s">
        <v>47</v>
      </c>
      <c r="AA48" s="54" t="s">
        <v>40</v>
      </c>
      <c r="AB48" s="39" t="s">
        <v>158</v>
      </c>
    </row>
    <row r="49" spans="1:29" x14ac:dyDescent="0.15">
      <c r="A49" s="15" t="s">
        <v>156</v>
      </c>
      <c r="B49" s="15" t="s">
        <v>157</v>
      </c>
      <c r="C49" s="15">
        <v>2019</v>
      </c>
      <c r="D49" s="37" t="s">
        <v>167</v>
      </c>
      <c r="E49" s="7" t="s">
        <v>162</v>
      </c>
      <c r="F49" s="7" t="s">
        <v>163</v>
      </c>
      <c r="G49" s="7" t="s">
        <v>36</v>
      </c>
      <c r="H49" s="15" t="s">
        <v>160</v>
      </c>
      <c r="I49" s="7" t="s">
        <v>159</v>
      </c>
      <c r="J49" s="15" t="s">
        <v>38</v>
      </c>
      <c r="K49" s="7" t="s">
        <v>161</v>
      </c>
      <c r="L49" s="7">
        <v>3</v>
      </c>
      <c r="N49" s="7">
        <v>1</v>
      </c>
      <c r="O49" s="7">
        <v>0.95</v>
      </c>
      <c r="P49" s="34">
        <v>1.1000000000000001</v>
      </c>
      <c r="Q49" s="52">
        <f t="shared" si="0"/>
        <v>1.0249999999999999</v>
      </c>
      <c r="R49" s="7">
        <v>17.100000000000001</v>
      </c>
      <c r="S49" s="7">
        <v>110</v>
      </c>
      <c r="T49" s="16">
        <f t="shared" si="1"/>
        <v>33</v>
      </c>
      <c r="U49" s="7">
        <v>100</v>
      </c>
      <c r="V49" s="16">
        <f t="shared" si="2"/>
        <v>3300</v>
      </c>
      <c r="W49" s="7">
        <v>6</v>
      </c>
      <c r="X49" s="15" t="s">
        <v>46</v>
      </c>
      <c r="Y49" s="54" t="s">
        <v>55</v>
      </c>
      <c r="Z49" s="54" t="s">
        <v>47</v>
      </c>
      <c r="AA49" s="54" t="s">
        <v>40</v>
      </c>
      <c r="AB49" s="39" t="s">
        <v>158</v>
      </c>
    </row>
    <row r="50" spans="1:29" x14ac:dyDescent="0.15">
      <c r="A50" s="15" t="s">
        <v>156</v>
      </c>
      <c r="B50" s="15" t="s">
        <v>157</v>
      </c>
      <c r="C50" s="15">
        <v>2019</v>
      </c>
      <c r="D50" s="37" t="s">
        <v>167</v>
      </c>
      <c r="E50" s="7" t="s">
        <v>130</v>
      </c>
      <c r="F50" s="7" t="s">
        <v>146</v>
      </c>
      <c r="G50" s="7" t="s">
        <v>36</v>
      </c>
      <c r="H50" s="15" t="s">
        <v>165</v>
      </c>
      <c r="I50" s="7" t="s">
        <v>159</v>
      </c>
      <c r="J50" s="15" t="s">
        <v>38</v>
      </c>
      <c r="K50" s="7" t="s">
        <v>161</v>
      </c>
      <c r="L50" s="7">
        <v>1</v>
      </c>
      <c r="N50" s="7">
        <v>1</v>
      </c>
      <c r="O50" s="7">
        <v>0.5</v>
      </c>
      <c r="P50" s="7">
        <v>0.5</v>
      </c>
      <c r="Q50" s="52">
        <f t="shared" si="0"/>
        <v>0.5</v>
      </c>
      <c r="R50" s="7">
        <v>14</v>
      </c>
      <c r="S50" s="7">
        <v>123</v>
      </c>
      <c r="T50" s="16">
        <f t="shared" si="1"/>
        <v>27</v>
      </c>
      <c r="U50" s="7">
        <v>105</v>
      </c>
      <c r="V50" s="16">
        <f t="shared" si="2"/>
        <v>2835</v>
      </c>
      <c r="W50" s="7">
        <v>8</v>
      </c>
      <c r="X50" s="15" t="s">
        <v>46</v>
      </c>
      <c r="Y50" s="54" t="s">
        <v>40</v>
      </c>
      <c r="Z50" s="15" t="s">
        <v>55</v>
      </c>
      <c r="AA50" s="15" t="s">
        <v>86</v>
      </c>
      <c r="AB50" s="39" t="s">
        <v>158</v>
      </c>
    </row>
    <row r="51" spans="1:29" x14ac:dyDescent="0.15">
      <c r="A51" s="15" t="s">
        <v>156</v>
      </c>
      <c r="B51" s="15" t="s">
        <v>157</v>
      </c>
      <c r="C51" s="15">
        <v>2019</v>
      </c>
      <c r="D51" s="37" t="s">
        <v>167</v>
      </c>
      <c r="E51" s="7" t="s">
        <v>130</v>
      </c>
      <c r="F51" s="7" t="s">
        <v>146</v>
      </c>
      <c r="G51" s="7" t="s">
        <v>36</v>
      </c>
      <c r="H51" s="15" t="s">
        <v>165</v>
      </c>
      <c r="I51" s="7" t="s">
        <v>159</v>
      </c>
      <c r="J51" s="15" t="s">
        <v>38</v>
      </c>
      <c r="K51" s="7" t="s">
        <v>161</v>
      </c>
      <c r="L51" s="7">
        <v>2</v>
      </c>
      <c r="N51" s="7">
        <v>1</v>
      </c>
      <c r="O51" s="7">
        <v>0.5</v>
      </c>
      <c r="P51" s="7">
        <v>0.5</v>
      </c>
      <c r="Q51" s="52">
        <f t="shared" si="0"/>
        <v>0.5</v>
      </c>
      <c r="R51" s="7">
        <v>16.3</v>
      </c>
      <c r="S51" s="7">
        <v>113</v>
      </c>
      <c r="T51" s="16">
        <f t="shared" si="1"/>
        <v>30</v>
      </c>
      <c r="U51" s="7">
        <v>105</v>
      </c>
      <c r="V51" s="16">
        <f t="shared" si="2"/>
        <v>3150</v>
      </c>
      <c r="W51" s="7">
        <v>8</v>
      </c>
      <c r="X51" s="15" t="s">
        <v>46</v>
      </c>
      <c r="Y51" s="54" t="s">
        <v>40</v>
      </c>
      <c r="Z51" s="54" t="s">
        <v>55</v>
      </c>
      <c r="AA51" s="54" t="s">
        <v>86</v>
      </c>
      <c r="AB51" s="39" t="s">
        <v>158</v>
      </c>
    </row>
    <row r="52" spans="1:29" x14ac:dyDescent="0.15">
      <c r="A52" s="15" t="s">
        <v>156</v>
      </c>
      <c r="B52" s="15" t="s">
        <v>157</v>
      </c>
      <c r="C52" s="15">
        <v>2019</v>
      </c>
      <c r="D52" s="37" t="s">
        <v>167</v>
      </c>
      <c r="E52" s="7" t="s">
        <v>130</v>
      </c>
      <c r="F52" s="7" t="s">
        <v>146</v>
      </c>
      <c r="G52" s="7" t="s">
        <v>36</v>
      </c>
      <c r="H52" s="15" t="s">
        <v>165</v>
      </c>
      <c r="I52" s="7" t="s">
        <v>159</v>
      </c>
      <c r="J52" s="15" t="s">
        <v>38</v>
      </c>
      <c r="K52" s="7" t="s">
        <v>161</v>
      </c>
      <c r="L52" s="7">
        <v>3</v>
      </c>
      <c r="N52" s="7">
        <v>1</v>
      </c>
      <c r="O52" s="7">
        <v>0.5</v>
      </c>
      <c r="P52" s="7">
        <v>0.5</v>
      </c>
      <c r="Q52" s="52">
        <f t="shared" si="0"/>
        <v>0.5</v>
      </c>
      <c r="R52" s="7">
        <v>15.5</v>
      </c>
      <c r="S52" s="7">
        <v>121</v>
      </c>
      <c r="T52" s="16">
        <f t="shared" si="1"/>
        <v>27</v>
      </c>
      <c r="U52" s="7">
        <v>105</v>
      </c>
      <c r="V52" s="16">
        <f t="shared" si="2"/>
        <v>2835</v>
      </c>
      <c r="W52" s="7">
        <v>8</v>
      </c>
      <c r="X52" s="15" t="s">
        <v>46</v>
      </c>
      <c r="Y52" s="54" t="s">
        <v>40</v>
      </c>
      <c r="Z52" s="54" t="s">
        <v>55</v>
      </c>
      <c r="AA52" s="54" t="s">
        <v>86</v>
      </c>
      <c r="AB52" s="39" t="s">
        <v>158</v>
      </c>
    </row>
    <row r="53" spans="1:29" x14ac:dyDescent="0.15">
      <c r="A53" s="15" t="s">
        <v>156</v>
      </c>
      <c r="B53" s="15" t="s">
        <v>157</v>
      </c>
      <c r="C53" s="15">
        <v>2019</v>
      </c>
      <c r="D53" s="37" t="s">
        <v>167</v>
      </c>
      <c r="E53" s="7" t="s">
        <v>130</v>
      </c>
      <c r="F53" s="7" t="s">
        <v>146</v>
      </c>
      <c r="G53" s="7" t="s">
        <v>36</v>
      </c>
      <c r="H53" s="15" t="s">
        <v>160</v>
      </c>
      <c r="I53" s="7" t="s">
        <v>159</v>
      </c>
      <c r="J53" s="15" t="s">
        <v>38</v>
      </c>
      <c r="K53" s="7" t="s">
        <v>161</v>
      </c>
      <c r="L53" s="7">
        <v>1</v>
      </c>
      <c r="N53" s="7">
        <v>1</v>
      </c>
      <c r="O53" s="7">
        <v>0.85</v>
      </c>
      <c r="P53" s="7">
        <v>0.85</v>
      </c>
      <c r="Q53" s="52">
        <f t="shared" si="0"/>
        <v>0.85</v>
      </c>
      <c r="R53" s="7">
        <v>18</v>
      </c>
      <c r="S53" s="7">
        <v>130</v>
      </c>
      <c r="T53" s="16">
        <f t="shared" si="1"/>
        <v>25</v>
      </c>
      <c r="U53" s="7">
        <v>105</v>
      </c>
      <c r="V53" s="16">
        <f t="shared" si="2"/>
        <v>2625</v>
      </c>
      <c r="W53" s="7">
        <v>19</v>
      </c>
      <c r="X53" s="15" t="s">
        <v>46</v>
      </c>
      <c r="Y53" s="54" t="s">
        <v>40</v>
      </c>
      <c r="Z53" s="54" t="s">
        <v>55</v>
      </c>
      <c r="AA53" s="54" t="s">
        <v>86</v>
      </c>
      <c r="AB53" s="39" t="s">
        <v>158</v>
      </c>
      <c r="AC53" s="36"/>
    </row>
    <row r="54" spans="1:29" x14ac:dyDescent="0.15">
      <c r="A54" s="15" t="s">
        <v>156</v>
      </c>
      <c r="B54" s="15" t="s">
        <v>157</v>
      </c>
      <c r="C54" s="15">
        <v>2019</v>
      </c>
      <c r="D54" s="37" t="s">
        <v>167</v>
      </c>
      <c r="E54" s="7" t="s">
        <v>130</v>
      </c>
      <c r="F54" s="7" t="s">
        <v>146</v>
      </c>
      <c r="G54" s="7" t="s">
        <v>36</v>
      </c>
      <c r="H54" s="15" t="s">
        <v>160</v>
      </c>
      <c r="I54" s="7" t="s">
        <v>159</v>
      </c>
      <c r="J54" s="15" t="s">
        <v>38</v>
      </c>
      <c r="K54" s="7" t="s">
        <v>161</v>
      </c>
      <c r="L54" s="7">
        <v>2</v>
      </c>
      <c r="N54" s="7">
        <v>1</v>
      </c>
      <c r="O54" s="7">
        <v>0.7</v>
      </c>
      <c r="P54" s="7">
        <v>0.75</v>
      </c>
      <c r="Q54" s="52">
        <f t="shared" si="0"/>
        <v>0.72499999999999998</v>
      </c>
      <c r="R54" s="7">
        <v>16</v>
      </c>
      <c r="S54" s="7">
        <v>126</v>
      </c>
      <c r="T54" s="16">
        <f t="shared" si="1"/>
        <v>27</v>
      </c>
      <c r="U54" s="7">
        <v>105</v>
      </c>
      <c r="V54" s="16">
        <f t="shared" si="2"/>
        <v>2835</v>
      </c>
      <c r="W54" s="7">
        <v>19</v>
      </c>
      <c r="X54" s="15" t="s">
        <v>46</v>
      </c>
      <c r="Y54" s="54" t="s">
        <v>40</v>
      </c>
      <c r="Z54" s="54" t="s">
        <v>55</v>
      </c>
      <c r="AA54" s="54" t="s">
        <v>86</v>
      </c>
      <c r="AB54" s="39" t="s">
        <v>158</v>
      </c>
      <c r="AC54" s="36"/>
    </row>
    <row r="55" spans="1:29" x14ac:dyDescent="0.15">
      <c r="A55" s="15" t="s">
        <v>156</v>
      </c>
      <c r="B55" s="15" t="s">
        <v>157</v>
      </c>
      <c r="C55" s="15">
        <v>2019</v>
      </c>
      <c r="D55" s="37" t="s">
        <v>167</v>
      </c>
      <c r="E55" s="7" t="s">
        <v>130</v>
      </c>
      <c r="F55" s="7" t="s">
        <v>146</v>
      </c>
      <c r="G55" s="7" t="s">
        <v>36</v>
      </c>
      <c r="H55" s="15" t="s">
        <v>160</v>
      </c>
      <c r="I55" s="7" t="s">
        <v>159</v>
      </c>
      <c r="J55" s="15" t="s">
        <v>38</v>
      </c>
      <c r="K55" s="7" t="s">
        <v>161</v>
      </c>
      <c r="L55" s="7">
        <v>3</v>
      </c>
      <c r="N55" s="7">
        <v>1</v>
      </c>
      <c r="O55" s="7">
        <v>0.75</v>
      </c>
      <c r="P55" s="7">
        <v>0.7</v>
      </c>
      <c r="Q55" s="52">
        <f t="shared" si="0"/>
        <v>0.72499999999999998</v>
      </c>
      <c r="R55" s="7">
        <v>18.899999999999999</v>
      </c>
      <c r="S55" s="7">
        <v>133</v>
      </c>
      <c r="T55" s="16">
        <f t="shared" si="1"/>
        <v>25</v>
      </c>
      <c r="U55" s="7">
        <v>105</v>
      </c>
      <c r="V55" s="16">
        <f t="shared" si="2"/>
        <v>2625</v>
      </c>
      <c r="W55" s="7">
        <v>19</v>
      </c>
      <c r="X55" s="15" t="s">
        <v>46</v>
      </c>
      <c r="Y55" s="54" t="s">
        <v>40</v>
      </c>
      <c r="Z55" s="54" t="s">
        <v>55</v>
      </c>
      <c r="AA55" s="54" t="s">
        <v>86</v>
      </c>
      <c r="AB55" s="39" t="s">
        <v>158</v>
      </c>
      <c r="AC55" s="36"/>
    </row>
    <row r="56" spans="1:29" x14ac:dyDescent="0.15">
      <c r="A56" s="15" t="s">
        <v>156</v>
      </c>
      <c r="B56" s="15" t="s">
        <v>157</v>
      </c>
      <c r="C56" s="15">
        <v>2019</v>
      </c>
      <c r="D56" s="37" t="s">
        <v>167</v>
      </c>
      <c r="E56" s="7" t="s">
        <v>132</v>
      </c>
      <c r="F56" s="7" t="s">
        <v>147</v>
      </c>
      <c r="G56" s="7" t="s">
        <v>36</v>
      </c>
      <c r="H56" s="15" t="s">
        <v>165</v>
      </c>
      <c r="I56" s="7" t="s">
        <v>159</v>
      </c>
      <c r="J56" s="15" t="s">
        <v>38</v>
      </c>
      <c r="K56" s="7" t="s">
        <v>161</v>
      </c>
      <c r="L56" s="7">
        <v>1</v>
      </c>
      <c r="N56" s="7">
        <v>1</v>
      </c>
      <c r="O56" s="7">
        <v>0.5</v>
      </c>
      <c r="P56" s="7">
        <v>0.5</v>
      </c>
      <c r="Q56" s="52">
        <f t="shared" si="0"/>
        <v>0.5</v>
      </c>
      <c r="R56" s="7">
        <v>15.5</v>
      </c>
      <c r="S56" s="7">
        <v>131</v>
      </c>
      <c r="T56" s="16">
        <f t="shared" si="1"/>
        <v>25</v>
      </c>
      <c r="U56" s="7">
        <v>138</v>
      </c>
      <c r="V56" s="16">
        <f t="shared" si="2"/>
        <v>3450</v>
      </c>
      <c r="W56" s="7">
        <v>4</v>
      </c>
      <c r="X56" s="15" t="s">
        <v>46</v>
      </c>
      <c r="Y56" s="15" t="s">
        <v>55</v>
      </c>
      <c r="Z56" s="15" t="s">
        <v>47</v>
      </c>
      <c r="AA56" s="15" t="s">
        <v>90</v>
      </c>
      <c r="AB56" s="39" t="s">
        <v>158</v>
      </c>
    </row>
    <row r="57" spans="1:29" x14ac:dyDescent="0.15">
      <c r="A57" s="15" t="s">
        <v>156</v>
      </c>
      <c r="B57" s="15" t="s">
        <v>157</v>
      </c>
      <c r="C57" s="15">
        <v>2019</v>
      </c>
      <c r="D57" s="37" t="s">
        <v>167</v>
      </c>
      <c r="E57" s="7" t="s">
        <v>132</v>
      </c>
      <c r="F57" s="7" t="s">
        <v>147</v>
      </c>
      <c r="G57" s="7" t="s">
        <v>36</v>
      </c>
      <c r="H57" s="15" t="s">
        <v>165</v>
      </c>
      <c r="I57" s="7" t="s">
        <v>159</v>
      </c>
      <c r="J57" s="15" t="s">
        <v>38</v>
      </c>
      <c r="K57" s="7" t="s">
        <v>161</v>
      </c>
      <c r="L57" s="7">
        <v>2</v>
      </c>
      <c r="N57" s="7">
        <v>1</v>
      </c>
      <c r="O57" s="7">
        <v>0.5</v>
      </c>
      <c r="P57" s="7">
        <v>0.5</v>
      </c>
      <c r="Q57" s="52">
        <f t="shared" si="0"/>
        <v>0.5</v>
      </c>
      <c r="R57" s="7">
        <v>14.6</v>
      </c>
      <c r="S57" s="7">
        <v>135</v>
      </c>
      <c r="T57" s="16">
        <f t="shared" si="1"/>
        <v>25</v>
      </c>
      <c r="U57" s="7">
        <v>138</v>
      </c>
      <c r="V57" s="16">
        <f t="shared" si="2"/>
        <v>3450</v>
      </c>
      <c r="W57" s="7">
        <v>4</v>
      </c>
      <c r="X57" s="15" t="s">
        <v>46</v>
      </c>
      <c r="Y57" s="54" t="s">
        <v>55</v>
      </c>
      <c r="Z57" s="54" t="s">
        <v>47</v>
      </c>
      <c r="AA57" s="54" t="s">
        <v>90</v>
      </c>
      <c r="AB57" s="39" t="s">
        <v>158</v>
      </c>
    </row>
    <row r="58" spans="1:29" x14ac:dyDescent="0.15">
      <c r="A58" s="15" t="s">
        <v>156</v>
      </c>
      <c r="B58" s="15" t="s">
        <v>157</v>
      </c>
      <c r="C58" s="15">
        <v>2019</v>
      </c>
      <c r="D58" s="37" t="s">
        <v>167</v>
      </c>
      <c r="E58" s="7" t="s">
        <v>132</v>
      </c>
      <c r="F58" s="7" t="s">
        <v>147</v>
      </c>
      <c r="G58" s="7" t="s">
        <v>36</v>
      </c>
      <c r="H58" s="15" t="s">
        <v>165</v>
      </c>
      <c r="I58" s="7" t="s">
        <v>159</v>
      </c>
      <c r="J58" s="15" t="s">
        <v>38</v>
      </c>
      <c r="K58" s="7" t="s">
        <v>161</v>
      </c>
      <c r="L58" s="7">
        <v>3</v>
      </c>
      <c r="N58" s="7">
        <v>1</v>
      </c>
      <c r="O58" s="7">
        <v>0.5</v>
      </c>
      <c r="P58" s="7">
        <v>0.5</v>
      </c>
      <c r="Q58" s="52">
        <f t="shared" si="0"/>
        <v>0.5</v>
      </c>
      <c r="R58" s="7">
        <v>16.8</v>
      </c>
      <c r="S58" s="7">
        <v>123</v>
      </c>
      <c r="T58" s="16">
        <f t="shared" si="1"/>
        <v>27</v>
      </c>
      <c r="U58" s="7">
        <v>138</v>
      </c>
      <c r="V58" s="16">
        <f t="shared" si="2"/>
        <v>3726</v>
      </c>
      <c r="W58" s="7">
        <v>4</v>
      </c>
      <c r="X58" s="15" t="s">
        <v>46</v>
      </c>
      <c r="Y58" s="54" t="s">
        <v>55</v>
      </c>
      <c r="Z58" s="54" t="s">
        <v>47</v>
      </c>
      <c r="AA58" s="54" t="s">
        <v>90</v>
      </c>
      <c r="AB58" s="39" t="s">
        <v>158</v>
      </c>
    </row>
    <row r="59" spans="1:29" x14ac:dyDescent="0.15">
      <c r="A59" s="15" t="s">
        <v>156</v>
      </c>
      <c r="B59" s="15" t="s">
        <v>157</v>
      </c>
      <c r="C59" s="15">
        <v>2019</v>
      </c>
      <c r="D59" s="37" t="s">
        <v>167</v>
      </c>
      <c r="E59" s="7" t="s">
        <v>132</v>
      </c>
      <c r="F59" s="7" t="s">
        <v>147</v>
      </c>
      <c r="G59" s="7" t="s">
        <v>36</v>
      </c>
      <c r="H59" s="15" t="s">
        <v>160</v>
      </c>
      <c r="I59" s="7" t="s">
        <v>159</v>
      </c>
      <c r="J59" s="15" t="s">
        <v>38</v>
      </c>
      <c r="K59" s="7" t="s">
        <v>161</v>
      </c>
      <c r="L59" s="7">
        <v>1</v>
      </c>
      <c r="N59" s="7">
        <v>1</v>
      </c>
      <c r="O59" s="7">
        <v>0.5</v>
      </c>
      <c r="P59" s="7">
        <v>0.5</v>
      </c>
      <c r="Q59" s="52">
        <f t="shared" si="0"/>
        <v>0.5</v>
      </c>
      <c r="R59" s="7">
        <v>19.399999999999999</v>
      </c>
      <c r="S59" s="7">
        <v>134</v>
      </c>
      <c r="T59" s="16">
        <f t="shared" si="1"/>
        <v>25</v>
      </c>
      <c r="U59" s="7">
        <v>149</v>
      </c>
      <c r="V59" s="16">
        <f t="shared" si="2"/>
        <v>3725</v>
      </c>
      <c r="W59" s="7">
        <v>10</v>
      </c>
      <c r="X59" s="15" t="s">
        <v>46</v>
      </c>
      <c r="Y59" s="54" t="s">
        <v>55</v>
      </c>
      <c r="Z59" s="54" t="s">
        <v>47</v>
      </c>
      <c r="AA59" s="54" t="s">
        <v>90</v>
      </c>
      <c r="AB59" s="39" t="s">
        <v>158</v>
      </c>
    </row>
    <row r="60" spans="1:29" x14ac:dyDescent="0.15">
      <c r="A60" s="15" t="s">
        <v>156</v>
      </c>
      <c r="B60" s="15" t="s">
        <v>157</v>
      </c>
      <c r="C60" s="15">
        <v>2019</v>
      </c>
      <c r="D60" s="37" t="s">
        <v>167</v>
      </c>
      <c r="E60" s="7" t="s">
        <v>132</v>
      </c>
      <c r="F60" s="7" t="s">
        <v>147</v>
      </c>
      <c r="G60" s="7" t="s">
        <v>36</v>
      </c>
      <c r="H60" s="15" t="s">
        <v>160</v>
      </c>
      <c r="I60" s="7" t="s">
        <v>159</v>
      </c>
      <c r="J60" s="15" t="s">
        <v>38</v>
      </c>
      <c r="K60" s="7" t="s">
        <v>161</v>
      </c>
      <c r="L60" s="7">
        <v>2</v>
      </c>
      <c r="N60" s="7">
        <v>1</v>
      </c>
      <c r="O60" s="7">
        <v>0.5</v>
      </c>
      <c r="P60" s="7">
        <v>0.5</v>
      </c>
      <c r="Q60" s="52">
        <f t="shared" si="0"/>
        <v>0.5</v>
      </c>
      <c r="R60" s="7">
        <v>17.7</v>
      </c>
      <c r="S60" s="7">
        <v>137</v>
      </c>
      <c r="T60" s="16">
        <f>IF(H60="","",IF(OR(H60="GREEN",H60="GK"),IF(S60&gt;=$AX$2,VLOOKUP(S60,$AX$2:$AY$12,2,1),""),IF(S60&gt;=$AZ$2,VLOOKUP(S60,$AZ$2:$BA$12,2,1),"")))</f>
        <v>25</v>
      </c>
      <c r="U60" s="7">
        <v>149</v>
      </c>
      <c r="V60" s="16">
        <f t="shared" si="2"/>
        <v>3725</v>
      </c>
      <c r="W60" s="7">
        <v>10</v>
      </c>
      <c r="X60" s="15" t="s">
        <v>46</v>
      </c>
      <c r="Y60" s="54" t="s">
        <v>55</v>
      </c>
      <c r="Z60" s="54" t="s">
        <v>47</v>
      </c>
      <c r="AA60" s="54" t="s">
        <v>90</v>
      </c>
      <c r="AB60" s="39" t="s">
        <v>158</v>
      </c>
    </row>
    <row r="61" spans="1:29" x14ac:dyDescent="0.15">
      <c r="A61" s="15" t="s">
        <v>156</v>
      </c>
      <c r="B61" s="15" t="s">
        <v>157</v>
      </c>
      <c r="C61" s="15">
        <v>2019</v>
      </c>
      <c r="D61" s="37" t="s">
        <v>167</v>
      </c>
      <c r="E61" s="7" t="s">
        <v>132</v>
      </c>
      <c r="F61" s="7" t="s">
        <v>147</v>
      </c>
      <c r="G61" s="7" t="s">
        <v>36</v>
      </c>
      <c r="H61" s="15" t="s">
        <v>160</v>
      </c>
      <c r="I61" s="7" t="s">
        <v>159</v>
      </c>
      <c r="J61" s="15" t="s">
        <v>38</v>
      </c>
      <c r="K61" s="7" t="s">
        <v>161</v>
      </c>
      <c r="L61" s="7">
        <v>3</v>
      </c>
      <c r="N61" s="53">
        <v>1</v>
      </c>
      <c r="O61" s="7">
        <v>0.5</v>
      </c>
      <c r="P61" s="7">
        <v>0.5</v>
      </c>
      <c r="Q61" s="52">
        <f t="shared" si="0"/>
        <v>0.5</v>
      </c>
      <c r="R61" s="7">
        <v>17.899999999999999</v>
      </c>
      <c r="S61" s="7">
        <v>141</v>
      </c>
      <c r="T61" s="16">
        <f>IF(H61="","",IF(OR(H61="GREEN",H61="GK"),IF(S61&gt;=$AX$2,VLOOKUP(S61,$AX$2:$AY$12,2,1),""),IF(S61&gt;=$AZ$2,VLOOKUP(S61,$AZ$2:$BA$12,2,1),"")))</f>
        <v>22</v>
      </c>
      <c r="U61" s="7">
        <v>149</v>
      </c>
      <c r="V61" s="16">
        <f t="shared" si="2"/>
        <v>3278</v>
      </c>
      <c r="W61" s="7">
        <v>10</v>
      </c>
      <c r="X61" s="15" t="s">
        <v>46</v>
      </c>
      <c r="Y61" s="54" t="s">
        <v>55</v>
      </c>
      <c r="Z61" s="54" t="s">
        <v>47</v>
      </c>
      <c r="AA61" s="54" t="s">
        <v>90</v>
      </c>
      <c r="AB61" s="39" t="s">
        <v>158</v>
      </c>
    </row>
    <row r="62" spans="1:29" x14ac:dyDescent="0.15">
      <c r="A62" s="15" t="s">
        <v>156</v>
      </c>
      <c r="B62" s="15" t="s">
        <v>157</v>
      </c>
      <c r="C62" s="15">
        <v>2019</v>
      </c>
      <c r="D62" s="37" t="s">
        <v>167</v>
      </c>
      <c r="E62" s="7" t="s">
        <v>140</v>
      </c>
      <c r="F62" s="7" t="s">
        <v>148</v>
      </c>
      <c r="G62" s="7" t="s">
        <v>36</v>
      </c>
      <c r="H62" s="15" t="s">
        <v>165</v>
      </c>
      <c r="I62" s="7" t="s">
        <v>159</v>
      </c>
      <c r="J62" s="15" t="s">
        <v>38</v>
      </c>
      <c r="K62" s="7" t="s">
        <v>161</v>
      </c>
      <c r="L62" s="7">
        <v>1</v>
      </c>
      <c r="N62" s="53">
        <v>1</v>
      </c>
      <c r="O62" s="7">
        <v>0.9</v>
      </c>
      <c r="P62" s="7">
        <v>0.85</v>
      </c>
      <c r="Q62" s="52">
        <f t="shared" si="0"/>
        <v>0.875</v>
      </c>
      <c r="R62" s="7">
        <v>13.6</v>
      </c>
      <c r="S62" s="7">
        <v>127</v>
      </c>
      <c r="T62" s="16">
        <f t="shared" ref="T62:T120" si="3">IF(H62="","",IF(OR(H62="GREEN",H62="GK"),IF(S62&gt;=$AX$2,VLOOKUP(S62,$AX$2:$AY$12,2,1),""),IF(S62&gt;=$AZ$2,VLOOKUP(S62,$AZ$2:$BA$12,2,1),"")))</f>
        <v>27</v>
      </c>
      <c r="U62" s="7">
        <v>138</v>
      </c>
      <c r="V62" s="16">
        <f t="shared" si="2"/>
        <v>3726</v>
      </c>
      <c r="W62" s="7">
        <v>10</v>
      </c>
      <c r="X62" s="54" t="s">
        <v>46</v>
      </c>
      <c r="Y62" s="54" t="s">
        <v>55</v>
      </c>
      <c r="Z62" s="54" t="s">
        <v>47</v>
      </c>
      <c r="AA62" s="54" t="s">
        <v>90</v>
      </c>
      <c r="AB62" s="39" t="s">
        <v>158</v>
      </c>
    </row>
    <row r="63" spans="1:29" x14ac:dyDescent="0.15">
      <c r="A63" s="15" t="s">
        <v>156</v>
      </c>
      <c r="B63" s="15" t="s">
        <v>157</v>
      </c>
      <c r="C63" s="15">
        <v>2019</v>
      </c>
      <c r="D63" s="37" t="s">
        <v>167</v>
      </c>
      <c r="E63" s="7" t="s">
        <v>140</v>
      </c>
      <c r="F63" s="7" t="s">
        <v>148</v>
      </c>
      <c r="G63" s="7" t="s">
        <v>36</v>
      </c>
      <c r="H63" s="15" t="s">
        <v>165</v>
      </c>
      <c r="I63" s="7" t="s">
        <v>159</v>
      </c>
      <c r="J63" s="15" t="s">
        <v>38</v>
      </c>
      <c r="K63" s="7" t="s">
        <v>161</v>
      </c>
      <c r="L63" s="7">
        <v>2</v>
      </c>
      <c r="N63" s="53">
        <v>1</v>
      </c>
      <c r="O63" s="7">
        <v>1.05</v>
      </c>
      <c r="P63" s="7">
        <v>1</v>
      </c>
      <c r="Q63" s="52">
        <f t="shared" si="0"/>
        <v>1.0249999999999999</v>
      </c>
      <c r="R63" s="7">
        <v>13.5</v>
      </c>
      <c r="S63" s="7">
        <v>133</v>
      </c>
      <c r="T63" s="16">
        <f t="shared" si="3"/>
        <v>25</v>
      </c>
      <c r="U63" s="7">
        <v>138</v>
      </c>
      <c r="V63" s="16">
        <f t="shared" si="2"/>
        <v>3450</v>
      </c>
      <c r="W63" s="7">
        <v>10</v>
      </c>
      <c r="X63" s="54" t="s">
        <v>46</v>
      </c>
      <c r="Y63" s="54" t="s">
        <v>55</v>
      </c>
      <c r="Z63" s="54" t="s">
        <v>47</v>
      </c>
      <c r="AA63" s="54" t="s">
        <v>90</v>
      </c>
      <c r="AB63" s="39" t="s">
        <v>158</v>
      </c>
    </row>
    <row r="64" spans="1:29" x14ac:dyDescent="0.15">
      <c r="A64" s="15" t="s">
        <v>156</v>
      </c>
      <c r="B64" s="15" t="s">
        <v>157</v>
      </c>
      <c r="C64" s="15">
        <v>2019</v>
      </c>
      <c r="D64" s="37" t="s">
        <v>167</v>
      </c>
      <c r="E64" s="7" t="s">
        <v>140</v>
      </c>
      <c r="F64" s="7" t="s">
        <v>148</v>
      </c>
      <c r="G64" s="7" t="s">
        <v>36</v>
      </c>
      <c r="H64" s="15" t="s">
        <v>165</v>
      </c>
      <c r="I64" s="7" t="s">
        <v>159</v>
      </c>
      <c r="J64" s="15" t="s">
        <v>38</v>
      </c>
      <c r="K64" s="7" t="s">
        <v>161</v>
      </c>
      <c r="L64" s="7">
        <v>3</v>
      </c>
      <c r="N64" s="53">
        <v>1</v>
      </c>
      <c r="O64" s="7">
        <v>0.95</v>
      </c>
      <c r="P64" s="7">
        <v>0.9</v>
      </c>
      <c r="Q64" s="52">
        <f t="shared" si="0"/>
        <v>0.92500000000000004</v>
      </c>
      <c r="R64" s="7">
        <v>13.7</v>
      </c>
      <c r="S64" s="7">
        <v>131</v>
      </c>
      <c r="T64" s="16">
        <f t="shared" si="3"/>
        <v>25</v>
      </c>
      <c r="U64" s="7">
        <v>138</v>
      </c>
      <c r="V64" s="16">
        <f t="shared" si="2"/>
        <v>3450</v>
      </c>
      <c r="W64" s="7">
        <v>10</v>
      </c>
      <c r="X64" s="54" t="s">
        <v>46</v>
      </c>
      <c r="Y64" s="54" t="s">
        <v>55</v>
      </c>
      <c r="Z64" s="54" t="s">
        <v>47</v>
      </c>
      <c r="AA64" s="54" t="s">
        <v>90</v>
      </c>
      <c r="AB64" s="39" t="s">
        <v>158</v>
      </c>
    </row>
    <row r="65" spans="1:28" x14ac:dyDescent="0.15">
      <c r="A65" s="15" t="s">
        <v>156</v>
      </c>
      <c r="B65" s="15" t="s">
        <v>157</v>
      </c>
      <c r="C65" s="15">
        <v>2019</v>
      </c>
      <c r="D65" s="37" t="s">
        <v>167</v>
      </c>
      <c r="E65" s="7" t="s">
        <v>140</v>
      </c>
      <c r="F65" s="7" t="s">
        <v>148</v>
      </c>
      <c r="G65" s="7" t="s">
        <v>36</v>
      </c>
      <c r="H65" s="15" t="s">
        <v>164</v>
      </c>
      <c r="I65" s="7" t="s">
        <v>159</v>
      </c>
      <c r="J65" s="15" t="s">
        <v>38</v>
      </c>
      <c r="K65" s="7" t="s">
        <v>161</v>
      </c>
      <c r="L65" s="7">
        <v>1</v>
      </c>
      <c r="N65" s="53">
        <v>1</v>
      </c>
      <c r="O65" s="7">
        <v>0.9</v>
      </c>
      <c r="P65" s="7">
        <v>1.05</v>
      </c>
      <c r="Q65" s="52">
        <f t="shared" si="0"/>
        <v>0.97500000000000009</v>
      </c>
      <c r="R65" s="7">
        <v>18.899999999999999</v>
      </c>
      <c r="S65" s="7">
        <v>91</v>
      </c>
      <c r="T65" s="16">
        <f t="shared" si="3"/>
        <v>36</v>
      </c>
      <c r="U65" s="7">
        <v>138</v>
      </c>
      <c r="V65" s="16">
        <f t="shared" si="2"/>
        <v>4968</v>
      </c>
      <c r="W65" s="7">
        <v>1</v>
      </c>
      <c r="X65" s="54" t="s">
        <v>46</v>
      </c>
      <c r="Y65" s="54" t="s">
        <v>55</v>
      </c>
      <c r="Z65" s="54" t="s">
        <v>47</v>
      </c>
      <c r="AA65" s="54" t="s">
        <v>90</v>
      </c>
      <c r="AB65" s="39" t="s">
        <v>158</v>
      </c>
    </row>
    <row r="66" spans="1:28" x14ac:dyDescent="0.15">
      <c r="A66" s="15" t="s">
        <v>156</v>
      </c>
      <c r="B66" s="15" t="s">
        <v>157</v>
      </c>
      <c r="C66" s="15">
        <v>2019</v>
      </c>
      <c r="D66" s="37" t="s">
        <v>167</v>
      </c>
      <c r="E66" s="7" t="s">
        <v>140</v>
      </c>
      <c r="F66" s="7" t="s">
        <v>148</v>
      </c>
      <c r="G66" s="7" t="s">
        <v>36</v>
      </c>
      <c r="H66" s="15" t="s">
        <v>164</v>
      </c>
      <c r="I66" s="7" t="s">
        <v>159</v>
      </c>
      <c r="J66" s="15" t="s">
        <v>38</v>
      </c>
      <c r="K66" s="7" t="s">
        <v>161</v>
      </c>
      <c r="L66" s="7">
        <v>2</v>
      </c>
      <c r="N66" s="7">
        <v>1</v>
      </c>
      <c r="O66" s="7">
        <v>1</v>
      </c>
      <c r="P66" s="7">
        <v>0.85</v>
      </c>
      <c r="Q66" s="52">
        <f t="shared" ref="Q66:Q77" si="4">IF(OR(O66="",P66=""),"",AVERAGE(O66,P66))</f>
        <v>0.92500000000000004</v>
      </c>
      <c r="R66" s="7">
        <v>19.3</v>
      </c>
      <c r="S66" s="7">
        <v>100</v>
      </c>
      <c r="T66" s="16">
        <f t="shared" si="3"/>
        <v>33</v>
      </c>
      <c r="U66" s="7">
        <v>138</v>
      </c>
      <c r="V66" s="16">
        <f t="shared" ref="V66:V70" si="5">IF(OR(N66="",U66="",T66=""),"",U66/N66*T66)</f>
        <v>4554</v>
      </c>
      <c r="W66" s="7">
        <v>1</v>
      </c>
      <c r="X66" s="54" t="s">
        <v>46</v>
      </c>
      <c r="Y66" s="54" t="s">
        <v>55</v>
      </c>
      <c r="Z66" s="54" t="s">
        <v>47</v>
      </c>
      <c r="AA66" s="54" t="s">
        <v>90</v>
      </c>
      <c r="AB66" s="39" t="s">
        <v>158</v>
      </c>
    </row>
    <row r="67" spans="1:28" x14ac:dyDescent="0.15">
      <c r="A67" s="15" t="s">
        <v>156</v>
      </c>
      <c r="B67" s="15" t="s">
        <v>157</v>
      </c>
      <c r="C67" s="15">
        <v>2019</v>
      </c>
      <c r="D67" s="37" t="s">
        <v>167</v>
      </c>
      <c r="E67" s="7" t="s">
        <v>140</v>
      </c>
      <c r="F67" s="7" t="s">
        <v>148</v>
      </c>
      <c r="G67" s="7" t="s">
        <v>36</v>
      </c>
      <c r="H67" s="15" t="s">
        <v>164</v>
      </c>
      <c r="I67" s="7" t="s">
        <v>159</v>
      </c>
      <c r="J67" s="15" t="s">
        <v>38</v>
      </c>
      <c r="K67" s="7" t="s">
        <v>161</v>
      </c>
      <c r="L67" s="7">
        <v>3</v>
      </c>
      <c r="N67" s="7">
        <v>1</v>
      </c>
      <c r="O67" s="7">
        <v>1</v>
      </c>
      <c r="P67" s="7">
        <v>1.1000000000000001</v>
      </c>
      <c r="Q67" s="52">
        <f t="shared" si="4"/>
        <v>1.05</v>
      </c>
      <c r="R67" s="7">
        <v>20.3</v>
      </c>
      <c r="S67" s="7">
        <v>89</v>
      </c>
      <c r="T67" s="16">
        <f t="shared" si="3"/>
        <v>36</v>
      </c>
      <c r="U67" s="7">
        <v>138</v>
      </c>
      <c r="V67" s="16">
        <f t="shared" si="5"/>
        <v>4968</v>
      </c>
      <c r="W67" s="7">
        <v>1</v>
      </c>
      <c r="X67" s="54" t="s">
        <v>46</v>
      </c>
      <c r="Y67" s="54" t="s">
        <v>55</v>
      </c>
      <c r="Z67" s="54" t="s">
        <v>47</v>
      </c>
      <c r="AA67" s="54" t="s">
        <v>90</v>
      </c>
      <c r="AB67" s="39" t="s">
        <v>158</v>
      </c>
    </row>
    <row r="68" spans="1:28" x14ac:dyDescent="0.15">
      <c r="A68" s="15" t="s">
        <v>156</v>
      </c>
      <c r="B68" s="15" t="s">
        <v>157</v>
      </c>
      <c r="C68" s="15">
        <v>2019</v>
      </c>
      <c r="D68" s="37" t="s">
        <v>167</v>
      </c>
      <c r="E68" s="7" t="s">
        <v>140</v>
      </c>
      <c r="F68" s="7" t="s">
        <v>148</v>
      </c>
      <c r="G68" s="7" t="s">
        <v>36</v>
      </c>
      <c r="H68" s="15" t="s">
        <v>160</v>
      </c>
      <c r="I68" s="7" t="s">
        <v>159</v>
      </c>
      <c r="J68" s="15" t="s">
        <v>38</v>
      </c>
      <c r="K68" s="7" t="s">
        <v>161</v>
      </c>
      <c r="L68" s="7">
        <v>1</v>
      </c>
      <c r="N68" s="7">
        <v>1</v>
      </c>
      <c r="O68" s="7">
        <v>0.65</v>
      </c>
      <c r="P68" s="7">
        <v>0.75</v>
      </c>
      <c r="Q68" s="52">
        <f t="shared" si="4"/>
        <v>0.7</v>
      </c>
      <c r="R68" s="7">
        <v>17.899999999999999</v>
      </c>
      <c r="S68" s="7">
        <v>148</v>
      </c>
      <c r="T68" s="16">
        <f t="shared" si="3"/>
        <v>22</v>
      </c>
      <c r="U68" s="7">
        <v>170</v>
      </c>
      <c r="V68" s="16">
        <f t="shared" si="5"/>
        <v>3740</v>
      </c>
      <c r="W68" s="7">
        <v>14</v>
      </c>
      <c r="X68" s="54" t="s">
        <v>46</v>
      </c>
      <c r="Y68" s="54" t="s">
        <v>55</v>
      </c>
      <c r="Z68" s="54" t="s">
        <v>47</v>
      </c>
      <c r="AA68" s="54" t="s">
        <v>90</v>
      </c>
      <c r="AB68" s="39" t="s">
        <v>158</v>
      </c>
    </row>
    <row r="69" spans="1:28" x14ac:dyDescent="0.15">
      <c r="A69" s="15" t="s">
        <v>156</v>
      </c>
      <c r="B69" s="15" t="s">
        <v>157</v>
      </c>
      <c r="C69" s="15">
        <v>2019</v>
      </c>
      <c r="D69" s="37" t="s">
        <v>167</v>
      </c>
      <c r="E69" s="7" t="s">
        <v>140</v>
      </c>
      <c r="F69" s="7" t="s">
        <v>148</v>
      </c>
      <c r="G69" s="7" t="s">
        <v>36</v>
      </c>
      <c r="H69" s="15" t="s">
        <v>160</v>
      </c>
      <c r="I69" s="7" t="s">
        <v>159</v>
      </c>
      <c r="J69" s="15" t="s">
        <v>38</v>
      </c>
      <c r="K69" s="7" t="s">
        <v>161</v>
      </c>
      <c r="L69" s="7">
        <v>2</v>
      </c>
      <c r="N69" s="7">
        <v>1</v>
      </c>
      <c r="O69" s="7">
        <v>0.75</v>
      </c>
      <c r="P69" s="7">
        <v>0.8</v>
      </c>
      <c r="Q69" s="52">
        <f t="shared" si="4"/>
        <v>0.77500000000000002</v>
      </c>
      <c r="R69" s="7">
        <v>17.399999999999999</v>
      </c>
      <c r="S69" s="7">
        <v>153</v>
      </c>
      <c r="T69" s="16">
        <f t="shared" si="3"/>
        <v>18</v>
      </c>
      <c r="U69" s="7">
        <v>170</v>
      </c>
      <c r="V69" s="16">
        <f t="shared" si="5"/>
        <v>3060</v>
      </c>
      <c r="W69" s="7">
        <v>14</v>
      </c>
      <c r="X69" s="54" t="s">
        <v>46</v>
      </c>
      <c r="Y69" s="54" t="s">
        <v>55</v>
      </c>
      <c r="Z69" s="54" t="s">
        <v>47</v>
      </c>
      <c r="AA69" s="54" t="s">
        <v>90</v>
      </c>
      <c r="AB69" s="39" t="s">
        <v>158</v>
      </c>
    </row>
    <row r="70" spans="1:28" x14ac:dyDescent="0.15">
      <c r="A70" s="15" t="s">
        <v>156</v>
      </c>
      <c r="B70" s="15" t="s">
        <v>157</v>
      </c>
      <c r="C70" s="15">
        <v>2019</v>
      </c>
      <c r="D70" s="37" t="s">
        <v>167</v>
      </c>
      <c r="E70" s="7" t="s">
        <v>140</v>
      </c>
      <c r="F70" s="7" t="s">
        <v>148</v>
      </c>
      <c r="G70" s="7" t="s">
        <v>36</v>
      </c>
      <c r="H70" s="15" t="s">
        <v>160</v>
      </c>
      <c r="I70" s="7" t="s">
        <v>159</v>
      </c>
      <c r="J70" s="15" t="s">
        <v>38</v>
      </c>
      <c r="K70" s="7" t="s">
        <v>161</v>
      </c>
      <c r="L70" s="7">
        <v>3</v>
      </c>
      <c r="N70" s="7">
        <v>1</v>
      </c>
      <c r="O70" s="7">
        <v>0.65</v>
      </c>
      <c r="P70" s="7">
        <v>0.65</v>
      </c>
      <c r="Q70" s="52">
        <f t="shared" si="4"/>
        <v>0.65</v>
      </c>
      <c r="R70" s="7">
        <v>18</v>
      </c>
      <c r="S70" s="7">
        <v>160</v>
      </c>
      <c r="T70" s="16">
        <f t="shared" si="3"/>
        <v>18</v>
      </c>
      <c r="U70" s="7">
        <v>170</v>
      </c>
      <c r="V70" s="16">
        <f t="shared" si="5"/>
        <v>3060</v>
      </c>
      <c r="W70" s="7">
        <v>14</v>
      </c>
      <c r="X70" s="54" t="s">
        <v>46</v>
      </c>
      <c r="Y70" s="54" t="s">
        <v>55</v>
      </c>
      <c r="Z70" s="54" t="s">
        <v>47</v>
      </c>
      <c r="AA70" s="54" t="s">
        <v>90</v>
      </c>
      <c r="AB70" s="39" t="s">
        <v>158</v>
      </c>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06D39-C9FD-41E7-8245-091CA64AE4D5}">
  <dimension ref="A1:BA399"/>
  <sheetViews>
    <sheetView zoomScale="68" zoomScaleNormal="68" workbookViewId="0">
      <selection activeCell="AB2" sqref="AB2"/>
    </sheetView>
  </sheetViews>
  <sheetFormatPr defaultColWidth="9" defaultRowHeight="13.5" x14ac:dyDescent="0.15"/>
  <cols>
    <col min="1" max="3" width="9" style="36"/>
    <col min="4" max="4" width="11" style="36" customWidth="1"/>
    <col min="5" max="5" width="10.875" style="36" customWidth="1"/>
    <col min="6" max="16" width="9" style="36"/>
    <col min="17" max="17" width="9" style="62"/>
    <col min="18" max="18" width="9" style="36"/>
    <col min="19" max="19" width="11.625" style="36" customWidth="1"/>
    <col min="20" max="20" width="9" style="62"/>
    <col min="21" max="21" width="9" style="36"/>
    <col min="22" max="22" width="9" style="92"/>
    <col min="23" max="32" width="9" style="36"/>
    <col min="33" max="33" width="14.375" style="36" customWidth="1"/>
    <col min="34" max="34" width="11.375" style="36" customWidth="1"/>
    <col min="35" max="16384" width="9" style="36"/>
  </cols>
  <sheetData>
    <row r="1" spans="1:53" ht="45" x14ac:dyDescent="0.15">
      <c r="A1" s="44" t="s">
        <v>0</v>
      </c>
      <c r="B1" s="1" t="s">
        <v>169</v>
      </c>
      <c r="C1" s="1" t="s">
        <v>170</v>
      </c>
      <c r="D1" s="2" t="s">
        <v>3</v>
      </c>
      <c r="E1" s="45" t="s">
        <v>4</v>
      </c>
      <c r="F1" s="45" t="s">
        <v>5</v>
      </c>
      <c r="G1" s="45" t="s">
        <v>6</v>
      </c>
      <c r="H1" s="45" t="s">
        <v>7</v>
      </c>
      <c r="I1" s="45" t="s">
        <v>8</v>
      </c>
      <c r="J1" s="45" t="s">
        <v>9</v>
      </c>
      <c r="K1" s="45" t="s">
        <v>10</v>
      </c>
      <c r="L1" s="2" t="s">
        <v>171</v>
      </c>
      <c r="M1" s="2" t="s">
        <v>172</v>
      </c>
      <c r="N1" s="2" t="s">
        <v>13</v>
      </c>
      <c r="O1" s="2" t="s">
        <v>173</v>
      </c>
      <c r="P1" s="2" t="s">
        <v>174</v>
      </c>
      <c r="Q1" s="55" t="s">
        <v>175</v>
      </c>
      <c r="R1" s="2" t="s">
        <v>176</v>
      </c>
      <c r="S1" s="2" t="s">
        <v>177</v>
      </c>
      <c r="T1" s="55" t="s">
        <v>19</v>
      </c>
      <c r="U1" s="4" t="s">
        <v>108</v>
      </c>
      <c r="V1" s="56" t="s">
        <v>20</v>
      </c>
      <c r="W1" s="2" t="s">
        <v>178</v>
      </c>
      <c r="X1" s="45" t="s">
        <v>22</v>
      </c>
      <c r="Y1" s="45" t="s">
        <v>23</v>
      </c>
      <c r="Z1" s="45" t="s">
        <v>24</v>
      </c>
      <c r="AA1" s="45" t="s">
        <v>25</v>
      </c>
      <c r="AB1" s="46" t="s">
        <v>179</v>
      </c>
      <c r="AE1" s="8" t="s">
        <v>0</v>
      </c>
      <c r="AF1" s="9"/>
      <c r="AG1" s="8" t="s">
        <v>4</v>
      </c>
      <c r="AH1" s="8" t="s">
        <v>5</v>
      </c>
      <c r="AI1" s="9"/>
      <c r="AJ1" s="8" t="s">
        <v>6</v>
      </c>
      <c r="AK1" s="9"/>
      <c r="AL1" s="10" t="s">
        <v>7</v>
      </c>
      <c r="AM1" s="9"/>
      <c r="AN1" s="10" t="s">
        <v>8</v>
      </c>
      <c r="AO1" s="9"/>
      <c r="AP1" s="10" t="s">
        <v>27</v>
      </c>
      <c r="AQ1" s="9"/>
      <c r="AR1" s="10" t="s">
        <v>10</v>
      </c>
      <c r="AS1" s="9"/>
      <c r="AT1" s="11" t="s">
        <v>180</v>
      </c>
      <c r="AU1" s="9"/>
      <c r="AV1" s="10" t="s">
        <v>29</v>
      </c>
      <c r="AX1" s="12" t="s">
        <v>181</v>
      </c>
      <c r="AY1" s="13" t="s">
        <v>182</v>
      </c>
      <c r="AZ1" s="13" t="s">
        <v>183</v>
      </c>
      <c r="BA1" s="14" t="s">
        <v>184</v>
      </c>
    </row>
    <row r="2" spans="1:53" s="57" customFormat="1" x14ac:dyDescent="0.15">
      <c r="A2" s="57" t="s">
        <v>41</v>
      </c>
      <c r="B2" s="58" t="s">
        <v>157</v>
      </c>
      <c r="C2" s="59">
        <v>2019</v>
      </c>
      <c r="D2" s="60" t="s">
        <v>185</v>
      </c>
      <c r="E2" s="36" t="s">
        <v>133</v>
      </c>
      <c r="F2" s="36" t="s">
        <v>186</v>
      </c>
      <c r="G2" s="57" t="s">
        <v>42</v>
      </c>
      <c r="H2" s="57" t="s">
        <v>164</v>
      </c>
      <c r="I2" s="57" t="s">
        <v>159</v>
      </c>
      <c r="J2" s="57" t="s">
        <v>38</v>
      </c>
      <c r="K2" s="57" t="s">
        <v>161</v>
      </c>
      <c r="L2" s="36">
        <v>1</v>
      </c>
      <c r="M2" s="36"/>
      <c r="N2" s="57">
        <v>8</v>
      </c>
      <c r="O2" s="57">
        <v>0.25</v>
      </c>
      <c r="P2" s="57">
        <v>0.35</v>
      </c>
      <c r="Q2" s="61">
        <f t="shared" ref="Q2:Q65" si="0">IF(OR(O2="",P2=""),"",AVERAGE(O2,P2))</f>
        <v>0.3</v>
      </c>
      <c r="R2" s="57">
        <v>13</v>
      </c>
      <c r="S2" s="57">
        <v>115</v>
      </c>
      <c r="T2" s="62">
        <f t="shared" ref="T2:T65" si="1">IF(H2="","",IF(OR(H2="GREEN",H2="GK"),IF(S2&gt;=$AX$2,VLOOKUP(S2,$AX$2:$AY$10,2,1),""),IF(S2&gt;=$AZ$2,VLOOKUP(S2,$AZ$2:$BA$10,2,1),"")))</f>
        <v>30</v>
      </c>
      <c r="U2" s="36">
        <v>753</v>
      </c>
      <c r="V2" s="62">
        <f t="shared" ref="V2:V65" si="2">IF(OR(N2="",U2="",T2=""),"",U2/N2*T2)</f>
        <v>2823.75</v>
      </c>
      <c r="W2" s="36">
        <v>3</v>
      </c>
      <c r="X2" s="57" t="s">
        <v>46</v>
      </c>
      <c r="Y2" s="57" t="s">
        <v>55</v>
      </c>
      <c r="Z2" s="57" t="s">
        <v>69</v>
      </c>
      <c r="AA2" s="57" t="s">
        <v>47</v>
      </c>
      <c r="AB2" s="57" t="s">
        <v>258</v>
      </c>
      <c r="AE2" s="17" t="s">
        <v>35</v>
      </c>
      <c r="AG2" s="63" t="s">
        <v>133</v>
      </c>
      <c r="AH2" s="64" t="s">
        <v>186</v>
      </c>
      <c r="AJ2" s="65" t="s">
        <v>36</v>
      </c>
      <c r="AL2" s="65" t="s">
        <v>187</v>
      </c>
      <c r="AN2" s="65" t="s">
        <v>37</v>
      </c>
      <c r="AP2" s="65" t="s">
        <v>38</v>
      </c>
      <c r="AR2" s="65" t="s">
        <v>161</v>
      </c>
      <c r="AT2" s="65" t="s">
        <v>39</v>
      </c>
      <c r="AV2" s="65" t="s">
        <v>40</v>
      </c>
      <c r="AX2" s="66">
        <v>1</v>
      </c>
      <c r="AY2" s="67">
        <v>50</v>
      </c>
      <c r="AZ2" s="67">
        <v>1</v>
      </c>
      <c r="BA2" s="68">
        <v>50</v>
      </c>
    </row>
    <row r="3" spans="1:53" x14ac:dyDescent="0.15">
      <c r="A3" s="57" t="s">
        <v>41</v>
      </c>
      <c r="B3" s="58" t="s">
        <v>157</v>
      </c>
      <c r="C3" s="59">
        <v>2019</v>
      </c>
      <c r="D3" s="60" t="s">
        <v>185</v>
      </c>
      <c r="E3" s="36" t="s">
        <v>133</v>
      </c>
      <c r="F3" s="36" t="s">
        <v>186</v>
      </c>
      <c r="G3" s="57" t="s">
        <v>42</v>
      </c>
      <c r="H3" s="57" t="s">
        <v>164</v>
      </c>
      <c r="I3" s="57" t="s">
        <v>159</v>
      </c>
      <c r="J3" s="57" t="s">
        <v>38</v>
      </c>
      <c r="K3" s="57" t="s">
        <v>161</v>
      </c>
      <c r="L3" s="36">
        <v>2</v>
      </c>
      <c r="N3" s="57">
        <v>8</v>
      </c>
      <c r="O3" s="57">
        <v>0.4</v>
      </c>
      <c r="P3" s="57">
        <v>0.45</v>
      </c>
      <c r="Q3" s="69">
        <f t="shared" si="0"/>
        <v>0.42500000000000004</v>
      </c>
      <c r="R3" s="57">
        <v>15.2</v>
      </c>
      <c r="S3" s="57">
        <v>120</v>
      </c>
      <c r="T3" s="62">
        <f t="shared" si="1"/>
        <v>30</v>
      </c>
      <c r="U3" s="36">
        <v>753</v>
      </c>
      <c r="V3" s="62">
        <f t="shared" si="2"/>
        <v>2823.75</v>
      </c>
      <c r="W3" s="36">
        <v>3</v>
      </c>
      <c r="X3" s="57" t="s">
        <v>46</v>
      </c>
      <c r="Y3" s="57" t="s">
        <v>55</v>
      </c>
      <c r="Z3" s="57" t="s">
        <v>69</v>
      </c>
      <c r="AA3" s="57" t="s">
        <v>47</v>
      </c>
      <c r="AB3" s="57" t="s">
        <v>158</v>
      </c>
      <c r="AE3" s="22" t="s">
        <v>41</v>
      </c>
      <c r="AG3" s="70" t="s">
        <v>188</v>
      </c>
      <c r="AH3" s="70" t="s">
        <v>186</v>
      </c>
      <c r="AJ3" s="71" t="s">
        <v>42</v>
      </c>
      <c r="AL3" s="71" t="s">
        <v>189</v>
      </c>
      <c r="AN3" s="71" t="s">
        <v>43</v>
      </c>
      <c r="AP3" s="71" t="s">
        <v>44</v>
      </c>
      <c r="AR3" s="30" t="s">
        <v>45</v>
      </c>
      <c r="AT3" s="71" t="s">
        <v>46</v>
      </c>
      <c r="AV3" s="71" t="s">
        <v>47</v>
      </c>
      <c r="AX3" s="72">
        <v>72</v>
      </c>
      <c r="AY3" s="73">
        <v>46</v>
      </c>
      <c r="AZ3" s="73">
        <v>71</v>
      </c>
      <c r="BA3" s="74">
        <v>42</v>
      </c>
    </row>
    <row r="4" spans="1:53" x14ac:dyDescent="0.15">
      <c r="A4" s="57" t="s">
        <v>41</v>
      </c>
      <c r="B4" s="58" t="s">
        <v>157</v>
      </c>
      <c r="C4" s="59">
        <v>2019</v>
      </c>
      <c r="D4" s="60" t="s">
        <v>185</v>
      </c>
      <c r="E4" s="36" t="s">
        <v>133</v>
      </c>
      <c r="F4" s="36" t="s">
        <v>186</v>
      </c>
      <c r="G4" s="57" t="s">
        <v>42</v>
      </c>
      <c r="H4" s="57" t="s">
        <v>164</v>
      </c>
      <c r="I4" s="57" t="s">
        <v>159</v>
      </c>
      <c r="J4" s="57" t="s">
        <v>38</v>
      </c>
      <c r="K4" s="57" t="s">
        <v>161</v>
      </c>
      <c r="L4" s="36">
        <v>3</v>
      </c>
      <c r="N4" s="57">
        <v>8</v>
      </c>
      <c r="O4" s="57">
        <v>0.65</v>
      </c>
      <c r="P4" s="57">
        <v>0.5</v>
      </c>
      <c r="Q4" s="75">
        <f t="shared" si="0"/>
        <v>0.57499999999999996</v>
      </c>
      <c r="R4" s="57">
        <v>12.4</v>
      </c>
      <c r="S4" s="57">
        <v>117</v>
      </c>
      <c r="T4" s="62">
        <f t="shared" si="1"/>
        <v>30</v>
      </c>
      <c r="U4" s="36">
        <v>753</v>
      </c>
      <c r="V4" s="62">
        <f t="shared" si="2"/>
        <v>2823.75</v>
      </c>
      <c r="W4" s="36">
        <v>3</v>
      </c>
      <c r="X4" s="57" t="s">
        <v>46</v>
      </c>
      <c r="Y4" s="57" t="s">
        <v>55</v>
      </c>
      <c r="Z4" s="57" t="s">
        <v>69</v>
      </c>
      <c r="AA4" s="57" t="s">
        <v>47</v>
      </c>
      <c r="AB4" s="57" t="s">
        <v>158</v>
      </c>
      <c r="AE4" s="22" t="s">
        <v>34</v>
      </c>
      <c r="AG4" s="70" t="s">
        <v>188</v>
      </c>
      <c r="AH4" s="70" t="s">
        <v>190</v>
      </c>
      <c r="AJ4" s="76" t="s">
        <v>48</v>
      </c>
      <c r="AL4" s="76" t="s">
        <v>191</v>
      </c>
      <c r="AN4" s="77" t="s">
        <v>192</v>
      </c>
      <c r="AP4" s="71" t="s">
        <v>193</v>
      </c>
      <c r="AR4" s="30" t="s">
        <v>194</v>
      </c>
      <c r="AT4" s="77"/>
      <c r="AV4" s="71" t="s">
        <v>50</v>
      </c>
      <c r="AX4" s="72">
        <v>75</v>
      </c>
      <c r="AY4" s="73">
        <v>42</v>
      </c>
      <c r="AZ4" s="73">
        <v>76</v>
      </c>
      <c r="BA4" s="74">
        <v>39</v>
      </c>
    </row>
    <row r="5" spans="1:53" s="57" customFormat="1" ht="13.5" customHeight="1" x14ac:dyDescent="0.15">
      <c r="A5" s="57" t="s">
        <v>41</v>
      </c>
      <c r="B5" s="58" t="s">
        <v>157</v>
      </c>
      <c r="C5" s="59">
        <v>2019</v>
      </c>
      <c r="D5" s="60" t="s">
        <v>185</v>
      </c>
      <c r="E5" s="36" t="s">
        <v>133</v>
      </c>
      <c r="F5" s="36" t="s">
        <v>186</v>
      </c>
      <c r="G5" s="57" t="s">
        <v>42</v>
      </c>
      <c r="H5" s="57" t="s">
        <v>164</v>
      </c>
      <c r="I5" s="57" t="s">
        <v>159</v>
      </c>
      <c r="J5" s="57" t="s">
        <v>38</v>
      </c>
      <c r="K5" s="57" t="s">
        <v>161</v>
      </c>
      <c r="L5" s="36">
        <v>1</v>
      </c>
      <c r="M5" s="36"/>
      <c r="N5" s="36">
        <v>1</v>
      </c>
      <c r="O5" s="57">
        <v>0.25</v>
      </c>
      <c r="P5" s="57">
        <v>0.3</v>
      </c>
      <c r="Q5" s="75">
        <f t="shared" si="0"/>
        <v>0.27500000000000002</v>
      </c>
      <c r="R5" s="57">
        <v>14.7</v>
      </c>
      <c r="S5" s="36">
        <v>131</v>
      </c>
      <c r="T5" s="62">
        <f t="shared" si="1"/>
        <v>25</v>
      </c>
      <c r="U5" s="36">
        <v>105</v>
      </c>
      <c r="V5" s="62">
        <f t="shared" si="2"/>
        <v>2625</v>
      </c>
      <c r="W5" s="36">
        <v>2</v>
      </c>
      <c r="X5" s="57" t="s">
        <v>46</v>
      </c>
      <c r="Y5" s="57" t="s">
        <v>55</v>
      </c>
      <c r="Z5" s="57" t="s">
        <v>69</v>
      </c>
      <c r="AA5" s="57" t="s">
        <v>47</v>
      </c>
      <c r="AB5" s="57" t="s">
        <v>158</v>
      </c>
      <c r="AC5" s="36"/>
      <c r="AD5" s="36"/>
      <c r="AE5" s="78" t="s">
        <v>51</v>
      </c>
      <c r="AG5" s="70" t="s">
        <v>195</v>
      </c>
      <c r="AH5" s="70" t="s">
        <v>186</v>
      </c>
      <c r="AJ5" s="79"/>
      <c r="AL5" s="80" t="s">
        <v>165</v>
      </c>
      <c r="AN5" s="80" t="s">
        <v>159</v>
      </c>
      <c r="AP5" s="30" t="s">
        <v>196</v>
      </c>
      <c r="AR5" s="30" t="s">
        <v>54</v>
      </c>
      <c r="AV5" s="30" t="s">
        <v>55</v>
      </c>
      <c r="AX5" s="81">
        <v>84</v>
      </c>
      <c r="AY5" s="82">
        <v>39</v>
      </c>
      <c r="AZ5" s="82">
        <v>84</v>
      </c>
      <c r="BA5" s="83">
        <v>36</v>
      </c>
    </row>
    <row r="6" spans="1:53" x14ac:dyDescent="0.15">
      <c r="A6" s="57" t="s">
        <v>41</v>
      </c>
      <c r="B6" s="58" t="s">
        <v>157</v>
      </c>
      <c r="C6" s="59">
        <v>2019</v>
      </c>
      <c r="D6" s="60" t="s">
        <v>185</v>
      </c>
      <c r="E6" s="36" t="s">
        <v>133</v>
      </c>
      <c r="F6" s="36" t="s">
        <v>186</v>
      </c>
      <c r="G6" s="57" t="s">
        <v>42</v>
      </c>
      <c r="H6" s="57" t="s">
        <v>164</v>
      </c>
      <c r="I6" s="57" t="s">
        <v>159</v>
      </c>
      <c r="J6" s="57" t="s">
        <v>38</v>
      </c>
      <c r="K6" s="57" t="s">
        <v>161</v>
      </c>
      <c r="L6" s="36">
        <v>2</v>
      </c>
      <c r="N6" s="36">
        <v>1</v>
      </c>
      <c r="O6" s="57">
        <v>0.25</v>
      </c>
      <c r="P6" s="57">
        <v>0.3</v>
      </c>
      <c r="Q6" s="75">
        <f t="shared" si="0"/>
        <v>0.27500000000000002</v>
      </c>
      <c r="R6" s="57">
        <v>15.8</v>
      </c>
      <c r="S6" s="36">
        <v>128</v>
      </c>
      <c r="T6" s="62">
        <f t="shared" si="1"/>
        <v>27</v>
      </c>
      <c r="U6" s="36">
        <v>105</v>
      </c>
      <c r="V6" s="62">
        <f t="shared" si="2"/>
        <v>2835</v>
      </c>
      <c r="W6" s="36">
        <v>2</v>
      </c>
      <c r="X6" s="57" t="s">
        <v>46</v>
      </c>
      <c r="Y6" s="57" t="s">
        <v>55</v>
      </c>
      <c r="Z6" s="57" t="s">
        <v>69</v>
      </c>
      <c r="AA6" s="57" t="s">
        <v>47</v>
      </c>
      <c r="AB6" s="57" t="s">
        <v>158</v>
      </c>
      <c r="AE6" s="22" t="s">
        <v>56</v>
      </c>
      <c r="AG6" s="70" t="s">
        <v>195</v>
      </c>
      <c r="AH6" s="70" t="s">
        <v>197</v>
      </c>
      <c r="AL6" s="80" t="s">
        <v>198</v>
      </c>
      <c r="AN6" s="80" t="s">
        <v>166</v>
      </c>
      <c r="AP6" s="71" t="s">
        <v>53</v>
      </c>
      <c r="AR6" s="30" t="s">
        <v>59</v>
      </c>
      <c r="AV6" s="71" t="s">
        <v>60</v>
      </c>
      <c r="AX6" s="72">
        <v>97</v>
      </c>
      <c r="AY6" s="73">
        <v>36</v>
      </c>
      <c r="AZ6" s="73">
        <v>99</v>
      </c>
      <c r="BA6" s="74">
        <v>33</v>
      </c>
    </row>
    <row r="7" spans="1:53" x14ac:dyDescent="0.15">
      <c r="A7" s="57" t="s">
        <v>41</v>
      </c>
      <c r="B7" s="58" t="s">
        <v>157</v>
      </c>
      <c r="C7" s="59">
        <v>2019</v>
      </c>
      <c r="D7" s="60" t="s">
        <v>185</v>
      </c>
      <c r="E7" s="36" t="s">
        <v>133</v>
      </c>
      <c r="F7" s="36" t="s">
        <v>186</v>
      </c>
      <c r="G7" s="57" t="s">
        <v>42</v>
      </c>
      <c r="H7" s="57" t="s">
        <v>164</v>
      </c>
      <c r="I7" s="57" t="s">
        <v>159</v>
      </c>
      <c r="J7" s="57" t="s">
        <v>38</v>
      </c>
      <c r="K7" s="57" t="s">
        <v>161</v>
      </c>
      <c r="L7" s="36">
        <v>3</v>
      </c>
      <c r="N7" s="36">
        <v>1</v>
      </c>
      <c r="O7" s="57">
        <v>0.25</v>
      </c>
      <c r="P7" s="57">
        <v>0.25</v>
      </c>
      <c r="Q7" s="75">
        <f t="shared" si="0"/>
        <v>0.25</v>
      </c>
      <c r="R7" s="57">
        <v>13.1</v>
      </c>
      <c r="S7" s="36">
        <v>130</v>
      </c>
      <c r="T7" s="62">
        <f t="shared" si="1"/>
        <v>25</v>
      </c>
      <c r="U7" s="36">
        <v>105</v>
      </c>
      <c r="V7" s="62">
        <f t="shared" si="2"/>
        <v>2625</v>
      </c>
      <c r="W7" s="36">
        <v>2</v>
      </c>
      <c r="X7" s="57" t="s">
        <v>46</v>
      </c>
      <c r="Y7" s="57" t="s">
        <v>55</v>
      </c>
      <c r="Z7" s="57" t="s">
        <v>69</v>
      </c>
      <c r="AA7" s="57" t="s">
        <v>47</v>
      </c>
      <c r="AB7" s="57" t="s">
        <v>158</v>
      </c>
      <c r="AE7" s="22" t="s">
        <v>61</v>
      </c>
      <c r="AG7" s="70" t="s">
        <v>199</v>
      </c>
      <c r="AH7" s="70" t="s">
        <v>197</v>
      </c>
      <c r="AL7" s="84" t="s">
        <v>164</v>
      </c>
      <c r="AP7" s="71" t="s">
        <v>58</v>
      </c>
      <c r="AR7" s="30" t="s">
        <v>200</v>
      </c>
      <c r="AV7" s="71" t="s">
        <v>64</v>
      </c>
      <c r="AX7" s="72">
        <v>109</v>
      </c>
      <c r="AY7" s="73">
        <v>33</v>
      </c>
      <c r="AZ7" s="73">
        <v>113</v>
      </c>
      <c r="BA7" s="74">
        <v>30</v>
      </c>
    </row>
    <row r="8" spans="1:53" x14ac:dyDescent="0.15">
      <c r="A8" s="57" t="s">
        <v>41</v>
      </c>
      <c r="B8" s="58" t="s">
        <v>157</v>
      </c>
      <c r="C8" s="59">
        <v>2019</v>
      </c>
      <c r="D8" s="60" t="s">
        <v>185</v>
      </c>
      <c r="E8" s="36" t="s">
        <v>133</v>
      </c>
      <c r="F8" s="36" t="s">
        <v>186</v>
      </c>
      <c r="G8" s="57" t="s">
        <v>42</v>
      </c>
      <c r="H8" s="57" t="s">
        <v>160</v>
      </c>
      <c r="I8" s="57" t="s">
        <v>159</v>
      </c>
      <c r="J8" s="57" t="s">
        <v>38</v>
      </c>
      <c r="K8" s="57" t="s">
        <v>161</v>
      </c>
      <c r="L8" s="57">
        <v>1</v>
      </c>
      <c r="M8" s="57"/>
      <c r="N8" s="57">
        <v>1</v>
      </c>
      <c r="O8" s="57">
        <v>0.65</v>
      </c>
      <c r="P8" s="57">
        <v>0.7</v>
      </c>
      <c r="Q8" s="75">
        <f t="shared" si="0"/>
        <v>0.67500000000000004</v>
      </c>
      <c r="R8" s="36">
        <v>18.5</v>
      </c>
      <c r="S8" s="36">
        <v>125</v>
      </c>
      <c r="T8" s="62">
        <f t="shared" si="1"/>
        <v>27</v>
      </c>
      <c r="U8" s="57">
        <v>149</v>
      </c>
      <c r="V8" s="62">
        <f t="shared" si="2"/>
        <v>4023</v>
      </c>
      <c r="W8" s="57">
        <v>6</v>
      </c>
      <c r="X8" s="57" t="s">
        <v>46</v>
      </c>
      <c r="Y8" s="57" t="s">
        <v>55</v>
      </c>
      <c r="Z8" s="57" t="s">
        <v>69</v>
      </c>
      <c r="AA8" s="57" t="s">
        <v>47</v>
      </c>
      <c r="AB8" s="57" t="s">
        <v>158</v>
      </c>
      <c r="AC8" s="57"/>
      <c r="AD8" s="57"/>
      <c r="AE8" s="22" t="s">
        <v>59</v>
      </c>
      <c r="AG8" s="70" t="s">
        <v>201</v>
      </c>
      <c r="AH8" s="70" t="s">
        <v>202</v>
      </c>
      <c r="AL8" s="84" t="s">
        <v>160</v>
      </c>
      <c r="AP8" s="71" t="s">
        <v>62</v>
      </c>
      <c r="AR8" s="30" t="s">
        <v>81</v>
      </c>
      <c r="AV8" s="71" t="s">
        <v>97</v>
      </c>
      <c r="AX8" s="72">
        <v>119</v>
      </c>
      <c r="AY8" s="73">
        <v>30</v>
      </c>
      <c r="AZ8" s="73">
        <v>121</v>
      </c>
      <c r="BA8" s="74">
        <v>27</v>
      </c>
    </row>
    <row r="9" spans="1:53" x14ac:dyDescent="0.15">
      <c r="A9" s="57" t="s">
        <v>41</v>
      </c>
      <c r="B9" s="58" t="s">
        <v>157</v>
      </c>
      <c r="C9" s="59">
        <v>2019</v>
      </c>
      <c r="D9" s="60" t="s">
        <v>185</v>
      </c>
      <c r="E9" s="36" t="s">
        <v>133</v>
      </c>
      <c r="F9" s="36" t="s">
        <v>186</v>
      </c>
      <c r="G9" s="57" t="s">
        <v>42</v>
      </c>
      <c r="H9" s="57" t="s">
        <v>160</v>
      </c>
      <c r="I9" s="57" t="s">
        <v>159</v>
      </c>
      <c r="J9" s="57" t="s">
        <v>38</v>
      </c>
      <c r="K9" s="57" t="s">
        <v>161</v>
      </c>
      <c r="L9" s="36">
        <v>2</v>
      </c>
      <c r="N9" s="57">
        <v>1</v>
      </c>
      <c r="O9" s="57">
        <v>0.6</v>
      </c>
      <c r="P9" s="57">
        <v>0.65</v>
      </c>
      <c r="Q9" s="75">
        <f t="shared" si="0"/>
        <v>0.625</v>
      </c>
      <c r="R9" s="36">
        <v>16.7</v>
      </c>
      <c r="S9" s="36">
        <v>122</v>
      </c>
      <c r="T9" s="62">
        <f t="shared" si="1"/>
        <v>27</v>
      </c>
      <c r="U9" s="57">
        <v>149</v>
      </c>
      <c r="V9" s="62">
        <f t="shared" si="2"/>
        <v>4023</v>
      </c>
      <c r="W9" s="36">
        <v>6</v>
      </c>
      <c r="X9" s="57" t="s">
        <v>46</v>
      </c>
      <c r="Y9" s="57" t="s">
        <v>55</v>
      </c>
      <c r="Z9" s="57" t="s">
        <v>69</v>
      </c>
      <c r="AA9" s="57" t="s">
        <v>47</v>
      </c>
      <c r="AB9" s="57" t="s">
        <v>158</v>
      </c>
      <c r="AE9" s="22" t="s">
        <v>203</v>
      </c>
      <c r="AG9" s="70" t="s">
        <v>204</v>
      </c>
      <c r="AH9" s="70" t="s">
        <v>205</v>
      </c>
      <c r="AL9" s="80"/>
      <c r="AP9" s="71" t="s">
        <v>95</v>
      </c>
      <c r="AR9" s="30" t="s">
        <v>206</v>
      </c>
      <c r="AV9" s="71" t="s">
        <v>102</v>
      </c>
      <c r="AX9" s="72">
        <v>128</v>
      </c>
      <c r="AY9" s="73">
        <v>27</v>
      </c>
      <c r="AZ9" s="73">
        <v>129</v>
      </c>
      <c r="BA9" s="74">
        <v>25</v>
      </c>
    </row>
    <row r="10" spans="1:53" x14ac:dyDescent="0.15">
      <c r="A10" s="57" t="s">
        <v>41</v>
      </c>
      <c r="B10" s="58" t="s">
        <v>157</v>
      </c>
      <c r="C10" s="59">
        <v>2019</v>
      </c>
      <c r="D10" s="60" t="s">
        <v>185</v>
      </c>
      <c r="E10" s="36" t="s">
        <v>133</v>
      </c>
      <c r="F10" s="36" t="s">
        <v>186</v>
      </c>
      <c r="G10" s="57" t="s">
        <v>42</v>
      </c>
      <c r="H10" s="57" t="s">
        <v>160</v>
      </c>
      <c r="I10" s="57" t="s">
        <v>159</v>
      </c>
      <c r="J10" s="57" t="s">
        <v>38</v>
      </c>
      <c r="K10" s="57" t="s">
        <v>161</v>
      </c>
      <c r="L10" s="36">
        <v>3</v>
      </c>
      <c r="N10" s="57">
        <v>1</v>
      </c>
      <c r="O10" s="57">
        <v>0.8</v>
      </c>
      <c r="P10" s="57">
        <v>0.95</v>
      </c>
      <c r="Q10" s="75">
        <f t="shared" si="0"/>
        <v>0.875</v>
      </c>
      <c r="R10" s="36">
        <v>14.4</v>
      </c>
      <c r="S10" s="36">
        <v>124</v>
      </c>
      <c r="T10" s="62">
        <f t="shared" si="1"/>
        <v>27</v>
      </c>
      <c r="U10" s="57">
        <v>149</v>
      </c>
      <c r="V10" s="62">
        <f t="shared" si="2"/>
        <v>4023</v>
      </c>
      <c r="W10" s="36">
        <v>6</v>
      </c>
      <c r="X10" s="57" t="s">
        <v>46</v>
      </c>
      <c r="Y10" s="57" t="s">
        <v>55</v>
      </c>
      <c r="Z10" s="57" t="s">
        <v>69</v>
      </c>
      <c r="AA10" s="57" t="s">
        <v>47</v>
      </c>
      <c r="AB10" s="57" t="s">
        <v>158</v>
      </c>
      <c r="AE10" s="22" t="s">
        <v>207</v>
      </c>
      <c r="AG10" s="70" t="s">
        <v>201</v>
      </c>
      <c r="AH10" s="70" t="s">
        <v>208</v>
      </c>
      <c r="AL10" s="84"/>
      <c r="AP10" s="71" t="s">
        <v>100</v>
      </c>
      <c r="AR10" s="30" t="s">
        <v>209</v>
      </c>
      <c r="AV10" s="71" t="s">
        <v>106</v>
      </c>
      <c r="AX10" s="72">
        <v>138</v>
      </c>
      <c r="AY10" s="73">
        <v>25</v>
      </c>
      <c r="AZ10" s="73">
        <v>138</v>
      </c>
      <c r="BA10" s="74">
        <v>22</v>
      </c>
    </row>
    <row r="11" spans="1:53" x14ac:dyDescent="0.15">
      <c r="A11" s="57" t="s">
        <v>41</v>
      </c>
      <c r="B11" s="58" t="s">
        <v>157</v>
      </c>
      <c r="C11" s="59">
        <v>2019</v>
      </c>
      <c r="D11" s="60" t="s">
        <v>185</v>
      </c>
      <c r="E11" s="36" t="s">
        <v>133</v>
      </c>
      <c r="F11" s="36" t="s">
        <v>186</v>
      </c>
      <c r="G11" s="57" t="s">
        <v>42</v>
      </c>
      <c r="H11" s="57" t="s">
        <v>160</v>
      </c>
      <c r="I11" s="57" t="s">
        <v>159</v>
      </c>
      <c r="J11" s="57" t="s">
        <v>38</v>
      </c>
      <c r="K11" s="57" t="s">
        <v>161</v>
      </c>
      <c r="L11" s="57">
        <v>1</v>
      </c>
      <c r="M11" s="57"/>
      <c r="N11" s="57">
        <v>8</v>
      </c>
      <c r="O11" s="57">
        <v>0.85</v>
      </c>
      <c r="P11" s="57">
        <v>0.75</v>
      </c>
      <c r="Q11" s="75">
        <f t="shared" si="0"/>
        <v>0.8</v>
      </c>
      <c r="R11" s="36">
        <v>12.8</v>
      </c>
      <c r="S11" s="36">
        <v>123</v>
      </c>
      <c r="T11" s="62">
        <f t="shared" si="1"/>
        <v>27</v>
      </c>
      <c r="U11" s="57">
        <v>753</v>
      </c>
      <c r="V11" s="62">
        <f t="shared" si="2"/>
        <v>2541.375</v>
      </c>
      <c r="W11" s="57">
        <v>2</v>
      </c>
      <c r="X11" s="57" t="s">
        <v>46</v>
      </c>
      <c r="Y11" s="57" t="s">
        <v>55</v>
      </c>
      <c r="Z11" s="57" t="s">
        <v>69</v>
      </c>
      <c r="AA11" s="57" t="s">
        <v>47</v>
      </c>
      <c r="AB11" s="57" t="s">
        <v>158</v>
      </c>
      <c r="AE11" s="22" t="s">
        <v>68</v>
      </c>
      <c r="AG11" s="70" t="s">
        <v>210</v>
      </c>
      <c r="AH11" s="70" t="s">
        <v>211</v>
      </c>
      <c r="AL11" s="84"/>
      <c r="AP11" s="71" t="s">
        <v>104</v>
      </c>
      <c r="AR11" s="30" t="s">
        <v>212</v>
      </c>
      <c r="AV11" s="71" t="s">
        <v>69</v>
      </c>
      <c r="AX11" s="72">
        <v>151</v>
      </c>
      <c r="AY11" s="73">
        <v>22</v>
      </c>
      <c r="AZ11" s="73">
        <v>152</v>
      </c>
      <c r="BA11" s="74">
        <v>18</v>
      </c>
    </row>
    <row r="12" spans="1:53" x14ac:dyDescent="0.15">
      <c r="A12" s="57" t="s">
        <v>41</v>
      </c>
      <c r="B12" s="58" t="s">
        <v>157</v>
      </c>
      <c r="C12" s="59">
        <v>2019</v>
      </c>
      <c r="D12" s="60" t="s">
        <v>185</v>
      </c>
      <c r="E12" s="36" t="s">
        <v>133</v>
      </c>
      <c r="F12" s="36" t="s">
        <v>186</v>
      </c>
      <c r="G12" s="57" t="s">
        <v>42</v>
      </c>
      <c r="H12" s="57" t="s">
        <v>160</v>
      </c>
      <c r="I12" s="57" t="s">
        <v>159</v>
      </c>
      <c r="J12" s="57" t="s">
        <v>38</v>
      </c>
      <c r="K12" s="57" t="s">
        <v>161</v>
      </c>
      <c r="L12" s="36">
        <v>2</v>
      </c>
      <c r="N12" s="57">
        <v>8</v>
      </c>
      <c r="O12" s="57">
        <v>1.2</v>
      </c>
      <c r="P12" s="57">
        <v>1</v>
      </c>
      <c r="Q12" s="75">
        <f t="shared" si="0"/>
        <v>1.1000000000000001</v>
      </c>
      <c r="R12" s="36">
        <v>15.8</v>
      </c>
      <c r="S12" s="36">
        <v>122</v>
      </c>
      <c r="T12" s="62">
        <f t="shared" si="1"/>
        <v>27</v>
      </c>
      <c r="U12" s="57">
        <v>753</v>
      </c>
      <c r="V12" s="62">
        <f t="shared" si="2"/>
        <v>2541.375</v>
      </c>
      <c r="W12" s="36">
        <v>2</v>
      </c>
      <c r="X12" s="57" t="s">
        <v>46</v>
      </c>
      <c r="Y12" s="57" t="s">
        <v>55</v>
      </c>
      <c r="Z12" s="57" t="s">
        <v>69</v>
      </c>
      <c r="AA12" s="57" t="s">
        <v>47</v>
      </c>
      <c r="AB12" s="57" t="s">
        <v>158</v>
      </c>
      <c r="AE12" s="22" t="s">
        <v>213</v>
      </c>
      <c r="AG12" s="78"/>
      <c r="AH12" s="78"/>
      <c r="AL12" s="84"/>
      <c r="AP12" s="71" t="s">
        <v>67</v>
      </c>
      <c r="AR12" s="30" t="s">
        <v>214</v>
      </c>
      <c r="AV12" s="71" t="s">
        <v>72</v>
      </c>
      <c r="AX12" s="85">
        <v>180</v>
      </c>
      <c r="AY12" s="86">
        <v>18</v>
      </c>
      <c r="AZ12" s="86">
        <v>181</v>
      </c>
      <c r="BA12" s="87">
        <v>16</v>
      </c>
    </row>
    <row r="13" spans="1:53" x14ac:dyDescent="0.15">
      <c r="A13" s="57" t="s">
        <v>41</v>
      </c>
      <c r="B13" s="58" t="s">
        <v>157</v>
      </c>
      <c r="C13" s="59">
        <v>2019</v>
      </c>
      <c r="D13" s="60" t="s">
        <v>185</v>
      </c>
      <c r="E13" s="36" t="s">
        <v>133</v>
      </c>
      <c r="F13" s="36" t="s">
        <v>186</v>
      </c>
      <c r="G13" s="57" t="s">
        <v>42</v>
      </c>
      <c r="H13" s="57" t="s">
        <v>160</v>
      </c>
      <c r="I13" s="57" t="s">
        <v>159</v>
      </c>
      <c r="J13" s="57" t="s">
        <v>38</v>
      </c>
      <c r="K13" s="57" t="s">
        <v>161</v>
      </c>
      <c r="L13" s="36">
        <v>3</v>
      </c>
      <c r="N13" s="57">
        <v>8</v>
      </c>
      <c r="O13" s="57">
        <v>1.1000000000000001</v>
      </c>
      <c r="P13" s="57">
        <v>1</v>
      </c>
      <c r="Q13" s="75">
        <f t="shared" si="0"/>
        <v>1.05</v>
      </c>
      <c r="R13" s="36">
        <v>15.1</v>
      </c>
      <c r="S13" s="36">
        <v>124</v>
      </c>
      <c r="T13" s="62">
        <f t="shared" si="1"/>
        <v>27</v>
      </c>
      <c r="U13" s="57">
        <v>753</v>
      </c>
      <c r="V13" s="62">
        <f t="shared" si="2"/>
        <v>2541.375</v>
      </c>
      <c r="W13" s="36">
        <v>2</v>
      </c>
      <c r="X13" s="57" t="s">
        <v>46</v>
      </c>
      <c r="Y13" s="57" t="s">
        <v>55</v>
      </c>
      <c r="Z13" s="57" t="s">
        <v>69</v>
      </c>
      <c r="AA13" s="57" t="s">
        <v>47</v>
      </c>
      <c r="AB13" s="57" t="s">
        <v>158</v>
      </c>
      <c r="AE13" s="22" t="s">
        <v>215</v>
      </c>
      <c r="AG13" s="30"/>
      <c r="AH13" s="30"/>
      <c r="AP13" s="71" t="s">
        <v>71</v>
      </c>
      <c r="AR13" s="30" t="s">
        <v>207</v>
      </c>
      <c r="AV13" s="71" t="s">
        <v>75</v>
      </c>
    </row>
    <row r="14" spans="1:53" x14ac:dyDescent="0.15">
      <c r="A14" s="57" t="s">
        <v>41</v>
      </c>
      <c r="B14" s="58" t="s">
        <v>157</v>
      </c>
      <c r="C14" s="59">
        <v>2019</v>
      </c>
      <c r="D14" s="60" t="s">
        <v>185</v>
      </c>
      <c r="E14" s="36" t="s">
        <v>133</v>
      </c>
      <c r="F14" s="36" t="s">
        <v>186</v>
      </c>
      <c r="G14" s="57" t="s">
        <v>42</v>
      </c>
      <c r="H14" s="57" t="s">
        <v>160</v>
      </c>
      <c r="I14" s="57" t="s">
        <v>159</v>
      </c>
      <c r="J14" s="57" t="s">
        <v>38</v>
      </c>
      <c r="K14" s="57" t="s">
        <v>161</v>
      </c>
      <c r="L14" s="57">
        <v>1</v>
      </c>
      <c r="M14" s="57"/>
      <c r="N14" s="57">
        <v>16</v>
      </c>
      <c r="O14" s="57">
        <v>0.35</v>
      </c>
      <c r="P14" s="57">
        <v>0.35</v>
      </c>
      <c r="Q14" s="75">
        <f t="shared" si="0"/>
        <v>0.35</v>
      </c>
      <c r="R14" s="36">
        <v>12.9</v>
      </c>
      <c r="S14" s="36">
        <v>114</v>
      </c>
      <c r="T14" s="62">
        <f t="shared" si="1"/>
        <v>30</v>
      </c>
      <c r="U14" s="57">
        <v>1382</v>
      </c>
      <c r="V14" s="62">
        <f t="shared" si="2"/>
        <v>2591.25</v>
      </c>
      <c r="W14" s="57">
        <v>4</v>
      </c>
      <c r="X14" s="57" t="s">
        <v>46</v>
      </c>
      <c r="Y14" s="57" t="s">
        <v>55</v>
      </c>
      <c r="Z14" s="57" t="s">
        <v>69</v>
      </c>
      <c r="AA14" s="57" t="s">
        <v>47</v>
      </c>
      <c r="AB14" s="57" t="s">
        <v>158</v>
      </c>
      <c r="AE14" s="22" t="s">
        <v>96</v>
      </c>
      <c r="AG14" s="30"/>
      <c r="AH14" s="30"/>
      <c r="AP14" s="71" t="s">
        <v>74</v>
      </c>
      <c r="AR14" s="30" t="s">
        <v>216</v>
      </c>
      <c r="AV14" s="71" t="s">
        <v>78</v>
      </c>
    </row>
    <row r="15" spans="1:53" x14ac:dyDescent="0.15">
      <c r="A15" s="57" t="s">
        <v>41</v>
      </c>
      <c r="B15" s="58" t="s">
        <v>157</v>
      </c>
      <c r="C15" s="59">
        <v>2019</v>
      </c>
      <c r="D15" s="60" t="s">
        <v>185</v>
      </c>
      <c r="E15" s="36" t="s">
        <v>133</v>
      </c>
      <c r="F15" s="36" t="s">
        <v>186</v>
      </c>
      <c r="G15" s="57" t="s">
        <v>42</v>
      </c>
      <c r="H15" s="57" t="s">
        <v>160</v>
      </c>
      <c r="I15" s="57" t="s">
        <v>159</v>
      </c>
      <c r="J15" s="57" t="s">
        <v>38</v>
      </c>
      <c r="K15" s="57" t="s">
        <v>161</v>
      </c>
      <c r="L15" s="36">
        <v>2</v>
      </c>
      <c r="N15" s="57">
        <v>16</v>
      </c>
      <c r="O15" s="57">
        <v>0.5</v>
      </c>
      <c r="P15" s="57">
        <v>0.4</v>
      </c>
      <c r="Q15" s="75">
        <f t="shared" si="0"/>
        <v>0.45</v>
      </c>
      <c r="R15" s="36">
        <v>16.399999999999999</v>
      </c>
      <c r="S15" s="36">
        <v>110</v>
      </c>
      <c r="T15" s="62">
        <f t="shared" si="1"/>
        <v>33</v>
      </c>
      <c r="U15" s="57">
        <v>1382</v>
      </c>
      <c r="V15" s="62">
        <f t="shared" si="2"/>
        <v>2850.375</v>
      </c>
      <c r="W15" s="36">
        <v>4</v>
      </c>
      <c r="X15" s="57" t="s">
        <v>46</v>
      </c>
      <c r="Y15" s="57" t="s">
        <v>55</v>
      </c>
      <c r="Z15" s="57" t="s">
        <v>69</v>
      </c>
      <c r="AA15" s="57" t="s">
        <v>47</v>
      </c>
      <c r="AB15" s="57" t="s">
        <v>158</v>
      </c>
      <c r="AE15" s="22" t="s">
        <v>217</v>
      </c>
      <c r="AG15" s="30"/>
      <c r="AH15" s="30"/>
      <c r="AP15" s="71" t="s">
        <v>77</v>
      </c>
      <c r="AR15" s="30" t="s">
        <v>80</v>
      </c>
      <c r="AV15" s="71" t="s">
        <v>107</v>
      </c>
    </row>
    <row r="16" spans="1:53" x14ac:dyDescent="0.15">
      <c r="A16" s="57" t="s">
        <v>41</v>
      </c>
      <c r="B16" s="58" t="s">
        <v>157</v>
      </c>
      <c r="C16" s="59">
        <v>2019</v>
      </c>
      <c r="D16" s="60" t="s">
        <v>185</v>
      </c>
      <c r="E16" s="36" t="s">
        <v>133</v>
      </c>
      <c r="F16" s="36" t="s">
        <v>186</v>
      </c>
      <c r="G16" s="57" t="s">
        <v>42</v>
      </c>
      <c r="H16" s="57" t="s">
        <v>160</v>
      </c>
      <c r="I16" s="57" t="s">
        <v>159</v>
      </c>
      <c r="J16" s="57" t="s">
        <v>38</v>
      </c>
      <c r="K16" s="57" t="s">
        <v>161</v>
      </c>
      <c r="L16" s="36">
        <v>3</v>
      </c>
      <c r="N16" s="57">
        <v>16</v>
      </c>
      <c r="O16" s="57">
        <v>0.35</v>
      </c>
      <c r="P16" s="57">
        <v>0.25</v>
      </c>
      <c r="Q16" s="75">
        <f t="shared" si="0"/>
        <v>0.3</v>
      </c>
      <c r="R16" s="36">
        <v>12</v>
      </c>
      <c r="S16" s="36">
        <v>115</v>
      </c>
      <c r="T16" s="62">
        <f t="shared" si="1"/>
        <v>30</v>
      </c>
      <c r="U16" s="57">
        <v>1382</v>
      </c>
      <c r="V16" s="62">
        <f t="shared" si="2"/>
        <v>2591.25</v>
      </c>
      <c r="W16" s="36">
        <v>4</v>
      </c>
      <c r="X16" s="57" t="s">
        <v>46</v>
      </c>
      <c r="Y16" s="57" t="s">
        <v>55</v>
      </c>
      <c r="Z16" s="57" t="s">
        <v>69</v>
      </c>
      <c r="AA16" s="57" t="s">
        <v>47</v>
      </c>
      <c r="AB16" s="57" t="s">
        <v>158</v>
      </c>
      <c r="AE16" s="22" t="s">
        <v>218</v>
      </c>
      <c r="AG16" s="79"/>
      <c r="AH16" s="79"/>
      <c r="AP16" s="71" t="s">
        <v>80</v>
      </c>
      <c r="AR16" s="30" t="s">
        <v>63</v>
      </c>
      <c r="AV16" s="71" t="s">
        <v>84</v>
      </c>
    </row>
    <row r="17" spans="1:48" x14ac:dyDescent="0.15">
      <c r="A17" s="57" t="s">
        <v>41</v>
      </c>
      <c r="B17" s="58" t="s">
        <v>157</v>
      </c>
      <c r="C17" s="59">
        <v>2019</v>
      </c>
      <c r="D17" s="60" t="s">
        <v>185</v>
      </c>
      <c r="E17" s="36" t="s">
        <v>188</v>
      </c>
      <c r="F17" s="36" t="s">
        <v>186</v>
      </c>
      <c r="G17" s="57" t="s">
        <v>42</v>
      </c>
      <c r="H17" s="57" t="s">
        <v>160</v>
      </c>
      <c r="I17" s="57" t="s">
        <v>159</v>
      </c>
      <c r="J17" s="57" t="s">
        <v>38</v>
      </c>
      <c r="K17" s="57" t="s">
        <v>161</v>
      </c>
      <c r="L17" s="57">
        <v>1</v>
      </c>
      <c r="M17" s="57"/>
      <c r="N17" s="57">
        <v>1</v>
      </c>
      <c r="O17" s="57">
        <v>0.85</v>
      </c>
      <c r="P17" s="57">
        <v>0.75</v>
      </c>
      <c r="Q17" s="75">
        <f t="shared" si="0"/>
        <v>0.8</v>
      </c>
      <c r="R17" s="36">
        <v>13.5</v>
      </c>
      <c r="S17" s="36">
        <v>130</v>
      </c>
      <c r="T17" s="62">
        <f t="shared" si="1"/>
        <v>25</v>
      </c>
      <c r="U17" s="57">
        <v>149</v>
      </c>
      <c r="V17" s="62">
        <f t="shared" si="2"/>
        <v>3725</v>
      </c>
      <c r="W17" s="57">
        <v>6</v>
      </c>
      <c r="X17" s="57" t="s">
        <v>46</v>
      </c>
      <c r="Y17" s="57" t="s">
        <v>55</v>
      </c>
      <c r="Z17" s="57" t="s">
        <v>47</v>
      </c>
      <c r="AA17" s="57" t="s">
        <v>69</v>
      </c>
      <c r="AB17" s="57" t="s">
        <v>158</v>
      </c>
      <c r="AE17" s="22" t="s">
        <v>219</v>
      </c>
      <c r="AP17" s="43" t="s">
        <v>220</v>
      </c>
      <c r="AR17" s="30" t="s">
        <v>96</v>
      </c>
      <c r="AV17" s="71" t="s">
        <v>86</v>
      </c>
    </row>
    <row r="18" spans="1:48" x14ac:dyDescent="0.15">
      <c r="A18" s="57" t="s">
        <v>41</v>
      </c>
      <c r="B18" s="58" t="s">
        <v>157</v>
      </c>
      <c r="C18" s="59">
        <v>2019</v>
      </c>
      <c r="D18" s="60" t="s">
        <v>185</v>
      </c>
      <c r="E18" s="36" t="s">
        <v>188</v>
      </c>
      <c r="F18" s="36" t="s">
        <v>186</v>
      </c>
      <c r="G18" s="57" t="s">
        <v>42</v>
      </c>
      <c r="H18" s="57" t="s">
        <v>160</v>
      </c>
      <c r="I18" s="57" t="s">
        <v>159</v>
      </c>
      <c r="J18" s="57" t="s">
        <v>38</v>
      </c>
      <c r="K18" s="57" t="s">
        <v>161</v>
      </c>
      <c r="L18" s="36">
        <v>2</v>
      </c>
      <c r="N18" s="57">
        <v>1</v>
      </c>
      <c r="O18" s="57">
        <v>1.05</v>
      </c>
      <c r="P18" s="57">
        <v>0.95</v>
      </c>
      <c r="Q18" s="75">
        <f t="shared" si="0"/>
        <v>1</v>
      </c>
      <c r="R18" s="36">
        <v>12.5</v>
      </c>
      <c r="S18" s="36">
        <v>131</v>
      </c>
      <c r="T18" s="62">
        <f t="shared" si="1"/>
        <v>25</v>
      </c>
      <c r="U18" s="57">
        <v>149</v>
      </c>
      <c r="V18" s="62">
        <f t="shared" si="2"/>
        <v>3725</v>
      </c>
      <c r="W18" s="57">
        <v>6</v>
      </c>
      <c r="X18" s="57" t="s">
        <v>46</v>
      </c>
      <c r="Y18" s="57" t="s">
        <v>55</v>
      </c>
      <c r="Z18" s="57" t="s">
        <v>47</v>
      </c>
      <c r="AA18" s="57" t="s">
        <v>69</v>
      </c>
      <c r="AB18" s="57" t="s">
        <v>158</v>
      </c>
      <c r="AE18" s="22" t="s">
        <v>212</v>
      </c>
      <c r="AP18" s="43" t="s">
        <v>221</v>
      </c>
      <c r="AR18" s="30" t="s">
        <v>101</v>
      </c>
      <c r="AV18" s="71" t="s">
        <v>88</v>
      </c>
    </row>
    <row r="19" spans="1:48" x14ac:dyDescent="0.15">
      <c r="A19" s="57" t="s">
        <v>41</v>
      </c>
      <c r="B19" s="58" t="s">
        <v>157</v>
      </c>
      <c r="C19" s="59">
        <v>2019</v>
      </c>
      <c r="D19" s="60" t="s">
        <v>185</v>
      </c>
      <c r="E19" s="36" t="s">
        <v>188</v>
      </c>
      <c r="F19" s="36" t="s">
        <v>186</v>
      </c>
      <c r="G19" s="57" t="s">
        <v>42</v>
      </c>
      <c r="H19" s="57" t="s">
        <v>160</v>
      </c>
      <c r="I19" s="57" t="s">
        <v>159</v>
      </c>
      <c r="J19" s="57" t="s">
        <v>38</v>
      </c>
      <c r="K19" s="57" t="s">
        <v>161</v>
      </c>
      <c r="L19" s="36">
        <v>3</v>
      </c>
      <c r="N19" s="57">
        <v>1</v>
      </c>
      <c r="O19" s="57">
        <v>0.9</v>
      </c>
      <c r="P19" s="57">
        <v>0.85</v>
      </c>
      <c r="Q19" s="75">
        <f t="shared" si="0"/>
        <v>0.875</v>
      </c>
      <c r="R19" s="36">
        <v>15.8</v>
      </c>
      <c r="S19" s="36">
        <v>129</v>
      </c>
      <c r="T19" s="62">
        <f t="shared" si="1"/>
        <v>25</v>
      </c>
      <c r="U19" s="57">
        <v>149</v>
      </c>
      <c r="V19" s="62">
        <f t="shared" si="2"/>
        <v>3725</v>
      </c>
      <c r="W19" s="36">
        <v>6</v>
      </c>
      <c r="X19" s="57" t="s">
        <v>46</v>
      </c>
      <c r="Y19" s="57" t="s">
        <v>55</v>
      </c>
      <c r="Z19" s="57" t="s">
        <v>47</v>
      </c>
      <c r="AA19" s="57" t="s">
        <v>69</v>
      </c>
      <c r="AB19" s="57" t="s">
        <v>158</v>
      </c>
      <c r="AE19" s="35" t="s">
        <v>206</v>
      </c>
      <c r="AP19" s="43" t="s">
        <v>222</v>
      </c>
      <c r="AR19" s="30" t="s">
        <v>223</v>
      </c>
      <c r="AV19" s="71" t="s">
        <v>90</v>
      </c>
    </row>
    <row r="20" spans="1:48" x14ac:dyDescent="0.15">
      <c r="A20" s="57" t="s">
        <v>41</v>
      </c>
      <c r="B20" s="58" t="s">
        <v>157</v>
      </c>
      <c r="C20" s="59">
        <v>2019</v>
      </c>
      <c r="D20" s="60" t="s">
        <v>185</v>
      </c>
      <c r="E20" s="36" t="s">
        <v>188</v>
      </c>
      <c r="F20" s="36" t="s">
        <v>186</v>
      </c>
      <c r="G20" s="57" t="s">
        <v>42</v>
      </c>
      <c r="H20" s="57" t="s">
        <v>160</v>
      </c>
      <c r="I20" s="57" t="s">
        <v>159</v>
      </c>
      <c r="J20" s="57" t="s">
        <v>38</v>
      </c>
      <c r="K20" s="57" t="s">
        <v>161</v>
      </c>
      <c r="L20" s="57">
        <v>1</v>
      </c>
      <c r="M20" s="57"/>
      <c r="N20" s="57">
        <v>4</v>
      </c>
      <c r="O20" s="57">
        <v>0.25</v>
      </c>
      <c r="P20" s="57">
        <v>0.3</v>
      </c>
      <c r="Q20" s="75">
        <f t="shared" si="0"/>
        <v>0.27500000000000002</v>
      </c>
      <c r="R20" s="36">
        <v>16.100000000000001</v>
      </c>
      <c r="S20" s="36">
        <v>120</v>
      </c>
      <c r="T20" s="62">
        <f t="shared" si="1"/>
        <v>30</v>
      </c>
      <c r="U20" s="57">
        <v>537</v>
      </c>
      <c r="V20" s="62">
        <f t="shared" si="2"/>
        <v>4027.5</v>
      </c>
      <c r="W20" s="57">
        <v>2</v>
      </c>
      <c r="X20" s="57" t="s">
        <v>46</v>
      </c>
      <c r="Y20" s="57" t="s">
        <v>55</v>
      </c>
      <c r="Z20" s="57" t="s">
        <v>47</v>
      </c>
      <c r="AA20" s="57" t="s">
        <v>69</v>
      </c>
      <c r="AB20" s="57" t="s">
        <v>158</v>
      </c>
      <c r="AE20" s="35"/>
      <c r="AP20" s="43" t="s">
        <v>224</v>
      </c>
      <c r="AR20" s="30" t="s">
        <v>105</v>
      </c>
      <c r="AV20" s="76" t="s">
        <v>225</v>
      </c>
    </row>
    <row r="21" spans="1:48" x14ac:dyDescent="0.15">
      <c r="A21" s="57" t="s">
        <v>41</v>
      </c>
      <c r="B21" s="58" t="s">
        <v>157</v>
      </c>
      <c r="C21" s="59">
        <v>2019</v>
      </c>
      <c r="D21" s="60" t="s">
        <v>185</v>
      </c>
      <c r="E21" s="36" t="s">
        <v>188</v>
      </c>
      <c r="F21" s="36" t="s">
        <v>186</v>
      </c>
      <c r="G21" s="57" t="s">
        <v>42</v>
      </c>
      <c r="H21" s="57" t="s">
        <v>160</v>
      </c>
      <c r="I21" s="57" t="s">
        <v>159</v>
      </c>
      <c r="J21" s="57" t="s">
        <v>38</v>
      </c>
      <c r="K21" s="57" t="s">
        <v>161</v>
      </c>
      <c r="L21" s="36">
        <v>2</v>
      </c>
      <c r="N21" s="57">
        <v>4</v>
      </c>
      <c r="O21" s="57">
        <v>0.3</v>
      </c>
      <c r="P21" s="57">
        <v>0.25</v>
      </c>
      <c r="Q21" s="75">
        <f t="shared" si="0"/>
        <v>0.27500000000000002</v>
      </c>
      <c r="R21" s="36">
        <v>14.1</v>
      </c>
      <c r="S21" s="36">
        <v>122</v>
      </c>
      <c r="T21" s="62">
        <f t="shared" si="1"/>
        <v>27</v>
      </c>
      <c r="U21" s="57">
        <v>537</v>
      </c>
      <c r="V21" s="62">
        <f t="shared" si="2"/>
        <v>3624.75</v>
      </c>
      <c r="W21" s="57">
        <v>2</v>
      </c>
      <c r="X21" s="57" t="s">
        <v>46</v>
      </c>
      <c r="Y21" s="57" t="s">
        <v>55</v>
      </c>
      <c r="Z21" s="57" t="s">
        <v>47</v>
      </c>
      <c r="AA21" s="57" t="s">
        <v>69</v>
      </c>
      <c r="AB21" s="57" t="s">
        <v>158</v>
      </c>
      <c r="AE21" s="77"/>
      <c r="AP21" s="43" t="s">
        <v>226</v>
      </c>
      <c r="AR21" s="30" t="s">
        <v>68</v>
      </c>
      <c r="AV21" s="76" t="s">
        <v>227</v>
      </c>
    </row>
    <row r="22" spans="1:48" x14ac:dyDescent="0.15">
      <c r="A22" s="57" t="s">
        <v>41</v>
      </c>
      <c r="B22" s="58" t="s">
        <v>157</v>
      </c>
      <c r="C22" s="59">
        <v>2019</v>
      </c>
      <c r="D22" s="60" t="s">
        <v>185</v>
      </c>
      <c r="E22" s="36" t="s">
        <v>188</v>
      </c>
      <c r="F22" s="36" t="s">
        <v>186</v>
      </c>
      <c r="G22" s="57" t="s">
        <v>42</v>
      </c>
      <c r="H22" s="57" t="s">
        <v>160</v>
      </c>
      <c r="I22" s="57" t="s">
        <v>159</v>
      </c>
      <c r="J22" s="57" t="s">
        <v>38</v>
      </c>
      <c r="K22" s="57" t="s">
        <v>161</v>
      </c>
      <c r="L22" s="36">
        <v>3</v>
      </c>
      <c r="N22" s="57">
        <v>4</v>
      </c>
      <c r="O22" s="57">
        <v>0.5</v>
      </c>
      <c r="P22" s="57">
        <v>0.35</v>
      </c>
      <c r="Q22" s="75">
        <f t="shared" si="0"/>
        <v>0.42499999999999999</v>
      </c>
      <c r="R22" s="36">
        <v>14.4</v>
      </c>
      <c r="S22" s="36">
        <v>120</v>
      </c>
      <c r="T22" s="62">
        <f t="shared" si="1"/>
        <v>30</v>
      </c>
      <c r="U22" s="57">
        <v>537</v>
      </c>
      <c r="V22" s="62">
        <f t="shared" si="2"/>
        <v>4027.5</v>
      </c>
      <c r="W22" s="36">
        <v>2</v>
      </c>
      <c r="X22" s="57" t="s">
        <v>46</v>
      </c>
      <c r="Y22" s="57" t="s">
        <v>55</v>
      </c>
      <c r="Z22" s="57" t="s">
        <v>47</v>
      </c>
      <c r="AA22" s="57" t="s">
        <v>69</v>
      </c>
      <c r="AB22" s="57" t="s">
        <v>158</v>
      </c>
      <c r="AP22" s="43" t="s">
        <v>228</v>
      </c>
      <c r="AR22" s="30" t="s">
        <v>83</v>
      </c>
      <c r="AV22" s="76"/>
    </row>
    <row r="23" spans="1:48" x14ac:dyDescent="0.15">
      <c r="A23" s="57" t="s">
        <v>41</v>
      </c>
      <c r="B23" s="58" t="s">
        <v>157</v>
      </c>
      <c r="C23" s="59">
        <v>2019</v>
      </c>
      <c r="D23" s="60" t="s">
        <v>185</v>
      </c>
      <c r="E23" s="36" t="s">
        <v>188</v>
      </c>
      <c r="F23" s="36" t="s">
        <v>186</v>
      </c>
      <c r="G23" s="57" t="s">
        <v>42</v>
      </c>
      <c r="H23" s="57" t="s">
        <v>160</v>
      </c>
      <c r="I23" s="57" t="s">
        <v>159</v>
      </c>
      <c r="J23" s="57" t="s">
        <v>38</v>
      </c>
      <c r="K23" s="57" t="s">
        <v>161</v>
      </c>
      <c r="L23" s="57">
        <v>1</v>
      </c>
      <c r="M23" s="57"/>
      <c r="N23" s="57">
        <v>6</v>
      </c>
      <c r="O23" s="57">
        <v>0.65</v>
      </c>
      <c r="P23" s="57">
        <v>0.5</v>
      </c>
      <c r="Q23" s="75">
        <f t="shared" si="0"/>
        <v>0.57499999999999996</v>
      </c>
      <c r="R23" s="36">
        <v>12.6</v>
      </c>
      <c r="S23" s="36">
        <v>118</v>
      </c>
      <c r="T23" s="62">
        <f t="shared" si="1"/>
        <v>30</v>
      </c>
      <c r="U23" s="57">
        <v>626</v>
      </c>
      <c r="V23" s="62">
        <f t="shared" si="2"/>
        <v>3130</v>
      </c>
      <c r="W23" s="57">
        <v>2</v>
      </c>
      <c r="X23" s="57" t="s">
        <v>46</v>
      </c>
      <c r="Y23" s="57" t="s">
        <v>55</v>
      </c>
      <c r="Z23" s="57" t="s">
        <v>47</v>
      </c>
      <c r="AA23" s="57" t="s">
        <v>69</v>
      </c>
      <c r="AB23" s="57" t="s">
        <v>158</v>
      </c>
      <c r="AP23" s="43" t="s">
        <v>229</v>
      </c>
      <c r="AR23" s="77" t="s">
        <v>230</v>
      </c>
      <c r="AV23" s="77"/>
    </row>
    <row r="24" spans="1:48" x14ac:dyDescent="0.15">
      <c r="A24" s="57" t="s">
        <v>41</v>
      </c>
      <c r="B24" s="58" t="s">
        <v>157</v>
      </c>
      <c r="C24" s="59">
        <v>2019</v>
      </c>
      <c r="D24" s="60" t="s">
        <v>185</v>
      </c>
      <c r="E24" s="36" t="s">
        <v>188</v>
      </c>
      <c r="F24" s="36" t="s">
        <v>186</v>
      </c>
      <c r="G24" s="57" t="s">
        <v>42</v>
      </c>
      <c r="H24" s="57" t="s">
        <v>160</v>
      </c>
      <c r="I24" s="57" t="s">
        <v>159</v>
      </c>
      <c r="J24" s="57" t="s">
        <v>38</v>
      </c>
      <c r="K24" s="57" t="s">
        <v>161</v>
      </c>
      <c r="L24" s="36">
        <v>2</v>
      </c>
      <c r="N24" s="57">
        <v>6</v>
      </c>
      <c r="O24" s="57">
        <v>0.5</v>
      </c>
      <c r="P24" s="57">
        <v>0.55000000000000004</v>
      </c>
      <c r="Q24" s="75">
        <f t="shared" si="0"/>
        <v>0.52500000000000002</v>
      </c>
      <c r="R24" s="36">
        <v>13.5</v>
      </c>
      <c r="S24" s="36">
        <v>120</v>
      </c>
      <c r="T24" s="62">
        <f t="shared" si="1"/>
        <v>30</v>
      </c>
      <c r="U24" s="57">
        <v>626</v>
      </c>
      <c r="V24" s="62">
        <f t="shared" si="2"/>
        <v>3130</v>
      </c>
      <c r="W24" s="57">
        <v>2</v>
      </c>
      <c r="X24" s="57" t="s">
        <v>46</v>
      </c>
      <c r="Y24" s="57" t="s">
        <v>55</v>
      </c>
      <c r="Z24" s="57" t="s">
        <v>47</v>
      </c>
      <c r="AA24" s="57" t="s">
        <v>69</v>
      </c>
      <c r="AB24" s="57" t="s">
        <v>158</v>
      </c>
      <c r="AP24" s="43" t="s">
        <v>231</v>
      </c>
    </row>
    <row r="25" spans="1:48" x14ac:dyDescent="0.15">
      <c r="A25" s="57" t="s">
        <v>41</v>
      </c>
      <c r="B25" s="58" t="s">
        <v>157</v>
      </c>
      <c r="C25" s="59">
        <v>2019</v>
      </c>
      <c r="D25" s="60" t="s">
        <v>185</v>
      </c>
      <c r="E25" s="36" t="s">
        <v>188</v>
      </c>
      <c r="F25" s="36" t="s">
        <v>186</v>
      </c>
      <c r="G25" s="57" t="s">
        <v>42</v>
      </c>
      <c r="H25" s="57" t="s">
        <v>160</v>
      </c>
      <c r="I25" s="57" t="s">
        <v>159</v>
      </c>
      <c r="J25" s="57" t="s">
        <v>38</v>
      </c>
      <c r="K25" s="57" t="s">
        <v>161</v>
      </c>
      <c r="L25" s="36">
        <v>3</v>
      </c>
      <c r="N25" s="57">
        <v>6</v>
      </c>
      <c r="O25" s="57">
        <v>0.45</v>
      </c>
      <c r="P25" s="57">
        <v>0.65</v>
      </c>
      <c r="Q25" s="75">
        <f t="shared" si="0"/>
        <v>0.55000000000000004</v>
      </c>
      <c r="R25" s="36">
        <v>12.1</v>
      </c>
      <c r="S25" s="36">
        <v>119</v>
      </c>
      <c r="T25" s="62">
        <f t="shared" si="1"/>
        <v>30</v>
      </c>
      <c r="U25" s="57">
        <v>626</v>
      </c>
      <c r="V25" s="62">
        <f t="shared" si="2"/>
        <v>3130</v>
      </c>
      <c r="W25" s="36">
        <v>2</v>
      </c>
      <c r="X25" s="57" t="s">
        <v>46</v>
      </c>
      <c r="Y25" s="57" t="s">
        <v>55</v>
      </c>
      <c r="Z25" s="57" t="s">
        <v>47</v>
      </c>
      <c r="AA25" s="57" t="s">
        <v>69</v>
      </c>
      <c r="AB25" s="57" t="s">
        <v>158</v>
      </c>
    </row>
    <row r="26" spans="1:48" x14ac:dyDescent="0.15">
      <c r="A26" s="57" t="s">
        <v>41</v>
      </c>
      <c r="B26" s="58" t="s">
        <v>157</v>
      </c>
      <c r="C26" s="59">
        <v>2019</v>
      </c>
      <c r="D26" s="60" t="s">
        <v>185</v>
      </c>
      <c r="E26" s="36" t="s">
        <v>188</v>
      </c>
      <c r="F26" s="36" t="s">
        <v>186</v>
      </c>
      <c r="G26" s="57" t="s">
        <v>42</v>
      </c>
      <c r="H26" s="57" t="s">
        <v>165</v>
      </c>
      <c r="I26" s="57" t="s">
        <v>159</v>
      </c>
      <c r="J26" s="57" t="s">
        <v>38</v>
      </c>
      <c r="K26" s="57" t="s">
        <v>161</v>
      </c>
      <c r="L26" s="36">
        <v>1</v>
      </c>
      <c r="N26" s="57">
        <v>1</v>
      </c>
      <c r="O26" s="57">
        <v>0.65</v>
      </c>
      <c r="P26" s="57">
        <v>0.45</v>
      </c>
      <c r="Q26" s="75">
        <f t="shared" si="0"/>
        <v>0.55000000000000004</v>
      </c>
      <c r="R26" s="57">
        <v>13.2</v>
      </c>
      <c r="S26" s="57">
        <v>135</v>
      </c>
      <c r="T26" s="62">
        <f t="shared" si="1"/>
        <v>25</v>
      </c>
      <c r="U26" s="57">
        <v>149</v>
      </c>
      <c r="V26" s="62">
        <f t="shared" si="2"/>
        <v>3725</v>
      </c>
      <c r="W26" s="36">
        <v>4</v>
      </c>
      <c r="X26" s="57" t="s">
        <v>46</v>
      </c>
      <c r="Y26" s="57" t="s">
        <v>55</v>
      </c>
      <c r="Z26" s="57" t="s">
        <v>47</v>
      </c>
      <c r="AA26" s="57" t="s">
        <v>69</v>
      </c>
      <c r="AB26" s="57" t="s">
        <v>158</v>
      </c>
    </row>
    <row r="27" spans="1:48" x14ac:dyDescent="0.15">
      <c r="A27" s="57" t="s">
        <v>41</v>
      </c>
      <c r="B27" s="58" t="s">
        <v>157</v>
      </c>
      <c r="C27" s="59">
        <v>2019</v>
      </c>
      <c r="D27" s="60" t="s">
        <v>185</v>
      </c>
      <c r="E27" s="36" t="s">
        <v>188</v>
      </c>
      <c r="F27" s="36" t="s">
        <v>186</v>
      </c>
      <c r="G27" s="57" t="s">
        <v>42</v>
      </c>
      <c r="H27" s="57" t="s">
        <v>165</v>
      </c>
      <c r="I27" s="57" t="s">
        <v>159</v>
      </c>
      <c r="J27" s="57" t="s">
        <v>38</v>
      </c>
      <c r="K27" s="57" t="s">
        <v>161</v>
      </c>
      <c r="L27" s="36">
        <v>2</v>
      </c>
      <c r="N27" s="57">
        <v>1</v>
      </c>
      <c r="O27" s="57">
        <v>0.65</v>
      </c>
      <c r="P27" s="57">
        <v>0.8</v>
      </c>
      <c r="Q27" s="75">
        <f t="shared" si="0"/>
        <v>0.72500000000000009</v>
      </c>
      <c r="R27" s="57">
        <v>13.8</v>
      </c>
      <c r="S27" s="57">
        <v>130</v>
      </c>
      <c r="T27" s="62">
        <f t="shared" si="1"/>
        <v>25</v>
      </c>
      <c r="U27" s="57">
        <v>149</v>
      </c>
      <c r="V27" s="62">
        <f t="shared" si="2"/>
        <v>3725</v>
      </c>
      <c r="W27" s="36">
        <v>4</v>
      </c>
      <c r="X27" s="57" t="s">
        <v>46</v>
      </c>
      <c r="Y27" s="57" t="s">
        <v>55</v>
      </c>
      <c r="Z27" s="57" t="s">
        <v>47</v>
      </c>
      <c r="AA27" s="57" t="s">
        <v>69</v>
      </c>
      <c r="AB27" s="57" t="s">
        <v>158</v>
      </c>
    </row>
    <row r="28" spans="1:48" x14ac:dyDescent="0.15">
      <c r="A28" s="57" t="s">
        <v>41</v>
      </c>
      <c r="B28" s="58" t="s">
        <v>157</v>
      </c>
      <c r="C28" s="59">
        <v>2019</v>
      </c>
      <c r="D28" s="60" t="s">
        <v>185</v>
      </c>
      <c r="E28" s="36" t="s">
        <v>188</v>
      </c>
      <c r="F28" s="36" t="s">
        <v>186</v>
      </c>
      <c r="G28" s="57" t="s">
        <v>42</v>
      </c>
      <c r="H28" s="57" t="s">
        <v>165</v>
      </c>
      <c r="I28" s="57" t="s">
        <v>159</v>
      </c>
      <c r="J28" s="57" t="s">
        <v>38</v>
      </c>
      <c r="K28" s="57" t="s">
        <v>161</v>
      </c>
      <c r="L28" s="36">
        <v>3</v>
      </c>
      <c r="N28" s="57">
        <v>1</v>
      </c>
      <c r="O28" s="57">
        <v>0.85</v>
      </c>
      <c r="P28" s="57">
        <v>0.85</v>
      </c>
      <c r="Q28" s="75">
        <f t="shared" si="0"/>
        <v>0.85</v>
      </c>
      <c r="R28" s="57">
        <v>15.6</v>
      </c>
      <c r="S28" s="57">
        <v>132</v>
      </c>
      <c r="T28" s="62">
        <f t="shared" si="1"/>
        <v>25</v>
      </c>
      <c r="U28" s="57">
        <v>149</v>
      </c>
      <c r="V28" s="62">
        <f t="shared" si="2"/>
        <v>3725</v>
      </c>
      <c r="W28" s="36">
        <v>4</v>
      </c>
      <c r="X28" s="57" t="s">
        <v>46</v>
      </c>
      <c r="Y28" s="57" t="s">
        <v>55</v>
      </c>
      <c r="Z28" s="57" t="s">
        <v>47</v>
      </c>
      <c r="AA28" s="57" t="s">
        <v>69</v>
      </c>
      <c r="AB28" s="57" t="s">
        <v>158</v>
      </c>
    </row>
    <row r="29" spans="1:48" x14ac:dyDescent="0.15">
      <c r="A29" s="57" t="s">
        <v>41</v>
      </c>
      <c r="B29" s="58" t="s">
        <v>157</v>
      </c>
      <c r="C29" s="59">
        <v>2019</v>
      </c>
      <c r="D29" s="60" t="s">
        <v>185</v>
      </c>
      <c r="E29" s="36" t="s">
        <v>188</v>
      </c>
      <c r="F29" s="36" t="s">
        <v>186</v>
      </c>
      <c r="G29" s="57" t="s">
        <v>42</v>
      </c>
      <c r="H29" s="57" t="s">
        <v>165</v>
      </c>
      <c r="I29" s="57" t="s">
        <v>159</v>
      </c>
      <c r="J29" s="57" t="s">
        <v>38</v>
      </c>
      <c r="K29" s="57" t="s">
        <v>161</v>
      </c>
      <c r="L29" s="36">
        <v>1</v>
      </c>
      <c r="N29" s="57">
        <v>4</v>
      </c>
      <c r="O29" s="57">
        <v>0.7</v>
      </c>
      <c r="P29" s="57">
        <v>0.55000000000000004</v>
      </c>
      <c r="Q29" s="75">
        <f t="shared" si="0"/>
        <v>0.625</v>
      </c>
      <c r="R29" s="57">
        <v>15</v>
      </c>
      <c r="S29" s="57">
        <v>122</v>
      </c>
      <c r="T29" s="62">
        <f t="shared" si="1"/>
        <v>27</v>
      </c>
      <c r="U29" s="36">
        <v>429</v>
      </c>
      <c r="V29" s="62">
        <f t="shared" si="2"/>
        <v>2895.75</v>
      </c>
      <c r="W29" s="36">
        <v>2</v>
      </c>
      <c r="X29" s="57" t="s">
        <v>46</v>
      </c>
      <c r="Y29" s="57" t="s">
        <v>55</v>
      </c>
      <c r="Z29" s="57" t="s">
        <v>47</v>
      </c>
      <c r="AA29" s="57" t="s">
        <v>69</v>
      </c>
      <c r="AB29" s="57" t="s">
        <v>158</v>
      </c>
    </row>
    <row r="30" spans="1:48" x14ac:dyDescent="0.15">
      <c r="A30" s="57" t="s">
        <v>41</v>
      </c>
      <c r="B30" s="58" t="s">
        <v>157</v>
      </c>
      <c r="C30" s="59">
        <v>2019</v>
      </c>
      <c r="D30" s="60" t="s">
        <v>185</v>
      </c>
      <c r="E30" s="36" t="s">
        <v>188</v>
      </c>
      <c r="F30" s="36" t="s">
        <v>186</v>
      </c>
      <c r="G30" s="57" t="s">
        <v>42</v>
      </c>
      <c r="H30" s="57" t="s">
        <v>165</v>
      </c>
      <c r="I30" s="57" t="s">
        <v>159</v>
      </c>
      <c r="J30" s="57" t="s">
        <v>38</v>
      </c>
      <c r="K30" s="57" t="s">
        <v>161</v>
      </c>
      <c r="L30" s="36">
        <v>2</v>
      </c>
      <c r="N30" s="57">
        <v>4</v>
      </c>
      <c r="O30" s="57">
        <v>0.35</v>
      </c>
      <c r="P30" s="57">
        <v>0.4</v>
      </c>
      <c r="Q30" s="75">
        <f t="shared" si="0"/>
        <v>0.375</v>
      </c>
      <c r="R30" s="57">
        <v>13.4</v>
      </c>
      <c r="S30" s="57">
        <v>124</v>
      </c>
      <c r="T30" s="62">
        <f t="shared" si="1"/>
        <v>27</v>
      </c>
      <c r="U30" s="36">
        <v>429</v>
      </c>
      <c r="V30" s="62">
        <f t="shared" si="2"/>
        <v>2895.75</v>
      </c>
      <c r="W30" s="36">
        <v>2</v>
      </c>
      <c r="X30" s="57" t="s">
        <v>46</v>
      </c>
      <c r="Y30" s="57" t="s">
        <v>55</v>
      </c>
      <c r="Z30" s="57" t="s">
        <v>47</v>
      </c>
      <c r="AA30" s="57" t="s">
        <v>69</v>
      </c>
      <c r="AB30" s="57" t="s">
        <v>158</v>
      </c>
    </row>
    <row r="31" spans="1:48" x14ac:dyDescent="0.15">
      <c r="A31" s="57" t="s">
        <v>41</v>
      </c>
      <c r="B31" s="58" t="s">
        <v>157</v>
      </c>
      <c r="C31" s="59">
        <v>2019</v>
      </c>
      <c r="D31" s="60" t="s">
        <v>185</v>
      </c>
      <c r="E31" s="36" t="s">
        <v>188</v>
      </c>
      <c r="F31" s="36" t="s">
        <v>186</v>
      </c>
      <c r="G31" s="57" t="s">
        <v>42</v>
      </c>
      <c r="H31" s="57" t="s">
        <v>165</v>
      </c>
      <c r="I31" s="57" t="s">
        <v>159</v>
      </c>
      <c r="J31" s="57" t="s">
        <v>38</v>
      </c>
      <c r="K31" s="57" t="s">
        <v>161</v>
      </c>
      <c r="L31" s="36">
        <v>3</v>
      </c>
      <c r="N31" s="57">
        <v>4</v>
      </c>
      <c r="O31" s="57">
        <v>0.45</v>
      </c>
      <c r="P31" s="57">
        <v>0.65</v>
      </c>
      <c r="Q31" s="75">
        <f t="shared" si="0"/>
        <v>0.55000000000000004</v>
      </c>
      <c r="R31" s="57">
        <v>14.7</v>
      </c>
      <c r="S31" s="57">
        <v>120</v>
      </c>
      <c r="T31" s="62">
        <f t="shared" si="1"/>
        <v>30</v>
      </c>
      <c r="U31" s="36">
        <v>429</v>
      </c>
      <c r="V31" s="62">
        <f t="shared" si="2"/>
        <v>3217.5</v>
      </c>
      <c r="W31" s="36">
        <v>2</v>
      </c>
      <c r="X31" s="57" t="s">
        <v>46</v>
      </c>
      <c r="Y31" s="57" t="s">
        <v>55</v>
      </c>
      <c r="Z31" s="57" t="s">
        <v>47</v>
      </c>
      <c r="AA31" s="57" t="s">
        <v>69</v>
      </c>
      <c r="AB31" s="57" t="s">
        <v>158</v>
      </c>
    </row>
    <row r="32" spans="1:48" x14ac:dyDescent="0.15">
      <c r="A32" s="57" t="s">
        <v>41</v>
      </c>
      <c r="B32" s="58" t="s">
        <v>157</v>
      </c>
      <c r="C32" s="59">
        <v>2019</v>
      </c>
      <c r="D32" s="60" t="s">
        <v>185</v>
      </c>
      <c r="E32" s="36" t="s">
        <v>188</v>
      </c>
      <c r="F32" s="36" t="s">
        <v>186</v>
      </c>
      <c r="G32" s="57" t="s">
        <v>42</v>
      </c>
      <c r="H32" s="57" t="s">
        <v>165</v>
      </c>
      <c r="I32" s="57" t="s">
        <v>159</v>
      </c>
      <c r="J32" s="57" t="s">
        <v>38</v>
      </c>
      <c r="K32" s="57" t="s">
        <v>161</v>
      </c>
      <c r="L32" s="36">
        <v>1</v>
      </c>
      <c r="N32" s="57">
        <v>8</v>
      </c>
      <c r="O32" s="57">
        <v>0.5</v>
      </c>
      <c r="P32" s="57">
        <v>0.55000000000000004</v>
      </c>
      <c r="Q32" s="75">
        <f t="shared" si="0"/>
        <v>0.52500000000000002</v>
      </c>
      <c r="R32" s="57">
        <v>14.1</v>
      </c>
      <c r="S32" s="57">
        <v>120</v>
      </c>
      <c r="T32" s="62">
        <f t="shared" si="1"/>
        <v>30</v>
      </c>
      <c r="U32" s="36">
        <v>645</v>
      </c>
      <c r="V32" s="62">
        <f t="shared" si="2"/>
        <v>2418.75</v>
      </c>
      <c r="W32" s="36">
        <v>2</v>
      </c>
      <c r="X32" s="57" t="s">
        <v>46</v>
      </c>
      <c r="Y32" s="57" t="s">
        <v>55</v>
      </c>
      <c r="Z32" s="57" t="s">
        <v>47</v>
      </c>
      <c r="AA32" s="57" t="s">
        <v>69</v>
      </c>
      <c r="AB32" s="57" t="s">
        <v>158</v>
      </c>
    </row>
    <row r="33" spans="1:30" x14ac:dyDescent="0.15">
      <c r="A33" s="57" t="s">
        <v>41</v>
      </c>
      <c r="B33" s="58" t="s">
        <v>157</v>
      </c>
      <c r="C33" s="59">
        <v>2019</v>
      </c>
      <c r="D33" s="60" t="s">
        <v>185</v>
      </c>
      <c r="E33" s="36" t="s">
        <v>188</v>
      </c>
      <c r="F33" s="36" t="s">
        <v>186</v>
      </c>
      <c r="G33" s="57" t="s">
        <v>42</v>
      </c>
      <c r="H33" s="57" t="s">
        <v>165</v>
      </c>
      <c r="I33" s="57" t="s">
        <v>159</v>
      </c>
      <c r="J33" s="57" t="s">
        <v>38</v>
      </c>
      <c r="K33" s="57" t="s">
        <v>161</v>
      </c>
      <c r="L33" s="36">
        <v>2</v>
      </c>
      <c r="N33" s="57">
        <v>8</v>
      </c>
      <c r="O33" s="57">
        <v>0.25</v>
      </c>
      <c r="P33" s="57">
        <v>0.25</v>
      </c>
      <c r="Q33" s="75">
        <f t="shared" si="0"/>
        <v>0.25</v>
      </c>
      <c r="R33" s="57">
        <v>14.3</v>
      </c>
      <c r="S33" s="57">
        <v>118</v>
      </c>
      <c r="T33" s="62">
        <f t="shared" si="1"/>
        <v>30</v>
      </c>
      <c r="U33" s="36">
        <v>645</v>
      </c>
      <c r="V33" s="62">
        <f t="shared" si="2"/>
        <v>2418.75</v>
      </c>
      <c r="W33" s="36">
        <v>2</v>
      </c>
      <c r="X33" s="57" t="s">
        <v>46</v>
      </c>
      <c r="Y33" s="57" t="s">
        <v>55</v>
      </c>
      <c r="Z33" s="57" t="s">
        <v>47</v>
      </c>
      <c r="AA33" s="57" t="s">
        <v>69</v>
      </c>
      <c r="AB33" s="57" t="s">
        <v>158</v>
      </c>
    </row>
    <row r="34" spans="1:30" x14ac:dyDescent="0.15">
      <c r="A34" s="57" t="s">
        <v>41</v>
      </c>
      <c r="B34" s="58" t="s">
        <v>157</v>
      </c>
      <c r="C34" s="59">
        <v>2019</v>
      </c>
      <c r="D34" s="60" t="s">
        <v>185</v>
      </c>
      <c r="E34" s="36" t="s">
        <v>188</v>
      </c>
      <c r="F34" s="36" t="s">
        <v>186</v>
      </c>
      <c r="G34" s="57" t="s">
        <v>42</v>
      </c>
      <c r="H34" s="57" t="s">
        <v>165</v>
      </c>
      <c r="I34" s="57" t="s">
        <v>159</v>
      </c>
      <c r="J34" s="57" t="s">
        <v>38</v>
      </c>
      <c r="K34" s="57" t="s">
        <v>161</v>
      </c>
      <c r="L34" s="36">
        <v>3</v>
      </c>
      <c r="N34" s="57">
        <v>8</v>
      </c>
      <c r="O34" s="57">
        <v>0.35</v>
      </c>
      <c r="P34" s="57">
        <v>0.3</v>
      </c>
      <c r="Q34" s="75">
        <f t="shared" si="0"/>
        <v>0.32499999999999996</v>
      </c>
      <c r="R34" s="57">
        <v>16.5</v>
      </c>
      <c r="S34" s="57">
        <v>115</v>
      </c>
      <c r="T34" s="62">
        <f t="shared" si="1"/>
        <v>30</v>
      </c>
      <c r="U34" s="36">
        <v>645</v>
      </c>
      <c r="V34" s="62">
        <f t="shared" si="2"/>
        <v>2418.75</v>
      </c>
      <c r="W34" s="36">
        <v>2</v>
      </c>
      <c r="X34" s="57" t="s">
        <v>46</v>
      </c>
      <c r="Y34" s="57" t="s">
        <v>55</v>
      </c>
      <c r="Z34" s="57" t="s">
        <v>47</v>
      </c>
      <c r="AA34" s="57" t="s">
        <v>69</v>
      </c>
      <c r="AB34" s="57" t="s">
        <v>158</v>
      </c>
    </row>
    <row r="35" spans="1:30" x14ac:dyDescent="0.15">
      <c r="A35" s="57" t="s">
        <v>41</v>
      </c>
      <c r="B35" s="58" t="s">
        <v>157</v>
      </c>
      <c r="C35" s="59">
        <v>2019</v>
      </c>
      <c r="D35" s="60" t="s">
        <v>185</v>
      </c>
      <c r="E35" s="36" t="s">
        <v>188</v>
      </c>
      <c r="F35" s="57" t="s">
        <v>190</v>
      </c>
      <c r="G35" s="57" t="s">
        <v>42</v>
      </c>
      <c r="H35" s="57" t="s">
        <v>165</v>
      </c>
      <c r="I35" s="57" t="s">
        <v>159</v>
      </c>
      <c r="J35" s="57" t="s">
        <v>38</v>
      </c>
      <c r="K35" s="57" t="s">
        <v>161</v>
      </c>
      <c r="L35" s="36">
        <v>1</v>
      </c>
      <c r="N35" s="57">
        <v>1</v>
      </c>
      <c r="O35" s="57">
        <v>0.25</v>
      </c>
      <c r="P35" s="57">
        <v>0.25</v>
      </c>
      <c r="Q35" s="75">
        <f t="shared" si="0"/>
        <v>0.25</v>
      </c>
      <c r="R35" s="57">
        <v>13.6</v>
      </c>
      <c r="S35" s="57">
        <v>130</v>
      </c>
      <c r="T35" s="62">
        <f t="shared" si="1"/>
        <v>25</v>
      </c>
      <c r="U35" s="36">
        <v>149</v>
      </c>
      <c r="V35" s="62">
        <f t="shared" si="2"/>
        <v>3725</v>
      </c>
      <c r="W35" s="36">
        <v>3</v>
      </c>
      <c r="X35" s="57" t="s">
        <v>46</v>
      </c>
      <c r="Y35" s="57" t="s">
        <v>55</v>
      </c>
      <c r="Z35" s="57" t="s">
        <v>69</v>
      </c>
      <c r="AA35" s="57" t="s">
        <v>78</v>
      </c>
      <c r="AB35" s="57" t="s">
        <v>158</v>
      </c>
    </row>
    <row r="36" spans="1:30" x14ac:dyDescent="0.15">
      <c r="A36" s="57" t="s">
        <v>41</v>
      </c>
      <c r="B36" s="58" t="s">
        <v>157</v>
      </c>
      <c r="C36" s="59">
        <v>2019</v>
      </c>
      <c r="D36" s="60" t="s">
        <v>185</v>
      </c>
      <c r="E36" s="36" t="s">
        <v>188</v>
      </c>
      <c r="F36" s="57" t="s">
        <v>190</v>
      </c>
      <c r="G36" s="57" t="s">
        <v>42</v>
      </c>
      <c r="H36" s="57" t="s">
        <v>165</v>
      </c>
      <c r="I36" s="57" t="s">
        <v>159</v>
      </c>
      <c r="J36" s="57" t="s">
        <v>38</v>
      </c>
      <c r="K36" s="57" t="s">
        <v>161</v>
      </c>
      <c r="L36" s="36">
        <v>2</v>
      </c>
      <c r="N36" s="57">
        <v>1</v>
      </c>
      <c r="O36" s="57">
        <v>0.65</v>
      </c>
      <c r="P36" s="57">
        <v>0.4</v>
      </c>
      <c r="Q36" s="75">
        <f t="shared" si="0"/>
        <v>0.52500000000000002</v>
      </c>
      <c r="R36" s="57">
        <v>12.4</v>
      </c>
      <c r="S36" s="57">
        <v>128</v>
      </c>
      <c r="T36" s="62">
        <f t="shared" si="1"/>
        <v>27</v>
      </c>
      <c r="U36" s="36">
        <v>149</v>
      </c>
      <c r="V36" s="62">
        <f t="shared" si="2"/>
        <v>4023</v>
      </c>
      <c r="W36" s="36">
        <v>3</v>
      </c>
      <c r="X36" s="57" t="s">
        <v>46</v>
      </c>
      <c r="Y36" s="57" t="s">
        <v>55</v>
      </c>
      <c r="Z36" s="57" t="s">
        <v>69</v>
      </c>
      <c r="AA36" s="57" t="s">
        <v>78</v>
      </c>
      <c r="AB36" s="57" t="s">
        <v>158</v>
      </c>
    </row>
    <row r="37" spans="1:30" x14ac:dyDescent="0.15">
      <c r="A37" s="57" t="s">
        <v>41</v>
      </c>
      <c r="B37" s="58" t="s">
        <v>157</v>
      </c>
      <c r="C37" s="59">
        <v>2019</v>
      </c>
      <c r="D37" s="60" t="s">
        <v>185</v>
      </c>
      <c r="E37" s="36" t="s">
        <v>188</v>
      </c>
      <c r="F37" s="57" t="s">
        <v>190</v>
      </c>
      <c r="G37" s="57" t="s">
        <v>42</v>
      </c>
      <c r="H37" s="57" t="s">
        <v>165</v>
      </c>
      <c r="I37" s="57" t="s">
        <v>159</v>
      </c>
      <c r="J37" s="57" t="s">
        <v>38</v>
      </c>
      <c r="K37" s="57" t="s">
        <v>161</v>
      </c>
      <c r="L37" s="36">
        <v>3</v>
      </c>
      <c r="N37" s="57">
        <v>1</v>
      </c>
      <c r="O37" s="57">
        <v>0.4</v>
      </c>
      <c r="P37" s="57">
        <v>0.35</v>
      </c>
      <c r="Q37" s="75">
        <f t="shared" si="0"/>
        <v>0.375</v>
      </c>
      <c r="R37" s="57">
        <v>14.4</v>
      </c>
      <c r="S37" s="57">
        <v>125</v>
      </c>
      <c r="T37" s="62">
        <f t="shared" si="1"/>
        <v>27</v>
      </c>
      <c r="U37" s="36">
        <v>149</v>
      </c>
      <c r="V37" s="62">
        <f t="shared" si="2"/>
        <v>4023</v>
      </c>
      <c r="W37" s="36">
        <v>3</v>
      </c>
      <c r="X37" s="57" t="s">
        <v>46</v>
      </c>
      <c r="Y37" s="57" t="s">
        <v>55</v>
      </c>
      <c r="Z37" s="57" t="s">
        <v>69</v>
      </c>
      <c r="AA37" s="57" t="s">
        <v>78</v>
      </c>
      <c r="AB37" s="57" t="s">
        <v>158</v>
      </c>
    </row>
    <row r="38" spans="1:30" x14ac:dyDescent="0.15">
      <c r="A38" s="57" t="s">
        <v>41</v>
      </c>
      <c r="B38" s="58" t="s">
        <v>157</v>
      </c>
      <c r="C38" s="59">
        <v>2019</v>
      </c>
      <c r="D38" s="60" t="s">
        <v>185</v>
      </c>
      <c r="E38" s="36" t="s">
        <v>188</v>
      </c>
      <c r="F38" s="57" t="s">
        <v>190</v>
      </c>
      <c r="G38" s="57" t="s">
        <v>42</v>
      </c>
      <c r="H38" s="57" t="s">
        <v>165</v>
      </c>
      <c r="I38" s="57" t="s">
        <v>159</v>
      </c>
      <c r="J38" s="57" t="s">
        <v>38</v>
      </c>
      <c r="K38" s="57" t="s">
        <v>161</v>
      </c>
      <c r="L38" s="36">
        <v>1</v>
      </c>
      <c r="N38" s="57">
        <v>4</v>
      </c>
      <c r="O38" s="57">
        <v>0.85</v>
      </c>
      <c r="P38" s="57">
        <v>0.65</v>
      </c>
      <c r="Q38" s="75">
        <f t="shared" si="0"/>
        <v>0.75</v>
      </c>
      <c r="R38" s="57">
        <v>14.8</v>
      </c>
      <c r="S38" s="57">
        <v>126</v>
      </c>
      <c r="T38" s="62">
        <f t="shared" si="1"/>
        <v>27</v>
      </c>
      <c r="U38" s="36">
        <v>429</v>
      </c>
      <c r="V38" s="62">
        <f t="shared" si="2"/>
        <v>2895.75</v>
      </c>
      <c r="W38" s="36">
        <v>2</v>
      </c>
      <c r="X38" s="57" t="s">
        <v>46</v>
      </c>
      <c r="Y38" s="57" t="s">
        <v>55</v>
      </c>
      <c r="Z38" s="57" t="s">
        <v>69</v>
      </c>
      <c r="AA38" s="57" t="s">
        <v>78</v>
      </c>
      <c r="AB38" s="57" t="s">
        <v>158</v>
      </c>
    </row>
    <row r="39" spans="1:30" x14ac:dyDescent="0.15">
      <c r="A39" s="57" t="s">
        <v>41</v>
      </c>
      <c r="B39" s="58" t="s">
        <v>157</v>
      </c>
      <c r="C39" s="59">
        <v>2019</v>
      </c>
      <c r="D39" s="60" t="s">
        <v>185</v>
      </c>
      <c r="E39" s="36" t="s">
        <v>188</v>
      </c>
      <c r="F39" s="57" t="s">
        <v>190</v>
      </c>
      <c r="G39" s="57" t="s">
        <v>42</v>
      </c>
      <c r="H39" s="57" t="s">
        <v>165</v>
      </c>
      <c r="I39" s="57" t="s">
        <v>159</v>
      </c>
      <c r="J39" s="57" t="s">
        <v>38</v>
      </c>
      <c r="K39" s="57" t="s">
        <v>161</v>
      </c>
      <c r="L39" s="36">
        <v>2</v>
      </c>
      <c r="N39" s="57">
        <v>4</v>
      </c>
      <c r="O39" s="57">
        <v>0.7</v>
      </c>
      <c r="P39" s="57">
        <v>0.5</v>
      </c>
      <c r="Q39" s="75">
        <f t="shared" si="0"/>
        <v>0.6</v>
      </c>
      <c r="R39" s="57">
        <v>12.8</v>
      </c>
      <c r="S39" s="57">
        <v>123</v>
      </c>
      <c r="T39" s="62">
        <f t="shared" si="1"/>
        <v>27</v>
      </c>
      <c r="U39" s="36">
        <v>429</v>
      </c>
      <c r="V39" s="62">
        <f t="shared" si="2"/>
        <v>2895.75</v>
      </c>
      <c r="W39" s="36">
        <v>2</v>
      </c>
      <c r="X39" s="57" t="s">
        <v>46</v>
      </c>
      <c r="Y39" s="57" t="s">
        <v>55</v>
      </c>
      <c r="Z39" s="57" t="s">
        <v>69</v>
      </c>
      <c r="AA39" s="57" t="s">
        <v>78</v>
      </c>
      <c r="AB39" s="57" t="s">
        <v>158</v>
      </c>
    </row>
    <row r="40" spans="1:30" x14ac:dyDescent="0.15">
      <c r="A40" s="57" t="s">
        <v>41</v>
      </c>
      <c r="B40" s="58" t="s">
        <v>157</v>
      </c>
      <c r="C40" s="59">
        <v>2019</v>
      </c>
      <c r="D40" s="60" t="s">
        <v>185</v>
      </c>
      <c r="E40" s="36" t="s">
        <v>188</v>
      </c>
      <c r="F40" s="57" t="s">
        <v>190</v>
      </c>
      <c r="G40" s="57" t="s">
        <v>42</v>
      </c>
      <c r="H40" s="57" t="s">
        <v>165</v>
      </c>
      <c r="I40" s="57" t="s">
        <v>159</v>
      </c>
      <c r="J40" s="57" t="s">
        <v>38</v>
      </c>
      <c r="K40" s="57" t="s">
        <v>161</v>
      </c>
      <c r="L40" s="36">
        <v>3</v>
      </c>
      <c r="N40" s="57">
        <v>4</v>
      </c>
      <c r="O40" s="57">
        <v>0.5</v>
      </c>
      <c r="P40" s="57">
        <v>0.65</v>
      </c>
      <c r="Q40" s="75">
        <f t="shared" si="0"/>
        <v>0.57499999999999996</v>
      </c>
      <c r="R40" s="57">
        <v>15.4</v>
      </c>
      <c r="S40" s="57">
        <v>122</v>
      </c>
      <c r="T40" s="62">
        <f t="shared" si="1"/>
        <v>27</v>
      </c>
      <c r="U40" s="36">
        <v>429</v>
      </c>
      <c r="V40" s="62">
        <f t="shared" si="2"/>
        <v>2895.75</v>
      </c>
      <c r="W40" s="36">
        <v>2</v>
      </c>
      <c r="X40" s="57" t="s">
        <v>46</v>
      </c>
      <c r="Y40" s="57" t="s">
        <v>55</v>
      </c>
      <c r="Z40" s="57" t="s">
        <v>69</v>
      </c>
      <c r="AA40" s="57" t="s">
        <v>78</v>
      </c>
      <c r="AB40" s="57" t="s">
        <v>158</v>
      </c>
    </row>
    <row r="41" spans="1:30" x14ac:dyDescent="0.15">
      <c r="A41" s="57" t="s">
        <v>41</v>
      </c>
      <c r="B41" s="58" t="s">
        <v>157</v>
      </c>
      <c r="C41" s="59">
        <v>2019</v>
      </c>
      <c r="D41" s="60" t="s">
        <v>185</v>
      </c>
      <c r="E41" s="36" t="s">
        <v>188</v>
      </c>
      <c r="F41" s="57" t="s">
        <v>190</v>
      </c>
      <c r="G41" s="57" t="s">
        <v>42</v>
      </c>
      <c r="H41" s="57" t="s">
        <v>165</v>
      </c>
      <c r="I41" s="57" t="s">
        <v>159</v>
      </c>
      <c r="J41" s="57" t="s">
        <v>38</v>
      </c>
      <c r="K41" s="57" t="s">
        <v>161</v>
      </c>
      <c r="L41" s="36">
        <v>1</v>
      </c>
      <c r="N41" s="36">
        <v>8</v>
      </c>
      <c r="O41" s="36">
        <v>0.45</v>
      </c>
      <c r="P41" s="36">
        <v>0.55000000000000004</v>
      </c>
      <c r="Q41" s="75">
        <f t="shared" si="0"/>
        <v>0.5</v>
      </c>
      <c r="R41" s="36">
        <v>13.8</v>
      </c>
      <c r="S41" s="36">
        <v>120</v>
      </c>
      <c r="T41" s="62">
        <f t="shared" si="1"/>
        <v>30</v>
      </c>
      <c r="U41" s="36">
        <v>645</v>
      </c>
      <c r="V41" s="62">
        <f t="shared" si="2"/>
        <v>2418.75</v>
      </c>
      <c r="W41" s="36">
        <v>2</v>
      </c>
      <c r="X41" s="57" t="s">
        <v>46</v>
      </c>
      <c r="Y41" s="57" t="s">
        <v>55</v>
      </c>
      <c r="Z41" s="57" t="s">
        <v>69</v>
      </c>
      <c r="AA41" s="57" t="s">
        <v>78</v>
      </c>
      <c r="AB41" s="57" t="s">
        <v>158</v>
      </c>
    </row>
    <row r="42" spans="1:30" x14ac:dyDescent="0.15">
      <c r="A42" s="57" t="s">
        <v>41</v>
      </c>
      <c r="B42" s="58" t="s">
        <v>157</v>
      </c>
      <c r="C42" s="59">
        <v>2019</v>
      </c>
      <c r="D42" s="60" t="s">
        <v>185</v>
      </c>
      <c r="E42" s="36" t="s">
        <v>188</v>
      </c>
      <c r="F42" s="57" t="s">
        <v>190</v>
      </c>
      <c r="G42" s="57" t="s">
        <v>42</v>
      </c>
      <c r="H42" s="57" t="s">
        <v>165</v>
      </c>
      <c r="I42" s="57" t="s">
        <v>159</v>
      </c>
      <c r="J42" s="57" t="s">
        <v>38</v>
      </c>
      <c r="K42" s="57" t="s">
        <v>161</v>
      </c>
      <c r="L42" s="36">
        <v>2</v>
      </c>
      <c r="N42" s="36">
        <v>8</v>
      </c>
      <c r="O42" s="36">
        <v>0.8</v>
      </c>
      <c r="P42" s="36">
        <v>0.7</v>
      </c>
      <c r="Q42" s="75">
        <f t="shared" si="0"/>
        <v>0.75</v>
      </c>
      <c r="R42" s="36">
        <v>12</v>
      </c>
      <c r="S42" s="36">
        <v>118</v>
      </c>
      <c r="T42" s="62">
        <f t="shared" si="1"/>
        <v>30</v>
      </c>
      <c r="U42" s="36">
        <v>645</v>
      </c>
      <c r="V42" s="62">
        <f t="shared" si="2"/>
        <v>2418.75</v>
      </c>
      <c r="W42" s="36">
        <v>2</v>
      </c>
      <c r="X42" s="57" t="s">
        <v>46</v>
      </c>
      <c r="Y42" s="57" t="s">
        <v>55</v>
      </c>
      <c r="Z42" s="57" t="s">
        <v>69</v>
      </c>
      <c r="AA42" s="57" t="s">
        <v>78</v>
      </c>
      <c r="AB42" s="57" t="s">
        <v>158</v>
      </c>
    </row>
    <row r="43" spans="1:30" x14ac:dyDescent="0.15">
      <c r="A43" s="57" t="s">
        <v>41</v>
      </c>
      <c r="B43" s="58" t="s">
        <v>157</v>
      </c>
      <c r="C43" s="59">
        <v>2019</v>
      </c>
      <c r="D43" s="60" t="s">
        <v>185</v>
      </c>
      <c r="E43" s="36" t="s">
        <v>188</v>
      </c>
      <c r="F43" s="57" t="s">
        <v>190</v>
      </c>
      <c r="G43" s="57" t="s">
        <v>42</v>
      </c>
      <c r="H43" s="57" t="s">
        <v>165</v>
      </c>
      <c r="I43" s="57" t="s">
        <v>159</v>
      </c>
      <c r="J43" s="57" t="s">
        <v>38</v>
      </c>
      <c r="K43" s="57" t="s">
        <v>161</v>
      </c>
      <c r="L43" s="36">
        <v>3</v>
      </c>
      <c r="N43" s="36">
        <v>8</v>
      </c>
      <c r="O43" s="36">
        <v>0.95</v>
      </c>
      <c r="P43" s="36">
        <v>0.85</v>
      </c>
      <c r="Q43" s="75">
        <f t="shared" si="0"/>
        <v>0.89999999999999991</v>
      </c>
      <c r="R43" s="36">
        <v>15.7</v>
      </c>
      <c r="S43" s="36">
        <v>120</v>
      </c>
      <c r="T43" s="62">
        <f t="shared" si="1"/>
        <v>30</v>
      </c>
      <c r="U43" s="36">
        <v>645</v>
      </c>
      <c r="V43" s="62">
        <f t="shared" si="2"/>
        <v>2418.75</v>
      </c>
      <c r="W43" s="36">
        <v>2</v>
      </c>
      <c r="X43" s="57" t="s">
        <v>46</v>
      </c>
      <c r="Y43" s="57" t="s">
        <v>55</v>
      </c>
      <c r="Z43" s="57" t="s">
        <v>69</v>
      </c>
      <c r="AA43" s="57" t="s">
        <v>78</v>
      </c>
      <c r="AB43" s="57" t="s">
        <v>158</v>
      </c>
    </row>
    <row r="44" spans="1:30" x14ac:dyDescent="0.15">
      <c r="A44" s="57" t="s">
        <v>41</v>
      </c>
      <c r="B44" s="58" t="s">
        <v>157</v>
      </c>
      <c r="C44" s="59">
        <v>2019</v>
      </c>
      <c r="D44" s="60" t="s">
        <v>185</v>
      </c>
      <c r="E44" s="36" t="s">
        <v>188</v>
      </c>
      <c r="F44" s="57" t="s">
        <v>190</v>
      </c>
      <c r="G44" s="57" t="s">
        <v>42</v>
      </c>
      <c r="H44" s="57" t="s">
        <v>160</v>
      </c>
      <c r="I44" s="57" t="s">
        <v>159</v>
      </c>
      <c r="J44" s="57" t="s">
        <v>38</v>
      </c>
      <c r="K44" s="57" t="s">
        <v>161</v>
      </c>
      <c r="L44" s="36">
        <v>1</v>
      </c>
      <c r="N44" s="36">
        <v>1</v>
      </c>
      <c r="O44" s="36">
        <v>0.45</v>
      </c>
      <c r="P44" s="36">
        <v>0.4</v>
      </c>
      <c r="Q44" s="75">
        <f t="shared" si="0"/>
        <v>0.42500000000000004</v>
      </c>
      <c r="R44" s="36">
        <v>15.1</v>
      </c>
      <c r="S44" s="36">
        <v>124</v>
      </c>
      <c r="T44" s="62">
        <f t="shared" si="1"/>
        <v>27</v>
      </c>
      <c r="U44" s="36">
        <v>149</v>
      </c>
      <c r="V44" s="62">
        <f t="shared" si="2"/>
        <v>4023</v>
      </c>
      <c r="W44" s="36">
        <v>4</v>
      </c>
      <c r="X44" s="57" t="s">
        <v>46</v>
      </c>
      <c r="Y44" s="57" t="s">
        <v>55</v>
      </c>
      <c r="Z44" s="57" t="s">
        <v>69</v>
      </c>
      <c r="AA44" s="57" t="s">
        <v>78</v>
      </c>
      <c r="AB44" s="57" t="s">
        <v>158</v>
      </c>
    </row>
    <row r="45" spans="1:30" x14ac:dyDescent="0.15">
      <c r="A45" s="57" t="s">
        <v>41</v>
      </c>
      <c r="B45" s="58" t="s">
        <v>157</v>
      </c>
      <c r="C45" s="59">
        <v>2019</v>
      </c>
      <c r="D45" s="60" t="s">
        <v>185</v>
      </c>
      <c r="E45" s="36" t="s">
        <v>188</v>
      </c>
      <c r="F45" s="57" t="s">
        <v>190</v>
      </c>
      <c r="G45" s="57" t="s">
        <v>42</v>
      </c>
      <c r="H45" s="57" t="s">
        <v>160</v>
      </c>
      <c r="I45" s="57" t="s">
        <v>159</v>
      </c>
      <c r="J45" s="57" t="s">
        <v>38</v>
      </c>
      <c r="K45" s="57" t="s">
        <v>161</v>
      </c>
      <c r="L45" s="36">
        <v>2</v>
      </c>
      <c r="N45" s="36">
        <v>1</v>
      </c>
      <c r="O45" s="36">
        <v>0.25</v>
      </c>
      <c r="P45" s="36">
        <v>0.35</v>
      </c>
      <c r="Q45" s="75">
        <f t="shared" si="0"/>
        <v>0.3</v>
      </c>
      <c r="R45" s="36">
        <v>13.4</v>
      </c>
      <c r="S45" s="36">
        <v>125</v>
      </c>
      <c r="T45" s="62">
        <f t="shared" si="1"/>
        <v>27</v>
      </c>
      <c r="U45" s="36">
        <v>149</v>
      </c>
      <c r="V45" s="62">
        <f t="shared" si="2"/>
        <v>4023</v>
      </c>
      <c r="W45" s="36">
        <v>4</v>
      </c>
      <c r="X45" s="57" t="s">
        <v>46</v>
      </c>
      <c r="Y45" s="57" t="s">
        <v>55</v>
      </c>
      <c r="Z45" s="57" t="s">
        <v>69</v>
      </c>
      <c r="AA45" s="57" t="s">
        <v>78</v>
      </c>
      <c r="AB45" s="57" t="s">
        <v>158</v>
      </c>
    </row>
    <row r="46" spans="1:30" x14ac:dyDescent="0.15">
      <c r="A46" s="57" t="s">
        <v>41</v>
      </c>
      <c r="B46" s="58" t="s">
        <v>157</v>
      </c>
      <c r="C46" s="59">
        <v>2019</v>
      </c>
      <c r="D46" s="60" t="s">
        <v>185</v>
      </c>
      <c r="E46" s="36" t="s">
        <v>188</v>
      </c>
      <c r="F46" s="57" t="s">
        <v>190</v>
      </c>
      <c r="G46" s="57" t="s">
        <v>42</v>
      </c>
      <c r="H46" s="57" t="s">
        <v>160</v>
      </c>
      <c r="I46" s="57" t="s">
        <v>159</v>
      </c>
      <c r="J46" s="57" t="s">
        <v>38</v>
      </c>
      <c r="K46" s="57" t="s">
        <v>161</v>
      </c>
      <c r="L46" s="36">
        <v>3</v>
      </c>
      <c r="N46" s="36">
        <v>1</v>
      </c>
      <c r="O46" s="36">
        <v>0.3</v>
      </c>
      <c r="P46" s="36">
        <v>0.35</v>
      </c>
      <c r="Q46" s="75">
        <f t="shared" si="0"/>
        <v>0.32499999999999996</v>
      </c>
      <c r="R46" s="36">
        <v>14.9</v>
      </c>
      <c r="S46" s="36">
        <v>123</v>
      </c>
      <c r="T46" s="62">
        <f t="shared" si="1"/>
        <v>27</v>
      </c>
      <c r="U46" s="36">
        <v>149</v>
      </c>
      <c r="V46" s="62">
        <f t="shared" si="2"/>
        <v>4023</v>
      </c>
      <c r="W46" s="36">
        <v>4</v>
      </c>
      <c r="X46" s="57" t="s">
        <v>46</v>
      </c>
      <c r="Y46" s="57" t="s">
        <v>55</v>
      </c>
      <c r="Z46" s="57" t="s">
        <v>69</v>
      </c>
      <c r="AA46" s="57" t="s">
        <v>78</v>
      </c>
      <c r="AB46" s="57" t="s">
        <v>158</v>
      </c>
    </row>
    <row r="47" spans="1:30" x14ac:dyDescent="0.15">
      <c r="A47" s="57" t="s">
        <v>41</v>
      </c>
      <c r="B47" s="58" t="s">
        <v>157</v>
      </c>
      <c r="C47" s="59">
        <v>2019</v>
      </c>
      <c r="D47" s="60" t="s">
        <v>185</v>
      </c>
      <c r="E47" s="36" t="s">
        <v>188</v>
      </c>
      <c r="F47" s="57" t="s">
        <v>190</v>
      </c>
      <c r="G47" s="57" t="s">
        <v>42</v>
      </c>
      <c r="H47" s="57" t="s">
        <v>160</v>
      </c>
      <c r="I47" s="57" t="s">
        <v>159</v>
      </c>
      <c r="J47" s="57" t="s">
        <v>38</v>
      </c>
      <c r="K47" s="57" t="s">
        <v>161</v>
      </c>
      <c r="L47" s="36">
        <v>1</v>
      </c>
      <c r="N47" s="36">
        <v>4</v>
      </c>
      <c r="O47" s="57">
        <v>0.25</v>
      </c>
      <c r="P47" s="57">
        <v>0.35</v>
      </c>
      <c r="Q47" s="75">
        <f t="shared" si="0"/>
        <v>0.3</v>
      </c>
      <c r="R47" s="57">
        <v>14.5</v>
      </c>
      <c r="S47" s="57">
        <v>120</v>
      </c>
      <c r="T47" s="62">
        <f t="shared" si="1"/>
        <v>30</v>
      </c>
      <c r="U47" s="36">
        <v>537</v>
      </c>
      <c r="V47" s="62">
        <f t="shared" si="2"/>
        <v>4027.5</v>
      </c>
      <c r="W47" s="36">
        <v>3</v>
      </c>
      <c r="X47" s="57" t="s">
        <v>46</v>
      </c>
      <c r="Y47" s="57" t="s">
        <v>55</v>
      </c>
      <c r="Z47" s="57" t="s">
        <v>69</v>
      </c>
      <c r="AA47" s="57" t="s">
        <v>78</v>
      </c>
      <c r="AB47" s="57" t="s">
        <v>158</v>
      </c>
      <c r="AC47" s="57"/>
      <c r="AD47" s="57"/>
    </row>
    <row r="48" spans="1:30" x14ac:dyDescent="0.15">
      <c r="A48" s="57" t="s">
        <v>41</v>
      </c>
      <c r="B48" s="58" t="s">
        <v>157</v>
      </c>
      <c r="C48" s="59">
        <v>2019</v>
      </c>
      <c r="D48" s="60" t="s">
        <v>185</v>
      </c>
      <c r="E48" s="36" t="s">
        <v>188</v>
      </c>
      <c r="F48" s="57" t="s">
        <v>190</v>
      </c>
      <c r="G48" s="57" t="s">
        <v>42</v>
      </c>
      <c r="H48" s="57" t="s">
        <v>160</v>
      </c>
      <c r="I48" s="57" t="s">
        <v>159</v>
      </c>
      <c r="J48" s="57" t="s">
        <v>38</v>
      </c>
      <c r="K48" s="57" t="s">
        <v>161</v>
      </c>
      <c r="L48" s="36">
        <v>2</v>
      </c>
      <c r="N48" s="36">
        <v>4</v>
      </c>
      <c r="O48" s="57">
        <v>0.5</v>
      </c>
      <c r="P48" s="57">
        <v>0.4</v>
      </c>
      <c r="Q48" s="75">
        <f t="shared" si="0"/>
        <v>0.45</v>
      </c>
      <c r="R48" s="57">
        <v>14.7</v>
      </c>
      <c r="S48" s="57">
        <v>122</v>
      </c>
      <c r="T48" s="62">
        <f t="shared" si="1"/>
        <v>27</v>
      </c>
      <c r="U48" s="36">
        <v>537</v>
      </c>
      <c r="V48" s="62">
        <f t="shared" si="2"/>
        <v>3624.75</v>
      </c>
      <c r="W48" s="36">
        <v>3</v>
      </c>
      <c r="X48" s="57" t="s">
        <v>46</v>
      </c>
      <c r="Y48" s="57" t="s">
        <v>55</v>
      </c>
      <c r="Z48" s="57" t="s">
        <v>69</v>
      </c>
      <c r="AA48" s="57" t="s">
        <v>78</v>
      </c>
      <c r="AB48" s="57" t="s">
        <v>158</v>
      </c>
    </row>
    <row r="49" spans="1:28" x14ac:dyDescent="0.15">
      <c r="A49" s="57" t="s">
        <v>41</v>
      </c>
      <c r="B49" s="58" t="s">
        <v>157</v>
      </c>
      <c r="C49" s="59">
        <v>2019</v>
      </c>
      <c r="D49" s="60" t="s">
        <v>185</v>
      </c>
      <c r="E49" s="36" t="s">
        <v>188</v>
      </c>
      <c r="F49" s="57" t="s">
        <v>190</v>
      </c>
      <c r="G49" s="57" t="s">
        <v>42</v>
      </c>
      <c r="H49" s="57" t="s">
        <v>160</v>
      </c>
      <c r="I49" s="57" t="s">
        <v>159</v>
      </c>
      <c r="J49" s="57" t="s">
        <v>38</v>
      </c>
      <c r="K49" s="57" t="s">
        <v>161</v>
      </c>
      <c r="L49" s="36">
        <v>3</v>
      </c>
      <c r="N49" s="36">
        <v>4</v>
      </c>
      <c r="O49" s="57">
        <v>0.45</v>
      </c>
      <c r="P49" s="57">
        <v>0.35</v>
      </c>
      <c r="Q49" s="75">
        <f t="shared" si="0"/>
        <v>0.4</v>
      </c>
      <c r="R49" s="57">
        <v>16.8</v>
      </c>
      <c r="S49" s="57">
        <v>121</v>
      </c>
      <c r="T49" s="62">
        <f t="shared" si="1"/>
        <v>27</v>
      </c>
      <c r="U49" s="36">
        <v>537</v>
      </c>
      <c r="V49" s="62">
        <f t="shared" si="2"/>
        <v>3624.75</v>
      </c>
      <c r="W49" s="36">
        <v>3</v>
      </c>
      <c r="X49" s="57" t="s">
        <v>46</v>
      </c>
      <c r="Y49" s="57" t="s">
        <v>55</v>
      </c>
      <c r="Z49" s="57" t="s">
        <v>69</v>
      </c>
      <c r="AA49" s="57" t="s">
        <v>78</v>
      </c>
      <c r="AB49" s="57" t="s">
        <v>158</v>
      </c>
    </row>
    <row r="50" spans="1:28" x14ac:dyDescent="0.15">
      <c r="A50" s="57" t="s">
        <v>41</v>
      </c>
      <c r="B50" s="58" t="s">
        <v>157</v>
      </c>
      <c r="C50" s="59">
        <v>2019</v>
      </c>
      <c r="D50" s="60" t="s">
        <v>185</v>
      </c>
      <c r="E50" s="36" t="s">
        <v>188</v>
      </c>
      <c r="F50" s="57" t="s">
        <v>190</v>
      </c>
      <c r="G50" s="57" t="s">
        <v>42</v>
      </c>
      <c r="H50" s="57" t="s">
        <v>160</v>
      </c>
      <c r="I50" s="57" t="s">
        <v>159</v>
      </c>
      <c r="J50" s="57" t="s">
        <v>38</v>
      </c>
      <c r="K50" s="57" t="s">
        <v>161</v>
      </c>
      <c r="L50" s="36">
        <v>1</v>
      </c>
      <c r="N50" s="36">
        <v>6</v>
      </c>
      <c r="O50" s="36">
        <v>1.2</v>
      </c>
      <c r="P50" s="36">
        <v>0.95</v>
      </c>
      <c r="Q50" s="75">
        <f t="shared" si="0"/>
        <v>1.075</v>
      </c>
      <c r="R50" s="36">
        <v>16.2</v>
      </c>
      <c r="S50" s="36">
        <v>120</v>
      </c>
      <c r="T50" s="62">
        <f t="shared" si="1"/>
        <v>30</v>
      </c>
      <c r="U50" s="36">
        <v>753</v>
      </c>
      <c r="V50" s="62">
        <f t="shared" si="2"/>
        <v>3765</v>
      </c>
      <c r="W50" s="36">
        <v>2</v>
      </c>
      <c r="X50" s="57" t="s">
        <v>46</v>
      </c>
      <c r="Y50" s="57" t="s">
        <v>55</v>
      </c>
      <c r="Z50" s="57" t="s">
        <v>69</v>
      </c>
      <c r="AA50" s="57" t="s">
        <v>78</v>
      </c>
      <c r="AB50" s="57" t="s">
        <v>158</v>
      </c>
    </row>
    <row r="51" spans="1:28" x14ac:dyDescent="0.15">
      <c r="A51" s="57" t="s">
        <v>41</v>
      </c>
      <c r="B51" s="58" t="s">
        <v>157</v>
      </c>
      <c r="C51" s="59">
        <v>2019</v>
      </c>
      <c r="D51" s="60" t="s">
        <v>185</v>
      </c>
      <c r="E51" s="36" t="s">
        <v>188</v>
      </c>
      <c r="F51" s="57" t="s">
        <v>190</v>
      </c>
      <c r="G51" s="57" t="s">
        <v>42</v>
      </c>
      <c r="H51" s="57" t="s">
        <v>160</v>
      </c>
      <c r="I51" s="57" t="s">
        <v>159</v>
      </c>
      <c r="J51" s="57" t="s">
        <v>38</v>
      </c>
      <c r="K51" s="57" t="s">
        <v>161</v>
      </c>
      <c r="L51" s="36">
        <v>2</v>
      </c>
      <c r="N51" s="36">
        <v>6</v>
      </c>
      <c r="O51" s="57">
        <v>0.95</v>
      </c>
      <c r="P51" s="57">
        <v>1</v>
      </c>
      <c r="Q51" s="75">
        <f t="shared" si="0"/>
        <v>0.97499999999999998</v>
      </c>
      <c r="R51" s="36">
        <v>15.8</v>
      </c>
      <c r="S51" s="36">
        <v>115</v>
      </c>
      <c r="T51" s="62">
        <f t="shared" si="1"/>
        <v>30</v>
      </c>
      <c r="U51" s="36">
        <v>753</v>
      </c>
      <c r="V51" s="62">
        <f t="shared" si="2"/>
        <v>3765</v>
      </c>
      <c r="W51" s="36">
        <v>2</v>
      </c>
      <c r="X51" s="57" t="s">
        <v>46</v>
      </c>
      <c r="Y51" s="57" t="s">
        <v>55</v>
      </c>
      <c r="Z51" s="57" t="s">
        <v>69</v>
      </c>
      <c r="AA51" s="57" t="s">
        <v>78</v>
      </c>
      <c r="AB51" s="57" t="s">
        <v>158</v>
      </c>
    </row>
    <row r="52" spans="1:28" x14ac:dyDescent="0.15">
      <c r="A52" s="57" t="s">
        <v>41</v>
      </c>
      <c r="B52" s="58" t="s">
        <v>157</v>
      </c>
      <c r="C52" s="59">
        <v>2019</v>
      </c>
      <c r="D52" s="60" t="s">
        <v>185</v>
      </c>
      <c r="E52" s="36" t="s">
        <v>188</v>
      </c>
      <c r="F52" s="57" t="s">
        <v>190</v>
      </c>
      <c r="G52" s="57" t="s">
        <v>42</v>
      </c>
      <c r="H52" s="57" t="s">
        <v>160</v>
      </c>
      <c r="I52" s="57" t="s">
        <v>159</v>
      </c>
      <c r="J52" s="57" t="s">
        <v>38</v>
      </c>
      <c r="K52" s="57" t="s">
        <v>161</v>
      </c>
      <c r="L52" s="36">
        <v>3</v>
      </c>
      <c r="N52" s="36">
        <v>6</v>
      </c>
      <c r="O52" s="57">
        <v>1</v>
      </c>
      <c r="P52" s="57">
        <v>0.9</v>
      </c>
      <c r="Q52" s="75">
        <f t="shared" si="0"/>
        <v>0.95</v>
      </c>
      <c r="R52" s="36">
        <v>15</v>
      </c>
      <c r="S52" s="36">
        <v>118</v>
      </c>
      <c r="T52" s="62">
        <f t="shared" si="1"/>
        <v>30</v>
      </c>
      <c r="U52" s="36">
        <v>753</v>
      </c>
      <c r="V52" s="62">
        <f t="shared" si="2"/>
        <v>3765</v>
      </c>
      <c r="W52" s="36">
        <v>2</v>
      </c>
      <c r="X52" s="57" t="s">
        <v>46</v>
      </c>
      <c r="Y52" s="57" t="s">
        <v>55</v>
      </c>
      <c r="Z52" s="57" t="s">
        <v>69</v>
      </c>
      <c r="AA52" s="57" t="s">
        <v>78</v>
      </c>
      <c r="AB52" s="57" t="s">
        <v>158</v>
      </c>
    </row>
    <row r="53" spans="1:28" x14ac:dyDescent="0.15">
      <c r="A53" s="57" t="s">
        <v>41</v>
      </c>
      <c r="B53" s="58" t="s">
        <v>157</v>
      </c>
      <c r="C53" s="59">
        <v>2019</v>
      </c>
      <c r="D53" s="60" t="s">
        <v>185</v>
      </c>
      <c r="E53" s="36" t="s">
        <v>195</v>
      </c>
      <c r="F53" s="57" t="s">
        <v>186</v>
      </c>
      <c r="G53" s="57" t="s">
        <v>42</v>
      </c>
      <c r="H53" s="57" t="s">
        <v>160</v>
      </c>
      <c r="I53" s="57" t="s">
        <v>159</v>
      </c>
      <c r="J53" s="57" t="s">
        <v>38</v>
      </c>
      <c r="K53" s="57" t="s">
        <v>161</v>
      </c>
      <c r="L53" s="36">
        <v>1</v>
      </c>
      <c r="N53" s="36">
        <v>1</v>
      </c>
      <c r="O53" s="58">
        <v>0.5</v>
      </c>
      <c r="P53" s="58">
        <v>0.45</v>
      </c>
      <c r="Q53" s="75">
        <f t="shared" si="0"/>
        <v>0.47499999999999998</v>
      </c>
      <c r="R53" s="36">
        <v>13.3</v>
      </c>
      <c r="S53" s="36">
        <v>120</v>
      </c>
      <c r="T53" s="62">
        <f t="shared" si="1"/>
        <v>30</v>
      </c>
      <c r="U53" s="36">
        <v>138</v>
      </c>
      <c r="V53" s="62">
        <f t="shared" si="2"/>
        <v>4140</v>
      </c>
      <c r="W53" s="36">
        <v>4</v>
      </c>
      <c r="X53" s="57" t="s">
        <v>46</v>
      </c>
      <c r="Y53" s="36" t="s">
        <v>55</v>
      </c>
      <c r="Z53" s="36" t="s">
        <v>69</v>
      </c>
      <c r="AA53" s="36" t="s">
        <v>60</v>
      </c>
      <c r="AB53" s="57" t="s">
        <v>158</v>
      </c>
    </row>
    <row r="54" spans="1:28" x14ac:dyDescent="0.15">
      <c r="A54" s="57" t="s">
        <v>41</v>
      </c>
      <c r="B54" s="58" t="s">
        <v>157</v>
      </c>
      <c r="C54" s="59">
        <v>2019</v>
      </c>
      <c r="D54" s="60" t="s">
        <v>185</v>
      </c>
      <c r="E54" s="36" t="s">
        <v>195</v>
      </c>
      <c r="F54" s="57" t="s">
        <v>186</v>
      </c>
      <c r="G54" s="57" t="s">
        <v>42</v>
      </c>
      <c r="H54" s="57" t="s">
        <v>160</v>
      </c>
      <c r="I54" s="57" t="s">
        <v>159</v>
      </c>
      <c r="J54" s="57" t="s">
        <v>38</v>
      </c>
      <c r="K54" s="57" t="s">
        <v>161</v>
      </c>
      <c r="L54" s="36">
        <v>2</v>
      </c>
      <c r="N54" s="36">
        <v>1</v>
      </c>
      <c r="O54" s="58">
        <v>0.55000000000000004</v>
      </c>
      <c r="P54" s="58">
        <v>0.4</v>
      </c>
      <c r="Q54" s="75">
        <f t="shared" si="0"/>
        <v>0.47500000000000003</v>
      </c>
      <c r="R54" s="36">
        <v>12.9</v>
      </c>
      <c r="S54" s="36">
        <v>122</v>
      </c>
      <c r="T54" s="62">
        <f t="shared" si="1"/>
        <v>27</v>
      </c>
      <c r="U54" s="36">
        <v>138</v>
      </c>
      <c r="V54" s="62">
        <f t="shared" si="2"/>
        <v>3726</v>
      </c>
      <c r="W54" s="36">
        <v>4</v>
      </c>
      <c r="X54" s="57" t="s">
        <v>46</v>
      </c>
      <c r="Y54" s="36" t="s">
        <v>55</v>
      </c>
      <c r="Z54" s="36" t="s">
        <v>69</v>
      </c>
      <c r="AA54" s="36" t="s">
        <v>60</v>
      </c>
      <c r="AB54" s="57" t="s">
        <v>158</v>
      </c>
    </row>
    <row r="55" spans="1:28" x14ac:dyDescent="0.15">
      <c r="A55" s="57" t="s">
        <v>41</v>
      </c>
      <c r="B55" s="58" t="s">
        <v>157</v>
      </c>
      <c r="C55" s="59">
        <v>2019</v>
      </c>
      <c r="D55" s="60" t="s">
        <v>185</v>
      </c>
      <c r="E55" s="36" t="s">
        <v>195</v>
      </c>
      <c r="F55" s="57" t="s">
        <v>186</v>
      </c>
      <c r="G55" s="57" t="s">
        <v>42</v>
      </c>
      <c r="H55" s="57" t="s">
        <v>160</v>
      </c>
      <c r="I55" s="57" t="s">
        <v>159</v>
      </c>
      <c r="J55" s="57" t="s">
        <v>38</v>
      </c>
      <c r="K55" s="57" t="s">
        <v>161</v>
      </c>
      <c r="L55" s="36">
        <v>3</v>
      </c>
      <c r="N55" s="36">
        <v>1</v>
      </c>
      <c r="O55" s="58">
        <v>0.6</v>
      </c>
      <c r="P55" s="58">
        <v>0.45</v>
      </c>
      <c r="Q55" s="75">
        <f t="shared" si="0"/>
        <v>0.52500000000000002</v>
      </c>
      <c r="R55" s="36">
        <v>16.8</v>
      </c>
      <c r="S55" s="36">
        <v>124</v>
      </c>
      <c r="T55" s="62">
        <f t="shared" si="1"/>
        <v>27</v>
      </c>
      <c r="U55" s="36">
        <v>138</v>
      </c>
      <c r="V55" s="62">
        <f t="shared" si="2"/>
        <v>3726</v>
      </c>
      <c r="W55" s="36">
        <v>4</v>
      </c>
      <c r="X55" s="57" t="s">
        <v>46</v>
      </c>
      <c r="Y55" s="36" t="s">
        <v>55</v>
      </c>
      <c r="Z55" s="36" t="s">
        <v>69</v>
      </c>
      <c r="AA55" s="36" t="s">
        <v>60</v>
      </c>
      <c r="AB55" s="57" t="s">
        <v>158</v>
      </c>
    </row>
    <row r="56" spans="1:28" x14ac:dyDescent="0.15">
      <c r="A56" s="57" t="s">
        <v>41</v>
      </c>
      <c r="B56" s="58" t="s">
        <v>157</v>
      </c>
      <c r="C56" s="59">
        <v>2019</v>
      </c>
      <c r="D56" s="60" t="s">
        <v>185</v>
      </c>
      <c r="E56" s="36" t="s">
        <v>195</v>
      </c>
      <c r="F56" s="57" t="s">
        <v>186</v>
      </c>
      <c r="G56" s="57" t="s">
        <v>42</v>
      </c>
      <c r="H56" s="57" t="s">
        <v>160</v>
      </c>
      <c r="I56" s="57" t="s">
        <v>159</v>
      </c>
      <c r="J56" s="57" t="s">
        <v>38</v>
      </c>
      <c r="K56" s="57" t="s">
        <v>161</v>
      </c>
      <c r="L56" s="36">
        <v>1</v>
      </c>
      <c r="N56" s="57">
        <v>5</v>
      </c>
      <c r="O56" s="58">
        <v>0.25</v>
      </c>
      <c r="P56" s="58">
        <v>0.2</v>
      </c>
      <c r="Q56" s="75">
        <f t="shared" si="0"/>
        <v>0.22500000000000001</v>
      </c>
      <c r="R56" s="36">
        <v>17.399999999999999</v>
      </c>
      <c r="S56" s="36">
        <v>120</v>
      </c>
      <c r="T56" s="62">
        <f t="shared" si="1"/>
        <v>30</v>
      </c>
      <c r="U56" s="36">
        <v>537</v>
      </c>
      <c r="V56" s="62">
        <f t="shared" si="2"/>
        <v>3222</v>
      </c>
      <c r="W56" s="36">
        <v>2</v>
      </c>
      <c r="X56" s="57" t="s">
        <v>46</v>
      </c>
      <c r="Y56" s="36" t="s">
        <v>55</v>
      </c>
      <c r="Z56" s="36" t="s">
        <v>69</v>
      </c>
      <c r="AA56" s="36" t="s">
        <v>60</v>
      </c>
      <c r="AB56" s="57" t="s">
        <v>158</v>
      </c>
    </row>
    <row r="57" spans="1:28" x14ac:dyDescent="0.15">
      <c r="A57" s="57" t="s">
        <v>41</v>
      </c>
      <c r="B57" s="58" t="s">
        <v>157</v>
      </c>
      <c r="C57" s="59">
        <v>2019</v>
      </c>
      <c r="D57" s="60" t="s">
        <v>185</v>
      </c>
      <c r="E57" s="36" t="s">
        <v>195</v>
      </c>
      <c r="F57" s="57" t="s">
        <v>186</v>
      </c>
      <c r="G57" s="57" t="s">
        <v>42</v>
      </c>
      <c r="H57" s="57" t="s">
        <v>160</v>
      </c>
      <c r="I57" s="57" t="s">
        <v>159</v>
      </c>
      <c r="J57" s="57" t="s">
        <v>38</v>
      </c>
      <c r="K57" s="57" t="s">
        <v>161</v>
      </c>
      <c r="L57" s="36">
        <v>2</v>
      </c>
      <c r="N57" s="57">
        <v>5</v>
      </c>
      <c r="O57" s="58">
        <v>0.3</v>
      </c>
      <c r="P57" s="58">
        <v>0.25</v>
      </c>
      <c r="Q57" s="75">
        <f t="shared" si="0"/>
        <v>0.27500000000000002</v>
      </c>
      <c r="R57" s="36">
        <v>15.8</v>
      </c>
      <c r="S57" s="36">
        <v>115</v>
      </c>
      <c r="T57" s="62">
        <f t="shared" si="1"/>
        <v>30</v>
      </c>
      <c r="U57" s="36">
        <v>537</v>
      </c>
      <c r="V57" s="62">
        <f t="shared" si="2"/>
        <v>3222</v>
      </c>
      <c r="W57" s="36">
        <v>2</v>
      </c>
      <c r="X57" s="57" t="s">
        <v>46</v>
      </c>
      <c r="Y57" s="36" t="s">
        <v>55</v>
      </c>
      <c r="Z57" s="36" t="s">
        <v>69</v>
      </c>
      <c r="AA57" s="36" t="s">
        <v>60</v>
      </c>
      <c r="AB57" s="57" t="s">
        <v>158</v>
      </c>
    </row>
    <row r="58" spans="1:28" x14ac:dyDescent="0.15">
      <c r="A58" s="57" t="s">
        <v>41</v>
      </c>
      <c r="B58" s="58" t="s">
        <v>157</v>
      </c>
      <c r="C58" s="59">
        <v>2019</v>
      </c>
      <c r="D58" s="60" t="s">
        <v>185</v>
      </c>
      <c r="E58" s="36" t="s">
        <v>195</v>
      </c>
      <c r="F58" s="57" t="s">
        <v>186</v>
      </c>
      <c r="G58" s="57" t="s">
        <v>42</v>
      </c>
      <c r="H58" s="57" t="s">
        <v>160</v>
      </c>
      <c r="I58" s="57" t="s">
        <v>159</v>
      </c>
      <c r="J58" s="57" t="s">
        <v>38</v>
      </c>
      <c r="K58" s="57" t="s">
        <v>161</v>
      </c>
      <c r="L58" s="36">
        <v>3</v>
      </c>
      <c r="N58" s="57">
        <v>5</v>
      </c>
      <c r="O58" s="58">
        <v>0.25</v>
      </c>
      <c r="P58" s="58">
        <v>0.25</v>
      </c>
      <c r="Q58" s="75">
        <f t="shared" si="0"/>
        <v>0.25</v>
      </c>
      <c r="R58" s="36">
        <v>15.2</v>
      </c>
      <c r="S58" s="36">
        <v>118</v>
      </c>
      <c r="T58" s="62">
        <f t="shared" si="1"/>
        <v>30</v>
      </c>
      <c r="U58" s="36">
        <v>537</v>
      </c>
      <c r="V58" s="62">
        <f t="shared" si="2"/>
        <v>3222</v>
      </c>
      <c r="W58" s="36">
        <v>2</v>
      </c>
      <c r="X58" s="57" t="s">
        <v>46</v>
      </c>
      <c r="Y58" s="36" t="s">
        <v>55</v>
      </c>
      <c r="Z58" s="36" t="s">
        <v>69</v>
      </c>
      <c r="AA58" s="36" t="s">
        <v>60</v>
      </c>
      <c r="AB58" s="57" t="s">
        <v>158</v>
      </c>
    </row>
    <row r="59" spans="1:28" x14ac:dyDescent="0.15">
      <c r="A59" s="57" t="s">
        <v>41</v>
      </c>
      <c r="B59" s="58" t="s">
        <v>157</v>
      </c>
      <c r="C59" s="59">
        <v>2019</v>
      </c>
      <c r="D59" s="60" t="s">
        <v>185</v>
      </c>
      <c r="E59" s="36" t="s">
        <v>195</v>
      </c>
      <c r="F59" s="57" t="s">
        <v>186</v>
      </c>
      <c r="G59" s="57" t="s">
        <v>42</v>
      </c>
      <c r="H59" s="57" t="s">
        <v>160</v>
      </c>
      <c r="I59" s="57" t="s">
        <v>159</v>
      </c>
      <c r="J59" s="57" t="s">
        <v>38</v>
      </c>
      <c r="K59" s="57" t="s">
        <v>161</v>
      </c>
      <c r="L59" s="36">
        <v>1</v>
      </c>
      <c r="N59" s="57">
        <v>8</v>
      </c>
      <c r="O59" s="58">
        <v>0.65</v>
      </c>
      <c r="P59" s="58">
        <v>0.6</v>
      </c>
      <c r="Q59" s="75">
        <f t="shared" si="0"/>
        <v>0.625</v>
      </c>
      <c r="R59" s="36">
        <v>13</v>
      </c>
      <c r="S59" s="36">
        <v>114</v>
      </c>
      <c r="T59" s="62">
        <f t="shared" si="1"/>
        <v>30</v>
      </c>
      <c r="U59" s="36">
        <v>1080</v>
      </c>
      <c r="V59" s="62">
        <f t="shared" si="2"/>
        <v>4050</v>
      </c>
      <c r="W59" s="36">
        <v>2</v>
      </c>
      <c r="X59" s="57" t="s">
        <v>46</v>
      </c>
      <c r="Y59" s="36" t="s">
        <v>55</v>
      </c>
      <c r="Z59" s="36" t="s">
        <v>69</v>
      </c>
      <c r="AA59" s="36" t="s">
        <v>60</v>
      </c>
      <c r="AB59" s="57" t="s">
        <v>158</v>
      </c>
    </row>
    <row r="60" spans="1:28" x14ac:dyDescent="0.15">
      <c r="A60" s="57" t="s">
        <v>41</v>
      </c>
      <c r="B60" s="58" t="s">
        <v>157</v>
      </c>
      <c r="C60" s="59">
        <v>2019</v>
      </c>
      <c r="D60" s="60" t="s">
        <v>185</v>
      </c>
      <c r="E60" s="36" t="s">
        <v>195</v>
      </c>
      <c r="F60" s="57" t="s">
        <v>186</v>
      </c>
      <c r="G60" s="57" t="s">
        <v>42</v>
      </c>
      <c r="H60" s="57" t="s">
        <v>160</v>
      </c>
      <c r="I60" s="57" t="s">
        <v>159</v>
      </c>
      <c r="J60" s="57" t="s">
        <v>38</v>
      </c>
      <c r="K60" s="57" t="s">
        <v>161</v>
      </c>
      <c r="L60" s="36">
        <v>2</v>
      </c>
      <c r="N60" s="57">
        <v>8</v>
      </c>
      <c r="O60" s="58">
        <v>0.5</v>
      </c>
      <c r="P60" s="58">
        <v>0.45</v>
      </c>
      <c r="Q60" s="75">
        <f t="shared" si="0"/>
        <v>0.47499999999999998</v>
      </c>
      <c r="R60" s="36">
        <v>14.4</v>
      </c>
      <c r="S60" s="36">
        <v>115</v>
      </c>
      <c r="T60" s="62">
        <f t="shared" si="1"/>
        <v>30</v>
      </c>
      <c r="U60" s="36">
        <v>1080</v>
      </c>
      <c r="V60" s="62">
        <f t="shared" si="2"/>
        <v>4050</v>
      </c>
      <c r="W60" s="36">
        <v>2</v>
      </c>
      <c r="X60" s="57" t="s">
        <v>46</v>
      </c>
      <c r="Y60" s="36" t="s">
        <v>55</v>
      </c>
      <c r="Z60" s="36" t="s">
        <v>69</v>
      </c>
      <c r="AA60" s="36" t="s">
        <v>60</v>
      </c>
      <c r="AB60" s="57" t="s">
        <v>158</v>
      </c>
    </row>
    <row r="61" spans="1:28" x14ac:dyDescent="0.15">
      <c r="A61" s="57" t="s">
        <v>41</v>
      </c>
      <c r="B61" s="58" t="s">
        <v>157</v>
      </c>
      <c r="C61" s="59">
        <v>2019</v>
      </c>
      <c r="D61" s="60" t="s">
        <v>185</v>
      </c>
      <c r="E61" s="36" t="s">
        <v>195</v>
      </c>
      <c r="F61" s="57" t="s">
        <v>186</v>
      </c>
      <c r="G61" s="57" t="s">
        <v>42</v>
      </c>
      <c r="H61" s="57" t="s">
        <v>160</v>
      </c>
      <c r="I61" s="57" t="s">
        <v>159</v>
      </c>
      <c r="J61" s="57" t="s">
        <v>38</v>
      </c>
      <c r="K61" s="57" t="s">
        <v>161</v>
      </c>
      <c r="L61" s="36">
        <v>3</v>
      </c>
      <c r="N61" s="57">
        <v>8</v>
      </c>
      <c r="O61" s="58">
        <v>0.35</v>
      </c>
      <c r="P61" s="58">
        <v>0.45</v>
      </c>
      <c r="Q61" s="75">
        <f t="shared" si="0"/>
        <v>0.4</v>
      </c>
      <c r="R61" s="36">
        <v>15.2</v>
      </c>
      <c r="S61" s="36">
        <v>120</v>
      </c>
      <c r="T61" s="62">
        <f t="shared" si="1"/>
        <v>30</v>
      </c>
      <c r="U61" s="36">
        <v>1080</v>
      </c>
      <c r="V61" s="62">
        <f t="shared" si="2"/>
        <v>4050</v>
      </c>
      <c r="W61" s="36">
        <v>2</v>
      </c>
      <c r="X61" s="57" t="s">
        <v>46</v>
      </c>
      <c r="Y61" s="36" t="s">
        <v>55</v>
      </c>
      <c r="Z61" s="36" t="s">
        <v>69</v>
      </c>
      <c r="AA61" s="36" t="s">
        <v>60</v>
      </c>
      <c r="AB61" s="57" t="s">
        <v>158</v>
      </c>
    </row>
    <row r="62" spans="1:28" x14ac:dyDescent="0.15">
      <c r="A62" s="57" t="s">
        <v>41</v>
      </c>
      <c r="B62" s="58" t="s">
        <v>157</v>
      </c>
      <c r="C62" s="59">
        <v>2019</v>
      </c>
      <c r="D62" s="60" t="s">
        <v>185</v>
      </c>
      <c r="E62" s="36" t="s">
        <v>195</v>
      </c>
      <c r="F62" s="57" t="s">
        <v>186</v>
      </c>
      <c r="G62" s="57" t="s">
        <v>42</v>
      </c>
      <c r="H62" s="57" t="s">
        <v>165</v>
      </c>
      <c r="I62" s="57" t="s">
        <v>159</v>
      </c>
      <c r="J62" s="57" t="s">
        <v>38</v>
      </c>
      <c r="K62" s="57" t="s">
        <v>161</v>
      </c>
      <c r="L62" s="36">
        <v>1</v>
      </c>
      <c r="N62" s="57">
        <v>1</v>
      </c>
      <c r="O62" s="58">
        <v>1.2</v>
      </c>
      <c r="P62" s="58">
        <v>1.35</v>
      </c>
      <c r="Q62" s="75">
        <f t="shared" si="0"/>
        <v>1.2749999999999999</v>
      </c>
      <c r="R62" s="36">
        <v>12.9</v>
      </c>
      <c r="S62" s="36">
        <v>126</v>
      </c>
      <c r="T62" s="62">
        <f t="shared" si="1"/>
        <v>27</v>
      </c>
      <c r="U62" s="57">
        <v>62</v>
      </c>
      <c r="V62" s="62">
        <f t="shared" si="2"/>
        <v>1674</v>
      </c>
      <c r="W62" s="36">
        <v>3</v>
      </c>
      <c r="X62" s="57" t="s">
        <v>46</v>
      </c>
      <c r="Y62" s="36" t="s">
        <v>55</v>
      </c>
      <c r="Z62" s="57" t="s">
        <v>69</v>
      </c>
      <c r="AA62" s="36" t="s">
        <v>60</v>
      </c>
      <c r="AB62" s="57" t="s">
        <v>158</v>
      </c>
    </row>
    <row r="63" spans="1:28" x14ac:dyDescent="0.15">
      <c r="A63" s="57" t="s">
        <v>41</v>
      </c>
      <c r="B63" s="58" t="s">
        <v>157</v>
      </c>
      <c r="C63" s="59">
        <v>2019</v>
      </c>
      <c r="D63" s="60" t="s">
        <v>185</v>
      </c>
      <c r="E63" s="36" t="s">
        <v>195</v>
      </c>
      <c r="F63" s="57" t="s">
        <v>186</v>
      </c>
      <c r="G63" s="57" t="s">
        <v>42</v>
      </c>
      <c r="H63" s="57" t="s">
        <v>165</v>
      </c>
      <c r="I63" s="57" t="s">
        <v>159</v>
      </c>
      <c r="J63" s="57" t="s">
        <v>38</v>
      </c>
      <c r="K63" s="57" t="s">
        <v>161</v>
      </c>
      <c r="L63" s="36">
        <v>2</v>
      </c>
      <c r="N63" s="57">
        <v>1</v>
      </c>
      <c r="O63" s="58">
        <v>0.95</v>
      </c>
      <c r="P63" s="58">
        <v>1.1000000000000001</v>
      </c>
      <c r="Q63" s="75">
        <f t="shared" si="0"/>
        <v>1.0249999999999999</v>
      </c>
      <c r="R63" s="36">
        <v>12.8</v>
      </c>
      <c r="S63" s="36">
        <v>125</v>
      </c>
      <c r="T63" s="62">
        <f t="shared" si="1"/>
        <v>27</v>
      </c>
      <c r="U63" s="57">
        <v>62</v>
      </c>
      <c r="V63" s="62">
        <f t="shared" si="2"/>
        <v>1674</v>
      </c>
      <c r="W63" s="36">
        <v>3</v>
      </c>
      <c r="X63" s="57" t="s">
        <v>46</v>
      </c>
      <c r="Y63" s="36" t="s">
        <v>55</v>
      </c>
      <c r="Z63" s="57" t="s">
        <v>69</v>
      </c>
      <c r="AA63" s="36" t="s">
        <v>60</v>
      </c>
      <c r="AB63" s="57" t="s">
        <v>158</v>
      </c>
    </row>
    <row r="64" spans="1:28" x14ac:dyDescent="0.15">
      <c r="A64" s="57" t="s">
        <v>41</v>
      </c>
      <c r="B64" s="58" t="s">
        <v>157</v>
      </c>
      <c r="C64" s="59">
        <v>2019</v>
      </c>
      <c r="D64" s="60" t="s">
        <v>185</v>
      </c>
      <c r="E64" s="36" t="s">
        <v>195</v>
      </c>
      <c r="F64" s="57" t="s">
        <v>186</v>
      </c>
      <c r="G64" s="57" t="s">
        <v>42</v>
      </c>
      <c r="H64" s="57" t="s">
        <v>165</v>
      </c>
      <c r="I64" s="57" t="s">
        <v>159</v>
      </c>
      <c r="J64" s="57" t="s">
        <v>38</v>
      </c>
      <c r="K64" s="57" t="s">
        <v>161</v>
      </c>
      <c r="L64" s="36">
        <v>3</v>
      </c>
      <c r="N64" s="57">
        <v>1</v>
      </c>
      <c r="O64" s="36">
        <v>1</v>
      </c>
      <c r="P64" s="36">
        <v>1.2</v>
      </c>
      <c r="Q64" s="75">
        <f t="shared" si="0"/>
        <v>1.1000000000000001</v>
      </c>
      <c r="R64" s="36">
        <v>14.1</v>
      </c>
      <c r="S64" s="36">
        <v>124</v>
      </c>
      <c r="T64" s="62">
        <f t="shared" si="1"/>
        <v>27</v>
      </c>
      <c r="U64" s="57">
        <v>62</v>
      </c>
      <c r="V64" s="62">
        <f t="shared" si="2"/>
        <v>1674</v>
      </c>
      <c r="W64" s="36">
        <v>3</v>
      </c>
      <c r="X64" s="57" t="s">
        <v>46</v>
      </c>
      <c r="Y64" s="36" t="s">
        <v>55</v>
      </c>
      <c r="Z64" s="57" t="s">
        <v>69</v>
      </c>
      <c r="AA64" s="36" t="s">
        <v>60</v>
      </c>
      <c r="AB64" s="57" t="s">
        <v>158</v>
      </c>
    </row>
    <row r="65" spans="1:28" x14ac:dyDescent="0.15">
      <c r="A65" s="57" t="s">
        <v>41</v>
      </c>
      <c r="B65" s="58" t="s">
        <v>157</v>
      </c>
      <c r="C65" s="59">
        <v>2019</v>
      </c>
      <c r="D65" s="60" t="s">
        <v>185</v>
      </c>
      <c r="E65" s="36" t="s">
        <v>195</v>
      </c>
      <c r="F65" s="57" t="s">
        <v>186</v>
      </c>
      <c r="G65" s="57" t="s">
        <v>42</v>
      </c>
      <c r="H65" s="57" t="s">
        <v>165</v>
      </c>
      <c r="I65" s="57" t="s">
        <v>159</v>
      </c>
      <c r="J65" s="57" t="s">
        <v>38</v>
      </c>
      <c r="K65" s="57" t="s">
        <v>161</v>
      </c>
      <c r="L65" s="36">
        <v>1</v>
      </c>
      <c r="N65" s="57">
        <v>5</v>
      </c>
      <c r="O65" s="57">
        <v>0.95</v>
      </c>
      <c r="P65" s="57">
        <v>1.05</v>
      </c>
      <c r="Q65" s="75">
        <f t="shared" si="0"/>
        <v>1</v>
      </c>
      <c r="R65" s="57">
        <v>13.7</v>
      </c>
      <c r="S65" s="57">
        <v>123</v>
      </c>
      <c r="T65" s="62">
        <f t="shared" si="1"/>
        <v>27</v>
      </c>
      <c r="U65" s="57">
        <v>537</v>
      </c>
      <c r="V65" s="62">
        <f t="shared" si="2"/>
        <v>2899.8</v>
      </c>
      <c r="W65" s="36">
        <v>1</v>
      </c>
      <c r="X65" s="57" t="s">
        <v>46</v>
      </c>
      <c r="Y65" s="36" t="s">
        <v>55</v>
      </c>
      <c r="Z65" s="57" t="s">
        <v>69</v>
      </c>
      <c r="AA65" s="36" t="s">
        <v>60</v>
      </c>
      <c r="AB65" s="57" t="s">
        <v>158</v>
      </c>
    </row>
    <row r="66" spans="1:28" x14ac:dyDescent="0.15">
      <c r="A66" s="57" t="s">
        <v>41</v>
      </c>
      <c r="B66" s="58" t="s">
        <v>157</v>
      </c>
      <c r="C66" s="59">
        <v>2019</v>
      </c>
      <c r="D66" s="60" t="s">
        <v>185</v>
      </c>
      <c r="E66" s="36" t="s">
        <v>195</v>
      </c>
      <c r="F66" s="57" t="s">
        <v>186</v>
      </c>
      <c r="G66" s="57" t="s">
        <v>42</v>
      </c>
      <c r="H66" s="57" t="s">
        <v>165</v>
      </c>
      <c r="I66" s="57" t="s">
        <v>159</v>
      </c>
      <c r="J66" s="57" t="s">
        <v>38</v>
      </c>
      <c r="K66" s="57" t="s">
        <v>161</v>
      </c>
      <c r="L66" s="36">
        <v>2</v>
      </c>
      <c r="N66" s="57">
        <v>5</v>
      </c>
      <c r="O66" s="57">
        <v>0.8</v>
      </c>
      <c r="P66" s="57">
        <v>0.95</v>
      </c>
      <c r="Q66" s="75">
        <f t="shared" ref="Q66:Q129" si="3">IF(OR(O66="",P66=""),"",AVERAGE(O66,P66))</f>
        <v>0.875</v>
      </c>
      <c r="R66" s="57">
        <v>12.8</v>
      </c>
      <c r="S66" s="57">
        <v>122</v>
      </c>
      <c r="T66" s="62">
        <f t="shared" ref="T66:T129" si="4">IF(H66="","",IF(OR(H66="GREEN",H66="GK"),IF(S66&gt;=$AX$2,VLOOKUP(S66,$AX$2:$AY$10,2,1),""),IF(S66&gt;=$AZ$2,VLOOKUP(S66,$AZ$2:$BA$10,2,1),"")))</f>
        <v>27</v>
      </c>
      <c r="U66" s="57">
        <v>537</v>
      </c>
      <c r="V66" s="62">
        <f t="shared" ref="V66:V129" si="5">IF(OR(N66="",U66="",T66=""),"",U66/N66*T66)</f>
        <v>2899.8</v>
      </c>
      <c r="W66" s="36">
        <v>1</v>
      </c>
      <c r="X66" s="57" t="s">
        <v>46</v>
      </c>
      <c r="Y66" s="36" t="s">
        <v>55</v>
      </c>
      <c r="Z66" s="57" t="s">
        <v>69</v>
      </c>
      <c r="AA66" s="36" t="s">
        <v>60</v>
      </c>
      <c r="AB66" s="57" t="s">
        <v>158</v>
      </c>
    </row>
    <row r="67" spans="1:28" x14ac:dyDescent="0.15">
      <c r="A67" s="57" t="s">
        <v>41</v>
      </c>
      <c r="B67" s="58" t="s">
        <v>157</v>
      </c>
      <c r="C67" s="59">
        <v>2019</v>
      </c>
      <c r="D67" s="60" t="s">
        <v>185</v>
      </c>
      <c r="E67" s="36" t="s">
        <v>195</v>
      </c>
      <c r="F67" s="57" t="s">
        <v>186</v>
      </c>
      <c r="G67" s="57" t="s">
        <v>42</v>
      </c>
      <c r="H67" s="57" t="s">
        <v>165</v>
      </c>
      <c r="I67" s="57" t="s">
        <v>159</v>
      </c>
      <c r="J67" s="57" t="s">
        <v>38</v>
      </c>
      <c r="K67" s="57" t="s">
        <v>161</v>
      </c>
      <c r="L67" s="36">
        <v>3</v>
      </c>
      <c r="N67" s="57">
        <v>5</v>
      </c>
      <c r="O67" s="57">
        <v>0.95</v>
      </c>
      <c r="P67" s="57">
        <v>0.85</v>
      </c>
      <c r="Q67" s="75">
        <f t="shared" si="3"/>
        <v>0.89999999999999991</v>
      </c>
      <c r="R67" s="57">
        <v>13.7</v>
      </c>
      <c r="S67" s="57">
        <v>124</v>
      </c>
      <c r="T67" s="62">
        <f t="shared" si="4"/>
        <v>27</v>
      </c>
      <c r="U67" s="57">
        <v>537</v>
      </c>
      <c r="V67" s="62">
        <f t="shared" si="5"/>
        <v>2899.8</v>
      </c>
      <c r="W67" s="36">
        <v>1</v>
      </c>
      <c r="X67" s="57" t="s">
        <v>46</v>
      </c>
      <c r="Y67" s="36" t="s">
        <v>55</v>
      </c>
      <c r="Z67" s="57" t="s">
        <v>69</v>
      </c>
      <c r="AA67" s="36" t="s">
        <v>60</v>
      </c>
      <c r="AB67" s="57" t="s">
        <v>158</v>
      </c>
    </row>
    <row r="68" spans="1:28" x14ac:dyDescent="0.15">
      <c r="A68" s="57" t="s">
        <v>41</v>
      </c>
      <c r="B68" s="58" t="s">
        <v>157</v>
      </c>
      <c r="C68" s="59">
        <v>2019</v>
      </c>
      <c r="D68" s="60" t="s">
        <v>185</v>
      </c>
      <c r="E68" s="57" t="s">
        <v>195</v>
      </c>
      <c r="F68" s="36" t="s">
        <v>197</v>
      </c>
      <c r="G68" s="57" t="s">
        <v>42</v>
      </c>
      <c r="H68" s="57" t="s">
        <v>165</v>
      </c>
      <c r="I68" s="57" t="s">
        <v>159</v>
      </c>
      <c r="J68" s="57" t="s">
        <v>38</v>
      </c>
      <c r="K68" s="57" t="s">
        <v>161</v>
      </c>
      <c r="L68" s="57">
        <v>1</v>
      </c>
      <c r="M68" s="57"/>
      <c r="N68" s="57">
        <v>1</v>
      </c>
      <c r="O68" s="58">
        <v>0.75</v>
      </c>
      <c r="P68" s="58">
        <v>0.85</v>
      </c>
      <c r="Q68" s="75">
        <f t="shared" si="3"/>
        <v>0.8</v>
      </c>
      <c r="R68" s="36">
        <v>12.6</v>
      </c>
      <c r="S68" s="36">
        <v>123</v>
      </c>
      <c r="T68" s="62">
        <f t="shared" si="4"/>
        <v>27</v>
      </c>
      <c r="U68" s="57">
        <v>108</v>
      </c>
      <c r="V68" s="62">
        <f t="shared" si="5"/>
        <v>2916</v>
      </c>
      <c r="W68" s="57">
        <v>1</v>
      </c>
      <c r="X68" s="57" t="s">
        <v>46</v>
      </c>
      <c r="Y68" s="57" t="s">
        <v>55</v>
      </c>
      <c r="Z68" s="57" t="s">
        <v>69</v>
      </c>
      <c r="AA68" s="57" t="s">
        <v>47</v>
      </c>
      <c r="AB68" s="57" t="s">
        <v>158</v>
      </c>
    </row>
    <row r="69" spans="1:28" x14ac:dyDescent="0.15">
      <c r="A69" s="57" t="s">
        <v>41</v>
      </c>
      <c r="B69" s="58" t="s">
        <v>157</v>
      </c>
      <c r="C69" s="59">
        <v>2019</v>
      </c>
      <c r="D69" s="60" t="s">
        <v>185</v>
      </c>
      <c r="E69" s="57" t="s">
        <v>195</v>
      </c>
      <c r="F69" s="36" t="s">
        <v>197</v>
      </c>
      <c r="G69" s="57" t="s">
        <v>42</v>
      </c>
      <c r="H69" s="57" t="s">
        <v>165</v>
      </c>
      <c r="I69" s="57" t="s">
        <v>159</v>
      </c>
      <c r="J69" s="57" t="s">
        <v>38</v>
      </c>
      <c r="K69" s="57" t="s">
        <v>161</v>
      </c>
      <c r="L69" s="36">
        <v>2</v>
      </c>
      <c r="N69" s="57">
        <v>1</v>
      </c>
      <c r="O69" s="58">
        <v>0.65</v>
      </c>
      <c r="P69" s="58">
        <v>0.8</v>
      </c>
      <c r="Q69" s="75">
        <f t="shared" si="3"/>
        <v>0.72500000000000009</v>
      </c>
      <c r="R69" s="36">
        <v>13.3</v>
      </c>
      <c r="S69" s="36">
        <v>122</v>
      </c>
      <c r="T69" s="62">
        <f t="shared" si="4"/>
        <v>27</v>
      </c>
      <c r="U69" s="57">
        <v>108</v>
      </c>
      <c r="V69" s="62">
        <f t="shared" si="5"/>
        <v>2916</v>
      </c>
      <c r="W69" s="57">
        <v>1</v>
      </c>
      <c r="X69" s="57" t="s">
        <v>46</v>
      </c>
      <c r="Y69" s="57" t="s">
        <v>55</v>
      </c>
      <c r="Z69" s="57" t="s">
        <v>69</v>
      </c>
      <c r="AA69" s="57" t="s">
        <v>47</v>
      </c>
      <c r="AB69" s="57" t="s">
        <v>158</v>
      </c>
    </row>
    <row r="70" spans="1:28" x14ac:dyDescent="0.15">
      <c r="A70" s="57" t="s">
        <v>41</v>
      </c>
      <c r="B70" s="58" t="s">
        <v>157</v>
      </c>
      <c r="C70" s="59">
        <v>2019</v>
      </c>
      <c r="D70" s="60" t="s">
        <v>185</v>
      </c>
      <c r="E70" s="57" t="s">
        <v>195</v>
      </c>
      <c r="F70" s="36" t="s">
        <v>197</v>
      </c>
      <c r="G70" s="57" t="s">
        <v>42</v>
      </c>
      <c r="H70" s="57" t="s">
        <v>165</v>
      </c>
      <c r="I70" s="57" t="s">
        <v>159</v>
      </c>
      <c r="J70" s="57" t="s">
        <v>38</v>
      </c>
      <c r="K70" s="57" t="s">
        <v>161</v>
      </c>
      <c r="L70" s="36">
        <v>3</v>
      </c>
      <c r="N70" s="57">
        <v>1</v>
      </c>
      <c r="O70" s="58">
        <v>0.8</v>
      </c>
      <c r="P70" s="58">
        <v>0.75</v>
      </c>
      <c r="Q70" s="75">
        <f t="shared" si="3"/>
        <v>0.77500000000000002</v>
      </c>
      <c r="R70" s="36">
        <v>14.2</v>
      </c>
      <c r="S70" s="36">
        <v>124</v>
      </c>
      <c r="T70" s="62">
        <f t="shared" si="4"/>
        <v>27</v>
      </c>
      <c r="U70" s="57">
        <v>108</v>
      </c>
      <c r="V70" s="62">
        <f t="shared" si="5"/>
        <v>2916</v>
      </c>
      <c r="W70" s="36">
        <v>1</v>
      </c>
      <c r="X70" s="57" t="s">
        <v>46</v>
      </c>
      <c r="Y70" s="57" t="s">
        <v>55</v>
      </c>
      <c r="Z70" s="57" t="s">
        <v>69</v>
      </c>
      <c r="AA70" s="57" t="s">
        <v>47</v>
      </c>
      <c r="AB70" s="57" t="s">
        <v>158</v>
      </c>
    </row>
    <row r="71" spans="1:28" x14ac:dyDescent="0.15">
      <c r="A71" s="57" t="s">
        <v>41</v>
      </c>
      <c r="B71" s="58" t="s">
        <v>157</v>
      </c>
      <c r="C71" s="59">
        <v>2019</v>
      </c>
      <c r="D71" s="60" t="s">
        <v>185</v>
      </c>
      <c r="E71" s="57" t="s">
        <v>195</v>
      </c>
      <c r="F71" s="36" t="s">
        <v>197</v>
      </c>
      <c r="G71" s="57" t="s">
        <v>42</v>
      </c>
      <c r="H71" s="57" t="s">
        <v>165</v>
      </c>
      <c r="I71" s="57" t="s">
        <v>159</v>
      </c>
      <c r="J71" s="57" t="s">
        <v>38</v>
      </c>
      <c r="K71" s="57" t="s">
        <v>161</v>
      </c>
      <c r="L71" s="57">
        <v>1</v>
      </c>
      <c r="M71" s="57"/>
      <c r="N71" s="57">
        <v>5</v>
      </c>
      <c r="O71" s="58">
        <v>0.65</v>
      </c>
      <c r="P71" s="58">
        <v>0.5</v>
      </c>
      <c r="Q71" s="75">
        <f t="shared" si="3"/>
        <v>0.57499999999999996</v>
      </c>
      <c r="R71" s="36">
        <v>12.8</v>
      </c>
      <c r="S71" s="36">
        <v>120</v>
      </c>
      <c r="T71" s="62">
        <f t="shared" si="4"/>
        <v>30</v>
      </c>
      <c r="U71" s="57">
        <v>429</v>
      </c>
      <c r="V71" s="62">
        <f t="shared" si="5"/>
        <v>2574</v>
      </c>
      <c r="W71" s="57">
        <v>2</v>
      </c>
      <c r="X71" s="57" t="s">
        <v>46</v>
      </c>
      <c r="Y71" s="57" t="s">
        <v>55</v>
      </c>
      <c r="Z71" s="57" t="s">
        <v>69</v>
      </c>
      <c r="AA71" s="57" t="s">
        <v>47</v>
      </c>
      <c r="AB71" s="57" t="s">
        <v>158</v>
      </c>
    </row>
    <row r="72" spans="1:28" x14ac:dyDescent="0.15">
      <c r="A72" s="57" t="s">
        <v>41</v>
      </c>
      <c r="B72" s="58" t="s">
        <v>157</v>
      </c>
      <c r="C72" s="59">
        <v>2019</v>
      </c>
      <c r="D72" s="60" t="s">
        <v>185</v>
      </c>
      <c r="E72" s="57" t="s">
        <v>195</v>
      </c>
      <c r="F72" s="36" t="s">
        <v>197</v>
      </c>
      <c r="G72" s="57" t="s">
        <v>42</v>
      </c>
      <c r="H72" s="57" t="s">
        <v>165</v>
      </c>
      <c r="I72" s="57" t="s">
        <v>159</v>
      </c>
      <c r="J72" s="57" t="s">
        <v>38</v>
      </c>
      <c r="K72" s="57" t="s">
        <v>161</v>
      </c>
      <c r="L72" s="36">
        <v>2</v>
      </c>
      <c r="N72" s="57">
        <v>5</v>
      </c>
      <c r="O72" s="58">
        <v>0.45</v>
      </c>
      <c r="P72" s="58">
        <v>0.35</v>
      </c>
      <c r="Q72" s="75">
        <f t="shared" si="3"/>
        <v>0.4</v>
      </c>
      <c r="R72" s="36">
        <v>15.2</v>
      </c>
      <c r="S72" s="36">
        <v>118</v>
      </c>
      <c r="T72" s="62">
        <f t="shared" si="4"/>
        <v>30</v>
      </c>
      <c r="U72" s="57">
        <v>429</v>
      </c>
      <c r="V72" s="62">
        <f t="shared" si="5"/>
        <v>2574</v>
      </c>
      <c r="W72" s="36">
        <v>2</v>
      </c>
      <c r="X72" s="57" t="s">
        <v>46</v>
      </c>
      <c r="Y72" s="57" t="s">
        <v>55</v>
      </c>
      <c r="Z72" s="57" t="s">
        <v>69</v>
      </c>
      <c r="AA72" s="57" t="s">
        <v>47</v>
      </c>
      <c r="AB72" s="57" t="s">
        <v>158</v>
      </c>
    </row>
    <row r="73" spans="1:28" x14ac:dyDescent="0.15">
      <c r="A73" s="57" t="s">
        <v>41</v>
      </c>
      <c r="B73" s="58" t="s">
        <v>157</v>
      </c>
      <c r="C73" s="59">
        <v>2019</v>
      </c>
      <c r="D73" s="60" t="s">
        <v>185</v>
      </c>
      <c r="E73" s="57" t="s">
        <v>195</v>
      </c>
      <c r="F73" s="36" t="s">
        <v>197</v>
      </c>
      <c r="G73" s="57" t="s">
        <v>42</v>
      </c>
      <c r="H73" s="57" t="s">
        <v>165</v>
      </c>
      <c r="I73" s="57" t="s">
        <v>159</v>
      </c>
      <c r="J73" s="57" t="s">
        <v>38</v>
      </c>
      <c r="K73" s="57" t="s">
        <v>161</v>
      </c>
      <c r="L73" s="36">
        <v>3</v>
      </c>
      <c r="N73" s="57">
        <v>5</v>
      </c>
      <c r="O73" s="58">
        <v>0.5</v>
      </c>
      <c r="P73" s="58">
        <v>0.4</v>
      </c>
      <c r="Q73" s="75">
        <f t="shared" si="3"/>
        <v>0.45</v>
      </c>
      <c r="R73" s="36">
        <v>12</v>
      </c>
      <c r="S73" s="36">
        <v>120</v>
      </c>
      <c r="T73" s="62">
        <f t="shared" si="4"/>
        <v>30</v>
      </c>
      <c r="U73" s="57">
        <v>429</v>
      </c>
      <c r="V73" s="62">
        <f t="shared" si="5"/>
        <v>2574</v>
      </c>
      <c r="W73" s="36">
        <v>2</v>
      </c>
      <c r="X73" s="57" t="s">
        <v>46</v>
      </c>
      <c r="Y73" s="57" t="s">
        <v>55</v>
      </c>
      <c r="Z73" s="57" t="s">
        <v>69</v>
      </c>
      <c r="AA73" s="57" t="s">
        <v>47</v>
      </c>
      <c r="AB73" s="57" t="s">
        <v>158</v>
      </c>
    </row>
    <row r="74" spans="1:28" x14ac:dyDescent="0.15">
      <c r="A74" s="57" t="s">
        <v>41</v>
      </c>
      <c r="B74" s="58" t="s">
        <v>157</v>
      </c>
      <c r="C74" s="59">
        <v>2019</v>
      </c>
      <c r="D74" s="60" t="s">
        <v>185</v>
      </c>
      <c r="E74" s="57" t="s">
        <v>195</v>
      </c>
      <c r="F74" s="36" t="s">
        <v>197</v>
      </c>
      <c r="G74" s="57" t="s">
        <v>42</v>
      </c>
      <c r="H74" s="57" t="s">
        <v>165</v>
      </c>
      <c r="I74" s="57" t="s">
        <v>159</v>
      </c>
      <c r="J74" s="57" t="s">
        <v>38</v>
      </c>
      <c r="K74" s="57" t="s">
        <v>161</v>
      </c>
      <c r="L74" s="57">
        <v>1</v>
      </c>
      <c r="M74" s="57"/>
      <c r="N74" s="57">
        <v>7</v>
      </c>
      <c r="O74" s="58">
        <v>0.25</v>
      </c>
      <c r="P74" s="58">
        <v>0.3</v>
      </c>
      <c r="Q74" s="75">
        <f t="shared" si="3"/>
        <v>0.27500000000000002</v>
      </c>
      <c r="R74" s="36">
        <v>13.7</v>
      </c>
      <c r="S74" s="36">
        <v>115</v>
      </c>
      <c r="T74" s="62">
        <f t="shared" si="4"/>
        <v>30</v>
      </c>
      <c r="U74" s="57">
        <v>626</v>
      </c>
      <c r="V74" s="62">
        <f t="shared" si="5"/>
        <v>2682.8571428571431</v>
      </c>
      <c r="W74" s="57">
        <v>2</v>
      </c>
      <c r="X74" s="57" t="s">
        <v>46</v>
      </c>
      <c r="Y74" s="57" t="s">
        <v>55</v>
      </c>
      <c r="Z74" s="57" t="s">
        <v>69</v>
      </c>
      <c r="AA74" s="57" t="s">
        <v>47</v>
      </c>
      <c r="AB74" s="57" t="s">
        <v>158</v>
      </c>
    </row>
    <row r="75" spans="1:28" x14ac:dyDescent="0.15">
      <c r="A75" s="57" t="s">
        <v>41</v>
      </c>
      <c r="B75" s="58" t="s">
        <v>157</v>
      </c>
      <c r="C75" s="59">
        <v>2019</v>
      </c>
      <c r="D75" s="60" t="s">
        <v>185</v>
      </c>
      <c r="E75" s="57" t="s">
        <v>195</v>
      </c>
      <c r="F75" s="36" t="s">
        <v>197</v>
      </c>
      <c r="G75" s="57" t="s">
        <v>42</v>
      </c>
      <c r="H75" s="57" t="s">
        <v>165</v>
      </c>
      <c r="I75" s="57" t="s">
        <v>159</v>
      </c>
      <c r="J75" s="57" t="s">
        <v>38</v>
      </c>
      <c r="K75" s="57" t="s">
        <v>161</v>
      </c>
      <c r="L75" s="36">
        <v>2</v>
      </c>
      <c r="N75" s="57">
        <v>7</v>
      </c>
      <c r="O75" s="58">
        <v>0.3</v>
      </c>
      <c r="P75" s="58">
        <v>0.25</v>
      </c>
      <c r="Q75" s="75">
        <f t="shared" si="3"/>
        <v>0.27500000000000002</v>
      </c>
      <c r="R75" s="36">
        <v>16.8</v>
      </c>
      <c r="S75" s="36">
        <v>113</v>
      </c>
      <c r="T75" s="62">
        <f t="shared" si="4"/>
        <v>30</v>
      </c>
      <c r="U75" s="57">
        <v>626</v>
      </c>
      <c r="V75" s="62">
        <f t="shared" si="5"/>
        <v>2682.8571428571431</v>
      </c>
      <c r="W75" s="57">
        <v>2</v>
      </c>
      <c r="X75" s="57" t="s">
        <v>46</v>
      </c>
      <c r="Y75" s="57" t="s">
        <v>55</v>
      </c>
      <c r="Z75" s="57" t="s">
        <v>69</v>
      </c>
      <c r="AA75" s="57" t="s">
        <v>47</v>
      </c>
      <c r="AB75" s="57" t="s">
        <v>158</v>
      </c>
    </row>
    <row r="76" spans="1:28" x14ac:dyDescent="0.15">
      <c r="A76" s="57" t="s">
        <v>41</v>
      </c>
      <c r="B76" s="58" t="s">
        <v>157</v>
      </c>
      <c r="C76" s="59">
        <v>2019</v>
      </c>
      <c r="D76" s="60" t="s">
        <v>185</v>
      </c>
      <c r="E76" s="57" t="s">
        <v>195</v>
      </c>
      <c r="F76" s="36" t="s">
        <v>197</v>
      </c>
      <c r="G76" s="57" t="s">
        <v>42</v>
      </c>
      <c r="H76" s="57" t="s">
        <v>165</v>
      </c>
      <c r="I76" s="57" t="s">
        <v>159</v>
      </c>
      <c r="J76" s="57" t="s">
        <v>38</v>
      </c>
      <c r="K76" s="57" t="s">
        <v>161</v>
      </c>
      <c r="L76" s="36">
        <v>3</v>
      </c>
      <c r="N76" s="57">
        <v>7</v>
      </c>
      <c r="O76" s="58">
        <v>0.35</v>
      </c>
      <c r="P76" s="58">
        <v>0.25</v>
      </c>
      <c r="Q76" s="75">
        <f t="shared" si="3"/>
        <v>0.3</v>
      </c>
      <c r="R76" s="36">
        <v>15.4</v>
      </c>
      <c r="S76" s="36">
        <v>117</v>
      </c>
      <c r="T76" s="62">
        <f t="shared" si="4"/>
        <v>30</v>
      </c>
      <c r="U76" s="57">
        <v>626</v>
      </c>
      <c r="V76" s="62">
        <f t="shared" si="5"/>
        <v>2682.8571428571431</v>
      </c>
      <c r="W76" s="36">
        <v>2</v>
      </c>
      <c r="X76" s="57" t="s">
        <v>46</v>
      </c>
      <c r="Y76" s="57" t="s">
        <v>55</v>
      </c>
      <c r="Z76" s="57" t="s">
        <v>69</v>
      </c>
      <c r="AA76" s="57" t="s">
        <v>47</v>
      </c>
      <c r="AB76" s="57" t="s">
        <v>158</v>
      </c>
    </row>
    <row r="77" spans="1:28" x14ac:dyDescent="0.15">
      <c r="A77" s="57" t="s">
        <v>41</v>
      </c>
      <c r="B77" s="58" t="s">
        <v>157</v>
      </c>
      <c r="C77" s="59">
        <v>2019</v>
      </c>
      <c r="D77" s="60" t="s">
        <v>185</v>
      </c>
      <c r="E77" s="57" t="s">
        <v>195</v>
      </c>
      <c r="F77" s="36" t="s">
        <v>197</v>
      </c>
      <c r="G77" s="57" t="s">
        <v>42</v>
      </c>
      <c r="H77" s="57" t="s">
        <v>160</v>
      </c>
      <c r="I77" s="57" t="s">
        <v>159</v>
      </c>
      <c r="J77" s="57" t="s">
        <v>38</v>
      </c>
      <c r="K77" s="57" t="s">
        <v>161</v>
      </c>
      <c r="L77" s="57">
        <v>1</v>
      </c>
      <c r="M77" s="57"/>
      <c r="N77" s="57">
        <v>1</v>
      </c>
      <c r="O77" s="58">
        <v>0.7</v>
      </c>
      <c r="P77" s="58">
        <v>0.65</v>
      </c>
      <c r="Q77" s="75">
        <f t="shared" si="3"/>
        <v>0.67500000000000004</v>
      </c>
      <c r="R77" s="36">
        <v>16.399999999999999</v>
      </c>
      <c r="S77" s="36">
        <v>127</v>
      </c>
      <c r="T77" s="62">
        <f t="shared" si="4"/>
        <v>27</v>
      </c>
      <c r="U77" s="57">
        <v>170</v>
      </c>
      <c r="V77" s="62">
        <f t="shared" si="5"/>
        <v>4590</v>
      </c>
      <c r="W77" s="57">
        <v>3</v>
      </c>
      <c r="X77" s="57" t="s">
        <v>46</v>
      </c>
      <c r="Y77" s="57" t="s">
        <v>55</v>
      </c>
      <c r="Z77" s="57" t="s">
        <v>69</v>
      </c>
      <c r="AA77" s="57" t="s">
        <v>47</v>
      </c>
      <c r="AB77" s="57" t="s">
        <v>158</v>
      </c>
    </row>
    <row r="78" spans="1:28" x14ac:dyDescent="0.15">
      <c r="A78" s="57" t="s">
        <v>41</v>
      </c>
      <c r="B78" s="58" t="s">
        <v>157</v>
      </c>
      <c r="C78" s="59">
        <v>2019</v>
      </c>
      <c r="D78" s="60" t="s">
        <v>185</v>
      </c>
      <c r="E78" s="57" t="s">
        <v>195</v>
      </c>
      <c r="F78" s="36" t="s">
        <v>197</v>
      </c>
      <c r="G78" s="57" t="s">
        <v>42</v>
      </c>
      <c r="H78" s="57" t="s">
        <v>160</v>
      </c>
      <c r="I78" s="57" t="s">
        <v>159</v>
      </c>
      <c r="J78" s="57" t="s">
        <v>38</v>
      </c>
      <c r="K78" s="57" t="s">
        <v>161</v>
      </c>
      <c r="L78" s="36">
        <v>2</v>
      </c>
      <c r="N78" s="57">
        <v>1</v>
      </c>
      <c r="O78" s="58">
        <v>0.85</v>
      </c>
      <c r="P78" s="58">
        <v>0.75</v>
      </c>
      <c r="Q78" s="75">
        <f t="shared" si="3"/>
        <v>0.8</v>
      </c>
      <c r="R78" s="36">
        <v>13.7</v>
      </c>
      <c r="S78" s="36">
        <v>122</v>
      </c>
      <c r="T78" s="62">
        <f t="shared" si="4"/>
        <v>27</v>
      </c>
      <c r="U78" s="57">
        <v>170</v>
      </c>
      <c r="V78" s="62">
        <f t="shared" si="5"/>
        <v>4590</v>
      </c>
      <c r="W78" s="36">
        <v>3</v>
      </c>
      <c r="X78" s="57" t="s">
        <v>46</v>
      </c>
      <c r="Y78" s="57" t="s">
        <v>55</v>
      </c>
      <c r="Z78" s="57" t="s">
        <v>69</v>
      </c>
      <c r="AA78" s="57" t="s">
        <v>47</v>
      </c>
      <c r="AB78" s="57" t="s">
        <v>158</v>
      </c>
    </row>
    <row r="79" spans="1:28" x14ac:dyDescent="0.15">
      <c r="A79" s="57" t="s">
        <v>41</v>
      </c>
      <c r="B79" s="58" t="s">
        <v>157</v>
      </c>
      <c r="C79" s="59">
        <v>2019</v>
      </c>
      <c r="D79" s="60" t="s">
        <v>185</v>
      </c>
      <c r="E79" s="57" t="s">
        <v>195</v>
      </c>
      <c r="F79" s="36" t="s">
        <v>197</v>
      </c>
      <c r="G79" s="57" t="s">
        <v>42</v>
      </c>
      <c r="H79" s="57" t="s">
        <v>160</v>
      </c>
      <c r="I79" s="57" t="s">
        <v>159</v>
      </c>
      <c r="J79" s="57" t="s">
        <v>38</v>
      </c>
      <c r="K79" s="57" t="s">
        <v>161</v>
      </c>
      <c r="L79" s="36">
        <v>3</v>
      </c>
      <c r="N79" s="57">
        <v>1</v>
      </c>
      <c r="O79" s="58">
        <v>0.5</v>
      </c>
      <c r="P79" s="58">
        <v>0.65</v>
      </c>
      <c r="Q79" s="75">
        <f t="shared" si="3"/>
        <v>0.57499999999999996</v>
      </c>
      <c r="R79" s="36">
        <v>15.8</v>
      </c>
      <c r="S79" s="36">
        <v>125</v>
      </c>
      <c r="T79" s="62">
        <f t="shared" si="4"/>
        <v>27</v>
      </c>
      <c r="U79" s="57">
        <v>170</v>
      </c>
      <c r="V79" s="62">
        <f t="shared" si="5"/>
        <v>4590</v>
      </c>
      <c r="W79" s="36">
        <v>3</v>
      </c>
      <c r="X79" s="57" t="s">
        <v>46</v>
      </c>
      <c r="Y79" s="57" t="s">
        <v>55</v>
      </c>
      <c r="Z79" s="57" t="s">
        <v>69</v>
      </c>
      <c r="AA79" s="57" t="s">
        <v>47</v>
      </c>
      <c r="AB79" s="57" t="s">
        <v>158</v>
      </c>
    </row>
    <row r="80" spans="1:28" x14ac:dyDescent="0.15">
      <c r="A80" s="57" t="s">
        <v>41</v>
      </c>
      <c r="B80" s="58" t="s">
        <v>157</v>
      </c>
      <c r="C80" s="59">
        <v>2019</v>
      </c>
      <c r="D80" s="60" t="s">
        <v>185</v>
      </c>
      <c r="E80" s="57" t="s">
        <v>195</v>
      </c>
      <c r="F80" s="36" t="s">
        <v>197</v>
      </c>
      <c r="G80" s="57" t="s">
        <v>42</v>
      </c>
      <c r="H80" s="57" t="s">
        <v>160</v>
      </c>
      <c r="I80" s="57" t="s">
        <v>159</v>
      </c>
      <c r="J80" s="57" t="s">
        <v>38</v>
      </c>
      <c r="K80" s="57" t="s">
        <v>161</v>
      </c>
      <c r="L80" s="57">
        <v>1</v>
      </c>
      <c r="M80" s="57"/>
      <c r="N80" s="57">
        <v>4</v>
      </c>
      <c r="O80" s="58">
        <v>0.65</v>
      </c>
      <c r="P80" s="58">
        <v>0.8</v>
      </c>
      <c r="Q80" s="75">
        <f t="shared" si="3"/>
        <v>0.72500000000000009</v>
      </c>
      <c r="R80" s="36">
        <v>15.1</v>
      </c>
      <c r="S80" s="36">
        <v>120</v>
      </c>
      <c r="T80" s="62">
        <f t="shared" si="4"/>
        <v>30</v>
      </c>
      <c r="U80" s="57">
        <v>645</v>
      </c>
      <c r="V80" s="62">
        <f t="shared" si="5"/>
        <v>4837.5</v>
      </c>
      <c r="W80" s="57">
        <v>2</v>
      </c>
      <c r="X80" s="57" t="s">
        <v>46</v>
      </c>
      <c r="Y80" s="57" t="s">
        <v>55</v>
      </c>
      <c r="Z80" s="57" t="s">
        <v>69</v>
      </c>
      <c r="AA80" s="57" t="s">
        <v>47</v>
      </c>
      <c r="AB80" s="57" t="s">
        <v>158</v>
      </c>
    </row>
    <row r="81" spans="1:34" x14ac:dyDescent="0.15">
      <c r="A81" s="57" t="s">
        <v>41</v>
      </c>
      <c r="B81" s="58" t="s">
        <v>157</v>
      </c>
      <c r="C81" s="59">
        <v>2019</v>
      </c>
      <c r="D81" s="60" t="s">
        <v>185</v>
      </c>
      <c r="E81" s="57" t="s">
        <v>195</v>
      </c>
      <c r="F81" s="36" t="s">
        <v>197</v>
      </c>
      <c r="G81" s="57" t="s">
        <v>42</v>
      </c>
      <c r="H81" s="57" t="s">
        <v>160</v>
      </c>
      <c r="I81" s="57" t="s">
        <v>159</v>
      </c>
      <c r="J81" s="57" t="s">
        <v>38</v>
      </c>
      <c r="K81" s="57" t="s">
        <v>161</v>
      </c>
      <c r="L81" s="36">
        <v>2</v>
      </c>
      <c r="N81" s="57">
        <v>4</v>
      </c>
      <c r="O81" s="58">
        <v>0.9</v>
      </c>
      <c r="P81" s="58">
        <v>0.8</v>
      </c>
      <c r="Q81" s="75">
        <f t="shared" si="3"/>
        <v>0.85000000000000009</v>
      </c>
      <c r="R81" s="36">
        <v>15.9</v>
      </c>
      <c r="S81" s="36">
        <v>118</v>
      </c>
      <c r="T81" s="62">
        <f t="shared" si="4"/>
        <v>30</v>
      </c>
      <c r="U81" s="57">
        <v>645</v>
      </c>
      <c r="V81" s="62">
        <f t="shared" si="5"/>
        <v>4837.5</v>
      </c>
      <c r="W81" s="57">
        <v>2</v>
      </c>
      <c r="X81" s="57" t="s">
        <v>46</v>
      </c>
      <c r="Y81" s="57" t="s">
        <v>55</v>
      </c>
      <c r="Z81" s="57" t="s">
        <v>69</v>
      </c>
      <c r="AA81" s="57" t="s">
        <v>47</v>
      </c>
      <c r="AB81" s="57" t="s">
        <v>158</v>
      </c>
    </row>
    <row r="82" spans="1:34" x14ac:dyDescent="0.15">
      <c r="A82" s="57" t="s">
        <v>41</v>
      </c>
      <c r="B82" s="58" t="s">
        <v>157</v>
      </c>
      <c r="C82" s="59">
        <v>2019</v>
      </c>
      <c r="D82" s="60" t="s">
        <v>185</v>
      </c>
      <c r="E82" s="57" t="s">
        <v>195</v>
      </c>
      <c r="F82" s="36" t="s">
        <v>197</v>
      </c>
      <c r="G82" s="57" t="s">
        <v>42</v>
      </c>
      <c r="H82" s="57" t="s">
        <v>160</v>
      </c>
      <c r="I82" s="57" t="s">
        <v>159</v>
      </c>
      <c r="J82" s="57" t="s">
        <v>38</v>
      </c>
      <c r="K82" s="57" t="s">
        <v>161</v>
      </c>
      <c r="L82" s="36">
        <v>3</v>
      </c>
      <c r="N82" s="57">
        <v>4</v>
      </c>
      <c r="O82" s="58">
        <v>0.65</v>
      </c>
      <c r="P82" s="58">
        <v>0.5</v>
      </c>
      <c r="Q82" s="75">
        <f t="shared" si="3"/>
        <v>0.57499999999999996</v>
      </c>
      <c r="R82" s="36">
        <v>14.8</v>
      </c>
      <c r="S82" s="36">
        <v>122</v>
      </c>
      <c r="T82" s="62">
        <f t="shared" si="4"/>
        <v>27</v>
      </c>
      <c r="U82" s="57">
        <v>645</v>
      </c>
      <c r="V82" s="62">
        <f t="shared" si="5"/>
        <v>4353.75</v>
      </c>
      <c r="W82" s="36">
        <v>2</v>
      </c>
      <c r="X82" s="57" t="s">
        <v>46</v>
      </c>
      <c r="Y82" s="57" t="s">
        <v>55</v>
      </c>
      <c r="Z82" s="57" t="s">
        <v>69</v>
      </c>
      <c r="AA82" s="57" t="s">
        <v>47</v>
      </c>
      <c r="AB82" s="57" t="s">
        <v>158</v>
      </c>
    </row>
    <row r="83" spans="1:34" x14ac:dyDescent="0.15">
      <c r="A83" s="57" t="s">
        <v>41</v>
      </c>
      <c r="B83" s="58" t="s">
        <v>157</v>
      </c>
      <c r="C83" s="59">
        <v>2019</v>
      </c>
      <c r="D83" s="60" t="s">
        <v>185</v>
      </c>
      <c r="E83" s="57" t="s">
        <v>199</v>
      </c>
      <c r="F83" s="36" t="s">
        <v>197</v>
      </c>
      <c r="G83" s="57" t="s">
        <v>42</v>
      </c>
      <c r="H83" s="57" t="s">
        <v>160</v>
      </c>
      <c r="I83" s="57" t="s">
        <v>159</v>
      </c>
      <c r="J83" s="57" t="s">
        <v>38</v>
      </c>
      <c r="K83" s="57" t="s">
        <v>161</v>
      </c>
      <c r="L83" s="57">
        <v>1</v>
      </c>
      <c r="M83" s="57"/>
      <c r="N83" s="57">
        <v>1</v>
      </c>
      <c r="O83" s="36">
        <v>0.7</v>
      </c>
      <c r="P83" s="36">
        <v>0.65</v>
      </c>
      <c r="Q83" s="75">
        <f t="shared" si="3"/>
        <v>0.67500000000000004</v>
      </c>
      <c r="R83" s="36">
        <v>15.2</v>
      </c>
      <c r="S83" s="36">
        <v>118</v>
      </c>
      <c r="T83" s="62">
        <f t="shared" si="4"/>
        <v>30</v>
      </c>
      <c r="U83" s="57">
        <v>83</v>
      </c>
      <c r="V83" s="62">
        <f t="shared" si="5"/>
        <v>2490</v>
      </c>
      <c r="W83" s="57">
        <v>6</v>
      </c>
      <c r="X83" s="57" t="s">
        <v>46</v>
      </c>
      <c r="Y83" s="57" t="s">
        <v>69</v>
      </c>
      <c r="Z83" s="57" t="s">
        <v>55</v>
      </c>
      <c r="AA83" s="57" t="s">
        <v>47</v>
      </c>
      <c r="AB83" s="57" t="s">
        <v>158</v>
      </c>
    </row>
    <row r="84" spans="1:34" x14ac:dyDescent="0.15">
      <c r="A84" s="57" t="s">
        <v>41</v>
      </c>
      <c r="B84" s="58" t="s">
        <v>157</v>
      </c>
      <c r="C84" s="59">
        <v>2019</v>
      </c>
      <c r="D84" s="60" t="s">
        <v>185</v>
      </c>
      <c r="E84" s="57" t="s">
        <v>199</v>
      </c>
      <c r="F84" s="36" t="s">
        <v>197</v>
      </c>
      <c r="G84" s="57" t="s">
        <v>42</v>
      </c>
      <c r="H84" s="57" t="s">
        <v>160</v>
      </c>
      <c r="I84" s="57" t="s">
        <v>159</v>
      </c>
      <c r="J84" s="57" t="s">
        <v>38</v>
      </c>
      <c r="K84" s="57" t="s">
        <v>161</v>
      </c>
      <c r="L84" s="36">
        <v>2</v>
      </c>
      <c r="N84" s="57">
        <v>1</v>
      </c>
      <c r="O84" s="36">
        <v>0.85</v>
      </c>
      <c r="P84" s="36">
        <v>0.7</v>
      </c>
      <c r="Q84" s="75">
        <f t="shared" si="3"/>
        <v>0.77499999999999991</v>
      </c>
      <c r="R84" s="36">
        <v>16.8</v>
      </c>
      <c r="S84" s="36">
        <v>120</v>
      </c>
      <c r="T84" s="62">
        <f t="shared" si="4"/>
        <v>30</v>
      </c>
      <c r="U84" s="57">
        <v>83</v>
      </c>
      <c r="V84" s="62">
        <f t="shared" si="5"/>
        <v>2490</v>
      </c>
      <c r="W84" s="57">
        <v>6</v>
      </c>
      <c r="X84" s="57" t="s">
        <v>46</v>
      </c>
      <c r="Y84" s="57" t="s">
        <v>69</v>
      </c>
      <c r="Z84" s="57" t="s">
        <v>55</v>
      </c>
      <c r="AA84" s="57" t="s">
        <v>47</v>
      </c>
      <c r="AB84" s="57" t="s">
        <v>158</v>
      </c>
    </row>
    <row r="85" spans="1:34" x14ac:dyDescent="0.15">
      <c r="A85" s="57" t="s">
        <v>41</v>
      </c>
      <c r="B85" s="58" t="s">
        <v>157</v>
      </c>
      <c r="C85" s="59">
        <v>2019</v>
      </c>
      <c r="D85" s="60" t="s">
        <v>185</v>
      </c>
      <c r="E85" s="57" t="s">
        <v>199</v>
      </c>
      <c r="F85" s="36" t="s">
        <v>197</v>
      </c>
      <c r="G85" s="57" t="s">
        <v>42</v>
      </c>
      <c r="H85" s="57" t="s">
        <v>160</v>
      </c>
      <c r="I85" s="57" t="s">
        <v>159</v>
      </c>
      <c r="J85" s="57" t="s">
        <v>38</v>
      </c>
      <c r="K85" s="57" t="s">
        <v>161</v>
      </c>
      <c r="L85" s="36">
        <v>3</v>
      </c>
      <c r="N85" s="57">
        <v>1</v>
      </c>
      <c r="O85" s="36">
        <v>0.65</v>
      </c>
      <c r="P85" s="36">
        <v>0.5</v>
      </c>
      <c r="Q85" s="75">
        <f t="shared" si="3"/>
        <v>0.57499999999999996</v>
      </c>
      <c r="R85" s="36">
        <v>14.1</v>
      </c>
      <c r="S85" s="36">
        <v>115</v>
      </c>
      <c r="T85" s="62">
        <f t="shared" si="4"/>
        <v>30</v>
      </c>
      <c r="U85" s="57">
        <v>83</v>
      </c>
      <c r="V85" s="62">
        <f t="shared" si="5"/>
        <v>2490</v>
      </c>
      <c r="W85" s="36">
        <v>6</v>
      </c>
      <c r="X85" s="57" t="s">
        <v>46</v>
      </c>
      <c r="Y85" s="57" t="s">
        <v>69</v>
      </c>
      <c r="Z85" s="57" t="s">
        <v>55</v>
      </c>
      <c r="AA85" s="57" t="s">
        <v>47</v>
      </c>
      <c r="AB85" s="57" t="s">
        <v>158</v>
      </c>
    </row>
    <row r="86" spans="1:34" x14ac:dyDescent="0.15">
      <c r="A86" s="57" t="s">
        <v>41</v>
      </c>
      <c r="B86" s="58" t="s">
        <v>157</v>
      </c>
      <c r="C86" s="59">
        <v>2019</v>
      </c>
      <c r="D86" s="60" t="s">
        <v>185</v>
      </c>
      <c r="E86" s="57" t="s">
        <v>199</v>
      </c>
      <c r="F86" s="36" t="s">
        <v>197</v>
      </c>
      <c r="G86" s="57" t="s">
        <v>42</v>
      </c>
      <c r="H86" s="57" t="s">
        <v>160</v>
      </c>
      <c r="I86" s="57" t="s">
        <v>159</v>
      </c>
      <c r="J86" s="57" t="s">
        <v>38</v>
      </c>
      <c r="K86" s="57" t="s">
        <v>161</v>
      </c>
      <c r="L86" s="57">
        <v>1</v>
      </c>
      <c r="M86" s="57"/>
      <c r="N86" s="57">
        <v>4</v>
      </c>
      <c r="O86" s="57">
        <v>0.35</v>
      </c>
      <c r="P86" s="57">
        <v>0.35</v>
      </c>
      <c r="Q86" s="75">
        <f t="shared" si="3"/>
        <v>0.35</v>
      </c>
      <c r="R86" s="36">
        <v>13.2</v>
      </c>
      <c r="S86" s="36">
        <v>120</v>
      </c>
      <c r="T86" s="62">
        <f t="shared" si="4"/>
        <v>30</v>
      </c>
      <c r="U86" s="57">
        <v>428</v>
      </c>
      <c r="V86" s="62">
        <f t="shared" si="5"/>
        <v>3210</v>
      </c>
      <c r="W86" s="57">
        <v>2</v>
      </c>
      <c r="X86" s="57" t="s">
        <v>46</v>
      </c>
      <c r="Y86" s="57" t="s">
        <v>69</v>
      </c>
      <c r="Z86" s="57" t="s">
        <v>55</v>
      </c>
      <c r="AA86" s="57" t="s">
        <v>47</v>
      </c>
      <c r="AB86" s="57" t="s">
        <v>158</v>
      </c>
    </row>
    <row r="87" spans="1:34" x14ac:dyDescent="0.15">
      <c r="A87" s="57" t="s">
        <v>41</v>
      </c>
      <c r="B87" s="58" t="s">
        <v>157</v>
      </c>
      <c r="C87" s="59">
        <v>2019</v>
      </c>
      <c r="D87" s="60" t="s">
        <v>185</v>
      </c>
      <c r="E87" s="57" t="s">
        <v>199</v>
      </c>
      <c r="F87" s="36" t="s">
        <v>197</v>
      </c>
      <c r="G87" s="57" t="s">
        <v>42</v>
      </c>
      <c r="H87" s="57" t="s">
        <v>160</v>
      </c>
      <c r="I87" s="57" t="s">
        <v>159</v>
      </c>
      <c r="J87" s="57" t="s">
        <v>38</v>
      </c>
      <c r="K87" s="57" t="s">
        <v>161</v>
      </c>
      <c r="L87" s="36">
        <v>2</v>
      </c>
      <c r="N87" s="57">
        <v>4</v>
      </c>
      <c r="O87" s="57">
        <v>0.3</v>
      </c>
      <c r="P87" s="57">
        <v>0.45</v>
      </c>
      <c r="Q87" s="75">
        <f t="shared" si="3"/>
        <v>0.375</v>
      </c>
      <c r="R87" s="36">
        <v>12.8</v>
      </c>
      <c r="S87" s="36">
        <v>120</v>
      </c>
      <c r="T87" s="62">
        <f t="shared" si="4"/>
        <v>30</v>
      </c>
      <c r="U87" s="57">
        <v>428</v>
      </c>
      <c r="V87" s="62">
        <f t="shared" si="5"/>
        <v>3210</v>
      </c>
      <c r="W87" s="36">
        <v>2</v>
      </c>
      <c r="X87" s="57" t="s">
        <v>46</v>
      </c>
      <c r="Y87" s="57" t="s">
        <v>69</v>
      </c>
      <c r="Z87" s="57" t="s">
        <v>55</v>
      </c>
      <c r="AA87" s="57" t="s">
        <v>47</v>
      </c>
      <c r="AB87" s="57" t="s">
        <v>158</v>
      </c>
    </row>
    <row r="88" spans="1:34" x14ac:dyDescent="0.15">
      <c r="A88" s="57" t="s">
        <v>41</v>
      </c>
      <c r="B88" s="58" t="s">
        <v>157</v>
      </c>
      <c r="C88" s="59">
        <v>2019</v>
      </c>
      <c r="D88" s="60" t="s">
        <v>185</v>
      </c>
      <c r="E88" s="57" t="s">
        <v>199</v>
      </c>
      <c r="F88" s="36" t="s">
        <v>197</v>
      </c>
      <c r="G88" s="57" t="s">
        <v>42</v>
      </c>
      <c r="H88" s="57" t="s">
        <v>160</v>
      </c>
      <c r="I88" s="57" t="s">
        <v>159</v>
      </c>
      <c r="J88" s="57" t="s">
        <v>38</v>
      </c>
      <c r="K88" s="57" t="s">
        <v>161</v>
      </c>
      <c r="L88" s="36">
        <v>3</v>
      </c>
      <c r="N88" s="57">
        <v>4</v>
      </c>
      <c r="O88" s="57">
        <v>0.25</v>
      </c>
      <c r="P88" s="57">
        <v>0.25</v>
      </c>
      <c r="Q88" s="75">
        <f t="shared" si="3"/>
        <v>0.25</v>
      </c>
      <c r="R88" s="36">
        <v>16.399999999999999</v>
      </c>
      <c r="S88" s="36">
        <v>117</v>
      </c>
      <c r="T88" s="62">
        <f t="shared" si="4"/>
        <v>30</v>
      </c>
      <c r="U88" s="57">
        <v>428</v>
      </c>
      <c r="V88" s="62">
        <f t="shared" si="5"/>
        <v>3210</v>
      </c>
      <c r="W88" s="36">
        <v>2</v>
      </c>
      <c r="X88" s="57" t="s">
        <v>46</v>
      </c>
      <c r="Y88" s="57" t="s">
        <v>69</v>
      </c>
      <c r="Z88" s="57" t="s">
        <v>55</v>
      </c>
      <c r="AA88" s="57" t="s">
        <v>47</v>
      </c>
      <c r="AB88" s="57" t="s">
        <v>158</v>
      </c>
    </row>
    <row r="89" spans="1:34" x14ac:dyDescent="0.15">
      <c r="A89" s="57" t="s">
        <v>41</v>
      </c>
      <c r="B89" s="58" t="s">
        <v>157</v>
      </c>
      <c r="C89" s="59">
        <v>2019</v>
      </c>
      <c r="D89" s="60" t="s">
        <v>185</v>
      </c>
      <c r="E89" s="57" t="s">
        <v>199</v>
      </c>
      <c r="F89" s="36" t="s">
        <v>197</v>
      </c>
      <c r="G89" s="57" t="s">
        <v>42</v>
      </c>
      <c r="H89" s="57" t="s">
        <v>165</v>
      </c>
      <c r="I89" s="57" t="s">
        <v>159</v>
      </c>
      <c r="J89" s="57" t="s">
        <v>38</v>
      </c>
      <c r="K89" s="57" t="s">
        <v>161</v>
      </c>
      <c r="L89" s="57">
        <v>1</v>
      </c>
      <c r="M89" s="57"/>
      <c r="N89" s="57">
        <v>1</v>
      </c>
      <c r="O89" s="36">
        <v>0.75</v>
      </c>
      <c r="P89" s="36">
        <v>0.7</v>
      </c>
      <c r="Q89" s="75">
        <f t="shared" si="3"/>
        <v>0.72499999999999998</v>
      </c>
      <c r="R89" s="36">
        <v>12.8</v>
      </c>
      <c r="S89" s="36">
        <v>121</v>
      </c>
      <c r="T89" s="62">
        <f t="shared" si="4"/>
        <v>27</v>
      </c>
      <c r="U89" s="57">
        <v>83</v>
      </c>
      <c r="V89" s="62">
        <f t="shared" si="5"/>
        <v>2241</v>
      </c>
      <c r="W89" s="57">
        <v>3</v>
      </c>
      <c r="X89" s="57" t="s">
        <v>46</v>
      </c>
      <c r="Y89" s="57" t="s">
        <v>69</v>
      </c>
      <c r="Z89" s="57" t="s">
        <v>55</v>
      </c>
      <c r="AA89" s="57" t="s">
        <v>47</v>
      </c>
      <c r="AB89" s="57" t="s">
        <v>158</v>
      </c>
      <c r="AC89" s="88"/>
      <c r="AD89" s="88"/>
      <c r="AE89" s="88"/>
      <c r="AF89" s="88"/>
      <c r="AG89" s="88"/>
      <c r="AH89" s="88"/>
    </row>
    <row r="90" spans="1:34" x14ac:dyDescent="0.15">
      <c r="A90" s="57" t="s">
        <v>41</v>
      </c>
      <c r="B90" s="58" t="s">
        <v>157</v>
      </c>
      <c r="C90" s="59">
        <v>2019</v>
      </c>
      <c r="D90" s="60" t="s">
        <v>185</v>
      </c>
      <c r="E90" s="57" t="s">
        <v>199</v>
      </c>
      <c r="F90" s="36" t="s">
        <v>197</v>
      </c>
      <c r="G90" s="57" t="s">
        <v>42</v>
      </c>
      <c r="H90" s="57" t="s">
        <v>165</v>
      </c>
      <c r="I90" s="57" t="s">
        <v>159</v>
      </c>
      <c r="J90" s="57" t="s">
        <v>38</v>
      </c>
      <c r="K90" s="57" t="s">
        <v>161</v>
      </c>
      <c r="L90" s="36">
        <v>2</v>
      </c>
      <c r="N90" s="57">
        <v>1</v>
      </c>
      <c r="O90" s="36">
        <v>0.65</v>
      </c>
      <c r="P90" s="36">
        <v>0.5</v>
      </c>
      <c r="Q90" s="75">
        <f t="shared" si="3"/>
        <v>0.57499999999999996</v>
      </c>
      <c r="R90" s="36">
        <v>13</v>
      </c>
      <c r="S90" s="36">
        <v>120</v>
      </c>
      <c r="T90" s="62">
        <f t="shared" si="4"/>
        <v>30</v>
      </c>
      <c r="U90" s="57">
        <v>83</v>
      </c>
      <c r="V90" s="62">
        <f t="shared" si="5"/>
        <v>2490</v>
      </c>
      <c r="W90" s="57">
        <v>3</v>
      </c>
      <c r="X90" s="57" t="s">
        <v>46</v>
      </c>
      <c r="Y90" s="57" t="s">
        <v>69</v>
      </c>
      <c r="Z90" s="57" t="s">
        <v>55</v>
      </c>
      <c r="AA90" s="57" t="s">
        <v>47</v>
      </c>
      <c r="AB90" s="57" t="s">
        <v>158</v>
      </c>
      <c r="AC90" s="88"/>
      <c r="AD90" s="88"/>
      <c r="AE90" s="88"/>
      <c r="AF90" s="88"/>
      <c r="AG90" s="88"/>
      <c r="AH90" s="88"/>
    </row>
    <row r="91" spans="1:34" x14ac:dyDescent="0.15">
      <c r="A91" s="57" t="s">
        <v>41</v>
      </c>
      <c r="B91" s="58" t="s">
        <v>157</v>
      </c>
      <c r="C91" s="59">
        <v>2019</v>
      </c>
      <c r="D91" s="60" t="s">
        <v>185</v>
      </c>
      <c r="E91" s="57" t="s">
        <v>199</v>
      </c>
      <c r="F91" s="36" t="s">
        <v>197</v>
      </c>
      <c r="G91" s="57" t="s">
        <v>42</v>
      </c>
      <c r="H91" s="57" t="s">
        <v>165</v>
      </c>
      <c r="I91" s="57" t="s">
        <v>159</v>
      </c>
      <c r="J91" s="57" t="s">
        <v>38</v>
      </c>
      <c r="K91" s="57" t="s">
        <v>161</v>
      </c>
      <c r="L91" s="36">
        <v>3</v>
      </c>
      <c r="N91" s="57">
        <v>1</v>
      </c>
      <c r="O91" s="36">
        <v>0.5</v>
      </c>
      <c r="P91" s="36">
        <v>0.65</v>
      </c>
      <c r="Q91" s="75">
        <f t="shared" si="3"/>
        <v>0.57499999999999996</v>
      </c>
      <c r="R91" s="36">
        <v>14.7</v>
      </c>
      <c r="S91" s="36">
        <v>115</v>
      </c>
      <c r="T91" s="62">
        <f t="shared" si="4"/>
        <v>30</v>
      </c>
      <c r="U91" s="57">
        <v>83</v>
      </c>
      <c r="V91" s="62">
        <f t="shared" si="5"/>
        <v>2490</v>
      </c>
      <c r="W91" s="36">
        <v>3</v>
      </c>
      <c r="X91" s="57" t="s">
        <v>46</v>
      </c>
      <c r="Y91" s="57" t="s">
        <v>69</v>
      </c>
      <c r="Z91" s="57" t="s">
        <v>55</v>
      </c>
      <c r="AA91" s="57" t="s">
        <v>47</v>
      </c>
      <c r="AB91" s="57" t="s">
        <v>158</v>
      </c>
      <c r="AC91" s="88"/>
      <c r="AD91" s="88"/>
      <c r="AE91" s="88"/>
      <c r="AF91" s="88"/>
      <c r="AG91" s="88"/>
      <c r="AH91" s="88"/>
    </row>
    <row r="92" spans="1:34" x14ac:dyDescent="0.15">
      <c r="A92" s="57" t="s">
        <v>41</v>
      </c>
      <c r="B92" s="58" t="s">
        <v>157</v>
      </c>
      <c r="C92" s="59">
        <v>2019</v>
      </c>
      <c r="D92" s="60" t="s">
        <v>185</v>
      </c>
      <c r="E92" s="57" t="s">
        <v>201</v>
      </c>
      <c r="F92" s="36" t="s">
        <v>202</v>
      </c>
      <c r="G92" s="57" t="s">
        <v>42</v>
      </c>
      <c r="H92" s="57" t="s">
        <v>165</v>
      </c>
      <c r="I92" s="57" t="s">
        <v>159</v>
      </c>
      <c r="J92" s="57" t="s">
        <v>38</v>
      </c>
      <c r="K92" s="57" t="s">
        <v>161</v>
      </c>
      <c r="L92" s="57">
        <v>1</v>
      </c>
      <c r="M92" s="57"/>
      <c r="N92" s="57">
        <v>1</v>
      </c>
      <c r="O92" s="58">
        <v>0.7</v>
      </c>
      <c r="P92" s="58">
        <v>0.75</v>
      </c>
      <c r="Q92" s="75">
        <f t="shared" si="3"/>
        <v>0.72499999999999998</v>
      </c>
      <c r="R92" s="36">
        <v>13.5</v>
      </c>
      <c r="S92" s="36">
        <v>125</v>
      </c>
      <c r="T92" s="62">
        <f t="shared" si="4"/>
        <v>27</v>
      </c>
      <c r="U92" s="57">
        <v>105</v>
      </c>
      <c r="V92" s="62">
        <f t="shared" si="5"/>
        <v>2835</v>
      </c>
      <c r="W92" s="57">
        <v>2</v>
      </c>
      <c r="X92" s="57" t="s">
        <v>46</v>
      </c>
      <c r="Y92" s="57" t="s">
        <v>55</v>
      </c>
      <c r="Z92" s="57" t="s">
        <v>69</v>
      </c>
      <c r="AA92" s="57" t="s">
        <v>40</v>
      </c>
      <c r="AB92" s="57" t="s">
        <v>158</v>
      </c>
      <c r="AC92" s="88"/>
      <c r="AD92" s="88"/>
      <c r="AE92" s="88"/>
      <c r="AF92" s="88"/>
      <c r="AG92" s="88"/>
      <c r="AH92" s="88"/>
    </row>
    <row r="93" spans="1:34" x14ac:dyDescent="0.15">
      <c r="A93" s="57" t="s">
        <v>41</v>
      </c>
      <c r="B93" s="58" t="s">
        <v>157</v>
      </c>
      <c r="C93" s="59">
        <v>2019</v>
      </c>
      <c r="D93" s="60" t="s">
        <v>185</v>
      </c>
      <c r="E93" s="57" t="s">
        <v>201</v>
      </c>
      <c r="F93" s="36" t="s">
        <v>202</v>
      </c>
      <c r="G93" s="57" t="s">
        <v>42</v>
      </c>
      <c r="H93" s="57" t="s">
        <v>165</v>
      </c>
      <c r="I93" s="57" t="s">
        <v>159</v>
      </c>
      <c r="J93" s="57" t="s">
        <v>38</v>
      </c>
      <c r="K93" s="57" t="s">
        <v>161</v>
      </c>
      <c r="L93" s="36">
        <v>2</v>
      </c>
      <c r="N93" s="57">
        <v>1</v>
      </c>
      <c r="O93" s="58">
        <v>0.65</v>
      </c>
      <c r="P93" s="58">
        <v>0.5</v>
      </c>
      <c r="Q93" s="75">
        <f t="shared" si="3"/>
        <v>0.57499999999999996</v>
      </c>
      <c r="R93" s="36">
        <v>12.1</v>
      </c>
      <c r="S93" s="36">
        <v>127</v>
      </c>
      <c r="T93" s="62">
        <f t="shared" si="4"/>
        <v>27</v>
      </c>
      <c r="U93" s="57">
        <v>105</v>
      </c>
      <c r="V93" s="62">
        <f t="shared" si="5"/>
        <v>2835</v>
      </c>
      <c r="W93" s="36">
        <v>2</v>
      </c>
      <c r="X93" s="57" t="s">
        <v>46</v>
      </c>
      <c r="Y93" s="57" t="s">
        <v>55</v>
      </c>
      <c r="Z93" s="57" t="s">
        <v>69</v>
      </c>
      <c r="AA93" s="57" t="s">
        <v>40</v>
      </c>
      <c r="AB93" s="57" t="s">
        <v>158</v>
      </c>
      <c r="AC93" s="88"/>
      <c r="AD93" s="88"/>
      <c r="AE93" s="88"/>
      <c r="AF93" s="88"/>
      <c r="AG93" s="88"/>
      <c r="AH93" s="88"/>
    </row>
    <row r="94" spans="1:34" x14ac:dyDescent="0.15">
      <c r="A94" s="57" t="s">
        <v>41</v>
      </c>
      <c r="B94" s="58" t="s">
        <v>157</v>
      </c>
      <c r="C94" s="59">
        <v>2019</v>
      </c>
      <c r="D94" s="60" t="s">
        <v>185</v>
      </c>
      <c r="E94" s="57" t="s">
        <v>201</v>
      </c>
      <c r="F94" s="36" t="s">
        <v>202</v>
      </c>
      <c r="G94" s="57" t="s">
        <v>42</v>
      </c>
      <c r="H94" s="57" t="s">
        <v>165</v>
      </c>
      <c r="I94" s="57" t="s">
        <v>159</v>
      </c>
      <c r="J94" s="57" t="s">
        <v>38</v>
      </c>
      <c r="K94" s="57" t="s">
        <v>161</v>
      </c>
      <c r="L94" s="36">
        <v>3</v>
      </c>
      <c r="N94" s="57">
        <v>1</v>
      </c>
      <c r="O94" s="58">
        <v>0.85</v>
      </c>
      <c r="P94" s="58">
        <v>0.7</v>
      </c>
      <c r="Q94" s="75">
        <f t="shared" si="3"/>
        <v>0.77499999999999991</v>
      </c>
      <c r="R94" s="36">
        <v>16.100000000000001</v>
      </c>
      <c r="S94" s="36">
        <v>126</v>
      </c>
      <c r="T94" s="62">
        <f t="shared" si="4"/>
        <v>27</v>
      </c>
      <c r="U94" s="57">
        <v>105</v>
      </c>
      <c r="V94" s="62">
        <f t="shared" si="5"/>
        <v>2835</v>
      </c>
      <c r="W94" s="36">
        <v>2</v>
      </c>
      <c r="X94" s="57" t="s">
        <v>46</v>
      </c>
      <c r="Y94" s="57" t="s">
        <v>55</v>
      </c>
      <c r="Z94" s="57" t="s">
        <v>69</v>
      </c>
      <c r="AA94" s="57" t="s">
        <v>40</v>
      </c>
      <c r="AB94" s="57" t="s">
        <v>158</v>
      </c>
      <c r="AC94" s="88"/>
      <c r="AD94" s="88"/>
      <c r="AE94" s="88"/>
      <c r="AF94" s="88"/>
      <c r="AG94" s="88"/>
      <c r="AH94" s="88"/>
    </row>
    <row r="95" spans="1:34" x14ac:dyDescent="0.15">
      <c r="A95" s="57" t="s">
        <v>41</v>
      </c>
      <c r="B95" s="58" t="s">
        <v>157</v>
      </c>
      <c r="C95" s="59">
        <v>2019</v>
      </c>
      <c r="D95" s="60" t="s">
        <v>185</v>
      </c>
      <c r="E95" s="57" t="s">
        <v>201</v>
      </c>
      <c r="F95" s="36" t="s">
        <v>202</v>
      </c>
      <c r="G95" s="57" t="s">
        <v>42</v>
      </c>
      <c r="H95" s="57" t="s">
        <v>165</v>
      </c>
      <c r="I95" s="57" t="s">
        <v>159</v>
      </c>
      <c r="J95" s="57" t="s">
        <v>38</v>
      </c>
      <c r="K95" s="57" t="s">
        <v>161</v>
      </c>
      <c r="L95" s="57">
        <v>1</v>
      </c>
      <c r="M95" s="57"/>
      <c r="N95" s="57">
        <v>5</v>
      </c>
      <c r="O95" s="58">
        <v>0.7</v>
      </c>
      <c r="P95" s="58">
        <v>0.65</v>
      </c>
      <c r="Q95" s="75">
        <f t="shared" si="3"/>
        <v>0.67500000000000004</v>
      </c>
      <c r="R95" s="36">
        <v>15.4</v>
      </c>
      <c r="S95" s="36">
        <v>122</v>
      </c>
      <c r="T95" s="62">
        <f t="shared" si="4"/>
        <v>27</v>
      </c>
      <c r="U95" s="57">
        <v>378</v>
      </c>
      <c r="V95" s="62">
        <f t="shared" si="5"/>
        <v>2041.1999999999998</v>
      </c>
      <c r="W95" s="57">
        <v>3</v>
      </c>
      <c r="X95" s="57" t="s">
        <v>46</v>
      </c>
      <c r="Y95" s="57" t="s">
        <v>55</v>
      </c>
      <c r="Z95" s="57" t="s">
        <v>69</v>
      </c>
      <c r="AA95" s="57" t="s">
        <v>40</v>
      </c>
      <c r="AB95" s="57" t="s">
        <v>158</v>
      </c>
      <c r="AC95" s="88"/>
      <c r="AD95" s="88"/>
      <c r="AE95" s="88"/>
      <c r="AF95" s="88"/>
      <c r="AG95" s="88"/>
      <c r="AH95" s="88"/>
    </row>
    <row r="96" spans="1:34" x14ac:dyDescent="0.15">
      <c r="A96" s="57" t="s">
        <v>41</v>
      </c>
      <c r="B96" s="58" t="s">
        <v>157</v>
      </c>
      <c r="C96" s="59">
        <v>2019</v>
      </c>
      <c r="D96" s="60" t="s">
        <v>185</v>
      </c>
      <c r="E96" s="57" t="s">
        <v>201</v>
      </c>
      <c r="F96" s="36" t="s">
        <v>202</v>
      </c>
      <c r="G96" s="57" t="s">
        <v>42</v>
      </c>
      <c r="H96" s="57" t="s">
        <v>165</v>
      </c>
      <c r="I96" s="57" t="s">
        <v>159</v>
      </c>
      <c r="J96" s="57" t="s">
        <v>38</v>
      </c>
      <c r="K96" s="57" t="s">
        <v>161</v>
      </c>
      <c r="L96" s="36">
        <v>2</v>
      </c>
      <c r="N96" s="57">
        <v>5</v>
      </c>
      <c r="O96" s="58">
        <v>0.5</v>
      </c>
      <c r="P96" s="58">
        <v>0.55000000000000004</v>
      </c>
      <c r="Q96" s="75">
        <f t="shared" si="3"/>
        <v>0.52500000000000002</v>
      </c>
      <c r="R96" s="36">
        <v>14.1</v>
      </c>
      <c r="S96" s="36">
        <v>124</v>
      </c>
      <c r="T96" s="62">
        <f t="shared" si="4"/>
        <v>27</v>
      </c>
      <c r="U96" s="57">
        <v>378</v>
      </c>
      <c r="V96" s="62">
        <f t="shared" si="5"/>
        <v>2041.1999999999998</v>
      </c>
      <c r="W96" s="57">
        <v>3</v>
      </c>
      <c r="X96" s="57" t="s">
        <v>46</v>
      </c>
      <c r="Y96" s="57" t="s">
        <v>55</v>
      </c>
      <c r="Z96" s="57" t="s">
        <v>69</v>
      </c>
      <c r="AA96" s="57" t="s">
        <v>40</v>
      </c>
      <c r="AB96" s="57" t="s">
        <v>158</v>
      </c>
      <c r="AC96" s="88"/>
      <c r="AD96" s="88"/>
      <c r="AE96" s="88"/>
      <c r="AF96" s="88"/>
      <c r="AG96" s="88"/>
      <c r="AH96" s="88"/>
    </row>
    <row r="97" spans="1:34" x14ac:dyDescent="0.15">
      <c r="A97" s="57" t="s">
        <v>41</v>
      </c>
      <c r="B97" s="58" t="s">
        <v>157</v>
      </c>
      <c r="C97" s="59">
        <v>2019</v>
      </c>
      <c r="D97" s="60" t="s">
        <v>185</v>
      </c>
      <c r="E97" s="57" t="s">
        <v>201</v>
      </c>
      <c r="F97" s="36" t="s">
        <v>202</v>
      </c>
      <c r="G97" s="57" t="s">
        <v>42</v>
      </c>
      <c r="H97" s="57" t="s">
        <v>165</v>
      </c>
      <c r="I97" s="57" t="s">
        <v>159</v>
      </c>
      <c r="J97" s="57" t="s">
        <v>38</v>
      </c>
      <c r="K97" s="57" t="s">
        <v>161</v>
      </c>
      <c r="L97" s="36">
        <v>3</v>
      </c>
      <c r="N97" s="57">
        <v>5</v>
      </c>
      <c r="O97" s="58">
        <v>0.65</v>
      </c>
      <c r="P97" s="58">
        <v>0.7</v>
      </c>
      <c r="Q97" s="75">
        <f t="shared" si="3"/>
        <v>0.67500000000000004</v>
      </c>
      <c r="R97" s="36">
        <v>14.9</v>
      </c>
      <c r="S97" s="36">
        <v>122</v>
      </c>
      <c r="T97" s="62">
        <f t="shared" si="4"/>
        <v>27</v>
      </c>
      <c r="U97" s="57">
        <v>378</v>
      </c>
      <c r="V97" s="62">
        <f t="shared" si="5"/>
        <v>2041.1999999999998</v>
      </c>
      <c r="W97" s="36">
        <v>3</v>
      </c>
      <c r="X97" s="57" t="s">
        <v>46</v>
      </c>
      <c r="Y97" s="57" t="s">
        <v>55</v>
      </c>
      <c r="Z97" s="57" t="s">
        <v>69</v>
      </c>
      <c r="AA97" s="57" t="s">
        <v>40</v>
      </c>
      <c r="AB97" s="57" t="s">
        <v>158</v>
      </c>
      <c r="AC97" s="88"/>
      <c r="AD97" s="88"/>
      <c r="AE97" s="88"/>
      <c r="AF97" s="88"/>
      <c r="AG97" s="88"/>
      <c r="AH97" s="88"/>
    </row>
    <row r="98" spans="1:34" x14ac:dyDescent="0.15">
      <c r="A98" s="57" t="s">
        <v>41</v>
      </c>
      <c r="B98" s="58" t="s">
        <v>157</v>
      </c>
      <c r="C98" s="59">
        <v>2019</v>
      </c>
      <c r="D98" s="60" t="s">
        <v>185</v>
      </c>
      <c r="E98" s="57" t="s">
        <v>201</v>
      </c>
      <c r="F98" s="36" t="s">
        <v>202</v>
      </c>
      <c r="G98" s="57" t="s">
        <v>42</v>
      </c>
      <c r="H98" s="57" t="s">
        <v>160</v>
      </c>
      <c r="I98" s="57" t="s">
        <v>159</v>
      </c>
      <c r="J98" s="57" t="s">
        <v>38</v>
      </c>
      <c r="K98" s="57" t="s">
        <v>161</v>
      </c>
      <c r="L98" s="57">
        <v>1</v>
      </c>
      <c r="M98" s="57"/>
      <c r="N98" s="57">
        <v>1</v>
      </c>
      <c r="O98" s="58">
        <v>0.25</v>
      </c>
      <c r="P98" s="58">
        <v>0.25</v>
      </c>
      <c r="Q98" s="75">
        <f t="shared" si="3"/>
        <v>0.25</v>
      </c>
      <c r="R98" s="36">
        <v>15.8</v>
      </c>
      <c r="S98" s="36">
        <v>126</v>
      </c>
      <c r="T98" s="62">
        <f t="shared" si="4"/>
        <v>27</v>
      </c>
      <c r="U98" s="57">
        <v>105</v>
      </c>
      <c r="V98" s="62">
        <f t="shared" si="5"/>
        <v>2835</v>
      </c>
      <c r="W98" s="57">
        <v>4</v>
      </c>
      <c r="X98" s="57" t="s">
        <v>46</v>
      </c>
      <c r="Y98" s="57" t="s">
        <v>55</v>
      </c>
      <c r="Z98" s="57" t="s">
        <v>69</v>
      </c>
      <c r="AA98" s="57" t="s">
        <v>40</v>
      </c>
      <c r="AB98" s="57" t="s">
        <v>158</v>
      </c>
      <c r="AC98" s="88"/>
      <c r="AD98" s="88"/>
      <c r="AE98" s="88"/>
      <c r="AF98" s="88"/>
      <c r="AG98" s="88"/>
      <c r="AH98" s="88"/>
    </row>
    <row r="99" spans="1:34" x14ac:dyDescent="0.15">
      <c r="A99" s="57" t="s">
        <v>41</v>
      </c>
      <c r="B99" s="58" t="s">
        <v>157</v>
      </c>
      <c r="C99" s="59">
        <v>2019</v>
      </c>
      <c r="D99" s="60" t="s">
        <v>185</v>
      </c>
      <c r="E99" s="57" t="s">
        <v>201</v>
      </c>
      <c r="F99" s="36" t="s">
        <v>202</v>
      </c>
      <c r="G99" s="57" t="s">
        <v>42</v>
      </c>
      <c r="H99" s="57" t="s">
        <v>160</v>
      </c>
      <c r="I99" s="57" t="s">
        <v>159</v>
      </c>
      <c r="J99" s="57" t="s">
        <v>38</v>
      </c>
      <c r="K99" s="57" t="s">
        <v>161</v>
      </c>
      <c r="L99" s="36">
        <v>2</v>
      </c>
      <c r="N99" s="57">
        <v>1</v>
      </c>
      <c r="O99" s="58">
        <v>0.3</v>
      </c>
      <c r="P99" s="58">
        <v>0.35</v>
      </c>
      <c r="Q99" s="75">
        <f t="shared" si="3"/>
        <v>0.32499999999999996</v>
      </c>
      <c r="R99" s="36">
        <v>16.100000000000001</v>
      </c>
      <c r="S99" s="36">
        <v>124</v>
      </c>
      <c r="T99" s="62">
        <f t="shared" si="4"/>
        <v>27</v>
      </c>
      <c r="U99" s="57">
        <v>105</v>
      </c>
      <c r="V99" s="62">
        <f t="shared" si="5"/>
        <v>2835</v>
      </c>
      <c r="W99" s="36">
        <v>4</v>
      </c>
      <c r="X99" s="57" t="s">
        <v>46</v>
      </c>
      <c r="Y99" s="57" t="s">
        <v>55</v>
      </c>
      <c r="Z99" s="57" t="s">
        <v>69</v>
      </c>
      <c r="AA99" s="57" t="s">
        <v>40</v>
      </c>
      <c r="AB99" s="57" t="s">
        <v>158</v>
      </c>
      <c r="AC99" s="88"/>
      <c r="AD99" s="88"/>
      <c r="AE99" s="88"/>
      <c r="AF99" s="88"/>
      <c r="AG99" s="88"/>
      <c r="AH99" s="88"/>
    </row>
    <row r="100" spans="1:34" x14ac:dyDescent="0.15">
      <c r="A100" s="57" t="s">
        <v>41</v>
      </c>
      <c r="B100" s="58" t="s">
        <v>157</v>
      </c>
      <c r="C100" s="59">
        <v>2019</v>
      </c>
      <c r="D100" s="60" t="s">
        <v>185</v>
      </c>
      <c r="E100" s="57" t="s">
        <v>201</v>
      </c>
      <c r="F100" s="36" t="s">
        <v>202</v>
      </c>
      <c r="G100" s="57" t="s">
        <v>42</v>
      </c>
      <c r="H100" s="57" t="s">
        <v>160</v>
      </c>
      <c r="I100" s="57" t="s">
        <v>159</v>
      </c>
      <c r="J100" s="57" t="s">
        <v>38</v>
      </c>
      <c r="K100" s="57" t="s">
        <v>161</v>
      </c>
      <c r="L100" s="36">
        <v>3</v>
      </c>
      <c r="N100" s="57">
        <v>1</v>
      </c>
      <c r="O100" s="58">
        <v>0.25</v>
      </c>
      <c r="P100" s="58">
        <v>0.25</v>
      </c>
      <c r="Q100" s="89">
        <f t="shared" si="3"/>
        <v>0.25</v>
      </c>
      <c r="R100" s="36">
        <v>14.7</v>
      </c>
      <c r="S100" s="36">
        <v>126</v>
      </c>
      <c r="T100" s="90">
        <f t="shared" si="4"/>
        <v>27</v>
      </c>
      <c r="U100" s="57">
        <v>105</v>
      </c>
      <c r="V100" s="62">
        <f t="shared" si="5"/>
        <v>2835</v>
      </c>
      <c r="W100" s="36">
        <v>4</v>
      </c>
      <c r="X100" s="57" t="s">
        <v>46</v>
      </c>
      <c r="Y100" s="57" t="s">
        <v>55</v>
      </c>
      <c r="Z100" s="57" t="s">
        <v>69</v>
      </c>
      <c r="AA100" s="57" t="s">
        <v>40</v>
      </c>
      <c r="AB100" s="57" t="s">
        <v>158</v>
      </c>
      <c r="AC100" s="88"/>
      <c r="AD100" s="88"/>
      <c r="AE100" s="88"/>
      <c r="AF100" s="88"/>
      <c r="AG100" s="88"/>
      <c r="AH100" s="88"/>
    </row>
    <row r="101" spans="1:34" x14ac:dyDescent="0.15">
      <c r="A101" s="57" t="s">
        <v>41</v>
      </c>
      <c r="B101" s="58" t="s">
        <v>157</v>
      </c>
      <c r="C101" s="59">
        <v>2019</v>
      </c>
      <c r="D101" s="60" t="s">
        <v>185</v>
      </c>
      <c r="E101" s="57" t="s">
        <v>201</v>
      </c>
      <c r="F101" s="36" t="s">
        <v>202</v>
      </c>
      <c r="G101" s="57" t="s">
        <v>42</v>
      </c>
      <c r="H101" s="57" t="s">
        <v>160</v>
      </c>
      <c r="I101" s="57" t="s">
        <v>159</v>
      </c>
      <c r="J101" s="57" t="s">
        <v>38</v>
      </c>
      <c r="K101" s="57" t="s">
        <v>161</v>
      </c>
      <c r="L101" s="57">
        <v>1</v>
      </c>
      <c r="M101" s="57"/>
      <c r="N101" s="57">
        <v>8</v>
      </c>
      <c r="O101" s="58">
        <v>0.75</v>
      </c>
      <c r="P101" s="58">
        <v>0.7</v>
      </c>
      <c r="Q101" s="89">
        <f t="shared" si="3"/>
        <v>0.72499999999999998</v>
      </c>
      <c r="R101" s="36">
        <v>14.2</v>
      </c>
      <c r="S101" s="36">
        <v>118</v>
      </c>
      <c r="T101" s="90">
        <f t="shared" si="4"/>
        <v>30</v>
      </c>
      <c r="U101" s="57">
        <v>842</v>
      </c>
      <c r="V101" s="62">
        <f t="shared" si="5"/>
        <v>3157.5</v>
      </c>
      <c r="W101" s="57">
        <v>2</v>
      </c>
      <c r="X101" s="57" t="s">
        <v>46</v>
      </c>
      <c r="Y101" s="57" t="s">
        <v>55</v>
      </c>
      <c r="Z101" s="57" t="s">
        <v>69</v>
      </c>
      <c r="AA101" s="57" t="s">
        <v>40</v>
      </c>
      <c r="AB101" s="57" t="s">
        <v>158</v>
      </c>
      <c r="AC101" s="88"/>
      <c r="AD101" s="88"/>
      <c r="AE101" s="88"/>
      <c r="AF101" s="88"/>
      <c r="AG101" s="88"/>
      <c r="AH101" s="88"/>
    </row>
    <row r="102" spans="1:34" x14ac:dyDescent="0.15">
      <c r="A102" s="57" t="s">
        <v>41</v>
      </c>
      <c r="B102" s="58" t="s">
        <v>157</v>
      </c>
      <c r="C102" s="59">
        <v>2019</v>
      </c>
      <c r="D102" s="60" t="s">
        <v>185</v>
      </c>
      <c r="E102" s="57" t="s">
        <v>201</v>
      </c>
      <c r="F102" s="36" t="s">
        <v>202</v>
      </c>
      <c r="G102" s="57" t="s">
        <v>42</v>
      </c>
      <c r="H102" s="57" t="s">
        <v>160</v>
      </c>
      <c r="I102" s="57" t="s">
        <v>159</v>
      </c>
      <c r="J102" s="57" t="s">
        <v>38</v>
      </c>
      <c r="K102" s="57" t="s">
        <v>161</v>
      </c>
      <c r="L102" s="36">
        <v>2</v>
      </c>
      <c r="N102" s="57">
        <v>8</v>
      </c>
      <c r="O102" s="58">
        <v>0.8</v>
      </c>
      <c r="P102" s="58">
        <v>0.75</v>
      </c>
      <c r="Q102" s="89">
        <f t="shared" si="3"/>
        <v>0.77500000000000002</v>
      </c>
      <c r="R102" s="36">
        <v>16.5</v>
      </c>
      <c r="S102" s="36">
        <v>120</v>
      </c>
      <c r="T102" s="90">
        <f t="shared" si="4"/>
        <v>30</v>
      </c>
      <c r="U102" s="57">
        <v>842</v>
      </c>
      <c r="V102" s="62">
        <f t="shared" si="5"/>
        <v>3157.5</v>
      </c>
      <c r="W102" s="36">
        <v>2</v>
      </c>
      <c r="X102" s="57" t="s">
        <v>46</v>
      </c>
      <c r="Y102" s="57" t="s">
        <v>55</v>
      </c>
      <c r="Z102" s="57" t="s">
        <v>69</v>
      </c>
      <c r="AA102" s="57" t="s">
        <v>40</v>
      </c>
      <c r="AB102" s="57" t="s">
        <v>158</v>
      </c>
      <c r="AC102" s="88"/>
      <c r="AD102" s="88"/>
      <c r="AE102" s="88"/>
      <c r="AF102" s="88"/>
      <c r="AG102" s="88"/>
      <c r="AH102" s="88"/>
    </row>
    <row r="103" spans="1:34" x14ac:dyDescent="0.15">
      <c r="A103" s="57" t="s">
        <v>41</v>
      </c>
      <c r="B103" s="58" t="s">
        <v>157</v>
      </c>
      <c r="C103" s="59">
        <v>2019</v>
      </c>
      <c r="D103" s="60" t="s">
        <v>185</v>
      </c>
      <c r="E103" s="57" t="s">
        <v>201</v>
      </c>
      <c r="F103" s="36" t="s">
        <v>202</v>
      </c>
      <c r="G103" s="57" t="s">
        <v>42</v>
      </c>
      <c r="H103" s="57" t="s">
        <v>160</v>
      </c>
      <c r="I103" s="57" t="s">
        <v>159</v>
      </c>
      <c r="J103" s="57" t="s">
        <v>38</v>
      </c>
      <c r="K103" s="57" t="s">
        <v>161</v>
      </c>
      <c r="L103" s="36">
        <v>3</v>
      </c>
      <c r="N103" s="57">
        <v>8</v>
      </c>
      <c r="O103" s="58">
        <v>0.5</v>
      </c>
      <c r="P103" s="58">
        <v>0.55000000000000004</v>
      </c>
      <c r="Q103" s="89">
        <f t="shared" si="3"/>
        <v>0.52500000000000002</v>
      </c>
      <c r="R103" s="36">
        <v>18.399999999999999</v>
      </c>
      <c r="S103" s="36">
        <v>117</v>
      </c>
      <c r="T103" s="90">
        <f t="shared" si="4"/>
        <v>30</v>
      </c>
      <c r="U103" s="57">
        <v>842</v>
      </c>
      <c r="V103" s="90">
        <f t="shared" si="5"/>
        <v>3157.5</v>
      </c>
      <c r="W103" s="36">
        <v>2</v>
      </c>
      <c r="X103" s="57" t="s">
        <v>46</v>
      </c>
      <c r="Y103" s="57" t="s">
        <v>55</v>
      </c>
      <c r="Z103" s="57" t="s">
        <v>69</v>
      </c>
      <c r="AA103" s="57" t="s">
        <v>40</v>
      </c>
      <c r="AB103" s="57" t="s">
        <v>158</v>
      </c>
      <c r="AC103" s="88"/>
      <c r="AD103" s="88"/>
      <c r="AE103" s="88"/>
      <c r="AF103" s="88"/>
      <c r="AG103" s="88"/>
      <c r="AH103" s="88"/>
    </row>
    <row r="104" spans="1:34" s="57" customFormat="1" x14ac:dyDescent="0.15">
      <c r="A104" s="57" t="s">
        <v>41</v>
      </c>
      <c r="B104" s="58" t="s">
        <v>157</v>
      </c>
      <c r="C104" s="59">
        <v>2019</v>
      </c>
      <c r="D104" s="60" t="s">
        <v>185</v>
      </c>
      <c r="E104" s="57" t="s">
        <v>201</v>
      </c>
      <c r="F104" s="36" t="s">
        <v>202</v>
      </c>
      <c r="G104" s="57" t="s">
        <v>42</v>
      </c>
      <c r="H104" s="57" t="s">
        <v>160</v>
      </c>
      <c r="I104" s="57" t="s">
        <v>159</v>
      </c>
      <c r="J104" s="57" t="s">
        <v>38</v>
      </c>
      <c r="K104" s="57" t="s">
        <v>161</v>
      </c>
      <c r="L104" s="57">
        <v>1</v>
      </c>
      <c r="N104" s="57">
        <v>3</v>
      </c>
      <c r="O104" s="58">
        <v>0.6</v>
      </c>
      <c r="P104" s="58">
        <v>0.55000000000000004</v>
      </c>
      <c r="Q104" s="89">
        <f t="shared" si="3"/>
        <v>0.57499999999999996</v>
      </c>
      <c r="R104" s="57">
        <v>17</v>
      </c>
      <c r="S104" s="57">
        <v>164</v>
      </c>
      <c r="T104" s="90">
        <f t="shared" si="4"/>
        <v>22</v>
      </c>
      <c r="U104" s="57">
        <v>410</v>
      </c>
      <c r="V104" s="90">
        <f t="shared" si="5"/>
        <v>3006.6666666666665</v>
      </c>
      <c r="W104" s="57">
        <v>2</v>
      </c>
      <c r="X104" s="57" t="s">
        <v>46</v>
      </c>
      <c r="Y104" s="57" t="s">
        <v>55</v>
      </c>
      <c r="Z104" s="57" t="s">
        <v>69</v>
      </c>
      <c r="AA104" s="57" t="s">
        <v>40</v>
      </c>
      <c r="AB104" s="57" t="s">
        <v>158</v>
      </c>
      <c r="AC104" s="91"/>
      <c r="AD104" s="91"/>
      <c r="AE104" s="91"/>
      <c r="AF104" s="91"/>
      <c r="AG104" s="91"/>
      <c r="AH104" s="91"/>
    </row>
    <row r="105" spans="1:34" s="57" customFormat="1" x14ac:dyDescent="0.15">
      <c r="A105" s="57" t="s">
        <v>41</v>
      </c>
      <c r="B105" s="58" t="s">
        <v>157</v>
      </c>
      <c r="C105" s="59">
        <v>2019</v>
      </c>
      <c r="D105" s="60" t="s">
        <v>185</v>
      </c>
      <c r="E105" s="57" t="s">
        <v>201</v>
      </c>
      <c r="F105" s="36" t="s">
        <v>202</v>
      </c>
      <c r="G105" s="57" t="s">
        <v>42</v>
      </c>
      <c r="H105" s="57" t="s">
        <v>160</v>
      </c>
      <c r="I105" s="57" t="s">
        <v>159</v>
      </c>
      <c r="J105" s="57" t="s">
        <v>38</v>
      </c>
      <c r="K105" s="57" t="s">
        <v>161</v>
      </c>
      <c r="L105" s="57">
        <v>2</v>
      </c>
      <c r="N105" s="57">
        <v>3</v>
      </c>
      <c r="O105" s="58">
        <v>0.55000000000000004</v>
      </c>
      <c r="P105" s="58">
        <v>0.45</v>
      </c>
      <c r="Q105" s="89">
        <f t="shared" si="3"/>
        <v>0.5</v>
      </c>
      <c r="R105" s="57">
        <v>15.5</v>
      </c>
      <c r="S105" s="57">
        <v>158</v>
      </c>
      <c r="T105" s="90">
        <f t="shared" si="4"/>
        <v>22</v>
      </c>
      <c r="U105" s="57">
        <v>410</v>
      </c>
      <c r="V105" s="90">
        <f t="shared" si="5"/>
        <v>3006.6666666666665</v>
      </c>
      <c r="W105" s="57">
        <v>2</v>
      </c>
      <c r="X105" s="57" t="s">
        <v>46</v>
      </c>
      <c r="Y105" s="57" t="s">
        <v>55</v>
      </c>
      <c r="Z105" s="57" t="s">
        <v>69</v>
      </c>
      <c r="AA105" s="57" t="s">
        <v>40</v>
      </c>
      <c r="AB105" s="57" t="s">
        <v>158</v>
      </c>
      <c r="AC105" s="91"/>
      <c r="AD105" s="91"/>
      <c r="AE105" s="91"/>
      <c r="AF105" s="91"/>
      <c r="AG105" s="91"/>
      <c r="AH105" s="91"/>
    </row>
    <row r="106" spans="1:34" s="57" customFormat="1" x14ac:dyDescent="0.15">
      <c r="A106" s="57" t="s">
        <v>41</v>
      </c>
      <c r="B106" s="58" t="s">
        <v>157</v>
      </c>
      <c r="C106" s="59">
        <v>2019</v>
      </c>
      <c r="D106" s="60" t="s">
        <v>185</v>
      </c>
      <c r="E106" s="57" t="s">
        <v>201</v>
      </c>
      <c r="F106" s="36" t="s">
        <v>202</v>
      </c>
      <c r="G106" s="57" t="s">
        <v>42</v>
      </c>
      <c r="H106" s="57" t="s">
        <v>160</v>
      </c>
      <c r="I106" s="57" t="s">
        <v>159</v>
      </c>
      <c r="J106" s="57" t="s">
        <v>38</v>
      </c>
      <c r="K106" s="57" t="s">
        <v>161</v>
      </c>
      <c r="L106" s="57">
        <v>3</v>
      </c>
      <c r="N106" s="57">
        <v>3</v>
      </c>
      <c r="O106" s="58">
        <v>0.6</v>
      </c>
      <c r="P106" s="58">
        <v>0.5</v>
      </c>
      <c r="Q106" s="89">
        <f t="shared" si="3"/>
        <v>0.55000000000000004</v>
      </c>
      <c r="R106" s="57">
        <v>15.9</v>
      </c>
      <c r="S106" s="57">
        <v>152</v>
      </c>
      <c r="T106" s="90">
        <f t="shared" si="4"/>
        <v>22</v>
      </c>
      <c r="U106" s="57">
        <v>410</v>
      </c>
      <c r="V106" s="90">
        <f t="shared" si="5"/>
        <v>3006.6666666666665</v>
      </c>
      <c r="W106" s="57">
        <v>2</v>
      </c>
      <c r="X106" s="57" t="s">
        <v>46</v>
      </c>
      <c r="Y106" s="57" t="s">
        <v>55</v>
      </c>
      <c r="Z106" s="57" t="s">
        <v>69</v>
      </c>
      <c r="AA106" s="57" t="s">
        <v>40</v>
      </c>
      <c r="AB106" s="57" t="s">
        <v>158</v>
      </c>
      <c r="AC106" s="91"/>
      <c r="AD106" s="91"/>
      <c r="AE106" s="91"/>
      <c r="AF106" s="91"/>
      <c r="AG106" s="91"/>
      <c r="AH106" s="91"/>
    </row>
    <row r="107" spans="1:34" x14ac:dyDescent="0.15">
      <c r="A107" s="57" t="s">
        <v>41</v>
      </c>
      <c r="B107" s="58" t="s">
        <v>157</v>
      </c>
      <c r="C107" s="59">
        <v>2019</v>
      </c>
      <c r="D107" s="60" t="s">
        <v>185</v>
      </c>
      <c r="E107" s="57" t="s">
        <v>201</v>
      </c>
      <c r="F107" s="36" t="s">
        <v>208</v>
      </c>
      <c r="G107" s="57" t="s">
        <v>42</v>
      </c>
      <c r="H107" s="57" t="s">
        <v>165</v>
      </c>
      <c r="I107" s="57" t="s">
        <v>159</v>
      </c>
      <c r="J107" s="57" t="s">
        <v>38</v>
      </c>
      <c r="K107" s="57" t="s">
        <v>161</v>
      </c>
      <c r="L107" s="57">
        <v>1</v>
      </c>
      <c r="M107" s="57"/>
      <c r="N107" s="57">
        <v>1</v>
      </c>
      <c r="O107" s="58">
        <v>0.7</v>
      </c>
      <c r="P107" s="58">
        <v>0.5</v>
      </c>
      <c r="Q107" s="75">
        <f t="shared" si="3"/>
        <v>0.6</v>
      </c>
      <c r="R107" s="36">
        <v>12.6</v>
      </c>
      <c r="S107" s="36">
        <v>130</v>
      </c>
      <c r="T107" s="62">
        <f t="shared" si="4"/>
        <v>25</v>
      </c>
      <c r="U107" s="57">
        <v>105</v>
      </c>
      <c r="V107" s="62">
        <f t="shared" si="5"/>
        <v>2625</v>
      </c>
      <c r="W107" s="57">
        <v>2</v>
      </c>
      <c r="X107" s="57" t="s">
        <v>46</v>
      </c>
      <c r="Y107" s="57" t="s">
        <v>55</v>
      </c>
      <c r="Z107" s="57" t="s">
        <v>69</v>
      </c>
      <c r="AA107" s="57" t="s">
        <v>40</v>
      </c>
      <c r="AB107" s="57" t="s">
        <v>158</v>
      </c>
      <c r="AC107" s="88"/>
      <c r="AD107" s="88"/>
      <c r="AE107" s="88"/>
      <c r="AF107" s="88"/>
      <c r="AG107" s="88"/>
      <c r="AH107" s="88"/>
    </row>
    <row r="108" spans="1:34" x14ac:dyDescent="0.15">
      <c r="A108" s="57" t="s">
        <v>41</v>
      </c>
      <c r="B108" s="58" t="s">
        <v>157</v>
      </c>
      <c r="C108" s="59">
        <v>2019</v>
      </c>
      <c r="D108" s="60" t="s">
        <v>185</v>
      </c>
      <c r="E108" s="57" t="s">
        <v>201</v>
      </c>
      <c r="F108" s="36" t="s">
        <v>208</v>
      </c>
      <c r="G108" s="57" t="s">
        <v>42</v>
      </c>
      <c r="H108" s="57" t="s">
        <v>165</v>
      </c>
      <c r="I108" s="57" t="s">
        <v>159</v>
      </c>
      <c r="J108" s="57" t="s">
        <v>38</v>
      </c>
      <c r="K108" s="57" t="s">
        <v>161</v>
      </c>
      <c r="L108" s="36">
        <v>2</v>
      </c>
      <c r="N108" s="57">
        <v>1</v>
      </c>
      <c r="O108" s="58">
        <v>0.7</v>
      </c>
      <c r="P108" s="58">
        <v>0.65</v>
      </c>
      <c r="Q108" s="75">
        <f t="shared" si="3"/>
        <v>0.67500000000000004</v>
      </c>
      <c r="R108" s="36">
        <v>13.3</v>
      </c>
      <c r="S108" s="36">
        <v>129</v>
      </c>
      <c r="T108" s="62">
        <f t="shared" si="4"/>
        <v>25</v>
      </c>
      <c r="U108" s="57">
        <v>105</v>
      </c>
      <c r="V108" s="62">
        <f t="shared" si="5"/>
        <v>2625</v>
      </c>
      <c r="W108" s="36">
        <v>2</v>
      </c>
      <c r="X108" s="57" t="s">
        <v>46</v>
      </c>
      <c r="Y108" s="57" t="s">
        <v>55</v>
      </c>
      <c r="Z108" s="57" t="s">
        <v>69</v>
      </c>
      <c r="AA108" s="57" t="s">
        <v>40</v>
      </c>
      <c r="AB108" s="57" t="s">
        <v>158</v>
      </c>
      <c r="AC108" s="88"/>
      <c r="AD108" s="88"/>
      <c r="AE108" s="88"/>
      <c r="AF108" s="88"/>
      <c r="AG108" s="88"/>
      <c r="AH108" s="88"/>
    </row>
    <row r="109" spans="1:34" x14ac:dyDescent="0.15">
      <c r="A109" s="57" t="s">
        <v>41</v>
      </c>
      <c r="B109" s="58" t="s">
        <v>157</v>
      </c>
      <c r="C109" s="59">
        <v>2019</v>
      </c>
      <c r="D109" s="60" t="s">
        <v>185</v>
      </c>
      <c r="E109" s="57" t="s">
        <v>201</v>
      </c>
      <c r="F109" s="36" t="s">
        <v>208</v>
      </c>
      <c r="G109" s="57" t="s">
        <v>42</v>
      </c>
      <c r="H109" s="57" t="s">
        <v>165</v>
      </c>
      <c r="I109" s="57" t="s">
        <v>159</v>
      </c>
      <c r="J109" s="57" t="s">
        <v>38</v>
      </c>
      <c r="K109" s="57" t="s">
        <v>161</v>
      </c>
      <c r="L109" s="36">
        <v>3</v>
      </c>
      <c r="N109" s="57">
        <v>1</v>
      </c>
      <c r="O109" s="58">
        <v>0.5</v>
      </c>
      <c r="P109" s="58">
        <v>0.45</v>
      </c>
      <c r="Q109" s="75">
        <f t="shared" si="3"/>
        <v>0.47499999999999998</v>
      </c>
      <c r="R109" s="36">
        <v>12.8</v>
      </c>
      <c r="S109" s="36">
        <v>132</v>
      </c>
      <c r="T109" s="62">
        <f t="shared" si="4"/>
        <v>25</v>
      </c>
      <c r="U109" s="57">
        <v>105</v>
      </c>
      <c r="V109" s="62">
        <f t="shared" si="5"/>
        <v>2625</v>
      </c>
      <c r="W109" s="36">
        <v>2</v>
      </c>
      <c r="X109" s="57" t="s">
        <v>46</v>
      </c>
      <c r="Y109" s="57" t="s">
        <v>55</v>
      </c>
      <c r="Z109" s="57" t="s">
        <v>69</v>
      </c>
      <c r="AA109" s="57" t="s">
        <v>40</v>
      </c>
      <c r="AB109" s="57" t="s">
        <v>158</v>
      </c>
      <c r="AC109" s="88"/>
      <c r="AD109" s="88"/>
      <c r="AE109" s="88"/>
      <c r="AF109" s="88"/>
      <c r="AG109" s="88"/>
      <c r="AH109" s="88"/>
    </row>
    <row r="110" spans="1:34" x14ac:dyDescent="0.15">
      <c r="A110" s="57" t="s">
        <v>41</v>
      </c>
      <c r="B110" s="58" t="s">
        <v>157</v>
      </c>
      <c r="C110" s="59">
        <v>2019</v>
      </c>
      <c r="D110" s="60" t="s">
        <v>185</v>
      </c>
      <c r="E110" s="57" t="s">
        <v>201</v>
      </c>
      <c r="F110" s="36" t="s">
        <v>208</v>
      </c>
      <c r="G110" s="57" t="s">
        <v>42</v>
      </c>
      <c r="H110" s="57" t="s">
        <v>165</v>
      </c>
      <c r="I110" s="57" t="s">
        <v>159</v>
      </c>
      <c r="J110" s="57" t="s">
        <v>38</v>
      </c>
      <c r="K110" s="57" t="s">
        <v>161</v>
      </c>
      <c r="L110" s="57">
        <v>1</v>
      </c>
      <c r="M110" s="57"/>
      <c r="N110" s="57">
        <v>5</v>
      </c>
      <c r="O110" s="58">
        <v>1</v>
      </c>
      <c r="P110" s="58">
        <v>1.1499999999999999</v>
      </c>
      <c r="Q110" s="75">
        <f t="shared" si="3"/>
        <v>1.075</v>
      </c>
      <c r="R110" s="36">
        <v>15.4</v>
      </c>
      <c r="S110" s="36">
        <v>124</v>
      </c>
      <c r="T110" s="62">
        <f t="shared" si="4"/>
        <v>27</v>
      </c>
      <c r="U110" s="57">
        <v>378</v>
      </c>
      <c r="V110" s="62">
        <f t="shared" si="5"/>
        <v>2041.1999999999998</v>
      </c>
      <c r="W110" s="57">
        <v>2</v>
      </c>
      <c r="X110" s="57" t="s">
        <v>46</v>
      </c>
      <c r="Y110" s="57" t="s">
        <v>55</v>
      </c>
      <c r="Z110" s="57" t="s">
        <v>69</v>
      </c>
      <c r="AA110" s="57" t="s">
        <v>40</v>
      </c>
      <c r="AB110" s="57" t="s">
        <v>158</v>
      </c>
      <c r="AC110" s="88"/>
      <c r="AD110" s="88"/>
      <c r="AE110" s="88"/>
      <c r="AF110" s="88"/>
      <c r="AG110" s="88"/>
      <c r="AH110" s="88"/>
    </row>
    <row r="111" spans="1:34" x14ac:dyDescent="0.15">
      <c r="A111" s="57" t="s">
        <v>41</v>
      </c>
      <c r="B111" s="58" t="s">
        <v>157</v>
      </c>
      <c r="C111" s="59">
        <v>2019</v>
      </c>
      <c r="D111" s="60" t="s">
        <v>185</v>
      </c>
      <c r="E111" s="57" t="s">
        <v>201</v>
      </c>
      <c r="F111" s="36" t="s">
        <v>208</v>
      </c>
      <c r="G111" s="57" t="s">
        <v>42</v>
      </c>
      <c r="H111" s="57" t="s">
        <v>165</v>
      </c>
      <c r="I111" s="57" t="s">
        <v>159</v>
      </c>
      <c r="J111" s="57" t="s">
        <v>38</v>
      </c>
      <c r="K111" s="57" t="s">
        <v>161</v>
      </c>
      <c r="L111" s="36">
        <v>2</v>
      </c>
      <c r="N111" s="57">
        <v>5</v>
      </c>
      <c r="O111" s="58">
        <v>1</v>
      </c>
      <c r="P111" s="58">
        <v>1.05</v>
      </c>
      <c r="Q111" s="75">
        <f t="shared" si="3"/>
        <v>1.0249999999999999</v>
      </c>
      <c r="R111" s="36">
        <v>14.7</v>
      </c>
      <c r="S111" s="36">
        <v>125</v>
      </c>
      <c r="T111" s="62">
        <f t="shared" si="4"/>
        <v>27</v>
      </c>
      <c r="U111" s="57">
        <v>378</v>
      </c>
      <c r="V111" s="62">
        <f t="shared" si="5"/>
        <v>2041.1999999999998</v>
      </c>
      <c r="W111" s="57">
        <v>2</v>
      </c>
      <c r="X111" s="57" t="s">
        <v>46</v>
      </c>
      <c r="Y111" s="57" t="s">
        <v>55</v>
      </c>
      <c r="Z111" s="57" t="s">
        <v>69</v>
      </c>
      <c r="AA111" s="57" t="s">
        <v>40</v>
      </c>
      <c r="AB111" s="57" t="s">
        <v>158</v>
      </c>
      <c r="AC111" s="88"/>
      <c r="AD111" s="88"/>
      <c r="AE111" s="88"/>
      <c r="AF111" s="88"/>
      <c r="AG111" s="88"/>
      <c r="AH111" s="88"/>
    </row>
    <row r="112" spans="1:34" x14ac:dyDescent="0.15">
      <c r="A112" s="57" t="s">
        <v>41</v>
      </c>
      <c r="B112" s="58" t="s">
        <v>157</v>
      </c>
      <c r="C112" s="59">
        <v>2019</v>
      </c>
      <c r="D112" s="60" t="s">
        <v>185</v>
      </c>
      <c r="E112" s="57" t="s">
        <v>201</v>
      </c>
      <c r="F112" s="36" t="s">
        <v>208</v>
      </c>
      <c r="G112" s="57" t="s">
        <v>42</v>
      </c>
      <c r="H112" s="57" t="s">
        <v>165</v>
      </c>
      <c r="I112" s="57" t="s">
        <v>159</v>
      </c>
      <c r="J112" s="57" t="s">
        <v>38</v>
      </c>
      <c r="K112" s="57" t="s">
        <v>161</v>
      </c>
      <c r="L112" s="36">
        <v>3</v>
      </c>
      <c r="N112" s="57">
        <v>5</v>
      </c>
      <c r="O112" s="58">
        <v>0.95</v>
      </c>
      <c r="P112" s="58">
        <v>1.1499999999999999</v>
      </c>
      <c r="Q112" s="75">
        <f t="shared" si="3"/>
        <v>1.0499999999999998</v>
      </c>
      <c r="R112" s="36">
        <v>14.5</v>
      </c>
      <c r="S112" s="36">
        <v>125</v>
      </c>
      <c r="T112" s="62">
        <f t="shared" si="4"/>
        <v>27</v>
      </c>
      <c r="U112" s="57">
        <v>378</v>
      </c>
      <c r="V112" s="62">
        <f t="shared" si="5"/>
        <v>2041.1999999999998</v>
      </c>
      <c r="W112" s="36">
        <v>2</v>
      </c>
      <c r="X112" s="57" t="s">
        <v>46</v>
      </c>
      <c r="Y112" s="57" t="s">
        <v>55</v>
      </c>
      <c r="Z112" s="57" t="s">
        <v>69</v>
      </c>
      <c r="AA112" s="57" t="s">
        <v>40</v>
      </c>
      <c r="AB112" s="57" t="s">
        <v>158</v>
      </c>
      <c r="AC112" s="88"/>
      <c r="AD112" s="88"/>
      <c r="AE112" s="88"/>
      <c r="AF112" s="88"/>
      <c r="AG112" s="88"/>
      <c r="AH112" s="88"/>
    </row>
    <row r="113" spans="1:34" x14ac:dyDescent="0.15">
      <c r="A113" s="57" t="s">
        <v>41</v>
      </c>
      <c r="B113" s="58" t="s">
        <v>157</v>
      </c>
      <c r="C113" s="59">
        <v>2019</v>
      </c>
      <c r="D113" s="60" t="s">
        <v>185</v>
      </c>
      <c r="E113" s="57" t="s">
        <v>201</v>
      </c>
      <c r="F113" s="36" t="s">
        <v>208</v>
      </c>
      <c r="G113" s="57" t="s">
        <v>42</v>
      </c>
      <c r="H113" s="57" t="s">
        <v>160</v>
      </c>
      <c r="I113" s="57" t="s">
        <v>159</v>
      </c>
      <c r="J113" s="57" t="s">
        <v>38</v>
      </c>
      <c r="K113" s="57" t="s">
        <v>161</v>
      </c>
      <c r="L113" s="57">
        <v>1</v>
      </c>
      <c r="M113" s="57"/>
      <c r="N113" s="57">
        <v>1</v>
      </c>
      <c r="O113" s="58">
        <v>0.45</v>
      </c>
      <c r="P113" s="58">
        <v>0.55000000000000004</v>
      </c>
      <c r="Q113" s="75">
        <f t="shared" si="3"/>
        <v>0.5</v>
      </c>
      <c r="R113" s="36">
        <v>13.5</v>
      </c>
      <c r="S113" s="36">
        <v>124</v>
      </c>
      <c r="T113" s="62">
        <f t="shared" si="4"/>
        <v>27</v>
      </c>
      <c r="U113" s="57">
        <v>105</v>
      </c>
      <c r="V113" s="62">
        <f t="shared" si="5"/>
        <v>2835</v>
      </c>
      <c r="W113" s="57">
        <v>4</v>
      </c>
      <c r="X113" s="57" t="s">
        <v>46</v>
      </c>
      <c r="Y113" s="57" t="s">
        <v>55</v>
      </c>
      <c r="Z113" s="57" t="s">
        <v>69</v>
      </c>
      <c r="AA113" s="57" t="s">
        <v>40</v>
      </c>
      <c r="AB113" s="57" t="s">
        <v>158</v>
      </c>
      <c r="AC113" s="88"/>
      <c r="AD113" s="88"/>
      <c r="AE113" s="88"/>
      <c r="AF113" s="88"/>
      <c r="AG113" s="88"/>
      <c r="AH113" s="88"/>
    </row>
    <row r="114" spans="1:34" x14ac:dyDescent="0.15">
      <c r="A114" s="57" t="s">
        <v>41</v>
      </c>
      <c r="B114" s="58" t="s">
        <v>157</v>
      </c>
      <c r="C114" s="59">
        <v>2019</v>
      </c>
      <c r="D114" s="60" t="s">
        <v>185</v>
      </c>
      <c r="E114" s="57" t="s">
        <v>201</v>
      </c>
      <c r="F114" s="36" t="s">
        <v>208</v>
      </c>
      <c r="G114" s="57" t="s">
        <v>42</v>
      </c>
      <c r="H114" s="57" t="s">
        <v>160</v>
      </c>
      <c r="I114" s="57" t="s">
        <v>159</v>
      </c>
      <c r="J114" s="57" t="s">
        <v>38</v>
      </c>
      <c r="K114" s="57" t="s">
        <v>161</v>
      </c>
      <c r="L114" s="36">
        <v>2</v>
      </c>
      <c r="N114" s="57">
        <v>1</v>
      </c>
      <c r="O114" s="58">
        <v>0.5</v>
      </c>
      <c r="P114" s="58">
        <v>0.55000000000000004</v>
      </c>
      <c r="Q114" s="75">
        <f t="shared" si="3"/>
        <v>0.52500000000000002</v>
      </c>
      <c r="R114" s="36">
        <v>15.1</v>
      </c>
      <c r="S114" s="36">
        <v>126</v>
      </c>
      <c r="T114" s="62">
        <f t="shared" si="4"/>
        <v>27</v>
      </c>
      <c r="U114" s="57">
        <v>105</v>
      </c>
      <c r="V114" s="62">
        <f t="shared" si="5"/>
        <v>2835</v>
      </c>
      <c r="W114" s="36">
        <v>4</v>
      </c>
      <c r="X114" s="57" t="s">
        <v>46</v>
      </c>
      <c r="Y114" s="57" t="s">
        <v>55</v>
      </c>
      <c r="Z114" s="57" t="s">
        <v>69</v>
      </c>
      <c r="AA114" s="57" t="s">
        <v>40</v>
      </c>
      <c r="AB114" s="57" t="s">
        <v>158</v>
      </c>
      <c r="AC114" s="88"/>
      <c r="AD114" s="88"/>
      <c r="AE114" s="88"/>
      <c r="AF114" s="88"/>
      <c r="AG114" s="88"/>
      <c r="AH114" s="88"/>
    </row>
    <row r="115" spans="1:34" x14ac:dyDescent="0.15">
      <c r="A115" s="57" t="s">
        <v>41</v>
      </c>
      <c r="B115" s="58" t="s">
        <v>157</v>
      </c>
      <c r="C115" s="59">
        <v>2019</v>
      </c>
      <c r="D115" s="60" t="s">
        <v>185</v>
      </c>
      <c r="E115" s="57" t="s">
        <v>201</v>
      </c>
      <c r="F115" s="36" t="s">
        <v>208</v>
      </c>
      <c r="G115" s="57" t="s">
        <v>42</v>
      </c>
      <c r="H115" s="57" t="s">
        <v>160</v>
      </c>
      <c r="I115" s="57" t="s">
        <v>159</v>
      </c>
      <c r="J115" s="57" t="s">
        <v>38</v>
      </c>
      <c r="K115" s="57" t="s">
        <v>161</v>
      </c>
      <c r="L115" s="36">
        <v>3</v>
      </c>
      <c r="N115" s="57">
        <v>1</v>
      </c>
      <c r="O115" s="58">
        <v>0.6</v>
      </c>
      <c r="P115" s="58">
        <v>0.65</v>
      </c>
      <c r="Q115" s="89">
        <f t="shared" si="3"/>
        <v>0.625</v>
      </c>
      <c r="R115" s="36">
        <v>14.8</v>
      </c>
      <c r="S115" s="36">
        <v>123</v>
      </c>
      <c r="T115" s="90">
        <f t="shared" si="4"/>
        <v>27</v>
      </c>
      <c r="U115" s="57">
        <v>105</v>
      </c>
      <c r="V115" s="62">
        <f t="shared" si="5"/>
        <v>2835</v>
      </c>
      <c r="W115" s="36">
        <v>4</v>
      </c>
      <c r="X115" s="57" t="s">
        <v>46</v>
      </c>
      <c r="Y115" s="57" t="s">
        <v>55</v>
      </c>
      <c r="Z115" s="57" t="s">
        <v>69</v>
      </c>
      <c r="AA115" s="57" t="s">
        <v>40</v>
      </c>
      <c r="AB115" s="57" t="s">
        <v>158</v>
      </c>
      <c r="AC115" s="88"/>
      <c r="AD115" s="88"/>
      <c r="AE115" s="88"/>
      <c r="AF115" s="88"/>
      <c r="AG115" s="88"/>
      <c r="AH115" s="88"/>
    </row>
    <row r="116" spans="1:34" x14ac:dyDescent="0.15">
      <c r="A116" s="57" t="s">
        <v>41</v>
      </c>
      <c r="B116" s="58" t="s">
        <v>157</v>
      </c>
      <c r="C116" s="59">
        <v>2019</v>
      </c>
      <c r="D116" s="60" t="s">
        <v>185</v>
      </c>
      <c r="E116" s="57" t="s">
        <v>201</v>
      </c>
      <c r="F116" s="36" t="s">
        <v>208</v>
      </c>
      <c r="G116" s="57" t="s">
        <v>42</v>
      </c>
      <c r="H116" s="57" t="s">
        <v>160</v>
      </c>
      <c r="I116" s="57" t="s">
        <v>159</v>
      </c>
      <c r="J116" s="57" t="s">
        <v>38</v>
      </c>
      <c r="K116" s="57" t="s">
        <v>161</v>
      </c>
      <c r="L116" s="57">
        <v>1</v>
      </c>
      <c r="M116" s="57"/>
      <c r="N116" s="57">
        <v>4</v>
      </c>
      <c r="O116" s="58">
        <v>0.75</v>
      </c>
      <c r="P116" s="58">
        <v>0.6</v>
      </c>
      <c r="Q116" s="89">
        <f t="shared" si="3"/>
        <v>0.67500000000000004</v>
      </c>
      <c r="R116" s="36">
        <v>16.7</v>
      </c>
      <c r="S116" s="36">
        <v>120</v>
      </c>
      <c r="T116" s="90">
        <f t="shared" si="4"/>
        <v>30</v>
      </c>
      <c r="U116" s="57">
        <v>410</v>
      </c>
      <c r="V116" s="62">
        <f t="shared" si="5"/>
        <v>3075</v>
      </c>
      <c r="W116" s="57">
        <v>2</v>
      </c>
      <c r="X116" s="57" t="s">
        <v>46</v>
      </c>
      <c r="Y116" s="57" t="s">
        <v>55</v>
      </c>
      <c r="Z116" s="57" t="s">
        <v>69</v>
      </c>
      <c r="AA116" s="57" t="s">
        <v>40</v>
      </c>
      <c r="AB116" s="57" t="s">
        <v>158</v>
      </c>
      <c r="AC116" s="88"/>
      <c r="AD116" s="88"/>
      <c r="AE116" s="88"/>
      <c r="AF116" s="88"/>
      <c r="AG116" s="88"/>
      <c r="AH116" s="88"/>
    </row>
    <row r="117" spans="1:34" x14ac:dyDescent="0.15">
      <c r="A117" s="57" t="s">
        <v>41</v>
      </c>
      <c r="B117" s="58" t="s">
        <v>157</v>
      </c>
      <c r="C117" s="59">
        <v>2019</v>
      </c>
      <c r="D117" s="60" t="s">
        <v>185</v>
      </c>
      <c r="E117" s="57" t="s">
        <v>201</v>
      </c>
      <c r="F117" s="36" t="s">
        <v>208</v>
      </c>
      <c r="G117" s="57" t="s">
        <v>42</v>
      </c>
      <c r="H117" s="57" t="s">
        <v>160</v>
      </c>
      <c r="I117" s="57" t="s">
        <v>159</v>
      </c>
      <c r="J117" s="57" t="s">
        <v>38</v>
      </c>
      <c r="K117" s="57" t="s">
        <v>161</v>
      </c>
      <c r="L117" s="36">
        <v>2</v>
      </c>
      <c r="N117" s="57">
        <v>4</v>
      </c>
      <c r="O117" s="58">
        <v>0.6</v>
      </c>
      <c r="P117" s="58">
        <v>0.55000000000000004</v>
      </c>
      <c r="Q117" s="89">
        <f t="shared" si="3"/>
        <v>0.57499999999999996</v>
      </c>
      <c r="R117" s="36">
        <v>16.2</v>
      </c>
      <c r="S117" s="36">
        <v>120</v>
      </c>
      <c r="T117" s="90">
        <f t="shared" si="4"/>
        <v>30</v>
      </c>
      <c r="U117" s="57">
        <v>410</v>
      </c>
      <c r="V117" s="62">
        <f t="shared" si="5"/>
        <v>3075</v>
      </c>
      <c r="W117" s="36">
        <v>2</v>
      </c>
      <c r="X117" s="57" t="s">
        <v>46</v>
      </c>
      <c r="Y117" s="57" t="s">
        <v>55</v>
      </c>
      <c r="Z117" s="57" t="s">
        <v>69</v>
      </c>
      <c r="AA117" s="57" t="s">
        <v>40</v>
      </c>
      <c r="AB117" s="57" t="s">
        <v>158</v>
      </c>
      <c r="AC117" s="88"/>
      <c r="AD117" s="88"/>
      <c r="AE117" s="88"/>
      <c r="AF117" s="88"/>
      <c r="AG117" s="88"/>
      <c r="AH117" s="88"/>
    </row>
    <row r="118" spans="1:34" x14ac:dyDescent="0.15">
      <c r="A118" s="57" t="s">
        <v>41</v>
      </c>
      <c r="B118" s="58" t="s">
        <v>157</v>
      </c>
      <c r="C118" s="59">
        <v>2019</v>
      </c>
      <c r="D118" s="60" t="s">
        <v>185</v>
      </c>
      <c r="E118" s="57" t="s">
        <v>201</v>
      </c>
      <c r="F118" s="36" t="s">
        <v>208</v>
      </c>
      <c r="G118" s="57" t="s">
        <v>42</v>
      </c>
      <c r="H118" s="57" t="s">
        <v>160</v>
      </c>
      <c r="I118" s="57" t="s">
        <v>159</v>
      </c>
      <c r="J118" s="57" t="s">
        <v>38</v>
      </c>
      <c r="K118" s="57" t="s">
        <v>161</v>
      </c>
      <c r="L118" s="36">
        <v>3</v>
      </c>
      <c r="N118" s="57">
        <v>4</v>
      </c>
      <c r="O118" s="58">
        <v>0.5</v>
      </c>
      <c r="P118" s="58">
        <v>0.45</v>
      </c>
      <c r="Q118" s="89">
        <f t="shared" si="3"/>
        <v>0.47499999999999998</v>
      </c>
      <c r="R118" s="36">
        <v>17.100000000000001</v>
      </c>
      <c r="S118" s="36">
        <v>120</v>
      </c>
      <c r="T118" s="90">
        <f t="shared" si="4"/>
        <v>30</v>
      </c>
      <c r="U118" s="57">
        <v>410</v>
      </c>
      <c r="V118" s="90">
        <f t="shared" si="5"/>
        <v>3075</v>
      </c>
      <c r="W118" s="36">
        <v>2</v>
      </c>
      <c r="X118" s="57" t="s">
        <v>46</v>
      </c>
      <c r="Y118" s="57" t="s">
        <v>55</v>
      </c>
      <c r="Z118" s="57" t="s">
        <v>69</v>
      </c>
      <c r="AA118" s="57" t="s">
        <v>40</v>
      </c>
      <c r="AB118" s="57" t="s">
        <v>158</v>
      </c>
      <c r="AC118" s="88"/>
      <c r="AD118" s="88"/>
      <c r="AE118" s="88"/>
      <c r="AF118" s="88"/>
      <c r="AG118" s="88"/>
      <c r="AH118" s="88"/>
    </row>
    <row r="119" spans="1:34" s="57" customFormat="1" x14ac:dyDescent="0.15">
      <c r="A119" s="57" t="s">
        <v>41</v>
      </c>
      <c r="B119" s="58" t="s">
        <v>157</v>
      </c>
      <c r="C119" s="59">
        <v>2019</v>
      </c>
      <c r="D119" s="60" t="s">
        <v>185</v>
      </c>
      <c r="E119" s="57" t="s">
        <v>201</v>
      </c>
      <c r="F119" s="36" t="s">
        <v>208</v>
      </c>
      <c r="G119" s="57" t="s">
        <v>42</v>
      </c>
      <c r="H119" s="57" t="s">
        <v>160</v>
      </c>
      <c r="I119" s="57" t="s">
        <v>159</v>
      </c>
      <c r="J119" s="57" t="s">
        <v>38</v>
      </c>
      <c r="K119" s="57" t="s">
        <v>161</v>
      </c>
      <c r="L119" s="57">
        <v>1</v>
      </c>
      <c r="N119" s="57">
        <v>3</v>
      </c>
      <c r="O119" s="58">
        <v>0.25</v>
      </c>
      <c r="P119" s="58">
        <v>0.25</v>
      </c>
      <c r="Q119" s="89">
        <f t="shared" si="3"/>
        <v>0.25</v>
      </c>
      <c r="R119" s="57">
        <v>12.9</v>
      </c>
      <c r="S119" s="57">
        <v>161</v>
      </c>
      <c r="T119" s="90">
        <f t="shared" si="4"/>
        <v>22</v>
      </c>
      <c r="U119" s="57">
        <v>429</v>
      </c>
      <c r="V119" s="90">
        <f t="shared" si="5"/>
        <v>3146</v>
      </c>
      <c r="W119" s="57">
        <v>1</v>
      </c>
      <c r="X119" s="57" t="s">
        <v>46</v>
      </c>
      <c r="Y119" s="57" t="s">
        <v>55</v>
      </c>
      <c r="Z119" s="57" t="s">
        <v>69</v>
      </c>
      <c r="AA119" s="57" t="s">
        <v>40</v>
      </c>
      <c r="AB119" s="57" t="s">
        <v>158</v>
      </c>
      <c r="AC119" s="91"/>
      <c r="AD119" s="91"/>
      <c r="AE119" s="91"/>
      <c r="AF119" s="91"/>
      <c r="AG119" s="91"/>
      <c r="AH119" s="91"/>
    </row>
    <row r="120" spans="1:34" s="57" customFormat="1" x14ac:dyDescent="0.15">
      <c r="A120" s="57" t="s">
        <v>41</v>
      </c>
      <c r="B120" s="58" t="s">
        <v>157</v>
      </c>
      <c r="C120" s="59">
        <v>2019</v>
      </c>
      <c r="D120" s="60" t="s">
        <v>185</v>
      </c>
      <c r="E120" s="57" t="s">
        <v>201</v>
      </c>
      <c r="F120" s="36" t="s">
        <v>208</v>
      </c>
      <c r="G120" s="57" t="s">
        <v>42</v>
      </c>
      <c r="H120" s="57" t="s">
        <v>160</v>
      </c>
      <c r="I120" s="57" t="s">
        <v>159</v>
      </c>
      <c r="J120" s="57" t="s">
        <v>38</v>
      </c>
      <c r="K120" s="57" t="s">
        <v>161</v>
      </c>
      <c r="L120" s="57">
        <v>2</v>
      </c>
      <c r="N120" s="57">
        <v>3</v>
      </c>
      <c r="O120" s="58">
        <v>0.25</v>
      </c>
      <c r="P120" s="58">
        <v>0.25</v>
      </c>
      <c r="Q120" s="89">
        <f t="shared" si="3"/>
        <v>0.25</v>
      </c>
      <c r="R120" s="57">
        <v>15.1</v>
      </c>
      <c r="S120" s="57">
        <v>152</v>
      </c>
      <c r="T120" s="90">
        <f t="shared" si="4"/>
        <v>22</v>
      </c>
      <c r="U120" s="57">
        <v>429</v>
      </c>
      <c r="V120" s="90">
        <f t="shared" si="5"/>
        <v>3146</v>
      </c>
      <c r="W120" s="57">
        <v>1</v>
      </c>
      <c r="X120" s="57" t="s">
        <v>46</v>
      </c>
      <c r="Y120" s="57" t="s">
        <v>55</v>
      </c>
      <c r="Z120" s="57" t="s">
        <v>69</v>
      </c>
      <c r="AA120" s="57" t="s">
        <v>40</v>
      </c>
      <c r="AB120" s="57" t="s">
        <v>158</v>
      </c>
      <c r="AC120" s="91"/>
      <c r="AD120" s="91"/>
      <c r="AE120" s="91"/>
      <c r="AF120" s="91"/>
      <c r="AG120" s="91"/>
      <c r="AH120" s="91"/>
    </row>
    <row r="121" spans="1:34" s="57" customFormat="1" x14ac:dyDescent="0.15">
      <c r="A121" s="57" t="s">
        <v>41</v>
      </c>
      <c r="B121" s="58" t="s">
        <v>157</v>
      </c>
      <c r="C121" s="59">
        <v>2019</v>
      </c>
      <c r="D121" s="60" t="s">
        <v>185</v>
      </c>
      <c r="E121" s="57" t="s">
        <v>201</v>
      </c>
      <c r="F121" s="36" t="s">
        <v>208</v>
      </c>
      <c r="G121" s="57" t="s">
        <v>42</v>
      </c>
      <c r="H121" s="57" t="s">
        <v>160</v>
      </c>
      <c r="I121" s="57" t="s">
        <v>159</v>
      </c>
      <c r="J121" s="57" t="s">
        <v>38</v>
      </c>
      <c r="K121" s="57" t="s">
        <v>161</v>
      </c>
      <c r="L121" s="57">
        <v>3</v>
      </c>
      <c r="N121" s="57">
        <v>3</v>
      </c>
      <c r="O121" s="58">
        <v>0.25</v>
      </c>
      <c r="P121" s="58">
        <v>0.35</v>
      </c>
      <c r="Q121" s="89">
        <f t="shared" si="3"/>
        <v>0.3</v>
      </c>
      <c r="R121" s="57">
        <v>14.3</v>
      </c>
      <c r="S121" s="57">
        <v>157</v>
      </c>
      <c r="T121" s="90">
        <f t="shared" si="4"/>
        <v>22</v>
      </c>
      <c r="U121" s="57">
        <v>429</v>
      </c>
      <c r="V121" s="90">
        <f t="shared" si="5"/>
        <v>3146</v>
      </c>
      <c r="W121" s="57">
        <v>1</v>
      </c>
      <c r="X121" s="57" t="s">
        <v>46</v>
      </c>
      <c r="Y121" s="57" t="s">
        <v>55</v>
      </c>
      <c r="Z121" s="57" t="s">
        <v>69</v>
      </c>
      <c r="AA121" s="57" t="s">
        <v>40</v>
      </c>
      <c r="AB121" s="57" t="s">
        <v>158</v>
      </c>
      <c r="AC121" s="91"/>
      <c r="AD121" s="91"/>
      <c r="AE121" s="91"/>
      <c r="AF121" s="91"/>
      <c r="AG121" s="91"/>
      <c r="AH121" s="91"/>
    </row>
    <row r="122" spans="1:34" s="57" customFormat="1" x14ac:dyDescent="0.15">
      <c r="A122" s="57" t="s">
        <v>41</v>
      </c>
      <c r="B122" s="58" t="s">
        <v>157</v>
      </c>
      <c r="C122" s="59">
        <v>2019</v>
      </c>
      <c r="D122" s="60" t="s">
        <v>185</v>
      </c>
      <c r="E122" s="57" t="s">
        <v>201</v>
      </c>
      <c r="F122" s="36" t="s">
        <v>208</v>
      </c>
      <c r="G122" s="57" t="s">
        <v>42</v>
      </c>
      <c r="H122" s="57" t="s">
        <v>160</v>
      </c>
      <c r="I122" s="57" t="s">
        <v>159</v>
      </c>
      <c r="J122" s="57" t="s">
        <v>38</v>
      </c>
      <c r="K122" s="57" t="s">
        <v>161</v>
      </c>
      <c r="L122" s="57">
        <v>1</v>
      </c>
      <c r="N122" s="57">
        <v>6</v>
      </c>
      <c r="O122" s="58">
        <v>0.75</v>
      </c>
      <c r="P122" s="58">
        <v>0.7</v>
      </c>
      <c r="Q122" s="89">
        <f t="shared" si="3"/>
        <v>0.72499999999999998</v>
      </c>
      <c r="R122" s="57">
        <v>13.7</v>
      </c>
      <c r="S122" s="57">
        <v>122</v>
      </c>
      <c r="T122" s="90">
        <f t="shared" si="4"/>
        <v>27</v>
      </c>
      <c r="U122" s="57">
        <v>842</v>
      </c>
      <c r="V122" s="90">
        <f t="shared" si="5"/>
        <v>3789.0000000000005</v>
      </c>
      <c r="W122" s="57">
        <v>1</v>
      </c>
      <c r="X122" s="57" t="s">
        <v>46</v>
      </c>
      <c r="Y122" s="57" t="s">
        <v>55</v>
      </c>
      <c r="Z122" s="57" t="s">
        <v>69</v>
      </c>
      <c r="AA122" s="57" t="s">
        <v>40</v>
      </c>
      <c r="AB122" s="57" t="s">
        <v>158</v>
      </c>
      <c r="AC122" s="91"/>
      <c r="AD122" s="91"/>
      <c r="AE122" s="91"/>
      <c r="AF122" s="91"/>
      <c r="AG122" s="91"/>
      <c r="AH122" s="91"/>
    </row>
    <row r="123" spans="1:34" s="57" customFormat="1" x14ac:dyDescent="0.15">
      <c r="A123" s="57" t="s">
        <v>41</v>
      </c>
      <c r="B123" s="58" t="s">
        <v>157</v>
      </c>
      <c r="C123" s="59">
        <v>2019</v>
      </c>
      <c r="D123" s="60" t="s">
        <v>185</v>
      </c>
      <c r="E123" s="57" t="s">
        <v>201</v>
      </c>
      <c r="F123" s="36" t="s">
        <v>208</v>
      </c>
      <c r="G123" s="57" t="s">
        <v>42</v>
      </c>
      <c r="H123" s="57" t="s">
        <v>160</v>
      </c>
      <c r="I123" s="57" t="s">
        <v>159</v>
      </c>
      <c r="J123" s="57" t="s">
        <v>38</v>
      </c>
      <c r="K123" s="57" t="s">
        <v>161</v>
      </c>
      <c r="L123" s="57">
        <v>2</v>
      </c>
      <c r="N123" s="57">
        <v>6</v>
      </c>
      <c r="O123" s="58">
        <v>0.6</v>
      </c>
      <c r="P123" s="58">
        <v>0.65</v>
      </c>
      <c r="Q123" s="89">
        <f t="shared" si="3"/>
        <v>0.625</v>
      </c>
      <c r="R123" s="57">
        <v>12.8</v>
      </c>
      <c r="S123" s="57">
        <v>120</v>
      </c>
      <c r="T123" s="90">
        <f t="shared" si="4"/>
        <v>30</v>
      </c>
      <c r="U123" s="57">
        <v>842</v>
      </c>
      <c r="V123" s="90">
        <f t="shared" si="5"/>
        <v>4210</v>
      </c>
      <c r="W123" s="57">
        <v>1</v>
      </c>
      <c r="X123" s="57" t="s">
        <v>46</v>
      </c>
      <c r="Y123" s="57" t="s">
        <v>55</v>
      </c>
      <c r="Z123" s="57" t="s">
        <v>69</v>
      </c>
      <c r="AA123" s="57" t="s">
        <v>40</v>
      </c>
      <c r="AB123" s="57" t="s">
        <v>158</v>
      </c>
      <c r="AC123" s="91"/>
      <c r="AD123" s="91"/>
      <c r="AE123" s="91"/>
      <c r="AF123" s="91"/>
      <c r="AG123" s="91"/>
      <c r="AH123" s="91"/>
    </row>
    <row r="124" spans="1:34" s="57" customFormat="1" x14ac:dyDescent="0.15">
      <c r="A124" s="57" t="s">
        <v>41</v>
      </c>
      <c r="B124" s="58" t="s">
        <v>157</v>
      </c>
      <c r="C124" s="59">
        <v>2019</v>
      </c>
      <c r="D124" s="60" t="s">
        <v>185</v>
      </c>
      <c r="E124" s="57" t="s">
        <v>201</v>
      </c>
      <c r="F124" s="36" t="s">
        <v>208</v>
      </c>
      <c r="G124" s="57" t="s">
        <v>42</v>
      </c>
      <c r="H124" s="57" t="s">
        <v>160</v>
      </c>
      <c r="I124" s="57" t="s">
        <v>159</v>
      </c>
      <c r="J124" s="57" t="s">
        <v>38</v>
      </c>
      <c r="K124" s="57" t="s">
        <v>161</v>
      </c>
      <c r="L124" s="57">
        <v>3</v>
      </c>
      <c r="N124" s="57">
        <v>6</v>
      </c>
      <c r="O124" s="58">
        <v>0.7</v>
      </c>
      <c r="P124" s="58">
        <v>0.65</v>
      </c>
      <c r="Q124" s="89">
        <f t="shared" si="3"/>
        <v>0.67500000000000004</v>
      </c>
      <c r="R124" s="57">
        <v>16.399999999999999</v>
      </c>
      <c r="S124" s="57">
        <v>122</v>
      </c>
      <c r="T124" s="90">
        <f t="shared" si="4"/>
        <v>27</v>
      </c>
      <c r="U124" s="57">
        <v>842</v>
      </c>
      <c r="V124" s="90">
        <f t="shared" si="5"/>
        <v>3789.0000000000005</v>
      </c>
      <c r="W124" s="57">
        <v>1</v>
      </c>
      <c r="X124" s="57" t="s">
        <v>46</v>
      </c>
      <c r="Y124" s="57" t="s">
        <v>55</v>
      </c>
      <c r="Z124" s="57" t="s">
        <v>69</v>
      </c>
      <c r="AA124" s="57" t="s">
        <v>40</v>
      </c>
      <c r="AB124" s="57" t="s">
        <v>158</v>
      </c>
      <c r="AC124" s="91"/>
      <c r="AD124" s="91"/>
      <c r="AE124" s="91"/>
      <c r="AF124" s="91"/>
      <c r="AG124" s="91"/>
      <c r="AH124" s="91"/>
    </row>
    <row r="125" spans="1:34" x14ac:dyDescent="0.15">
      <c r="A125" s="57" t="s">
        <v>41</v>
      </c>
      <c r="B125" s="58" t="s">
        <v>157</v>
      </c>
      <c r="C125" s="59">
        <v>2019</v>
      </c>
      <c r="D125" s="60" t="s">
        <v>185</v>
      </c>
      <c r="E125" s="57" t="s">
        <v>204</v>
      </c>
      <c r="F125" s="36" t="s">
        <v>205</v>
      </c>
      <c r="G125" s="57" t="s">
        <v>42</v>
      </c>
      <c r="H125" s="57" t="s">
        <v>165</v>
      </c>
      <c r="I125" s="57" t="s">
        <v>159</v>
      </c>
      <c r="J125" s="57" t="s">
        <v>38</v>
      </c>
      <c r="K125" s="57" t="s">
        <v>161</v>
      </c>
      <c r="L125" s="57">
        <v>1</v>
      </c>
      <c r="M125" s="57"/>
      <c r="N125" s="57">
        <v>4</v>
      </c>
      <c r="O125" s="58">
        <v>0.55000000000000004</v>
      </c>
      <c r="P125" s="58">
        <v>0.7</v>
      </c>
      <c r="Q125" s="75">
        <f t="shared" si="3"/>
        <v>0.625</v>
      </c>
      <c r="R125" s="36">
        <v>12.6</v>
      </c>
      <c r="S125" s="36">
        <v>130</v>
      </c>
      <c r="T125" s="62">
        <f t="shared" si="4"/>
        <v>25</v>
      </c>
      <c r="U125" s="57">
        <v>537</v>
      </c>
      <c r="V125" s="62">
        <f t="shared" si="5"/>
        <v>3356.25</v>
      </c>
      <c r="W125" s="57">
        <v>2</v>
      </c>
      <c r="X125" s="57" t="s">
        <v>46</v>
      </c>
      <c r="Y125" s="57" t="s">
        <v>55</v>
      </c>
      <c r="Z125" s="57" t="s">
        <v>69</v>
      </c>
      <c r="AA125" s="57" t="s">
        <v>47</v>
      </c>
      <c r="AB125" s="57" t="s">
        <v>158</v>
      </c>
      <c r="AC125" s="88"/>
      <c r="AD125" s="88"/>
      <c r="AE125" s="88"/>
      <c r="AF125" s="88"/>
      <c r="AG125" s="88"/>
      <c r="AH125" s="88"/>
    </row>
    <row r="126" spans="1:34" x14ac:dyDescent="0.15">
      <c r="A126" s="57" t="s">
        <v>41</v>
      </c>
      <c r="B126" s="58" t="s">
        <v>157</v>
      </c>
      <c r="C126" s="59">
        <v>2019</v>
      </c>
      <c r="D126" s="60" t="s">
        <v>185</v>
      </c>
      <c r="E126" s="57" t="s">
        <v>204</v>
      </c>
      <c r="F126" s="36" t="s">
        <v>205</v>
      </c>
      <c r="G126" s="57" t="s">
        <v>42</v>
      </c>
      <c r="H126" s="57" t="s">
        <v>165</v>
      </c>
      <c r="I126" s="57" t="s">
        <v>159</v>
      </c>
      <c r="J126" s="57" t="s">
        <v>38</v>
      </c>
      <c r="K126" s="57" t="s">
        <v>161</v>
      </c>
      <c r="L126" s="36">
        <v>2</v>
      </c>
      <c r="N126" s="57">
        <v>4</v>
      </c>
      <c r="O126" s="58">
        <v>0.65</v>
      </c>
      <c r="P126" s="58">
        <v>0.8</v>
      </c>
      <c r="Q126" s="75">
        <f t="shared" si="3"/>
        <v>0.72500000000000009</v>
      </c>
      <c r="R126" s="36">
        <v>13</v>
      </c>
      <c r="S126" s="36">
        <v>126</v>
      </c>
      <c r="T126" s="62">
        <f t="shared" si="4"/>
        <v>27</v>
      </c>
      <c r="U126" s="57">
        <v>537</v>
      </c>
      <c r="V126" s="62">
        <f t="shared" si="5"/>
        <v>3624.75</v>
      </c>
      <c r="W126" s="36">
        <v>2</v>
      </c>
      <c r="X126" s="57" t="s">
        <v>46</v>
      </c>
      <c r="Y126" s="57" t="s">
        <v>55</v>
      </c>
      <c r="Z126" s="57" t="s">
        <v>69</v>
      </c>
      <c r="AA126" s="57" t="s">
        <v>47</v>
      </c>
      <c r="AB126" s="57" t="s">
        <v>158</v>
      </c>
      <c r="AC126" s="88"/>
      <c r="AD126" s="88"/>
      <c r="AE126" s="88"/>
      <c r="AF126" s="88"/>
      <c r="AG126" s="88"/>
      <c r="AH126" s="88"/>
    </row>
    <row r="127" spans="1:34" x14ac:dyDescent="0.15">
      <c r="A127" s="57" t="s">
        <v>41</v>
      </c>
      <c r="B127" s="58" t="s">
        <v>157</v>
      </c>
      <c r="C127" s="59">
        <v>2019</v>
      </c>
      <c r="D127" s="60" t="s">
        <v>185</v>
      </c>
      <c r="E127" s="57" t="s">
        <v>204</v>
      </c>
      <c r="F127" s="36" t="s">
        <v>205</v>
      </c>
      <c r="G127" s="57" t="s">
        <v>42</v>
      </c>
      <c r="H127" s="57" t="s">
        <v>165</v>
      </c>
      <c r="I127" s="57" t="s">
        <v>159</v>
      </c>
      <c r="J127" s="57" t="s">
        <v>38</v>
      </c>
      <c r="K127" s="57" t="s">
        <v>161</v>
      </c>
      <c r="L127" s="36">
        <v>3</v>
      </c>
      <c r="N127" s="57">
        <v>4</v>
      </c>
      <c r="O127" s="58">
        <v>0.6</v>
      </c>
      <c r="P127" s="58">
        <v>0.65</v>
      </c>
      <c r="Q127" s="75">
        <f t="shared" si="3"/>
        <v>0.625</v>
      </c>
      <c r="R127" s="36">
        <v>14</v>
      </c>
      <c r="S127" s="36">
        <v>128</v>
      </c>
      <c r="T127" s="62">
        <f t="shared" si="4"/>
        <v>27</v>
      </c>
      <c r="U127" s="57">
        <v>537</v>
      </c>
      <c r="V127" s="62">
        <f t="shared" si="5"/>
        <v>3624.75</v>
      </c>
      <c r="W127" s="36">
        <v>2</v>
      </c>
      <c r="X127" s="57" t="s">
        <v>46</v>
      </c>
      <c r="Y127" s="57" t="s">
        <v>55</v>
      </c>
      <c r="Z127" s="57" t="s">
        <v>69</v>
      </c>
      <c r="AA127" s="57" t="s">
        <v>47</v>
      </c>
      <c r="AB127" s="57" t="s">
        <v>158</v>
      </c>
      <c r="AC127" s="88"/>
      <c r="AD127" s="88"/>
      <c r="AE127" s="88"/>
      <c r="AF127" s="88"/>
      <c r="AG127" s="88"/>
      <c r="AH127" s="88"/>
    </row>
    <row r="128" spans="1:34" x14ac:dyDescent="0.15">
      <c r="A128" s="57" t="s">
        <v>41</v>
      </c>
      <c r="B128" s="58" t="s">
        <v>157</v>
      </c>
      <c r="C128" s="59">
        <v>2019</v>
      </c>
      <c r="D128" s="60" t="s">
        <v>185</v>
      </c>
      <c r="E128" s="57" t="s">
        <v>204</v>
      </c>
      <c r="F128" s="36" t="s">
        <v>205</v>
      </c>
      <c r="G128" s="57" t="s">
        <v>42</v>
      </c>
      <c r="H128" s="57" t="s">
        <v>165</v>
      </c>
      <c r="I128" s="57" t="s">
        <v>159</v>
      </c>
      <c r="J128" s="57" t="s">
        <v>38</v>
      </c>
      <c r="K128" s="57" t="s">
        <v>161</v>
      </c>
      <c r="L128" s="57">
        <v>1</v>
      </c>
      <c r="M128" s="57"/>
      <c r="N128" s="57">
        <v>1</v>
      </c>
      <c r="O128" s="58">
        <v>1.2</v>
      </c>
      <c r="P128" s="58">
        <v>1.3</v>
      </c>
      <c r="Q128" s="75">
        <f t="shared" si="3"/>
        <v>1.25</v>
      </c>
      <c r="R128" s="36">
        <v>12.8</v>
      </c>
      <c r="S128" s="36">
        <v>124</v>
      </c>
      <c r="T128" s="62">
        <f t="shared" si="4"/>
        <v>27</v>
      </c>
      <c r="U128" s="57">
        <v>138</v>
      </c>
      <c r="V128" s="62">
        <f t="shared" si="5"/>
        <v>3726</v>
      </c>
      <c r="W128" s="57">
        <v>3</v>
      </c>
      <c r="X128" s="57" t="s">
        <v>46</v>
      </c>
      <c r="Y128" s="57" t="s">
        <v>55</v>
      </c>
      <c r="Z128" s="57" t="s">
        <v>69</v>
      </c>
      <c r="AA128" s="57" t="s">
        <v>47</v>
      </c>
      <c r="AB128" s="57" t="s">
        <v>158</v>
      </c>
      <c r="AC128" s="88"/>
      <c r="AD128" s="88"/>
      <c r="AE128" s="88"/>
      <c r="AF128" s="88"/>
      <c r="AG128" s="88"/>
      <c r="AH128" s="88"/>
    </row>
    <row r="129" spans="1:34" x14ac:dyDescent="0.15">
      <c r="A129" s="57" t="s">
        <v>41</v>
      </c>
      <c r="B129" s="58" t="s">
        <v>157</v>
      </c>
      <c r="C129" s="59">
        <v>2019</v>
      </c>
      <c r="D129" s="60" t="s">
        <v>185</v>
      </c>
      <c r="E129" s="57" t="s">
        <v>204</v>
      </c>
      <c r="F129" s="36" t="s">
        <v>205</v>
      </c>
      <c r="G129" s="57" t="s">
        <v>42</v>
      </c>
      <c r="H129" s="57" t="s">
        <v>165</v>
      </c>
      <c r="I129" s="57" t="s">
        <v>159</v>
      </c>
      <c r="J129" s="57" t="s">
        <v>38</v>
      </c>
      <c r="K129" s="57" t="s">
        <v>161</v>
      </c>
      <c r="L129" s="36">
        <v>2</v>
      </c>
      <c r="N129" s="57">
        <v>1</v>
      </c>
      <c r="O129" s="58">
        <v>0.95</v>
      </c>
      <c r="P129" s="58">
        <v>1.05</v>
      </c>
      <c r="Q129" s="75">
        <f t="shared" si="3"/>
        <v>1</v>
      </c>
      <c r="R129" s="36">
        <v>13.8</v>
      </c>
      <c r="S129" s="36">
        <v>126</v>
      </c>
      <c r="T129" s="62">
        <f t="shared" si="4"/>
        <v>27</v>
      </c>
      <c r="U129" s="57">
        <v>138</v>
      </c>
      <c r="V129" s="62">
        <f t="shared" si="5"/>
        <v>3726</v>
      </c>
      <c r="W129" s="57">
        <v>3</v>
      </c>
      <c r="X129" s="57" t="s">
        <v>46</v>
      </c>
      <c r="Y129" s="57" t="s">
        <v>55</v>
      </c>
      <c r="Z129" s="57" t="s">
        <v>69</v>
      </c>
      <c r="AA129" s="57" t="s">
        <v>47</v>
      </c>
      <c r="AB129" s="57" t="s">
        <v>158</v>
      </c>
      <c r="AC129" s="88"/>
      <c r="AD129" s="88"/>
      <c r="AE129" s="88"/>
      <c r="AF129" s="88"/>
      <c r="AG129" s="88"/>
      <c r="AH129" s="88"/>
    </row>
    <row r="130" spans="1:34" x14ac:dyDescent="0.15">
      <c r="A130" s="57" t="s">
        <v>41</v>
      </c>
      <c r="B130" s="58" t="s">
        <v>157</v>
      </c>
      <c r="C130" s="59">
        <v>2019</v>
      </c>
      <c r="D130" s="60" t="s">
        <v>185</v>
      </c>
      <c r="E130" s="57" t="s">
        <v>204</v>
      </c>
      <c r="F130" s="36" t="s">
        <v>205</v>
      </c>
      <c r="G130" s="57" t="s">
        <v>42</v>
      </c>
      <c r="H130" s="57" t="s">
        <v>165</v>
      </c>
      <c r="I130" s="57" t="s">
        <v>159</v>
      </c>
      <c r="J130" s="57" t="s">
        <v>38</v>
      </c>
      <c r="K130" s="57" t="s">
        <v>161</v>
      </c>
      <c r="L130" s="36">
        <v>3</v>
      </c>
      <c r="N130" s="57">
        <v>1</v>
      </c>
      <c r="O130" s="58">
        <v>1.3</v>
      </c>
      <c r="P130" s="58">
        <v>1.05</v>
      </c>
      <c r="Q130" s="75">
        <f t="shared" ref="Q130:Q193" si="6">IF(OR(O130="",P130=""),"",AVERAGE(O130,P130))</f>
        <v>1.175</v>
      </c>
      <c r="R130" s="36">
        <v>14</v>
      </c>
      <c r="S130" s="36">
        <v>122</v>
      </c>
      <c r="T130" s="62">
        <f t="shared" ref="T130:T193" si="7">IF(H130="","",IF(OR(H130="GREEN",H130="GK"),IF(S130&gt;=$AX$2,VLOOKUP(S130,$AX$2:$AY$10,2,1),""),IF(S130&gt;=$AZ$2,VLOOKUP(S130,$AZ$2:$BA$10,2,1),"")))</f>
        <v>27</v>
      </c>
      <c r="U130" s="57">
        <v>138</v>
      </c>
      <c r="V130" s="62">
        <f t="shared" ref="V130:V193" si="8">IF(OR(N130="",U130="",T130=""),"",U130/N130*T130)</f>
        <v>3726</v>
      </c>
      <c r="W130" s="36">
        <v>3</v>
      </c>
      <c r="X130" s="57" t="s">
        <v>46</v>
      </c>
      <c r="Y130" s="57" t="s">
        <v>55</v>
      </c>
      <c r="Z130" s="57" t="s">
        <v>69</v>
      </c>
      <c r="AA130" s="57" t="s">
        <v>47</v>
      </c>
      <c r="AB130" s="57" t="s">
        <v>158</v>
      </c>
      <c r="AC130" s="88"/>
      <c r="AD130" s="88"/>
      <c r="AE130" s="88"/>
      <c r="AF130" s="88"/>
      <c r="AG130" s="88"/>
      <c r="AH130" s="88"/>
    </row>
    <row r="131" spans="1:34" x14ac:dyDescent="0.15">
      <c r="A131" s="57" t="s">
        <v>41</v>
      </c>
      <c r="B131" s="58" t="s">
        <v>157</v>
      </c>
      <c r="C131" s="59">
        <v>2019</v>
      </c>
      <c r="D131" s="60" t="s">
        <v>185</v>
      </c>
      <c r="E131" s="57" t="s">
        <v>204</v>
      </c>
      <c r="F131" s="36" t="s">
        <v>205</v>
      </c>
      <c r="G131" s="57" t="s">
        <v>42</v>
      </c>
      <c r="H131" s="57" t="s">
        <v>160</v>
      </c>
      <c r="I131" s="57" t="s">
        <v>159</v>
      </c>
      <c r="J131" s="57" t="s">
        <v>38</v>
      </c>
      <c r="K131" s="57" t="s">
        <v>161</v>
      </c>
      <c r="L131" s="57">
        <v>1</v>
      </c>
      <c r="M131" s="57"/>
      <c r="N131" s="57">
        <v>1</v>
      </c>
      <c r="O131" s="58">
        <v>0.7</v>
      </c>
      <c r="P131" s="58">
        <v>0.65</v>
      </c>
      <c r="Q131" s="75">
        <f t="shared" si="6"/>
        <v>0.67500000000000004</v>
      </c>
      <c r="R131" s="36">
        <v>14.2</v>
      </c>
      <c r="S131" s="36">
        <v>130</v>
      </c>
      <c r="T131" s="62">
        <f t="shared" si="7"/>
        <v>25</v>
      </c>
      <c r="U131" s="57">
        <v>138</v>
      </c>
      <c r="V131" s="62">
        <f t="shared" si="8"/>
        <v>3450</v>
      </c>
      <c r="W131" s="57">
        <v>5</v>
      </c>
      <c r="X131" s="57" t="s">
        <v>46</v>
      </c>
      <c r="Y131" s="57" t="s">
        <v>55</v>
      </c>
      <c r="Z131" s="57" t="s">
        <v>69</v>
      </c>
      <c r="AA131" s="57" t="s">
        <v>47</v>
      </c>
      <c r="AB131" s="57" t="s">
        <v>158</v>
      </c>
      <c r="AC131" s="88"/>
      <c r="AD131" s="88"/>
      <c r="AE131" s="88"/>
      <c r="AF131" s="88"/>
      <c r="AG131" s="88"/>
      <c r="AH131" s="88"/>
    </row>
    <row r="132" spans="1:34" x14ac:dyDescent="0.15">
      <c r="A132" s="57" t="s">
        <v>41</v>
      </c>
      <c r="B132" s="58" t="s">
        <v>157</v>
      </c>
      <c r="C132" s="59">
        <v>2019</v>
      </c>
      <c r="D132" s="60" t="s">
        <v>185</v>
      </c>
      <c r="E132" s="57" t="s">
        <v>204</v>
      </c>
      <c r="F132" s="36" t="s">
        <v>205</v>
      </c>
      <c r="G132" s="57" t="s">
        <v>42</v>
      </c>
      <c r="H132" s="57" t="s">
        <v>160</v>
      </c>
      <c r="I132" s="57" t="s">
        <v>159</v>
      </c>
      <c r="J132" s="57" t="s">
        <v>38</v>
      </c>
      <c r="K132" s="57" t="s">
        <v>161</v>
      </c>
      <c r="L132" s="36">
        <v>2</v>
      </c>
      <c r="N132" s="57">
        <v>1</v>
      </c>
      <c r="O132" s="58">
        <v>0.7</v>
      </c>
      <c r="P132" s="58">
        <v>0.6</v>
      </c>
      <c r="Q132" s="75">
        <f t="shared" si="6"/>
        <v>0.64999999999999991</v>
      </c>
      <c r="R132" s="36">
        <v>14.8</v>
      </c>
      <c r="S132" s="36">
        <v>131</v>
      </c>
      <c r="T132" s="62">
        <f t="shared" si="7"/>
        <v>25</v>
      </c>
      <c r="U132" s="57">
        <v>138</v>
      </c>
      <c r="V132" s="62">
        <f t="shared" si="8"/>
        <v>3450</v>
      </c>
      <c r="W132" s="36">
        <v>5</v>
      </c>
      <c r="X132" s="57" t="s">
        <v>46</v>
      </c>
      <c r="Y132" s="57" t="s">
        <v>55</v>
      </c>
      <c r="Z132" s="57" t="s">
        <v>69</v>
      </c>
      <c r="AA132" s="57" t="s">
        <v>47</v>
      </c>
      <c r="AB132" s="57" t="s">
        <v>158</v>
      </c>
      <c r="AC132" s="88"/>
      <c r="AD132" s="88"/>
      <c r="AE132" s="88"/>
      <c r="AF132" s="88"/>
      <c r="AG132" s="88"/>
      <c r="AH132" s="88"/>
    </row>
    <row r="133" spans="1:34" x14ac:dyDescent="0.15">
      <c r="A133" s="57" t="s">
        <v>41</v>
      </c>
      <c r="B133" s="58" t="s">
        <v>157</v>
      </c>
      <c r="C133" s="59">
        <v>2019</v>
      </c>
      <c r="D133" s="60" t="s">
        <v>185</v>
      </c>
      <c r="E133" s="57" t="s">
        <v>204</v>
      </c>
      <c r="F133" s="36" t="s">
        <v>205</v>
      </c>
      <c r="G133" s="57" t="s">
        <v>42</v>
      </c>
      <c r="H133" s="57" t="s">
        <v>160</v>
      </c>
      <c r="I133" s="57" t="s">
        <v>159</v>
      </c>
      <c r="J133" s="57" t="s">
        <v>38</v>
      </c>
      <c r="K133" s="57" t="s">
        <v>161</v>
      </c>
      <c r="L133" s="36">
        <v>3</v>
      </c>
      <c r="N133" s="57">
        <v>1</v>
      </c>
      <c r="O133" s="58">
        <v>0.8</v>
      </c>
      <c r="P133" s="58">
        <v>0.65</v>
      </c>
      <c r="Q133" s="89">
        <f t="shared" si="6"/>
        <v>0.72500000000000009</v>
      </c>
      <c r="R133" s="36">
        <v>15.2</v>
      </c>
      <c r="S133" s="36">
        <v>128</v>
      </c>
      <c r="T133" s="90">
        <f t="shared" si="7"/>
        <v>27</v>
      </c>
      <c r="U133" s="57">
        <v>138</v>
      </c>
      <c r="V133" s="62">
        <f t="shared" si="8"/>
        <v>3726</v>
      </c>
      <c r="W133" s="36">
        <v>5</v>
      </c>
      <c r="X133" s="57" t="s">
        <v>46</v>
      </c>
      <c r="Y133" s="57" t="s">
        <v>55</v>
      </c>
      <c r="Z133" s="57" t="s">
        <v>69</v>
      </c>
      <c r="AA133" s="57" t="s">
        <v>47</v>
      </c>
      <c r="AB133" s="57" t="s">
        <v>158</v>
      </c>
      <c r="AC133" s="88"/>
      <c r="AD133" s="88"/>
      <c r="AE133" s="88"/>
      <c r="AF133" s="88"/>
      <c r="AG133" s="88"/>
      <c r="AH133" s="88"/>
    </row>
    <row r="134" spans="1:34" x14ac:dyDescent="0.15">
      <c r="A134" s="57" t="s">
        <v>41</v>
      </c>
      <c r="B134" s="58" t="s">
        <v>157</v>
      </c>
      <c r="C134" s="59">
        <v>2019</v>
      </c>
      <c r="D134" s="60" t="s">
        <v>185</v>
      </c>
      <c r="E134" s="57" t="s">
        <v>204</v>
      </c>
      <c r="F134" s="36" t="s">
        <v>205</v>
      </c>
      <c r="G134" s="57" t="s">
        <v>42</v>
      </c>
      <c r="H134" s="57" t="s">
        <v>160</v>
      </c>
      <c r="I134" s="57" t="s">
        <v>159</v>
      </c>
      <c r="J134" s="57" t="s">
        <v>38</v>
      </c>
      <c r="K134" s="57" t="s">
        <v>161</v>
      </c>
      <c r="L134" s="57">
        <v>1</v>
      </c>
      <c r="M134" s="57"/>
      <c r="N134" s="57">
        <v>4</v>
      </c>
      <c r="O134" s="58">
        <v>0.35</v>
      </c>
      <c r="P134" s="58">
        <v>0.3</v>
      </c>
      <c r="Q134" s="89">
        <f t="shared" si="6"/>
        <v>0.32499999999999996</v>
      </c>
      <c r="R134" s="36">
        <v>16.7</v>
      </c>
      <c r="S134" s="36">
        <v>126</v>
      </c>
      <c r="T134" s="90">
        <f t="shared" si="7"/>
        <v>27</v>
      </c>
      <c r="U134" s="57">
        <v>537</v>
      </c>
      <c r="V134" s="62">
        <f t="shared" si="8"/>
        <v>3624.75</v>
      </c>
      <c r="W134" s="57">
        <v>2</v>
      </c>
      <c r="X134" s="57" t="s">
        <v>46</v>
      </c>
      <c r="Y134" s="57" t="s">
        <v>55</v>
      </c>
      <c r="Z134" s="57" t="s">
        <v>69</v>
      </c>
      <c r="AA134" s="57" t="s">
        <v>47</v>
      </c>
      <c r="AB134" s="57" t="s">
        <v>158</v>
      </c>
      <c r="AC134" s="88"/>
      <c r="AD134" s="88"/>
      <c r="AE134" s="88"/>
      <c r="AF134" s="88"/>
      <c r="AG134" s="88"/>
      <c r="AH134" s="88"/>
    </row>
    <row r="135" spans="1:34" x14ac:dyDescent="0.15">
      <c r="A135" s="57" t="s">
        <v>41</v>
      </c>
      <c r="B135" s="58" t="s">
        <v>157</v>
      </c>
      <c r="C135" s="59">
        <v>2019</v>
      </c>
      <c r="D135" s="60" t="s">
        <v>185</v>
      </c>
      <c r="E135" s="57" t="s">
        <v>204</v>
      </c>
      <c r="F135" s="36" t="s">
        <v>205</v>
      </c>
      <c r="G135" s="57" t="s">
        <v>42</v>
      </c>
      <c r="H135" s="57" t="s">
        <v>160</v>
      </c>
      <c r="I135" s="57" t="s">
        <v>159</v>
      </c>
      <c r="J135" s="57" t="s">
        <v>38</v>
      </c>
      <c r="K135" s="57" t="s">
        <v>161</v>
      </c>
      <c r="L135" s="36">
        <v>2</v>
      </c>
      <c r="N135" s="57">
        <v>4</v>
      </c>
      <c r="O135" s="58">
        <v>0.35</v>
      </c>
      <c r="P135" s="58">
        <v>0.25</v>
      </c>
      <c r="Q135" s="89">
        <f t="shared" si="6"/>
        <v>0.3</v>
      </c>
      <c r="R135" s="36">
        <v>17.100000000000001</v>
      </c>
      <c r="S135" s="36">
        <v>127</v>
      </c>
      <c r="T135" s="90">
        <f t="shared" si="7"/>
        <v>27</v>
      </c>
      <c r="U135" s="57">
        <v>537</v>
      </c>
      <c r="V135" s="62">
        <f t="shared" si="8"/>
        <v>3624.75</v>
      </c>
      <c r="W135" s="36">
        <v>2</v>
      </c>
      <c r="X135" s="57" t="s">
        <v>46</v>
      </c>
      <c r="Y135" s="57" t="s">
        <v>55</v>
      </c>
      <c r="Z135" s="57" t="s">
        <v>69</v>
      </c>
      <c r="AA135" s="57" t="s">
        <v>47</v>
      </c>
      <c r="AB135" s="57" t="s">
        <v>158</v>
      </c>
      <c r="AC135" s="88"/>
      <c r="AD135" s="88"/>
      <c r="AE135" s="88"/>
      <c r="AF135" s="88"/>
      <c r="AG135" s="88"/>
      <c r="AH135" s="88"/>
    </row>
    <row r="136" spans="1:34" x14ac:dyDescent="0.15">
      <c r="A136" s="57" t="s">
        <v>41</v>
      </c>
      <c r="B136" s="58" t="s">
        <v>157</v>
      </c>
      <c r="C136" s="59">
        <v>2019</v>
      </c>
      <c r="D136" s="60" t="s">
        <v>185</v>
      </c>
      <c r="E136" s="57" t="s">
        <v>204</v>
      </c>
      <c r="F136" s="36" t="s">
        <v>205</v>
      </c>
      <c r="G136" s="57" t="s">
        <v>42</v>
      </c>
      <c r="H136" s="57" t="s">
        <v>160</v>
      </c>
      <c r="I136" s="57" t="s">
        <v>159</v>
      </c>
      <c r="J136" s="57" t="s">
        <v>38</v>
      </c>
      <c r="K136" s="57" t="s">
        <v>161</v>
      </c>
      <c r="L136" s="36">
        <v>3</v>
      </c>
      <c r="N136" s="57">
        <v>4</v>
      </c>
      <c r="O136" s="58">
        <v>0.25</v>
      </c>
      <c r="P136" s="58">
        <v>0.3</v>
      </c>
      <c r="Q136" s="89">
        <f t="shared" si="6"/>
        <v>0.27500000000000002</v>
      </c>
      <c r="R136" s="36">
        <v>12.9</v>
      </c>
      <c r="S136" s="36">
        <v>129</v>
      </c>
      <c r="T136" s="90">
        <f t="shared" si="7"/>
        <v>25</v>
      </c>
      <c r="U136" s="57">
        <v>537</v>
      </c>
      <c r="V136" s="90">
        <f t="shared" si="8"/>
        <v>3356.25</v>
      </c>
      <c r="W136" s="36">
        <v>2</v>
      </c>
      <c r="X136" s="57" t="s">
        <v>46</v>
      </c>
      <c r="Y136" s="57" t="s">
        <v>55</v>
      </c>
      <c r="Z136" s="57" t="s">
        <v>69</v>
      </c>
      <c r="AA136" s="57" t="s">
        <v>47</v>
      </c>
      <c r="AB136" s="57" t="s">
        <v>158</v>
      </c>
      <c r="AC136" s="88"/>
      <c r="AD136" s="88"/>
      <c r="AE136" s="88"/>
      <c r="AF136" s="88"/>
      <c r="AG136" s="88"/>
      <c r="AH136" s="88"/>
    </row>
    <row r="137" spans="1:34" s="57" customFormat="1" x14ac:dyDescent="0.15">
      <c r="A137" s="57" t="s">
        <v>41</v>
      </c>
      <c r="B137" s="58" t="s">
        <v>157</v>
      </c>
      <c r="C137" s="59">
        <v>2019</v>
      </c>
      <c r="D137" s="60" t="s">
        <v>185</v>
      </c>
      <c r="E137" s="57" t="s">
        <v>210</v>
      </c>
      <c r="F137" s="57" t="s">
        <v>211</v>
      </c>
      <c r="G137" s="57" t="s">
        <v>42</v>
      </c>
      <c r="H137" s="57" t="s">
        <v>160</v>
      </c>
      <c r="I137" s="57" t="s">
        <v>159</v>
      </c>
      <c r="J137" s="57" t="s">
        <v>38</v>
      </c>
      <c r="K137" s="57" t="s">
        <v>161</v>
      </c>
      <c r="L137" s="57">
        <v>1</v>
      </c>
      <c r="N137" s="57">
        <v>1</v>
      </c>
      <c r="O137" s="58">
        <v>0.65</v>
      </c>
      <c r="P137" s="58">
        <v>0.45</v>
      </c>
      <c r="Q137" s="89">
        <f t="shared" si="6"/>
        <v>0.55000000000000004</v>
      </c>
      <c r="R137" s="57">
        <v>16.8</v>
      </c>
      <c r="S137" s="57">
        <v>126</v>
      </c>
      <c r="T137" s="90">
        <f t="shared" si="7"/>
        <v>27</v>
      </c>
      <c r="U137" s="57">
        <v>137</v>
      </c>
      <c r="V137" s="90">
        <f t="shared" si="8"/>
        <v>3699</v>
      </c>
      <c r="W137" s="57">
        <v>4</v>
      </c>
      <c r="X137" s="57" t="s">
        <v>46</v>
      </c>
      <c r="Y137" s="57" t="s">
        <v>69</v>
      </c>
      <c r="Z137" s="57" t="s">
        <v>55</v>
      </c>
      <c r="AA137" s="57" t="s">
        <v>47</v>
      </c>
      <c r="AB137" s="57" t="s">
        <v>158</v>
      </c>
      <c r="AC137" s="91"/>
      <c r="AD137" s="91"/>
      <c r="AE137" s="91"/>
      <c r="AF137" s="91"/>
      <c r="AG137" s="91"/>
      <c r="AH137" s="91"/>
    </row>
    <row r="138" spans="1:34" s="57" customFormat="1" x14ac:dyDescent="0.15">
      <c r="A138" s="57" t="s">
        <v>41</v>
      </c>
      <c r="B138" s="58" t="s">
        <v>157</v>
      </c>
      <c r="C138" s="59">
        <v>2019</v>
      </c>
      <c r="D138" s="60" t="s">
        <v>185</v>
      </c>
      <c r="E138" s="57" t="s">
        <v>210</v>
      </c>
      <c r="F138" s="57" t="s">
        <v>211</v>
      </c>
      <c r="G138" s="57" t="s">
        <v>42</v>
      </c>
      <c r="H138" s="57" t="s">
        <v>160</v>
      </c>
      <c r="I138" s="57" t="s">
        <v>159</v>
      </c>
      <c r="J138" s="57" t="s">
        <v>38</v>
      </c>
      <c r="K138" s="57" t="s">
        <v>161</v>
      </c>
      <c r="L138" s="57">
        <v>2</v>
      </c>
      <c r="N138" s="57">
        <v>1</v>
      </c>
      <c r="O138" s="58">
        <v>0.55000000000000004</v>
      </c>
      <c r="P138" s="58">
        <v>0.4</v>
      </c>
      <c r="Q138" s="89">
        <f t="shared" si="6"/>
        <v>0.47500000000000003</v>
      </c>
      <c r="R138" s="57">
        <v>15.4</v>
      </c>
      <c r="S138" s="57">
        <v>127</v>
      </c>
      <c r="T138" s="90">
        <f t="shared" si="7"/>
        <v>27</v>
      </c>
      <c r="U138" s="57">
        <v>137</v>
      </c>
      <c r="V138" s="90">
        <f t="shared" si="8"/>
        <v>3699</v>
      </c>
      <c r="W138" s="57">
        <v>4</v>
      </c>
      <c r="X138" s="57" t="s">
        <v>46</v>
      </c>
      <c r="Y138" s="57" t="s">
        <v>69</v>
      </c>
      <c r="Z138" s="57" t="s">
        <v>55</v>
      </c>
      <c r="AA138" s="57" t="s">
        <v>47</v>
      </c>
      <c r="AB138" s="57" t="s">
        <v>158</v>
      </c>
      <c r="AC138" s="91"/>
      <c r="AD138" s="91"/>
      <c r="AE138" s="91"/>
      <c r="AF138" s="91"/>
      <c r="AG138" s="91"/>
      <c r="AH138" s="91"/>
    </row>
    <row r="139" spans="1:34" s="57" customFormat="1" x14ac:dyDescent="0.15">
      <c r="A139" s="57" t="s">
        <v>41</v>
      </c>
      <c r="B139" s="58" t="s">
        <v>157</v>
      </c>
      <c r="C139" s="59">
        <v>2019</v>
      </c>
      <c r="D139" s="60" t="s">
        <v>185</v>
      </c>
      <c r="E139" s="57" t="s">
        <v>210</v>
      </c>
      <c r="F139" s="57" t="s">
        <v>211</v>
      </c>
      <c r="G139" s="57" t="s">
        <v>42</v>
      </c>
      <c r="H139" s="57" t="s">
        <v>160</v>
      </c>
      <c r="I139" s="57" t="s">
        <v>159</v>
      </c>
      <c r="J139" s="57" t="s">
        <v>38</v>
      </c>
      <c r="K139" s="57" t="s">
        <v>161</v>
      </c>
      <c r="L139" s="57">
        <v>3</v>
      </c>
      <c r="N139" s="57">
        <v>1</v>
      </c>
      <c r="O139" s="58">
        <v>0.45</v>
      </c>
      <c r="P139" s="58">
        <v>0.4</v>
      </c>
      <c r="Q139" s="89">
        <f t="shared" si="6"/>
        <v>0.42500000000000004</v>
      </c>
      <c r="R139" s="57">
        <v>15.2</v>
      </c>
      <c r="S139" s="57">
        <v>123</v>
      </c>
      <c r="T139" s="90">
        <f t="shared" si="7"/>
        <v>27</v>
      </c>
      <c r="U139" s="57">
        <v>137</v>
      </c>
      <c r="V139" s="90">
        <f t="shared" si="8"/>
        <v>3699</v>
      </c>
      <c r="W139" s="57">
        <v>4</v>
      </c>
      <c r="X139" s="57" t="s">
        <v>46</v>
      </c>
      <c r="Y139" s="57" t="s">
        <v>69</v>
      </c>
      <c r="Z139" s="57" t="s">
        <v>55</v>
      </c>
      <c r="AA139" s="57" t="s">
        <v>47</v>
      </c>
      <c r="AB139" s="57" t="s">
        <v>158</v>
      </c>
      <c r="AC139" s="91"/>
      <c r="AD139" s="91"/>
      <c r="AE139" s="91"/>
      <c r="AF139" s="91"/>
      <c r="AG139" s="91"/>
      <c r="AH139" s="91"/>
    </row>
    <row r="140" spans="1:34" s="57" customFormat="1" x14ac:dyDescent="0.15">
      <c r="A140" s="57" t="s">
        <v>41</v>
      </c>
      <c r="B140" s="58" t="s">
        <v>157</v>
      </c>
      <c r="C140" s="59">
        <v>2019</v>
      </c>
      <c r="D140" s="60" t="s">
        <v>185</v>
      </c>
      <c r="E140" s="57" t="s">
        <v>210</v>
      </c>
      <c r="F140" s="57" t="s">
        <v>211</v>
      </c>
      <c r="G140" s="57" t="s">
        <v>42</v>
      </c>
      <c r="H140" s="57" t="s">
        <v>160</v>
      </c>
      <c r="I140" s="57" t="s">
        <v>159</v>
      </c>
      <c r="J140" s="57" t="s">
        <v>38</v>
      </c>
      <c r="K140" s="57" t="s">
        <v>161</v>
      </c>
      <c r="L140" s="57">
        <v>1</v>
      </c>
      <c r="N140" s="57">
        <v>4</v>
      </c>
      <c r="O140" s="58">
        <v>0.55000000000000004</v>
      </c>
      <c r="P140" s="58">
        <v>0.5</v>
      </c>
      <c r="Q140" s="89">
        <f t="shared" si="6"/>
        <v>0.52500000000000002</v>
      </c>
      <c r="R140" s="57">
        <v>12.7</v>
      </c>
      <c r="S140" s="57">
        <v>120</v>
      </c>
      <c r="T140" s="90">
        <f t="shared" si="7"/>
        <v>30</v>
      </c>
      <c r="U140" s="57">
        <v>515</v>
      </c>
      <c r="V140" s="90">
        <f t="shared" si="8"/>
        <v>3862.5</v>
      </c>
      <c r="W140" s="57">
        <v>3</v>
      </c>
      <c r="X140" s="57" t="s">
        <v>46</v>
      </c>
      <c r="Y140" s="57" t="s">
        <v>69</v>
      </c>
      <c r="Z140" s="57" t="s">
        <v>55</v>
      </c>
      <c r="AA140" s="57" t="s">
        <v>47</v>
      </c>
      <c r="AB140" s="57" t="s">
        <v>158</v>
      </c>
      <c r="AC140" s="91"/>
      <c r="AD140" s="91"/>
      <c r="AE140" s="91"/>
      <c r="AF140" s="91"/>
      <c r="AG140" s="91"/>
      <c r="AH140" s="91"/>
    </row>
    <row r="141" spans="1:34" s="57" customFormat="1" x14ac:dyDescent="0.15">
      <c r="A141" s="57" t="s">
        <v>41</v>
      </c>
      <c r="B141" s="58" t="s">
        <v>157</v>
      </c>
      <c r="C141" s="59">
        <v>2019</v>
      </c>
      <c r="D141" s="60" t="s">
        <v>185</v>
      </c>
      <c r="E141" s="57" t="s">
        <v>210</v>
      </c>
      <c r="F141" s="57" t="s">
        <v>211</v>
      </c>
      <c r="G141" s="57" t="s">
        <v>42</v>
      </c>
      <c r="H141" s="57" t="s">
        <v>160</v>
      </c>
      <c r="I141" s="57" t="s">
        <v>159</v>
      </c>
      <c r="J141" s="57" t="s">
        <v>38</v>
      </c>
      <c r="K141" s="57" t="s">
        <v>161</v>
      </c>
      <c r="L141" s="57">
        <v>2</v>
      </c>
      <c r="N141" s="57">
        <v>4</v>
      </c>
      <c r="O141" s="58">
        <v>0.45</v>
      </c>
      <c r="P141" s="58">
        <v>0.4</v>
      </c>
      <c r="Q141" s="89">
        <f t="shared" si="6"/>
        <v>0.42500000000000004</v>
      </c>
      <c r="R141" s="57">
        <v>14.4</v>
      </c>
      <c r="S141" s="57">
        <v>120</v>
      </c>
      <c r="T141" s="90">
        <f t="shared" si="7"/>
        <v>30</v>
      </c>
      <c r="U141" s="57">
        <v>515</v>
      </c>
      <c r="V141" s="90">
        <f t="shared" si="8"/>
        <v>3862.5</v>
      </c>
      <c r="W141" s="57">
        <v>3</v>
      </c>
      <c r="X141" s="57" t="s">
        <v>46</v>
      </c>
      <c r="Y141" s="57" t="s">
        <v>69</v>
      </c>
      <c r="Z141" s="57" t="s">
        <v>55</v>
      </c>
      <c r="AA141" s="57" t="s">
        <v>47</v>
      </c>
      <c r="AB141" s="57" t="s">
        <v>158</v>
      </c>
      <c r="AC141" s="91"/>
      <c r="AD141" s="91"/>
      <c r="AE141" s="91"/>
      <c r="AF141" s="91"/>
      <c r="AG141" s="91"/>
      <c r="AH141" s="91"/>
    </row>
    <row r="142" spans="1:34" s="57" customFormat="1" x14ac:dyDescent="0.15">
      <c r="A142" s="57" t="s">
        <v>41</v>
      </c>
      <c r="B142" s="58" t="s">
        <v>157</v>
      </c>
      <c r="C142" s="59">
        <v>2019</v>
      </c>
      <c r="D142" s="60" t="s">
        <v>185</v>
      </c>
      <c r="E142" s="57" t="s">
        <v>210</v>
      </c>
      <c r="F142" s="57" t="s">
        <v>211</v>
      </c>
      <c r="G142" s="57" t="s">
        <v>42</v>
      </c>
      <c r="H142" s="57" t="s">
        <v>160</v>
      </c>
      <c r="I142" s="57" t="s">
        <v>159</v>
      </c>
      <c r="J142" s="57" t="s">
        <v>38</v>
      </c>
      <c r="K142" s="57" t="s">
        <v>161</v>
      </c>
      <c r="L142" s="57">
        <v>3</v>
      </c>
      <c r="N142" s="57">
        <v>4</v>
      </c>
      <c r="O142" s="58">
        <v>0.35</v>
      </c>
      <c r="P142" s="58">
        <v>0.3</v>
      </c>
      <c r="Q142" s="89">
        <f t="shared" si="6"/>
        <v>0.32499999999999996</v>
      </c>
      <c r="R142" s="57">
        <v>17.100000000000001</v>
      </c>
      <c r="S142" s="57">
        <v>118</v>
      </c>
      <c r="T142" s="90">
        <f t="shared" si="7"/>
        <v>30</v>
      </c>
      <c r="U142" s="57">
        <v>515</v>
      </c>
      <c r="V142" s="90">
        <f t="shared" si="8"/>
        <v>3862.5</v>
      </c>
      <c r="W142" s="57">
        <v>3</v>
      </c>
      <c r="X142" s="57" t="s">
        <v>46</v>
      </c>
      <c r="Y142" s="57" t="s">
        <v>69</v>
      </c>
      <c r="Z142" s="57" t="s">
        <v>55</v>
      </c>
      <c r="AA142" s="57" t="s">
        <v>47</v>
      </c>
      <c r="AB142" s="57" t="s">
        <v>158</v>
      </c>
      <c r="AC142" s="91"/>
      <c r="AD142" s="91"/>
      <c r="AE142" s="91"/>
      <c r="AF142" s="91"/>
      <c r="AG142" s="91"/>
      <c r="AH142" s="91"/>
    </row>
    <row r="143" spans="1:34" s="57" customFormat="1" x14ac:dyDescent="0.15">
      <c r="A143" s="57" t="s">
        <v>41</v>
      </c>
      <c r="B143" s="58" t="s">
        <v>157</v>
      </c>
      <c r="C143" s="59">
        <v>2019</v>
      </c>
      <c r="D143" s="60" t="s">
        <v>185</v>
      </c>
      <c r="E143" s="57" t="s">
        <v>210</v>
      </c>
      <c r="F143" s="57" t="s">
        <v>211</v>
      </c>
      <c r="G143" s="57" t="s">
        <v>42</v>
      </c>
      <c r="H143" s="57" t="s">
        <v>165</v>
      </c>
      <c r="I143" s="57" t="s">
        <v>159</v>
      </c>
      <c r="J143" s="57" t="s">
        <v>38</v>
      </c>
      <c r="K143" s="57" t="s">
        <v>161</v>
      </c>
      <c r="L143" s="57">
        <v>1</v>
      </c>
      <c r="N143" s="57">
        <v>1</v>
      </c>
      <c r="O143" s="58">
        <v>0.8</v>
      </c>
      <c r="P143" s="58">
        <v>0.6</v>
      </c>
      <c r="Q143" s="89">
        <f t="shared" si="6"/>
        <v>0.7</v>
      </c>
      <c r="R143" s="57">
        <v>14.4</v>
      </c>
      <c r="S143" s="57">
        <v>125</v>
      </c>
      <c r="T143" s="90">
        <f t="shared" si="7"/>
        <v>27</v>
      </c>
      <c r="U143" s="57">
        <v>93</v>
      </c>
      <c r="V143" s="90">
        <f t="shared" si="8"/>
        <v>2511</v>
      </c>
      <c r="W143" s="57">
        <v>3</v>
      </c>
      <c r="X143" s="57" t="s">
        <v>46</v>
      </c>
      <c r="Y143" s="57" t="s">
        <v>69</v>
      </c>
      <c r="Z143" s="57" t="s">
        <v>55</v>
      </c>
      <c r="AA143" s="57" t="s">
        <v>47</v>
      </c>
      <c r="AB143" s="57" t="s">
        <v>158</v>
      </c>
      <c r="AC143" s="91"/>
      <c r="AD143" s="91"/>
      <c r="AE143" s="91"/>
      <c r="AF143" s="91"/>
      <c r="AG143" s="91"/>
      <c r="AH143" s="91"/>
    </row>
    <row r="144" spans="1:34" s="57" customFormat="1" x14ac:dyDescent="0.15">
      <c r="A144" s="57" t="s">
        <v>41</v>
      </c>
      <c r="B144" s="58" t="s">
        <v>157</v>
      </c>
      <c r="C144" s="59">
        <v>2019</v>
      </c>
      <c r="D144" s="60" t="s">
        <v>185</v>
      </c>
      <c r="E144" s="57" t="s">
        <v>210</v>
      </c>
      <c r="F144" s="57" t="s">
        <v>211</v>
      </c>
      <c r="G144" s="57" t="s">
        <v>42</v>
      </c>
      <c r="H144" s="57" t="s">
        <v>165</v>
      </c>
      <c r="I144" s="57" t="s">
        <v>159</v>
      </c>
      <c r="J144" s="57" t="s">
        <v>38</v>
      </c>
      <c r="K144" s="57" t="s">
        <v>161</v>
      </c>
      <c r="L144" s="57">
        <v>2</v>
      </c>
      <c r="N144" s="57">
        <v>1</v>
      </c>
      <c r="O144" s="58">
        <v>0.75</v>
      </c>
      <c r="P144" s="58">
        <v>0.6</v>
      </c>
      <c r="Q144" s="89">
        <f t="shared" si="6"/>
        <v>0.67500000000000004</v>
      </c>
      <c r="R144" s="57">
        <v>12.9</v>
      </c>
      <c r="S144" s="57">
        <v>126</v>
      </c>
      <c r="T144" s="90">
        <f t="shared" si="7"/>
        <v>27</v>
      </c>
      <c r="U144" s="57">
        <v>93</v>
      </c>
      <c r="V144" s="90">
        <f t="shared" si="8"/>
        <v>2511</v>
      </c>
      <c r="W144" s="57">
        <v>3</v>
      </c>
      <c r="X144" s="57" t="s">
        <v>46</v>
      </c>
      <c r="Y144" s="57" t="s">
        <v>69</v>
      </c>
      <c r="Z144" s="57" t="s">
        <v>55</v>
      </c>
      <c r="AA144" s="57" t="s">
        <v>47</v>
      </c>
      <c r="AB144" s="57" t="s">
        <v>158</v>
      </c>
      <c r="AC144" s="91"/>
      <c r="AD144" s="91"/>
      <c r="AE144" s="91"/>
      <c r="AF144" s="91"/>
      <c r="AG144" s="91"/>
      <c r="AH144" s="91"/>
    </row>
    <row r="145" spans="1:34" s="57" customFormat="1" x14ac:dyDescent="0.15">
      <c r="A145" s="57" t="s">
        <v>41</v>
      </c>
      <c r="B145" s="58" t="s">
        <v>157</v>
      </c>
      <c r="C145" s="59">
        <v>2019</v>
      </c>
      <c r="D145" s="60" t="s">
        <v>185</v>
      </c>
      <c r="E145" s="57" t="s">
        <v>210</v>
      </c>
      <c r="F145" s="57" t="s">
        <v>211</v>
      </c>
      <c r="G145" s="57" t="s">
        <v>42</v>
      </c>
      <c r="H145" s="57" t="s">
        <v>165</v>
      </c>
      <c r="I145" s="57" t="s">
        <v>159</v>
      </c>
      <c r="J145" s="57" t="s">
        <v>38</v>
      </c>
      <c r="K145" s="57" t="s">
        <v>161</v>
      </c>
      <c r="L145" s="57">
        <v>3</v>
      </c>
      <c r="N145" s="57">
        <v>1</v>
      </c>
      <c r="O145" s="58">
        <v>0.6</v>
      </c>
      <c r="P145" s="58">
        <v>0.65</v>
      </c>
      <c r="Q145" s="89">
        <f t="shared" si="6"/>
        <v>0.625</v>
      </c>
      <c r="R145" s="57">
        <v>13.3</v>
      </c>
      <c r="S145" s="57">
        <v>127</v>
      </c>
      <c r="T145" s="90">
        <f t="shared" si="7"/>
        <v>27</v>
      </c>
      <c r="U145" s="57">
        <v>93</v>
      </c>
      <c r="V145" s="90">
        <f t="shared" si="8"/>
        <v>2511</v>
      </c>
      <c r="W145" s="57">
        <v>3</v>
      </c>
      <c r="X145" s="57" t="s">
        <v>46</v>
      </c>
      <c r="Y145" s="57" t="s">
        <v>69</v>
      </c>
      <c r="Z145" s="57" t="s">
        <v>55</v>
      </c>
      <c r="AA145" s="57" t="s">
        <v>47</v>
      </c>
      <c r="AB145" s="57" t="s">
        <v>158</v>
      </c>
      <c r="AC145" s="91"/>
      <c r="AD145" s="91"/>
      <c r="AE145" s="91"/>
      <c r="AF145" s="91"/>
      <c r="AG145" s="91"/>
      <c r="AH145" s="91"/>
    </row>
    <row r="146" spans="1:34" s="57" customFormat="1" x14ac:dyDescent="0.15">
      <c r="A146" s="57" t="s">
        <v>41</v>
      </c>
      <c r="B146" s="58" t="s">
        <v>157</v>
      </c>
      <c r="C146" s="59">
        <v>2019</v>
      </c>
      <c r="D146" s="60" t="s">
        <v>185</v>
      </c>
      <c r="E146" s="57" t="s">
        <v>210</v>
      </c>
      <c r="F146" s="57" t="s">
        <v>211</v>
      </c>
      <c r="G146" s="57" t="s">
        <v>42</v>
      </c>
      <c r="H146" s="57" t="s">
        <v>165</v>
      </c>
      <c r="I146" s="57" t="s">
        <v>159</v>
      </c>
      <c r="J146" s="57" t="s">
        <v>38</v>
      </c>
      <c r="K146" s="57" t="s">
        <v>161</v>
      </c>
      <c r="L146" s="57">
        <v>1</v>
      </c>
      <c r="N146" s="57">
        <v>4</v>
      </c>
      <c r="O146" s="58">
        <v>0.25</v>
      </c>
      <c r="P146" s="58">
        <v>0.3</v>
      </c>
      <c r="Q146" s="89">
        <f t="shared" si="6"/>
        <v>0.27500000000000002</v>
      </c>
      <c r="R146" s="57">
        <v>13.8</v>
      </c>
      <c r="S146" s="57">
        <v>122</v>
      </c>
      <c r="T146" s="90">
        <f t="shared" si="7"/>
        <v>27</v>
      </c>
      <c r="U146" s="57">
        <v>428</v>
      </c>
      <c r="V146" s="90">
        <f t="shared" si="8"/>
        <v>2889</v>
      </c>
      <c r="W146" s="57">
        <v>3</v>
      </c>
      <c r="X146" s="57" t="s">
        <v>46</v>
      </c>
      <c r="Y146" s="57" t="s">
        <v>69</v>
      </c>
      <c r="Z146" s="57" t="s">
        <v>55</v>
      </c>
      <c r="AA146" s="57" t="s">
        <v>47</v>
      </c>
      <c r="AB146" s="57" t="s">
        <v>158</v>
      </c>
      <c r="AC146" s="91"/>
      <c r="AD146" s="91"/>
      <c r="AE146" s="91"/>
      <c r="AF146" s="91"/>
      <c r="AG146" s="91"/>
      <c r="AH146" s="91"/>
    </row>
    <row r="147" spans="1:34" s="57" customFormat="1" x14ac:dyDescent="0.15">
      <c r="A147" s="57" t="s">
        <v>41</v>
      </c>
      <c r="B147" s="58" t="s">
        <v>157</v>
      </c>
      <c r="C147" s="59">
        <v>2019</v>
      </c>
      <c r="D147" s="60" t="s">
        <v>185</v>
      </c>
      <c r="E147" s="57" t="s">
        <v>210</v>
      </c>
      <c r="F147" s="57" t="s">
        <v>211</v>
      </c>
      <c r="G147" s="57" t="s">
        <v>42</v>
      </c>
      <c r="H147" s="57" t="s">
        <v>165</v>
      </c>
      <c r="I147" s="57" t="s">
        <v>159</v>
      </c>
      <c r="J147" s="57" t="s">
        <v>38</v>
      </c>
      <c r="K147" s="57" t="s">
        <v>161</v>
      </c>
      <c r="L147" s="57">
        <v>2</v>
      </c>
      <c r="N147" s="57">
        <v>4</v>
      </c>
      <c r="O147" s="58">
        <v>0.3</v>
      </c>
      <c r="P147" s="58">
        <v>0.25</v>
      </c>
      <c r="Q147" s="89">
        <f t="shared" si="6"/>
        <v>0.27500000000000002</v>
      </c>
      <c r="R147" s="57">
        <v>15.1</v>
      </c>
      <c r="S147" s="57">
        <v>123</v>
      </c>
      <c r="T147" s="90">
        <f t="shared" si="7"/>
        <v>27</v>
      </c>
      <c r="U147" s="57">
        <v>428</v>
      </c>
      <c r="V147" s="90">
        <f t="shared" si="8"/>
        <v>2889</v>
      </c>
      <c r="W147" s="57">
        <v>3</v>
      </c>
      <c r="X147" s="57" t="s">
        <v>46</v>
      </c>
      <c r="Y147" s="57" t="s">
        <v>69</v>
      </c>
      <c r="Z147" s="57" t="s">
        <v>55</v>
      </c>
      <c r="AA147" s="57" t="s">
        <v>47</v>
      </c>
      <c r="AB147" s="57" t="s">
        <v>158</v>
      </c>
      <c r="AC147" s="91"/>
      <c r="AD147" s="91"/>
      <c r="AE147" s="91"/>
      <c r="AF147" s="91"/>
      <c r="AG147" s="91"/>
      <c r="AH147" s="91"/>
    </row>
    <row r="148" spans="1:34" s="57" customFormat="1" x14ac:dyDescent="0.15">
      <c r="A148" s="57" t="s">
        <v>41</v>
      </c>
      <c r="B148" s="58" t="s">
        <v>157</v>
      </c>
      <c r="C148" s="59">
        <v>2019</v>
      </c>
      <c r="D148" s="60" t="s">
        <v>185</v>
      </c>
      <c r="E148" s="57" t="s">
        <v>210</v>
      </c>
      <c r="F148" s="57" t="s">
        <v>211</v>
      </c>
      <c r="G148" s="57" t="s">
        <v>42</v>
      </c>
      <c r="H148" s="57" t="s">
        <v>165</v>
      </c>
      <c r="I148" s="57" t="s">
        <v>159</v>
      </c>
      <c r="J148" s="57" t="s">
        <v>38</v>
      </c>
      <c r="K148" s="57" t="s">
        <v>161</v>
      </c>
      <c r="L148" s="57">
        <v>3</v>
      </c>
      <c r="N148" s="57">
        <v>4</v>
      </c>
      <c r="O148" s="58">
        <v>0.35</v>
      </c>
      <c r="P148" s="58">
        <v>0.4</v>
      </c>
      <c r="Q148" s="89">
        <f t="shared" si="6"/>
        <v>0.375</v>
      </c>
      <c r="R148" s="57">
        <v>14.9</v>
      </c>
      <c r="S148" s="57">
        <v>121</v>
      </c>
      <c r="T148" s="90">
        <f t="shared" si="7"/>
        <v>27</v>
      </c>
      <c r="U148" s="57">
        <v>428</v>
      </c>
      <c r="V148" s="90">
        <f t="shared" si="8"/>
        <v>2889</v>
      </c>
      <c r="W148" s="57">
        <v>3</v>
      </c>
      <c r="X148" s="57" t="s">
        <v>46</v>
      </c>
      <c r="Y148" s="57" t="s">
        <v>69</v>
      </c>
      <c r="Z148" s="57" t="s">
        <v>55</v>
      </c>
      <c r="AA148" s="57" t="s">
        <v>47</v>
      </c>
      <c r="AB148" s="57" t="s">
        <v>158</v>
      </c>
      <c r="AC148" s="91"/>
      <c r="AD148" s="91"/>
      <c r="AE148" s="91"/>
      <c r="AF148" s="91"/>
      <c r="AG148" s="91"/>
      <c r="AH148" s="91"/>
    </row>
    <row r="149" spans="1:34" x14ac:dyDescent="0.15">
      <c r="K149" s="57"/>
      <c r="Q149" s="75" t="str">
        <f t="shared" si="6"/>
        <v/>
      </c>
      <c r="T149" s="62" t="str">
        <f t="shared" si="7"/>
        <v/>
      </c>
      <c r="V149" s="62" t="str">
        <f t="shared" si="8"/>
        <v/>
      </c>
      <c r="Y149" s="57"/>
    </row>
    <row r="150" spans="1:34" x14ac:dyDescent="0.15">
      <c r="K150" s="57"/>
      <c r="Q150" s="75" t="str">
        <f t="shared" si="6"/>
        <v/>
      </c>
      <c r="T150" s="62" t="str">
        <f t="shared" si="7"/>
        <v/>
      </c>
      <c r="V150" s="62" t="str">
        <f t="shared" si="8"/>
        <v/>
      </c>
      <c r="Y150" s="57"/>
    </row>
    <row r="151" spans="1:34" x14ac:dyDescent="0.15">
      <c r="K151" s="57"/>
      <c r="Q151" s="75" t="str">
        <f t="shared" si="6"/>
        <v/>
      </c>
      <c r="T151" s="62" t="str">
        <f t="shared" si="7"/>
        <v/>
      </c>
      <c r="V151" s="62" t="str">
        <f t="shared" si="8"/>
        <v/>
      </c>
      <c r="Y151" s="57"/>
    </row>
    <row r="152" spans="1:34" x14ac:dyDescent="0.15">
      <c r="K152" s="57"/>
      <c r="Q152" s="75" t="str">
        <f t="shared" si="6"/>
        <v/>
      </c>
      <c r="T152" s="62" t="str">
        <f t="shared" si="7"/>
        <v/>
      </c>
      <c r="V152" s="62" t="str">
        <f t="shared" si="8"/>
        <v/>
      </c>
      <c r="Y152" s="57"/>
    </row>
    <row r="153" spans="1:34" x14ac:dyDescent="0.15">
      <c r="K153" s="57"/>
      <c r="Q153" s="75" t="str">
        <f t="shared" si="6"/>
        <v/>
      </c>
      <c r="T153" s="62" t="str">
        <f t="shared" si="7"/>
        <v/>
      </c>
      <c r="V153" s="62" t="str">
        <f t="shared" si="8"/>
        <v/>
      </c>
      <c r="Y153" s="57"/>
    </row>
    <row r="154" spans="1:34" x14ac:dyDescent="0.15">
      <c r="K154" s="57"/>
      <c r="Q154" s="75" t="str">
        <f t="shared" si="6"/>
        <v/>
      </c>
      <c r="T154" s="62" t="str">
        <f t="shared" si="7"/>
        <v/>
      </c>
      <c r="V154" s="62" t="str">
        <f t="shared" si="8"/>
        <v/>
      </c>
      <c r="Y154" s="57"/>
    </row>
    <row r="155" spans="1:34" x14ac:dyDescent="0.15">
      <c r="K155" s="57"/>
      <c r="Q155" s="75" t="str">
        <f t="shared" si="6"/>
        <v/>
      </c>
      <c r="T155" s="62" t="str">
        <f t="shared" si="7"/>
        <v/>
      </c>
      <c r="V155" s="62" t="str">
        <f t="shared" si="8"/>
        <v/>
      </c>
      <c r="Y155" s="57"/>
    </row>
    <row r="156" spans="1:34" x14ac:dyDescent="0.15">
      <c r="K156" s="57"/>
      <c r="Q156" s="75" t="str">
        <f t="shared" si="6"/>
        <v/>
      </c>
      <c r="T156" s="62" t="str">
        <f t="shared" si="7"/>
        <v/>
      </c>
      <c r="V156" s="62" t="str">
        <f t="shared" si="8"/>
        <v/>
      </c>
      <c r="Y156" s="57"/>
    </row>
    <row r="157" spans="1:34" x14ac:dyDescent="0.15">
      <c r="K157" s="57"/>
      <c r="Q157" s="75" t="str">
        <f t="shared" si="6"/>
        <v/>
      </c>
      <c r="T157" s="62" t="str">
        <f t="shared" si="7"/>
        <v/>
      </c>
      <c r="V157" s="62" t="str">
        <f t="shared" si="8"/>
        <v/>
      </c>
      <c r="Y157" s="57"/>
    </row>
    <row r="158" spans="1:34" x14ac:dyDescent="0.15">
      <c r="K158" s="57"/>
      <c r="Q158" s="75" t="str">
        <f t="shared" si="6"/>
        <v/>
      </c>
      <c r="T158" s="62" t="str">
        <f t="shared" si="7"/>
        <v/>
      </c>
      <c r="V158" s="62" t="str">
        <f t="shared" si="8"/>
        <v/>
      </c>
      <c r="Y158" s="57"/>
    </row>
    <row r="159" spans="1:34" x14ac:dyDescent="0.15">
      <c r="K159" s="57"/>
      <c r="Q159" s="75" t="str">
        <f t="shared" si="6"/>
        <v/>
      </c>
      <c r="T159" s="62" t="str">
        <f t="shared" si="7"/>
        <v/>
      </c>
      <c r="V159" s="62" t="str">
        <f t="shared" si="8"/>
        <v/>
      </c>
      <c r="Y159" s="57"/>
    </row>
    <row r="160" spans="1:34" x14ac:dyDescent="0.15">
      <c r="K160" s="57"/>
      <c r="Q160" s="75" t="str">
        <f t="shared" si="6"/>
        <v/>
      </c>
      <c r="T160" s="62" t="str">
        <f t="shared" si="7"/>
        <v/>
      </c>
      <c r="V160" s="62" t="str">
        <f t="shared" si="8"/>
        <v/>
      </c>
      <c r="Y160" s="57"/>
    </row>
    <row r="161" spans="11:25" x14ac:dyDescent="0.15">
      <c r="K161" s="57"/>
      <c r="Q161" s="75" t="str">
        <f t="shared" si="6"/>
        <v/>
      </c>
      <c r="T161" s="62" t="str">
        <f t="shared" si="7"/>
        <v/>
      </c>
      <c r="V161" s="62" t="str">
        <f t="shared" si="8"/>
        <v/>
      </c>
      <c r="Y161" s="57"/>
    </row>
    <row r="162" spans="11:25" x14ac:dyDescent="0.15">
      <c r="K162" s="57"/>
      <c r="Q162" s="75" t="str">
        <f t="shared" si="6"/>
        <v/>
      </c>
      <c r="T162" s="62" t="str">
        <f t="shared" si="7"/>
        <v/>
      </c>
      <c r="V162" s="62" t="str">
        <f t="shared" si="8"/>
        <v/>
      </c>
      <c r="Y162" s="57"/>
    </row>
    <row r="163" spans="11:25" x14ac:dyDescent="0.15">
      <c r="K163" s="57"/>
      <c r="Q163" s="75" t="str">
        <f t="shared" si="6"/>
        <v/>
      </c>
      <c r="T163" s="62" t="str">
        <f t="shared" si="7"/>
        <v/>
      </c>
      <c r="V163" s="62" t="str">
        <f t="shared" si="8"/>
        <v/>
      </c>
      <c r="Y163" s="57"/>
    </row>
    <row r="164" spans="11:25" x14ac:dyDescent="0.15">
      <c r="K164" s="57"/>
      <c r="Q164" s="75" t="str">
        <f t="shared" si="6"/>
        <v/>
      </c>
      <c r="T164" s="62" t="str">
        <f t="shared" si="7"/>
        <v/>
      </c>
      <c r="V164" s="62" t="str">
        <f t="shared" si="8"/>
        <v/>
      </c>
      <c r="Y164" s="57"/>
    </row>
    <row r="165" spans="11:25" x14ac:dyDescent="0.15">
      <c r="K165" s="57"/>
      <c r="Q165" s="75" t="str">
        <f t="shared" si="6"/>
        <v/>
      </c>
      <c r="T165" s="62" t="str">
        <f t="shared" si="7"/>
        <v/>
      </c>
      <c r="V165" s="62" t="str">
        <f t="shared" si="8"/>
        <v/>
      </c>
      <c r="Y165" s="57"/>
    </row>
    <row r="166" spans="11:25" x14ac:dyDescent="0.15">
      <c r="K166" s="57"/>
      <c r="Q166" s="75" t="str">
        <f t="shared" si="6"/>
        <v/>
      </c>
      <c r="T166" s="62" t="str">
        <f t="shared" si="7"/>
        <v/>
      </c>
      <c r="V166" s="62" t="str">
        <f t="shared" si="8"/>
        <v/>
      </c>
      <c r="Y166" s="57"/>
    </row>
    <row r="167" spans="11:25" x14ac:dyDescent="0.15">
      <c r="K167" s="57"/>
      <c r="Q167" s="75" t="str">
        <f t="shared" si="6"/>
        <v/>
      </c>
      <c r="T167" s="62" t="str">
        <f t="shared" si="7"/>
        <v/>
      </c>
      <c r="V167" s="62" t="str">
        <f t="shared" si="8"/>
        <v/>
      </c>
      <c r="Y167" s="57"/>
    </row>
    <row r="168" spans="11:25" x14ac:dyDescent="0.15">
      <c r="K168" s="57"/>
      <c r="Q168" s="75" t="str">
        <f t="shared" si="6"/>
        <v/>
      </c>
      <c r="T168" s="62" t="str">
        <f t="shared" si="7"/>
        <v/>
      </c>
      <c r="V168" s="62" t="str">
        <f t="shared" si="8"/>
        <v/>
      </c>
      <c r="Y168" s="57"/>
    </row>
    <row r="169" spans="11:25" x14ac:dyDescent="0.15">
      <c r="K169" s="57"/>
      <c r="Q169" s="75" t="str">
        <f t="shared" si="6"/>
        <v/>
      </c>
      <c r="T169" s="62" t="str">
        <f t="shared" si="7"/>
        <v/>
      </c>
      <c r="V169" s="62" t="str">
        <f t="shared" si="8"/>
        <v/>
      </c>
      <c r="Y169" s="57"/>
    </row>
    <row r="170" spans="11:25" x14ac:dyDescent="0.15">
      <c r="K170" s="57"/>
      <c r="Q170" s="75" t="str">
        <f t="shared" si="6"/>
        <v/>
      </c>
      <c r="T170" s="62" t="str">
        <f t="shared" si="7"/>
        <v/>
      </c>
      <c r="V170" s="62" t="str">
        <f t="shared" si="8"/>
        <v/>
      </c>
      <c r="Y170" s="57"/>
    </row>
    <row r="171" spans="11:25" x14ac:dyDescent="0.15">
      <c r="K171" s="57"/>
      <c r="Q171" s="75" t="str">
        <f t="shared" si="6"/>
        <v/>
      </c>
      <c r="T171" s="62" t="str">
        <f t="shared" si="7"/>
        <v/>
      </c>
      <c r="V171" s="62" t="str">
        <f t="shared" si="8"/>
        <v/>
      </c>
      <c r="Y171" s="57"/>
    </row>
    <row r="172" spans="11:25" x14ac:dyDescent="0.15">
      <c r="Q172" s="75" t="str">
        <f t="shared" si="6"/>
        <v/>
      </c>
      <c r="T172" s="62" t="str">
        <f t="shared" si="7"/>
        <v/>
      </c>
      <c r="V172" s="62" t="str">
        <f t="shared" si="8"/>
        <v/>
      </c>
      <c r="Y172" s="57"/>
    </row>
    <row r="173" spans="11:25" x14ac:dyDescent="0.15">
      <c r="Q173" s="75" t="str">
        <f t="shared" si="6"/>
        <v/>
      </c>
      <c r="T173" s="62" t="str">
        <f t="shared" si="7"/>
        <v/>
      </c>
      <c r="V173" s="62" t="str">
        <f t="shared" si="8"/>
        <v/>
      </c>
    </row>
    <row r="174" spans="11:25" x14ac:dyDescent="0.15">
      <c r="Q174" s="75" t="str">
        <f t="shared" si="6"/>
        <v/>
      </c>
      <c r="T174" s="62" t="str">
        <f t="shared" si="7"/>
        <v/>
      </c>
      <c r="V174" s="62" t="str">
        <f t="shared" si="8"/>
        <v/>
      </c>
    </row>
    <row r="175" spans="11:25" x14ac:dyDescent="0.15">
      <c r="Q175" s="75" t="str">
        <f t="shared" si="6"/>
        <v/>
      </c>
      <c r="T175" s="62" t="str">
        <f t="shared" si="7"/>
        <v/>
      </c>
      <c r="V175" s="62" t="str">
        <f t="shared" si="8"/>
        <v/>
      </c>
    </row>
    <row r="176" spans="11:25" x14ac:dyDescent="0.15">
      <c r="Q176" s="75" t="str">
        <f t="shared" si="6"/>
        <v/>
      </c>
      <c r="T176" s="62" t="str">
        <f t="shared" si="7"/>
        <v/>
      </c>
      <c r="V176" s="62" t="str">
        <f t="shared" si="8"/>
        <v/>
      </c>
    </row>
    <row r="177" spans="17:22" x14ac:dyDescent="0.15">
      <c r="Q177" s="75" t="str">
        <f t="shared" si="6"/>
        <v/>
      </c>
      <c r="T177" s="62" t="str">
        <f t="shared" si="7"/>
        <v/>
      </c>
      <c r="V177" s="62" t="str">
        <f t="shared" si="8"/>
        <v/>
      </c>
    </row>
    <row r="178" spans="17:22" x14ac:dyDescent="0.15">
      <c r="Q178" s="75" t="str">
        <f t="shared" si="6"/>
        <v/>
      </c>
      <c r="T178" s="62" t="str">
        <f t="shared" si="7"/>
        <v/>
      </c>
      <c r="V178" s="62" t="str">
        <f t="shared" si="8"/>
        <v/>
      </c>
    </row>
    <row r="179" spans="17:22" x14ac:dyDescent="0.15">
      <c r="Q179" s="75" t="str">
        <f t="shared" si="6"/>
        <v/>
      </c>
      <c r="T179" s="62" t="str">
        <f t="shared" si="7"/>
        <v/>
      </c>
      <c r="V179" s="62" t="str">
        <f t="shared" si="8"/>
        <v/>
      </c>
    </row>
    <row r="180" spans="17:22" x14ac:dyDescent="0.15">
      <c r="Q180" s="75" t="str">
        <f t="shared" si="6"/>
        <v/>
      </c>
      <c r="T180" s="62" t="str">
        <f t="shared" si="7"/>
        <v/>
      </c>
      <c r="V180" s="62" t="str">
        <f t="shared" si="8"/>
        <v/>
      </c>
    </row>
    <row r="181" spans="17:22" x14ac:dyDescent="0.15">
      <c r="Q181" s="75" t="str">
        <f t="shared" si="6"/>
        <v/>
      </c>
      <c r="T181" s="62" t="str">
        <f t="shared" si="7"/>
        <v/>
      </c>
      <c r="V181" s="62" t="str">
        <f t="shared" si="8"/>
        <v/>
      </c>
    </row>
    <row r="182" spans="17:22" x14ac:dyDescent="0.15">
      <c r="Q182" s="75" t="str">
        <f t="shared" si="6"/>
        <v/>
      </c>
      <c r="T182" s="62" t="str">
        <f t="shared" si="7"/>
        <v/>
      </c>
      <c r="V182" s="62" t="str">
        <f t="shared" si="8"/>
        <v/>
      </c>
    </row>
    <row r="183" spans="17:22" x14ac:dyDescent="0.15">
      <c r="Q183" s="75" t="str">
        <f t="shared" si="6"/>
        <v/>
      </c>
      <c r="T183" s="62" t="str">
        <f t="shared" si="7"/>
        <v/>
      </c>
      <c r="V183" s="62" t="str">
        <f t="shared" si="8"/>
        <v/>
      </c>
    </row>
    <row r="184" spans="17:22" x14ac:dyDescent="0.15">
      <c r="Q184" s="75" t="str">
        <f t="shared" si="6"/>
        <v/>
      </c>
      <c r="T184" s="62" t="str">
        <f t="shared" si="7"/>
        <v/>
      </c>
      <c r="V184" s="62" t="str">
        <f t="shared" si="8"/>
        <v/>
      </c>
    </row>
    <row r="185" spans="17:22" x14ac:dyDescent="0.15">
      <c r="Q185" s="75" t="str">
        <f t="shared" si="6"/>
        <v/>
      </c>
      <c r="T185" s="62" t="str">
        <f t="shared" si="7"/>
        <v/>
      </c>
      <c r="V185" s="62" t="str">
        <f t="shared" si="8"/>
        <v/>
      </c>
    </row>
    <row r="186" spans="17:22" x14ac:dyDescent="0.15">
      <c r="Q186" s="75" t="str">
        <f t="shared" si="6"/>
        <v/>
      </c>
      <c r="T186" s="62" t="str">
        <f t="shared" si="7"/>
        <v/>
      </c>
      <c r="V186" s="62" t="str">
        <f t="shared" si="8"/>
        <v/>
      </c>
    </row>
    <row r="187" spans="17:22" x14ac:dyDescent="0.15">
      <c r="Q187" s="75" t="str">
        <f t="shared" si="6"/>
        <v/>
      </c>
      <c r="T187" s="62" t="str">
        <f t="shared" si="7"/>
        <v/>
      </c>
      <c r="V187" s="62" t="str">
        <f t="shared" si="8"/>
        <v/>
      </c>
    </row>
    <row r="188" spans="17:22" x14ac:dyDescent="0.15">
      <c r="Q188" s="75" t="str">
        <f t="shared" si="6"/>
        <v/>
      </c>
      <c r="T188" s="62" t="str">
        <f t="shared" si="7"/>
        <v/>
      </c>
      <c r="V188" s="62" t="str">
        <f t="shared" si="8"/>
        <v/>
      </c>
    </row>
    <row r="189" spans="17:22" x14ac:dyDescent="0.15">
      <c r="Q189" s="75" t="str">
        <f t="shared" si="6"/>
        <v/>
      </c>
      <c r="T189" s="62" t="str">
        <f t="shared" si="7"/>
        <v/>
      </c>
      <c r="V189" s="62" t="str">
        <f t="shared" si="8"/>
        <v/>
      </c>
    </row>
    <row r="190" spans="17:22" x14ac:dyDescent="0.15">
      <c r="Q190" s="75" t="str">
        <f t="shared" si="6"/>
        <v/>
      </c>
      <c r="T190" s="62" t="str">
        <f t="shared" si="7"/>
        <v/>
      </c>
      <c r="V190" s="62" t="str">
        <f t="shared" si="8"/>
        <v/>
      </c>
    </row>
    <row r="191" spans="17:22" x14ac:dyDescent="0.15">
      <c r="Q191" s="75" t="str">
        <f t="shared" si="6"/>
        <v/>
      </c>
      <c r="T191" s="62" t="str">
        <f t="shared" si="7"/>
        <v/>
      </c>
      <c r="V191" s="62" t="str">
        <f t="shared" si="8"/>
        <v/>
      </c>
    </row>
    <row r="192" spans="17:22" x14ac:dyDescent="0.15">
      <c r="Q192" s="75" t="str">
        <f t="shared" si="6"/>
        <v/>
      </c>
      <c r="T192" s="62" t="str">
        <f t="shared" si="7"/>
        <v/>
      </c>
      <c r="V192" s="62" t="str">
        <f t="shared" si="8"/>
        <v/>
      </c>
    </row>
    <row r="193" spans="17:22" x14ac:dyDescent="0.15">
      <c r="Q193" s="75" t="str">
        <f t="shared" si="6"/>
        <v/>
      </c>
      <c r="T193" s="62" t="str">
        <f t="shared" si="7"/>
        <v/>
      </c>
      <c r="V193" s="62" t="str">
        <f t="shared" si="8"/>
        <v/>
      </c>
    </row>
    <row r="194" spans="17:22" x14ac:dyDescent="0.15">
      <c r="Q194" s="75" t="str">
        <f t="shared" ref="Q194:Q257" si="9">IF(OR(O194="",P194=""),"",AVERAGE(O194,P194))</f>
        <v/>
      </c>
      <c r="T194" s="62" t="str">
        <f t="shared" ref="T194:T257" si="10">IF(H194="","",IF(OR(H194="GREEN",H194="GK"),IF(S194&gt;=$AX$2,VLOOKUP(S194,$AX$2:$AY$10,2,1),""),IF(S194&gt;=$AZ$2,VLOOKUP(S194,$AZ$2:$BA$10,2,1),"")))</f>
        <v/>
      </c>
      <c r="V194" s="62" t="str">
        <f t="shared" ref="V194:V257" si="11">IF(OR(N194="",U194="",T194=""),"",U194/N194*T194)</f>
        <v/>
      </c>
    </row>
    <row r="195" spans="17:22" x14ac:dyDescent="0.15">
      <c r="Q195" s="75" t="str">
        <f t="shared" si="9"/>
        <v/>
      </c>
      <c r="T195" s="62" t="str">
        <f t="shared" si="10"/>
        <v/>
      </c>
      <c r="V195" s="62" t="str">
        <f t="shared" si="11"/>
        <v/>
      </c>
    </row>
    <row r="196" spans="17:22" x14ac:dyDescent="0.15">
      <c r="Q196" s="75" t="str">
        <f t="shared" si="9"/>
        <v/>
      </c>
      <c r="T196" s="62" t="str">
        <f t="shared" si="10"/>
        <v/>
      </c>
      <c r="V196" s="62" t="str">
        <f t="shared" si="11"/>
        <v/>
      </c>
    </row>
    <row r="197" spans="17:22" x14ac:dyDescent="0.15">
      <c r="Q197" s="75" t="str">
        <f t="shared" si="9"/>
        <v/>
      </c>
      <c r="T197" s="62" t="str">
        <f t="shared" si="10"/>
        <v/>
      </c>
      <c r="V197" s="62" t="str">
        <f t="shared" si="11"/>
        <v/>
      </c>
    </row>
    <row r="198" spans="17:22" x14ac:dyDescent="0.15">
      <c r="Q198" s="75" t="str">
        <f t="shared" si="9"/>
        <v/>
      </c>
      <c r="T198" s="62" t="str">
        <f t="shared" si="10"/>
        <v/>
      </c>
      <c r="V198" s="62" t="str">
        <f t="shared" si="11"/>
        <v/>
      </c>
    </row>
    <row r="199" spans="17:22" x14ac:dyDescent="0.15">
      <c r="Q199" s="75" t="str">
        <f t="shared" si="9"/>
        <v/>
      </c>
      <c r="T199" s="62" t="str">
        <f t="shared" si="10"/>
        <v/>
      </c>
      <c r="V199" s="62" t="str">
        <f t="shared" si="11"/>
        <v/>
      </c>
    </row>
    <row r="200" spans="17:22" x14ac:dyDescent="0.15">
      <c r="Q200" s="75" t="str">
        <f t="shared" si="9"/>
        <v/>
      </c>
      <c r="T200" s="62" t="str">
        <f t="shared" si="10"/>
        <v/>
      </c>
      <c r="V200" s="62" t="str">
        <f t="shared" si="11"/>
        <v/>
      </c>
    </row>
    <row r="201" spans="17:22" x14ac:dyDescent="0.15">
      <c r="Q201" s="75" t="str">
        <f t="shared" si="9"/>
        <v/>
      </c>
      <c r="T201" s="62" t="str">
        <f t="shared" si="10"/>
        <v/>
      </c>
      <c r="V201" s="62" t="str">
        <f t="shared" si="11"/>
        <v/>
      </c>
    </row>
    <row r="202" spans="17:22" x14ac:dyDescent="0.15">
      <c r="Q202" s="75" t="str">
        <f t="shared" si="9"/>
        <v/>
      </c>
      <c r="T202" s="62" t="str">
        <f t="shared" si="10"/>
        <v/>
      </c>
      <c r="V202" s="62" t="str">
        <f t="shared" si="11"/>
        <v/>
      </c>
    </row>
    <row r="203" spans="17:22" x14ac:dyDescent="0.15">
      <c r="Q203" s="75" t="str">
        <f t="shared" si="9"/>
        <v/>
      </c>
      <c r="T203" s="62" t="str">
        <f t="shared" si="10"/>
        <v/>
      </c>
      <c r="V203" s="62" t="str">
        <f t="shared" si="11"/>
        <v/>
      </c>
    </row>
    <row r="204" spans="17:22" x14ac:dyDescent="0.15">
      <c r="Q204" s="75" t="str">
        <f t="shared" si="9"/>
        <v/>
      </c>
      <c r="T204" s="62" t="str">
        <f t="shared" si="10"/>
        <v/>
      </c>
      <c r="V204" s="62" t="str">
        <f t="shared" si="11"/>
        <v/>
      </c>
    </row>
    <row r="205" spans="17:22" x14ac:dyDescent="0.15">
      <c r="Q205" s="75" t="str">
        <f t="shared" si="9"/>
        <v/>
      </c>
      <c r="T205" s="62" t="str">
        <f t="shared" si="10"/>
        <v/>
      </c>
      <c r="V205" s="62" t="str">
        <f t="shared" si="11"/>
        <v/>
      </c>
    </row>
    <row r="206" spans="17:22" x14ac:dyDescent="0.15">
      <c r="Q206" s="75" t="str">
        <f t="shared" si="9"/>
        <v/>
      </c>
      <c r="T206" s="62" t="str">
        <f t="shared" si="10"/>
        <v/>
      </c>
      <c r="V206" s="62" t="str">
        <f t="shared" si="11"/>
        <v/>
      </c>
    </row>
    <row r="207" spans="17:22" x14ac:dyDescent="0.15">
      <c r="Q207" s="75" t="str">
        <f t="shared" si="9"/>
        <v/>
      </c>
      <c r="T207" s="62" t="str">
        <f t="shared" si="10"/>
        <v/>
      </c>
      <c r="V207" s="62" t="str">
        <f t="shared" si="11"/>
        <v/>
      </c>
    </row>
    <row r="208" spans="17:22" x14ac:dyDescent="0.15">
      <c r="Q208" s="75" t="str">
        <f t="shared" si="9"/>
        <v/>
      </c>
      <c r="T208" s="62" t="str">
        <f t="shared" si="10"/>
        <v/>
      </c>
      <c r="V208" s="62" t="str">
        <f t="shared" si="11"/>
        <v/>
      </c>
    </row>
    <row r="209" spans="17:22" x14ac:dyDescent="0.15">
      <c r="Q209" s="75" t="str">
        <f t="shared" si="9"/>
        <v/>
      </c>
      <c r="T209" s="62" t="str">
        <f t="shared" si="10"/>
        <v/>
      </c>
      <c r="V209" s="62" t="str">
        <f t="shared" si="11"/>
        <v/>
      </c>
    </row>
    <row r="210" spans="17:22" x14ac:dyDescent="0.15">
      <c r="Q210" s="75" t="str">
        <f t="shared" si="9"/>
        <v/>
      </c>
      <c r="T210" s="62" t="str">
        <f t="shared" si="10"/>
        <v/>
      </c>
      <c r="V210" s="62" t="str">
        <f t="shared" si="11"/>
        <v/>
      </c>
    </row>
    <row r="211" spans="17:22" x14ac:dyDescent="0.15">
      <c r="Q211" s="75" t="str">
        <f t="shared" si="9"/>
        <v/>
      </c>
      <c r="T211" s="62" t="str">
        <f t="shared" si="10"/>
        <v/>
      </c>
      <c r="V211" s="62" t="str">
        <f t="shared" si="11"/>
        <v/>
      </c>
    </row>
    <row r="212" spans="17:22" x14ac:dyDescent="0.15">
      <c r="Q212" s="75" t="str">
        <f t="shared" si="9"/>
        <v/>
      </c>
      <c r="T212" s="62" t="str">
        <f t="shared" si="10"/>
        <v/>
      </c>
      <c r="V212" s="62" t="str">
        <f t="shared" si="11"/>
        <v/>
      </c>
    </row>
    <row r="213" spans="17:22" x14ac:dyDescent="0.15">
      <c r="Q213" s="75" t="str">
        <f t="shared" si="9"/>
        <v/>
      </c>
      <c r="T213" s="62" t="str">
        <f t="shared" si="10"/>
        <v/>
      </c>
      <c r="V213" s="62" t="str">
        <f t="shared" si="11"/>
        <v/>
      </c>
    </row>
    <row r="214" spans="17:22" x14ac:dyDescent="0.15">
      <c r="Q214" s="75" t="str">
        <f t="shared" si="9"/>
        <v/>
      </c>
      <c r="T214" s="62" t="str">
        <f t="shared" si="10"/>
        <v/>
      </c>
      <c r="V214" s="62" t="str">
        <f t="shared" si="11"/>
        <v/>
      </c>
    </row>
    <row r="215" spans="17:22" x14ac:dyDescent="0.15">
      <c r="Q215" s="75" t="str">
        <f t="shared" si="9"/>
        <v/>
      </c>
      <c r="T215" s="62" t="str">
        <f t="shared" si="10"/>
        <v/>
      </c>
      <c r="V215" s="62" t="str">
        <f t="shared" si="11"/>
        <v/>
      </c>
    </row>
    <row r="216" spans="17:22" x14ac:dyDescent="0.15">
      <c r="Q216" s="75" t="str">
        <f t="shared" si="9"/>
        <v/>
      </c>
      <c r="T216" s="62" t="str">
        <f t="shared" si="10"/>
        <v/>
      </c>
      <c r="V216" s="62" t="str">
        <f t="shared" si="11"/>
        <v/>
      </c>
    </row>
    <row r="217" spans="17:22" x14ac:dyDescent="0.15">
      <c r="Q217" s="75" t="str">
        <f t="shared" si="9"/>
        <v/>
      </c>
      <c r="T217" s="62" t="str">
        <f t="shared" si="10"/>
        <v/>
      </c>
      <c r="V217" s="62" t="str">
        <f t="shared" si="11"/>
        <v/>
      </c>
    </row>
    <row r="218" spans="17:22" x14ac:dyDescent="0.15">
      <c r="Q218" s="75" t="str">
        <f t="shared" si="9"/>
        <v/>
      </c>
      <c r="T218" s="62" t="str">
        <f t="shared" si="10"/>
        <v/>
      </c>
      <c r="V218" s="62" t="str">
        <f t="shared" si="11"/>
        <v/>
      </c>
    </row>
    <row r="219" spans="17:22" x14ac:dyDescent="0.15">
      <c r="Q219" s="75" t="str">
        <f t="shared" si="9"/>
        <v/>
      </c>
      <c r="T219" s="62" t="str">
        <f t="shared" si="10"/>
        <v/>
      </c>
      <c r="V219" s="62" t="str">
        <f t="shared" si="11"/>
        <v/>
      </c>
    </row>
    <row r="220" spans="17:22" x14ac:dyDescent="0.15">
      <c r="Q220" s="75" t="str">
        <f t="shared" si="9"/>
        <v/>
      </c>
      <c r="T220" s="62" t="str">
        <f t="shared" si="10"/>
        <v/>
      </c>
      <c r="V220" s="62" t="str">
        <f t="shared" si="11"/>
        <v/>
      </c>
    </row>
    <row r="221" spans="17:22" x14ac:dyDescent="0.15">
      <c r="Q221" s="75" t="str">
        <f t="shared" si="9"/>
        <v/>
      </c>
      <c r="T221" s="62" t="str">
        <f t="shared" si="10"/>
        <v/>
      </c>
      <c r="V221" s="62" t="str">
        <f t="shared" si="11"/>
        <v/>
      </c>
    </row>
    <row r="222" spans="17:22" x14ac:dyDescent="0.15">
      <c r="Q222" s="75" t="str">
        <f t="shared" si="9"/>
        <v/>
      </c>
      <c r="T222" s="62" t="str">
        <f t="shared" si="10"/>
        <v/>
      </c>
      <c r="V222" s="62" t="str">
        <f t="shared" si="11"/>
        <v/>
      </c>
    </row>
    <row r="223" spans="17:22" x14ac:dyDescent="0.15">
      <c r="Q223" s="75" t="str">
        <f t="shared" si="9"/>
        <v/>
      </c>
      <c r="T223" s="62" t="str">
        <f t="shared" si="10"/>
        <v/>
      </c>
      <c r="V223" s="62" t="str">
        <f t="shared" si="11"/>
        <v/>
      </c>
    </row>
    <row r="224" spans="17:22" x14ac:dyDescent="0.15">
      <c r="Q224" s="75" t="str">
        <f t="shared" si="9"/>
        <v/>
      </c>
      <c r="T224" s="62" t="str">
        <f t="shared" si="10"/>
        <v/>
      </c>
      <c r="V224" s="62" t="str">
        <f t="shared" si="11"/>
        <v/>
      </c>
    </row>
    <row r="225" spans="17:22" x14ac:dyDescent="0.15">
      <c r="Q225" s="75" t="str">
        <f t="shared" si="9"/>
        <v/>
      </c>
      <c r="T225" s="62" t="str">
        <f t="shared" si="10"/>
        <v/>
      </c>
      <c r="V225" s="62" t="str">
        <f t="shared" si="11"/>
        <v/>
      </c>
    </row>
    <row r="226" spans="17:22" x14ac:dyDescent="0.15">
      <c r="Q226" s="75" t="str">
        <f t="shared" si="9"/>
        <v/>
      </c>
      <c r="T226" s="62" t="str">
        <f t="shared" si="10"/>
        <v/>
      </c>
      <c r="V226" s="62" t="str">
        <f t="shared" si="11"/>
        <v/>
      </c>
    </row>
    <row r="227" spans="17:22" x14ac:dyDescent="0.15">
      <c r="Q227" s="75" t="str">
        <f t="shared" si="9"/>
        <v/>
      </c>
      <c r="T227" s="62" t="str">
        <f t="shared" si="10"/>
        <v/>
      </c>
      <c r="V227" s="62" t="str">
        <f t="shared" si="11"/>
        <v/>
      </c>
    </row>
    <row r="228" spans="17:22" x14ac:dyDescent="0.15">
      <c r="Q228" s="75" t="str">
        <f t="shared" si="9"/>
        <v/>
      </c>
      <c r="T228" s="62" t="str">
        <f t="shared" si="10"/>
        <v/>
      </c>
      <c r="V228" s="62" t="str">
        <f t="shared" si="11"/>
        <v/>
      </c>
    </row>
    <row r="229" spans="17:22" x14ac:dyDescent="0.15">
      <c r="Q229" s="75" t="str">
        <f t="shared" si="9"/>
        <v/>
      </c>
      <c r="T229" s="62" t="str">
        <f t="shared" si="10"/>
        <v/>
      </c>
      <c r="V229" s="62" t="str">
        <f t="shared" si="11"/>
        <v/>
      </c>
    </row>
    <row r="230" spans="17:22" x14ac:dyDescent="0.15">
      <c r="Q230" s="75" t="str">
        <f t="shared" si="9"/>
        <v/>
      </c>
      <c r="T230" s="62" t="str">
        <f t="shared" si="10"/>
        <v/>
      </c>
      <c r="V230" s="62" t="str">
        <f t="shared" si="11"/>
        <v/>
      </c>
    </row>
    <row r="231" spans="17:22" x14ac:dyDescent="0.15">
      <c r="Q231" s="75" t="str">
        <f t="shared" si="9"/>
        <v/>
      </c>
      <c r="T231" s="62" t="str">
        <f t="shared" si="10"/>
        <v/>
      </c>
      <c r="V231" s="62" t="str">
        <f t="shared" si="11"/>
        <v/>
      </c>
    </row>
    <row r="232" spans="17:22" x14ac:dyDescent="0.15">
      <c r="Q232" s="75" t="str">
        <f t="shared" si="9"/>
        <v/>
      </c>
      <c r="T232" s="62" t="str">
        <f t="shared" si="10"/>
        <v/>
      </c>
      <c r="V232" s="62" t="str">
        <f t="shared" si="11"/>
        <v/>
      </c>
    </row>
    <row r="233" spans="17:22" x14ac:dyDescent="0.15">
      <c r="Q233" s="75" t="str">
        <f t="shared" si="9"/>
        <v/>
      </c>
      <c r="T233" s="62" t="str">
        <f t="shared" si="10"/>
        <v/>
      </c>
      <c r="V233" s="62" t="str">
        <f t="shared" si="11"/>
        <v/>
      </c>
    </row>
    <row r="234" spans="17:22" x14ac:dyDescent="0.15">
      <c r="Q234" s="75" t="str">
        <f t="shared" si="9"/>
        <v/>
      </c>
      <c r="T234" s="62" t="str">
        <f t="shared" si="10"/>
        <v/>
      </c>
      <c r="V234" s="62" t="str">
        <f t="shared" si="11"/>
        <v/>
      </c>
    </row>
    <row r="235" spans="17:22" x14ac:dyDescent="0.15">
      <c r="Q235" s="75" t="str">
        <f t="shared" si="9"/>
        <v/>
      </c>
      <c r="T235" s="62" t="str">
        <f t="shared" si="10"/>
        <v/>
      </c>
      <c r="V235" s="62" t="str">
        <f t="shared" si="11"/>
        <v/>
      </c>
    </row>
    <row r="236" spans="17:22" x14ac:dyDescent="0.15">
      <c r="Q236" s="75" t="str">
        <f t="shared" si="9"/>
        <v/>
      </c>
      <c r="T236" s="62" t="str">
        <f t="shared" si="10"/>
        <v/>
      </c>
      <c r="V236" s="62" t="str">
        <f t="shared" si="11"/>
        <v/>
      </c>
    </row>
    <row r="237" spans="17:22" x14ac:dyDescent="0.15">
      <c r="Q237" s="75" t="str">
        <f t="shared" si="9"/>
        <v/>
      </c>
      <c r="T237" s="62" t="str">
        <f t="shared" si="10"/>
        <v/>
      </c>
      <c r="V237" s="62" t="str">
        <f t="shared" si="11"/>
        <v/>
      </c>
    </row>
    <row r="238" spans="17:22" x14ac:dyDescent="0.15">
      <c r="Q238" s="75" t="str">
        <f t="shared" si="9"/>
        <v/>
      </c>
      <c r="T238" s="62" t="str">
        <f t="shared" si="10"/>
        <v/>
      </c>
      <c r="V238" s="62" t="str">
        <f t="shared" si="11"/>
        <v/>
      </c>
    </row>
    <row r="239" spans="17:22" x14ac:dyDescent="0.15">
      <c r="Q239" s="75" t="str">
        <f t="shared" si="9"/>
        <v/>
      </c>
      <c r="T239" s="62" t="str">
        <f t="shared" si="10"/>
        <v/>
      </c>
      <c r="V239" s="62" t="str">
        <f t="shared" si="11"/>
        <v/>
      </c>
    </row>
    <row r="240" spans="17:22" x14ac:dyDescent="0.15">
      <c r="Q240" s="75" t="str">
        <f t="shared" si="9"/>
        <v/>
      </c>
      <c r="T240" s="62" t="str">
        <f t="shared" si="10"/>
        <v/>
      </c>
      <c r="V240" s="62" t="str">
        <f t="shared" si="11"/>
        <v/>
      </c>
    </row>
    <row r="241" spans="17:22" x14ac:dyDescent="0.15">
      <c r="Q241" s="75" t="str">
        <f t="shared" si="9"/>
        <v/>
      </c>
      <c r="T241" s="62" t="str">
        <f t="shared" si="10"/>
        <v/>
      </c>
      <c r="V241" s="62" t="str">
        <f t="shared" si="11"/>
        <v/>
      </c>
    </row>
    <row r="242" spans="17:22" x14ac:dyDescent="0.15">
      <c r="Q242" s="75" t="str">
        <f t="shared" si="9"/>
        <v/>
      </c>
      <c r="T242" s="62" t="str">
        <f t="shared" si="10"/>
        <v/>
      </c>
      <c r="V242" s="62" t="str">
        <f t="shared" si="11"/>
        <v/>
      </c>
    </row>
    <row r="243" spans="17:22" x14ac:dyDescent="0.15">
      <c r="Q243" s="75" t="str">
        <f t="shared" si="9"/>
        <v/>
      </c>
      <c r="T243" s="62" t="str">
        <f t="shared" si="10"/>
        <v/>
      </c>
      <c r="V243" s="62" t="str">
        <f t="shared" si="11"/>
        <v/>
      </c>
    </row>
    <row r="244" spans="17:22" x14ac:dyDescent="0.15">
      <c r="Q244" s="75" t="str">
        <f t="shared" si="9"/>
        <v/>
      </c>
      <c r="T244" s="62" t="str">
        <f t="shared" si="10"/>
        <v/>
      </c>
      <c r="V244" s="62" t="str">
        <f t="shared" si="11"/>
        <v/>
      </c>
    </row>
    <row r="245" spans="17:22" x14ac:dyDescent="0.15">
      <c r="Q245" s="75" t="str">
        <f t="shared" si="9"/>
        <v/>
      </c>
      <c r="T245" s="62" t="str">
        <f t="shared" si="10"/>
        <v/>
      </c>
      <c r="V245" s="62" t="str">
        <f t="shared" si="11"/>
        <v/>
      </c>
    </row>
    <row r="246" spans="17:22" x14ac:dyDescent="0.15">
      <c r="Q246" s="75" t="str">
        <f t="shared" si="9"/>
        <v/>
      </c>
      <c r="T246" s="62" t="str">
        <f t="shared" si="10"/>
        <v/>
      </c>
      <c r="V246" s="62" t="str">
        <f t="shared" si="11"/>
        <v/>
      </c>
    </row>
    <row r="247" spans="17:22" x14ac:dyDescent="0.15">
      <c r="Q247" s="75" t="str">
        <f t="shared" si="9"/>
        <v/>
      </c>
      <c r="T247" s="62" t="str">
        <f t="shared" si="10"/>
        <v/>
      </c>
      <c r="V247" s="62" t="str">
        <f t="shared" si="11"/>
        <v/>
      </c>
    </row>
    <row r="248" spans="17:22" x14ac:dyDescent="0.15">
      <c r="Q248" s="75" t="str">
        <f t="shared" si="9"/>
        <v/>
      </c>
      <c r="T248" s="62" t="str">
        <f t="shared" si="10"/>
        <v/>
      </c>
      <c r="V248" s="62" t="str">
        <f t="shared" si="11"/>
        <v/>
      </c>
    </row>
    <row r="249" spans="17:22" x14ac:dyDescent="0.15">
      <c r="Q249" s="75" t="str">
        <f t="shared" si="9"/>
        <v/>
      </c>
      <c r="T249" s="62" t="str">
        <f t="shared" si="10"/>
        <v/>
      </c>
      <c r="V249" s="62" t="str">
        <f t="shared" si="11"/>
        <v/>
      </c>
    </row>
    <row r="250" spans="17:22" x14ac:dyDescent="0.15">
      <c r="Q250" s="75" t="str">
        <f t="shared" si="9"/>
        <v/>
      </c>
      <c r="T250" s="62" t="str">
        <f t="shared" si="10"/>
        <v/>
      </c>
      <c r="V250" s="62" t="str">
        <f t="shared" si="11"/>
        <v/>
      </c>
    </row>
    <row r="251" spans="17:22" x14ac:dyDescent="0.15">
      <c r="Q251" s="75" t="str">
        <f t="shared" si="9"/>
        <v/>
      </c>
      <c r="T251" s="62" t="str">
        <f t="shared" si="10"/>
        <v/>
      </c>
      <c r="V251" s="62" t="str">
        <f t="shared" si="11"/>
        <v/>
      </c>
    </row>
    <row r="252" spans="17:22" x14ac:dyDescent="0.15">
      <c r="Q252" s="75" t="str">
        <f t="shared" si="9"/>
        <v/>
      </c>
      <c r="T252" s="62" t="str">
        <f t="shared" si="10"/>
        <v/>
      </c>
      <c r="V252" s="62" t="str">
        <f t="shared" si="11"/>
        <v/>
      </c>
    </row>
    <row r="253" spans="17:22" x14ac:dyDescent="0.15">
      <c r="Q253" s="75" t="str">
        <f t="shared" si="9"/>
        <v/>
      </c>
      <c r="T253" s="62" t="str">
        <f t="shared" si="10"/>
        <v/>
      </c>
      <c r="V253" s="62" t="str">
        <f t="shared" si="11"/>
        <v/>
      </c>
    </row>
    <row r="254" spans="17:22" x14ac:dyDescent="0.15">
      <c r="Q254" s="75" t="str">
        <f t="shared" si="9"/>
        <v/>
      </c>
      <c r="T254" s="62" t="str">
        <f t="shared" si="10"/>
        <v/>
      </c>
      <c r="V254" s="62" t="str">
        <f t="shared" si="11"/>
        <v/>
      </c>
    </row>
    <row r="255" spans="17:22" x14ac:dyDescent="0.15">
      <c r="Q255" s="75" t="str">
        <f t="shared" si="9"/>
        <v/>
      </c>
      <c r="T255" s="62" t="str">
        <f t="shared" si="10"/>
        <v/>
      </c>
      <c r="V255" s="62" t="str">
        <f t="shared" si="11"/>
        <v/>
      </c>
    </row>
    <row r="256" spans="17:22" x14ac:dyDescent="0.15">
      <c r="Q256" s="75" t="str">
        <f t="shared" si="9"/>
        <v/>
      </c>
      <c r="T256" s="62" t="str">
        <f t="shared" si="10"/>
        <v/>
      </c>
      <c r="V256" s="62" t="str">
        <f t="shared" si="11"/>
        <v/>
      </c>
    </row>
    <row r="257" spans="17:22" x14ac:dyDescent="0.15">
      <c r="Q257" s="75" t="str">
        <f t="shared" si="9"/>
        <v/>
      </c>
      <c r="T257" s="62" t="str">
        <f t="shared" si="10"/>
        <v/>
      </c>
      <c r="V257" s="62" t="str">
        <f t="shared" si="11"/>
        <v/>
      </c>
    </row>
    <row r="258" spans="17:22" x14ac:dyDescent="0.15">
      <c r="Q258" s="75" t="str">
        <f t="shared" ref="Q258:Q321" si="12">IF(OR(O258="",P258=""),"",AVERAGE(O258,P258))</f>
        <v/>
      </c>
      <c r="T258" s="62" t="str">
        <f t="shared" ref="T258:T321" si="13">IF(H258="","",IF(OR(H258="GREEN",H258="GK"),IF(S258&gt;=$AX$2,VLOOKUP(S258,$AX$2:$AY$10,2,1),""),IF(S258&gt;=$AZ$2,VLOOKUP(S258,$AZ$2:$BA$10,2,1),"")))</f>
        <v/>
      </c>
      <c r="V258" s="62" t="str">
        <f t="shared" ref="V258:V321" si="14">IF(OR(N258="",U258="",T258=""),"",U258/N258*T258)</f>
        <v/>
      </c>
    </row>
    <row r="259" spans="17:22" x14ac:dyDescent="0.15">
      <c r="Q259" s="75" t="str">
        <f t="shared" si="12"/>
        <v/>
      </c>
      <c r="T259" s="62" t="str">
        <f t="shared" si="13"/>
        <v/>
      </c>
      <c r="V259" s="62" t="str">
        <f t="shared" si="14"/>
        <v/>
      </c>
    </row>
    <row r="260" spans="17:22" x14ac:dyDescent="0.15">
      <c r="Q260" s="75" t="str">
        <f t="shared" si="12"/>
        <v/>
      </c>
      <c r="T260" s="62" t="str">
        <f t="shared" si="13"/>
        <v/>
      </c>
      <c r="V260" s="62" t="str">
        <f t="shared" si="14"/>
        <v/>
      </c>
    </row>
    <row r="261" spans="17:22" x14ac:dyDescent="0.15">
      <c r="Q261" s="75" t="str">
        <f t="shared" si="12"/>
        <v/>
      </c>
      <c r="T261" s="62" t="str">
        <f t="shared" si="13"/>
        <v/>
      </c>
      <c r="V261" s="62" t="str">
        <f t="shared" si="14"/>
        <v/>
      </c>
    </row>
    <row r="262" spans="17:22" x14ac:dyDescent="0.15">
      <c r="Q262" s="75" t="str">
        <f t="shared" si="12"/>
        <v/>
      </c>
      <c r="T262" s="62" t="str">
        <f t="shared" si="13"/>
        <v/>
      </c>
      <c r="V262" s="62" t="str">
        <f t="shared" si="14"/>
        <v/>
      </c>
    </row>
    <row r="263" spans="17:22" x14ac:dyDescent="0.15">
      <c r="Q263" s="75" t="str">
        <f t="shared" si="12"/>
        <v/>
      </c>
      <c r="T263" s="62" t="str">
        <f t="shared" si="13"/>
        <v/>
      </c>
      <c r="V263" s="62" t="str">
        <f t="shared" si="14"/>
        <v/>
      </c>
    </row>
    <row r="264" spans="17:22" x14ac:dyDescent="0.15">
      <c r="Q264" s="75" t="str">
        <f t="shared" si="12"/>
        <v/>
      </c>
      <c r="T264" s="62" t="str">
        <f t="shared" si="13"/>
        <v/>
      </c>
      <c r="V264" s="62" t="str">
        <f t="shared" si="14"/>
        <v/>
      </c>
    </row>
    <row r="265" spans="17:22" x14ac:dyDescent="0.15">
      <c r="Q265" s="75" t="str">
        <f t="shared" si="12"/>
        <v/>
      </c>
      <c r="T265" s="62" t="str">
        <f t="shared" si="13"/>
        <v/>
      </c>
      <c r="V265" s="62" t="str">
        <f t="shared" si="14"/>
        <v/>
      </c>
    </row>
    <row r="266" spans="17:22" x14ac:dyDescent="0.15">
      <c r="Q266" s="75" t="str">
        <f t="shared" si="12"/>
        <v/>
      </c>
      <c r="T266" s="62" t="str">
        <f t="shared" si="13"/>
        <v/>
      </c>
      <c r="V266" s="62" t="str">
        <f t="shared" si="14"/>
        <v/>
      </c>
    </row>
    <row r="267" spans="17:22" x14ac:dyDescent="0.15">
      <c r="Q267" s="75" t="str">
        <f t="shared" si="12"/>
        <v/>
      </c>
      <c r="T267" s="62" t="str">
        <f t="shared" si="13"/>
        <v/>
      </c>
      <c r="V267" s="62" t="str">
        <f t="shared" si="14"/>
        <v/>
      </c>
    </row>
    <row r="268" spans="17:22" x14ac:dyDescent="0.15">
      <c r="Q268" s="75" t="str">
        <f t="shared" si="12"/>
        <v/>
      </c>
      <c r="T268" s="62" t="str">
        <f t="shared" si="13"/>
        <v/>
      </c>
      <c r="V268" s="62" t="str">
        <f t="shared" si="14"/>
        <v/>
      </c>
    </row>
    <row r="269" spans="17:22" x14ac:dyDescent="0.15">
      <c r="Q269" s="75" t="str">
        <f t="shared" si="12"/>
        <v/>
      </c>
      <c r="T269" s="62" t="str">
        <f t="shared" si="13"/>
        <v/>
      </c>
      <c r="V269" s="62" t="str">
        <f t="shared" si="14"/>
        <v/>
      </c>
    </row>
    <row r="270" spans="17:22" x14ac:dyDescent="0.15">
      <c r="Q270" s="75" t="str">
        <f t="shared" si="12"/>
        <v/>
      </c>
      <c r="T270" s="62" t="str">
        <f t="shared" si="13"/>
        <v/>
      </c>
      <c r="V270" s="62" t="str">
        <f t="shared" si="14"/>
        <v/>
      </c>
    </row>
    <row r="271" spans="17:22" x14ac:dyDescent="0.15">
      <c r="Q271" s="75" t="str">
        <f t="shared" si="12"/>
        <v/>
      </c>
      <c r="T271" s="62" t="str">
        <f t="shared" si="13"/>
        <v/>
      </c>
      <c r="V271" s="62" t="str">
        <f t="shared" si="14"/>
        <v/>
      </c>
    </row>
    <row r="272" spans="17:22" x14ac:dyDescent="0.15">
      <c r="Q272" s="75" t="str">
        <f t="shared" si="12"/>
        <v/>
      </c>
      <c r="T272" s="62" t="str">
        <f t="shared" si="13"/>
        <v/>
      </c>
      <c r="V272" s="62" t="str">
        <f t="shared" si="14"/>
        <v/>
      </c>
    </row>
    <row r="273" spans="17:22" x14ac:dyDescent="0.15">
      <c r="Q273" s="75" t="str">
        <f t="shared" si="12"/>
        <v/>
      </c>
      <c r="T273" s="62" t="str">
        <f t="shared" si="13"/>
        <v/>
      </c>
      <c r="V273" s="62" t="str">
        <f t="shared" si="14"/>
        <v/>
      </c>
    </row>
    <row r="274" spans="17:22" x14ac:dyDescent="0.15">
      <c r="Q274" s="75" t="str">
        <f t="shared" si="12"/>
        <v/>
      </c>
      <c r="T274" s="62" t="str">
        <f t="shared" si="13"/>
        <v/>
      </c>
      <c r="V274" s="62" t="str">
        <f t="shared" si="14"/>
        <v/>
      </c>
    </row>
    <row r="275" spans="17:22" x14ac:dyDescent="0.15">
      <c r="Q275" s="75" t="str">
        <f t="shared" si="12"/>
        <v/>
      </c>
      <c r="T275" s="62" t="str">
        <f t="shared" si="13"/>
        <v/>
      </c>
      <c r="V275" s="62" t="str">
        <f t="shared" si="14"/>
        <v/>
      </c>
    </row>
    <row r="276" spans="17:22" x14ac:dyDescent="0.15">
      <c r="Q276" s="75" t="str">
        <f t="shared" si="12"/>
        <v/>
      </c>
      <c r="T276" s="62" t="str">
        <f t="shared" si="13"/>
        <v/>
      </c>
      <c r="V276" s="62" t="str">
        <f t="shared" si="14"/>
        <v/>
      </c>
    </row>
    <row r="277" spans="17:22" x14ac:dyDescent="0.15">
      <c r="Q277" s="75" t="str">
        <f t="shared" si="12"/>
        <v/>
      </c>
      <c r="T277" s="62" t="str">
        <f t="shared" si="13"/>
        <v/>
      </c>
      <c r="V277" s="62" t="str">
        <f t="shared" si="14"/>
        <v/>
      </c>
    </row>
    <row r="278" spans="17:22" x14ac:dyDescent="0.15">
      <c r="Q278" s="75" t="str">
        <f t="shared" si="12"/>
        <v/>
      </c>
      <c r="T278" s="62" t="str">
        <f t="shared" si="13"/>
        <v/>
      </c>
      <c r="V278" s="62" t="str">
        <f t="shared" si="14"/>
        <v/>
      </c>
    </row>
    <row r="279" spans="17:22" x14ac:dyDescent="0.15">
      <c r="Q279" s="75" t="str">
        <f t="shared" si="12"/>
        <v/>
      </c>
      <c r="T279" s="62" t="str">
        <f t="shared" si="13"/>
        <v/>
      </c>
      <c r="V279" s="62" t="str">
        <f t="shared" si="14"/>
        <v/>
      </c>
    </row>
    <row r="280" spans="17:22" x14ac:dyDescent="0.15">
      <c r="Q280" s="75" t="str">
        <f t="shared" si="12"/>
        <v/>
      </c>
      <c r="T280" s="62" t="str">
        <f t="shared" si="13"/>
        <v/>
      </c>
      <c r="V280" s="62" t="str">
        <f t="shared" si="14"/>
        <v/>
      </c>
    </row>
    <row r="281" spans="17:22" x14ac:dyDescent="0.15">
      <c r="Q281" s="75" t="str">
        <f t="shared" si="12"/>
        <v/>
      </c>
      <c r="T281" s="62" t="str">
        <f t="shared" si="13"/>
        <v/>
      </c>
      <c r="V281" s="62" t="str">
        <f t="shared" si="14"/>
        <v/>
      </c>
    </row>
    <row r="282" spans="17:22" x14ac:dyDescent="0.15">
      <c r="Q282" s="75" t="str">
        <f t="shared" si="12"/>
        <v/>
      </c>
      <c r="T282" s="62" t="str">
        <f t="shared" si="13"/>
        <v/>
      </c>
      <c r="V282" s="62" t="str">
        <f t="shared" si="14"/>
        <v/>
      </c>
    </row>
    <row r="283" spans="17:22" x14ac:dyDescent="0.15">
      <c r="Q283" s="75" t="str">
        <f t="shared" si="12"/>
        <v/>
      </c>
      <c r="T283" s="62" t="str">
        <f t="shared" si="13"/>
        <v/>
      </c>
      <c r="V283" s="62" t="str">
        <f t="shared" si="14"/>
        <v/>
      </c>
    </row>
    <row r="284" spans="17:22" x14ac:dyDescent="0.15">
      <c r="Q284" s="75" t="str">
        <f t="shared" si="12"/>
        <v/>
      </c>
      <c r="T284" s="62" t="str">
        <f t="shared" si="13"/>
        <v/>
      </c>
      <c r="V284" s="62" t="str">
        <f t="shared" si="14"/>
        <v/>
      </c>
    </row>
    <row r="285" spans="17:22" x14ac:dyDescent="0.15">
      <c r="Q285" s="75" t="str">
        <f t="shared" si="12"/>
        <v/>
      </c>
      <c r="T285" s="62" t="str">
        <f t="shared" si="13"/>
        <v/>
      </c>
      <c r="V285" s="62" t="str">
        <f t="shared" si="14"/>
        <v/>
      </c>
    </row>
    <row r="286" spans="17:22" x14ac:dyDescent="0.15">
      <c r="Q286" s="75" t="str">
        <f t="shared" si="12"/>
        <v/>
      </c>
      <c r="T286" s="62" t="str">
        <f t="shared" si="13"/>
        <v/>
      </c>
      <c r="V286" s="62" t="str">
        <f t="shared" si="14"/>
        <v/>
      </c>
    </row>
    <row r="287" spans="17:22" x14ac:dyDescent="0.15">
      <c r="Q287" s="75" t="str">
        <f t="shared" si="12"/>
        <v/>
      </c>
      <c r="T287" s="62" t="str">
        <f t="shared" si="13"/>
        <v/>
      </c>
      <c r="V287" s="62" t="str">
        <f t="shared" si="14"/>
        <v/>
      </c>
    </row>
    <row r="288" spans="17:22" x14ac:dyDescent="0.15">
      <c r="Q288" s="75" t="str">
        <f t="shared" si="12"/>
        <v/>
      </c>
      <c r="T288" s="62" t="str">
        <f t="shared" si="13"/>
        <v/>
      </c>
      <c r="V288" s="62" t="str">
        <f t="shared" si="14"/>
        <v/>
      </c>
    </row>
    <row r="289" spans="17:22" x14ac:dyDescent="0.15">
      <c r="Q289" s="75" t="str">
        <f t="shared" si="12"/>
        <v/>
      </c>
      <c r="T289" s="62" t="str">
        <f t="shared" si="13"/>
        <v/>
      </c>
      <c r="V289" s="62" t="str">
        <f t="shared" si="14"/>
        <v/>
      </c>
    </row>
    <row r="290" spans="17:22" x14ac:dyDescent="0.15">
      <c r="Q290" s="75" t="str">
        <f t="shared" si="12"/>
        <v/>
      </c>
      <c r="T290" s="62" t="str">
        <f t="shared" si="13"/>
        <v/>
      </c>
      <c r="V290" s="62" t="str">
        <f t="shared" si="14"/>
        <v/>
      </c>
    </row>
    <row r="291" spans="17:22" x14ac:dyDescent="0.15">
      <c r="Q291" s="75" t="str">
        <f t="shared" si="12"/>
        <v/>
      </c>
      <c r="T291" s="62" t="str">
        <f t="shared" si="13"/>
        <v/>
      </c>
      <c r="V291" s="62" t="str">
        <f t="shared" si="14"/>
        <v/>
      </c>
    </row>
    <row r="292" spans="17:22" x14ac:dyDescent="0.15">
      <c r="Q292" s="75" t="str">
        <f t="shared" si="12"/>
        <v/>
      </c>
      <c r="T292" s="62" t="str">
        <f t="shared" si="13"/>
        <v/>
      </c>
      <c r="V292" s="62" t="str">
        <f t="shared" si="14"/>
        <v/>
      </c>
    </row>
    <row r="293" spans="17:22" x14ac:dyDescent="0.15">
      <c r="Q293" s="75" t="str">
        <f t="shared" si="12"/>
        <v/>
      </c>
      <c r="T293" s="62" t="str">
        <f t="shared" si="13"/>
        <v/>
      </c>
      <c r="V293" s="62" t="str">
        <f t="shared" si="14"/>
        <v/>
      </c>
    </row>
    <row r="294" spans="17:22" x14ac:dyDescent="0.15">
      <c r="Q294" s="75" t="str">
        <f t="shared" si="12"/>
        <v/>
      </c>
      <c r="T294" s="62" t="str">
        <f t="shared" si="13"/>
        <v/>
      </c>
      <c r="V294" s="62" t="str">
        <f t="shared" si="14"/>
        <v/>
      </c>
    </row>
    <row r="295" spans="17:22" x14ac:dyDescent="0.15">
      <c r="Q295" s="75" t="str">
        <f t="shared" si="12"/>
        <v/>
      </c>
      <c r="T295" s="62" t="str">
        <f t="shared" si="13"/>
        <v/>
      </c>
      <c r="V295" s="62" t="str">
        <f t="shared" si="14"/>
        <v/>
      </c>
    </row>
    <row r="296" spans="17:22" x14ac:dyDescent="0.15">
      <c r="Q296" s="75" t="str">
        <f t="shared" si="12"/>
        <v/>
      </c>
      <c r="T296" s="62" t="str">
        <f t="shared" si="13"/>
        <v/>
      </c>
      <c r="V296" s="62" t="str">
        <f t="shared" si="14"/>
        <v/>
      </c>
    </row>
    <row r="297" spans="17:22" x14ac:dyDescent="0.15">
      <c r="Q297" s="75" t="str">
        <f t="shared" si="12"/>
        <v/>
      </c>
      <c r="T297" s="62" t="str">
        <f t="shared" si="13"/>
        <v/>
      </c>
      <c r="V297" s="62" t="str">
        <f t="shared" si="14"/>
        <v/>
      </c>
    </row>
    <row r="298" spans="17:22" x14ac:dyDescent="0.15">
      <c r="Q298" s="75" t="str">
        <f t="shared" si="12"/>
        <v/>
      </c>
      <c r="T298" s="62" t="str">
        <f t="shared" si="13"/>
        <v/>
      </c>
      <c r="V298" s="62" t="str">
        <f t="shared" si="14"/>
        <v/>
      </c>
    </row>
    <row r="299" spans="17:22" x14ac:dyDescent="0.15">
      <c r="Q299" s="75" t="str">
        <f t="shared" si="12"/>
        <v/>
      </c>
      <c r="T299" s="62" t="str">
        <f t="shared" si="13"/>
        <v/>
      </c>
      <c r="V299" s="62" t="str">
        <f t="shared" si="14"/>
        <v/>
      </c>
    </row>
    <row r="300" spans="17:22" x14ac:dyDescent="0.15">
      <c r="Q300" s="75" t="str">
        <f t="shared" si="12"/>
        <v/>
      </c>
      <c r="T300" s="62" t="str">
        <f t="shared" si="13"/>
        <v/>
      </c>
      <c r="V300" s="62" t="str">
        <f t="shared" si="14"/>
        <v/>
      </c>
    </row>
    <row r="301" spans="17:22" x14ac:dyDescent="0.15">
      <c r="Q301" s="75" t="str">
        <f t="shared" si="12"/>
        <v/>
      </c>
      <c r="T301" s="62" t="str">
        <f t="shared" si="13"/>
        <v/>
      </c>
      <c r="V301" s="62" t="str">
        <f t="shared" si="14"/>
        <v/>
      </c>
    </row>
    <row r="302" spans="17:22" x14ac:dyDescent="0.15">
      <c r="Q302" s="75" t="str">
        <f t="shared" si="12"/>
        <v/>
      </c>
      <c r="T302" s="62" t="str">
        <f t="shared" si="13"/>
        <v/>
      </c>
      <c r="V302" s="62" t="str">
        <f t="shared" si="14"/>
        <v/>
      </c>
    </row>
    <row r="303" spans="17:22" x14ac:dyDescent="0.15">
      <c r="Q303" s="75" t="str">
        <f t="shared" si="12"/>
        <v/>
      </c>
      <c r="T303" s="62" t="str">
        <f t="shared" si="13"/>
        <v/>
      </c>
      <c r="V303" s="62" t="str">
        <f t="shared" si="14"/>
        <v/>
      </c>
    </row>
    <row r="304" spans="17:22" x14ac:dyDescent="0.15">
      <c r="Q304" s="75" t="str">
        <f t="shared" si="12"/>
        <v/>
      </c>
      <c r="T304" s="62" t="str">
        <f t="shared" si="13"/>
        <v/>
      </c>
      <c r="V304" s="62" t="str">
        <f t="shared" si="14"/>
        <v/>
      </c>
    </row>
    <row r="305" spans="17:22" x14ac:dyDescent="0.15">
      <c r="Q305" s="75" t="str">
        <f t="shared" si="12"/>
        <v/>
      </c>
      <c r="T305" s="62" t="str">
        <f t="shared" si="13"/>
        <v/>
      </c>
      <c r="V305" s="62" t="str">
        <f t="shared" si="14"/>
        <v/>
      </c>
    </row>
    <row r="306" spans="17:22" x14ac:dyDescent="0.15">
      <c r="Q306" s="75" t="str">
        <f t="shared" si="12"/>
        <v/>
      </c>
      <c r="T306" s="62" t="str">
        <f t="shared" si="13"/>
        <v/>
      </c>
      <c r="V306" s="62" t="str">
        <f t="shared" si="14"/>
        <v/>
      </c>
    </row>
    <row r="307" spans="17:22" x14ac:dyDescent="0.15">
      <c r="Q307" s="75" t="str">
        <f t="shared" si="12"/>
        <v/>
      </c>
      <c r="T307" s="62" t="str">
        <f t="shared" si="13"/>
        <v/>
      </c>
      <c r="V307" s="62" t="str">
        <f t="shared" si="14"/>
        <v/>
      </c>
    </row>
    <row r="308" spans="17:22" x14ac:dyDescent="0.15">
      <c r="Q308" s="75" t="str">
        <f t="shared" si="12"/>
        <v/>
      </c>
      <c r="T308" s="62" t="str">
        <f t="shared" si="13"/>
        <v/>
      </c>
      <c r="V308" s="62" t="str">
        <f t="shared" si="14"/>
        <v/>
      </c>
    </row>
    <row r="309" spans="17:22" x14ac:dyDescent="0.15">
      <c r="Q309" s="75" t="str">
        <f t="shared" si="12"/>
        <v/>
      </c>
      <c r="T309" s="62" t="str">
        <f t="shared" si="13"/>
        <v/>
      </c>
      <c r="V309" s="62" t="str">
        <f t="shared" si="14"/>
        <v/>
      </c>
    </row>
    <row r="310" spans="17:22" x14ac:dyDescent="0.15">
      <c r="Q310" s="75" t="str">
        <f t="shared" si="12"/>
        <v/>
      </c>
      <c r="T310" s="62" t="str">
        <f t="shared" si="13"/>
        <v/>
      </c>
      <c r="V310" s="62" t="str">
        <f t="shared" si="14"/>
        <v/>
      </c>
    </row>
    <row r="311" spans="17:22" x14ac:dyDescent="0.15">
      <c r="Q311" s="75" t="str">
        <f t="shared" si="12"/>
        <v/>
      </c>
      <c r="T311" s="62" t="str">
        <f t="shared" si="13"/>
        <v/>
      </c>
      <c r="V311" s="62" t="str">
        <f t="shared" si="14"/>
        <v/>
      </c>
    </row>
    <row r="312" spans="17:22" x14ac:dyDescent="0.15">
      <c r="Q312" s="75" t="str">
        <f t="shared" si="12"/>
        <v/>
      </c>
      <c r="T312" s="62" t="str">
        <f t="shared" si="13"/>
        <v/>
      </c>
      <c r="V312" s="62" t="str">
        <f t="shared" si="14"/>
        <v/>
      </c>
    </row>
    <row r="313" spans="17:22" x14ac:dyDescent="0.15">
      <c r="Q313" s="75" t="str">
        <f t="shared" si="12"/>
        <v/>
      </c>
      <c r="T313" s="62" t="str">
        <f t="shared" si="13"/>
        <v/>
      </c>
      <c r="V313" s="62" t="str">
        <f t="shared" si="14"/>
        <v/>
      </c>
    </row>
    <row r="314" spans="17:22" x14ac:dyDescent="0.15">
      <c r="Q314" s="75" t="str">
        <f t="shared" si="12"/>
        <v/>
      </c>
      <c r="T314" s="62" t="str">
        <f t="shared" si="13"/>
        <v/>
      </c>
      <c r="V314" s="62" t="str">
        <f t="shared" si="14"/>
        <v/>
      </c>
    </row>
    <row r="315" spans="17:22" x14ac:dyDescent="0.15">
      <c r="Q315" s="75" t="str">
        <f t="shared" si="12"/>
        <v/>
      </c>
      <c r="T315" s="62" t="str">
        <f t="shared" si="13"/>
        <v/>
      </c>
      <c r="V315" s="62" t="str">
        <f t="shared" si="14"/>
        <v/>
      </c>
    </row>
    <row r="316" spans="17:22" x14ac:dyDescent="0.15">
      <c r="Q316" s="75" t="str">
        <f t="shared" si="12"/>
        <v/>
      </c>
      <c r="T316" s="62" t="str">
        <f t="shared" si="13"/>
        <v/>
      </c>
      <c r="V316" s="62" t="str">
        <f t="shared" si="14"/>
        <v/>
      </c>
    </row>
    <row r="317" spans="17:22" x14ac:dyDescent="0.15">
      <c r="Q317" s="75" t="str">
        <f t="shared" si="12"/>
        <v/>
      </c>
      <c r="T317" s="62" t="str">
        <f t="shared" si="13"/>
        <v/>
      </c>
      <c r="V317" s="62" t="str">
        <f t="shared" si="14"/>
        <v/>
      </c>
    </row>
    <row r="318" spans="17:22" x14ac:dyDescent="0.15">
      <c r="Q318" s="75" t="str">
        <f t="shared" si="12"/>
        <v/>
      </c>
      <c r="T318" s="62" t="str">
        <f t="shared" si="13"/>
        <v/>
      </c>
      <c r="V318" s="62" t="str">
        <f t="shared" si="14"/>
        <v/>
      </c>
    </row>
    <row r="319" spans="17:22" x14ac:dyDescent="0.15">
      <c r="Q319" s="75" t="str">
        <f t="shared" si="12"/>
        <v/>
      </c>
      <c r="T319" s="62" t="str">
        <f t="shared" si="13"/>
        <v/>
      </c>
      <c r="V319" s="62" t="str">
        <f t="shared" si="14"/>
        <v/>
      </c>
    </row>
    <row r="320" spans="17:22" x14ac:dyDescent="0.15">
      <c r="Q320" s="75" t="str">
        <f t="shared" si="12"/>
        <v/>
      </c>
      <c r="T320" s="62" t="str">
        <f t="shared" si="13"/>
        <v/>
      </c>
      <c r="V320" s="62" t="str">
        <f t="shared" si="14"/>
        <v/>
      </c>
    </row>
    <row r="321" spans="17:22" x14ac:dyDescent="0.15">
      <c r="Q321" s="75" t="str">
        <f t="shared" si="12"/>
        <v/>
      </c>
      <c r="T321" s="62" t="str">
        <f t="shared" si="13"/>
        <v/>
      </c>
      <c r="V321" s="62" t="str">
        <f t="shared" si="14"/>
        <v/>
      </c>
    </row>
    <row r="322" spans="17:22" x14ac:dyDescent="0.15">
      <c r="Q322" s="75" t="str">
        <f t="shared" ref="Q322:Q371" si="15">IF(OR(O322="",P322=""),"",AVERAGE(O322,P322))</f>
        <v/>
      </c>
      <c r="T322" s="62" t="str">
        <f t="shared" ref="T322:T385" si="16">IF(H322="","",IF(OR(H322="GREEN",H322="GK"),IF(S322&gt;=$AX$2,VLOOKUP(S322,$AX$2:$AY$10,2,1),""),IF(S322&gt;=$AZ$2,VLOOKUP(S322,$AZ$2:$BA$10,2,1),"")))</f>
        <v/>
      </c>
      <c r="V322" s="62" t="str">
        <f t="shared" ref="V322:V379" si="17">IF(OR(N322="",U322="",T322=""),"",U322/N322*T322)</f>
        <v/>
      </c>
    </row>
    <row r="323" spans="17:22" x14ac:dyDescent="0.15">
      <c r="Q323" s="75" t="str">
        <f t="shared" si="15"/>
        <v/>
      </c>
      <c r="T323" s="62" t="str">
        <f t="shared" si="16"/>
        <v/>
      </c>
      <c r="V323" s="62" t="str">
        <f t="shared" si="17"/>
        <v/>
      </c>
    </row>
    <row r="324" spans="17:22" x14ac:dyDescent="0.15">
      <c r="Q324" s="75" t="str">
        <f t="shared" si="15"/>
        <v/>
      </c>
      <c r="T324" s="62" t="str">
        <f t="shared" si="16"/>
        <v/>
      </c>
      <c r="V324" s="62" t="str">
        <f t="shared" si="17"/>
        <v/>
      </c>
    </row>
    <row r="325" spans="17:22" x14ac:dyDescent="0.15">
      <c r="Q325" s="75" t="str">
        <f t="shared" si="15"/>
        <v/>
      </c>
      <c r="T325" s="62" t="str">
        <f t="shared" si="16"/>
        <v/>
      </c>
      <c r="V325" s="62" t="str">
        <f t="shared" si="17"/>
        <v/>
      </c>
    </row>
    <row r="326" spans="17:22" x14ac:dyDescent="0.15">
      <c r="Q326" s="75" t="str">
        <f t="shared" si="15"/>
        <v/>
      </c>
      <c r="T326" s="62" t="str">
        <f t="shared" si="16"/>
        <v/>
      </c>
      <c r="V326" s="62" t="str">
        <f t="shared" si="17"/>
        <v/>
      </c>
    </row>
    <row r="327" spans="17:22" x14ac:dyDescent="0.15">
      <c r="Q327" s="75" t="str">
        <f t="shared" si="15"/>
        <v/>
      </c>
      <c r="T327" s="62" t="str">
        <f t="shared" si="16"/>
        <v/>
      </c>
      <c r="V327" s="62" t="str">
        <f t="shared" si="17"/>
        <v/>
      </c>
    </row>
    <row r="328" spans="17:22" x14ac:dyDescent="0.15">
      <c r="Q328" s="75" t="str">
        <f t="shared" si="15"/>
        <v/>
      </c>
      <c r="T328" s="62" t="str">
        <f t="shared" si="16"/>
        <v/>
      </c>
      <c r="V328" s="62" t="str">
        <f t="shared" si="17"/>
        <v/>
      </c>
    </row>
    <row r="329" spans="17:22" x14ac:dyDescent="0.15">
      <c r="Q329" s="75" t="str">
        <f t="shared" si="15"/>
        <v/>
      </c>
      <c r="T329" s="62" t="str">
        <f t="shared" si="16"/>
        <v/>
      </c>
      <c r="V329" s="62" t="str">
        <f t="shared" si="17"/>
        <v/>
      </c>
    </row>
    <row r="330" spans="17:22" x14ac:dyDescent="0.15">
      <c r="Q330" s="75" t="str">
        <f t="shared" si="15"/>
        <v/>
      </c>
      <c r="T330" s="62" t="str">
        <f t="shared" si="16"/>
        <v/>
      </c>
      <c r="V330" s="62" t="str">
        <f t="shared" si="17"/>
        <v/>
      </c>
    </row>
    <row r="331" spans="17:22" x14ac:dyDescent="0.15">
      <c r="Q331" s="75" t="str">
        <f t="shared" si="15"/>
        <v/>
      </c>
      <c r="T331" s="62" t="str">
        <f t="shared" si="16"/>
        <v/>
      </c>
      <c r="V331" s="62" t="str">
        <f t="shared" si="17"/>
        <v/>
      </c>
    </row>
    <row r="332" spans="17:22" x14ac:dyDescent="0.15">
      <c r="Q332" s="75" t="str">
        <f t="shared" si="15"/>
        <v/>
      </c>
      <c r="T332" s="62" t="str">
        <f t="shared" si="16"/>
        <v/>
      </c>
      <c r="V332" s="62" t="str">
        <f t="shared" si="17"/>
        <v/>
      </c>
    </row>
    <row r="333" spans="17:22" x14ac:dyDescent="0.15">
      <c r="Q333" s="75" t="str">
        <f t="shared" si="15"/>
        <v/>
      </c>
      <c r="T333" s="62" t="str">
        <f t="shared" si="16"/>
        <v/>
      </c>
      <c r="V333" s="62" t="str">
        <f t="shared" si="17"/>
        <v/>
      </c>
    </row>
    <row r="334" spans="17:22" x14ac:dyDescent="0.15">
      <c r="Q334" s="75" t="str">
        <f t="shared" si="15"/>
        <v/>
      </c>
      <c r="T334" s="62" t="str">
        <f t="shared" si="16"/>
        <v/>
      </c>
      <c r="V334" s="62" t="str">
        <f t="shared" si="17"/>
        <v/>
      </c>
    </row>
    <row r="335" spans="17:22" x14ac:dyDescent="0.15">
      <c r="Q335" s="75" t="str">
        <f t="shared" si="15"/>
        <v/>
      </c>
      <c r="T335" s="62" t="str">
        <f t="shared" si="16"/>
        <v/>
      </c>
      <c r="V335" s="62" t="str">
        <f t="shared" si="17"/>
        <v/>
      </c>
    </row>
    <row r="336" spans="17:22" x14ac:dyDescent="0.15">
      <c r="Q336" s="75" t="str">
        <f t="shared" si="15"/>
        <v/>
      </c>
      <c r="T336" s="62" t="str">
        <f t="shared" si="16"/>
        <v/>
      </c>
      <c r="V336" s="62" t="str">
        <f t="shared" si="17"/>
        <v/>
      </c>
    </row>
    <row r="337" spans="17:22" x14ac:dyDescent="0.15">
      <c r="Q337" s="75" t="str">
        <f t="shared" si="15"/>
        <v/>
      </c>
      <c r="T337" s="62" t="str">
        <f t="shared" si="16"/>
        <v/>
      </c>
      <c r="V337" s="62" t="str">
        <f t="shared" si="17"/>
        <v/>
      </c>
    </row>
    <row r="338" spans="17:22" x14ac:dyDescent="0.15">
      <c r="Q338" s="75" t="str">
        <f t="shared" si="15"/>
        <v/>
      </c>
      <c r="T338" s="62" t="str">
        <f t="shared" si="16"/>
        <v/>
      </c>
      <c r="V338" s="62" t="str">
        <f t="shared" si="17"/>
        <v/>
      </c>
    </row>
    <row r="339" spans="17:22" x14ac:dyDescent="0.15">
      <c r="Q339" s="75" t="str">
        <f t="shared" si="15"/>
        <v/>
      </c>
      <c r="T339" s="62" t="str">
        <f t="shared" si="16"/>
        <v/>
      </c>
      <c r="V339" s="62" t="str">
        <f t="shared" si="17"/>
        <v/>
      </c>
    </row>
    <row r="340" spans="17:22" x14ac:dyDescent="0.15">
      <c r="Q340" s="75" t="str">
        <f t="shared" si="15"/>
        <v/>
      </c>
      <c r="T340" s="62" t="str">
        <f t="shared" si="16"/>
        <v/>
      </c>
      <c r="V340" s="62" t="str">
        <f t="shared" si="17"/>
        <v/>
      </c>
    </row>
    <row r="341" spans="17:22" x14ac:dyDescent="0.15">
      <c r="Q341" s="75" t="str">
        <f t="shared" si="15"/>
        <v/>
      </c>
      <c r="T341" s="62" t="str">
        <f t="shared" si="16"/>
        <v/>
      </c>
      <c r="V341" s="62" t="str">
        <f t="shared" si="17"/>
        <v/>
      </c>
    </row>
    <row r="342" spans="17:22" x14ac:dyDescent="0.15">
      <c r="Q342" s="75" t="str">
        <f t="shared" si="15"/>
        <v/>
      </c>
      <c r="T342" s="62" t="str">
        <f t="shared" si="16"/>
        <v/>
      </c>
      <c r="V342" s="62" t="str">
        <f t="shared" si="17"/>
        <v/>
      </c>
    </row>
    <row r="343" spans="17:22" x14ac:dyDescent="0.15">
      <c r="Q343" s="75" t="str">
        <f t="shared" si="15"/>
        <v/>
      </c>
      <c r="T343" s="62" t="str">
        <f t="shared" si="16"/>
        <v/>
      </c>
      <c r="V343" s="62" t="str">
        <f t="shared" si="17"/>
        <v/>
      </c>
    </row>
    <row r="344" spans="17:22" x14ac:dyDescent="0.15">
      <c r="Q344" s="75" t="str">
        <f t="shared" si="15"/>
        <v/>
      </c>
      <c r="T344" s="62" t="str">
        <f t="shared" si="16"/>
        <v/>
      </c>
      <c r="V344" s="62" t="str">
        <f t="shared" si="17"/>
        <v/>
      </c>
    </row>
    <row r="345" spans="17:22" x14ac:dyDescent="0.15">
      <c r="Q345" s="75" t="str">
        <f t="shared" si="15"/>
        <v/>
      </c>
      <c r="T345" s="62" t="str">
        <f t="shared" si="16"/>
        <v/>
      </c>
      <c r="V345" s="62" t="str">
        <f t="shared" si="17"/>
        <v/>
      </c>
    </row>
    <row r="346" spans="17:22" x14ac:dyDescent="0.15">
      <c r="Q346" s="75" t="str">
        <f t="shared" si="15"/>
        <v/>
      </c>
      <c r="T346" s="62" t="str">
        <f t="shared" si="16"/>
        <v/>
      </c>
      <c r="V346" s="62" t="str">
        <f t="shared" si="17"/>
        <v/>
      </c>
    </row>
    <row r="347" spans="17:22" x14ac:dyDescent="0.15">
      <c r="Q347" s="75" t="str">
        <f t="shared" si="15"/>
        <v/>
      </c>
      <c r="T347" s="62" t="str">
        <f t="shared" si="16"/>
        <v/>
      </c>
      <c r="V347" s="62" t="str">
        <f t="shared" si="17"/>
        <v/>
      </c>
    </row>
    <row r="348" spans="17:22" x14ac:dyDescent="0.15">
      <c r="Q348" s="75" t="str">
        <f t="shared" si="15"/>
        <v/>
      </c>
      <c r="T348" s="62" t="str">
        <f t="shared" si="16"/>
        <v/>
      </c>
      <c r="V348" s="62" t="str">
        <f t="shared" si="17"/>
        <v/>
      </c>
    </row>
    <row r="349" spans="17:22" x14ac:dyDescent="0.15">
      <c r="Q349" s="75" t="str">
        <f t="shared" si="15"/>
        <v/>
      </c>
      <c r="T349" s="62" t="str">
        <f t="shared" si="16"/>
        <v/>
      </c>
      <c r="V349" s="62" t="str">
        <f t="shared" si="17"/>
        <v/>
      </c>
    </row>
    <row r="350" spans="17:22" x14ac:dyDescent="0.15">
      <c r="Q350" s="75" t="str">
        <f t="shared" si="15"/>
        <v/>
      </c>
      <c r="T350" s="62" t="str">
        <f t="shared" si="16"/>
        <v/>
      </c>
      <c r="V350" s="62" t="str">
        <f t="shared" si="17"/>
        <v/>
      </c>
    </row>
    <row r="351" spans="17:22" x14ac:dyDescent="0.15">
      <c r="Q351" s="75" t="str">
        <f t="shared" si="15"/>
        <v/>
      </c>
      <c r="T351" s="62" t="str">
        <f t="shared" si="16"/>
        <v/>
      </c>
      <c r="V351" s="62" t="str">
        <f t="shared" si="17"/>
        <v/>
      </c>
    </row>
    <row r="352" spans="17:22" x14ac:dyDescent="0.15">
      <c r="Q352" s="75" t="str">
        <f t="shared" si="15"/>
        <v/>
      </c>
      <c r="T352" s="62" t="str">
        <f t="shared" si="16"/>
        <v/>
      </c>
      <c r="V352" s="62" t="str">
        <f t="shared" si="17"/>
        <v/>
      </c>
    </row>
    <row r="353" spans="17:22" x14ac:dyDescent="0.15">
      <c r="Q353" s="75" t="str">
        <f t="shared" si="15"/>
        <v/>
      </c>
      <c r="T353" s="62" t="str">
        <f t="shared" si="16"/>
        <v/>
      </c>
      <c r="V353" s="62" t="str">
        <f t="shared" si="17"/>
        <v/>
      </c>
    </row>
    <row r="354" spans="17:22" x14ac:dyDescent="0.15">
      <c r="Q354" s="75" t="str">
        <f t="shared" si="15"/>
        <v/>
      </c>
      <c r="T354" s="62" t="str">
        <f t="shared" si="16"/>
        <v/>
      </c>
      <c r="V354" s="62" t="str">
        <f t="shared" si="17"/>
        <v/>
      </c>
    </row>
    <row r="355" spans="17:22" x14ac:dyDescent="0.15">
      <c r="Q355" s="75" t="str">
        <f t="shared" si="15"/>
        <v/>
      </c>
      <c r="T355" s="62" t="str">
        <f t="shared" si="16"/>
        <v/>
      </c>
      <c r="V355" s="62" t="str">
        <f t="shared" si="17"/>
        <v/>
      </c>
    </row>
    <row r="356" spans="17:22" x14ac:dyDescent="0.15">
      <c r="Q356" s="75" t="str">
        <f t="shared" si="15"/>
        <v/>
      </c>
      <c r="T356" s="62" t="str">
        <f t="shared" si="16"/>
        <v/>
      </c>
      <c r="V356" s="62" t="str">
        <f t="shared" si="17"/>
        <v/>
      </c>
    </row>
    <row r="357" spans="17:22" x14ac:dyDescent="0.15">
      <c r="Q357" s="75" t="str">
        <f t="shared" si="15"/>
        <v/>
      </c>
      <c r="T357" s="62" t="str">
        <f t="shared" si="16"/>
        <v/>
      </c>
      <c r="V357" s="62" t="str">
        <f t="shared" si="17"/>
        <v/>
      </c>
    </row>
    <row r="358" spans="17:22" x14ac:dyDescent="0.15">
      <c r="Q358" s="75" t="str">
        <f t="shared" si="15"/>
        <v/>
      </c>
      <c r="T358" s="62" t="str">
        <f t="shared" si="16"/>
        <v/>
      </c>
      <c r="V358" s="62" t="str">
        <f t="shared" si="17"/>
        <v/>
      </c>
    </row>
    <row r="359" spans="17:22" x14ac:dyDescent="0.15">
      <c r="Q359" s="75" t="str">
        <f t="shared" si="15"/>
        <v/>
      </c>
      <c r="T359" s="62" t="str">
        <f t="shared" si="16"/>
        <v/>
      </c>
      <c r="V359" s="62" t="str">
        <f t="shared" si="17"/>
        <v/>
      </c>
    </row>
    <row r="360" spans="17:22" x14ac:dyDescent="0.15">
      <c r="Q360" s="75" t="str">
        <f t="shared" si="15"/>
        <v/>
      </c>
      <c r="T360" s="62" t="str">
        <f t="shared" si="16"/>
        <v/>
      </c>
      <c r="V360" s="62" t="str">
        <f t="shared" si="17"/>
        <v/>
      </c>
    </row>
    <row r="361" spans="17:22" x14ac:dyDescent="0.15">
      <c r="Q361" s="75" t="str">
        <f t="shared" si="15"/>
        <v/>
      </c>
      <c r="T361" s="62" t="str">
        <f t="shared" si="16"/>
        <v/>
      </c>
      <c r="V361" s="62" t="str">
        <f t="shared" si="17"/>
        <v/>
      </c>
    </row>
    <row r="362" spans="17:22" x14ac:dyDescent="0.15">
      <c r="Q362" s="75" t="str">
        <f t="shared" si="15"/>
        <v/>
      </c>
      <c r="T362" s="62" t="str">
        <f t="shared" si="16"/>
        <v/>
      </c>
      <c r="V362" s="62" t="str">
        <f t="shared" si="17"/>
        <v/>
      </c>
    </row>
    <row r="363" spans="17:22" x14ac:dyDescent="0.15">
      <c r="Q363" s="75" t="str">
        <f t="shared" si="15"/>
        <v/>
      </c>
      <c r="T363" s="62" t="str">
        <f t="shared" si="16"/>
        <v/>
      </c>
      <c r="V363" s="62" t="str">
        <f t="shared" si="17"/>
        <v/>
      </c>
    </row>
    <row r="364" spans="17:22" x14ac:dyDescent="0.15">
      <c r="Q364" s="75" t="str">
        <f t="shared" si="15"/>
        <v/>
      </c>
      <c r="T364" s="62" t="str">
        <f t="shared" si="16"/>
        <v/>
      </c>
      <c r="V364" s="62" t="str">
        <f t="shared" si="17"/>
        <v/>
      </c>
    </row>
    <row r="365" spans="17:22" x14ac:dyDescent="0.15">
      <c r="Q365" s="75" t="str">
        <f t="shared" si="15"/>
        <v/>
      </c>
      <c r="T365" s="62" t="str">
        <f t="shared" si="16"/>
        <v/>
      </c>
      <c r="V365" s="62" t="str">
        <f t="shared" si="17"/>
        <v/>
      </c>
    </row>
    <row r="366" spans="17:22" x14ac:dyDescent="0.15">
      <c r="Q366" s="75" t="str">
        <f t="shared" si="15"/>
        <v/>
      </c>
      <c r="T366" s="62" t="str">
        <f t="shared" si="16"/>
        <v/>
      </c>
      <c r="V366" s="62" t="str">
        <f t="shared" si="17"/>
        <v/>
      </c>
    </row>
    <row r="367" spans="17:22" x14ac:dyDescent="0.15">
      <c r="Q367" s="75" t="str">
        <f t="shared" si="15"/>
        <v/>
      </c>
      <c r="T367" s="62" t="str">
        <f t="shared" si="16"/>
        <v/>
      </c>
      <c r="V367" s="62" t="str">
        <f t="shared" si="17"/>
        <v/>
      </c>
    </row>
    <row r="368" spans="17:22" x14ac:dyDescent="0.15">
      <c r="Q368" s="75" t="str">
        <f t="shared" si="15"/>
        <v/>
      </c>
      <c r="T368" s="62" t="str">
        <f t="shared" si="16"/>
        <v/>
      </c>
      <c r="V368" s="62" t="str">
        <f t="shared" si="17"/>
        <v/>
      </c>
    </row>
    <row r="369" spans="17:22" x14ac:dyDescent="0.15">
      <c r="Q369" s="75" t="str">
        <f t="shared" si="15"/>
        <v/>
      </c>
      <c r="T369" s="62" t="str">
        <f t="shared" si="16"/>
        <v/>
      </c>
      <c r="V369" s="62" t="str">
        <f t="shared" si="17"/>
        <v/>
      </c>
    </row>
    <row r="370" spans="17:22" x14ac:dyDescent="0.15">
      <c r="Q370" s="75" t="str">
        <f t="shared" si="15"/>
        <v/>
      </c>
      <c r="T370" s="62" t="str">
        <f t="shared" si="16"/>
        <v/>
      </c>
      <c r="V370" s="62" t="str">
        <f t="shared" si="17"/>
        <v/>
      </c>
    </row>
    <row r="371" spans="17:22" x14ac:dyDescent="0.15">
      <c r="Q371" s="75" t="str">
        <f t="shared" si="15"/>
        <v/>
      </c>
      <c r="T371" s="62" t="str">
        <f t="shared" si="16"/>
        <v/>
      </c>
      <c r="V371" s="62" t="str">
        <f t="shared" si="17"/>
        <v/>
      </c>
    </row>
    <row r="372" spans="17:22" x14ac:dyDescent="0.15">
      <c r="T372" s="62" t="str">
        <f t="shared" si="16"/>
        <v/>
      </c>
      <c r="V372" s="62" t="str">
        <f t="shared" si="17"/>
        <v/>
      </c>
    </row>
    <row r="373" spans="17:22" x14ac:dyDescent="0.15">
      <c r="T373" s="62" t="str">
        <f t="shared" si="16"/>
        <v/>
      </c>
      <c r="V373" s="62" t="str">
        <f t="shared" si="17"/>
        <v/>
      </c>
    </row>
    <row r="374" spans="17:22" x14ac:dyDescent="0.15">
      <c r="T374" s="62" t="str">
        <f t="shared" si="16"/>
        <v/>
      </c>
      <c r="V374" s="62" t="str">
        <f t="shared" si="17"/>
        <v/>
      </c>
    </row>
    <row r="375" spans="17:22" x14ac:dyDescent="0.15">
      <c r="T375" s="62" t="str">
        <f t="shared" si="16"/>
        <v/>
      </c>
      <c r="V375" s="62" t="str">
        <f t="shared" si="17"/>
        <v/>
      </c>
    </row>
    <row r="376" spans="17:22" x14ac:dyDescent="0.15">
      <c r="T376" s="62" t="str">
        <f t="shared" si="16"/>
        <v/>
      </c>
      <c r="V376" s="62" t="str">
        <f t="shared" si="17"/>
        <v/>
      </c>
    </row>
    <row r="377" spans="17:22" x14ac:dyDescent="0.15">
      <c r="T377" s="62" t="str">
        <f t="shared" si="16"/>
        <v/>
      </c>
      <c r="V377" s="62" t="str">
        <f t="shared" si="17"/>
        <v/>
      </c>
    </row>
    <row r="378" spans="17:22" x14ac:dyDescent="0.15">
      <c r="T378" s="62" t="str">
        <f t="shared" si="16"/>
        <v/>
      </c>
      <c r="V378" s="62" t="str">
        <f t="shared" si="17"/>
        <v/>
      </c>
    </row>
    <row r="379" spans="17:22" x14ac:dyDescent="0.15">
      <c r="T379" s="62" t="str">
        <f t="shared" si="16"/>
        <v/>
      </c>
      <c r="V379" s="62" t="str">
        <f t="shared" si="17"/>
        <v/>
      </c>
    </row>
    <row r="380" spans="17:22" x14ac:dyDescent="0.15">
      <c r="T380" s="62" t="str">
        <f t="shared" si="16"/>
        <v/>
      </c>
    </row>
    <row r="381" spans="17:22" x14ac:dyDescent="0.15">
      <c r="T381" s="62" t="str">
        <f t="shared" si="16"/>
        <v/>
      </c>
    </row>
    <row r="382" spans="17:22" x14ac:dyDescent="0.15">
      <c r="T382" s="62" t="str">
        <f t="shared" si="16"/>
        <v/>
      </c>
    </row>
    <row r="383" spans="17:22" x14ac:dyDescent="0.15">
      <c r="T383" s="62" t="str">
        <f t="shared" si="16"/>
        <v/>
      </c>
    </row>
    <row r="384" spans="17:22" x14ac:dyDescent="0.15">
      <c r="T384" s="62" t="str">
        <f t="shared" si="16"/>
        <v/>
      </c>
    </row>
    <row r="385" spans="20:20" x14ac:dyDescent="0.15">
      <c r="T385" s="62" t="str">
        <f t="shared" si="16"/>
        <v/>
      </c>
    </row>
    <row r="386" spans="20:20" x14ac:dyDescent="0.15">
      <c r="T386" s="62" t="str">
        <f t="shared" ref="T386:T399" si="18">IF(H386="","",IF(OR(H386="GREEN",H386="GK"),IF(S386&gt;=$AX$2,VLOOKUP(S386,$AX$2:$AY$10,2,1),""),IF(S386&gt;=$AZ$2,VLOOKUP(S386,$AZ$2:$BA$10,2,1),"")))</f>
        <v/>
      </c>
    </row>
    <row r="387" spans="20:20" x14ac:dyDescent="0.15">
      <c r="T387" s="62" t="str">
        <f t="shared" si="18"/>
        <v/>
      </c>
    </row>
    <row r="388" spans="20:20" x14ac:dyDescent="0.15">
      <c r="T388" s="62" t="str">
        <f t="shared" si="18"/>
        <v/>
      </c>
    </row>
    <row r="389" spans="20:20" x14ac:dyDescent="0.15">
      <c r="T389" s="62" t="str">
        <f t="shared" si="18"/>
        <v/>
      </c>
    </row>
    <row r="390" spans="20:20" x14ac:dyDescent="0.15">
      <c r="T390" s="62" t="str">
        <f t="shared" si="18"/>
        <v/>
      </c>
    </row>
    <row r="391" spans="20:20" x14ac:dyDescent="0.15">
      <c r="T391" s="62" t="str">
        <f t="shared" si="18"/>
        <v/>
      </c>
    </row>
    <row r="392" spans="20:20" x14ac:dyDescent="0.15">
      <c r="T392" s="62" t="str">
        <f t="shared" si="18"/>
        <v/>
      </c>
    </row>
    <row r="393" spans="20:20" x14ac:dyDescent="0.15">
      <c r="T393" s="62" t="str">
        <f t="shared" si="18"/>
        <v/>
      </c>
    </row>
    <row r="394" spans="20:20" x14ac:dyDescent="0.15">
      <c r="T394" s="62" t="str">
        <f t="shared" si="18"/>
        <v/>
      </c>
    </row>
    <row r="395" spans="20:20" x14ac:dyDescent="0.15">
      <c r="T395" s="62" t="str">
        <f t="shared" si="18"/>
        <v/>
      </c>
    </row>
    <row r="396" spans="20:20" x14ac:dyDescent="0.15">
      <c r="T396" s="62" t="str">
        <f t="shared" si="18"/>
        <v/>
      </c>
    </row>
    <row r="397" spans="20:20" x14ac:dyDescent="0.15">
      <c r="T397" s="62" t="str">
        <f t="shared" si="18"/>
        <v/>
      </c>
    </row>
    <row r="398" spans="20:20" x14ac:dyDescent="0.15">
      <c r="T398" s="62" t="str">
        <f t="shared" si="18"/>
        <v/>
      </c>
    </row>
    <row r="399" spans="20:20" x14ac:dyDescent="0.15">
      <c r="T399" s="62" t="str">
        <f t="shared" si="18"/>
        <v/>
      </c>
    </row>
  </sheetData>
  <autoFilter ref="A1:BA399" xr:uid="{00000000-0009-0000-0000-000001000000}"/>
  <phoneticPr fontId="3"/>
  <dataValidations count="15">
    <dataValidation type="list" allowBlank="1" showInputMessage="1" showErrorMessage="1" sqref="Y149:AA355" xr:uid="{61CFEA34-AA29-4C7D-A8C9-C4519EF63CB5}">
      <formula1>$AV$2:$AV$16</formula1>
    </dataValidation>
    <dataValidation type="decimal" allowBlank="1" showInputMessage="1" showErrorMessage="1" error="硬度を正しく入力して下さい。" sqref="O2:P355" xr:uid="{6DC4D2B8-D819-4C41-834D-86FDA15D7CF4}">
      <formula1>0</formula1>
      <formula2>7</formula2>
    </dataValidation>
    <dataValidation type="list" allowBlank="1" showInputMessage="1" showErrorMessage="1" sqref="X2:X355" xr:uid="{7361B388-026C-4EC7-87AC-456B680594F4}">
      <formula1>$AT$2:$AT$3</formula1>
    </dataValidation>
    <dataValidation type="list" allowBlank="1" showInputMessage="1" showErrorMessage="1" sqref="K172:K355" xr:uid="{9629B5B3-564E-472A-83CC-8A6DF802901C}">
      <formula1>$AR$2:$AR$19</formula1>
    </dataValidation>
    <dataValidation type="list" allowBlank="1" showInputMessage="1" showErrorMessage="1" sqref="J44:J46" xr:uid="{EA1019B8-29D8-4950-BA53-EF86BC960A4C}">
      <formula1>$AP$2:$AP$25</formula1>
    </dataValidation>
    <dataValidation allowBlank="1" showInputMessage="1" showErrorMessage="1" sqref="B2:B148" xr:uid="{27148B78-1D6D-4212-8309-59C281E0933A}"/>
    <dataValidation type="list" allowBlank="1" showInputMessage="1" showErrorMessage="1" sqref="F1:F1048576" xr:uid="{15AF2DE7-7C05-46A3-B361-F6D21FFEDD1B}">
      <formula1>$AH$2:$AH$11</formula1>
    </dataValidation>
    <dataValidation type="list" allowBlank="1" showInputMessage="1" showErrorMessage="1" sqref="J2:J43 J47:J355" xr:uid="{21EB59E7-F1F4-4C9D-981F-C30E7AEDF58A}">
      <formula1>$AP$2:$AP$19</formula1>
    </dataValidation>
    <dataValidation type="list" allowBlank="1" showInputMessage="1" showErrorMessage="1" sqref="E1:E1048576" xr:uid="{1541FE77-C9EE-4DC9-B554-0657F8E2FB9B}">
      <formula1>$AG$2:$AG$11</formula1>
    </dataValidation>
    <dataValidation type="list" allowBlank="1" showInputMessage="1" showErrorMessage="1" sqref="I2:I355" xr:uid="{2D245615-18E0-48AB-B0B9-7589BAE7BC5E}">
      <formula1>$AN$5:$AN$6</formula1>
    </dataValidation>
    <dataValidation type="list" allowBlank="1" showInputMessage="1" showErrorMessage="1" sqref="G2:G355" xr:uid="{44DC9ED7-D1A6-488C-9ED2-F825E1AC8018}">
      <formula1>$AJ$2:$AJ$4</formula1>
    </dataValidation>
    <dataValidation type="list" allowBlank="1" showInputMessage="1" showErrorMessage="1" sqref="H2:H355" xr:uid="{0CE835CD-4687-4735-881D-2B6A602212E2}">
      <formula1>$AL$2:$AL$8</formula1>
    </dataValidation>
    <dataValidation type="list" allowBlank="1" showInputMessage="1" showErrorMessage="1" sqref="Y2:AA148" xr:uid="{6FA22CAA-860E-4EED-B22D-9A375445C136}">
      <formula1>$AV$2:$AV$23</formula1>
    </dataValidation>
    <dataValidation type="list" allowBlank="1" showInputMessage="1" showErrorMessage="1" sqref="K2:K171" xr:uid="{A0BC8590-E05D-4E5B-8853-BF2DC7C3780C}">
      <formula1>$AR$2:$AR$23</formula1>
    </dataValidation>
    <dataValidation type="list" allowBlank="1" showInputMessage="1" showErrorMessage="1" sqref="A2:A355" xr:uid="{F475E153-1573-45A3-B1A8-9E67E4E6E3CA}">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E84C5-26BD-4D7B-99F7-D01E3A9719C9}">
  <dimension ref="A1:BA450"/>
  <sheetViews>
    <sheetView topLeftCell="A31" zoomScale="85" zoomScaleNormal="85" workbookViewId="0">
      <selection activeCell="AB9" sqref="AB9"/>
    </sheetView>
  </sheetViews>
  <sheetFormatPr defaultRowHeight="13.5" x14ac:dyDescent="0.15"/>
  <cols>
    <col min="1" max="1" width="9" style="53"/>
    <col min="2" max="2" width="9" style="54"/>
    <col min="3"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27" width="9" style="53"/>
    <col min="28" max="28" width="9" style="54"/>
    <col min="29"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93" t="s">
        <v>0</v>
      </c>
      <c r="B1" s="1" t="s">
        <v>1</v>
      </c>
      <c r="C1" s="1" t="s">
        <v>2</v>
      </c>
      <c r="D1" s="2" t="s">
        <v>3</v>
      </c>
      <c r="E1" s="94" t="s">
        <v>4</v>
      </c>
      <c r="F1" s="94" t="s">
        <v>5</v>
      </c>
      <c r="G1" s="94" t="s">
        <v>6</v>
      </c>
      <c r="H1" s="94" t="s">
        <v>7</v>
      </c>
      <c r="I1" s="94" t="s">
        <v>8</v>
      </c>
      <c r="J1" s="94" t="s">
        <v>9</v>
      </c>
      <c r="K1" s="94" t="s">
        <v>10</v>
      </c>
      <c r="L1" s="2" t="s">
        <v>11</v>
      </c>
      <c r="M1" s="2" t="s">
        <v>12</v>
      </c>
      <c r="N1" s="2" t="s">
        <v>13</v>
      </c>
      <c r="O1" s="2" t="s">
        <v>14</v>
      </c>
      <c r="P1" s="2" t="s">
        <v>15</v>
      </c>
      <c r="Q1" s="3" t="s">
        <v>16</v>
      </c>
      <c r="R1" s="2" t="s">
        <v>17</v>
      </c>
      <c r="S1" s="2" t="s">
        <v>18</v>
      </c>
      <c r="T1" s="3" t="s">
        <v>19</v>
      </c>
      <c r="U1" s="4" t="s">
        <v>108</v>
      </c>
      <c r="V1" s="5" t="s">
        <v>20</v>
      </c>
      <c r="W1" s="2" t="s">
        <v>21</v>
      </c>
      <c r="X1" s="94" t="s">
        <v>22</v>
      </c>
      <c r="Y1" s="94" t="s">
        <v>23</v>
      </c>
      <c r="Z1" s="94" t="s">
        <v>24</v>
      </c>
      <c r="AA1" s="95"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54" customFormat="1" x14ac:dyDescent="0.15">
      <c r="A2" s="57" t="s">
        <v>56</v>
      </c>
      <c r="B2" s="57" t="s">
        <v>232</v>
      </c>
      <c r="C2" s="54">
        <v>2019</v>
      </c>
      <c r="D2" s="96" t="s">
        <v>233</v>
      </c>
      <c r="E2" s="54" t="s">
        <v>234</v>
      </c>
      <c r="F2" s="54" t="s">
        <v>235</v>
      </c>
      <c r="G2" s="57" t="s">
        <v>42</v>
      </c>
      <c r="H2" s="54" t="s">
        <v>165</v>
      </c>
      <c r="I2" s="57" t="s">
        <v>166</v>
      </c>
      <c r="J2" s="54" t="s">
        <v>38</v>
      </c>
      <c r="K2" s="54" t="s">
        <v>161</v>
      </c>
      <c r="L2" s="54">
        <v>1</v>
      </c>
      <c r="N2" s="53">
        <v>5</v>
      </c>
      <c r="O2" s="54">
        <v>0.85</v>
      </c>
      <c r="P2" s="53">
        <v>0.85</v>
      </c>
      <c r="Q2" s="97">
        <f t="shared" ref="Q2:Q65" si="0">IF(OR(O2="",P2=""),"",AVERAGE(O2,P2))</f>
        <v>0.85</v>
      </c>
      <c r="R2" s="54">
        <v>11.8</v>
      </c>
      <c r="S2" s="53">
        <v>95</v>
      </c>
      <c r="T2" s="16">
        <f t="shared" ref="T2:T65" si="1">IF(H2="","",IF(OR(H2="GREEN",H2="GK"),IF(S2&gt;=$AX$2,VLOOKUP(S2,$AX$2:$AY$10,2,1),""),IF(S2&gt;=$AZ$2,VLOOKUP(S2,$AZ$2:$BA$10,2,1),"")))</f>
        <v>36</v>
      </c>
      <c r="U2" s="54">
        <v>589</v>
      </c>
      <c r="V2" s="16">
        <f t="shared" ref="V2:V65" si="2">IF(OR(N2="",U2="",T2=""),"",U2/N2*T2)</f>
        <v>4240.8</v>
      </c>
      <c r="W2" s="54">
        <v>6</v>
      </c>
      <c r="X2" s="57" t="s">
        <v>46</v>
      </c>
      <c r="Y2" s="57" t="s">
        <v>55</v>
      </c>
      <c r="Z2" s="54" t="s">
        <v>47</v>
      </c>
      <c r="AA2" s="57" t="s">
        <v>90</v>
      </c>
      <c r="AB2" s="54" t="s">
        <v>158</v>
      </c>
      <c r="AE2" s="17" t="s">
        <v>35</v>
      </c>
      <c r="AG2" s="30" t="s">
        <v>236</v>
      </c>
      <c r="AH2" s="98" t="s">
        <v>237</v>
      </c>
      <c r="AJ2" s="18" t="s">
        <v>36</v>
      </c>
      <c r="AL2" s="18" t="s">
        <v>127</v>
      </c>
      <c r="AN2" s="18" t="s">
        <v>37</v>
      </c>
      <c r="AP2" s="18" t="s">
        <v>38</v>
      </c>
      <c r="AR2" s="18" t="s">
        <v>120</v>
      </c>
      <c r="AT2" s="18" t="s">
        <v>39</v>
      </c>
      <c r="AV2" s="18" t="s">
        <v>40</v>
      </c>
      <c r="AX2" s="19">
        <v>1</v>
      </c>
      <c r="AY2" s="20">
        <v>50</v>
      </c>
      <c r="AZ2" s="20">
        <v>1</v>
      </c>
      <c r="BA2" s="21">
        <v>50</v>
      </c>
    </row>
    <row r="3" spans="1:53" x14ac:dyDescent="0.15">
      <c r="A3" s="57" t="s">
        <v>56</v>
      </c>
      <c r="B3" s="57" t="s">
        <v>232</v>
      </c>
      <c r="C3" s="54">
        <v>2019</v>
      </c>
      <c r="D3" s="96" t="s">
        <v>233</v>
      </c>
      <c r="E3" s="54" t="s">
        <v>234</v>
      </c>
      <c r="F3" s="54" t="s">
        <v>235</v>
      </c>
      <c r="G3" s="57" t="s">
        <v>42</v>
      </c>
      <c r="H3" s="54" t="s">
        <v>165</v>
      </c>
      <c r="I3" s="57" t="s">
        <v>166</v>
      </c>
      <c r="J3" s="54" t="s">
        <v>38</v>
      </c>
      <c r="K3" s="54" t="s">
        <v>161</v>
      </c>
      <c r="L3" s="53">
        <v>2</v>
      </c>
      <c r="N3" s="53">
        <v>5</v>
      </c>
      <c r="O3" s="53">
        <v>0.95</v>
      </c>
      <c r="P3" s="53">
        <v>1.1000000000000001</v>
      </c>
      <c r="Q3" s="97">
        <f t="shared" si="0"/>
        <v>1.0249999999999999</v>
      </c>
      <c r="R3" s="53">
        <v>13.1</v>
      </c>
      <c r="S3" s="53">
        <v>99</v>
      </c>
      <c r="T3" s="16">
        <f t="shared" si="1"/>
        <v>33</v>
      </c>
      <c r="U3" s="53">
        <v>589</v>
      </c>
      <c r="V3" s="16">
        <f t="shared" si="2"/>
        <v>3887.4</v>
      </c>
      <c r="W3" s="53">
        <v>6</v>
      </c>
      <c r="X3" s="57" t="s">
        <v>46</v>
      </c>
      <c r="Y3" s="57" t="s">
        <v>55</v>
      </c>
      <c r="Z3" s="54" t="s">
        <v>47</v>
      </c>
      <c r="AA3" s="57" t="s">
        <v>90</v>
      </c>
      <c r="AB3" s="54" t="s">
        <v>158</v>
      </c>
      <c r="AE3" s="22" t="s">
        <v>41</v>
      </c>
      <c r="AG3" s="30" t="s">
        <v>238</v>
      </c>
      <c r="AH3" s="98" t="s">
        <v>235</v>
      </c>
      <c r="AJ3" s="23" t="s">
        <v>42</v>
      </c>
      <c r="AL3" s="23" t="s">
        <v>128</v>
      </c>
      <c r="AN3" s="23" t="s">
        <v>43</v>
      </c>
      <c r="AP3" s="23" t="s">
        <v>44</v>
      </c>
      <c r="AR3" s="41" t="s">
        <v>45</v>
      </c>
      <c r="AT3" s="23" t="s">
        <v>46</v>
      </c>
      <c r="AV3" s="23" t="s">
        <v>47</v>
      </c>
      <c r="AX3" s="24">
        <v>72</v>
      </c>
      <c r="AY3" s="25">
        <v>46</v>
      </c>
      <c r="AZ3" s="25">
        <v>71</v>
      </c>
      <c r="BA3" s="26">
        <v>42</v>
      </c>
    </row>
    <row r="4" spans="1:53" x14ac:dyDescent="0.15">
      <c r="A4" s="57" t="s">
        <v>56</v>
      </c>
      <c r="B4" s="57" t="s">
        <v>232</v>
      </c>
      <c r="C4" s="54">
        <v>2019</v>
      </c>
      <c r="D4" s="96" t="s">
        <v>233</v>
      </c>
      <c r="E4" s="54" t="s">
        <v>234</v>
      </c>
      <c r="F4" s="54" t="s">
        <v>235</v>
      </c>
      <c r="G4" s="57" t="s">
        <v>42</v>
      </c>
      <c r="H4" s="54" t="s">
        <v>165</v>
      </c>
      <c r="I4" s="57" t="s">
        <v>166</v>
      </c>
      <c r="J4" s="54" t="s">
        <v>38</v>
      </c>
      <c r="K4" s="54" t="s">
        <v>161</v>
      </c>
      <c r="L4" s="53">
        <v>3</v>
      </c>
      <c r="N4" s="53">
        <v>5</v>
      </c>
      <c r="O4" s="53">
        <v>0.85</v>
      </c>
      <c r="P4" s="53">
        <v>0.85</v>
      </c>
      <c r="Q4" s="97">
        <f t="shared" si="0"/>
        <v>0.85</v>
      </c>
      <c r="R4" s="53">
        <v>14.3</v>
      </c>
      <c r="S4" s="53">
        <v>96</v>
      </c>
      <c r="T4" s="16">
        <f t="shared" si="1"/>
        <v>36</v>
      </c>
      <c r="U4" s="53">
        <v>589</v>
      </c>
      <c r="V4" s="16">
        <f t="shared" si="2"/>
        <v>4240.8</v>
      </c>
      <c r="W4" s="53">
        <v>6</v>
      </c>
      <c r="X4" s="57" t="s">
        <v>46</v>
      </c>
      <c r="Y4" s="57" t="s">
        <v>55</v>
      </c>
      <c r="Z4" s="54" t="s">
        <v>47</v>
      </c>
      <c r="AA4" s="57" t="s">
        <v>90</v>
      </c>
      <c r="AB4" s="54" t="s">
        <v>158</v>
      </c>
      <c r="AE4" s="22" t="s">
        <v>34</v>
      </c>
      <c r="AG4" s="30" t="s">
        <v>239</v>
      </c>
      <c r="AH4" s="98" t="s">
        <v>240</v>
      </c>
      <c r="AJ4" s="27" t="s">
        <v>48</v>
      </c>
      <c r="AL4" s="27" t="s">
        <v>241</v>
      </c>
      <c r="AN4" s="28" t="s">
        <v>49</v>
      </c>
      <c r="AP4" s="23" t="s">
        <v>93</v>
      </c>
      <c r="AR4" s="41" t="s">
        <v>121</v>
      </c>
      <c r="AT4" s="28"/>
      <c r="AV4" s="23" t="s">
        <v>50</v>
      </c>
      <c r="AX4" s="24">
        <v>75</v>
      </c>
      <c r="AY4" s="25">
        <v>42</v>
      </c>
      <c r="AZ4" s="25">
        <v>76</v>
      </c>
      <c r="BA4" s="26">
        <v>39</v>
      </c>
    </row>
    <row r="5" spans="1:53" x14ac:dyDescent="0.15">
      <c r="A5" s="57" t="s">
        <v>56</v>
      </c>
      <c r="B5" s="57" t="s">
        <v>232</v>
      </c>
      <c r="C5" s="54">
        <v>2019</v>
      </c>
      <c r="D5" s="96" t="s">
        <v>233</v>
      </c>
      <c r="E5" s="54" t="s">
        <v>234</v>
      </c>
      <c r="F5" s="54" t="s">
        <v>235</v>
      </c>
      <c r="G5" s="57" t="s">
        <v>42</v>
      </c>
      <c r="H5" s="54" t="s">
        <v>160</v>
      </c>
      <c r="I5" s="57" t="s">
        <v>166</v>
      </c>
      <c r="J5" s="54" t="s">
        <v>38</v>
      </c>
      <c r="K5" s="54" t="s">
        <v>161</v>
      </c>
      <c r="L5" s="54">
        <v>1</v>
      </c>
      <c r="M5" s="54"/>
      <c r="N5" s="53">
        <v>1</v>
      </c>
      <c r="O5" s="54">
        <v>0.7</v>
      </c>
      <c r="P5" s="53">
        <v>0.8</v>
      </c>
      <c r="Q5" s="97">
        <f t="shared" si="0"/>
        <v>0.75</v>
      </c>
      <c r="R5" s="54">
        <v>17</v>
      </c>
      <c r="S5" s="53">
        <v>135</v>
      </c>
      <c r="T5" s="16">
        <f t="shared" si="1"/>
        <v>25</v>
      </c>
      <c r="U5" s="54">
        <v>183</v>
      </c>
      <c r="V5" s="16">
        <f t="shared" si="2"/>
        <v>4575</v>
      </c>
      <c r="W5" s="54">
        <v>6</v>
      </c>
      <c r="X5" s="57" t="s">
        <v>46</v>
      </c>
      <c r="Y5" s="57" t="s">
        <v>55</v>
      </c>
      <c r="Z5" s="54" t="s">
        <v>47</v>
      </c>
      <c r="AA5" s="57" t="s">
        <v>90</v>
      </c>
      <c r="AB5" s="54" t="s">
        <v>158</v>
      </c>
      <c r="AE5" s="22" t="s">
        <v>51</v>
      </c>
      <c r="AG5" s="30" t="s">
        <v>242</v>
      </c>
      <c r="AH5" s="98" t="s">
        <v>243</v>
      </c>
      <c r="AJ5" s="28"/>
      <c r="AL5" s="29" t="s">
        <v>66</v>
      </c>
      <c r="AN5" s="29" t="s">
        <v>52</v>
      </c>
      <c r="AP5" s="23" t="s">
        <v>244</v>
      </c>
      <c r="AR5" s="41" t="s">
        <v>54</v>
      </c>
      <c r="AV5" s="23" t="s">
        <v>55</v>
      </c>
      <c r="AX5" s="24">
        <v>84</v>
      </c>
      <c r="AY5" s="25">
        <v>39</v>
      </c>
      <c r="AZ5" s="25">
        <v>84</v>
      </c>
      <c r="BA5" s="26">
        <v>36</v>
      </c>
    </row>
    <row r="6" spans="1:53" x14ac:dyDescent="0.15">
      <c r="A6" s="57" t="s">
        <v>56</v>
      </c>
      <c r="B6" s="57" t="s">
        <v>232</v>
      </c>
      <c r="C6" s="54">
        <v>2019</v>
      </c>
      <c r="D6" s="96" t="s">
        <v>233</v>
      </c>
      <c r="E6" s="54" t="s">
        <v>234</v>
      </c>
      <c r="F6" s="54" t="s">
        <v>235</v>
      </c>
      <c r="G6" s="57" t="s">
        <v>42</v>
      </c>
      <c r="H6" s="54" t="s">
        <v>160</v>
      </c>
      <c r="I6" s="57" t="s">
        <v>166</v>
      </c>
      <c r="J6" s="54" t="s">
        <v>38</v>
      </c>
      <c r="K6" s="54" t="s">
        <v>161</v>
      </c>
      <c r="L6" s="53">
        <v>2</v>
      </c>
      <c r="N6" s="53">
        <v>1</v>
      </c>
      <c r="O6" s="53">
        <v>0.8</v>
      </c>
      <c r="P6" s="53">
        <v>0.6</v>
      </c>
      <c r="Q6" s="97">
        <f t="shared" si="0"/>
        <v>0.7</v>
      </c>
      <c r="R6" s="53">
        <v>16.399999999999999</v>
      </c>
      <c r="S6" s="53">
        <v>133</v>
      </c>
      <c r="T6" s="16">
        <f t="shared" si="1"/>
        <v>25</v>
      </c>
      <c r="U6" s="53">
        <v>183</v>
      </c>
      <c r="V6" s="16">
        <f t="shared" si="2"/>
        <v>4575</v>
      </c>
      <c r="W6" s="53">
        <v>6</v>
      </c>
      <c r="X6" s="57" t="s">
        <v>46</v>
      </c>
      <c r="Y6" s="57" t="s">
        <v>55</v>
      </c>
      <c r="Z6" s="54" t="s">
        <v>47</v>
      </c>
      <c r="AA6" s="57" t="s">
        <v>90</v>
      </c>
      <c r="AB6" s="54" t="s">
        <v>158</v>
      </c>
      <c r="AE6" s="22" t="s">
        <v>56</v>
      </c>
      <c r="AG6" s="30" t="s">
        <v>245</v>
      </c>
      <c r="AH6" s="98" t="s">
        <v>243</v>
      </c>
      <c r="AL6" s="29" t="s">
        <v>99</v>
      </c>
      <c r="AN6" s="29" t="s">
        <v>57</v>
      </c>
      <c r="AP6" s="23" t="s">
        <v>53</v>
      </c>
      <c r="AR6" s="41" t="s">
        <v>59</v>
      </c>
      <c r="AV6" s="23" t="s">
        <v>60</v>
      </c>
      <c r="AX6" s="24">
        <v>97</v>
      </c>
      <c r="AY6" s="25">
        <v>36</v>
      </c>
      <c r="AZ6" s="25">
        <v>99</v>
      </c>
      <c r="BA6" s="26">
        <v>33</v>
      </c>
    </row>
    <row r="7" spans="1:53" x14ac:dyDescent="0.15">
      <c r="A7" s="57" t="s">
        <v>56</v>
      </c>
      <c r="B7" s="57" t="s">
        <v>232</v>
      </c>
      <c r="C7" s="54">
        <v>2019</v>
      </c>
      <c r="D7" s="96" t="s">
        <v>233</v>
      </c>
      <c r="E7" s="54" t="s">
        <v>234</v>
      </c>
      <c r="F7" s="54" t="s">
        <v>235</v>
      </c>
      <c r="G7" s="57" t="s">
        <v>42</v>
      </c>
      <c r="H7" s="54" t="s">
        <v>160</v>
      </c>
      <c r="I7" s="57" t="s">
        <v>166</v>
      </c>
      <c r="J7" s="54" t="s">
        <v>38</v>
      </c>
      <c r="K7" s="54" t="s">
        <v>161</v>
      </c>
      <c r="L7" s="53">
        <v>3</v>
      </c>
      <c r="N7" s="53">
        <v>1</v>
      </c>
      <c r="O7" s="53">
        <v>0.6</v>
      </c>
      <c r="P7" s="53">
        <v>0.7</v>
      </c>
      <c r="Q7" s="97">
        <f t="shared" si="0"/>
        <v>0.64999999999999991</v>
      </c>
      <c r="R7" s="53">
        <v>16.5</v>
      </c>
      <c r="S7" s="53">
        <v>138</v>
      </c>
      <c r="T7" s="16">
        <f t="shared" si="1"/>
        <v>22</v>
      </c>
      <c r="U7" s="53">
        <v>183</v>
      </c>
      <c r="V7" s="16">
        <f t="shared" si="2"/>
        <v>4026</v>
      </c>
      <c r="W7" s="53">
        <v>6</v>
      </c>
      <c r="X7" s="57" t="s">
        <v>46</v>
      </c>
      <c r="Y7" s="57" t="s">
        <v>55</v>
      </c>
      <c r="Z7" s="54" t="s">
        <v>47</v>
      </c>
      <c r="AA7" s="57" t="s">
        <v>90</v>
      </c>
      <c r="AB7" s="54" t="s">
        <v>158</v>
      </c>
      <c r="AE7" s="22" t="s">
        <v>61</v>
      </c>
      <c r="AG7" s="30" t="s">
        <v>246</v>
      </c>
      <c r="AH7" s="98" t="s">
        <v>247</v>
      </c>
      <c r="AL7" s="99" t="s">
        <v>109</v>
      </c>
      <c r="AP7" s="23" t="s">
        <v>58</v>
      </c>
      <c r="AR7" s="30" t="s">
        <v>122</v>
      </c>
      <c r="AV7" s="23" t="s">
        <v>64</v>
      </c>
      <c r="AX7" s="24">
        <v>109</v>
      </c>
      <c r="AY7" s="25">
        <v>33</v>
      </c>
      <c r="AZ7" s="25">
        <v>113</v>
      </c>
      <c r="BA7" s="26">
        <v>30</v>
      </c>
    </row>
    <row r="8" spans="1:53" x14ac:dyDescent="0.15">
      <c r="A8" s="57" t="s">
        <v>56</v>
      </c>
      <c r="B8" s="57" t="s">
        <v>232</v>
      </c>
      <c r="C8" s="54">
        <v>2019</v>
      </c>
      <c r="D8" s="96" t="s">
        <v>233</v>
      </c>
      <c r="E8" s="54" t="s">
        <v>248</v>
      </c>
      <c r="F8" s="54" t="s">
        <v>235</v>
      </c>
      <c r="G8" s="57" t="s">
        <v>42</v>
      </c>
      <c r="H8" s="54" t="s">
        <v>165</v>
      </c>
      <c r="I8" s="57" t="s">
        <v>159</v>
      </c>
      <c r="J8" s="54" t="s">
        <v>38</v>
      </c>
      <c r="K8" s="54" t="s">
        <v>161</v>
      </c>
      <c r="L8" s="53">
        <v>1</v>
      </c>
      <c r="N8" s="53">
        <v>1</v>
      </c>
      <c r="O8" s="53">
        <v>0.8</v>
      </c>
      <c r="P8" s="53">
        <v>0.85</v>
      </c>
      <c r="Q8" s="97">
        <f t="shared" si="0"/>
        <v>0.82499999999999996</v>
      </c>
      <c r="R8" s="53">
        <v>15.8</v>
      </c>
      <c r="S8" s="53">
        <v>133</v>
      </c>
      <c r="T8" s="16">
        <f t="shared" si="1"/>
        <v>25</v>
      </c>
      <c r="U8" s="53">
        <v>127</v>
      </c>
      <c r="V8" s="16">
        <f t="shared" si="2"/>
        <v>3175</v>
      </c>
      <c r="W8" s="53">
        <v>8</v>
      </c>
      <c r="X8" s="57" t="s">
        <v>46</v>
      </c>
      <c r="Y8" s="57" t="s">
        <v>55</v>
      </c>
      <c r="Z8" s="54" t="s">
        <v>47</v>
      </c>
      <c r="AA8" s="57" t="s">
        <v>90</v>
      </c>
      <c r="AB8" s="54" t="s">
        <v>158</v>
      </c>
      <c r="AE8" s="22" t="s">
        <v>59</v>
      </c>
      <c r="AG8" s="30" t="s">
        <v>249</v>
      </c>
      <c r="AH8" s="98" t="s">
        <v>247</v>
      </c>
      <c r="AL8" s="99" t="s">
        <v>134</v>
      </c>
      <c r="AP8" s="23" t="s">
        <v>62</v>
      </c>
      <c r="AR8" s="41" t="s">
        <v>81</v>
      </c>
      <c r="AV8" s="23" t="s">
        <v>97</v>
      </c>
      <c r="AX8" s="24">
        <v>119</v>
      </c>
      <c r="AY8" s="25">
        <v>30</v>
      </c>
      <c r="AZ8" s="25">
        <v>121</v>
      </c>
      <c r="BA8" s="26">
        <v>27</v>
      </c>
    </row>
    <row r="9" spans="1:53" x14ac:dyDescent="0.15">
      <c r="A9" s="57" t="s">
        <v>56</v>
      </c>
      <c r="B9" s="57" t="s">
        <v>232</v>
      </c>
      <c r="C9" s="54">
        <v>2019</v>
      </c>
      <c r="D9" s="96" t="s">
        <v>233</v>
      </c>
      <c r="E9" s="54" t="s">
        <v>248</v>
      </c>
      <c r="F9" s="54" t="s">
        <v>235</v>
      </c>
      <c r="G9" s="57" t="s">
        <v>42</v>
      </c>
      <c r="H9" s="54" t="s">
        <v>165</v>
      </c>
      <c r="I9" s="57" t="s">
        <v>159</v>
      </c>
      <c r="J9" s="54" t="s">
        <v>38</v>
      </c>
      <c r="K9" s="54" t="s">
        <v>161</v>
      </c>
      <c r="L9" s="53">
        <v>2</v>
      </c>
      <c r="N9" s="53">
        <v>1</v>
      </c>
      <c r="O9" s="53">
        <v>0.75</v>
      </c>
      <c r="P9" s="53">
        <v>0.75</v>
      </c>
      <c r="Q9" s="97">
        <f t="shared" si="0"/>
        <v>0.75</v>
      </c>
      <c r="R9" s="53">
        <v>15.2</v>
      </c>
      <c r="S9" s="53">
        <v>124</v>
      </c>
      <c r="T9" s="16">
        <f t="shared" si="1"/>
        <v>27</v>
      </c>
      <c r="U9" s="53">
        <v>127</v>
      </c>
      <c r="V9" s="16">
        <f t="shared" si="2"/>
        <v>3429</v>
      </c>
      <c r="W9" s="53">
        <v>8</v>
      </c>
      <c r="X9" s="57" t="s">
        <v>46</v>
      </c>
      <c r="Y9" s="57" t="s">
        <v>55</v>
      </c>
      <c r="Z9" s="54" t="s">
        <v>47</v>
      </c>
      <c r="AA9" s="57" t="s">
        <v>90</v>
      </c>
      <c r="AB9" s="54" t="s">
        <v>258</v>
      </c>
      <c r="AE9" s="22" t="s">
        <v>98</v>
      </c>
      <c r="AG9" s="30" t="s">
        <v>234</v>
      </c>
      <c r="AH9" s="30" t="s">
        <v>235</v>
      </c>
      <c r="AL9" s="29"/>
      <c r="AP9" s="23" t="s">
        <v>95</v>
      </c>
      <c r="AR9" s="30" t="s">
        <v>89</v>
      </c>
      <c r="AV9" s="23" t="s">
        <v>102</v>
      </c>
      <c r="AX9" s="24">
        <v>128</v>
      </c>
      <c r="AY9" s="25">
        <v>27</v>
      </c>
      <c r="AZ9" s="25">
        <v>129</v>
      </c>
      <c r="BA9" s="26">
        <v>25</v>
      </c>
    </row>
    <row r="10" spans="1:53" x14ac:dyDescent="0.15">
      <c r="A10" s="57" t="s">
        <v>56</v>
      </c>
      <c r="B10" s="57" t="s">
        <v>232</v>
      </c>
      <c r="C10" s="54">
        <v>2019</v>
      </c>
      <c r="D10" s="96" t="s">
        <v>233</v>
      </c>
      <c r="E10" s="54" t="s">
        <v>248</v>
      </c>
      <c r="F10" s="54" t="s">
        <v>235</v>
      </c>
      <c r="G10" s="57" t="s">
        <v>42</v>
      </c>
      <c r="H10" s="54" t="s">
        <v>165</v>
      </c>
      <c r="I10" s="57" t="s">
        <v>159</v>
      </c>
      <c r="J10" s="54" t="s">
        <v>38</v>
      </c>
      <c r="K10" s="54" t="s">
        <v>161</v>
      </c>
      <c r="L10" s="53">
        <v>3</v>
      </c>
      <c r="N10" s="53">
        <v>1</v>
      </c>
      <c r="O10" s="53">
        <v>0.7</v>
      </c>
      <c r="P10" s="53">
        <v>0.7</v>
      </c>
      <c r="Q10" s="97">
        <f t="shared" si="0"/>
        <v>0.7</v>
      </c>
      <c r="R10" s="36">
        <v>15.3</v>
      </c>
      <c r="S10" s="53">
        <v>127</v>
      </c>
      <c r="T10" s="16">
        <f t="shared" si="1"/>
        <v>27</v>
      </c>
      <c r="U10" s="53">
        <v>127</v>
      </c>
      <c r="V10" s="16">
        <f t="shared" si="2"/>
        <v>3429</v>
      </c>
      <c r="W10" s="53">
        <v>8</v>
      </c>
      <c r="X10" s="57" t="s">
        <v>46</v>
      </c>
      <c r="Y10" s="57" t="s">
        <v>55</v>
      </c>
      <c r="Z10" s="54" t="s">
        <v>47</v>
      </c>
      <c r="AA10" s="57" t="s">
        <v>90</v>
      </c>
      <c r="AB10" s="54" t="s">
        <v>158</v>
      </c>
      <c r="AE10" s="22" t="s">
        <v>103</v>
      </c>
      <c r="AG10" s="30" t="s">
        <v>246</v>
      </c>
      <c r="AH10" s="98" t="s">
        <v>243</v>
      </c>
      <c r="AL10" s="99"/>
      <c r="AP10" s="23" t="s">
        <v>100</v>
      </c>
      <c r="AR10" s="30" t="s">
        <v>123</v>
      </c>
      <c r="AV10" s="23" t="s">
        <v>106</v>
      </c>
      <c r="AX10" s="24">
        <v>138</v>
      </c>
      <c r="AY10" s="25">
        <v>25</v>
      </c>
      <c r="AZ10" s="25">
        <v>138</v>
      </c>
      <c r="BA10" s="26">
        <v>22</v>
      </c>
    </row>
    <row r="11" spans="1:53" x14ac:dyDescent="0.15">
      <c r="A11" s="57" t="s">
        <v>56</v>
      </c>
      <c r="B11" s="57" t="s">
        <v>232</v>
      </c>
      <c r="C11" s="54">
        <v>2019</v>
      </c>
      <c r="D11" s="96" t="s">
        <v>233</v>
      </c>
      <c r="E11" s="54" t="s">
        <v>248</v>
      </c>
      <c r="F11" s="54" t="s">
        <v>235</v>
      </c>
      <c r="G11" s="57" t="s">
        <v>42</v>
      </c>
      <c r="H11" s="54" t="s">
        <v>160</v>
      </c>
      <c r="I11" s="57" t="s">
        <v>159</v>
      </c>
      <c r="J11" s="54" t="s">
        <v>38</v>
      </c>
      <c r="K11" s="54" t="s">
        <v>161</v>
      </c>
      <c r="L11" s="53">
        <v>1</v>
      </c>
      <c r="N11" s="53">
        <v>1</v>
      </c>
      <c r="O11" s="53">
        <v>0.7</v>
      </c>
      <c r="P11" s="53">
        <v>0.7</v>
      </c>
      <c r="Q11" s="97">
        <f t="shared" si="0"/>
        <v>0.7</v>
      </c>
      <c r="R11" s="53">
        <v>15.7</v>
      </c>
      <c r="S11" s="53">
        <v>139</v>
      </c>
      <c r="T11" s="16">
        <f t="shared" si="1"/>
        <v>22</v>
      </c>
      <c r="U11" s="53">
        <v>127</v>
      </c>
      <c r="V11" s="16">
        <f t="shared" si="2"/>
        <v>2794</v>
      </c>
      <c r="W11" s="53">
        <v>12</v>
      </c>
      <c r="X11" s="57" t="s">
        <v>46</v>
      </c>
      <c r="Y11" s="57" t="s">
        <v>55</v>
      </c>
      <c r="Z11" s="54" t="s">
        <v>47</v>
      </c>
      <c r="AA11" s="57" t="s">
        <v>90</v>
      </c>
      <c r="AB11" s="54" t="s">
        <v>158</v>
      </c>
      <c r="AE11" s="22" t="s">
        <v>65</v>
      </c>
      <c r="AG11" s="30" t="s">
        <v>245</v>
      </c>
      <c r="AH11" s="98" t="s">
        <v>243</v>
      </c>
      <c r="AJ11" s="99"/>
      <c r="AP11" s="23" t="s">
        <v>104</v>
      </c>
      <c r="AR11" s="30" t="s">
        <v>87</v>
      </c>
      <c r="AV11" s="23" t="s">
        <v>69</v>
      </c>
    </row>
    <row r="12" spans="1:53" x14ac:dyDescent="0.15">
      <c r="A12" s="57" t="s">
        <v>56</v>
      </c>
      <c r="B12" s="57" t="s">
        <v>232</v>
      </c>
      <c r="C12" s="54">
        <v>2019</v>
      </c>
      <c r="D12" s="96" t="s">
        <v>233</v>
      </c>
      <c r="E12" s="54" t="s">
        <v>248</v>
      </c>
      <c r="F12" s="54" t="s">
        <v>235</v>
      </c>
      <c r="G12" s="57" t="s">
        <v>42</v>
      </c>
      <c r="H12" s="54" t="s">
        <v>160</v>
      </c>
      <c r="I12" s="57" t="s">
        <v>159</v>
      </c>
      <c r="J12" s="54" t="s">
        <v>38</v>
      </c>
      <c r="K12" s="54" t="s">
        <v>161</v>
      </c>
      <c r="L12" s="53">
        <v>2</v>
      </c>
      <c r="N12" s="53">
        <v>1</v>
      </c>
      <c r="O12" s="53">
        <v>0.7</v>
      </c>
      <c r="P12" s="53">
        <v>0.65</v>
      </c>
      <c r="Q12" s="97">
        <f t="shared" si="0"/>
        <v>0.67500000000000004</v>
      </c>
      <c r="R12" s="53">
        <v>16.899999999999999</v>
      </c>
      <c r="S12" s="53">
        <v>137</v>
      </c>
      <c r="T12" s="16">
        <f t="shared" si="1"/>
        <v>25</v>
      </c>
      <c r="U12" s="53">
        <v>127</v>
      </c>
      <c r="V12" s="16">
        <f t="shared" si="2"/>
        <v>3175</v>
      </c>
      <c r="W12" s="53">
        <v>12</v>
      </c>
      <c r="X12" s="57" t="s">
        <v>46</v>
      </c>
      <c r="Y12" s="57" t="s">
        <v>55</v>
      </c>
      <c r="Z12" s="54" t="s">
        <v>47</v>
      </c>
      <c r="AA12" s="57" t="s">
        <v>90</v>
      </c>
      <c r="AB12" s="54" t="s">
        <v>158</v>
      </c>
      <c r="AE12" s="22" t="s">
        <v>70</v>
      </c>
      <c r="AG12" s="30" t="s">
        <v>238</v>
      </c>
      <c r="AH12" s="98" t="s">
        <v>243</v>
      </c>
      <c r="AJ12" s="99"/>
      <c r="AP12" s="23" t="s">
        <v>67</v>
      </c>
      <c r="AR12" s="30" t="s">
        <v>124</v>
      </c>
      <c r="AV12" s="23" t="s">
        <v>72</v>
      </c>
    </row>
    <row r="13" spans="1:53" x14ac:dyDescent="0.15">
      <c r="A13" s="57" t="s">
        <v>56</v>
      </c>
      <c r="B13" s="57" t="s">
        <v>232</v>
      </c>
      <c r="C13" s="54">
        <v>2019</v>
      </c>
      <c r="D13" s="96" t="s">
        <v>233</v>
      </c>
      <c r="E13" s="54" t="s">
        <v>248</v>
      </c>
      <c r="F13" s="54" t="s">
        <v>235</v>
      </c>
      <c r="G13" s="57" t="s">
        <v>42</v>
      </c>
      <c r="H13" s="54" t="s">
        <v>160</v>
      </c>
      <c r="I13" s="57" t="s">
        <v>159</v>
      </c>
      <c r="J13" s="54" t="s">
        <v>38</v>
      </c>
      <c r="K13" s="54" t="s">
        <v>161</v>
      </c>
      <c r="L13" s="53">
        <v>3</v>
      </c>
      <c r="N13" s="53">
        <v>1</v>
      </c>
      <c r="O13" s="53">
        <v>0.7</v>
      </c>
      <c r="P13" s="53">
        <v>0.7</v>
      </c>
      <c r="Q13" s="97">
        <f t="shared" si="0"/>
        <v>0.7</v>
      </c>
      <c r="R13" s="36">
        <v>16.3</v>
      </c>
      <c r="S13" s="53">
        <v>124</v>
      </c>
      <c r="T13" s="16">
        <f t="shared" si="1"/>
        <v>27</v>
      </c>
      <c r="U13" s="53">
        <v>127</v>
      </c>
      <c r="V13" s="16">
        <f t="shared" si="2"/>
        <v>3429</v>
      </c>
      <c r="W13" s="53">
        <v>12</v>
      </c>
      <c r="X13" s="57" t="s">
        <v>46</v>
      </c>
      <c r="Y13" s="57" t="s">
        <v>55</v>
      </c>
      <c r="Z13" s="54" t="s">
        <v>47</v>
      </c>
      <c r="AA13" s="57" t="s">
        <v>90</v>
      </c>
      <c r="AB13" s="54" t="s">
        <v>158</v>
      </c>
      <c r="AE13" s="22" t="s">
        <v>73</v>
      </c>
      <c r="AP13" s="23" t="s">
        <v>71</v>
      </c>
      <c r="AR13" s="30" t="s">
        <v>103</v>
      </c>
      <c r="AV13" s="23" t="s">
        <v>75</v>
      </c>
    </row>
    <row r="14" spans="1:53" x14ac:dyDescent="0.15">
      <c r="A14" s="57" t="s">
        <v>56</v>
      </c>
      <c r="B14" s="57" t="s">
        <v>232</v>
      </c>
      <c r="C14" s="54">
        <v>2019</v>
      </c>
      <c r="D14" s="96" t="s">
        <v>233</v>
      </c>
      <c r="E14" s="54" t="s">
        <v>162</v>
      </c>
      <c r="F14" s="54" t="s">
        <v>250</v>
      </c>
      <c r="G14" s="57" t="s">
        <v>42</v>
      </c>
      <c r="H14" s="54" t="s">
        <v>165</v>
      </c>
      <c r="I14" s="57" t="s">
        <v>159</v>
      </c>
      <c r="J14" s="54" t="s">
        <v>38</v>
      </c>
      <c r="K14" s="54" t="s">
        <v>161</v>
      </c>
      <c r="L14" s="53">
        <v>1</v>
      </c>
      <c r="N14" s="53">
        <v>1</v>
      </c>
      <c r="O14" s="53">
        <v>0.75</v>
      </c>
      <c r="P14" s="53">
        <v>0.8</v>
      </c>
      <c r="Q14" s="97">
        <f t="shared" si="0"/>
        <v>0.77500000000000002</v>
      </c>
      <c r="R14" s="53">
        <v>15.3</v>
      </c>
      <c r="S14" s="53">
        <v>117</v>
      </c>
      <c r="T14" s="16">
        <f t="shared" si="1"/>
        <v>30</v>
      </c>
      <c r="U14" s="53">
        <v>106</v>
      </c>
      <c r="V14" s="16">
        <f t="shared" si="2"/>
        <v>3180</v>
      </c>
      <c r="W14" s="53">
        <v>5</v>
      </c>
      <c r="X14" s="57" t="s">
        <v>46</v>
      </c>
      <c r="Y14" s="57" t="s">
        <v>78</v>
      </c>
      <c r="Z14" s="54" t="s">
        <v>55</v>
      </c>
      <c r="AA14" s="57" t="s">
        <v>47</v>
      </c>
      <c r="AB14" s="54" t="s">
        <v>158</v>
      </c>
      <c r="AE14" s="22" t="s">
        <v>76</v>
      </c>
      <c r="AP14" s="23" t="s">
        <v>74</v>
      </c>
      <c r="AR14" s="30" t="s">
        <v>125</v>
      </c>
      <c r="AV14" s="23" t="s">
        <v>78</v>
      </c>
    </row>
    <row r="15" spans="1:53" x14ac:dyDescent="0.15">
      <c r="A15" s="57" t="s">
        <v>56</v>
      </c>
      <c r="B15" s="57" t="s">
        <v>232</v>
      </c>
      <c r="C15" s="54">
        <v>2019</v>
      </c>
      <c r="D15" s="96" t="s">
        <v>233</v>
      </c>
      <c r="E15" s="54" t="s">
        <v>162</v>
      </c>
      <c r="F15" s="54" t="s">
        <v>250</v>
      </c>
      <c r="G15" s="57" t="s">
        <v>42</v>
      </c>
      <c r="H15" s="54" t="s">
        <v>165</v>
      </c>
      <c r="I15" s="57" t="s">
        <v>159</v>
      </c>
      <c r="J15" s="54" t="s">
        <v>38</v>
      </c>
      <c r="K15" s="54" t="s">
        <v>161</v>
      </c>
      <c r="L15" s="53">
        <v>2</v>
      </c>
      <c r="N15" s="53">
        <v>1</v>
      </c>
      <c r="O15" s="53">
        <v>0.9</v>
      </c>
      <c r="P15" s="53">
        <v>0.8</v>
      </c>
      <c r="Q15" s="97">
        <f t="shared" si="0"/>
        <v>0.85000000000000009</v>
      </c>
      <c r="R15" s="53">
        <v>13.4</v>
      </c>
      <c r="S15" s="53">
        <v>119</v>
      </c>
      <c r="T15" s="16">
        <f t="shared" si="1"/>
        <v>30</v>
      </c>
      <c r="U15" s="53">
        <v>106</v>
      </c>
      <c r="V15" s="16">
        <f t="shared" si="2"/>
        <v>3180</v>
      </c>
      <c r="W15" s="53">
        <v>5</v>
      </c>
      <c r="X15" s="57" t="s">
        <v>46</v>
      </c>
      <c r="Y15" s="57" t="s">
        <v>78</v>
      </c>
      <c r="Z15" s="54" t="s">
        <v>55</v>
      </c>
      <c r="AA15" s="57" t="s">
        <v>47</v>
      </c>
      <c r="AB15" s="54" t="s">
        <v>158</v>
      </c>
      <c r="AE15" s="22" t="s">
        <v>79</v>
      </c>
      <c r="AP15" s="23" t="s">
        <v>77</v>
      </c>
      <c r="AR15" s="30" t="s">
        <v>94</v>
      </c>
      <c r="AV15" s="23" t="s">
        <v>107</v>
      </c>
    </row>
    <row r="16" spans="1:53" x14ac:dyDescent="0.15">
      <c r="A16" s="57" t="s">
        <v>56</v>
      </c>
      <c r="B16" s="57" t="s">
        <v>232</v>
      </c>
      <c r="C16" s="54">
        <v>2019</v>
      </c>
      <c r="D16" s="96" t="s">
        <v>233</v>
      </c>
      <c r="E16" s="54" t="s">
        <v>162</v>
      </c>
      <c r="F16" s="54" t="s">
        <v>250</v>
      </c>
      <c r="G16" s="57" t="s">
        <v>42</v>
      </c>
      <c r="H16" s="54" t="s">
        <v>165</v>
      </c>
      <c r="I16" s="57" t="s">
        <v>159</v>
      </c>
      <c r="J16" s="54" t="s">
        <v>38</v>
      </c>
      <c r="K16" s="54" t="s">
        <v>161</v>
      </c>
      <c r="L16" s="53">
        <v>3</v>
      </c>
      <c r="N16" s="53">
        <v>1</v>
      </c>
      <c r="O16" s="53">
        <v>0.9</v>
      </c>
      <c r="P16" s="53">
        <v>0.85</v>
      </c>
      <c r="Q16" s="97">
        <f t="shared" si="0"/>
        <v>0.875</v>
      </c>
      <c r="R16" s="36">
        <v>12.9</v>
      </c>
      <c r="S16" s="53">
        <v>116</v>
      </c>
      <c r="T16" s="16">
        <f t="shared" si="1"/>
        <v>30</v>
      </c>
      <c r="U16" s="53">
        <v>106</v>
      </c>
      <c r="V16" s="16">
        <f t="shared" si="2"/>
        <v>3180</v>
      </c>
      <c r="W16" s="53">
        <v>5</v>
      </c>
      <c r="X16" s="57" t="s">
        <v>46</v>
      </c>
      <c r="Y16" s="57" t="s">
        <v>78</v>
      </c>
      <c r="Z16" s="54" t="s">
        <v>55</v>
      </c>
      <c r="AA16" s="57" t="s">
        <v>47</v>
      </c>
      <c r="AB16" s="54" t="s">
        <v>158</v>
      </c>
      <c r="AE16" s="22" t="s">
        <v>82</v>
      </c>
      <c r="AP16" s="23" t="s">
        <v>80</v>
      </c>
      <c r="AR16" s="41" t="s">
        <v>63</v>
      </c>
      <c r="AV16" s="23" t="s">
        <v>84</v>
      </c>
    </row>
    <row r="17" spans="1:48" x14ac:dyDescent="0.15">
      <c r="A17" s="57" t="s">
        <v>56</v>
      </c>
      <c r="B17" s="57" t="s">
        <v>232</v>
      </c>
      <c r="C17" s="54">
        <v>2019</v>
      </c>
      <c r="D17" s="96" t="s">
        <v>233</v>
      </c>
      <c r="E17" s="54" t="s">
        <v>162</v>
      </c>
      <c r="F17" s="54" t="s">
        <v>250</v>
      </c>
      <c r="G17" s="57" t="s">
        <v>42</v>
      </c>
      <c r="H17" s="54" t="s">
        <v>160</v>
      </c>
      <c r="I17" s="57" t="s">
        <v>159</v>
      </c>
      <c r="J17" s="54" t="s">
        <v>38</v>
      </c>
      <c r="K17" s="54" t="s">
        <v>161</v>
      </c>
      <c r="L17" s="53">
        <v>1</v>
      </c>
      <c r="N17" s="53">
        <v>1</v>
      </c>
      <c r="O17" s="53">
        <v>1</v>
      </c>
      <c r="P17" s="53">
        <v>1.1000000000000001</v>
      </c>
      <c r="Q17" s="97">
        <f t="shared" si="0"/>
        <v>1.05</v>
      </c>
      <c r="R17" s="53">
        <v>15.1</v>
      </c>
      <c r="S17" s="53">
        <v>122</v>
      </c>
      <c r="T17" s="16">
        <f t="shared" si="1"/>
        <v>27</v>
      </c>
      <c r="U17" s="53">
        <v>138</v>
      </c>
      <c r="V17" s="16">
        <f t="shared" si="2"/>
        <v>3726</v>
      </c>
      <c r="W17" s="53">
        <v>5</v>
      </c>
      <c r="X17" s="57" t="s">
        <v>46</v>
      </c>
      <c r="Y17" s="57" t="s">
        <v>78</v>
      </c>
      <c r="Z17" s="54" t="s">
        <v>55</v>
      </c>
      <c r="AA17" s="57" t="s">
        <v>47</v>
      </c>
      <c r="AB17" s="54" t="s">
        <v>158</v>
      </c>
      <c r="AE17" s="22" t="s">
        <v>85</v>
      </c>
      <c r="AP17" s="43" t="s">
        <v>110</v>
      </c>
      <c r="AR17" s="41" t="s">
        <v>96</v>
      </c>
      <c r="AV17" s="23" t="s">
        <v>86</v>
      </c>
    </row>
    <row r="18" spans="1:48" x14ac:dyDescent="0.15">
      <c r="A18" s="57" t="s">
        <v>56</v>
      </c>
      <c r="B18" s="57" t="s">
        <v>232</v>
      </c>
      <c r="C18" s="54">
        <v>2019</v>
      </c>
      <c r="D18" s="96" t="s">
        <v>233</v>
      </c>
      <c r="E18" s="54" t="s">
        <v>162</v>
      </c>
      <c r="F18" s="54" t="s">
        <v>250</v>
      </c>
      <c r="G18" s="57" t="s">
        <v>42</v>
      </c>
      <c r="H18" s="54" t="s">
        <v>160</v>
      </c>
      <c r="I18" s="57" t="s">
        <v>159</v>
      </c>
      <c r="J18" s="54" t="s">
        <v>38</v>
      </c>
      <c r="K18" s="54" t="s">
        <v>161</v>
      </c>
      <c r="L18" s="53">
        <v>2</v>
      </c>
      <c r="N18" s="53">
        <v>1</v>
      </c>
      <c r="O18" s="53">
        <v>0.75</v>
      </c>
      <c r="P18" s="53">
        <v>0.7</v>
      </c>
      <c r="Q18" s="97">
        <f t="shared" si="0"/>
        <v>0.72499999999999998</v>
      </c>
      <c r="R18" s="53">
        <v>14.1</v>
      </c>
      <c r="S18" s="53">
        <v>116</v>
      </c>
      <c r="T18" s="16">
        <f t="shared" si="1"/>
        <v>30</v>
      </c>
      <c r="U18" s="53">
        <v>138</v>
      </c>
      <c r="V18" s="16">
        <f t="shared" si="2"/>
        <v>4140</v>
      </c>
      <c r="W18" s="53">
        <v>5</v>
      </c>
      <c r="X18" s="57" t="s">
        <v>46</v>
      </c>
      <c r="Y18" s="57" t="s">
        <v>78</v>
      </c>
      <c r="Z18" s="54" t="s">
        <v>55</v>
      </c>
      <c r="AA18" s="57" t="s">
        <v>47</v>
      </c>
      <c r="AB18" s="54" t="s">
        <v>158</v>
      </c>
      <c r="AE18" s="22" t="s">
        <v>87</v>
      </c>
      <c r="AP18" s="43" t="s">
        <v>111</v>
      </c>
      <c r="AR18" s="41" t="s">
        <v>101</v>
      </c>
      <c r="AV18" s="23" t="s">
        <v>88</v>
      </c>
    </row>
    <row r="19" spans="1:48" x14ac:dyDescent="0.15">
      <c r="A19" s="57" t="s">
        <v>56</v>
      </c>
      <c r="B19" s="57" t="s">
        <v>232</v>
      </c>
      <c r="C19" s="54">
        <v>2019</v>
      </c>
      <c r="D19" s="96" t="s">
        <v>233</v>
      </c>
      <c r="E19" s="54" t="s">
        <v>162</v>
      </c>
      <c r="F19" s="54" t="s">
        <v>250</v>
      </c>
      <c r="G19" s="57" t="s">
        <v>42</v>
      </c>
      <c r="H19" s="54" t="s">
        <v>160</v>
      </c>
      <c r="I19" s="57" t="s">
        <v>159</v>
      </c>
      <c r="J19" s="54" t="s">
        <v>38</v>
      </c>
      <c r="K19" s="54" t="s">
        <v>161</v>
      </c>
      <c r="L19" s="53">
        <v>3</v>
      </c>
      <c r="N19" s="53">
        <v>1</v>
      </c>
      <c r="O19" s="53">
        <v>1.05</v>
      </c>
      <c r="P19" s="53">
        <v>0.95</v>
      </c>
      <c r="Q19" s="97">
        <f t="shared" si="0"/>
        <v>1</v>
      </c>
      <c r="R19" s="36">
        <v>14.3</v>
      </c>
      <c r="S19" s="53">
        <v>126</v>
      </c>
      <c r="T19" s="16">
        <f t="shared" si="1"/>
        <v>27</v>
      </c>
      <c r="U19" s="53">
        <v>138</v>
      </c>
      <c r="V19" s="16">
        <f t="shared" si="2"/>
        <v>3726</v>
      </c>
      <c r="W19" s="53">
        <v>5</v>
      </c>
      <c r="X19" s="57" t="s">
        <v>46</v>
      </c>
      <c r="Y19" s="57" t="s">
        <v>78</v>
      </c>
      <c r="Z19" s="54" t="s">
        <v>55</v>
      </c>
      <c r="AA19" s="57" t="s">
        <v>47</v>
      </c>
      <c r="AB19" s="54" t="s">
        <v>158</v>
      </c>
      <c r="AE19" s="35" t="s">
        <v>89</v>
      </c>
      <c r="AP19" s="43" t="s">
        <v>112</v>
      </c>
      <c r="AR19" s="30" t="s">
        <v>126</v>
      </c>
      <c r="AV19" s="23" t="s">
        <v>90</v>
      </c>
    </row>
    <row r="20" spans="1:48" x14ac:dyDescent="0.15">
      <c r="A20" s="57" t="s">
        <v>56</v>
      </c>
      <c r="B20" s="57" t="s">
        <v>232</v>
      </c>
      <c r="C20" s="54">
        <v>2019</v>
      </c>
      <c r="D20" s="96" t="s">
        <v>233</v>
      </c>
      <c r="E20" s="54" t="s">
        <v>162</v>
      </c>
      <c r="F20" s="54" t="s">
        <v>250</v>
      </c>
      <c r="G20" s="57" t="s">
        <v>42</v>
      </c>
      <c r="H20" s="54" t="s">
        <v>127</v>
      </c>
      <c r="I20" s="57" t="s">
        <v>159</v>
      </c>
      <c r="J20" s="54" t="s">
        <v>53</v>
      </c>
      <c r="K20" s="54" t="s">
        <v>54</v>
      </c>
      <c r="L20" s="53">
        <v>1</v>
      </c>
      <c r="N20" s="53">
        <v>6</v>
      </c>
      <c r="O20" s="53">
        <v>1.1499999999999999</v>
      </c>
      <c r="P20" s="53">
        <v>1</v>
      </c>
      <c r="Q20" s="97">
        <f t="shared" si="0"/>
        <v>1.075</v>
      </c>
      <c r="R20" s="53">
        <v>12.8</v>
      </c>
      <c r="S20" s="53">
        <v>77</v>
      </c>
      <c r="T20" s="16">
        <f t="shared" si="1"/>
        <v>39</v>
      </c>
      <c r="U20" s="53">
        <v>430</v>
      </c>
      <c r="V20" s="16">
        <f t="shared" si="2"/>
        <v>2795</v>
      </c>
      <c r="W20" s="53">
        <v>2</v>
      </c>
      <c r="X20" s="57" t="s">
        <v>46</v>
      </c>
      <c r="Y20" s="57" t="s">
        <v>78</v>
      </c>
      <c r="Z20" s="54" t="s">
        <v>55</v>
      </c>
      <c r="AA20" s="57" t="s">
        <v>47</v>
      </c>
      <c r="AB20" s="54" t="s">
        <v>158</v>
      </c>
      <c r="AP20" s="43" t="s">
        <v>113</v>
      </c>
      <c r="AR20" s="41" t="s">
        <v>105</v>
      </c>
      <c r="AV20" s="27" t="s">
        <v>135</v>
      </c>
    </row>
    <row r="21" spans="1:48" x14ac:dyDescent="0.15">
      <c r="A21" s="57" t="s">
        <v>56</v>
      </c>
      <c r="B21" s="57" t="s">
        <v>232</v>
      </c>
      <c r="C21" s="54">
        <v>2019</v>
      </c>
      <c r="D21" s="96" t="s">
        <v>233</v>
      </c>
      <c r="E21" s="54" t="s">
        <v>162</v>
      </c>
      <c r="F21" s="54" t="s">
        <v>250</v>
      </c>
      <c r="G21" s="57" t="s">
        <v>42</v>
      </c>
      <c r="H21" s="54" t="s">
        <v>127</v>
      </c>
      <c r="I21" s="57" t="s">
        <v>159</v>
      </c>
      <c r="J21" s="54" t="s">
        <v>53</v>
      </c>
      <c r="K21" s="54" t="s">
        <v>54</v>
      </c>
      <c r="L21" s="53">
        <v>2</v>
      </c>
      <c r="N21" s="53">
        <v>6</v>
      </c>
      <c r="O21" s="53">
        <v>0.8</v>
      </c>
      <c r="P21" s="53">
        <v>1</v>
      </c>
      <c r="Q21" s="97">
        <f t="shared" si="0"/>
        <v>0.9</v>
      </c>
      <c r="R21" s="53">
        <v>13.3</v>
      </c>
      <c r="S21" s="53">
        <v>83</v>
      </c>
      <c r="T21" s="16">
        <f t="shared" si="1"/>
        <v>39</v>
      </c>
      <c r="U21" s="53">
        <v>430</v>
      </c>
      <c r="V21" s="16">
        <f t="shared" si="2"/>
        <v>2795</v>
      </c>
      <c r="W21" s="53">
        <v>2</v>
      </c>
      <c r="X21" s="57" t="s">
        <v>46</v>
      </c>
      <c r="Y21" s="57" t="s">
        <v>78</v>
      </c>
      <c r="Z21" s="54" t="s">
        <v>55</v>
      </c>
      <c r="AA21" s="57" t="s">
        <v>47</v>
      </c>
      <c r="AB21" s="54" t="s">
        <v>158</v>
      </c>
      <c r="AP21" s="43" t="s">
        <v>114</v>
      </c>
      <c r="AR21" s="41" t="s">
        <v>68</v>
      </c>
      <c r="AV21" s="28" t="s">
        <v>251</v>
      </c>
    </row>
    <row r="22" spans="1:48" x14ac:dyDescent="0.15">
      <c r="A22" s="57" t="s">
        <v>56</v>
      </c>
      <c r="B22" s="57" t="s">
        <v>232</v>
      </c>
      <c r="C22" s="54">
        <v>2019</v>
      </c>
      <c r="D22" s="96" t="s">
        <v>233</v>
      </c>
      <c r="E22" s="54" t="s">
        <v>162</v>
      </c>
      <c r="F22" s="54" t="s">
        <v>250</v>
      </c>
      <c r="G22" s="57" t="s">
        <v>42</v>
      </c>
      <c r="H22" s="54" t="s">
        <v>127</v>
      </c>
      <c r="I22" s="57" t="s">
        <v>159</v>
      </c>
      <c r="J22" s="54" t="s">
        <v>53</v>
      </c>
      <c r="K22" s="54" t="s">
        <v>54</v>
      </c>
      <c r="L22" s="53">
        <v>3</v>
      </c>
      <c r="N22" s="53">
        <v>6</v>
      </c>
      <c r="O22" s="53">
        <v>1.05</v>
      </c>
      <c r="P22" s="53">
        <v>1</v>
      </c>
      <c r="Q22" s="97">
        <f t="shared" si="0"/>
        <v>1.0249999999999999</v>
      </c>
      <c r="R22" s="36">
        <v>12.6</v>
      </c>
      <c r="S22" s="53">
        <v>80</v>
      </c>
      <c r="T22" s="16">
        <f t="shared" si="1"/>
        <v>39</v>
      </c>
      <c r="U22" s="53">
        <v>430</v>
      </c>
      <c r="V22" s="16">
        <f t="shared" si="2"/>
        <v>2795</v>
      </c>
      <c r="W22" s="53">
        <v>2</v>
      </c>
      <c r="X22" s="57" t="s">
        <v>46</v>
      </c>
      <c r="Y22" s="57" t="s">
        <v>78</v>
      </c>
      <c r="Z22" s="54" t="s">
        <v>55</v>
      </c>
      <c r="AA22" s="57" t="s">
        <v>47</v>
      </c>
      <c r="AB22" s="54" t="s">
        <v>158</v>
      </c>
      <c r="AP22" s="43" t="s">
        <v>115</v>
      </c>
      <c r="AR22" s="41" t="s">
        <v>83</v>
      </c>
    </row>
    <row r="23" spans="1:48" x14ac:dyDescent="0.15">
      <c r="A23" s="57" t="s">
        <v>56</v>
      </c>
      <c r="B23" s="57" t="s">
        <v>232</v>
      </c>
      <c r="C23" s="54">
        <v>2019</v>
      </c>
      <c r="D23" s="96" t="s">
        <v>233</v>
      </c>
      <c r="E23" s="54" t="s">
        <v>252</v>
      </c>
      <c r="F23" s="54" t="s">
        <v>253</v>
      </c>
      <c r="G23" s="57" t="s">
        <v>42</v>
      </c>
      <c r="H23" s="54" t="s">
        <v>165</v>
      </c>
      <c r="I23" s="57" t="s">
        <v>159</v>
      </c>
      <c r="J23" s="54" t="s">
        <v>38</v>
      </c>
      <c r="K23" s="54" t="s">
        <v>161</v>
      </c>
      <c r="L23" s="53">
        <v>1</v>
      </c>
      <c r="N23" s="53">
        <v>1</v>
      </c>
      <c r="O23" s="53">
        <v>0.65</v>
      </c>
      <c r="P23" s="53">
        <v>0.55000000000000004</v>
      </c>
      <c r="Q23" s="97">
        <f t="shared" si="0"/>
        <v>0.60000000000000009</v>
      </c>
      <c r="R23" s="53">
        <v>14.9</v>
      </c>
      <c r="S23" s="53">
        <v>117</v>
      </c>
      <c r="T23" s="16">
        <f t="shared" si="1"/>
        <v>30</v>
      </c>
      <c r="U23" s="53">
        <v>138</v>
      </c>
      <c r="V23" s="16">
        <f t="shared" si="2"/>
        <v>4140</v>
      </c>
      <c r="W23" s="53">
        <v>4</v>
      </c>
      <c r="X23" s="57" t="s">
        <v>46</v>
      </c>
      <c r="Y23" s="57" t="s">
        <v>55</v>
      </c>
      <c r="Z23" s="54" t="s">
        <v>78</v>
      </c>
      <c r="AA23" s="57" t="s">
        <v>47</v>
      </c>
      <c r="AB23" s="54" t="s">
        <v>158</v>
      </c>
      <c r="AP23" s="43" t="s">
        <v>137</v>
      </c>
      <c r="AR23" s="41" t="s">
        <v>61</v>
      </c>
    </row>
    <row r="24" spans="1:48" x14ac:dyDescent="0.15">
      <c r="A24" s="57" t="s">
        <v>56</v>
      </c>
      <c r="B24" s="57" t="s">
        <v>232</v>
      </c>
      <c r="C24" s="54">
        <v>2019</v>
      </c>
      <c r="D24" s="96" t="s">
        <v>233</v>
      </c>
      <c r="E24" s="54" t="s">
        <v>252</v>
      </c>
      <c r="F24" s="54" t="s">
        <v>253</v>
      </c>
      <c r="G24" s="57" t="s">
        <v>42</v>
      </c>
      <c r="H24" s="54" t="s">
        <v>165</v>
      </c>
      <c r="I24" s="57" t="s">
        <v>159</v>
      </c>
      <c r="J24" s="54" t="s">
        <v>38</v>
      </c>
      <c r="K24" s="54" t="s">
        <v>161</v>
      </c>
      <c r="L24" s="53">
        <v>2</v>
      </c>
      <c r="N24" s="53">
        <v>1</v>
      </c>
      <c r="O24" s="53">
        <v>0.65</v>
      </c>
      <c r="P24" s="53">
        <v>0.6</v>
      </c>
      <c r="Q24" s="97">
        <f t="shared" si="0"/>
        <v>0.625</v>
      </c>
      <c r="R24" s="53">
        <v>14.6</v>
      </c>
      <c r="S24" s="53">
        <v>116</v>
      </c>
      <c r="T24" s="16">
        <f t="shared" si="1"/>
        <v>30</v>
      </c>
      <c r="U24" s="53">
        <v>138</v>
      </c>
      <c r="V24" s="16">
        <f t="shared" si="2"/>
        <v>4140</v>
      </c>
      <c r="W24" s="53">
        <v>4</v>
      </c>
      <c r="X24" s="57" t="s">
        <v>46</v>
      </c>
      <c r="Y24" s="57" t="s">
        <v>55</v>
      </c>
      <c r="Z24" s="54" t="s">
        <v>78</v>
      </c>
      <c r="AA24" s="57" t="s">
        <v>47</v>
      </c>
      <c r="AB24" s="54" t="s">
        <v>158</v>
      </c>
      <c r="AP24" s="43" t="s">
        <v>138</v>
      </c>
      <c r="AR24" s="41" t="s">
        <v>91</v>
      </c>
    </row>
    <row r="25" spans="1:48" x14ac:dyDescent="0.15">
      <c r="A25" s="57" t="s">
        <v>56</v>
      </c>
      <c r="B25" s="57" t="s">
        <v>232</v>
      </c>
      <c r="C25" s="54">
        <v>2019</v>
      </c>
      <c r="D25" s="96" t="s">
        <v>233</v>
      </c>
      <c r="E25" s="54" t="s">
        <v>252</v>
      </c>
      <c r="F25" s="54" t="s">
        <v>253</v>
      </c>
      <c r="G25" s="57" t="s">
        <v>42</v>
      </c>
      <c r="H25" s="54" t="s">
        <v>165</v>
      </c>
      <c r="I25" s="57" t="s">
        <v>159</v>
      </c>
      <c r="J25" s="54" t="s">
        <v>38</v>
      </c>
      <c r="K25" s="54" t="s">
        <v>161</v>
      </c>
      <c r="L25" s="53">
        <v>3</v>
      </c>
      <c r="N25" s="53">
        <v>1</v>
      </c>
      <c r="O25" s="53">
        <v>0.6</v>
      </c>
      <c r="P25" s="53">
        <v>0.6</v>
      </c>
      <c r="Q25" s="97">
        <f t="shared" si="0"/>
        <v>0.6</v>
      </c>
      <c r="R25" s="53">
        <v>14.6</v>
      </c>
      <c r="S25" s="53">
        <v>119</v>
      </c>
      <c r="T25" s="16">
        <f t="shared" si="1"/>
        <v>30</v>
      </c>
      <c r="U25" s="53">
        <v>138</v>
      </c>
      <c r="V25" s="16">
        <f t="shared" si="2"/>
        <v>4140</v>
      </c>
      <c r="W25" s="53">
        <v>4</v>
      </c>
      <c r="X25" s="57" t="s">
        <v>46</v>
      </c>
      <c r="Y25" s="57" t="s">
        <v>55</v>
      </c>
      <c r="Z25" s="54" t="s">
        <v>78</v>
      </c>
      <c r="AA25" s="57" t="s">
        <v>47</v>
      </c>
      <c r="AB25" s="54" t="s">
        <v>158</v>
      </c>
      <c r="AP25" s="43" t="s">
        <v>116</v>
      </c>
      <c r="AR25" s="42" t="s">
        <v>92</v>
      </c>
    </row>
    <row r="26" spans="1:48" x14ac:dyDescent="0.15">
      <c r="A26" s="57" t="s">
        <v>56</v>
      </c>
      <c r="B26" s="57" t="s">
        <v>232</v>
      </c>
      <c r="C26" s="54">
        <v>2019</v>
      </c>
      <c r="D26" s="96" t="s">
        <v>233</v>
      </c>
      <c r="E26" s="54" t="s">
        <v>252</v>
      </c>
      <c r="F26" s="54" t="s">
        <v>253</v>
      </c>
      <c r="G26" s="57" t="s">
        <v>42</v>
      </c>
      <c r="H26" s="54" t="s">
        <v>160</v>
      </c>
      <c r="I26" s="57" t="s">
        <v>159</v>
      </c>
      <c r="J26" s="54" t="s">
        <v>38</v>
      </c>
      <c r="K26" s="54" t="s">
        <v>161</v>
      </c>
      <c r="L26" s="53">
        <v>1</v>
      </c>
      <c r="N26" s="53">
        <v>1</v>
      </c>
      <c r="O26" s="53">
        <v>0.8</v>
      </c>
      <c r="P26" s="53">
        <v>0.85</v>
      </c>
      <c r="Q26" s="97">
        <f t="shared" si="0"/>
        <v>0.82499999999999996</v>
      </c>
      <c r="R26" s="53">
        <v>13.8</v>
      </c>
      <c r="S26" s="53">
        <v>134</v>
      </c>
      <c r="T26" s="16">
        <f t="shared" si="1"/>
        <v>25</v>
      </c>
      <c r="U26" s="53">
        <v>138</v>
      </c>
      <c r="V26" s="16">
        <f t="shared" si="2"/>
        <v>3450</v>
      </c>
      <c r="W26" s="53">
        <v>4</v>
      </c>
      <c r="X26" s="57" t="s">
        <v>46</v>
      </c>
      <c r="Y26" s="57" t="s">
        <v>55</v>
      </c>
      <c r="Z26" s="54" t="s">
        <v>78</v>
      </c>
      <c r="AA26" s="57" t="s">
        <v>47</v>
      </c>
      <c r="AB26" s="54" t="s">
        <v>158</v>
      </c>
      <c r="AP26" s="43" t="s">
        <v>117</v>
      </c>
      <c r="AR26" s="53" t="s">
        <v>153</v>
      </c>
    </row>
    <row r="27" spans="1:48" x14ac:dyDescent="0.15">
      <c r="A27" s="57" t="s">
        <v>56</v>
      </c>
      <c r="B27" s="57" t="s">
        <v>232</v>
      </c>
      <c r="C27" s="54">
        <v>2019</v>
      </c>
      <c r="D27" s="96" t="s">
        <v>233</v>
      </c>
      <c r="E27" s="54" t="s">
        <v>252</v>
      </c>
      <c r="F27" s="54" t="s">
        <v>253</v>
      </c>
      <c r="G27" s="57" t="s">
        <v>42</v>
      </c>
      <c r="H27" s="54" t="s">
        <v>160</v>
      </c>
      <c r="I27" s="57" t="s">
        <v>159</v>
      </c>
      <c r="J27" s="54" t="s">
        <v>38</v>
      </c>
      <c r="K27" s="54" t="s">
        <v>161</v>
      </c>
      <c r="L27" s="53">
        <v>2</v>
      </c>
      <c r="N27" s="53">
        <v>1</v>
      </c>
      <c r="O27" s="53">
        <v>0.7</v>
      </c>
      <c r="P27" s="53">
        <v>0.7</v>
      </c>
      <c r="Q27" s="97">
        <f t="shared" si="0"/>
        <v>0.7</v>
      </c>
      <c r="R27" s="53">
        <v>14.8</v>
      </c>
      <c r="S27" s="53">
        <v>124</v>
      </c>
      <c r="T27" s="16">
        <f t="shared" si="1"/>
        <v>27</v>
      </c>
      <c r="U27" s="53">
        <v>138</v>
      </c>
      <c r="V27" s="16">
        <f t="shared" si="2"/>
        <v>3726</v>
      </c>
      <c r="W27" s="53">
        <v>4</v>
      </c>
      <c r="X27" s="57" t="s">
        <v>46</v>
      </c>
      <c r="Y27" s="57" t="s">
        <v>55</v>
      </c>
      <c r="Z27" s="54" t="s">
        <v>78</v>
      </c>
      <c r="AA27" s="57" t="s">
        <v>47</v>
      </c>
      <c r="AB27" s="54" t="s">
        <v>158</v>
      </c>
      <c r="AP27" s="43" t="s">
        <v>118</v>
      </c>
    </row>
    <row r="28" spans="1:48" x14ac:dyDescent="0.15">
      <c r="A28" s="57" t="s">
        <v>56</v>
      </c>
      <c r="B28" s="57" t="s">
        <v>232</v>
      </c>
      <c r="C28" s="54">
        <v>2019</v>
      </c>
      <c r="D28" s="96" t="s">
        <v>233</v>
      </c>
      <c r="E28" s="54" t="s">
        <v>252</v>
      </c>
      <c r="F28" s="54" t="s">
        <v>253</v>
      </c>
      <c r="G28" s="57" t="s">
        <v>42</v>
      </c>
      <c r="H28" s="54" t="s">
        <v>160</v>
      </c>
      <c r="I28" s="57" t="s">
        <v>159</v>
      </c>
      <c r="J28" s="54" t="s">
        <v>38</v>
      </c>
      <c r="K28" s="54" t="s">
        <v>161</v>
      </c>
      <c r="L28" s="53">
        <v>3</v>
      </c>
      <c r="N28" s="53">
        <v>1</v>
      </c>
      <c r="O28" s="53">
        <v>0.85</v>
      </c>
      <c r="P28" s="53">
        <v>0.75</v>
      </c>
      <c r="Q28" s="97">
        <f t="shared" si="0"/>
        <v>0.8</v>
      </c>
      <c r="R28" s="53">
        <v>15.2</v>
      </c>
      <c r="S28" s="53">
        <v>124</v>
      </c>
      <c r="T28" s="16">
        <f t="shared" si="1"/>
        <v>27</v>
      </c>
      <c r="U28" s="53">
        <v>138</v>
      </c>
      <c r="V28" s="16">
        <f t="shared" si="2"/>
        <v>3726</v>
      </c>
      <c r="W28" s="53">
        <v>4</v>
      </c>
      <c r="X28" s="57" t="s">
        <v>46</v>
      </c>
      <c r="Y28" s="57" t="s">
        <v>55</v>
      </c>
      <c r="Z28" s="54" t="s">
        <v>78</v>
      </c>
      <c r="AA28" s="57" t="s">
        <v>47</v>
      </c>
      <c r="AB28" s="54" t="s">
        <v>158</v>
      </c>
    </row>
    <row r="29" spans="1:48" x14ac:dyDescent="0.15">
      <c r="A29" s="57" t="s">
        <v>56</v>
      </c>
      <c r="B29" s="57" t="s">
        <v>232</v>
      </c>
      <c r="C29" s="54">
        <v>2019</v>
      </c>
      <c r="D29" s="96" t="s">
        <v>233</v>
      </c>
      <c r="E29" s="54" t="s">
        <v>254</v>
      </c>
      <c r="F29" s="54" t="s">
        <v>250</v>
      </c>
      <c r="G29" s="57" t="s">
        <v>42</v>
      </c>
      <c r="H29" s="54" t="s">
        <v>127</v>
      </c>
      <c r="I29" s="57" t="s">
        <v>166</v>
      </c>
      <c r="J29" s="54" t="s">
        <v>80</v>
      </c>
      <c r="K29" s="54" t="s">
        <v>63</v>
      </c>
      <c r="L29" s="53">
        <v>1</v>
      </c>
      <c r="N29" s="53">
        <v>1</v>
      </c>
      <c r="O29" s="53">
        <v>0.85</v>
      </c>
      <c r="P29" s="53">
        <v>0.85</v>
      </c>
      <c r="Q29" s="97">
        <f t="shared" si="0"/>
        <v>0.85</v>
      </c>
      <c r="R29" s="53">
        <v>13.6</v>
      </c>
      <c r="S29" s="53">
        <v>124</v>
      </c>
      <c r="T29" s="16">
        <f t="shared" si="1"/>
        <v>27</v>
      </c>
      <c r="U29" s="53">
        <v>83</v>
      </c>
      <c r="V29" s="16">
        <f t="shared" si="2"/>
        <v>2241</v>
      </c>
      <c r="W29" s="53">
        <v>2</v>
      </c>
      <c r="X29" s="57" t="s">
        <v>39</v>
      </c>
      <c r="Y29" s="57" t="s">
        <v>55</v>
      </c>
      <c r="Z29" s="54" t="s">
        <v>78</v>
      </c>
      <c r="AA29" s="57" t="s">
        <v>90</v>
      </c>
      <c r="AB29" s="54" t="s">
        <v>158</v>
      </c>
    </row>
    <row r="30" spans="1:48" x14ac:dyDescent="0.15">
      <c r="A30" s="57" t="s">
        <v>56</v>
      </c>
      <c r="B30" s="57" t="s">
        <v>232</v>
      </c>
      <c r="C30" s="54">
        <v>2019</v>
      </c>
      <c r="D30" s="96" t="s">
        <v>233</v>
      </c>
      <c r="E30" s="54" t="s">
        <v>254</v>
      </c>
      <c r="F30" s="54" t="s">
        <v>250</v>
      </c>
      <c r="G30" s="57" t="s">
        <v>42</v>
      </c>
      <c r="H30" s="54" t="s">
        <v>127</v>
      </c>
      <c r="I30" s="57" t="s">
        <v>166</v>
      </c>
      <c r="J30" s="54" t="s">
        <v>80</v>
      </c>
      <c r="K30" s="54" t="s">
        <v>63</v>
      </c>
      <c r="L30" s="53">
        <v>2</v>
      </c>
      <c r="N30" s="53">
        <v>1</v>
      </c>
      <c r="O30" s="53">
        <v>0.65</v>
      </c>
      <c r="P30" s="53">
        <v>0.7</v>
      </c>
      <c r="Q30" s="97">
        <f t="shared" si="0"/>
        <v>0.67500000000000004</v>
      </c>
      <c r="R30" s="53">
        <v>11.5</v>
      </c>
      <c r="S30" s="53">
        <v>107</v>
      </c>
      <c r="T30" s="16">
        <f t="shared" si="1"/>
        <v>33</v>
      </c>
      <c r="U30" s="53">
        <v>83</v>
      </c>
      <c r="V30" s="16">
        <f t="shared" si="2"/>
        <v>2739</v>
      </c>
      <c r="W30" s="53">
        <v>2</v>
      </c>
      <c r="X30" s="57" t="s">
        <v>39</v>
      </c>
      <c r="Y30" s="57" t="s">
        <v>55</v>
      </c>
      <c r="Z30" s="54" t="s">
        <v>78</v>
      </c>
      <c r="AA30" s="57" t="s">
        <v>90</v>
      </c>
      <c r="AB30" s="54" t="s">
        <v>158</v>
      </c>
    </row>
    <row r="31" spans="1:48" x14ac:dyDescent="0.15">
      <c r="A31" s="57" t="s">
        <v>56</v>
      </c>
      <c r="B31" s="57" t="s">
        <v>232</v>
      </c>
      <c r="C31" s="54">
        <v>2019</v>
      </c>
      <c r="D31" s="96" t="s">
        <v>233</v>
      </c>
      <c r="E31" s="54" t="s">
        <v>254</v>
      </c>
      <c r="F31" s="54" t="s">
        <v>250</v>
      </c>
      <c r="G31" s="57" t="s">
        <v>42</v>
      </c>
      <c r="H31" s="54" t="s">
        <v>127</v>
      </c>
      <c r="I31" s="57" t="s">
        <v>166</v>
      </c>
      <c r="J31" s="54" t="s">
        <v>80</v>
      </c>
      <c r="K31" s="54" t="s">
        <v>63</v>
      </c>
      <c r="L31" s="53">
        <v>3</v>
      </c>
      <c r="N31" s="53">
        <v>1</v>
      </c>
      <c r="O31" s="53">
        <v>0.55000000000000004</v>
      </c>
      <c r="P31" s="53">
        <v>0.65</v>
      </c>
      <c r="Q31" s="97">
        <f t="shared" si="0"/>
        <v>0.60000000000000009</v>
      </c>
      <c r="R31" s="53">
        <v>12.1</v>
      </c>
      <c r="S31" s="53">
        <v>120</v>
      </c>
      <c r="T31" s="16">
        <f t="shared" si="1"/>
        <v>30</v>
      </c>
      <c r="U31" s="53">
        <v>83</v>
      </c>
      <c r="V31" s="16">
        <f t="shared" si="2"/>
        <v>2490</v>
      </c>
      <c r="W31" s="53">
        <v>2</v>
      </c>
      <c r="X31" s="57" t="s">
        <v>39</v>
      </c>
      <c r="Y31" s="57" t="s">
        <v>55</v>
      </c>
      <c r="Z31" s="54" t="s">
        <v>78</v>
      </c>
      <c r="AA31" s="57" t="s">
        <v>90</v>
      </c>
      <c r="AB31" s="54" t="s">
        <v>158</v>
      </c>
    </row>
    <row r="32" spans="1:48" x14ac:dyDescent="0.15">
      <c r="A32" s="57" t="s">
        <v>56</v>
      </c>
      <c r="B32" s="57" t="s">
        <v>232</v>
      </c>
      <c r="C32" s="54">
        <v>2019</v>
      </c>
      <c r="D32" s="96" t="s">
        <v>233</v>
      </c>
      <c r="E32" s="54" t="s">
        <v>254</v>
      </c>
      <c r="F32" s="54" t="s">
        <v>250</v>
      </c>
      <c r="G32" s="57" t="s">
        <v>42</v>
      </c>
      <c r="H32" s="54" t="s">
        <v>165</v>
      </c>
      <c r="I32" s="57" t="s">
        <v>159</v>
      </c>
      <c r="J32" s="54" t="s">
        <v>38</v>
      </c>
      <c r="K32" s="54" t="s">
        <v>161</v>
      </c>
      <c r="L32" s="53">
        <v>1</v>
      </c>
      <c r="N32" s="53">
        <v>5</v>
      </c>
      <c r="O32" s="53">
        <v>0.75</v>
      </c>
      <c r="P32" s="53">
        <v>0.7</v>
      </c>
      <c r="Q32" s="16">
        <f t="shared" si="0"/>
        <v>0.72499999999999998</v>
      </c>
      <c r="R32" s="53">
        <v>15.2</v>
      </c>
      <c r="S32" s="53">
        <v>90</v>
      </c>
      <c r="T32" s="16">
        <f t="shared" si="1"/>
        <v>36</v>
      </c>
      <c r="U32" s="53">
        <v>388</v>
      </c>
      <c r="V32" s="16">
        <f t="shared" si="2"/>
        <v>2793.6</v>
      </c>
      <c r="W32" s="53">
        <v>2</v>
      </c>
      <c r="X32" s="57" t="s">
        <v>39</v>
      </c>
      <c r="Y32" s="57" t="s">
        <v>55</v>
      </c>
      <c r="Z32" s="54" t="s">
        <v>78</v>
      </c>
      <c r="AA32" s="57" t="s">
        <v>90</v>
      </c>
      <c r="AB32" s="54" t="s">
        <v>158</v>
      </c>
    </row>
    <row r="33" spans="1:28" x14ac:dyDescent="0.15">
      <c r="A33" s="57" t="s">
        <v>56</v>
      </c>
      <c r="B33" s="57" t="s">
        <v>232</v>
      </c>
      <c r="C33" s="54">
        <v>2019</v>
      </c>
      <c r="D33" s="96" t="s">
        <v>233</v>
      </c>
      <c r="E33" s="54" t="s">
        <v>254</v>
      </c>
      <c r="F33" s="54" t="s">
        <v>250</v>
      </c>
      <c r="G33" s="57" t="s">
        <v>42</v>
      </c>
      <c r="H33" s="54" t="s">
        <v>165</v>
      </c>
      <c r="I33" s="57" t="s">
        <v>159</v>
      </c>
      <c r="J33" s="54" t="s">
        <v>38</v>
      </c>
      <c r="K33" s="54" t="s">
        <v>161</v>
      </c>
      <c r="L33" s="53">
        <v>2</v>
      </c>
      <c r="N33" s="53">
        <v>5</v>
      </c>
      <c r="O33" s="53">
        <v>0.6</v>
      </c>
      <c r="P33" s="53">
        <v>0.6</v>
      </c>
      <c r="Q33" s="16">
        <f t="shared" si="0"/>
        <v>0.6</v>
      </c>
      <c r="R33" s="53">
        <v>12.7</v>
      </c>
      <c r="S33" s="53">
        <v>84</v>
      </c>
      <c r="T33" s="16">
        <f t="shared" si="1"/>
        <v>36</v>
      </c>
      <c r="U33" s="53">
        <v>388</v>
      </c>
      <c r="V33" s="16">
        <f t="shared" si="2"/>
        <v>2793.6</v>
      </c>
      <c r="W33" s="53">
        <v>2</v>
      </c>
      <c r="X33" s="57" t="s">
        <v>39</v>
      </c>
      <c r="Y33" s="57" t="s">
        <v>55</v>
      </c>
      <c r="Z33" s="54" t="s">
        <v>78</v>
      </c>
      <c r="AA33" s="57" t="s">
        <v>90</v>
      </c>
      <c r="AB33" s="54" t="s">
        <v>158</v>
      </c>
    </row>
    <row r="34" spans="1:28" x14ac:dyDescent="0.15">
      <c r="A34" s="57" t="s">
        <v>56</v>
      </c>
      <c r="B34" s="57" t="s">
        <v>232</v>
      </c>
      <c r="C34" s="54">
        <v>2019</v>
      </c>
      <c r="D34" s="96" t="s">
        <v>233</v>
      </c>
      <c r="E34" s="54" t="s">
        <v>254</v>
      </c>
      <c r="F34" s="54" t="s">
        <v>250</v>
      </c>
      <c r="G34" s="57" t="s">
        <v>42</v>
      </c>
      <c r="H34" s="54" t="s">
        <v>165</v>
      </c>
      <c r="I34" s="57" t="s">
        <v>159</v>
      </c>
      <c r="J34" s="54" t="s">
        <v>38</v>
      </c>
      <c r="K34" s="54" t="s">
        <v>161</v>
      </c>
      <c r="L34" s="53">
        <v>3</v>
      </c>
      <c r="N34" s="53">
        <v>5</v>
      </c>
      <c r="O34" s="53">
        <v>0.65</v>
      </c>
      <c r="P34" s="53">
        <v>0.65</v>
      </c>
      <c r="Q34" s="16">
        <f t="shared" si="0"/>
        <v>0.65</v>
      </c>
      <c r="R34" s="53">
        <v>13.8</v>
      </c>
      <c r="S34" s="53">
        <v>87</v>
      </c>
      <c r="T34" s="16">
        <f t="shared" si="1"/>
        <v>36</v>
      </c>
      <c r="U34" s="53">
        <v>388</v>
      </c>
      <c r="V34" s="16">
        <f t="shared" si="2"/>
        <v>2793.6</v>
      </c>
      <c r="W34" s="53">
        <v>2</v>
      </c>
      <c r="X34" s="57" t="s">
        <v>39</v>
      </c>
      <c r="Y34" s="57" t="s">
        <v>55</v>
      </c>
      <c r="Z34" s="54" t="s">
        <v>78</v>
      </c>
      <c r="AA34" s="57" t="s">
        <v>90</v>
      </c>
      <c r="AB34" s="54" t="s">
        <v>158</v>
      </c>
    </row>
    <row r="35" spans="1:28" x14ac:dyDescent="0.15">
      <c r="A35" s="57" t="s">
        <v>56</v>
      </c>
      <c r="B35" s="57" t="s">
        <v>232</v>
      </c>
      <c r="C35" s="54">
        <v>2019</v>
      </c>
      <c r="D35" s="96" t="s">
        <v>233</v>
      </c>
      <c r="E35" s="54" t="s">
        <v>254</v>
      </c>
      <c r="F35" s="54" t="s">
        <v>250</v>
      </c>
      <c r="G35" s="57" t="s">
        <v>42</v>
      </c>
      <c r="H35" s="54" t="s">
        <v>160</v>
      </c>
      <c r="I35" s="57" t="s">
        <v>159</v>
      </c>
      <c r="J35" s="54" t="s">
        <v>38</v>
      </c>
      <c r="K35" s="54" t="s">
        <v>161</v>
      </c>
      <c r="L35" s="53">
        <v>1</v>
      </c>
      <c r="N35" s="53">
        <v>4</v>
      </c>
      <c r="O35" s="53">
        <v>0.6</v>
      </c>
      <c r="P35" s="53">
        <v>0.75</v>
      </c>
      <c r="Q35" s="16">
        <f t="shared" si="0"/>
        <v>0.67500000000000004</v>
      </c>
      <c r="R35" s="53">
        <v>16.5</v>
      </c>
      <c r="S35" s="53">
        <v>97</v>
      </c>
      <c r="T35" s="16">
        <f t="shared" si="1"/>
        <v>36</v>
      </c>
      <c r="U35" s="53">
        <v>418</v>
      </c>
      <c r="V35" s="16">
        <f t="shared" si="2"/>
        <v>3762</v>
      </c>
      <c r="W35" s="53">
        <v>4</v>
      </c>
      <c r="X35" s="57" t="s">
        <v>39</v>
      </c>
      <c r="Y35" s="57" t="s">
        <v>55</v>
      </c>
      <c r="Z35" s="54" t="s">
        <v>78</v>
      </c>
      <c r="AA35" s="57" t="s">
        <v>90</v>
      </c>
      <c r="AB35" s="54" t="s">
        <v>158</v>
      </c>
    </row>
    <row r="36" spans="1:28" x14ac:dyDescent="0.15">
      <c r="A36" s="57" t="s">
        <v>56</v>
      </c>
      <c r="B36" s="57" t="s">
        <v>232</v>
      </c>
      <c r="C36" s="54">
        <v>2019</v>
      </c>
      <c r="D36" s="96" t="s">
        <v>233</v>
      </c>
      <c r="E36" s="54" t="s">
        <v>254</v>
      </c>
      <c r="F36" s="54" t="s">
        <v>250</v>
      </c>
      <c r="G36" s="57" t="s">
        <v>42</v>
      </c>
      <c r="H36" s="54" t="s">
        <v>160</v>
      </c>
      <c r="I36" s="57" t="s">
        <v>159</v>
      </c>
      <c r="J36" s="54" t="s">
        <v>38</v>
      </c>
      <c r="K36" s="54" t="s">
        <v>161</v>
      </c>
      <c r="L36" s="53">
        <v>2</v>
      </c>
      <c r="N36" s="53">
        <v>4</v>
      </c>
      <c r="O36" s="53">
        <v>0.65</v>
      </c>
      <c r="P36" s="53">
        <v>0.65</v>
      </c>
      <c r="Q36" s="16">
        <f t="shared" si="0"/>
        <v>0.65</v>
      </c>
      <c r="R36" s="53">
        <v>17.100000000000001</v>
      </c>
      <c r="S36" s="53">
        <v>103</v>
      </c>
      <c r="T36" s="16">
        <f t="shared" si="1"/>
        <v>33</v>
      </c>
      <c r="U36" s="53">
        <v>418</v>
      </c>
      <c r="V36" s="16">
        <f t="shared" si="2"/>
        <v>3448.5</v>
      </c>
      <c r="W36" s="53">
        <v>4</v>
      </c>
      <c r="X36" s="57" t="s">
        <v>39</v>
      </c>
      <c r="Y36" s="57" t="s">
        <v>55</v>
      </c>
      <c r="Z36" s="54" t="s">
        <v>78</v>
      </c>
      <c r="AA36" s="57" t="s">
        <v>90</v>
      </c>
      <c r="AB36" s="54" t="s">
        <v>158</v>
      </c>
    </row>
    <row r="37" spans="1:28" x14ac:dyDescent="0.15">
      <c r="A37" s="57" t="s">
        <v>56</v>
      </c>
      <c r="B37" s="57" t="s">
        <v>232</v>
      </c>
      <c r="C37" s="54">
        <v>2019</v>
      </c>
      <c r="D37" s="96" t="s">
        <v>233</v>
      </c>
      <c r="E37" s="54" t="s">
        <v>254</v>
      </c>
      <c r="F37" s="54" t="s">
        <v>250</v>
      </c>
      <c r="G37" s="57" t="s">
        <v>42</v>
      </c>
      <c r="H37" s="54" t="s">
        <v>160</v>
      </c>
      <c r="I37" s="57" t="s">
        <v>159</v>
      </c>
      <c r="J37" s="54" t="s">
        <v>38</v>
      </c>
      <c r="K37" s="54" t="s">
        <v>161</v>
      </c>
      <c r="L37" s="53">
        <v>3</v>
      </c>
      <c r="N37" s="53">
        <v>4</v>
      </c>
      <c r="O37" s="53">
        <v>0.65</v>
      </c>
      <c r="P37" s="53">
        <v>0.7</v>
      </c>
      <c r="Q37" s="16">
        <f t="shared" si="0"/>
        <v>0.67500000000000004</v>
      </c>
      <c r="R37" s="53">
        <v>15</v>
      </c>
      <c r="S37" s="53">
        <v>100</v>
      </c>
      <c r="T37" s="16">
        <f t="shared" si="1"/>
        <v>33</v>
      </c>
      <c r="U37" s="53">
        <v>418</v>
      </c>
      <c r="V37" s="16">
        <f t="shared" si="2"/>
        <v>3448.5</v>
      </c>
      <c r="W37" s="53">
        <v>4</v>
      </c>
      <c r="X37" s="57" t="s">
        <v>39</v>
      </c>
      <c r="Y37" s="57" t="s">
        <v>55</v>
      </c>
      <c r="Z37" s="54" t="s">
        <v>78</v>
      </c>
      <c r="AA37" s="57" t="s">
        <v>90</v>
      </c>
      <c r="AB37" s="54" t="s">
        <v>158</v>
      </c>
    </row>
    <row r="38" spans="1:28" x14ac:dyDescent="0.15">
      <c r="A38" s="57" t="s">
        <v>56</v>
      </c>
      <c r="B38" s="57" t="s">
        <v>232</v>
      </c>
      <c r="C38" s="54">
        <v>2019</v>
      </c>
      <c r="D38" s="96" t="s">
        <v>233</v>
      </c>
      <c r="E38" s="54" t="s">
        <v>162</v>
      </c>
      <c r="F38" s="54" t="s">
        <v>247</v>
      </c>
      <c r="G38" s="57" t="s">
        <v>42</v>
      </c>
      <c r="H38" s="54" t="s">
        <v>165</v>
      </c>
      <c r="I38" s="57" t="s">
        <v>159</v>
      </c>
      <c r="J38" s="54" t="s">
        <v>38</v>
      </c>
      <c r="K38" s="54" t="s">
        <v>161</v>
      </c>
      <c r="L38" s="53">
        <v>1</v>
      </c>
      <c r="N38" s="53">
        <v>1</v>
      </c>
      <c r="O38" s="53">
        <v>0.65</v>
      </c>
      <c r="P38" s="53">
        <v>0.6</v>
      </c>
      <c r="Q38" s="16">
        <f t="shared" si="0"/>
        <v>0.625</v>
      </c>
      <c r="R38" s="53">
        <v>12.2</v>
      </c>
      <c r="S38" s="53">
        <v>119</v>
      </c>
      <c r="T38" s="16">
        <f t="shared" si="1"/>
        <v>30</v>
      </c>
      <c r="U38" s="53">
        <v>106</v>
      </c>
      <c r="V38" s="16">
        <f t="shared" si="2"/>
        <v>3180</v>
      </c>
      <c r="W38" s="53">
        <v>2</v>
      </c>
      <c r="X38" s="57" t="s">
        <v>46</v>
      </c>
      <c r="Y38" s="57" t="s">
        <v>78</v>
      </c>
      <c r="Z38" s="54" t="s">
        <v>55</v>
      </c>
      <c r="AA38" s="57" t="s">
        <v>47</v>
      </c>
      <c r="AB38" s="54" t="s">
        <v>158</v>
      </c>
    </row>
    <row r="39" spans="1:28" x14ac:dyDescent="0.15">
      <c r="A39" s="57" t="s">
        <v>56</v>
      </c>
      <c r="B39" s="57" t="s">
        <v>232</v>
      </c>
      <c r="C39" s="54">
        <v>2019</v>
      </c>
      <c r="D39" s="96" t="s">
        <v>233</v>
      </c>
      <c r="E39" s="54" t="s">
        <v>162</v>
      </c>
      <c r="F39" s="54" t="s">
        <v>247</v>
      </c>
      <c r="G39" s="57" t="s">
        <v>42</v>
      </c>
      <c r="H39" s="54" t="s">
        <v>165</v>
      </c>
      <c r="I39" s="57" t="s">
        <v>159</v>
      </c>
      <c r="J39" s="54" t="s">
        <v>38</v>
      </c>
      <c r="K39" s="54" t="s">
        <v>161</v>
      </c>
      <c r="L39" s="53">
        <v>2</v>
      </c>
      <c r="N39" s="53">
        <v>1</v>
      </c>
      <c r="O39" s="53">
        <v>0.65</v>
      </c>
      <c r="P39" s="53">
        <v>0.75</v>
      </c>
      <c r="Q39" s="16">
        <f t="shared" si="0"/>
        <v>0.7</v>
      </c>
      <c r="R39" s="53">
        <v>14.4</v>
      </c>
      <c r="S39" s="53">
        <v>114</v>
      </c>
      <c r="T39" s="16">
        <f t="shared" si="1"/>
        <v>30</v>
      </c>
      <c r="U39" s="53">
        <v>106</v>
      </c>
      <c r="V39" s="16">
        <f t="shared" si="2"/>
        <v>3180</v>
      </c>
      <c r="W39" s="53">
        <v>2</v>
      </c>
      <c r="X39" s="57" t="s">
        <v>46</v>
      </c>
      <c r="Y39" s="57" t="s">
        <v>78</v>
      </c>
      <c r="Z39" s="54" t="s">
        <v>55</v>
      </c>
      <c r="AA39" s="57" t="s">
        <v>47</v>
      </c>
      <c r="AB39" s="54" t="s">
        <v>158</v>
      </c>
    </row>
    <row r="40" spans="1:28" x14ac:dyDescent="0.15">
      <c r="A40" s="57" t="s">
        <v>56</v>
      </c>
      <c r="B40" s="57" t="s">
        <v>232</v>
      </c>
      <c r="C40" s="54">
        <v>2019</v>
      </c>
      <c r="D40" s="96" t="s">
        <v>233</v>
      </c>
      <c r="E40" s="54" t="s">
        <v>162</v>
      </c>
      <c r="F40" s="54" t="s">
        <v>247</v>
      </c>
      <c r="G40" s="57" t="s">
        <v>42</v>
      </c>
      <c r="H40" s="54" t="s">
        <v>165</v>
      </c>
      <c r="I40" s="57" t="s">
        <v>159</v>
      </c>
      <c r="J40" s="54" t="s">
        <v>38</v>
      </c>
      <c r="K40" s="54" t="s">
        <v>161</v>
      </c>
      <c r="L40" s="53">
        <v>3</v>
      </c>
      <c r="N40" s="53">
        <v>1</v>
      </c>
      <c r="O40" s="53">
        <v>0.7</v>
      </c>
      <c r="P40" s="53">
        <v>0.65</v>
      </c>
      <c r="Q40" s="16">
        <f t="shared" si="0"/>
        <v>0.67500000000000004</v>
      </c>
      <c r="R40" s="53">
        <v>14.3</v>
      </c>
      <c r="S40" s="53">
        <v>124</v>
      </c>
      <c r="T40" s="16">
        <f t="shared" si="1"/>
        <v>27</v>
      </c>
      <c r="U40" s="53">
        <v>106</v>
      </c>
      <c r="V40" s="16">
        <f t="shared" si="2"/>
        <v>2862</v>
      </c>
      <c r="W40" s="53">
        <v>2</v>
      </c>
      <c r="X40" s="57" t="s">
        <v>46</v>
      </c>
      <c r="Y40" s="57" t="s">
        <v>78</v>
      </c>
      <c r="Z40" s="54" t="s">
        <v>55</v>
      </c>
      <c r="AA40" s="57" t="s">
        <v>47</v>
      </c>
      <c r="AB40" s="54" t="s">
        <v>158</v>
      </c>
    </row>
    <row r="41" spans="1:28" x14ac:dyDescent="0.15">
      <c r="A41" s="57" t="s">
        <v>56</v>
      </c>
      <c r="B41" s="57" t="s">
        <v>232</v>
      </c>
      <c r="C41" s="54">
        <v>2019</v>
      </c>
      <c r="D41" s="96" t="s">
        <v>233</v>
      </c>
      <c r="E41" s="54" t="s">
        <v>162</v>
      </c>
      <c r="F41" s="54" t="s">
        <v>247</v>
      </c>
      <c r="G41" s="57" t="s">
        <v>42</v>
      </c>
      <c r="H41" s="54" t="s">
        <v>160</v>
      </c>
      <c r="I41" s="57" t="s">
        <v>159</v>
      </c>
      <c r="J41" s="54" t="s">
        <v>38</v>
      </c>
      <c r="K41" s="54" t="s">
        <v>161</v>
      </c>
      <c r="L41" s="53">
        <v>1</v>
      </c>
      <c r="N41" s="53">
        <v>1</v>
      </c>
      <c r="O41" s="53">
        <v>0.7</v>
      </c>
      <c r="P41" s="53">
        <v>0.65</v>
      </c>
      <c r="Q41" s="16">
        <f t="shared" si="0"/>
        <v>0.67500000000000004</v>
      </c>
      <c r="R41" s="53">
        <v>15</v>
      </c>
      <c r="S41" s="53">
        <v>120</v>
      </c>
      <c r="T41" s="16">
        <f t="shared" si="1"/>
        <v>30</v>
      </c>
      <c r="U41" s="53">
        <v>138</v>
      </c>
      <c r="V41" s="16">
        <f t="shared" si="2"/>
        <v>4140</v>
      </c>
      <c r="W41" s="53">
        <v>2</v>
      </c>
      <c r="X41" s="57" t="s">
        <v>46</v>
      </c>
      <c r="Y41" s="57" t="s">
        <v>78</v>
      </c>
      <c r="Z41" s="54" t="s">
        <v>55</v>
      </c>
      <c r="AA41" s="57" t="s">
        <v>47</v>
      </c>
      <c r="AB41" s="54" t="s">
        <v>158</v>
      </c>
    </row>
    <row r="42" spans="1:28" x14ac:dyDescent="0.15">
      <c r="A42" s="57" t="s">
        <v>56</v>
      </c>
      <c r="B42" s="57" t="s">
        <v>232</v>
      </c>
      <c r="C42" s="54">
        <v>2019</v>
      </c>
      <c r="D42" s="96" t="s">
        <v>233</v>
      </c>
      <c r="E42" s="54" t="s">
        <v>162</v>
      </c>
      <c r="F42" s="54" t="s">
        <v>247</v>
      </c>
      <c r="G42" s="57" t="s">
        <v>42</v>
      </c>
      <c r="H42" s="54" t="s">
        <v>160</v>
      </c>
      <c r="I42" s="57" t="s">
        <v>159</v>
      </c>
      <c r="J42" s="54" t="s">
        <v>38</v>
      </c>
      <c r="K42" s="54" t="s">
        <v>161</v>
      </c>
      <c r="L42" s="53">
        <v>2</v>
      </c>
      <c r="N42" s="53">
        <v>1</v>
      </c>
      <c r="O42" s="53">
        <v>0.6</v>
      </c>
      <c r="P42" s="53">
        <v>0.6</v>
      </c>
      <c r="Q42" s="16">
        <f t="shared" si="0"/>
        <v>0.6</v>
      </c>
      <c r="R42" s="53">
        <v>13.5</v>
      </c>
      <c r="S42" s="53">
        <v>119</v>
      </c>
      <c r="T42" s="16">
        <f t="shared" si="1"/>
        <v>30</v>
      </c>
      <c r="U42" s="53">
        <v>138</v>
      </c>
      <c r="V42" s="16">
        <f t="shared" si="2"/>
        <v>4140</v>
      </c>
      <c r="W42" s="53">
        <v>2</v>
      </c>
      <c r="X42" s="57" t="s">
        <v>46</v>
      </c>
      <c r="Y42" s="57" t="s">
        <v>78</v>
      </c>
      <c r="Z42" s="54" t="s">
        <v>55</v>
      </c>
      <c r="AA42" s="57" t="s">
        <v>47</v>
      </c>
      <c r="AB42" s="54" t="s">
        <v>158</v>
      </c>
    </row>
    <row r="43" spans="1:28" x14ac:dyDescent="0.15">
      <c r="A43" s="57" t="s">
        <v>56</v>
      </c>
      <c r="B43" s="57" t="s">
        <v>232</v>
      </c>
      <c r="C43" s="54">
        <v>2019</v>
      </c>
      <c r="D43" s="96" t="s">
        <v>233</v>
      </c>
      <c r="E43" s="54" t="s">
        <v>162</v>
      </c>
      <c r="F43" s="54" t="s">
        <v>247</v>
      </c>
      <c r="G43" s="57" t="s">
        <v>42</v>
      </c>
      <c r="H43" s="54" t="s">
        <v>160</v>
      </c>
      <c r="I43" s="57" t="s">
        <v>159</v>
      </c>
      <c r="J43" s="54" t="s">
        <v>38</v>
      </c>
      <c r="K43" s="54" t="s">
        <v>161</v>
      </c>
      <c r="L43" s="53">
        <v>3</v>
      </c>
      <c r="N43" s="53">
        <v>1</v>
      </c>
      <c r="O43" s="53">
        <v>0.65</v>
      </c>
      <c r="P43" s="53">
        <v>0.6</v>
      </c>
      <c r="Q43" s="16">
        <f t="shared" si="0"/>
        <v>0.625</v>
      </c>
      <c r="R43" s="53">
        <v>16.8</v>
      </c>
      <c r="S43" s="53">
        <v>115</v>
      </c>
      <c r="T43" s="16">
        <f t="shared" si="1"/>
        <v>30</v>
      </c>
      <c r="U43" s="53">
        <v>138</v>
      </c>
      <c r="V43" s="16">
        <f t="shared" si="2"/>
        <v>4140</v>
      </c>
      <c r="W43" s="53">
        <v>2</v>
      </c>
      <c r="X43" s="57" t="s">
        <v>46</v>
      </c>
      <c r="Y43" s="57" t="s">
        <v>78</v>
      </c>
      <c r="Z43" s="54" t="s">
        <v>55</v>
      </c>
      <c r="AA43" s="57" t="s">
        <v>47</v>
      </c>
      <c r="AB43" s="54" t="s">
        <v>158</v>
      </c>
    </row>
    <row r="44" spans="1:28" x14ac:dyDescent="0.15">
      <c r="A44" s="57" t="s">
        <v>56</v>
      </c>
      <c r="B44" s="57" t="s">
        <v>232</v>
      </c>
      <c r="C44" s="54">
        <v>2019</v>
      </c>
      <c r="D44" s="96" t="s">
        <v>233</v>
      </c>
      <c r="E44" s="54" t="s">
        <v>255</v>
      </c>
      <c r="F44" s="54" t="s">
        <v>247</v>
      </c>
      <c r="G44" s="57" t="s">
        <v>42</v>
      </c>
      <c r="H44" s="54" t="s">
        <v>165</v>
      </c>
      <c r="I44" s="57" t="s">
        <v>159</v>
      </c>
      <c r="J44" s="54" t="s">
        <v>38</v>
      </c>
      <c r="K44" s="54" t="s">
        <v>161</v>
      </c>
      <c r="L44" s="53">
        <v>1</v>
      </c>
      <c r="N44" s="53">
        <v>1</v>
      </c>
      <c r="O44" s="53">
        <v>0.95</v>
      </c>
      <c r="P44" s="53">
        <v>0.9</v>
      </c>
      <c r="Q44" s="16">
        <f t="shared" si="0"/>
        <v>0.92500000000000004</v>
      </c>
      <c r="R44" s="53">
        <v>12.5</v>
      </c>
      <c r="S44" s="53">
        <v>126</v>
      </c>
      <c r="T44" s="16">
        <f t="shared" si="1"/>
        <v>27</v>
      </c>
      <c r="U44" s="53">
        <v>138</v>
      </c>
      <c r="V44" s="16">
        <f t="shared" si="2"/>
        <v>3726</v>
      </c>
      <c r="W44" s="53">
        <v>1</v>
      </c>
      <c r="X44" s="57" t="s">
        <v>39</v>
      </c>
      <c r="Y44" s="57" t="s">
        <v>40</v>
      </c>
      <c r="Z44" s="54" t="s">
        <v>69</v>
      </c>
      <c r="AA44" s="57" t="s">
        <v>90</v>
      </c>
      <c r="AB44" s="54" t="s">
        <v>158</v>
      </c>
    </row>
    <row r="45" spans="1:28" x14ac:dyDescent="0.15">
      <c r="A45" s="57" t="s">
        <v>56</v>
      </c>
      <c r="B45" s="57" t="s">
        <v>232</v>
      </c>
      <c r="C45" s="54">
        <v>2019</v>
      </c>
      <c r="D45" s="96" t="s">
        <v>233</v>
      </c>
      <c r="E45" s="54" t="s">
        <v>255</v>
      </c>
      <c r="F45" s="54" t="s">
        <v>247</v>
      </c>
      <c r="G45" s="57" t="s">
        <v>42</v>
      </c>
      <c r="H45" s="54" t="s">
        <v>165</v>
      </c>
      <c r="I45" s="57" t="s">
        <v>159</v>
      </c>
      <c r="J45" s="54" t="s">
        <v>38</v>
      </c>
      <c r="K45" s="54" t="s">
        <v>161</v>
      </c>
      <c r="L45" s="53">
        <v>2</v>
      </c>
      <c r="N45" s="53">
        <v>1</v>
      </c>
      <c r="O45" s="53">
        <v>1.2</v>
      </c>
      <c r="P45" s="53">
        <v>1.25</v>
      </c>
      <c r="Q45" s="16">
        <f t="shared" si="0"/>
        <v>1.2250000000000001</v>
      </c>
      <c r="R45" s="53">
        <v>13.2</v>
      </c>
      <c r="S45" s="53">
        <v>128</v>
      </c>
      <c r="T45" s="16">
        <f t="shared" si="1"/>
        <v>27</v>
      </c>
      <c r="U45" s="53">
        <v>138</v>
      </c>
      <c r="V45" s="16">
        <f t="shared" si="2"/>
        <v>3726</v>
      </c>
      <c r="W45" s="53">
        <v>1</v>
      </c>
      <c r="X45" s="57" t="s">
        <v>39</v>
      </c>
      <c r="Y45" s="57" t="s">
        <v>40</v>
      </c>
      <c r="Z45" s="54" t="s">
        <v>69</v>
      </c>
      <c r="AA45" s="57" t="s">
        <v>90</v>
      </c>
      <c r="AB45" s="54" t="s">
        <v>158</v>
      </c>
    </row>
    <row r="46" spans="1:28" x14ac:dyDescent="0.15">
      <c r="A46" s="57" t="s">
        <v>56</v>
      </c>
      <c r="B46" s="57" t="s">
        <v>232</v>
      </c>
      <c r="C46" s="54">
        <v>2019</v>
      </c>
      <c r="D46" s="96" t="s">
        <v>233</v>
      </c>
      <c r="E46" s="54" t="s">
        <v>255</v>
      </c>
      <c r="F46" s="54" t="s">
        <v>247</v>
      </c>
      <c r="G46" s="57" t="s">
        <v>42</v>
      </c>
      <c r="H46" s="54" t="s">
        <v>165</v>
      </c>
      <c r="I46" s="57" t="s">
        <v>159</v>
      </c>
      <c r="J46" s="54" t="s">
        <v>38</v>
      </c>
      <c r="K46" s="54" t="s">
        <v>161</v>
      </c>
      <c r="L46" s="53">
        <v>3</v>
      </c>
      <c r="N46" s="53">
        <v>1</v>
      </c>
      <c r="O46" s="53">
        <v>0.65</v>
      </c>
      <c r="P46" s="53">
        <v>0.65</v>
      </c>
      <c r="Q46" s="16">
        <f t="shared" si="0"/>
        <v>0.65</v>
      </c>
      <c r="R46" s="53">
        <v>15.3</v>
      </c>
      <c r="S46" s="53">
        <v>135</v>
      </c>
      <c r="T46" s="16">
        <f t="shared" si="1"/>
        <v>25</v>
      </c>
      <c r="U46" s="53">
        <v>138</v>
      </c>
      <c r="V46" s="16">
        <f t="shared" si="2"/>
        <v>3450</v>
      </c>
      <c r="W46" s="53">
        <v>1</v>
      </c>
      <c r="X46" s="57" t="s">
        <v>39</v>
      </c>
      <c r="Y46" s="57" t="s">
        <v>40</v>
      </c>
      <c r="Z46" s="54" t="s">
        <v>69</v>
      </c>
      <c r="AA46" s="57" t="s">
        <v>90</v>
      </c>
      <c r="AB46" s="54" t="s">
        <v>158</v>
      </c>
    </row>
    <row r="47" spans="1:28" x14ac:dyDescent="0.15">
      <c r="A47" s="57" t="s">
        <v>56</v>
      </c>
      <c r="B47" s="57" t="s">
        <v>232</v>
      </c>
      <c r="C47" s="54">
        <v>2019</v>
      </c>
      <c r="D47" s="96" t="s">
        <v>233</v>
      </c>
      <c r="E47" s="54" t="s">
        <v>255</v>
      </c>
      <c r="F47" s="54" t="s">
        <v>247</v>
      </c>
      <c r="G47" s="57" t="s">
        <v>42</v>
      </c>
      <c r="H47" s="54" t="s">
        <v>160</v>
      </c>
      <c r="I47" s="57" t="s">
        <v>159</v>
      </c>
      <c r="J47" s="54" t="s">
        <v>38</v>
      </c>
      <c r="K47" s="54" t="s">
        <v>161</v>
      </c>
      <c r="L47" s="53">
        <v>1</v>
      </c>
      <c r="N47" s="53">
        <v>1</v>
      </c>
      <c r="O47" s="53">
        <v>0.6</v>
      </c>
      <c r="P47" s="53">
        <v>0.65</v>
      </c>
      <c r="Q47" s="16">
        <f t="shared" si="0"/>
        <v>0.625</v>
      </c>
      <c r="R47" s="53">
        <v>15.2</v>
      </c>
      <c r="S47" s="53">
        <v>127</v>
      </c>
      <c r="T47" s="16">
        <f t="shared" si="1"/>
        <v>27</v>
      </c>
      <c r="U47" s="53">
        <v>150</v>
      </c>
      <c r="V47" s="16">
        <f t="shared" si="2"/>
        <v>4050</v>
      </c>
      <c r="W47" s="53">
        <v>1</v>
      </c>
      <c r="X47" s="57" t="s">
        <v>39</v>
      </c>
      <c r="Y47" s="57" t="s">
        <v>40</v>
      </c>
      <c r="Z47" s="54" t="s">
        <v>69</v>
      </c>
      <c r="AA47" s="57" t="s">
        <v>90</v>
      </c>
      <c r="AB47" s="54" t="s">
        <v>158</v>
      </c>
    </row>
    <row r="48" spans="1:28" x14ac:dyDescent="0.15">
      <c r="A48" s="57" t="s">
        <v>56</v>
      </c>
      <c r="B48" s="57" t="s">
        <v>232</v>
      </c>
      <c r="C48" s="54">
        <v>2019</v>
      </c>
      <c r="D48" s="96" t="s">
        <v>233</v>
      </c>
      <c r="E48" s="54" t="s">
        <v>255</v>
      </c>
      <c r="F48" s="54" t="s">
        <v>247</v>
      </c>
      <c r="G48" s="57" t="s">
        <v>42</v>
      </c>
      <c r="H48" s="54" t="s">
        <v>160</v>
      </c>
      <c r="I48" s="57" t="s">
        <v>159</v>
      </c>
      <c r="J48" s="54" t="s">
        <v>38</v>
      </c>
      <c r="K48" s="54" t="s">
        <v>161</v>
      </c>
      <c r="L48" s="53">
        <v>2</v>
      </c>
      <c r="N48" s="53">
        <v>1</v>
      </c>
      <c r="O48" s="53">
        <v>0.65</v>
      </c>
      <c r="P48" s="53">
        <v>0.6</v>
      </c>
      <c r="Q48" s="16">
        <f t="shared" si="0"/>
        <v>0.625</v>
      </c>
      <c r="R48" s="53">
        <v>15</v>
      </c>
      <c r="S48" s="53">
        <v>130</v>
      </c>
      <c r="T48" s="16">
        <f t="shared" si="1"/>
        <v>25</v>
      </c>
      <c r="U48" s="53">
        <v>150</v>
      </c>
      <c r="V48" s="16">
        <f t="shared" si="2"/>
        <v>3750</v>
      </c>
      <c r="W48" s="53">
        <v>1</v>
      </c>
      <c r="X48" s="57" t="s">
        <v>39</v>
      </c>
      <c r="Y48" s="57" t="s">
        <v>40</v>
      </c>
      <c r="Z48" s="54" t="s">
        <v>69</v>
      </c>
      <c r="AA48" s="57" t="s">
        <v>90</v>
      </c>
      <c r="AB48" s="54" t="s">
        <v>158</v>
      </c>
    </row>
    <row r="49" spans="1:28" x14ac:dyDescent="0.15">
      <c r="A49" s="57" t="s">
        <v>56</v>
      </c>
      <c r="B49" s="57" t="s">
        <v>232</v>
      </c>
      <c r="C49" s="54">
        <v>2019</v>
      </c>
      <c r="D49" s="96" t="s">
        <v>233</v>
      </c>
      <c r="E49" s="54" t="s">
        <v>255</v>
      </c>
      <c r="F49" s="54" t="s">
        <v>247</v>
      </c>
      <c r="G49" s="57" t="s">
        <v>42</v>
      </c>
      <c r="H49" s="54" t="s">
        <v>160</v>
      </c>
      <c r="I49" s="57" t="s">
        <v>159</v>
      </c>
      <c r="J49" s="54" t="s">
        <v>38</v>
      </c>
      <c r="K49" s="54" t="s">
        <v>161</v>
      </c>
      <c r="L49" s="53">
        <v>3</v>
      </c>
      <c r="N49" s="53">
        <v>1</v>
      </c>
      <c r="O49" s="53">
        <v>0.5</v>
      </c>
      <c r="P49" s="53">
        <v>0.5</v>
      </c>
      <c r="Q49" s="16">
        <f t="shared" si="0"/>
        <v>0.5</v>
      </c>
      <c r="R49" s="53">
        <v>11.1</v>
      </c>
      <c r="S49" s="53">
        <v>132</v>
      </c>
      <c r="T49" s="16">
        <f t="shared" si="1"/>
        <v>25</v>
      </c>
      <c r="U49" s="53">
        <v>150</v>
      </c>
      <c r="V49" s="16">
        <f t="shared" si="2"/>
        <v>3750</v>
      </c>
      <c r="W49" s="53">
        <v>1</v>
      </c>
      <c r="X49" s="57" t="s">
        <v>39</v>
      </c>
      <c r="Y49" s="57" t="s">
        <v>40</v>
      </c>
      <c r="Z49" s="54" t="s">
        <v>69</v>
      </c>
      <c r="AA49" s="57" t="s">
        <v>90</v>
      </c>
      <c r="AB49" s="54" t="s">
        <v>158</v>
      </c>
    </row>
    <row r="50" spans="1:28" x14ac:dyDescent="0.15">
      <c r="A50" s="57" t="s">
        <v>56</v>
      </c>
      <c r="B50" s="57" t="s">
        <v>232</v>
      </c>
      <c r="C50" s="54">
        <v>2019</v>
      </c>
      <c r="D50" s="96" t="s">
        <v>233</v>
      </c>
      <c r="E50" s="54" t="s">
        <v>256</v>
      </c>
      <c r="F50" s="54" t="s">
        <v>237</v>
      </c>
      <c r="G50" s="57" t="s">
        <v>42</v>
      </c>
      <c r="H50" s="54" t="s">
        <v>165</v>
      </c>
      <c r="I50" s="57" t="s">
        <v>159</v>
      </c>
      <c r="J50" s="54" t="s">
        <v>38</v>
      </c>
      <c r="K50" s="54" t="s">
        <v>161</v>
      </c>
      <c r="L50" s="53">
        <v>1</v>
      </c>
      <c r="N50" s="53">
        <v>5</v>
      </c>
      <c r="O50" s="53">
        <v>0.55000000000000004</v>
      </c>
      <c r="P50" s="53">
        <v>0.55000000000000004</v>
      </c>
      <c r="Q50" s="16">
        <f t="shared" si="0"/>
        <v>0.55000000000000004</v>
      </c>
      <c r="R50" s="53">
        <v>17.8</v>
      </c>
      <c r="S50" s="53">
        <v>115</v>
      </c>
      <c r="T50" s="16">
        <f t="shared" si="1"/>
        <v>30</v>
      </c>
      <c r="U50" s="53">
        <v>429</v>
      </c>
      <c r="V50" s="16">
        <f t="shared" si="2"/>
        <v>2574</v>
      </c>
      <c r="W50" s="53">
        <v>1</v>
      </c>
      <c r="X50" s="57" t="s">
        <v>39</v>
      </c>
      <c r="Y50" s="57" t="s">
        <v>78</v>
      </c>
      <c r="Z50" s="53" t="s">
        <v>55</v>
      </c>
      <c r="AA50" s="57" t="s">
        <v>47</v>
      </c>
      <c r="AB50" s="54" t="s">
        <v>158</v>
      </c>
    </row>
    <row r="51" spans="1:28" x14ac:dyDescent="0.15">
      <c r="A51" s="57" t="s">
        <v>56</v>
      </c>
      <c r="B51" s="57" t="s">
        <v>232</v>
      </c>
      <c r="C51" s="54">
        <v>2019</v>
      </c>
      <c r="D51" s="96" t="s">
        <v>233</v>
      </c>
      <c r="E51" s="54" t="s">
        <v>256</v>
      </c>
      <c r="F51" s="54" t="s">
        <v>237</v>
      </c>
      <c r="G51" s="57" t="s">
        <v>42</v>
      </c>
      <c r="H51" s="54" t="s">
        <v>165</v>
      </c>
      <c r="I51" s="57" t="s">
        <v>159</v>
      </c>
      <c r="J51" s="54" t="s">
        <v>38</v>
      </c>
      <c r="K51" s="54" t="s">
        <v>161</v>
      </c>
      <c r="L51" s="53">
        <v>2</v>
      </c>
      <c r="N51" s="53">
        <v>5</v>
      </c>
      <c r="O51" s="53">
        <v>0.6</v>
      </c>
      <c r="P51" s="53">
        <v>0.55000000000000004</v>
      </c>
      <c r="Q51" s="16">
        <f t="shared" si="0"/>
        <v>0.57499999999999996</v>
      </c>
      <c r="R51" s="53">
        <v>16.100000000000001</v>
      </c>
      <c r="S51" s="53">
        <v>112</v>
      </c>
      <c r="T51" s="16">
        <f t="shared" si="1"/>
        <v>33</v>
      </c>
      <c r="U51" s="53">
        <v>429</v>
      </c>
      <c r="V51" s="16">
        <f t="shared" si="2"/>
        <v>2831.4</v>
      </c>
      <c r="W51" s="53">
        <v>1</v>
      </c>
      <c r="X51" s="57" t="s">
        <v>39</v>
      </c>
      <c r="Y51" s="57" t="s">
        <v>78</v>
      </c>
      <c r="Z51" s="53" t="s">
        <v>55</v>
      </c>
      <c r="AA51" s="57" t="s">
        <v>47</v>
      </c>
      <c r="AB51" s="54" t="s">
        <v>158</v>
      </c>
    </row>
    <row r="52" spans="1:28" x14ac:dyDescent="0.15">
      <c r="A52" s="57" t="s">
        <v>56</v>
      </c>
      <c r="B52" s="57" t="s">
        <v>232</v>
      </c>
      <c r="C52" s="54">
        <v>2019</v>
      </c>
      <c r="D52" s="96" t="s">
        <v>233</v>
      </c>
      <c r="E52" s="54" t="s">
        <v>256</v>
      </c>
      <c r="F52" s="54" t="s">
        <v>237</v>
      </c>
      <c r="G52" s="57" t="s">
        <v>42</v>
      </c>
      <c r="H52" s="54" t="s">
        <v>165</v>
      </c>
      <c r="I52" s="57" t="s">
        <v>159</v>
      </c>
      <c r="J52" s="54" t="s">
        <v>38</v>
      </c>
      <c r="K52" s="54" t="s">
        <v>161</v>
      </c>
      <c r="L52" s="53">
        <v>3</v>
      </c>
      <c r="N52" s="53">
        <v>5</v>
      </c>
      <c r="O52" s="53">
        <v>0.55000000000000004</v>
      </c>
      <c r="P52" s="53">
        <v>0.5</v>
      </c>
      <c r="Q52" s="16">
        <f t="shared" si="0"/>
        <v>0.52500000000000002</v>
      </c>
      <c r="R52" s="53">
        <v>17</v>
      </c>
      <c r="S52" s="53">
        <v>112</v>
      </c>
      <c r="T52" s="16">
        <f t="shared" si="1"/>
        <v>33</v>
      </c>
      <c r="U52" s="53">
        <v>429</v>
      </c>
      <c r="V52" s="16">
        <f t="shared" si="2"/>
        <v>2831.4</v>
      </c>
      <c r="W52" s="53">
        <v>1</v>
      </c>
      <c r="X52" s="57" t="s">
        <v>39</v>
      </c>
      <c r="Y52" s="57" t="s">
        <v>78</v>
      </c>
      <c r="Z52" s="53" t="s">
        <v>55</v>
      </c>
      <c r="AA52" s="57" t="s">
        <v>47</v>
      </c>
      <c r="AB52" s="54" t="s">
        <v>158</v>
      </c>
    </row>
    <row r="53" spans="1:28" x14ac:dyDescent="0.15">
      <c r="A53" s="57" t="s">
        <v>56</v>
      </c>
      <c r="B53" s="57" t="s">
        <v>232</v>
      </c>
      <c r="C53" s="54">
        <v>2019</v>
      </c>
      <c r="D53" s="96" t="s">
        <v>233</v>
      </c>
      <c r="E53" s="54" t="s">
        <v>256</v>
      </c>
      <c r="F53" s="54" t="s">
        <v>237</v>
      </c>
      <c r="G53" s="57" t="s">
        <v>42</v>
      </c>
      <c r="H53" s="54" t="s">
        <v>160</v>
      </c>
      <c r="I53" s="57" t="s">
        <v>159</v>
      </c>
      <c r="J53" s="54" t="s">
        <v>38</v>
      </c>
      <c r="K53" s="54" t="s">
        <v>161</v>
      </c>
      <c r="L53" s="53">
        <v>1</v>
      </c>
      <c r="N53" s="53">
        <v>4</v>
      </c>
      <c r="O53" s="53">
        <v>0.85</v>
      </c>
      <c r="P53" s="53">
        <v>0.9</v>
      </c>
      <c r="Q53" s="16">
        <f t="shared" si="0"/>
        <v>0.875</v>
      </c>
      <c r="R53" s="53">
        <v>13.6</v>
      </c>
      <c r="S53" s="53">
        <v>89</v>
      </c>
      <c r="T53" s="16">
        <f t="shared" si="1"/>
        <v>36</v>
      </c>
      <c r="U53" s="53">
        <v>429</v>
      </c>
      <c r="V53" s="16">
        <f t="shared" si="2"/>
        <v>3861</v>
      </c>
      <c r="W53" s="53">
        <v>2</v>
      </c>
      <c r="X53" s="57" t="s">
        <v>39</v>
      </c>
      <c r="Y53" s="57" t="s">
        <v>78</v>
      </c>
      <c r="Z53" s="53" t="s">
        <v>55</v>
      </c>
      <c r="AA53" s="57" t="s">
        <v>47</v>
      </c>
      <c r="AB53" s="54" t="s">
        <v>158</v>
      </c>
    </row>
    <row r="54" spans="1:28" x14ac:dyDescent="0.15">
      <c r="A54" s="57" t="s">
        <v>56</v>
      </c>
      <c r="B54" s="57" t="s">
        <v>232</v>
      </c>
      <c r="C54" s="54">
        <v>2019</v>
      </c>
      <c r="D54" s="96" t="s">
        <v>233</v>
      </c>
      <c r="E54" s="54" t="s">
        <v>256</v>
      </c>
      <c r="F54" s="54" t="s">
        <v>237</v>
      </c>
      <c r="G54" s="57" t="s">
        <v>42</v>
      </c>
      <c r="H54" s="54" t="s">
        <v>160</v>
      </c>
      <c r="I54" s="57" t="s">
        <v>159</v>
      </c>
      <c r="J54" s="54" t="s">
        <v>38</v>
      </c>
      <c r="K54" s="54" t="s">
        <v>161</v>
      </c>
      <c r="L54" s="53">
        <v>2</v>
      </c>
      <c r="N54" s="53">
        <v>4</v>
      </c>
      <c r="O54" s="53">
        <v>1.05</v>
      </c>
      <c r="P54" s="53">
        <v>1.1000000000000001</v>
      </c>
      <c r="Q54" s="16">
        <f t="shared" si="0"/>
        <v>1.0750000000000002</v>
      </c>
      <c r="R54" s="53">
        <v>13.7</v>
      </c>
      <c r="S54" s="53">
        <v>91</v>
      </c>
      <c r="T54" s="16">
        <f t="shared" si="1"/>
        <v>36</v>
      </c>
      <c r="U54" s="53">
        <v>429</v>
      </c>
      <c r="V54" s="16">
        <f t="shared" si="2"/>
        <v>3861</v>
      </c>
      <c r="W54" s="53">
        <v>2</v>
      </c>
      <c r="X54" s="57" t="s">
        <v>39</v>
      </c>
      <c r="Y54" s="57" t="s">
        <v>78</v>
      </c>
      <c r="Z54" s="53" t="s">
        <v>55</v>
      </c>
      <c r="AA54" s="57" t="s">
        <v>47</v>
      </c>
      <c r="AB54" s="54" t="s">
        <v>158</v>
      </c>
    </row>
    <row r="55" spans="1:28" x14ac:dyDescent="0.15">
      <c r="A55" s="57" t="s">
        <v>56</v>
      </c>
      <c r="B55" s="57" t="s">
        <v>232</v>
      </c>
      <c r="C55" s="54">
        <v>2019</v>
      </c>
      <c r="D55" s="96" t="s">
        <v>233</v>
      </c>
      <c r="E55" s="54" t="s">
        <v>256</v>
      </c>
      <c r="F55" s="54" t="s">
        <v>237</v>
      </c>
      <c r="G55" s="57" t="s">
        <v>42</v>
      </c>
      <c r="H55" s="54" t="s">
        <v>160</v>
      </c>
      <c r="I55" s="57" t="s">
        <v>159</v>
      </c>
      <c r="J55" s="54" t="s">
        <v>38</v>
      </c>
      <c r="K55" s="54" t="s">
        <v>161</v>
      </c>
      <c r="L55" s="53">
        <v>3</v>
      </c>
      <c r="N55" s="53">
        <v>4</v>
      </c>
      <c r="O55" s="53">
        <v>1</v>
      </c>
      <c r="P55" s="53">
        <v>1.1000000000000001</v>
      </c>
      <c r="Q55" s="16">
        <f t="shared" si="0"/>
        <v>1.05</v>
      </c>
      <c r="R55" s="53">
        <v>13.6</v>
      </c>
      <c r="S55" s="53">
        <v>91</v>
      </c>
      <c r="T55" s="16">
        <f t="shared" si="1"/>
        <v>36</v>
      </c>
      <c r="U55" s="53">
        <v>429</v>
      </c>
      <c r="V55" s="16">
        <f t="shared" si="2"/>
        <v>3861</v>
      </c>
      <c r="W55" s="53">
        <v>2</v>
      </c>
      <c r="X55" s="57" t="s">
        <v>39</v>
      </c>
      <c r="Y55" s="57" t="s">
        <v>78</v>
      </c>
      <c r="Z55" s="53" t="s">
        <v>55</v>
      </c>
      <c r="AA55" s="57" t="s">
        <v>47</v>
      </c>
      <c r="AB55" s="54" t="s">
        <v>158</v>
      </c>
    </row>
    <row r="56" spans="1:28" x14ac:dyDescent="0.15">
      <c r="A56" s="57" t="s">
        <v>56</v>
      </c>
      <c r="B56" s="57" t="s">
        <v>232</v>
      </c>
      <c r="C56" s="54">
        <v>2019</v>
      </c>
      <c r="D56" s="96" t="s">
        <v>233</v>
      </c>
      <c r="E56" s="54" t="s">
        <v>248</v>
      </c>
      <c r="F56" s="54" t="s">
        <v>250</v>
      </c>
      <c r="G56" s="57" t="s">
        <v>42</v>
      </c>
      <c r="H56" s="54" t="s">
        <v>165</v>
      </c>
      <c r="I56" s="57" t="s">
        <v>159</v>
      </c>
      <c r="J56" s="54" t="s">
        <v>38</v>
      </c>
      <c r="K56" s="54" t="s">
        <v>161</v>
      </c>
      <c r="L56" s="53">
        <v>1</v>
      </c>
      <c r="N56" s="53">
        <v>1</v>
      </c>
      <c r="O56" s="53">
        <v>0.55000000000000004</v>
      </c>
      <c r="P56" s="53">
        <v>0.55000000000000004</v>
      </c>
      <c r="Q56" s="16">
        <f t="shared" si="0"/>
        <v>0.55000000000000004</v>
      </c>
      <c r="R56" s="53">
        <v>14</v>
      </c>
      <c r="S56" s="53">
        <v>146</v>
      </c>
      <c r="T56" s="16">
        <f t="shared" si="1"/>
        <v>22</v>
      </c>
      <c r="U56" s="53">
        <v>127</v>
      </c>
      <c r="V56" s="16">
        <f t="shared" si="2"/>
        <v>2794</v>
      </c>
      <c r="W56" s="53">
        <v>6</v>
      </c>
      <c r="X56" s="57" t="s">
        <v>46</v>
      </c>
      <c r="Y56" s="57" t="s">
        <v>78</v>
      </c>
      <c r="Z56" s="53" t="s">
        <v>55</v>
      </c>
      <c r="AA56" s="57" t="s">
        <v>47</v>
      </c>
      <c r="AB56" s="54" t="s">
        <v>158</v>
      </c>
    </row>
    <row r="57" spans="1:28" x14ac:dyDescent="0.15">
      <c r="A57" s="57" t="s">
        <v>56</v>
      </c>
      <c r="B57" s="57" t="s">
        <v>232</v>
      </c>
      <c r="C57" s="54">
        <v>2019</v>
      </c>
      <c r="D57" s="96" t="s">
        <v>233</v>
      </c>
      <c r="E57" s="54" t="s">
        <v>248</v>
      </c>
      <c r="F57" s="54" t="s">
        <v>250</v>
      </c>
      <c r="G57" s="57" t="s">
        <v>42</v>
      </c>
      <c r="H57" s="54" t="s">
        <v>165</v>
      </c>
      <c r="I57" s="57" t="s">
        <v>159</v>
      </c>
      <c r="J57" s="54" t="s">
        <v>38</v>
      </c>
      <c r="K57" s="54" t="s">
        <v>161</v>
      </c>
      <c r="L57" s="53">
        <v>2</v>
      </c>
      <c r="N57" s="53">
        <v>1</v>
      </c>
      <c r="O57" s="53">
        <v>0.6</v>
      </c>
      <c r="P57" s="53">
        <v>0.55000000000000004</v>
      </c>
      <c r="Q57" s="16">
        <f t="shared" si="0"/>
        <v>0.57499999999999996</v>
      </c>
      <c r="R57" s="53">
        <v>14.5</v>
      </c>
      <c r="S57" s="53">
        <v>150</v>
      </c>
      <c r="T57" s="16">
        <f t="shared" si="1"/>
        <v>22</v>
      </c>
      <c r="U57" s="53">
        <v>127</v>
      </c>
      <c r="V57" s="16">
        <f t="shared" si="2"/>
        <v>2794</v>
      </c>
      <c r="W57" s="53">
        <v>6</v>
      </c>
      <c r="X57" s="57" t="s">
        <v>46</v>
      </c>
      <c r="Y57" s="57" t="s">
        <v>78</v>
      </c>
      <c r="Z57" s="53" t="s">
        <v>55</v>
      </c>
      <c r="AA57" s="57" t="s">
        <v>47</v>
      </c>
      <c r="AB57" s="54" t="s">
        <v>158</v>
      </c>
    </row>
    <row r="58" spans="1:28" x14ac:dyDescent="0.15">
      <c r="A58" s="57" t="s">
        <v>56</v>
      </c>
      <c r="B58" s="57" t="s">
        <v>232</v>
      </c>
      <c r="C58" s="54">
        <v>2019</v>
      </c>
      <c r="D58" s="96" t="s">
        <v>233</v>
      </c>
      <c r="E58" s="54" t="s">
        <v>248</v>
      </c>
      <c r="F58" s="54" t="s">
        <v>250</v>
      </c>
      <c r="G58" s="57" t="s">
        <v>42</v>
      </c>
      <c r="H58" s="54" t="s">
        <v>165</v>
      </c>
      <c r="I58" s="57" t="s">
        <v>159</v>
      </c>
      <c r="J58" s="54" t="s">
        <v>38</v>
      </c>
      <c r="K58" s="54" t="s">
        <v>161</v>
      </c>
      <c r="L58" s="53">
        <v>3</v>
      </c>
      <c r="N58" s="53">
        <v>1</v>
      </c>
      <c r="O58" s="53">
        <v>0.55000000000000004</v>
      </c>
      <c r="P58" s="53">
        <v>0.55000000000000004</v>
      </c>
      <c r="Q58" s="16">
        <f t="shared" si="0"/>
        <v>0.55000000000000004</v>
      </c>
      <c r="R58" s="53">
        <v>14.5</v>
      </c>
      <c r="S58" s="53">
        <v>145</v>
      </c>
      <c r="T58" s="16">
        <f t="shared" si="1"/>
        <v>22</v>
      </c>
      <c r="U58" s="53">
        <v>127</v>
      </c>
      <c r="V58" s="16">
        <f t="shared" si="2"/>
        <v>2794</v>
      </c>
      <c r="W58" s="53">
        <v>6</v>
      </c>
      <c r="X58" s="57" t="s">
        <v>46</v>
      </c>
      <c r="Y58" s="57" t="s">
        <v>78</v>
      </c>
      <c r="Z58" s="53" t="s">
        <v>55</v>
      </c>
      <c r="AA58" s="57" t="s">
        <v>47</v>
      </c>
      <c r="AB58" s="54" t="s">
        <v>158</v>
      </c>
    </row>
    <row r="59" spans="1:28" x14ac:dyDescent="0.15">
      <c r="A59" s="57" t="s">
        <v>56</v>
      </c>
      <c r="B59" s="57" t="s">
        <v>232</v>
      </c>
      <c r="C59" s="54">
        <v>2019</v>
      </c>
      <c r="D59" s="96" t="s">
        <v>233</v>
      </c>
      <c r="E59" s="54" t="s">
        <v>248</v>
      </c>
      <c r="F59" s="54" t="s">
        <v>250</v>
      </c>
      <c r="G59" s="57" t="s">
        <v>42</v>
      </c>
      <c r="H59" s="54" t="s">
        <v>160</v>
      </c>
      <c r="I59" s="57" t="s">
        <v>159</v>
      </c>
      <c r="J59" s="54" t="s">
        <v>38</v>
      </c>
      <c r="K59" s="54" t="s">
        <v>161</v>
      </c>
      <c r="L59" s="53">
        <v>1</v>
      </c>
      <c r="N59" s="53">
        <v>1</v>
      </c>
      <c r="O59" s="53">
        <v>0.8</v>
      </c>
      <c r="P59" s="53">
        <v>0.75</v>
      </c>
      <c r="Q59" s="16">
        <f t="shared" si="0"/>
        <v>0.77500000000000002</v>
      </c>
      <c r="R59" s="53">
        <v>16.100000000000001</v>
      </c>
      <c r="S59" s="53">
        <v>130</v>
      </c>
      <c r="T59" s="16">
        <f t="shared" si="1"/>
        <v>25</v>
      </c>
      <c r="U59" s="53">
        <v>127</v>
      </c>
      <c r="V59" s="16">
        <f t="shared" si="2"/>
        <v>3175</v>
      </c>
      <c r="W59" s="53">
        <v>6</v>
      </c>
      <c r="X59" s="57" t="s">
        <v>46</v>
      </c>
      <c r="Y59" s="57" t="s">
        <v>78</v>
      </c>
      <c r="Z59" s="53" t="s">
        <v>55</v>
      </c>
      <c r="AA59" s="57" t="s">
        <v>47</v>
      </c>
      <c r="AB59" s="54" t="s">
        <v>158</v>
      </c>
    </row>
    <row r="60" spans="1:28" x14ac:dyDescent="0.15">
      <c r="A60" s="57" t="s">
        <v>56</v>
      </c>
      <c r="B60" s="57" t="s">
        <v>232</v>
      </c>
      <c r="C60" s="54">
        <v>2019</v>
      </c>
      <c r="D60" s="96" t="s">
        <v>233</v>
      </c>
      <c r="E60" s="54" t="s">
        <v>248</v>
      </c>
      <c r="F60" s="54" t="s">
        <v>250</v>
      </c>
      <c r="G60" s="57" t="s">
        <v>42</v>
      </c>
      <c r="H60" s="54" t="s">
        <v>160</v>
      </c>
      <c r="I60" s="57" t="s">
        <v>159</v>
      </c>
      <c r="J60" s="54" t="s">
        <v>38</v>
      </c>
      <c r="K60" s="54" t="s">
        <v>161</v>
      </c>
      <c r="L60" s="53">
        <v>2</v>
      </c>
      <c r="N60" s="53">
        <v>1</v>
      </c>
      <c r="O60" s="53">
        <v>0.75</v>
      </c>
      <c r="P60" s="53">
        <v>0.75</v>
      </c>
      <c r="Q60" s="16">
        <f t="shared" si="0"/>
        <v>0.75</v>
      </c>
      <c r="R60" s="53">
        <v>16.2</v>
      </c>
      <c r="S60" s="53">
        <v>132</v>
      </c>
      <c r="T60" s="16">
        <f t="shared" si="1"/>
        <v>25</v>
      </c>
      <c r="U60" s="53">
        <v>127</v>
      </c>
      <c r="V60" s="16">
        <f t="shared" si="2"/>
        <v>3175</v>
      </c>
      <c r="W60" s="53">
        <v>6</v>
      </c>
      <c r="X60" s="57" t="s">
        <v>46</v>
      </c>
      <c r="Y60" s="57" t="s">
        <v>78</v>
      </c>
      <c r="Z60" s="53" t="s">
        <v>55</v>
      </c>
      <c r="AA60" s="57" t="s">
        <v>47</v>
      </c>
      <c r="AB60" s="54" t="s">
        <v>158</v>
      </c>
    </row>
    <row r="61" spans="1:28" x14ac:dyDescent="0.15">
      <c r="A61" s="57" t="s">
        <v>56</v>
      </c>
      <c r="B61" s="57" t="s">
        <v>232</v>
      </c>
      <c r="C61" s="54">
        <v>2019</v>
      </c>
      <c r="D61" s="96" t="s">
        <v>233</v>
      </c>
      <c r="E61" s="54" t="s">
        <v>248</v>
      </c>
      <c r="F61" s="54" t="s">
        <v>250</v>
      </c>
      <c r="G61" s="57" t="s">
        <v>42</v>
      </c>
      <c r="H61" s="54" t="s">
        <v>160</v>
      </c>
      <c r="I61" s="57" t="s">
        <v>159</v>
      </c>
      <c r="J61" s="54" t="s">
        <v>38</v>
      </c>
      <c r="K61" s="54" t="s">
        <v>161</v>
      </c>
      <c r="L61" s="53">
        <v>3</v>
      </c>
      <c r="N61" s="53">
        <v>1</v>
      </c>
      <c r="O61" s="53">
        <v>0.85</v>
      </c>
      <c r="P61" s="53">
        <v>0.85</v>
      </c>
      <c r="Q61" s="16">
        <f t="shared" si="0"/>
        <v>0.85</v>
      </c>
      <c r="R61" s="53">
        <v>15.8</v>
      </c>
      <c r="S61" s="53">
        <v>126</v>
      </c>
      <c r="T61" s="16">
        <f t="shared" si="1"/>
        <v>27</v>
      </c>
      <c r="U61" s="53">
        <v>127</v>
      </c>
      <c r="V61" s="16">
        <f t="shared" si="2"/>
        <v>3429</v>
      </c>
      <c r="W61" s="53">
        <v>6</v>
      </c>
      <c r="X61" s="57" t="s">
        <v>46</v>
      </c>
      <c r="Y61" s="57" t="s">
        <v>78</v>
      </c>
      <c r="Z61" s="53" t="s">
        <v>55</v>
      </c>
      <c r="AA61" s="57" t="s">
        <v>47</v>
      </c>
      <c r="AB61" s="54" t="s">
        <v>158</v>
      </c>
    </row>
    <row r="62" spans="1:28" x14ac:dyDescent="0.15">
      <c r="A62" s="57" t="s">
        <v>56</v>
      </c>
      <c r="B62" s="57" t="s">
        <v>232</v>
      </c>
      <c r="C62" s="54">
        <v>2019</v>
      </c>
      <c r="D62" s="96" t="s">
        <v>233</v>
      </c>
      <c r="E62" s="54" t="s">
        <v>257</v>
      </c>
      <c r="F62" s="54" t="s">
        <v>250</v>
      </c>
      <c r="G62" s="57" t="s">
        <v>42</v>
      </c>
      <c r="H62" s="54" t="s">
        <v>160</v>
      </c>
      <c r="I62" s="57" t="s">
        <v>159</v>
      </c>
      <c r="J62" s="54" t="s">
        <v>38</v>
      </c>
      <c r="K62" s="54" t="s">
        <v>161</v>
      </c>
      <c r="L62" s="53">
        <v>1</v>
      </c>
      <c r="N62" s="53">
        <v>5</v>
      </c>
      <c r="O62" s="53">
        <v>0.5</v>
      </c>
      <c r="P62" s="53">
        <v>0.5</v>
      </c>
      <c r="Q62" s="16">
        <f t="shared" si="0"/>
        <v>0.5</v>
      </c>
      <c r="R62" s="53">
        <v>15.5</v>
      </c>
      <c r="S62" s="53">
        <v>96</v>
      </c>
      <c r="T62" s="16">
        <f t="shared" si="1"/>
        <v>36</v>
      </c>
      <c r="U62" s="53">
        <v>430</v>
      </c>
      <c r="V62" s="16">
        <f t="shared" si="2"/>
        <v>3096</v>
      </c>
      <c r="W62" s="53">
        <v>10</v>
      </c>
      <c r="X62" s="57" t="s">
        <v>46</v>
      </c>
      <c r="Y62" s="57" t="s">
        <v>55</v>
      </c>
      <c r="Z62" s="53" t="s">
        <v>78</v>
      </c>
      <c r="AA62" s="57" t="s">
        <v>90</v>
      </c>
      <c r="AB62" s="54" t="s">
        <v>158</v>
      </c>
    </row>
    <row r="63" spans="1:28" x14ac:dyDescent="0.15">
      <c r="A63" s="57" t="s">
        <v>56</v>
      </c>
      <c r="B63" s="57" t="s">
        <v>232</v>
      </c>
      <c r="C63" s="54">
        <v>2019</v>
      </c>
      <c r="D63" s="96" t="s">
        <v>233</v>
      </c>
      <c r="E63" s="54" t="s">
        <v>257</v>
      </c>
      <c r="F63" s="54" t="s">
        <v>250</v>
      </c>
      <c r="G63" s="57" t="s">
        <v>42</v>
      </c>
      <c r="H63" s="54" t="s">
        <v>160</v>
      </c>
      <c r="I63" s="57" t="s">
        <v>159</v>
      </c>
      <c r="J63" s="54" t="s">
        <v>38</v>
      </c>
      <c r="K63" s="54" t="s">
        <v>161</v>
      </c>
      <c r="L63" s="53">
        <v>2</v>
      </c>
      <c r="N63" s="53">
        <v>5</v>
      </c>
      <c r="O63" s="53">
        <v>0.55000000000000004</v>
      </c>
      <c r="P63" s="53">
        <v>0.5</v>
      </c>
      <c r="Q63" s="16">
        <f t="shared" si="0"/>
        <v>0.52500000000000002</v>
      </c>
      <c r="R63" s="53">
        <v>11.2</v>
      </c>
      <c r="S63" s="53">
        <v>94</v>
      </c>
      <c r="T63" s="16">
        <f t="shared" si="1"/>
        <v>36</v>
      </c>
      <c r="U63" s="53">
        <v>430</v>
      </c>
      <c r="V63" s="16">
        <f t="shared" si="2"/>
        <v>3096</v>
      </c>
      <c r="W63" s="53">
        <v>10</v>
      </c>
      <c r="X63" s="57" t="s">
        <v>46</v>
      </c>
      <c r="Y63" s="57" t="s">
        <v>55</v>
      </c>
      <c r="Z63" s="53" t="s">
        <v>78</v>
      </c>
      <c r="AA63" s="57" t="s">
        <v>90</v>
      </c>
      <c r="AB63" s="54" t="s">
        <v>158</v>
      </c>
    </row>
    <row r="64" spans="1:28" x14ac:dyDescent="0.15">
      <c r="A64" s="57" t="s">
        <v>56</v>
      </c>
      <c r="B64" s="57" t="s">
        <v>232</v>
      </c>
      <c r="C64" s="54">
        <v>2019</v>
      </c>
      <c r="D64" s="96" t="s">
        <v>233</v>
      </c>
      <c r="E64" s="54" t="s">
        <v>257</v>
      </c>
      <c r="F64" s="54" t="s">
        <v>250</v>
      </c>
      <c r="G64" s="57" t="s">
        <v>42</v>
      </c>
      <c r="H64" s="54" t="s">
        <v>160</v>
      </c>
      <c r="I64" s="57" t="s">
        <v>159</v>
      </c>
      <c r="J64" s="54" t="s">
        <v>38</v>
      </c>
      <c r="K64" s="54" t="s">
        <v>161</v>
      </c>
      <c r="L64" s="53">
        <v>3</v>
      </c>
      <c r="N64" s="53">
        <v>5</v>
      </c>
      <c r="O64" s="53">
        <v>0.5</v>
      </c>
      <c r="P64" s="53">
        <v>0.5</v>
      </c>
      <c r="Q64" s="16">
        <f t="shared" si="0"/>
        <v>0.5</v>
      </c>
      <c r="R64" s="53">
        <v>13.7</v>
      </c>
      <c r="S64" s="53">
        <v>100</v>
      </c>
      <c r="T64" s="16">
        <f t="shared" si="1"/>
        <v>33</v>
      </c>
      <c r="U64" s="53">
        <v>430</v>
      </c>
      <c r="V64" s="16">
        <f t="shared" si="2"/>
        <v>2838</v>
      </c>
      <c r="W64" s="53">
        <v>10</v>
      </c>
      <c r="X64" s="57" t="s">
        <v>46</v>
      </c>
      <c r="Y64" s="57" t="s">
        <v>55</v>
      </c>
      <c r="Z64" s="53" t="s">
        <v>78</v>
      </c>
      <c r="AA64" s="57" t="s">
        <v>90</v>
      </c>
      <c r="AB64" s="54" t="s">
        <v>158</v>
      </c>
    </row>
    <row r="65" spans="1:28" x14ac:dyDescent="0.15">
      <c r="A65" s="57" t="s">
        <v>56</v>
      </c>
      <c r="B65" s="57" t="s">
        <v>232</v>
      </c>
      <c r="C65" s="54">
        <v>2019</v>
      </c>
      <c r="D65" s="96" t="s">
        <v>233</v>
      </c>
      <c r="E65" s="54" t="s">
        <v>257</v>
      </c>
      <c r="F65" s="54" t="s">
        <v>250</v>
      </c>
      <c r="G65" s="57" t="s">
        <v>42</v>
      </c>
      <c r="H65" s="54" t="s">
        <v>165</v>
      </c>
      <c r="I65" s="57" t="s">
        <v>159</v>
      </c>
      <c r="J65" s="54" t="s">
        <v>38</v>
      </c>
      <c r="K65" s="54" t="s">
        <v>161</v>
      </c>
      <c r="L65" s="53">
        <v>1</v>
      </c>
      <c r="N65" s="53">
        <v>5</v>
      </c>
      <c r="O65" s="53">
        <v>0.55000000000000004</v>
      </c>
      <c r="P65" s="53">
        <v>0.6</v>
      </c>
      <c r="Q65" s="16">
        <f t="shared" si="0"/>
        <v>0.57499999999999996</v>
      </c>
      <c r="R65" s="53">
        <v>17.5</v>
      </c>
      <c r="S65" s="53">
        <v>107</v>
      </c>
      <c r="T65" s="16">
        <f t="shared" si="1"/>
        <v>33</v>
      </c>
      <c r="U65" s="53">
        <v>646</v>
      </c>
      <c r="V65" s="16">
        <f t="shared" si="2"/>
        <v>4263.5999999999995</v>
      </c>
      <c r="W65" s="53">
        <v>12</v>
      </c>
      <c r="X65" s="57" t="s">
        <v>46</v>
      </c>
      <c r="Y65" s="57" t="s">
        <v>55</v>
      </c>
      <c r="Z65" s="53" t="s">
        <v>78</v>
      </c>
      <c r="AA65" s="57" t="s">
        <v>90</v>
      </c>
      <c r="AB65" s="54" t="s">
        <v>158</v>
      </c>
    </row>
    <row r="66" spans="1:28" x14ac:dyDescent="0.15">
      <c r="A66" s="57" t="s">
        <v>56</v>
      </c>
      <c r="B66" s="57" t="s">
        <v>232</v>
      </c>
      <c r="C66" s="54">
        <v>2019</v>
      </c>
      <c r="D66" s="96" t="s">
        <v>233</v>
      </c>
      <c r="E66" s="54" t="s">
        <v>257</v>
      </c>
      <c r="F66" s="54" t="s">
        <v>250</v>
      </c>
      <c r="G66" s="57" t="s">
        <v>42</v>
      </c>
      <c r="H66" s="54" t="s">
        <v>165</v>
      </c>
      <c r="I66" s="57" t="s">
        <v>159</v>
      </c>
      <c r="J66" s="54" t="s">
        <v>38</v>
      </c>
      <c r="K66" s="54" t="s">
        <v>161</v>
      </c>
      <c r="L66" s="53">
        <v>2</v>
      </c>
      <c r="N66" s="53">
        <v>5</v>
      </c>
      <c r="O66" s="53">
        <v>0.65</v>
      </c>
      <c r="P66" s="53">
        <v>0.6</v>
      </c>
      <c r="Q66" s="16">
        <f t="shared" ref="Q66:Q67" si="3">IF(OR(O66="",P66=""),"",AVERAGE(O66,P66))</f>
        <v>0.625</v>
      </c>
      <c r="R66" s="53">
        <v>17.399999999999999</v>
      </c>
      <c r="S66" s="53">
        <v>109</v>
      </c>
      <c r="T66" s="16">
        <f t="shared" ref="T66:T67" si="4">IF(H66="","",IF(OR(H66="GREEN",H66="GK"),IF(S66&gt;=$AX$2,VLOOKUP(S66,$AX$2:$AY$10,2,1),""),IF(S66&gt;=$AZ$2,VLOOKUP(S66,$AZ$2:$BA$10,2,1),"")))</f>
        <v>33</v>
      </c>
      <c r="U66" s="53">
        <v>646</v>
      </c>
      <c r="V66" s="16">
        <f t="shared" ref="V66:V67" si="5">IF(OR(N66="",U66="",T66=""),"",U66/N66*T66)</f>
        <v>4263.5999999999995</v>
      </c>
      <c r="W66" s="53">
        <v>12</v>
      </c>
      <c r="X66" s="57" t="s">
        <v>46</v>
      </c>
      <c r="Y66" s="57" t="s">
        <v>55</v>
      </c>
      <c r="Z66" s="53" t="s">
        <v>78</v>
      </c>
      <c r="AA66" s="57" t="s">
        <v>90</v>
      </c>
      <c r="AB66" s="54" t="s">
        <v>158</v>
      </c>
    </row>
    <row r="67" spans="1:28" x14ac:dyDescent="0.15">
      <c r="A67" s="57" t="s">
        <v>56</v>
      </c>
      <c r="B67" s="57" t="s">
        <v>232</v>
      </c>
      <c r="C67" s="54">
        <v>2019</v>
      </c>
      <c r="D67" s="96" t="s">
        <v>233</v>
      </c>
      <c r="E67" s="54" t="s">
        <v>257</v>
      </c>
      <c r="F67" s="54" t="s">
        <v>250</v>
      </c>
      <c r="G67" s="57" t="s">
        <v>42</v>
      </c>
      <c r="H67" s="54" t="s">
        <v>165</v>
      </c>
      <c r="I67" s="57" t="s">
        <v>159</v>
      </c>
      <c r="J67" s="54" t="s">
        <v>38</v>
      </c>
      <c r="K67" s="54" t="s">
        <v>161</v>
      </c>
      <c r="L67" s="53">
        <v>3</v>
      </c>
      <c r="N67" s="53">
        <v>5</v>
      </c>
      <c r="O67" s="53">
        <v>0.6</v>
      </c>
      <c r="P67" s="53">
        <v>0.6</v>
      </c>
      <c r="Q67" s="16">
        <f t="shared" si="3"/>
        <v>0.6</v>
      </c>
      <c r="R67" s="53">
        <v>16.7</v>
      </c>
      <c r="S67" s="53">
        <v>107</v>
      </c>
      <c r="T67" s="16">
        <f t="shared" si="4"/>
        <v>33</v>
      </c>
      <c r="U67" s="53">
        <v>646</v>
      </c>
      <c r="V67" s="16">
        <f t="shared" si="5"/>
        <v>4263.5999999999995</v>
      </c>
      <c r="W67" s="53">
        <v>12</v>
      </c>
      <c r="X67" s="57" t="s">
        <v>46</v>
      </c>
      <c r="Y67" s="57" t="s">
        <v>55</v>
      </c>
      <c r="Z67" s="53" t="s">
        <v>78</v>
      </c>
      <c r="AA67" s="57" t="s">
        <v>90</v>
      </c>
      <c r="AB67" s="54" t="s">
        <v>158</v>
      </c>
    </row>
    <row r="68" spans="1:28" x14ac:dyDescent="0.15">
      <c r="A68" s="57"/>
      <c r="B68" s="57"/>
      <c r="C68" s="54"/>
      <c r="D68" s="96"/>
      <c r="E68" s="54"/>
      <c r="F68" s="54"/>
      <c r="G68" s="57"/>
      <c r="H68" s="54"/>
      <c r="I68" s="57"/>
      <c r="J68" s="54"/>
      <c r="K68" s="54"/>
      <c r="X68" s="57"/>
      <c r="Y68" s="57"/>
      <c r="AA68" s="57"/>
    </row>
    <row r="69" spans="1:28" x14ac:dyDescent="0.15">
      <c r="A69" s="57"/>
      <c r="B69" s="57"/>
      <c r="C69" s="54"/>
      <c r="D69" s="96"/>
      <c r="E69" s="54"/>
      <c r="F69" s="54"/>
      <c r="G69" s="57"/>
      <c r="H69" s="54"/>
      <c r="I69" s="57"/>
      <c r="J69" s="54"/>
      <c r="K69" s="54"/>
      <c r="X69" s="57"/>
      <c r="Y69" s="57"/>
      <c r="AA69" s="57"/>
    </row>
    <row r="70" spans="1:28" x14ac:dyDescent="0.15">
      <c r="A70" s="57"/>
      <c r="B70" s="57"/>
      <c r="C70" s="54"/>
      <c r="D70" s="96"/>
      <c r="E70" s="54"/>
      <c r="F70" s="54"/>
      <c r="G70" s="57"/>
      <c r="H70" s="54"/>
      <c r="I70" s="57"/>
      <c r="J70" s="54"/>
      <c r="K70" s="54"/>
      <c r="X70" s="57"/>
      <c r="Y70" s="57"/>
      <c r="AA70" s="57"/>
    </row>
    <row r="71" spans="1:28" x14ac:dyDescent="0.15">
      <c r="A71" s="57"/>
      <c r="B71" s="57"/>
      <c r="C71" s="54"/>
      <c r="D71" s="96"/>
      <c r="E71" s="54"/>
      <c r="F71" s="54"/>
      <c r="G71" s="57"/>
      <c r="H71" s="54"/>
      <c r="I71" s="57"/>
      <c r="J71" s="54"/>
      <c r="K71" s="54"/>
      <c r="X71" s="57"/>
      <c r="Y71" s="57"/>
      <c r="AA71" s="57"/>
    </row>
    <row r="72" spans="1:28" x14ac:dyDescent="0.15">
      <c r="A72" s="57"/>
      <c r="B72" s="57"/>
      <c r="C72" s="54"/>
      <c r="D72" s="96"/>
      <c r="E72" s="54"/>
      <c r="F72" s="54"/>
      <c r="G72" s="57"/>
      <c r="H72" s="54"/>
      <c r="I72" s="57"/>
      <c r="J72" s="54"/>
      <c r="K72" s="54"/>
      <c r="X72" s="57"/>
      <c r="Y72" s="57"/>
      <c r="AA72" s="57"/>
    </row>
    <row r="73" spans="1:28" x14ac:dyDescent="0.15">
      <c r="A73" s="57"/>
      <c r="B73" s="57"/>
      <c r="C73" s="54"/>
      <c r="D73" s="96"/>
      <c r="E73" s="54"/>
      <c r="F73" s="54"/>
      <c r="G73" s="57"/>
      <c r="H73" s="54"/>
      <c r="I73" s="57"/>
      <c r="J73" s="54"/>
      <c r="K73" s="54"/>
      <c r="X73" s="57"/>
      <c r="Y73" s="57"/>
      <c r="AA73" s="57"/>
    </row>
    <row r="74" spans="1:28" x14ac:dyDescent="0.15">
      <c r="A74" s="57"/>
      <c r="B74" s="57"/>
      <c r="C74" s="54"/>
      <c r="D74" s="96"/>
      <c r="E74" s="54"/>
      <c r="F74" s="54"/>
      <c r="G74" s="57"/>
      <c r="H74" s="54"/>
      <c r="I74" s="57"/>
      <c r="J74" s="54"/>
      <c r="K74" s="54"/>
      <c r="X74" s="57"/>
      <c r="Y74" s="57"/>
      <c r="AA74" s="57"/>
    </row>
    <row r="75" spans="1:28" x14ac:dyDescent="0.15">
      <c r="A75" s="57"/>
      <c r="B75" s="57"/>
      <c r="C75" s="54"/>
      <c r="D75" s="96"/>
      <c r="E75" s="54"/>
      <c r="F75" s="54"/>
      <c r="G75" s="57"/>
      <c r="H75" s="54"/>
      <c r="I75" s="57"/>
      <c r="J75" s="54"/>
      <c r="K75" s="54"/>
      <c r="X75" s="57"/>
      <c r="Y75" s="57"/>
      <c r="AA75" s="57"/>
    </row>
    <row r="76" spans="1:28" x14ac:dyDescent="0.15">
      <c r="A76" s="57"/>
      <c r="B76" s="57"/>
      <c r="C76" s="54"/>
      <c r="D76" s="96"/>
      <c r="E76" s="54"/>
      <c r="F76" s="54"/>
      <c r="G76" s="57"/>
      <c r="H76" s="54"/>
      <c r="I76" s="57"/>
      <c r="J76" s="54"/>
      <c r="K76" s="54"/>
      <c r="X76" s="57"/>
      <c r="Y76" s="57"/>
      <c r="AA76" s="57"/>
    </row>
    <row r="77" spans="1:28" x14ac:dyDescent="0.15">
      <c r="A77" s="57"/>
      <c r="B77" s="57"/>
      <c r="C77" s="54"/>
      <c r="D77" s="96"/>
      <c r="E77" s="54"/>
      <c r="F77" s="54"/>
      <c r="G77" s="57"/>
      <c r="H77" s="54"/>
      <c r="I77" s="57"/>
      <c r="J77" s="54"/>
      <c r="K77" s="54"/>
      <c r="X77" s="57"/>
      <c r="Y77" s="57"/>
      <c r="AA77" s="57"/>
    </row>
    <row r="78" spans="1:28" x14ac:dyDescent="0.15">
      <c r="A78" s="57"/>
      <c r="B78" s="57"/>
      <c r="C78" s="54"/>
      <c r="D78" s="96"/>
      <c r="E78" s="54"/>
      <c r="F78" s="54"/>
      <c r="G78" s="57"/>
      <c r="H78" s="54"/>
      <c r="I78" s="57"/>
      <c r="J78" s="54"/>
      <c r="K78" s="54"/>
      <c r="X78" s="57"/>
      <c r="Y78" s="57"/>
      <c r="AA78" s="57"/>
    </row>
    <row r="79" spans="1:28" x14ac:dyDescent="0.15">
      <c r="A79" s="57"/>
      <c r="B79" s="57"/>
      <c r="C79" s="54"/>
      <c r="D79" s="96"/>
      <c r="E79" s="54"/>
      <c r="F79" s="54"/>
      <c r="G79" s="57"/>
      <c r="H79" s="54"/>
      <c r="I79" s="57"/>
      <c r="J79" s="54"/>
      <c r="K79" s="54"/>
      <c r="X79" s="57"/>
      <c r="Y79" s="57"/>
      <c r="AA79" s="57"/>
    </row>
    <row r="80" spans="1:28" x14ac:dyDescent="0.15">
      <c r="A80" s="57"/>
      <c r="B80" s="57"/>
      <c r="C80" s="54"/>
      <c r="D80" s="96"/>
      <c r="E80" s="54"/>
      <c r="F80" s="54"/>
      <c r="G80" s="57"/>
      <c r="H80" s="54"/>
      <c r="I80" s="57"/>
      <c r="J80" s="54"/>
      <c r="K80" s="54"/>
      <c r="X80" s="57"/>
      <c r="Y80" s="57"/>
      <c r="AA80" s="57"/>
    </row>
    <row r="81" spans="1:27" x14ac:dyDescent="0.15">
      <c r="A81" s="57"/>
      <c r="B81" s="57"/>
      <c r="C81" s="54"/>
      <c r="D81" s="96"/>
      <c r="E81" s="54"/>
      <c r="F81" s="54"/>
      <c r="G81" s="57"/>
      <c r="H81" s="54"/>
      <c r="I81" s="57"/>
      <c r="J81" s="54"/>
      <c r="K81" s="54"/>
      <c r="X81" s="57"/>
      <c r="Y81" s="57"/>
      <c r="AA81" s="57"/>
    </row>
    <row r="82" spans="1:27" x14ac:dyDescent="0.15">
      <c r="A82" s="57"/>
      <c r="B82" s="57"/>
      <c r="C82" s="54"/>
      <c r="D82" s="96"/>
      <c r="E82" s="54"/>
      <c r="F82" s="54"/>
      <c r="G82" s="57"/>
      <c r="H82" s="54"/>
      <c r="I82" s="57"/>
      <c r="J82" s="54"/>
      <c r="K82" s="54"/>
      <c r="X82" s="57"/>
      <c r="Y82" s="57"/>
      <c r="AA82" s="57"/>
    </row>
    <row r="83" spans="1:27" x14ac:dyDescent="0.15">
      <c r="E83" s="54"/>
      <c r="F83" s="54"/>
      <c r="G83" s="57"/>
      <c r="H83" s="54"/>
      <c r="I83" s="57"/>
      <c r="J83" s="54"/>
      <c r="K83" s="54"/>
      <c r="X83" s="57"/>
      <c r="Y83" s="57"/>
      <c r="AA83" s="57"/>
    </row>
    <row r="84" spans="1:27" x14ac:dyDescent="0.15">
      <c r="E84" s="54"/>
      <c r="F84" s="54"/>
      <c r="G84" s="57"/>
      <c r="H84" s="54"/>
      <c r="I84" s="57"/>
      <c r="J84" s="54"/>
      <c r="K84" s="54"/>
      <c r="X84" s="57"/>
      <c r="Y84" s="57"/>
      <c r="AA84" s="57"/>
    </row>
    <row r="85" spans="1:27" x14ac:dyDescent="0.15">
      <c r="E85" s="54"/>
      <c r="F85" s="54"/>
      <c r="G85" s="57"/>
      <c r="H85" s="54"/>
      <c r="I85" s="57"/>
      <c r="J85" s="54"/>
      <c r="K85" s="54"/>
      <c r="X85" s="57"/>
      <c r="Y85" s="57"/>
      <c r="AA85" s="57"/>
    </row>
    <row r="86" spans="1:27" x14ac:dyDescent="0.15">
      <c r="J86" s="54"/>
      <c r="K86" s="54"/>
    </row>
    <row r="87" spans="1:27" x14ac:dyDescent="0.15">
      <c r="J87" s="54"/>
      <c r="K87" s="54"/>
    </row>
    <row r="88" spans="1:27" x14ac:dyDescent="0.15">
      <c r="J88" s="54"/>
      <c r="K88" s="54"/>
    </row>
    <row r="89" spans="1:27" x14ac:dyDescent="0.15">
      <c r="J89" s="54"/>
      <c r="K89" s="54"/>
    </row>
    <row r="90" spans="1:27" x14ac:dyDescent="0.15">
      <c r="J90" s="54"/>
      <c r="K90" s="54"/>
    </row>
    <row r="91" spans="1:27" x14ac:dyDescent="0.15">
      <c r="J91" s="54"/>
      <c r="K91" s="54"/>
    </row>
    <row r="92" spans="1:27" x14ac:dyDescent="0.15">
      <c r="J92" s="54"/>
      <c r="K92" s="54"/>
    </row>
    <row r="93" spans="1:27" x14ac:dyDescent="0.15">
      <c r="J93" s="54"/>
      <c r="K93" s="54"/>
    </row>
    <row r="94" spans="1:27" x14ac:dyDescent="0.15">
      <c r="J94" s="54"/>
      <c r="K94" s="54"/>
    </row>
    <row r="95" spans="1:27" x14ac:dyDescent="0.15">
      <c r="J95" s="54"/>
      <c r="K95" s="54"/>
    </row>
    <row r="96" spans="1:27" x14ac:dyDescent="0.15">
      <c r="J96" s="54"/>
      <c r="K96" s="54"/>
    </row>
    <row r="97" spans="10:11" x14ac:dyDescent="0.15">
      <c r="J97" s="54"/>
      <c r="K97" s="54"/>
    </row>
    <row r="98" spans="10:11" x14ac:dyDescent="0.15">
      <c r="J98" s="54"/>
      <c r="K98" s="54"/>
    </row>
    <row r="99" spans="10:11" x14ac:dyDescent="0.15">
      <c r="J99" s="54"/>
      <c r="K99" s="54"/>
    </row>
    <row r="100" spans="10:11" x14ac:dyDescent="0.15">
      <c r="J100" s="54"/>
      <c r="K100" s="54"/>
    </row>
    <row r="101" spans="10:11" x14ac:dyDescent="0.15">
      <c r="K101" s="54"/>
    </row>
    <row r="102" spans="10:11" x14ac:dyDescent="0.15">
      <c r="K102" s="54"/>
    </row>
    <row r="103" spans="10:11" x14ac:dyDescent="0.15">
      <c r="K103" s="54"/>
    </row>
    <row r="104" spans="10:11" x14ac:dyDescent="0.15">
      <c r="K104" s="54"/>
    </row>
    <row r="105" spans="10:11" x14ac:dyDescent="0.15">
      <c r="K105" s="54"/>
    </row>
    <row r="106" spans="10:11" x14ac:dyDescent="0.15">
      <c r="K106" s="54"/>
    </row>
    <row r="107" spans="10:11" x14ac:dyDescent="0.15">
      <c r="K107" s="54"/>
    </row>
    <row r="108" spans="10:11" x14ac:dyDescent="0.15">
      <c r="K108" s="54"/>
    </row>
    <row r="109" spans="10:11" x14ac:dyDescent="0.15">
      <c r="K109" s="54"/>
    </row>
    <row r="110" spans="10:11" x14ac:dyDescent="0.15">
      <c r="K110" s="54"/>
    </row>
    <row r="111" spans="10:11" x14ac:dyDescent="0.15">
      <c r="K111" s="54"/>
    </row>
    <row r="112" spans="10:11" x14ac:dyDescent="0.15">
      <c r="K112" s="54"/>
    </row>
    <row r="113" spans="11:11" x14ac:dyDescent="0.15">
      <c r="K113" s="54"/>
    </row>
    <row r="114" spans="11:11" x14ac:dyDescent="0.15">
      <c r="K114" s="54"/>
    </row>
    <row r="115" spans="11:11" x14ac:dyDescent="0.15">
      <c r="K115" s="54"/>
    </row>
    <row r="116" spans="11:11" x14ac:dyDescent="0.15">
      <c r="K116" s="54"/>
    </row>
    <row r="117" spans="11:11" x14ac:dyDescent="0.15">
      <c r="K117" s="54"/>
    </row>
    <row r="118" spans="11:11" x14ac:dyDescent="0.15">
      <c r="K118" s="54"/>
    </row>
    <row r="119" spans="11:11" x14ac:dyDescent="0.15">
      <c r="K119" s="54"/>
    </row>
    <row r="120" spans="11:11" x14ac:dyDescent="0.15">
      <c r="K120" s="54"/>
    </row>
    <row r="121" spans="11:11" x14ac:dyDescent="0.15">
      <c r="K121" s="54"/>
    </row>
    <row r="122" spans="11:11" x14ac:dyDescent="0.15">
      <c r="K122" s="54"/>
    </row>
    <row r="123" spans="11:11" x14ac:dyDescent="0.15">
      <c r="K123" s="54"/>
    </row>
    <row r="124" spans="11:11" x14ac:dyDescent="0.15">
      <c r="K124" s="54"/>
    </row>
    <row r="125" spans="11:11" x14ac:dyDescent="0.15">
      <c r="K125" s="54"/>
    </row>
    <row r="126" spans="11:11" x14ac:dyDescent="0.15">
      <c r="K126" s="54"/>
    </row>
    <row r="127" spans="11:11" x14ac:dyDescent="0.15">
      <c r="K127" s="54"/>
    </row>
    <row r="128" spans="11:11" x14ac:dyDescent="0.15">
      <c r="K128" s="54"/>
    </row>
    <row r="129" spans="11:11" x14ac:dyDescent="0.15">
      <c r="K129" s="54"/>
    </row>
    <row r="130" spans="11:11" x14ac:dyDescent="0.15">
      <c r="K130" s="54"/>
    </row>
    <row r="131" spans="11:11" x14ac:dyDescent="0.15">
      <c r="K131" s="54"/>
    </row>
    <row r="132" spans="11:11" x14ac:dyDescent="0.15">
      <c r="K132" s="54"/>
    </row>
    <row r="133" spans="11:11" x14ac:dyDescent="0.15">
      <c r="K133" s="54"/>
    </row>
    <row r="134" spans="11:11" x14ac:dyDescent="0.15">
      <c r="K134" s="54"/>
    </row>
    <row r="135" spans="11:11" x14ac:dyDescent="0.15">
      <c r="K135" s="54"/>
    </row>
    <row r="136" spans="11:11" x14ac:dyDescent="0.15">
      <c r="K136" s="54"/>
    </row>
    <row r="137" spans="11:11" x14ac:dyDescent="0.15">
      <c r="K137" s="54"/>
    </row>
    <row r="138" spans="11:11" x14ac:dyDescent="0.15">
      <c r="K138" s="54"/>
    </row>
    <row r="139" spans="11:11" x14ac:dyDescent="0.15">
      <c r="K139" s="54"/>
    </row>
    <row r="140" spans="11:11" x14ac:dyDescent="0.15">
      <c r="K140" s="54"/>
    </row>
    <row r="141" spans="11:11" x14ac:dyDescent="0.15">
      <c r="K141" s="54"/>
    </row>
    <row r="142" spans="11:11" x14ac:dyDescent="0.15">
      <c r="K142" s="54"/>
    </row>
    <row r="143" spans="11:11" x14ac:dyDescent="0.15">
      <c r="K143" s="54"/>
    </row>
    <row r="144" spans="11:11" x14ac:dyDescent="0.15">
      <c r="K144" s="54"/>
    </row>
    <row r="145" spans="11:11" x14ac:dyDescent="0.15">
      <c r="K145" s="54"/>
    </row>
    <row r="146" spans="11:11" x14ac:dyDescent="0.15">
      <c r="K146" s="54"/>
    </row>
    <row r="147" spans="11:11" x14ac:dyDescent="0.15">
      <c r="K147" s="54"/>
    </row>
    <row r="148" spans="11:11" x14ac:dyDescent="0.15">
      <c r="K148" s="54"/>
    </row>
    <row r="149" spans="11:11" x14ac:dyDescent="0.15">
      <c r="K149" s="54"/>
    </row>
    <row r="150" spans="11:11" x14ac:dyDescent="0.15">
      <c r="K150" s="54"/>
    </row>
    <row r="151" spans="11:11" x14ac:dyDescent="0.15">
      <c r="K151" s="54"/>
    </row>
    <row r="152" spans="11:11" x14ac:dyDescent="0.15">
      <c r="K152" s="54"/>
    </row>
    <row r="153" spans="11:11" x14ac:dyDescent="0.15">
      <c r="K153" s="54"/>
    </row>
    <row r="154" spans="11:11" x14ac:dyDescent="0.15">
      <c r="K154" s="54"/>
    </row>
    <row r="155" spans="11:11" x14ac:dyDescent="0.15">
      <c r="K155" s="54"/>
    </row>
    <row r="156" spans="11:11" x14ac:dyDescent="0.15">
      <c r="K156" s="54"/>
    </row>
    <row r="157" spans="11:11" x14ac:dyDescent="0.15">
      <c r="K157" s="54"/>
    </row>
    <row r="158" spans="11:11" x14ac:dyDescent="0.15">
      <c r="K158" s="54"/>
    </row>
    <row r="159" spans="11:11" x14ac:dyDescent="0.15">
      <c r="K159" s="54"/>
    </row>
    <row r="160" spans="11:11" x14ac:dyDescent="0.15">
      <c r="K160" s="54"/>
    </row>
    <row r="161" spans="11:11" x14ac:dyDescent="0.15">
      <c r="K161" s="54"/>
    </row>
    <row r="162" spans="11:11" x14ac:dyDescent="0.15">
      <c r="K162" s="54"/>
    </row>
    <row r="163" spans="11:11" x14ac:dyDescent="0.15">
      <c r="K163" s="54"/>
    </row>
    <row r="164" spans="11:11" x14ac:dyDescent="0.15">
      <c r="K164" s="54"/>
    </row>
    <row r="165" spans="11:11" x14ac:dyDescent="0.15">
      <c r="K165" s="54"/>
    </row>
    <row r="166" spans="11:11" x14ac:dyDescent="0.15">
      <c r="K166" s="54"/>
    </row>
    <row r="167" spans="11:11" x14ac:dyDescent="0.15">
      <c r="K167" s="54"/>
    </row>
    <row r="168" spans="11:11" x14ac:dyDescent="0.15">
      <c r="K168" s="54"/>
    </row>
    <row r="169" spans="11:11" x14ac:dyDescent="0.15">
      <c r="K169" s="54"/>
    </row>
    <row r="170" spans="11:11" x14ac:dyDescent="0.15">
      <c r="K170" s="54"/>
    </row>
    <row r="171" spans="11:11" x14ac:dyDescent="0.15">
      <c r="K171" s="54"/>
    </row>
    <row r="172" spans="11:11" x14ac:dyDescent="0.15">
      <c r="K172" s="54"/>
    </row>
    <row r="173" spans="11:11" x14ac:dyDescent="0.15">
      <c r="K173" s="54"/>
    </row>
    <row r="174" spans="11:11" x14ac:dyDescent="0.15">
      <c r="K174" s="54"/>
    </row>
    <row r="175" spans="11:11" x14ac:dyDescent="0.15">
      <c r="K175" s="54"/>
    </row>
    <row r="176" spans="11:11" x14ac:dyDescent="0.15">
      <c r="K176" s="54"/>
    </row>
    <row r="177" spans="11:11" x14ac:dyDescent="0.15">
      <c r="K177" s="54"/>
    </row>
    <row r="178" spans="11:11" x14ac:dyDescent="0.15">
      <c r="K178" s="54"/>
    </row>
    <row r="179" spans="11:11" x14ac:dyDescent="0.15">
      <c r="K179" s="54"/>
    </row>
    <row r="180" spans="11:11" x14ac:dyDescent="0.15">
      <c r="K180" s="54"/>
    </row>
    <row r="181" spans="11:11" x14ac:dyDescent="0.15">
      <c r="K181" s="54"/>
    </row>
    <row r="182" spans="11:11" x14ac:dyDescent="0.15">
      <c r="K182" s="54"/>
    </row>
    <row r="183" spans="11:11" x14ac:dyDescent="0.15">
      <c r="K183" s="54"/>
    </row>
    <row r="184" spans="11:11" x14ac:dyDescent="0.15">
      <c r="K184" s="54"/>
    </row>
    <row r="185" spans="11:11" x14ac:dyDescent="0.15">
      <c r="K185" s="54"/>
    </row>
    <row r="186" spans="11:11" x14ac:dyDescent="0.15">
      <c r="K186" s="54"/>
    </row>
    <row r="187" spans="11:11" x14ac:dyDescent="0.15">
      <c r="K187" s="54"/>
    </row>
    <row r="188" spans="11:11" x14ac:dyDescent="0.15">
      <c r="K188" s="54"/>
    </row>
    <row r="189" spans="11:11" x14ac:dyDescent="0.15">
      <c r="K189" s="54"/>
    </row>
    <row r="190" spans="11:11" x14ac:dyDescent="0.15">
      <c r="K190" s="54"/>
    </row>
    <row r="191" spans="11:11" x14ac:dyDescent="0.15">
      <c r="K191" s="54"/>
    </row>
    <row r="192" spans="11:11" x14ac:dyDescent="0.15">
      <c r="K192" s="54"/>
    </row>
    <row r="193" spans="11:11" x14ac:dyDescent="0.15">
      <c r="K193" s="54"/>
    </row>
    <row r="194" spans="11:11" x14ac:dyDescent="0.15">
      <c r="K194" s="54"/>
    </row>
    <row r="195" spans="11:11" x14ac:dyDescent="0.15">
      <c r="K195" s="54"/>
    </row>
    <row r="196" spans="11:11" x14ac:dyDescent="0.15">
      <c r="K196" s="54"/>
    </row>
    <row r="197" spans="11:11" x14ac:dyDescent="0.15">
      <c r="K197" s="54"/>
    </row>
    <row r="198" spans="11:11" x14ac:dyDescent="0.15">
      <c r="K198" s="54"/>
    </row>
    <row r="199" spans="11:11" x14ac:dyDescent="0.15">
      <c r="K199" s="54"/>
    </row>
    <row r="200" spans="11:11" x14ac:dyDescent="0.15">
      <c r="K200" s="54"/>
    </row>
    <row r="201" spans="11:11" x14ac:dyDescent="0.15">
      <c r="K201" s="54"/>
    </row>
    <row r="202" spans="11:11" x14ac:dyDescent="0.15">
      <c r="K202" s="54"/>
    </row>
    <row r="203" spans="11:11" x14ac:dyDescent="0.15">
      <c r="K203" s="54"/>
    </row>
    <row r="204" spans="11:11" x14ac:dyDescent="0.15">
      <c r="K204" s="54"/>
    </row>
    <row r="205" spans="11:11" x14ac:dyDescent="0.15">
      <c r="K205" s="54"/>
    </row>
    <row r="206" spans="11:11" x14ac:dyDescent="0.15">
      <c r="K206" s="54"/>
    </row>
    <row r="207" spans="11:11" x14ac:dyDescent="0.15">
      <c r="K207" s="54"/>
    </row>
    <row r="208" spans="11:11" x14ac:dyDescent="0.15">
      <c r="K208" s="54"/>
    </row>
    <row r="209" spans="11:11" x14ac:dyDescent="0.15">
      <c r="K209" s="54"/>
    </row>
    <row r="210" spans="11:11" x14ac:dyDescent="0.15">
      <c r="K210" s="54"/>
    </row>
    <row r="211" spans="11:11" x14ac:dyDescent="0.15">
      <c r="K211" s="54"/>
    </row>
    <row r="212" spans="11:11" x14ac:dyDescent="0.15">
      <c r="K212" s="54"/>
    </row>
    <row r="213" spans="11:11" x14ac:dyDescent="0.15">
      <c r="K213" s="54"/>
    </row>
    <row r="214" spans="11:11" x14ac:dyDescent="0.15">
      <c r="K214" s="54"/>
    </row>
    <row r="215" spans="11:11" x14ac:dyDescent="0.15">
      <c r="K215" s="54"/>
    </row>
    <row r="216" spans="11:11" x14ac:dyDescent="0.15">
      <c r="K216" s="54"/>
    </row>
    <row r="217" spans="11:11" x14ac:dyDescent="0.15">
      <c r="K217" s="54"/>
    </row>
    <row r="218" spans="11:11" x14ac:dyDescent="0.15">
      <c r="K218" s="54"/>
    </row>
    <row r="219" spans="11:11" x14ac:dyDescent="0.15">
      <c r="K219" s="54"/>
    </row>
    <row r="220" spans="11:11" x14ac:dyDescent="0.15">
      <c r="K220" s="54"/>
    </row>
    <row r="221" spans="11:11" x14ac:dyDescent="0.15">
      <c r="K221" s="54"/>
    </row>
    <row r="222" spans="11:11" x14ac:dyDescent="0.15">
      <c r="K222" s="54"/>
    </row>
    <row r="223" spans="11:11" x14ac:dyDescent="0.15">
      <c r="K223" s="54"/>
    </row>
    <row r="224" spans="11:11" x14ac:dyDescent="0.15">
      <c r="K224" s="54"/>
    </row>
    <row r="225" spans="11:11" x14ac:dyDescent="0.15">
      <c r="K225" s="54"/>
    </row>
    <row r="226" spans="11:11" x14ac:dyDescent="0.15">
      <c r="K226" s="54"/>
    </row>
    <row r="227" spans="11:11" x14ac:dyDescent="0.15">
      <c r="K227" s="54"/>
    </row>
    <row r="228" spans="11:11" x14ac:dyDescent="0.15">
      <c r="K228" s="54"/>
    </row>
    <row r="229" spans="11:11" x14ac:dyDescent="0.15">
      <c r="K229" s="54"/>
    </row>
    <row r="230" spans="11:11" x14ac:dyDescent="0.15">
      <c r="K230" s="54"/>
    </row>
    <row r="231" spans="11:11" x14ac:dyDescent="0.15">
      <c r="K231" s="54"/>
    </row>
    <row r="232" spans="11:11" x14ac:dyDescent="0.15">
      <c r="K232" s="54"/>
    </row>
    <row r="233" spans="11:11" x14ac:dyDescent="0.15">
      <c r="K233" s="54"/>
    </row>
    <row r="234" spans="11:11" x14ac:dyDescent="0.15">
      <c r="K234" s="54"/>
    </row>
    <row r="235" spans="11:11" x14ac:dyDescent="0.15">
      <c r="K235" s="54"/>
    </row>
    <row r="236" spans="11:11" x14ac:dyDescent="0.15">
      <c r="K236" s="54"/>
    </row>
    <row r="237" spans="11:11" x14ac:dyDescent="0.15">
      <c r="K237" s="54"/>
    </row>
    <row r="238" spans="11:11" x14ac:dyDescent="0.15">
      <c r="K238" s="54"/>
    </row>
    <row r="239" spans="11:11" x14ac:dyDescent="0.15">
      <c r="K239" s="54"/>
    </row>
    <row r="240" spans="11:11" x14ac:dyDescent="0.15">
      <c r="K240" s="54"/>
    </row>
    <row r="241" spans="11:11" x14ac:dyDescent="0.15">
      <c r="K241" s="54"/>
    </row>
    <row r="242" spans="11:11" x14ac:dyDescent="0.15">
      <c r="K242" s="54"/>
    </row>
    <row r="243" spans="11:11" x14ac:dyDescent="0.15">
      <c r="K243" s="54"/>
    </row>
    <row r="244" spans="11:11" x14ac:dyDescent="0.15">
      <c r="K244" s="54"/>
    </row>
    <row r="245" spans="11:11" x14ac:dyDescent="0.15">
      <c r="K245" s="54"/>
    </row>
    <row r="246" spans="11:11" x14ac:dyDescent="0.15">
      <c r="K246" s="54"/>
    </row>
    <row r="247" spans="11:11" x14ac:dyDescent="0.15">
      <c r="K247" s="54"/>
    </row>
    <row r="248" spans="11:11" x14ac:dyDescent="0.15">
      <c r="K248" s="54"/>
    </row>
    <row r="249" spans="11:11" x14ac:dyDescent="0.15">
      <c r="K249" s="54"/>
    </row>
    <row r="250" spans="11:11" x14ac:dyDescent="0.15">
      <c r="K250" s="54"/>
    </row>
    <row r="251" spans="11:11" x14ac:dyDescent="0.15">
      <c r="K251" s="54"/>
    </row>
    <row r="252" spans="11:11" x14ac:dyDescent="0.15">
      <c r="K252" s="54"/>
    </row>
    <row r="253" spans="11:11" x14ac:dyDescent="0.15">
      <c r="K253" s="54"/>
    </row>
    <row r="254" spans="11:11" x14ac:dyDescent="0.15">
      <c r="K254" s="54"/>
    </row>
    <row r="255" spans="11:11" x14ac:dyDescent="0.15">
      <c r="K255" s="54"/>
    </row>
    <row r="256" spans="11:11" x14ac:dyDescent="0.15">
      <c r="K256" s="54"/>
    </row>
    <row r="257" spans="11:11" x14ac:dyDescent="0.15">
      <c r="K257" s="54"/>
    </row>
    <row r="258" spans="11:11" x14ac:dyDescent="0.15">
      <c r="K258" s="54"/>
    </row>
    <row r="259" spans="11:11" x14ac:dyDescent="0.15">
      <c r="K259" s="54"/>
    </row>
    <row r="260" spans="11:11" x14ac:dyDescent="0.15">
      <c r="K260" s="54"/>
    </row>
    <row r="261" spans="11:11" x14ac:dyDescent="0.15">
      <c r="K261" s="54"/>
    </row>
    <row r="262" spans="11:11" x14ac:dyDescent="0.15">
      <c r="K262" s="54"/>
    </row>
    <row r="263" spans="11:11" x14ac:dyDescent="0.15">
      <c r="K263" s="54"/>
    </row>
    <row r="264" spans="11:11" x14ac:dyDescent="0.15">
      <c r="K264" s="54"/>
    </row>
    <row r="265" spans="11:11" x14ac:dyDescent="0.15">
      <c r="K265" s="54"/>
    </row>
    <row r="266" spans="11:11" x14ac:dyDescent="0.15">
      <c r="K266" s="54"/>
    </row>
    <row r="267" spans="11:11" x14ac:dyDescent="0.15">
      <c r="K267" s="54"/>
    </row>
    <row r="268" spans="11:11" x14ac:dyDescent="0.15">
      <c r="K268" s="54"/>
    </row>
    <row r="269" spans="11:11" x14ac:dyDescent="0.15">
      <c r="K269" s="54"/>
    </row>
    <row r="270" spans="11:11" x14ac:dyDescent="0.15">
      <c r="K270" s="54"/>
    </row>
    <row r="271" spans="11:11" x14ac:dyDescent="0.15">
      <c r="K271" s="54"/>
    </row>
    <row r="272" spans="11:11" x14ac:dyDescent="0.15">
      <c r="K272" s="54"/>
    </row>
    <row r="273" spans="11:11" x14ac:dyDescent="0.15">
      <c r="K273" s="54"/>
    </row>
    <row r="274" spans="11:11" x14ac:dyDescent="0.15">
      <c r="K274" s="54"/>
    </row>
    <row r="275" spans="11:11" x14ac:dyDescent="0.15">
      <c r="K275" s="54"/>
    </row>
    <row r="276" spans="11:11" x14ac:dyDescent="0.15">
      <c r="K276" s="54"/>
    </row>
    <row r="277" spans="11:11" x14ac:dyDescent="0.15">
      <c r="K277" s="54"/>
    </row>
    <row r="278" spans="11:11" x14ac:dyDescent="0.15">
      <c r="K278" s="54"/>
    </row>
    <row r="279" spans="11:11" x14ac:dyDescent="0.15">
      <c r="K279" s="54"/>
    </row>
    <row r="280" spans="11:11" x14ac:dyDescent="0.15">
      <c r="K280" s="54"/>
    </row>
    <row r="281" spans="11:11" x14ac:dyDescent="0.15">
      <c r="K281" s="54"/>
    </row>
    <row r="282" spans="11:11" x14ac:dyDescent="0.15">
      <c r="K282" s="54"/>
    </row>
    <row r="283" spans="11:11" x14ac:dyDescent="0.15">
      <c r="K283" s="54"/>
    </row>
    <row r="284" spans="11:11" x14ac:dyDescent="0.15">
      <c r="K284" s="54"/>
    </row>
    <row r="285" spans="11:11" x14ac:dyDescent="0.15">
      <c r="K285" s="54"/>
    </row>
    <row r="286" spans="11:11" x14ac:dyDescent="0.15">
      <c r="K286" s="54"/>
    </row>
    <row r="287" spans="11:11" x14ac:dyDescent="0.15">
      <c r="K287" s="54"/>
    </row>
    <row r="288" spans="11:11" x14ac:dyDescent="0.15">
      <c r="K288" s="54"/>
    </row>
    <row r="289" spans="11:11" x14ac:dyDescent="0.15">
      <c r="K289" s="54"/>
    </row>
    <row r="290" spans="11:11" x14ac:dyDescent="0.15">
      <c r="K290" s="54"/>
    </row>
    <row r="291" spans="11:11" x14ac:dyDescent="0.15">
      <c r="K291" s="54"/>
    </row>
    <row r="292" spans="11:11" x14ac:dyDescent="0.15">
      <c r="K292" s="54"/>
    </row>
    <row r="293" spans="11:11" x14ac:dyDescent="0.15">
      <c r="K293" s="54"/>
    </row>
    <row r="294" spans="11:11" x14ac:dyDescent="0.15">
      <c r="K294" s="54"/>
    </row>
    <row r="295" spans="11:11" x14ac:dyDescent="0.15">
      <c r="K295" s="54"/>
    </row>
    <row r="296" spans="11:11" x14ac:dyDescent="0.15">
      <c r="K296" s="54"/>
    </row>
    <row r="297" spans="11:11" x14ac:dyDescent="0.15">
      <c r="K297" s="54"/>
    </row>
    <row r="298" spans="11:11" x14ac:dyDescent="0.15">
      <c r="K298" s="54"/>
    </row>
    <row r="299" spans="11:11" x14ac:dyDescent="0.15">
      <c r="K299" s="54"/>
    </row>
    <row r="300" spans="11:11" x14ac:dyDescent="0.15">
      <c r="K300" s="54"/>
    </row>
    <row r="301" spans="11:11" x14ac:dyDescent="0.15">
      <c r="K301" s="54"/>
    </row>
    <row r="302" spans="11:11" x14ac:dyDescent="0.15">
      <c r="K302" s="54"/>
    </row>
    <row r="303" spans="11:11" x14ac:dyDescent="0.15">
      <c r="K303" s="54"/>
    </row>
    <row r="304" spans="11:11" x14ac:dyDescent="0.15">
      <c r="K304" s="54"/>
    </row>
    <row r="305" spans="11:11" x14ac:dyDescent="0.15">
      <c r="K305" s="54"/>
    </row>
    <row r="306" spans="11:11" x14ac:dyDescent="0.15">
      <c r="K306" s="54"/>
    </row>
    <row r="307" spans="11:11" x14ac:dyDescent="0.15">
      <c r="K307" s="54"/>
    </row>
    <row r="308" spans="11:11" x14ac:dyDescent="0.15">
      <c r="K308" s="54"/>
    </row>
    <row r="309" spans="11:11" x14ac:dyDescent="0.15">
      <c r="K309" s="54"/>
    </row>
    <row r="310" spans="11:11" x14ac:dyDescent="0.15">
      <c r="K310" s="54"/>
    </row>
    <row r="311" spans="11:11" x14ac:dyDescent="0.15">
      <c r="K311" s="54"/>
    </row>
    <row r="312" spans="11:11" x14ac:dyDescent="0.15">
      <c r="K312" s="54"/>
    </row>
    <row r="313" spans="11:11" x14ac:dyDescent="0.15">
      <c r="K313" s="54"/>
    </row>
    <row r="314" spans="11:11" x14ac:dyDescent="0.15">
      <c r="K314" s="54"/>
    </row>
    <row r="315" spans="11:11" x14ac:dyDescent="0.15">
      <c r="K315" s="54"/>
    </row>
    <row r="316" spans="11:11" x14ac:dyDescent="0.15">
      <c r="K316" s="54"/>
    </row>
    <row r="317" spans="11:11" x14ac:dyDescent="0.15">
      <c r="K317" s="54"/>
    </row>
    <row r="318" spans="11:11" x14ac:dyDescent="0.15">
      <c r="K318" s="54"/>
    </row>
    <row r="319" spans="11:11" x14ac:dyDescent="0.15">
      <c r="K319" s="54"/>
    </row>
    <row r="320" spans="11:11" x14ac:dyDescent="0.15">
      <c r="K320" s="54"/>
    </row>
    <row r="321" spans="11:11" x14ac:dyDescent="0.15">
      <c r="K321" s="54"/>
    </row>
    <row r="322" spans="11:11" x14ac:dyDescent="0.15">
      <c r="K322" s="54"/>
    </row>
    <row r="323" spans="11:11" x14ac:dyDescent="0.15">
      <c r="K323" s="54"/>
    </row>
    <row r="324" spans="11:11" x14ac:dyDescent="0.15">
      <c r="K324" s="54"/>
    </row>
    <row r="325" spans="11:11" x14ac:dyDescent="0.15">
      <c r="K325" s="54"/>
    </row>
    <row r="326" spans="11:11" x14ac:dyDescent="0.15">
      <c r="K326" s="54"/>
    </row>
    <row r="327" spans="11:11" x14ac:dyDescent="0.15">
      <c r="K327" s="54"/>
    </row>
    <row r="328" spans="11:11" x14ac:dyDescent="0.15">
      <c r="K328" s="54"/>
    </row>
    <row r="329" spans="11:11" x14ac:dyDescent="0.15">
      <c r="K329" s="54"/>
    </row>
    <row r="330" spans="11:11" x14ac:dyDescent="0.15">
      <c r="K330" s="54"/>
    </row>
    <row r="331" spans="11:11" x14ac:dyDescent="0.15">
      <c r="K331" s="54"/>
    </row>
    <row r="332" spans="11:11" x14ac:dyDescent="0.15">
      <c r="K332" s="54"/>
    </row>
    <row r="333" spans="11:11" x14ac:dyDescent="0.15">
      <c r="K333" s="54"/>
    </row>
    <row r="334" spans="11:11" x14ac:dyDescent="0.15">
      <c r="K334" s="54"/>
    </row>
    <row r="335" spans="11:11" x14ac:dyDescent="0.15">
      <c r="K335" s="54"/>
    </row>
    <row r="336" spans="11:11" x14ac:dyDescent="0.15">
      <c r="K336" s="54"/>
    </row>
    <row r="337" spans="11:11" x14ac:dyDescent="0.15">
      <c r="K337" s="54"/>
    </row>
    <row r="338" spans="11:11" x14ac:dyDescent="0.15">
      <c r="K338" s="54"/>
    </row>
    <row r="339" spans="11:11" x14ac:dyDescent="0.15">
      <c r="K339" s="54"/>
    </row>
    <row r="340" spans="11:11" x14ac:dyDescent="0.15">
      <c r="K340" s="54"/>
    </row>
    <row r="341" spans="11:11" x14ac:dyDescent="0.15">
      <c r="K341" s="54"/>
    </row>
    <row r="342" spans="11:11" x14ac:dyDescent="0.15">
      <c r="K342" s="54"/>
    </row>
    <row r="343" spans="11:11" x14ac:dyDescent="0.15">
      <c r="K343" s="54"/>
    </row>
    <row r="344" spans="11:11" x14ac:dyDescent="0.15">
      <c r="K344" s="54"/>
    </row>
    <row r="345" spans="11:11" x14ac:dyDescent="0.15">
      <c r="K345" s="54"/>
    </row>
    <row r="346" spans="11:11" x14ac:dyDescent="0.15">
      <c r="K346" s="54"/>
    </row>
    <row r="347" spans="11:11" x14ac:dyDescent="0.15">
      <c r="K347" s="54"/>
    </row>
    <row r="348" spans="11:11" x14ac:dyDescent="0.15">
      <c r="K348" s="54"/>
    </row>
    <row r="349" spans="11:11" x14ac:dyDescent="0.15">
      <c r="K349" s="54"/>
    </row>
    <row r="350" spans="11:11" x14ac:dyDescent="0.15">
      <c r="K350" s="54"/>
    </row>
    <row r="351" spans="11:11" x14ac:dyDescent="0.15">
      <c r="K351" s="54"/>
    </row>
    <row r="352" spans="11:11" x14ac:dyDescent="0.15">
      <c r="K352" s="54"/>
    </row>
    <row r="353" spans="11:11" x14ac:dyDescent="0.15">
      <c r="K353" s="54"/>
    </row>
    <row r="354" spans="11:11" x14ac:dyDescent="0.15">
      <c r="K354" s="54"/>
    </row>
    <row r="355" spans="11:11" x14ac:dyDescent="0.15">
      <c r="K355" s="54"/>
    </row>
    <row r="356" spans="11:11" x14ac:dyDescent="0.15">
      <c r="K356" s="54"/>
    </row>
    <row r="357" spans="11:11" x14ac:dyDescent="0.15">
      <c r="K357" s="54"/>
    </row>
    <row r="358" spans="11:11" x14ac:dyDescent="0.15">
      <c r="K358" s="54"/>
    </row>
    <row r="359" spans="11:11" x14ac:dyDescent="0.15">
      <c r="K359" s="54"/>
    </row>
    <row r="360" spans="11:11" x14ac:dyDescent="0.15">
      <c r="K360" s="54"/>
    </row>
    <row r="361" spans="11:11" x14ac:dyDescent="0.15">
      <c r="K361" s="54"/>
    </row>
    <row r="362" spans="11:11" x14ac:dyDescent="0.15">
      <c r="K362" s="54"/>
    </row>
    <row r="363" spans="11:11" x14ac:dyDescent="0.15">
      <c r="K363" s="54"/>
    </row>
    <row r="364" spans="11:11" x14ac:dyDescent="0.15">
      <c r="K364" s="54"/>
    </row>
    <row r="365" spans="11:11" x14ac:dyDescent="0.15">
      <c r="K365" s="54"/>
    </row>
    <row r="366" spans="11:11" x14ac:dyDescent="0.15">
      <c r="K366" s="54"/>
    </row>
    <row r="367" spans="11:11" x14ac:dyDescent="0.15">
      <c r="K367" s="54"/>
    </row>
    <row r="368" spans="11:11" x14ac:dyDescent="0.15">
      <c r="K368" s="54"/>
    </row>
    <row r="369" spans="11:11" x14ac:dyDescent="0.15">
      <c r="K369" s="54"/>
    </row>
    <row r="370" spans="11:11" x14ac:dyDescent="0.15">
      <c r="K370" s="54"/>
    </row>
    <row r="371" spans="11:11" x14ac:dyDescent="0.15">
      <c r="K371" s="54"/>
    </row>
    <row r="372" spans="11:11" x14ac:dyDescent="0.15">
      <c r="K372" s="54"/>
    </row>
    <row r="373" spans="11:11" x14ac:dyDescent="0.15">
      <c r="K373" s="54"/>
    </row>
    <row r="374" spans="11:11" x14ac:dyDescent="0.15">
      <c r="K374" s="54"/>
    </row>
    <row r="375" spans="11:11" x14ac:dyDescent="0.15">
      <c r="K375" s="54"/>
    </row>
    <row r="376" spans="11:11" x14ac:dyDescent="0.15">
      <c r="K376" s="54"/>
    </row>
    <row r="377" spans="11:11" x14ac:dyDescent="0.15">
      <c r="K377" s="54"/>
    </row>
    <row r="378" spans="11:11" x14ac:dyDescent="0.15">
      <c r="K378" s="54"/>
    </row>
    <row r="379" spans="11:11" x14ac:dyDescent="0.15">
      <c r="K379" s="54"/>
    </row>
    <row r="380" spans="11:11" x14ac:dyDescent="0.15">
      <c r="K380" s="54"/>
    </row>
    <row r="381" spans="11:11" x14ac:dyDescent="0.15">
      <c r="K381" s="54"/>
    </row>
    <row r="382" spans="11:11" x14ac:dyDescent="0.15">
      <c r="K382" s="54"/>
    </row>
    <row r="383" spans="11:11" x14ac:dyDescent="0.15">
      <c r="K383" s="54"/>
    </row>
    <row r="384" spans="11:11" x14ac:dyDescent="0.15">
      <c r="K384" s="54"/>
    </row>
    <row r="385" spans="11:11" x14ac:dyDescent="0.15">
      <c r="K385" s="54"/>
    </row>
    <row r="386" spans="11:11" x14ac:dyDescent="0.15">
      <c r="K386" s="54"/>
    </row>
    <row r="387" spans="11:11" x14ac:dyDescent="0.15">
      <c r="K387" s="54"/>
    </row>
    <row r="388" spans="11:11" x14ac:dyDescent="0.15">
      <c r="K388" s="54"/>
    </row>
    <row r="389" spans="11:11" x14ac:dyDescent="0.15">
      <c r="K389" s="54"/>
    </row>
    <row r="390" spans="11:11" x14ac:dyDescent="0.15">
      <c r="K390" s="54"/>
    </row>
    <row r="391" spans="11:11" x14ac:dyDescent="0.15">
      <c r="K391" s="54"/>
    </row>
    <row r="392" spans="11:11" x14ac:dyDescent="0.15">
      <c r="K392" s="54"/>
    </row>
    <row r="393" spans="11:11" x14ac:dyDescent="0.15">
      <c r="K393" s="54"/>
    </row>
    <row r="394" spans="11:11" x14ac:dyDescent="0.15">
      <c r="K394" s="54"/>
    </row>
    <row r="395" spans="11:11" x14ac:dyDescent="0.15">
      <c r="K395" s="54"/>
    </row>
    <row r="396" spans="11:11" x14ac:dyDescent="0.15">
      <c r="K396" s="54"/>
    </row>
    <row r="397" spans="11:11" x14ac:dyDescent="0.15">
      <c r="K397" s="54"/>
    </row>
    <row r="398" spans="11:11" x14ac:dyDescent="0.15">
      <c r="K398" s="54"/>
    </row>
    <row r="399" spans="11:11" x14ac:dyDescent="0.15">
      <c r="K399" s="54"/>
    </row>
    <row r="400" spans="11:11" x14ac:dyDescent="0.15">
      <c r="K400" s="54"/>
    </row>
    <row r="401" spans="11:11" x14ac:dyDescent="0.15">
      <c r="K401" s="54"/>
    </row>
    <row r="402" spans="11:11" x14ac:dyDescent="0.15">
      <c r="K402" s="54"/>
    </row>
    <row r="403" spans="11:11" x14ac:dyDescent="0.15">
      <c r="K403" s="54"/>
    </row>
    <row r="404" spans="11:11" x14ac:dyDescent="0.15">
      <c r="K404" s="54"/>
    </row>
    <row r="405" spans="11:11" x14ac:dyDescent="0.15">
      <c r="K405" s="54"/>
    </row>
    <row r="406" spans="11:11" x14ac:dyDescent="0.15">
      <c r="K406" s="54"/>
    </row>
    <row r="407" spans="11:11" x14ac:dyDescent="0.15">
      <c r="K407" s="54"/>
    </row>
    <row r="408" spans="11:11" x14ac:dyDescent="0.15">
      <c r="K408" s="54"/>
    </row>
    <row r="409" spans="11:11" x14ac:dyDescent="0.15">
      <c r="K409" s="54"/>
    </row>
    <row r="410" spans="11:11" x14ac:dyDescent="0.15">
      <c r="K410" s="54"/>
    </row>
    <row r="411" spans="11:11" x14ac:dyDescent="0.15">
      <c r="K411" s="54"/>
    </row>
    <row r="412" spans="11:11" x14ac:dyDescent="0.15">
      <c r="K412" s="54"/>
    </row>
    <row r="413" spans="11:11" x14ac:dyDescent="0.15">
      <c r="K413" s="54"/>
    </row>
    <row r="414" spans="11:11" x14ac:dyDescent="0.15">
      <c r="K414" s="54"/>
    </row>
    <row r="415" spans="11:11" x14ac:dyDescent="0.15">
      <c r="K415" s="54"/>
    </row>
    <row r="416" spans="11:11" x14ac:dyDescent="0.15">
      <c r="K416" s="54"/>
    </row>
    <row r="417" spans="11:11" x14ac:dyDescent="0.15">
      <c r="K417" s="54"/>
    </row>
    <row r="418" spans="11:11" x14ac:dyDescent="0.15">
      <c r="K418" s="54"/>
    </row>
    <row r="419" spans="11:11" x14ac:dyDescent="0.15">
      <c r="K419" s="54"/>
    </row>
    <row r="420" spans="11:11" x14ac:dyDescent="0.15">
      <c r="K420" s="54"/>
    </row>
    <row r="421" spans="11:11" x14ac:dyDescent="0.15">
      <c r="K421" s="54"/>
    </row>
    <row r="422" spans="11:11" x14ac:dyDescent="0.15">
      <c r="K422" s="54"/>
    </row>
    <row r="423" spans="11:11" x14ac:dyDescent="0.15">
      <c r="K423" s="54"/>
    </row>
    <row r="424" spans="11:11" x14ac:dyDescent="0.15">
      <c r="K424" s="54"/>
    </row>
    <row r="425" spans="11:11" x14ac:dyDescent="0.15">
      <c r="K425" s="54"/>
    </row>
    <row r="426" spans="11:11" x14ac:dyDescent="0.15">
      <c r="K426" s="54"/>
    </row>
    <row r="427" spans="11:11" x14ac:dyDescent="0.15">
      <c r="K427" s="54"/>
    </row>
    <row r="428" spans="11:11" x14ac:dyDescent="0.15">
      <c r="K428" s="54"/>
    </row>
    <row r="429" spans="11:11" x14ac:dyDescent="0.15">
      <c r="K429" s="54"/>
    </row>
    <row r="430" spans="11:11" x14ac:dyDescent="0.15">
      <c r="K430" s="54"/>
    </row>
    <row r="431" spans="11:11" x14ac:dyDescent="0.15">
      <c r="K431" s="54"/>
    </row>
    <row r="432" spans="11:11" x14ac:dyDescent="0.15">
      <c r="K432" s="54"/>
    </row>
    <row r="433" spans="11:11" x14ac:dyDescent="0.15">
      <c r="K433" s="54"/>
    </row>
    <row r="434" spans="11:11" x14ac:dyDescent="0.15">
      <c r="K434" s="54"/>
    </row>
    <row r="435" spans="11:11" x14ac:dyDescent="0.15">
      <c r="K435" s="54"/>
    </row>
    <row r="436" spans="11:11" x14ac:dyDescent="0.15">
      <c r="K436" s="54"/>
    </row>
    <row r="437" spans="11:11" x14ac:dyDescent="0.15">
      <c r="K437" s="54"/>
    </row>
    <row r="438" spans="11:11" x14ac:dyDescent="0.15">
      <c r="K438" s="54"/>
    </row>
    <row r="439" spans="11:11" x14ac:dyDescent="0.15">
      <c r="K439" s="54"/>
    </row>
    <row r="440" spans="11:11" x14ac:dyDescent="0.15">
      <c r="K440" s="54"/>
    </row>
    <row r="441" spans="11:11" x14ac:dyDescent="0.15">
      <c r="K441" s="54"/>
    </row>
    <row r="442" spans="11:11" x14ac:dyDescent="0.15">
      <c r="K442" s="54"/>
    </row>
    <row r="443" spans="11:11" x14ac:dyDescent="0.15">
      <c r="K443" s="54"/>
    </row>
    <row r="444" spans="11:11" x14ac:dyDescent="0.15">
      <c r="K444" s="54"/>
    </row>
    <row r="445" spans="11:11" x14ac:dyDescent="0.15">
      <c r="K445" s="54"/>
    </row>
    <row r="446" spans="11:11" x14ac:dyDescent="0.15">
      <c r="K446" s="54"/>
    </row>
    <row r="447" spans="11:11" x14ac:dyDescent="0.15">
      <c r="K447" s="54"/>
    </row>
    <row r="448" spans="11:11" x14ac:dyDescent="0.15">
      <c r="K448" s="54"/>
    </row>
    <row r="449" spans="11:11" x14ac:dyDescent="0.15">
      <c r="K449" s="54"/>
    </row>
    <row r="450" spans="11:11" x14ac:dyDescent="0.15">
      <c r="K450" s="54"/>
    </row>
  </sheetData>
  <autoFilter ref="A1:BA52" xr:uid="{00000000-0009-0000-0000-000002000000}"/>
  <phoneticPr fontId="3"/>
  <dataValidations count="18">
    <dataValidation type="list" allowBlank="1" showInputMessage="1" showErrorMessage="1" sqref="K2:K450" xr:uid="{440A88FB-9307-41E4-A9E6-7CB7F305A52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4137FCC8-EEF3-41C0-B073-35B9D729BE0D}">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D4C76733-AFC8-4AF4-B4A0-1012D972ACD7}">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98125FE0-785E-47BD-9A13-D28EE3FA58A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A541643F-257C-4511-BEB3-9E6BECBF0EF7}">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F3A67895-735C-43AE-A3FF-E92AA162C2BB}"/>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114BBB04-E548-4EC5-A3E4-150FED460F52}">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6C9D0A85-20CC-4177-84AB-F208F0E2ACDB}">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4B5F9D11-F8C7-4A8A-ACCD-3EA656C673FB}">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261EAAF8-0551-499C-8511-770B7C611CCF}">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11F956A5-7319-4C71-A10F-84459E439003}">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DFEE10C2-8037-4D0C-8E45-26BF766EFEE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A4D36600-3DDF-4558-874E-2DE14E95A15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C00CBC41-1243-416B-A0AE-274171F93FCD}">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E417C858-8731-4635-9281-09FD7BEADDAA}">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xr:uid="{7A73E951-B7D9-4E19-AAEC-9D7BD97C7FCE}">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E0C9F62E-5591-4674-8818-209D8670E25E}">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F8E1F7D4-4F30-4716-9C4F-347C87BA3638}">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60FC6-3C6A-4456-870F-DAAB11D0539A}">
  <dimension ref="A1:BA732"/>
  <sheetViews>
    <sheetView topLeftCell="A28" zoomScale="85" zoomScaleNormal="85" workbookViewId="0">
      <selection activeCell="G88" sqref="G88"/>
    </sheetView>
  </sheetViews>
  <sheetFormatPr defaultColWidth="9" defaultRowHeight="13.5" x14ac:dyDescent="0.15"/>
  <cols>
    <col min="1" max="3" width="9" style="109"/>
    <col min="4" max="4" width="10.5" style="109" customWidth="1"/>
    <col min="5" max="16" width="9" style="109"/>
    <col min="17" max="17" width="9" style="142"/>
    <col min="18" max="18" width="9" style="109"/>
    <col min="19" max="19" width="9.5" style="109" customWidth="1"/>
    <col min="20" max="20" width="9" style="142"/>
    <col min="21" max="21" width="9" style="109"/>
    <col min="22" max="22" width="9" style="142"/>
    <col min="23" max="23" width="10.5" style="109" customWidth="1"/>
    <col min="24" max="32" width="9" style="109"/>
    <col min="33" max="33" width="19.625" style="109" customWidth="1"/>
    <col min="34" max="34" width="9.375" style="109" customWidth="1"/>
    <col min="35" max="259" width="9" style="109"/>
    <col min="260" max="260" width="10.5" style="109" customWidth="1"/>
    <col min="261" max="274" width="9" style="109"/>
    <col min="275" max="275" width="9.5" style="109" customWidth="1"/>
    <col min="276" max="278" width="9" style="109"/>
    <col min="279" max="279" width="10.5" style="109" customWidth="1"/>
    <col min="280" max="515" width="9" style="109"/>
    <col min="516" max="516" width="10.5" style="109" customWidth="1"/>
    <col min="517" max="530" width="9" style="109"/>
    <col min="531" max="531" width="9.5" style="109" customWidth="1"/>
    <col min="532" max="534" width="9" style="109"/>
    <col min="535" max="535" width="10.5" style="109" customWidth="1"/>
    <col min="536" max="771" width="9" style="109"/>
    <col min="772" max="772" width="10.5" style="109" customWidth="1"/>
    <col min="773" max="786" width="9" style="109"/>
    <col min="787" max="787" width="9.5" style="109" customWidth="1"/>
    <col min="788" max="790" width="9" style="109"/>
    <col min="791" max="791" width="10.5" style="109" customWidth="1"/>
    <col min="792" max="1027" width="9" style="109"/>
    <col min="1028" max="1028" width="10.5" style="109" customWidth="1"/>
    <col min="1029" max="1042" width="9" style="109"/>
    <col min="1043" max="1043" width="9.5" style="109" customWidth="1"/>
    <col min="1044" max="1046" width="9" style="109"/>
    <col min="1047" max="1047" width="10.5" style="109" customWidth="1"/>
    <col min="1048" max="1283" width="9" style="109"/>
    <col min="1284" max="1284" width="10.5" style="109" customWidth="1"/>
    <col min="1285" max="1298" width="9" style="109"/>
    <col min="1299" max="1299" width="9.5" style="109" customWidth="1"/>
    <col min="1300" max="1302" width="9" style="109"/>
    <col min="1303" max="1303" width="10.5" style="109" customWidth="1"/>
    <col min="1304" max="1539" width="9" style="109"/>
    <col min="1540" max="1540" width="10.5" style="109" customWidth="1"/>
    <col min="1541" max="1554" width="9" style="109"/>
    <col min="1555" max="1555" width="9.5" style="109" customWidth="1"/>
    <col min="1556" max="1558" width="9" style="109"/>
    <col min="1559" max="1559" width="10.5" style="109" customWidth="1"/>
    <col min="1560" max="1795" width="9" style="109"/>
    <col min="1796" max="1796" width="10.5" style="109" customWidth="1"/>
    <col min="1797" max="1810" width="9" style="109"/>
    <col min="1811" max="1811" width="9.5" style="109" customWidth="1"/>
    <col min="1812" max="1814" width="9" style="109"/>
    <col min="1815" max="1815" width="10.5" style="109" customWidth="1"/>
    <col min="1816" max="2051" width="9" style="109"/>
    <col min="2052" max="2052" width="10.5" style="109" customWidth="1"/>
    <col min="2053" max="2066" width="9" style="109"/>
    <col min="2067" max="2067" width="9.5" style="109" customWidth="1"/>
    <col min="2068" max="2070" width="9" style="109"/>
    <col min="2071" max="2071" width="10.5" style="109" customWidth="1"/>
    <col min="2072" max="2307" width="9" style="109"/>
    <col min="2308" max="2308" width="10.5" style="109" customWidth="1"/>
    <col min="2309" max="2322" width="9" style="109"/>
    <col min="2323" max="2323" width="9.5" style="109" customWidth="1"/>
    <col min="2324" max="2326" width="9" style="109"/>
    <col min="2327" max="2327" width="10.5" style="109" customWidth="1"/>
    <col min="2328" max="2563" width="9" style="109"/>
    <col min="2564" max="2564" width="10.5" style="109" customWidth="1"/>
    <col min="2565" max="2578" width="9" style="109"/>
    <col min="2579" max="2579" width="9.5" style="109" customWidth="1"/>
    <col min="2580" max="2582" width="9" style="109"/>
    <col min="2583" max="2583" width="10.5" style="109" customWidth="1"/>
    <col min="2584" max="2819" width="9" style="109"/>
    <col min="2820" max="2820" width="10.5" style="109" customWidth="1"/>
    <col min="2821" max="2834" width="9" style="109"/>
    <col min="2835" max="2835" width="9.5" style="109" customWidth="1"/>
    <col min="2836" max="2838" width="9" style="109"/>
    <col min="2839" max="2839" width="10.5" style="109" customWidth="1"/>
    <col min="2840" max="3075" width="9" style="109"/>
    <col min="3076" max="3076" width="10.5" style="109" customWidth="1"/>
    <col min="3077" max="3090" width="9" style="109"/>
    <col min="3091" max="3091" width="9.5" style="109" customWidth="1"/>
    <col min="3092" max="3094" width="9" style="109"/>
    <col min="3095" max="3095" width="10.5" style="109" customWidth="1"/>
    <col min="3096" max="3331" width="9" style="109"/>
    <col min="3332" max="3332" width="10.5" style="109" customWidth="1"/>
    <col min="3333" max="3346" width="9" style="109"/>
    <col min="3347" max="3347" width="9.5" style="109" customWidth="1"/>
    <col min="3348" max="3350" width="9" style="109"/>
    <col min="3351" max="3351" width="10.5" style="109" customWidth="1"/>
    <col min="3352" max="3587" width="9" style="109"/>
    <col min="3588" max="3588" width="10.5" style="109" customWidth="1"/>
    <col min="3589" max="3602" width="9" style="109"/>
    <col min="3603" max="3603" width="9.5" style="109" customWidth="1"/>
    <col min="3604" max="3606" width="9" style="109"/>
    <col min="3607" max="3607" width="10.5" style="109" customWidth="1"/>
    <col min="3608" max="3843" width="9" style="109"/>
    <col min="3844" max="3844" width="10.5" style="109" customWidth="1"/>
    <col min="3845" max="3858" width="9" style="109"/>
    <col min="3859" max="3859" width="9.5" style="109" customWidth="1"/>
    <col min="3860" max="3862" width="9" style="109"/>
    <col min="3863" max="3863" width="10.5" style="109" customWidth="1"/>
    <col min="3864" max="4099" width="9" style="109"/>
    <col min="4100" max="4100" width="10.5" style="109" customWidth="1"/>
    <col min="4101" max="4114" width="9" style="109"/>
    <col min="4115" max="4115" width="9.5" style="109" customWidth="1"/>
    <col min="4116" max="4118" width="9" style="109"/>
    <col min="4119" max="4119" width="10.5" style="109" customWidth="1"/>
    <col min="4120" max="4355" width="9" style="109"/>
    <col min="4356" max="4356" width="10.5" style="109" customWidth="1"/>
    <col min="4357" max="4370" width="9" style="109"/>
    <col min="4371" max="4371" width="9.5" style="109" customWidth="1"/>
    <col min="4372" max="4374" width="9" style="109"/>
    <col min="4375" max="4375" width="10.5" style="109" customWidth="1"/>
    <col min="4376" max="4611" width="9" style="109"/>
    <col min="4612" max="4612" width="10.5" style="109" customWidth="1"/>
    <col min="4613" max="4626" width="9" style="109"/>
    <col min="4627" max="4627" width="9.5" style="109" customWidth="1"/>
    <col min="4628" max="4630" width="9" style="109"/>
    <col min="4631" max="4631" width="10.5" style="109" customWidth="1"/>
    <col min="4632" max="4867" width="9" style="109"/>
    <col min="4868" max="4868" width="10.5" style="109" customWidth="1"/>
    <col min="4869" max="4882" width="9" style="109"/>
    <col min="4883" max="4883" width="9.5" style="109" customWidth="1"/>
    <col min="4884" max="4886" width="9" style="109"/>
    <col min="4887" max="4887" width="10.5" style="109" customWidth="1"/>
    <col min="4888" max="5123" width="9" style="109"/>
    <col min="5124" max="5124" width="10.5" style="109" customWidth="1"/>
    <col min="5125" max="5138" width="9" style="109"/>
    <col min="5139" max="5139" width="9.5" style="109" customWidth="1"/>
    <col min="5140" max="5142" width="9" style="109"/>
    <col min="5143" max="5143" width="10.5" style="109" customWidth="1"/>
    <col min="5144" max="5379" width="9" style="109"/>
    <col min="5380" max="5380" width="10.5" style="109" customWidth="1"/>
    <col min="5381" max="5394" width="9" style="109"/>
    <col min="5395" max="5395" width="9.5" style="109" customWidth="1"/>
    <col min="5396" max="5398" width="9" style="109"/>
    <col min="5399" max="5399" width="10.5" style="109" customWidth="1"/>
    <col min="5400" max="5635" width="9" style="109"/>
    <col min="5636" max="5636" width="10.5" style="109" customWidth="1"/>
    <col min="5637" max="5650" width="9" style="109"/>
    <col min="5651" max="5651" width="9.5" style="109" customWidth="1"/>
    <col min="5652" max="5654" width="9" style="109"/>
    <col min="5655" max="5655" width="10.5" style="109" customWidth="1"/>
    <col min="5656" max="5891" width="9" style="109"/>
    <col min="5892" max="5892" width="10.5" style="109" customWidth="1"/>
    <col min="5893" max="5906" width="9" style="109"/>
    <col min="5907" max="5907" width="9.5" style="109" customWidth="1"/>
    <col min="5908" max="5910" width="9" style="109"/>
    <col min="5911" max="5911" width="10.5" style="109" customWidth="1"/>
    <col min="5912" max="6147" width="9" style="109"/>
    <col min="6148" max="6148" width="10.5" style="109" customWidth="1"/>
    <col min="6149" max="6162" width="9" style="109"/>
    <col min="6163" max="6163" width="9.5" style="109" customWidth="1"/>
    <col min="6164" max="6166" width="9" style="109"/>
    <col min="6167" max="6167" width="10.5" style="109" customWidth="1"/>
    <col min="6168" max="6403" width="9" style="109"/>
    <col min="6404" max="6404" width="10.5" style="109" customWidth="1"/>
    <col min="6405" max="6418" width="9" style="109"/>
    <col min="6419" max="6419" width="9.5" style="109" customWidth="1"/>
    <col min="6420" max="6422" width="9" style="109"/>
    <col min="6423" max="6423" width="10.5" style="109" customWidth="1"/>
    <col min="6424" max="6659" width="9" style="109"/>
    <col min="6660" max="6660" width="10.5" style="109" customWidth="1"/>
    <col min="6661" max="6674" width="9" style="109"/>
    <col min="6675" max="6675" width="9.5" style="109" customWidth="1"/>
    <col min="6676" max="6678" width="9" style="109"/>
    <col min="6679" max="6679" width="10.5" style="109" customWidth="1"/>
    <col min="6680" max="6915" width="9" style="109"/>
    <col min="6916" max="6916" width="10.5" style="109" customWidth="1"/>
    <col min="6917" max="6930" width="9" style="109"/>
    <col min="6931" max="6931" width="9.5" style="109" customWidth="1"/>
    <col min="6932" max="6934" width="9" style="109"/>
    <col min="6935" max="6935" width="10.5" style="109" customWidth="1"/>
    <col min="6936" max="7171" width="9" style="109"/>
    <col min="7172" max="7172" width="10.5" style="109" customWidth="1"/>
    <col min="7173" max="7186" width="9" style="109"/>
    <col min="7187" max="7187" width="9.5" style="109" customWidth="1"/>
    <col min="7188" max="7190" width="9" style="109"/>
    <col min="7191" max="7191" width="10.5" style="109" customWidth="1"/>
    <col min="7192" max="7427" width="9" style="109"/>
    <col min="7428" max="7428" width="10.5" style="109" customWidth="1"/>
    <col min="7429" max="7442" width="9" style="109"/>
    <col min="7443" max="7443" width="9.5" style="109" customWidth="1"/>
    <col min="7444" max="7446" width="9" style="109"/>
    <col min="7447" max="7447" width="10.5" style="109" customWidth="1"/>
    <col min="7448" max="7683" width="9" style="109"/>
    <col min="7684" max="7684" width="10.5" style="109" customWidth="1"/>
    <col min="7685" max="7698" width="9" style="109"/>
    <col min="7699" max="7699" width="9.5" style="109" customWidth="1"/>
    <col min="7700" max="7702" width="9" style="109"/>
    <col min="7703" max="7703" width="10.5" style="109" customWidth="1"/>
    <col min="7704" max="7939" width="9" style="109"/>
    <col min="7940" max="7940" width="10.5" style="109" customWidth="1"/>
    <col min="7941" max="7954" width="9" style="109"/>
    <col min="7955" max="7955" width="9.5" style="109" customWidth="1"/>
    <col min="7956" max="7958" width="9" style="109"/>
    <col min="7959" max="7959" width="10.5" style="109" customWidth="1"/>
    <col min="7960" max="8195" width="9" style="109"/>
    <col min="8196" max="8196" width="10.5" style="109" customWidth="1"/>
    <col min="8197" max="8210" width="9" style="109"/>
    <col min="8211" max="8211" width="9.5" style="109" customWidth="1"/>
    <col min="8212" max="8214" width="9" style="109"/>
    <col min="8215" max="8215" width="10.5" style="109" customWidth="1"/>
    <col min="8216" max="8451" width="9" style="109"/>
    <col min="8452" max="8452" width="10.5" style="109" customWidth="1"/>
    <col min="8453" max="8466" width="9" style="109"/>
    <col min="8467" max="8467" width="9.5" style="109" customWidth="1"/>
    <col min="8468" max="8470" width="9" style="109"/>
    <col min="8471" max="8471" width="10.5" style="109" customWidth="1"/>
    <col min="8472" max="8707" width="9" style="109"/>
    <col min="8708" max="8708" width="10.5" style="109" customWidth="1"/>
    <col min="8709" max="8722" width="9" style="109"/>
    <col min="8723" max="8723" width="9.5" style="109" customWidth="1"/>
    <col min="8724" max="8726" width="9" style="109"/>
    <col min="8727" max="8727" width="10.5" style="109" customWidth="1"/>
    <col min="8728" max="8963" width="9" style="109"/>
    <col min="8964" max="8964" width="10.5" style="109" customWidth="1"/>
    <col min="8965" max="8978" width="9" style="109"/>
    <col min="8979" max="8979" width="9.5" style="109" customWidth="1"/>
    <col min="8980" max="8982" width="9" style="109"/>
    <col min="8983" max="8983" width="10.5" style="109" customWidth="1"/>
    <col min="8984" max="9219" width="9" style="109"/>
    <col min="9220" max="9220" width="10.5" style="109" customWidth="1"/>
    <col min="9221" max="9234" width="9" style="109"/>
    <col min="9235" max="9235" width="9.5" style="109" customWidth="1"/>
    <col min="9236" max="9238" width="9" style="109"/>
    <col min="9239" max="9239" width="10.5" style="109" customWidth="1"/>
    <col min="9240" max="9475" width="9" style="109"/>
    <col min="9476" max="9476" width="10.5" style="109" customWidth="1"/>
    <col min="9477" max="9490" width="9" style="109"/>
    <col min="9491" max="9491" width="9.5" style="109" customWidth="1"/>
    <col min="9492" max="9494" width="9" style="109"/>
    <col min="9495" max="9495" width="10.5" style="109" customWidth="1"/>
    <col min="9496" max="9731" width="9" style="109"/>
    <col min="9732" max="9732" width="10.5" style="109" customWidth="1"/>
    <col min="9733" max="9746" width="9" style="109"/>
    <col min="9747" max="9747" width="9.5" style="109" customWidth="1"/>
    <col min="9748" max="9750" width="9" style="109"/>
    <col min="9751" max="9751" width="10.5" style="109" customWidth="1"/>
    <col min="9752" max="9987" width="9" style="109"/>
    <col min="9988" max="9988" width="10.5" style="109" customWidth="1"/>
    <col min="9989" max="10002" width="9" style="109"/>
    <col min="10003" max="10003" width="9.5" style="109" customWidth="1"/>
    <col min="10004" max="10006" width="9" style="109"/>
    <col min="10007" max="10007" width="10.5" style="109" customWidth="1"/>
    <col min="10008" max="10243" width="9" style="109"/>
    <col min="10244" max="10244" width="10.5" style="109" customWidth="1"/>
    <col min="10245" max="10258" width="9" style="109"/>
    <col min="10259" max="10259" width="9.5" style="109" customWidth="1"/>
    <col min="10260" max="10262" width="9" style="109"/>
    <col min="10263" max="10263" width="10.5" style="109" customWidth="1"/>
    <col min="10264" max="10499" width="9" style="109"/>
    <col min="10500" max="10500" width="10.5" style="109" customWidth="1"/>
    <col min="10501" max="10514" width="9" style="109"/>
    <col min="10515" max="10515" width="9.5" style="109" customWidth="1"/>
    <col min="10516" max="10518" width="9" style="109"/>
    <col min="10519" max="10519" width="10.5" style="109" customWidth="1"/>
    <col min="10520" max="10755" width="9" style="109"/>
    <col min="10756" max="10756" width="10.5" style="109" customWidth="1"/>
    <col min="10757" max="10770" width="9" style="109"/>
    <col min="10771" max="10771" width="9.5" style="109" customWidth="1"/>
    <col min="10772" max="10774" width="9" style="109"/>
    <col min="10775" max="10775" width="10.5" style="109" customWidth="1"/>
    <col min="10776" max="11011" width="9" style="109"/>
    <col min="11012" max="11012" width="10.5" style="109" customWidth="1"/>
    <col min="11013" max="11026" width="9" style="109"/>
    <col min="11027" max="11027" width="9.5" style="109" customWidth="1"/>
    <col min="11028" max="11030" width="9" style="109"/>
    <col min="11031" max="11031" width="10.5" style="109" customWidth="1"/>
    <col min="11032" max="11267" width="9" style="109"/>
    <col min="11268" max="11268" width="10.5" style="109" customWidth="1"/>
    <col min="11269" max="11282" width="9" style="109"/>
    <col min="11283" max="11283" width="9.5" style="109" customWidth="1"/>
    <col min="11284" max="11286" width="9" style="109"/>
    <col min="11287" max="11287" width="10.5" style="109" customWidth="1"/>
    <col min="11288" max="11523" width="9" style="109"/>
    <col min="11524" max="11524" width="10.5" style="109" customWidth="1"/>
    <col min="11525" max="11538" width="9" style="109"/>
    <col min="11539" max="11539" width="9.5" style="109" customWidth="1"/>
    <col min="11540" max="11542" width="9" style="109"/>
    <col min="11543" max="11543" width="10.5" style="109" customWidth="1"/>
    <col min="11544" max="11779" width="9" style="109"/>
    <col min="11780" max="11780" width="10.5" style="109" customWidth="1"/>
    <col min="11781" max="11794" width="9" style="109"/>
    <col min="11795" max="11795" width="9.5" style="109" customWidth="1"/>
    <col min="11796" max="11798" width="9" style="109"/>
    <col min="11799" max="11799" width="10.5" style="109" customWidth="1"/>
    <col min="11800" max="12035" width="9" style="109"/>
    <col min="12036" max="12036" width="10.5" style="109" customWidth="1"/>
    <col min="12037" max="12050" width="9" style="109"/>
    <col min="12051" max="12051" width="9.5" style="109" customWidth="1"/>
    <col min="12052" max="12054" width="9" style="109"/>
    <col min="12055" max="12055" width="10.5" style="109" customWidth="1"/>
    <col min="12056" max="12291" width="9" style="109"/>
    <col min="12292" max="12292" width="10.5" style="109" customWidth="1"/>
    <col min="12293" max="12306" width="9" style="109"/>
    <col min="12307" max="12307" width="9.5" style="109" customWidth="1"/>
    <col min="12308" max="12310" width="9" style="109"/>
    <col min="12311" max="12311" width="10.5" style="109" customWidth="1"/>
    <col min="12312" max="12547" width="9" style="109"/>
    <col min="12548" max="12548" width="10.5" style="109" customWidth="1"/>
    <col min="12549" max="12562" width="9" style="109"/>
    <col min="12563" max="12563" width="9.5" style="109" customWidth="1"/>
    <col min="12564" max="12566" width="9" style="109"/>
    <col min="12567" max="12567" width="10.5" style="109" customWidth="1"/>
    <col min="12568" max="12803" width="9" style="109"/>
    <col min="12804" max="12804" width="10.5" style="109" customWidth="1"/>
    <col min="12805" max="12818" width="9" style="109"/>
    <col min="12819" max="12819" width="9.5" style="109" customWidth="1"/>
    <col min="12820" max="12822" width="9" style="109"/>
    <col min="12823" max="12823" width="10.5" style="109" customWidth="1"/>
    <col min="12824" max="13059" width="9" style="109"/>
    <col min="13060" max="13060" width="10.5" style="109" customWidth="1"/>
    <col min="13061" max="13074" width="9" style="109"/>
    <col min="13075" max="13075" width="9.5" style="109" customWidth="1"/>
    <col min="13076" max="13078" width="9" style="109"/>
    <col min="13079" max="13079" width="10.5" style="109" customWidth="1"/>
    <col min="13080" max="13315" width="9" style="109"/>
    <col min="13316" max="13316" width="10.5" style="109" customWidth="1"/>
    <col min="13317" max="13330" width="9" style="109"/>
    <col min="13331" max="13331" width="9.5" style="109" customWidth="1"/>
    <col min="13332" max="13334" width="9" style="109"/>
    <col min="13335" max="13335" width="10.5" style="109" customWidth="1"/>
    <col min="13336" max="13571" width="9" style="109"/>
    <col min="13572" max="13572" width="10.5" style="109" customWidth="1"/>
    <col min="13573" max="13586" width="9" style="109"/>
    <col min="13587" max="13587" width="9.5" style="109" customWidth="1"/>
    <col min="13588" max="13590" width="9" style="109"/>
    <col min="13591" max="13591" width="10.5" style="109" customWidth="1"/>
    <col min="13592" max="13827" width="9" style="109"/>
    <col min="13828" max="13828" width="10.5" style="109" customWidth="1"/>
    <col min="13829" max="13842" width="9" style="109"/>
    <col min="13843" max="13843" width="9.5" style="109" customWidth="1"/>
    <col min="13844" max="13846" width="9" style="109"/>
    <col min="13847" max="13847" width="10.5" style="109" customWidth="1"/>
    <col min="13848" max="14083" width="9" style="109"/>
    <col min="14084" max="14084" width="10.5" style="109" customWidth="1"/>
    <col min="14085" max="14098" width="9" style="109"/>
    <col min="14099" max="14099" width="9.5" style="109" customWidth="1"/>
    <col min="14100" max="14102" width="9" style="109"/>
    <col min="14103" max="14103" width="10.5" style="109" customWidth="1"/>
    <col min="14104" max="14339" width="9" style="109"/>
    <col min="14340" max="14340" width="10.5" style="109" customWidth="1"/>
    <col min="14341" max="14354" width="9" style="109"/>
    <col min="14355" max="14355" width="9.5" style="109" customWidth="1"/>
    <col min="14356" max="14358" width="9" style="109"/>
    <col min="14359" max="14359" width="10.5" style="109" customWidth="1"/>
    <col min="14360" max="14595" width="9" style="109"/>
    <col min="14596" max="14596" width="10.5" style="109" customWidth="1"/>
    <col min="14597" max="14610" width="9" style="109"/>
    <col min="14611" max="14611" width="9.5" style="109" customWidth="1"/>
    <col min="14612" max="14614" width="9" style="109"/>
    <col min="14615" max="14615" width="10.5" style="109" customWidth="1"/>
    <col min="14616" max="14851" width="9" style="109"/>
    <col min="14852" max="14852" width="10.5" style="109" customWidth="1"/>
    <col min="14853" max="14866" width="9" style="109"/>
    <col min="14867" max="14867" width="9.5" style="109" customWidth="1"/>
    <col min="14868" max="14870" width="9" style="109"/>
    <col min="14871" max="14871" width="10.5" style="109" customWidth="1"/>
    <col min="14872" max="15107" width="9" style="109"/>
    <col min="15108" max="15108" width="10.5" style="109" customWidth="1"/>
    <col min="15109" max="15122" width="9" style="109"/>
    <col min="15123" max="15123" width="9.5" style="109" customWidth="1"/>
    <col min="15124" max="15126" width="9" style="109"/>
    <col min="15127" max="15127" width="10.5" style="109" customWidth="1"/>
    <col min="15128" max="15363" width="9" style="109"/>
    <col min="15364" max="15364" width="10.5" style="109" customWidth="1"/>
    <col min="15365" max="15378" width="9" style="109"/>
    <col min="15379" max="15379" width="9.5" style="109" customWidth="1"/>
    <col min="15380" max="15382" width="9" style="109"/>
    <col min="15383" max="15383" width="10.5" style="109" customWidth="1"/>
    <col min="15384" max="15619" width="9" style="109"/>
    <col min="15620" max="15620" width="10.5" style="109" customWidth="1"/>
    <col min="15621" max="15634" width="9" style="109"/>
    <col min="15635" max="15635" width="9.5" style="109" customWidth="1"/>
    <col min="15636" max="15638" width="9" style="109"/>
    <col min="15639" max="15639" width="10.5" style="109" customWidth="1"/>
    <col min="15640" max="15875" width="9" style="109"/>
    <col min="15876" max="15876" width="10.5" style="109" customWidth="1"/>
    <col min="15877" max="15890" width="9" style="109"/>
    <col min="15891" max="15891" width="9.5" style="109" customWidth="1"/>
    <col min="15892" max="15894" width="9" style="109"/>
    <col min="15895" max="15895" width="10.5" style="109" customWidth="1"/>
    <col min="15896" max="16131" width="9" style="109"/>
    <col min="16132" max="16132" width="10.5" style="109" customWidth="1"/>
    <col min="16133" max="16146" width="9" style="109"/>
    <col min="16147" max="16147" width="9.5" style="109" customWidth="1"/>
    <col min="16148" max="16150" width="9" style="109"/>
    <col min="16151" max="16151" width="10.5" style="109" customWidth="1"/>
    <col min="16152" max="16384" width="9" style="109"/>
  </cols>
  <sheetData>
    <row r="1" spans="1:53" ht="45" x14ac:dyDescent="0.15">
      <c r="A1" s="100" t="s">
        <v>0</v>
      </c>
      <c r="B1" s="101" t="s">
        <v>169</v>
      </c>
      <c r="C1" s="101" t="s">
        <v>170</v>
      </c>
      <c r="D1" s="102" t="s">
        <v>3</v>
      </c>
      <c r="E1" s="103" t="s">
        <v>4</v>
      </c>
      <c r="F1" s="103" t="s">
        <v>5</v>
      </c>
      <c r="G1" s="103" t="s">
        <v>6</v>
      </c>
      <c r="H1" s="103" t="s">
        <v>7</v>
      </c>
      <c r="I1" s="103" t="s">
        <v>8</v>
      </c>
      <c r="J1" s="103" t="s">
        <v>9</v>
      </c>
      <c r="K1" s="103" t="s">
        <v>10</v>
      </c>
      <c r="L1" s="102" t="s">
        <v>171</v>
      </c>
      <c r="M1" s="102" t="s">
        <v>172</v>
      </c>
      <c r="N1" s="102" t="s">
        <v>13</v>
      </c>
      <c r="O1" s="102" t="s">
        <v>173</v>
      </c>
      <c r="P1" s="102" t="s">
        <v>174</v>
      </c>
      <c r="Q1" s="104" t="s">
        <v>175</v>
      </c>
      <c r="R1" s="102" t="s">
        <v>176</v>
      </c>
      <c r="S1" s="102" t="s">
        <v>177</v>
      </c>
      <c r="T1" s="104" t="s">
        <v>19</v>
      </c>
      <c r="U1" s="105" t="s">
        <v>108</v>
      </c>
      <c r="V1" s="106" t="s">
        <v>20</v>
      </c>
      <c r="W1" s="102" t="s">
        <v>178</v>
      </c>
      <c r="X1" s="103" t="s">
        <v>22</v>
      </c>
      <c r="Y1" s="103" t="s">
        <v>23</v>
      </c>
      <c r="Z1" s="103" t="s">
        <v>24</v>
      </c>
      <c r="AA1" s="107" t="s">
        <v>25</v>
      </c>
      <c r="AB1" s="108" t="s">
        <v>179</v>
      </c>
      <c r="AE1" s="110" t="s">
        <v>0</v>
      </c>
      <c r="AF1" s="111"/>
      <c r="AG1" s="110" t="s">
        <v>4</v>
      </c>
      <c r="AH1" s="110" t="s">
        <v>5</v>
      </c>
      <c r="AI1" s="111"/>
      <c r="AJ1" s="110" t="s">
        <v>6</v>
      </c>
      <c r="AK1" s="111"/>
      <c r="AL1" s="112" t="s">
        <v>7</v>
      </c>
      <c r="AM1" s="111"/>
      <c r="AN1" s="112" t="s">
        <v>8</v>
      </c>
      <c r="AO1" s="111"/>
      <c r="AP1" s="112" t="s">
        <v>27</v>
      </c>
      <c r="AQ1" s="111"/>
      <c r="AR1" s="112" t="s">
        <v>10</v>
      </c>
      <c r="AS1" s="111"/>
      <c r="AT1" s="113" t="s">
        <v>180</v>
      </c>
      <c r="AU1" s="111"/>
      <c r="AV1" s="112" t="s">
        <v>29</v>
      </c>
      <c r="AX1" s="114" t="s">
        <v>181</v>
      </c>
      <c r="AY1" s="115" t="s">
        <v>182</v>
      </c>
      <c r="AZ1" s="115" t="s">
        <v>183</v>
      </c>
      <c r="BA1" s="116" t="s">
        <v>184</v>
      </c>
    </row>
    <row r="2" spans="1:53" s="117" customFormat="1" x14ac:dyDescent="0.15">
      <c r="A2" s="117" t="s">
        <v>51</v>
      </c>
      <c r="B2" s="117" t="s">
        <v>157</v>
      </c>
      <c r="C2" s="117">
        <v>2019</v>
      </c>
      <c r="D2" s="118" t="s">
        <v>259</v>
      </c>
      <c r="E2" s="117" t="s">
        <v>260</v>
      </c>
      <c r="F2" s="117" t="s">
        <v>261</v>
      </c>
      <c r="G2" s="117" t="s">
        <v>42</v>
      </c>
      <c r="H2" s="117" t="s">
        <v>165</v>
      </c>
      <c r="I2" s="117" t="s">
        <v>159</v>
      </c>
      <c r="J2" s="117" t="s">
        <v>38</v>
      </c>
      <c r="K2" s="117" t="s">
        <v>161</v>
      </c>
      <c r="L2" s="117">
        <v>1</v>
      </c>
      <c r="N2" s="117">
        <v>1</v>
      </c>
      <c r="O2" s="117">
        <v>1.25</v>
      </c>
      <c r="P2" s="117">
        <v>1.25</v>
      </c>
      <c r="Q2" s="119">
        <f t="shared" ref="Q2:Q65" si="0">IF(OR(O2="",P2=""),"",AVERAGE(O2,P2))</f>
        <v>1.25</v>
      </c>
      <c r="R2" s="117">
        <v>14.8</v>
      </c>
      <c r="S2" s="117">
        <v>122</v>
      </c>
      <c r="T2" s="120">
        <f t="shared" ref="T2:T65" si="1">IF(H2="","",IF(OR(H2="GREEN",H2="GK"),IF(S2&gt;=$AX$2,VLOOKUP(S2,$AX$2:$AY$12,2,1),""),IF(S2&gt;=$AZ$2,VLOOKUP(S2,$AZ$2:$BA$12,2,1),"")))</f>
        <v>27</v>
      </c>
      <c r="U2" s="117">
        <v>98</v>
      </c>
      <c r="V2" s="121">
        <f t="shared" ref="V2:V65" si="2">IF(OR(N2="",U2="",T2=""),"",U2/N2*T2)</f>
        <v>2646</v>
      </c>
      <c r="W2" s="117">
        <v>12</v>
      </c>
      <c r="X2" s="117" t="s">
        <v>46</v>
      </c>
      <c r="Y2" s="117" t="s">
        <v>69</v>
      </c>
      <c r="Z2" s="117" t="s">
        <v>55</v>
      </c>
      <c r="AA2" s="117" t="s">
        <v>97</v>
      </c>
      <c r="AB2" s="117" t="s">
        <v>158</v>
      </c>
      <c r="AE2" s="122" t="s">
        <v>35</v>
      </c>
      <c r="AG2" s="123" t="s">
        <v>210</v>
      </c>
      <c r="AH2" s="123" t="s">
        <v>262</v>
      </c>
      <c r="AJ2" s="123" t="s">
        <v>36</v>
      </c>
      <c r="AL2" s="123" t="s">
        <v>187</v>
      </c>
      <c r="AN2" s="123" t="s">
        <v>37</v>
      </c>
      <c r="AP2" s="123" t="s">
        <v>38</v>
      </c>
      <c r="AR2" s="123" t="s">
        <v>161</v>
      </c>
      <c r="AT2" s="123" t="s">
        <v>39</v>
      </c>
      <c r="AV2" s="123" t="s">
        <v>40</v>
      </c>
      <c r="AX2" s="124">
        <v>1</v>
      </c>
      <c r="AY2" s="125">
        <v>50</v>
      </c>
      <c r="AZ2" s="125">
        <v>1</v>
      </c>
      <c r="BA2" s="126">
        <v>50</v>
      </c>
    </row>
    <row r="3" spans="1:53" s="127" customFormat="1" x14ac:dyDescent="0.15">
      <c r="A3" s="117" t="s">
        <v>51</v>
      </c>
      <c r="B3" s="117" t="s">
        <v>157</v>
      </c>
      <c r="C3" s="117">
        <v>2019</v>
      </c>
      <c r="D3" s="118" t="s">
        <v>259</v>
      </c>
      <c r="E3" s="117" t="s">
        <v>260</v>
      </c>
      <c r="F3" s="117" t="s">
        <v>261</v>
      </c>
      <c r="G3" s="117" t="s">
        <v>42</v>
      </c>
      <c r="H3" s="117" t="s">
        <v>165</v>
      </c>
      <c r="I3" s="117" t="s">
        <v>159</v>
      </c>
      <c r="J3" s="117" t="s">
        <v>38</v>
      </c>
      <c r="K3" s="117" t="s">
        <v>161</v>
      </c>
      <c r="L3" s="117">
        <v>2</v>
      </c>
      <c r="M3" s="117"/>
      <c r="N3" s="117">
        <v>1</v>
      </c>
      <c r="O3" s="117">
        <v>1.1499999999999999</v>
      </c>
      <c r="P3" s="117">
        <v>1</v>
      </c>
      <c r="Q3" s="119">
        <f t="shared" si="0"/>
        <v>1.075</v>
      </c>
      <c r="R3" s="117">
        <v>15</v>
      </c>
      <c r="S3" s="117">
        <v>128</v>
      </c>
      <c r="T3" s="120">
        <f t="shared" si="1"/>
        <v>27</v>
      </c>
      <c r="U3" s="117">
        <v>98</v>
      </c>
      <c r="V3" s="121">
        <f t="shared" si="2"/>
        <v>2646</v>
      </c>
      <c r="W3" s="117">
        <v>12</v>
      </c>
      <c r="X3" s="117" t="s">
        <v>46</v>
      </c>
      <c r="Y3" s="117" t="s">
        <v>69</v>
      </c>
      <c r="Z3" s="117" t="s">
        <v>55</v>
      </c>
      <c r="AA3" s="117" t="s">
        <v>97</v>
      </c>
      <c r="AB3" s="117" t="s">
        <v>158</v>
      </c>
      <c r="AE3" s="128" t="s">
        <v>41</v>
      </c>
      <c r="AG3" s="123" t="s">
        <v>263</v>
      </c>
      <c r="AH3" s="123" t="s">
        <v>264</v>
      </c>
      <c r="AJ3" s="129" t="s">
        <v>42</v>
      </c>
      <c r="AL3" s="129" t="s">
        <v>189</v>
      </c>
      <c r="AN3" s="129" t="s">
        <v>43</v>
      </c>
      <c r="AP3" s="129" t="s">
        <v>44</v>
      </c>
      <c r="AR3" s="130" t="s">
        <v>45</v>
      </c>
      <c r="AT3" s="129" t="s">
        <v>46</v>
      </c>
      <c r="AV3" s="129" t="s">
        <v>47</v>
      </c>
      <c r="AX3" s="131">
        <v>72</v>
      </c>
      <c r="AY3" s="132">
        <v>46</v>
      </c>
      <c r="AZ3" s="132">
        <v>71</v>
      </c>
      <c r="BA3" s="133">
        <v>42</v>
      </c>
    </row>
    <row r="4" spans="1:53" s="127" customFormat="1" x14ac:dyDescent="0.15">
      <c r="A4" s="117" t="s">
        <v>51</v>
      </c>
      <c r="B4" s="117" t="s">
        <v>157</v>
      </c>
      <c r="C4" s="117">
        <v>2019</v>
      </c>
      <c r="D4" s="118" t="s">
        <v>259</v>
      </c>
      <c r="E4" s="117" t="s">
        <v>260</v>
      </c>
      <c r="F4" s="117" t="s">
        <v>261</v>
      </c>
      <c r="G4" s="117" t="s">
        <v>42</v>
      </c>
      <c r="H4" s="117" t="s">
        <v>165</v>
      </c>
      <c r="I4" s="117" t="s">
        <v>159</v>
      </c>
      <c r="J4" s="117" t="s">
        <v>38</v>
      </c>
      <c r="K4" s="117" t="s">
        <v>161</v>
      </c>
      <c r="L4" s="117">
        <v>3</v>
      </c>
      <c r="M4" s="117"/>
      <c r="N4" s="117">
        <v>1</v>
      </c>
      <c r="O4" s="117">
        <v>1.3</v>
      </c>
      <c r="P4" s="117">
        <v>1.1000000000000001</v>
      </c>
      <c r="Q4" s="119">
        <f t="shared" si="0"/>
        <v>1.2000000000000002</v>
      </c>
      <c r="R4" s="117">
        <v>14.3</v>
      </c>
      <c r="S4" s="117">
        <v>124</v>
      </c>
      <c r="T4" s="120">
        <f t="shared" si="1"/>
        <v>27</v>
      </c>
      <c r="U4" s="117">
        <v>98</v>
      </c>
      <c r="V4" s="121">
        <f t="shared" si="2"/>
        <v>2646</v>
      </c>
      <c r="W4" s="117">
        <v>12</v>
      </c>
      <c r="X4" s="117" t="s">
        <v>46</v>
      </c>
      <c r="Y4" s="117" t="s">
        <v>69</v>
      </c>
      <c r="Z4" s="117" t="s">
        <v>55</v>
      </c>
      <c r="AA4" s="117" t="s">
        <v>97</v>
      </c>
      <c r="AB4" s="117" t="s">
        <v>158</v>
      </c>
      <c r="AE4" s="128" t="s">
        <v>34</v>
      </c>
      <c r="AG4" s="123" t="s">
        <v>265</v>
      </c>
      <c r="AH4" s="123" t="s">
        <v>266</v>
      </c>
      <c r="AJ4" s="134" t="s">
        <v>48</v>
      </c>
      <c r="AL4" s="134" t="s">
        <v>191</v>
      </c>
      <c r="AN4" s="135" t="s">
        <v>192</v>
      </c>
      <c r="AP4" s="129" t="s">
        <v>193</v>
      </c>
      <c r="AR4" s="130" t="s">
        <v>194</v>
      </c>
      <c r="AT4" s="135"/>
      <c r="AV4" s="129" t="s">
        <v>50</v>
      </c>
      <c r="AX4" s="131">
        <v>75</v>
      </c>
      <c r="AY4" s="132">
        <v>42</v>
      </c>
      <c r="AZ4" s="132">
        <v>76</v>
      </c>
      <c r="BA4" s="133">
        <v>39</v>
      </c>
    </row>
    <row r="5" spans="1:53" s="127" customFormat="1" x14ac:dyDescent="0.15">
      <c r="A5" s="117" t="s">
        <v>51</v>
      </c>
      <c r="B5" s="117" t="s">
        <v>157</v>
      </c>
      <c r="C5" s="117">
        <v>2019</v>
      </c>
      <c r="D5" s="118" t="s">
        <v>259</v>
      </c>
      <c r="E5" s="117" t="s">
        <v>260</v>
      </c>
      <c r="F5" s="117" t="s">
        <v>261</v>
      </c>
      <c r="G5" s="117" t="s">
        <v>42</v>
      </c>
      <c r="H5" s="117" t="s">
        <v>165</v>
      </c>
      <c r="I5" s="117" t="s">
        <v>159</v>
      </c>
      <c r="J5" s="117" t="s">
        <v>38</v>
      </c>
      <c r="K5" s="117" t="s">
        <v>161</v>
      </c>
      <c r="L5" s="117">
        <v>1</v>
      </c>
      <c r="M5" s="117"/>
      <c r="N5" s="117">
        <v>1</v>
      </c>
      <c r="O5" s="117">
        <v>0.6</v>
      </c>
      <c r="P5" s="117">
        <v>0.6</v>
      </c>
      <c r="Q5" s="119">
        <f t="shared" si="0"/>
        <v>0.6</v>
      </c>
      <c r="R5" s="117">
        <v>16.899999999999999</v>
      </c>
      <c r="S5" s="117">
        <v>116</v>
      </c>
      <c r="T5" s="120">
        <f t="shared" si="1"/>
        <v>30</v>
      </c>
      <c r="U5" s="117">
        <v>138</v>
      </c>
      <c r="V5" s="121">
        <f t="shared" si="2"/>
        <v>4140</v>
      </c>
      <c r="W5" s="117">
        <v>12</v>
      </c>
      <c r="X5" s="117" t="s">
        <v>46</v>
      </c>
      <c r="Y5" s="117" t="s">
        <v>69</v>
      </c>
      <c r="Z5" s="117" t="s">
        <v>55</v>
      </c>
      <c r="AA5" s="117" t="s">
        <v>97</v>
      </c>
      <c r="AB5" s="117" t="s">
        <v>158</v>
      </c>
      <c r="AE5" s="128" t="s">
        <v>51</v>
      </c>
      <c r="AG5" s="123" t="s">
        <v>267</v>
      </c>
      <c r="AH5" s="123" t="s">
        <v>261</v>
      </c>
      <c r="AJ5" s="135"/>
      <c r="AL5" s="136" t="s">
        <v>165</v>
      </c>
      <c r="AN5" s="136" t="s">
        <v>159</v>
      </c>
      <c r="AP5" s="129" t="s">
        <v>196</v>
      </c>
      <c r="AR5" s="130" t="s">
        <v>54</v>
      </c>
      <c r="AV5" s="129" t="s">
        <v>55</v>
      </c>
      <c r="AX5" s="131">
        <v>84</v>
      </c>
      <c r="AY5" s="132">
        <v>39</v>
      </c>
      <c r="AZ5" s="132">
        <v>84</v>
      </c>
      <c r="BA5" s="133">
        <v>36</v>
      </c>
    </row>
    <row r="6" spans="1:53" s="127" customFormat="1" x14ac:dyDescent="0.15">
      <c r="A6" s="117" t="s">
        <v>51</v>
      </c>
      <c r="B6" s="117" t="s">
        <v>157</v>
      </c>
      <c r="C6" s="117">
        <v>2019</v>
      </c>
      <c r="D6" s="118" t="s">
        <v>259</v>
      </c>
      <c r="E6" s="117" t="s">
        <v>260</v>
      </c>
      <c r="F6" s="117" t="s">
        <v>261</v>
      </c>
      <c r="G6" s="117" t="s">
        <v>42</v>
      </c>
      <c r="H6" s="117" t="s">
        <v>165</v>
      </c>
      <c r="I6" s="117" t="s">
        <v>159</v>
      </c>
      <c r="J6" s="117" t="s">
        <v>38</v>
      </c>
      <c r="K6" s="117" t="s">
        <v>161</v>
      </c>
      <c r="L6" s="117">
        <v>2</v>
      </c>
      <c r="M6" s="117"/>
      <c r="N6" s="117">
        <v>1</v>
      </c>
      <c r="O6" s="117">
        <v>0.5</v>
      </c>
      <c r="P6" s="117">
        <v>0.65</v>
      </c>
      <c r="Q6" s="119">
        <f t="shared" si="0"/>
        <v>0.57499999999999996</v>
      </c>
      <c r="R6" s="117">
        <v>16.600000000000001</v>
      </c>
      <c r="S6" s="117">
        <v>114</v>
      </c>
      <c r="T6" s="120">
        <f t="shared" si="1"/>
        <v>30</v>
      </c>
      <c r="U6" s="117">
        <v>138</v>
      </c>
      <c r="V6" s="121">
        <f t="shared" si="2"/>
        <v>4140</v>
      </c>
      <c r="W6" s="117">
        <v>12</v>
      </c>
      <c r="X6" s="117" t="s">
        <v>46</v>
      </c>
      <c r="Y6" s="117" t="s">
        <v>69</v>
      </c>
      <c r="Z6" s="117" t="s">
        <v>55</v>
      </c>
      <c r="AA6" s="117" t="s">
        <v>97</v>
      </c>
      <c r="AB6" s="117" t="s">
        <v>158</v>
      </c>
      <c r="AE6" s="128" t="s">
        <v>56</v>
      </c>
      <c r="AG6" s="123" t="s">
        <v>268</v>
      </c>
      <c r="AH6" s="123" t="s">
        <v>269</v>
      </c>
      <c r="AL6" s="136" t="s">
        <v>198</v>
      </c>
      <c r="AN6" s="136" t="s">
        <v>166</v>
      </c>
      <c r="AP6" s="129" t="s">
        <v>53</v>
      </c>
      <c r="AR6" s="130" t="s">
        <v>59</v>
      </c>
      <c r="AV6" s="129" t="s">
        <v>60</v>
      </c>
      <c r="AX6" s="131">
        <v>97</v>
      </c>
      <c r="AY6" s="132">
        <v>36</v>
      </c>
      <c r="AZ6" s="132">
        <v>99</v>
      </c>
      <c r="BA6" s="133">
        <v>33</v>
      </c>
    </row>
    <row r="7" spans="1:53" s="127" customFormat="1" x14ac:dyDescent="0.15">
      <c r="A7" s="117" t="s">
        <v>51</v>
      </c>
      <c r="B7" s="117" t="s">
        <v>157</v>
      </c>
      <c r="C7" s="117">
        <v>2019</v>
      </c>
      <c r="D7" s="118" t="s">
        <v>259</v>
      </c>
      <c r="E7" s="117" t="s">
        <v>260</v>
      </c>
      <c r="F7" s="117" t="s">
        <v>261</v>
      </c>
      <c r="G7" s="117" t="s">
        <v>42</v>
      </c>
      <c r="H7" s="117" t="s">
        <v>165</v>
      </c>
      <c r="I7" s="117" t="s">
        <v>159</v>
      </c>
      <c r="J7" s="117" t="s">
        <v>38</v>
      </c>
      <c r="K7" s="117" t="s">
        <v>161</v>
      </c>
      <c r="L7" s="117">
        <v>3</v>
      </c>
      <c r="M7" s="117"/>
      <c r="N7" s="117">
        <v>1</v>
      </c>
      <c r="O7" s="117">
        <v>0.55000000000000004</v>
      </c>
      <c r="P7" s="117">
        <v>0.55000000000000004</v>
      </c>
      <c r="Q7" s="119">
        <f t="shared" si="0"/>
        <v>0.55000000000000004</v>
      </c>
      <c r="R7" s="117">
        <v>16.399999999999999</v>
      </c>
      <c r="S7" s="117">
        <v>112</v>
      </c>
      <c r="T7" s="120">
        <f t="shared" si="1"/>
        <v>33</v>
      </c>
      <c r="U7" s="117">
        <v>138</v>
      </c>
      <c r="V7" s="121">
        <f t="shared" si="2"/>
        <v>4554</v>
      </c>
      <c r="W7" s="117">
        <v>12</v>
      </c>
      <c r="X7" s="117" t="s">
        <v>46</v>
      </c>
      <c r="Y7" s="117" t="s">
        <v>69</v>
      </c>
      <c r="Z7" s="117" t="s">
        <v>55</v>
      </c>
      <c r="AA7" s="117" t="s">
        <v>97</v>
      </c>
      <c r="AB7" s="117" t="s">
        <v>158</v>
      </c>
      <c r="AE7" s="128" t="s">
        <v>61</v>
      </c>
      <c r="AG7" s="123" t="s">
        <v>270</v>
      </c>
      <c r="AH7" s="123" t="s">
        <v>262</v>
      </c>
      <c r="AL7" s="127" t="s">
        <v>164</v>
      </c>
      <c r="AP7" s="129" t="s">
        <v>58</v>
      </c>
      <c r="AR7" s="130" t="s">
        <v>200</v>
      </c>
      <c r="AV7" s="129" t="s">
        <v>64</v>
      </c>
      <c r="AX7" s="131">
        <v>109</v>
      </c>
      <c r="AY7" s="132">
        <v>33</v>
      </c>
      <c r="AZ7" s="132">
        <v>113</v>
      </c>
      <c r="BA7" s="133">
        <v>30</v>
      </c>
    </row>
    <row r="8" spans="1:53" s="127" customFormat="1" x14ac:dyDescent="0.15">
      <c r="A8" s="117" t="s">
        <v>51</v>
      </c>
      <c r="B8" s="117" t="s">
        <v>157</v>
      </c>
      <c r="C8" s="117">
        <v>2019</v>
      </c>
      <c r="D8" s="118" t="s">
        <v>259</v>
      </c>
      <c r="E8" s="117" t="s">
        <v>263</v>
      </c>
      <c r="F8" s="117" t="s">
        <v>264</v>
      </c>
      <c r="G8" s="117" t="s">
        <v>36</v>
      </c>
      <c r="H8" s="117" t="s">
        <v>165</v>
      </c>
      <c r="I8" s="117" t="s">
        <v>159</v>
      </c>
      <c r="J8" s="117" t="s">
        <v>38</v>
      </c>
      <c r="K8" s="117" t="s">
        <v>161</v>
      </c>
      <c r="L8" s="117">
        <v>1</v>
      </c>
      <c r="M8" s="117"/>
      <c r="N8" s="117">
        <v>3</v>
      </c>
      <c r="O8" s="117">
        <v>0.9</v>
      </c>
      <c r="P8" s="117">
        <v>0.95</v>
      </c>
      <c r="Q8" s="119">
        <f t="shared" si="0"/>
        <v>0.92500000000000004</v>
      </c>
      <c r="R8" s="117">
        <v>14.9</v>
      </c>
      <c r="S8" s="117">
        <v>146</v>
      </c>
      <c r="T8" s="120">
        <f t="shared" si="1"/>
        <v>22</v>
      </c>
      <c r="U8" s="117">
        <v>350</v>
      </c>
      <c r="V8" s="121">
        <f t="shared" si="2"/>
        <v>2566.666666666667</v>
      </c>
      <c r="W8" s="117">
        <v>9</v>
      </c>
      <c r="X8" s="117" t="s">
        <v>46</v>
      </c>
      <c r="Y8" s="117" t="s">
        <v>47</v>
      </c>
      <c r="Z8" s="117" t="s">
        <v>55</v>
      </c>
      <c r="AA8" s="117" t="s">
        <v>69</v>
      </c>
      <c r="AB8" s="117" t="s">
        <v>158</v>
      </c>
      <c r="AE8" s="128" t="s">
        <v>59</v>
      </c>
      <c r="AG8" s="123" t="s">
        <v>271</v>
      </c>
      <c r="AH8" s="123" t="s">
        <v>272</v>
      </c>
      <c r="AL8" s="127" t="s">
        <v>160</v>
      </c>
      <c r="AP8" s="129" t="s">
        <v>62</v>
      </c>
      <c r="AR8" s="130" t="s">
        <v>81</v>
      </c>
      <c r="AV8" s="129" t="s">
        <v>97</v>
      </c>
      <c r="AX8" s="131">
        <v>119</v>
      </c>
      <c r="AY8" s="132">
        <v>30</v>
      </c>
      <c r="AZ8" s="132">
        <v>121</v>
      </c>
      <c r="BA8" s="133">
        <v>27</v>
      </c>
    </row>
    <row r="9" spans="1:53" s="127" customFormat="1" x14ac:dyDescent="0.15">
      <c r="A9" s="117" t="s">
        <v>51</v>
      </c>
      <c r="B9" s="117" t="s">
        <v>157</v>
      </c>
      <c r="C9" s="117">
        <v>2019</v>
      </c>
      <c r="D9" s="118" t="s">
        <v>259</v>
      </c>
      <c r="E9" s="117" t="s">
        <v>263</v>
      </c>
      <c r="F9" s="117" t="s">
        <v>264</v>
      </c>
      <c r="G9" s="117" t="s">
        <v>36</v>
      </c>
      <c r="H9" s="117" t="s">
        <v>165</v>
      </c>
      <c r="I9" s="117" t="s">
        <v>159</v>
      </c>
      <c r="J9" s="117" t="s">
        <v>38</v>
      </c>
      <c r="K9" s="117" t="s">
        <v>161</v>
      </c>
      <c r="L9" s="117">
        <v>2</v>
      </c>
      <c r="M9" s="117"/>
      <c r="N9" s="117">
        <v>3</v>
      </c>
      <c r="O9" s="117">
        <v>0.95</v>
      </c>
      <c r="P9" s="117">
        <v>1.1000000000000001</v>
      </c>
      <c r="Q9" s="119">
        <f t="shared" si="0"/>
        <v>1.0249999999999999</v>
      </c>
      <c r="R9" s="117">
        <v>14.3</v>
      </c>
      <c r="S9" s="117">
        <v>134</v>
      </c>
      <c r="T9" s="120">
        <f t="shared" si="1"/>
        <v>25</v>
      </c>
      <c r="U9" s="117">
        <v>350</v>
      </c>
      <c r="V9" s="121">
        <f t="shared" si="2"/>
        <v>2916.666666666667</v>
      </c>
      <c r="W9" s="117">
        <v>9</v>
      </c>
      <c r="X9" s="117" t="s">
        <v>46</v>
      </c>
      <c r="Y9" s="117" t="s">
        <v>47</v>
      </c>
      <c r="Z9" s="117" t="s">
        <v>55</v>
      </c>
      <c r="AA9" s="117" t="s">
        <v>69</v>
      </c>
      <c r="AB9" s="117" t="s">
        <v>158</v>
      </c>
      <c r="AE9" s="128" t="s">
        <v>203</v>
      </c>
      <c r="AG9" s="123" t="s">
        <v>273</v>
      </c>
      <c r="AH9" s="123" t="s">
        <v>261</v>
      </c>
      <c r="AL9" s="136"/>
      <c r="AP9" s="129" t="s">
        <v>95</v>
      </c>
      <c r="AR9" s="130" t="s">
        <v>206</v>
      </c>
      <c r="AV9" s="129" t="s">
        <v>102</v>
      </c>
      <c r="AX9" s="131">
        <v>128</v>
      </c>
      <c r="AY9" s="132">
        <v>27</v>
      </c>
      <c r="AZ9" s="132">
        <v>129</v>
      </c>
      <c r="BA9" s="133">
        <v>25</v>
      </c>
    </row>
    <row r="10" spans="1:53" s="127" customFormat="1" x14ac:dyDescent="0.15">
      <c r="A10" s="117" t="s">
        <v>51</v>
      </c>
      <c r="B10" s="117" t="s">
        <v>157</v>
      </c>
      <c r="C10" s="117">
        <v>2019</v>
      </c>
      <c r="D10" s="118" t="s">
        <v>259</v>
      </c>
      <c r="E10" s="117" t="s">
        <v>263</v>
      </c>
      <c r="F10" s="117" t="s">
        <v>264</v>
      </c>
      <c r="G10" s="117" t="s">
        <v>36</v>
      </c>
      <c r="H10" s="117" t="s">
        <v>165</v>
      </c>
      <c r="I10" s="117" t="s">
        <v>159</v>
      </c>
      <c r="J10" s="117" t="s">
        <v>38</v>
      </c>
      <c r="K10" s="117" t="s">
        <v>161</v>
      </c>
      <c r="L10" s="117">
        <v>3</v>
      </c>
      <c r="M10" s="117"/>
      <c r="N10" s="117">
        <v>3</v>
      </c>
      <c r="O10" s="117">
        <v>1</v>
      </c>
      <c r="P10" s="117">
        <v>1</v>
      </c>
      <c r="Q10" s="119">
        <f t="shared" si="0"/>
        <v>1</v>
      </c>
      <c r="R10" s="117">
        <v>14.5</v>
      </c>
      <c r="S10" s="117">
        <v>136</v>
      </c>
      <c r="T10" s="120">
        <f t="shared" si="1"/>
        <v>25</v>
      </c>
      <c r="U10" s="117">
        <v>350</v>
      </c>
      <c r="V10" s="121">
        <f t="shared" si="2"/>
        <v>2916.666666666667</v>
      </c>
      <c r="W10" s="117">
        <v>9</v>
      </c>
      <c r="X10" s="117" t="s">
        <v>46</v>
      </c>
      <c r="Y10" s="117" t="s">
        <v>47</v>
      </c>
      <c r="Z10" s="117" t="s">
        <v>55</v>
      </c>
      <c r="AA10" s="117" t="s">
        <v>69</v>
      </c>
      <c r="AB10" s="117" t="s">
        <v>158</v>
      </c>
      <c r="AE10" s="128" t="s">
        <v>207</v>
      </c>
      <c r="AG10" s="123" t="s">
        <v>260</v>
      </c>
      <c r="AH10" s="129" t="s">
        <v>261</v>
      </c>
      <c r="AP10" s="129" t="s">
        <v>100</v>
      </c>
      <c r="AR10" s="130" t="s">
        <v>209</v>
      </c>
      <c r="AV10" s="129" t="s">
        <v>106</v>
      </c>
      <c r="AX10" s="131">
        <v>138</v>
      </c>
      <c r="AY10" s="132">
        <v>25</v>
      </c>
      <c r="AZ10" s="132">
        <v>138</v>
      </c>
      <c r="BA10" s="133">
        <v>22</v>
      </c>
    </row>
    <row r="11" spans="1:53" s="127" customFormat="1" x14ac:dyDescent="0.15">
      <c r="A11" s="117" t="s">
        <v>51</v>
      </c>
      <c r="B11" s="117" t="s">
        <v>157</v>
      </c>
      <c r="C11" s="117">
        <v>2019</v>
      </c>
      <c r="D11" s="118" t="s">
        <v>259</v>
      </c>
      <c r="E11" s="117" t="s">
        <v>263</v>
      </c>
      <c r="F11" s="117" t="s">
        <v>264</v>
      </c>
      <c r="G11" s="117" t="s">
        <v>36</v>
      </c>
      <c r="H11" s="117" t="s">
        <v>164</v>
      </c>
      <c r="I11" s="117" t="s">
        <v>159</v>
      </c>
      <c r="J11" s="117" t="s">
        <v>38</v>
      </c>
      <c r="K11" s="117" t="s">
        <v>161</v>
      </c>
      <c r="L11" s="117">
        <v>1</v>
      </c>
      <c r="M11" s="117"/>
      <c r="N11" s="117">
        <v>5</v>
      </c>
      <c r="O11" s="117">
        <v>0.7</v>
      </c>
      <c r="P11" s="117">
        <v>0.6</v>
      </c>
      <c r="Q11" s="119">
        <f t="shared" si="0"/>
        <v>0.64999999999999991</v>
      </c>
      <c r="R11" s="117">
        <v>16.3</v>
      </c>
      <c r="S11" s="117">
        <v>95</v>
      </c>
      <c r="T11" s="120">
        <f t="shared" si="1"/>
        <v>36</v>
      </c>
      <c r="U11" s="117">
        <v>398</v>
      </c>
      <c r="V11" s="121">
        <f t="shared" si="2"/>
        <v>2865.6</v>
      </c>
      <c r="W11" s="117">
        <v>9</v>
      </c>
      <c r="X11" s="117" t="s">
        <v>46</v>
      </c>
      <c r="Y11" s="117" t="s">
        <v>47</v>
      </c>
      <c r="Z11" s="117" t="s">
        <v>55</v>
      </c>
      <c r="AA11" s="117" t="s">
        <v>69</v>
      </c>
      <c r="AB11" s="117" t="s">
        <v>158</v>
      </c>
      <c r="AE11" s="128" t="s">
        <v>68</v>
      </c>
      <c r="AG11" s="123" t="s">
        <v>139</v>
      </c>
      <c r="AH11" s="129" t="s">
        <v>274</v>
      </c>
      <c r="AP11" s="129" t="s">
        <v>104</v>
      </c>
      <c r="AR11" s="130" t="s">
        <v>212</v>
      </c>
      <c r="AV11" s="129" t="s">
        <v>69</v>
      </c>
      <c r="AX11" s="131">
        <v>151</v>
      </c>
      <c r="AY11" s="132">
        <v>22</v>
      </c>
      <c r="AZ11" s="132">
        <v>152</v>
      </c>
      <c r="BA11" s="133">
        <v>18</v>
      </c>
    </row>
    <row r="12" spans="1:53" s="127" customFormat="1" x14ac:dyDescent="0.15">
      <c r="A12" s="117" t="s">
        <v>51</v>
      </c>
      <c r="B12" s="117" t="s">
        <v>157</v>
      </c>
      <c r="C12" s="117">
        <v>2019</v>
      </c>
      <c r="D12" s="118" t="s">
        <v>259</v>
      </c>
      <c r="E12" s="117" t="s">
        <v>263</v>
      </c>
      <c r="F12" s="117" t="s">
        <v>264</v>
      </c>
      <c r="G12" s="117" t="s">
        <v>36</v>
      </c>
      <c r="H12" s="117" t="s">
        <v>164</v>
      </c>
      <c r="I12" s="117" t="s">
        <v>159</v>
      </c>
      <c r="J12" s="117" t="s">
        <v>38</v>
      </c>
      <c r="K12" s="117" t="s">
        <v>161</v>
      </c>
      <c r="L12" s="117">
        <v>2</v>
      </c>
      <c r="M12" s="117"/>
      <c r="N12" s="117">
        <v>5</v>
      </c>
      <c r="O12" s="117">
        <v>0.65</v>
      </c>
      <c r="P12" s="117">
        <v>0.65</v>
      </c>
      <c r="Q12" s="119">
        <f t="shared" si="0"/>
        <v>0.65</v>
      </c>
      <c r="R12" s="117">
        <v>15.8</v>
      </c>
      <c r="S12" s="117">
        <v>86</v>
      </c>
      <c r="T12" s="120">
        <f t="shared" si="1"/>
        <v>36</v>
      </c>
      <c r="U12" s="117">
        <v>398</v>
      </c>
      <c r="V12" s="121">
        <f t="shared" si="2"/>
        <v>2865.6</v>
      </c>
      <c r="W12" s="117">
        <v>9</v>
      </c>
      <c r="X12" s="117" t="s">
        <v>46</v>
      </c>
      <c r="Y12" s="117" t="s">
        <v>47</v>
      </c>
      <c r="Z12" s="117" t="s">
        <v>55</v>
      </c>
      <c r="AA12" s="117" t="s">
        <v>69</v>
      </c>
      <c r="AB12" s="117" t="s">
        <v>158</v>
      </c>
      <c r="AE12" s="128" t="s">
        <v>213</v>
      </c>
      <c r="AG12" s="129"/>
      <c r="AH12" s="129"/>
      <c r="AP12" s="129" t="s">
        <v>67</v>
      </c>
      <c r="AR12" s="130" t="s">
        <v>214</v>
      </c>
      <c r="AV12" s="129" t="s">
        <v>72</v>
      </c>
      <c r="AX12" s="137">
        <v>180</v>
      </c>
      <c r="AY12" s="138">
        <v>18</v>
      </c>
      <c r="AZ12" s="138">
        <v>181</v>
      </c>
      <c r="BA12" s="139">
        <v>16</v>
      </c>
    </row>
    <row r="13" spans="1:53" s="127" customFormat="1" x14ac:dyDescent="0.15">
      <c r="A13" s="117" t="s">
        <v>51</v>
      </c>
      <c r="B13" s="117" t="s">
        <v>157</v>
      </c>
      <c r="C13" s="117">
        <v>2019</v>
      </c>
      <c r="D13" s="118" t="s">
        <v>259</v>
      </c>
      <c r="E13" s="117" t="s">
        <v>263</v>
      </c>
      <c r="F13" s="117" t="s">
        <v>264</v>
      </c>
      <c r="G13" s="117" t="s">
        <v>36</v>
      </c>
      <c r="H13" s="117" t="s">
        <v>164</v>
      </c>
      <c r="I13" s="117" t="s">
        <v>159</v>
      </c>
      <c r="J13" s="117" t="s">
        <v>38</v>
      </c>
      <c r="K13" s="117" t="s">
        <v>161</v>
      </c>
      <c r="L13" s="117">
        <v>3</v>
      </c>
      <c r="M13" s="117"/>
      <c r="N13" s="117">
        <v>5</v>
      </c>
      <c r="O13" s="117">
        <v>0.6</v>
      </c>
      <c r="P13" s="117">
        <v>0.5</v>
      </c>
      <c r="Q13" s="119">
        <f t="shared" si="0"/>
        <v>0.55000000000000004</v>
      </c>
      <c r="R13" s="117">
        <v>14.9</v>
      </c>
      <c r="S13" s="117">
        <v>77</v>
      </c>
      <c r="T13" s="120">
        <f t="shared" si="1"/>
        <v>39</v>
      </c>
      <c r="U13" s="117">
        <v>398</v>
      </c>
      <c r="V13" s="121">
        <f t="shared" si="2"/>
        <v>3104.3999999999996</v>
      </c>
      <c r="W13" s="117">
        <v>9</v>
      </c>
      <c r="X13" s="117" t="s">
        <v>46</v>
      </c>
      <c r="Y13" s="117" t="s">
        <v>47</v>
      </c>
      <c r="Z13" s="117" t="s">
        <v>55</v>
      </c>
      <c r="AA13" s="117" t="s">
        <v>69</v>
      </c>
      <c r="AB13" s="117" t="s">
        <v>158</v>
      </c>
      <c r="AE13" s="128" t="s">
        <v>215</v>
      </c>
      <c r="AG13" s="129"/>
      <c r="AH13" s="129"/>
      <c r="AP13" s="129" t="s">
        <v>71</v>
      </c>
      <c r="AR13" s="130" t="s">
        <v>207</v>
      </c>
      <c r="AV13" s="129" t="s">
        <v>75</v>
      </c>
    </row>
    <row r="14" spans="1:53" s="127" customFormat="1" x14ac:dyDescent="0.15">
      <c r="A14" s="117" t="s">
        <v>51</v>
      </c>
      <c r="B14" s="117" t="s">
        <v>157</v>
      </c>
      <c r="C14" s="117">
        <v>2019</v>
      </c>
      <c r="D14" s="118" t="s">
        <v>259</v>
      </c>
      <c r="E14" s="117" t="s">
        <v>263</v>
      </c>
      <c r="F14" s="117" t="s">
        <v>264</v>
      </c>
      <c r="G14" s="117" t="s">
        <v>36</v>
      </c>
      <c r="H14" s="117" t="s">
        <v>160</v>
      </c>
      <c r="I14" s="117" t="s">
        <v>159</v>
      </c>
      <c r="J14" s="117" t="s">
        <v>38</v>
      </c>
      <c r="K14" s="117" t="s">
        <v>161</v>
      </c>
      <c r="L14" s="117">
        <v>1</v>
      </c>
      <c r="M14" s="117"/>
      <c r="N14" s="117">
        <v>3</v>
      </c>
      <c r="O14" s="117">
        <v>0.65</v>
      </c>
      <c r="P14" s="117">
        <v>0.7</v>
      </c>
      <c r="Q14" s="119">
        <f t="shared" si="0"/>
        <v>0.67500000000000004</v>
      </c>
      <c r="R14" s="117">
        <v>18.5</v>
      </c>
      <c r="S14" s="117">
        <v>132</v>
      </c>
      <c r="T14" s="120">
        <f t="shared" si="1"/>
        <v>25</v>
      </c>
      <c r="U14" s="117">
        <v>350</v>
      </c>
      <c r="V14" s="121">
        <f t="shared" si="2"/>
        <v>2916.666666666667</v>
      </c>
      <c r="W14" s="117">
        <v>9</v>
      </c>
      <c r="X14" s="117" t="s">
        <v>46</v>
      </c>
      <c r="Y14" s="117" t="s">
        <v>47</v>
      </c>
      <c r="Z14" s="117" t="s">
        <v>55</v>
      </c>
      <c r="AA14" s="117" t="s">
        <v>69</v>
      </c>
      <c r="AB14" s="117" t="s">
        <v>158</v>
      </c>
      <c r="AE14" s="128" t="s">
        <v>96</v>
      </c>
      <c r="AG14" s="129"/>
      <c r="AH14" s="129"/>
      <c r="AP14" s="129" t="s">
        <v>74</v>
      </c>
      <c r="AR14" s="130" t="s">
        <v>216</v>
      </c>
      <c r="AV14" s="129" t="s">
        <v>78</v>
      </c>
    </row>
    <row r="15" spans="1:53" s="127" customFormat="1" x14ac:dyDescent="0.15">
      <c r="A15" s="117" t="s">
        <v>51</v>
      </c>
      <c r="B15" s="117" t="s">
        <v>157</v>
      </c>
      <c r="C15" s="117">
        <v>2019</v>
      </c>
      <c r="D15" s="118" t="s">
        <v>259</v>
      </c>
      <c r="E15" s="117" t="s">
        <v>263</v>
      </c>
      <c r="F15" s="117" t="s">
        <v>264</v>
      </c>
      <c r="G15" s="117" t="s">
        <v>36</v>
      </c>
      <c r="H15" s="117" t="s">
        <v>160</v>
      </c>
      <c r="I15" s="117" t="s">
        <v>159</v>
      </c>
      <c r="J15" s="117" t="s">
        <v>38</v>
      </c>
      <c r="K15" s="117" t="s">
        <v>161</v>
      </c>
      <c r="L15" s="117">
        <v>2</v>
      </c>
      <c r="M15" s="117"/>
      <c r="N15" s="117">
        <v>3</v>
      </c>
      <c r="O15" s="117">
        <v>0.25</v>
      </c>
      <c r="P15" s="117">
        <v>0.5</v>
      </c>
      <c r="Q15" s="119">
        <f t="shared" si="0"/>
        <v>0.375</v>
      </c>
      <c r="R15" s="117">
        <v>18.7</v>
      </c>
      <c r="S15" s="117">
        <v>130</v>
      </c>
      <c r="T15" s="120">
        <f t="shared" si="1"/>
        <v>25</v>
      </c>
      <c r="U15" s="117">
        <v>350</v>
      </c>
      <c r="V15" s="121">
        <f t="shared" si="2"/>
        <v>2916.666666666667</v>
      </c>
      <c r="W15" s="117">
        <v>9</v>
      </c>
      <c r="X15" s="117" t="s">
        <v>46</v>
      </c>
      <c r="Y15" s="117" t="s">
        <v>47</v>
      </c>
      <c r="Z15" s="117" t="s">
        <v>55</v>
      </c>
      <c r="AA15" s="117" t="s">
        <v>69</v>
      </c>
      <c r="AB15" s="117" t="s">
        <v>158</v>
      </c>
      <c r="AE15" s="128" t="s">
        <v>217</v>
      </c>
      <c r="AG15" s="129"/>
      <c r="AH15" s="129"/>
      <c r="AP15" s="129" t="s">
        <v>77</v>
      </c>
      <c r="AR15" s="130" t="s">
        <v>80</v>
      </c>
      <c r="AV15" s="129" t="s">
        <v>107</v>
      </c>
    </row>
    <row r="16" spans="1:53" s="127" customFormat="1" x14ac:dyDescent="0.15">
      <c r="A16" s="117" t="s">
        <v>51</v>
      </c>
      <c r="B16" s="117" t="s">
        <v>157</v>
      </c>
      <c r="C16" s="117">
        <v>2019</v>
      </c>
      <c r="D16" s="118" t="s">
        <v>259</v>
      </c>
      <c r="E16" s="117" t="s">
        <v>263</v>
      </c>
      <c r="F16" s="117" t="s">
        <v>264</v>
      </c>
      <c r="G16" s="117" t="s">
        <v>36</v>
      </c>
      <c r="H16" s="117" t="s">
        <v>160</v>
      </c>
      <c r="I16" s="117" t="s">
        <v>159</v>
      </c>
      <c r="J16" s="117" t="s">
        <v>38</v>
      </c>
      <c r="K16" s="117" t="s">
        <v>161</v>
      </c>
      <c r="L16" s="117">
        <v>3</v>
      </c>
      <c r="M16" s="117"/>
      <c r="N16" s="117">
        <v>3</v>
      </c>
      <c r="O16" s="117">
        <v>0.6</v>
      </c>
      <c r="P16" s="117">
        <v>0.55000000000000004</v>
      </c>
      <c r="Q16" s="119">
        <f t="shared" si="0"/>
        <v>0.57499999999999996</v>
      </c>
      <c r="R16" s="117">
        <v>18.399999999999999</v>
      </c>
      <c r="S16" s="117">
        <v>130</v>
      </c>
      <c r="T16" s="120">
        <f t="shared" si="1"/>
        <v>25</v>
      </c>
      <c r="U16" s="117">
        <v>350</v>
      </c>
      <c r="V16" s="121">
        <f t="shared" si="2"/>
        <v>2916.666666666667</v>
      </c>
      <c r="W16" s="117">
        <v>9</v>
      </c>
      <c r="X16" s="117" t="s">
        <v>46</v>
      </c>
      <c r="Y16" s="117" t="s">
        <v>47</v>
      </c>
      <c r="Z16" s="117" t="s">
        <v>55</v>
      </c>
      <c r="AA16" s="117" t="s">
        <v>69</v>
      </c>
      <c r="AB16" s="117" t="s">
        <v>158</v>
      </c>
      <c r="AE16" s="128" t="s">
        <v>218</v>
      </c>
      <c r="AG16" s="135"/>
      <c r="AH16" s="135"/>
      <c r="AP16" s="129" t="s">
        <v>80</v>
      </c>
      <c r="AR16" s="130" t="s">
        <v>63</v>
      </c>
      <c r="AV16" s="129" t="s">
        <v>84</v>
      </c>
    </row>
    <row r="17" spans="1:48" s="127" customFormat="1" x14ac:dyDescent="0.15">
      <c r="A17" s="117" t="s">
        <v>51</v>
      </c>
      <c r="B17" s="117" t="s">
        <v>157</v>
      </c>
      <c r="C17" s="117">
        <v>2019</v>
      </c>
      <c r="D17" s="118" t="s">
        <v>259</v>
      </c>
      <c r="E17" s="117" t="s">
        <v>139</v>
      </c>
      <c r="F17" s="117" t="s">
        <v>274</v>
      </c>
      <c r="G17" s="117" t="s">
        <v>42</v>
      </c>
      <c r="H17" s="117" t="s">
        <v>165</v>
      </c>
      <c r="I17" s="117" t="s">
        <v>159</v>
      </c>
      <c r="J17" s="117" t="s">
        <v>38</v>
      </c>
      <c r="K17" s="117" t="s">
        <v>161</v>
      </c>
      <c r="L17" s="117">
        <v>1</v>
      </c>
      <c r="M17" s="117"/>
      <c r="N17" s="117">
        <v>4</v>
      </c>
      <c r="O17" s="117">
        <v>1.1000000000000001</v>
      </c>
      <c r="P17" s="117">
        <v>1.1000000000000001</v>
      </c>
      <c r="Q17" s="119">
        <f t="shared" si="0"/>
        <v>1.1000000000000001</v>
      </c>
      <c r="R17" s="117">
        <v>13.6</v>
      </c>
      <c r="S17" s="117">
        <v>96</v>
      </c>
      <c r="T17" s="120">
        <f t="shared" si="1"/>
        <v>36</v>
      </c>
      <c r="U17" s="117">
        <v>398</v>
      </c>
      <c r="V17" s="121">
        <f t="shared" si="2"/>
        <v>3582</v>
      </c>
      <c r="W17" s="117">
        <v>23</v>
      </c>
      <c r="X17" s="117" t="s">
        <v>46</v>
      </c>
      <c r="Y17" s="117" t="s">
        <v>69</v>
      </c>
      <c r="Z17" s="117" t="s">
        <v>55</v>
      </c>
      <c r="AA17" s="117" t="s">
        <v>47</v>
      </c>
      <c r="AB17" s="117" t="s">
        <v>158</v>
      </c>
      <c r="AE17" s="128" t="s">
        <v>219</v>
      </c>
      <c r="AP17" s="140" t="s">
        <v>220</v>
      </c>
      <c r="AR17" s="130" t="s">
        <v>96</v>
      </c>
      <c r="AV17" s="129" t="s">
        <v>86</v>
      </c>
    </row>
    <row r="18" spans="1:48" s="127" customFormat="1" x14ac:dyDescent="0.15">
      <c r="A18" s="117" t="s">
        <v>51</v>
      </c>
      <c r="B18" s="117" t="s">
        <v>157</v>
      </c>
      <c r="C18" s="117">
        <v>2019</v>
      </c>
      <c r="D18" s="118" t="s">
        <v>259</v>
      </c>
      <c r="E18" s="117" t="s">
        <v>139</v>
      </c>
      <c r="F18" s="117" t="s">
        <v>274</v>
      </c>
      <c r="G18" s="117" t="s">
        <v>42</v>
      </c>
      <c r="H18" s="117" t="s">
        <v>165</v>
      </c>
      <c r="I18" s="117" t="s">
        <v>159</v>
      </c>
      <c r="J18" s="117" t="s">
        <v>38</v>
      </c>
      <c r="K18" s="117" t="s">
        <v>161</v>
      </c>
      <c r="L18" s="117">
        <v>2</v>
      </c>
      <c r="M18" s="117"/>
      <c r="N18" s="117">
        <v>4</v>
      </c>
      <c r="O18" s="117">
        <v>0.95</v>
      </c>
      <c r="P18" s="117">
        <v>1</v>
      </c>
      <c r="Q18" s="119">
        <f t="shared" si="0"/>
        <v>0.97499999999999998</v>
      </c>
      <c r="R18" s="117">
        <v>13.8</v>
      </c>
      <c r="S18" s="117">
        <v>100</v>
      </c>
      <c r="T18" s="120">
        <f t="shared" si="1"/>
        <v>33</v>
      </c>
      <c r="U18" s="117">
        <v>398</v>
      </c>
      <c r="V18" s="121">
        <f t="shared" si="2"/>
        <v>3283.5</v>
      </c>
      <c r="W18" s="117">
        <v>23</v>
      </c>
      <c r="X18" s="117" t="s">
        <v>46</v>
      </c>
      <c r="Y18" s="117" t="s">
        <v>69</v>
      </c>
      <c r="Z18" s="117" t="s">
        <v>55</v>
      </c>
      <c r="AA18" s="117" t="s">
        <v>47</v>
      </c>
      <c r="AB18" s="117" t="s">
        <v>158</v>
      </c>
      <c r="AE18" s="128" t="s">
        <v>212</v>
      </c>
      <c r="AP18" s="140" t="s">
        <v>221</v>
      </c>
      <c r="AR18" s="130" t="s">
        <v>101</v>
      </c>
      <c r="AV18" s="129" t="s">
        <v>88</v>
      </c>
    </row>
    <row r="19" spans="1:48" s="127" customFormat="1" x14ac:dyDescent="0.15">
      <c r="A19" s="117" t="s">
        <v>51</v>
      </c>
      <c r="B19" s="117" t="s">
        <v>157</v>
      </c>
      <c r="C19" s="117">
        <v>2019</v>
      </c>
      <c r="D19" s="118" t="s">
        <v>259</v>
      </c>
      <c r="E19" s="117" t="s">
        <v>139</v>
      </c>
      <c r="F19" s="117" t="s">
        <v>274</v>
      </c>
      <c r="G19" s="117" t="s">
        <v>42</v>
      </c>
      <c r="H19" s="117" t="s">
        <v>165</v>
      </c>
      <c r="I19" s="117" t="s">
        <v>159</v>
      </c>
      <c r="J19" s="117" t="s">
        <v>38</v>
      </c>
      <c r="K19" s="117" t="s">
        <v>161</v>
      </c>
      <c r="L19" s="117">
        <v>3</v>
      </c>
      <c r="M19" s="117"/>
      <c r="N19" s="117">
        <v>4</v>
      </c>
      <c r="O19" s="117">
        <v>1.25</v>
      </c>
      <c r="P19" s="117">
        <v>1</v>
      </c>
      <c r="Q19" s="119">
        <f t="shared" si="0"/>
        <v>1.125</v>
      </c>
      <c r="R19" s="117">
        <v>13.5</v>
      </c>
      <c r="S19" s="117">
        <v>98</v>
      </c>
      <c r="T19" s="120">
        <f t="shared" si="1"/>
        <v>36</v>
      </c>
      <c r="U19" s="117">
        <v>398</v>
      </c>
      <c r="V19" s="121">
        <f t="shared" si="2"/>
        <v>3582</v>
      </c>
      <c r="W19" s="117">
        <v>23</v>
      </c>
      <c r="X19" s="117" t="s">
        <v>46</v>
      </c>
      <c r="Y19" s="117" t="s">
        <v>69</v>
      </c>
      <c r="Z19" s="117" t="s">
        <v>55</v>
      </c>
      <c r="AA19" s="117" t="s">
        <v>47</v>
      </c>
      <c r="AB19" s="117" t="s">
        <v>158</v>
      </c>
      <c r="AE19" s="141" t="s">
        <v>206</v>
      </c>
      <c r="AP19" s="140" t="s">
        <v>222</v>
      </c>
      <c r="AR19" s="130" t="s">
        <v>223</v>
      </c>
      <c r="AV19" s="129" t="s">
        <v>90</v>
      </c>
    </row>
    <row r="20" spans="1:48" s="127" customFormat="1" x14ac:dyDescent="0.15">
      <c r="A20" s="117" t="s">
        <v>51</v>
      </c>
      <c r="B20" s="117" t="s">
        <v>157</v>
      </c>
      <c r="C20" s="117">
        <v>2019</v>
      </c>
      <c r="D20" s="118" t="s">
        <v>259</v>
      </c>
      <c r="E20" s="117" t="s">
        <v>139</v>
      </c>
      <c r="F20" s="117" t="s">
        <v>274</v>
      </c>
      <c r="G20" s="117" t="s">
        <v>42</v>
      </c>
      <c r="H20" s="117" t="s">
        <v>160</v>
      </c>
      <c r="I20" s="117" t="s">
        <v>159</v>
      </c>
      <c r="J20" s="117" t="s">
        <v>38</v>
      </c>
      <c r="K20" s="117" t="s">
        <v>161</v>
      </c>
      <c r="L20" s="117">
        <v>1</v>
      </c>
      <c r="M20" s="117"/>
      <c r="N20" s="117">
        <v>1</v>
      </c>
      <c r="O20" s="117">
        <v>0.75</v>
      </c>
      <c r="P20" s="117">
        <v>0.8</v>
      </c>
      <c r="Q20" s="119">
        <f t="shared" si="0"/>
        <v>0.77500000000000002</v>
      </c>
      <c r="R20" s="117">
        <v>17.8</v>
      </c>
      <c r="S20" s="117">
        <v>178</v>
      </c>
      <c r="T20" s="120">
        <f t="shared" si="1"/>
        <v>18</v>
      </c>
      <c r="U20" s="117">
        <v>128</v>
      </c>
      <c r="V20" s="121">
        <f t="shared" si="2"/>
        <v>2304</v>
      </c>
      <c r="W20" s="117">
        <v>23</v>
      </c>
      <c r="X20" s="117" t="s">
        <v>46</v>
      </c>
      <c r="Y20" s="117" t="s">
        <v>69</v>
      </c>
      <c r="Z20" s="117" t="s">
        <v>55</v>
      </c>
      <c r="AA20" s="117" t="s">
        <v>47</v>
      </c>
      <c r="AB20" s="117" t="s">
        <v>158</v>
      </c>
      <c r="AE20" s="141"/>
      <c r="AP20" s="140" t="s">
        <v>224</v>
      </c>
      <c r="AR20" s="130" t="s">
        <v>105</v>
      </c>
      <c r="AV20" s="134" t="s">
        <v>225</v>
      </c>
    </row>
    <row r="21" spans="1:48" s="127" customFormat="1" x14ac:dyDescent="0.15">
      <c r="A21" s="117" t="s">
        <v>51</v>
      </c>
      <c r="B21" s="117" t="s">
        <v>157</v>
      </c>
      <c r="C21" s="117">
        <v>2019</v>
      </c>
      <c r="D21" s="118" t="s">
        <v>259</v>
      </c>
      <c r="E21" s="117" t="s">
        <v>139</v>
      </c>
      <c r="F21" s="117" t="s">
        <v>274</v>
      </c>
      <c r="G21" s="117" t="s">
        <v>42</v>
      </c>
      <c r="H21" s="117" t="s">
        <v>160</v>
      </c>
      <c r="I21" s="117" t="s">
        <v>159</v>
      </c>
      <c r="J21" s="117" t="s">
        <v>38</v>
      </c>
      <c r="K21" s="117" t="s">
        <v>161</v>
      </c>
      <c r="L21" s="117">
        <v>2</v>
      </c>
      <c r="M21" s="117"/>
      <c r="N21" s="117">
        <v>1</v>
      </c>
      <c r="O21" s="117">
        <v>0.8</v>
      </c>
      <c r="P21" s="117">
        <v>0.7</v>
      </c>
      <c r="Q21" s="119">
        <f t="shared" si="0"/>
        <v>0.75</v>
      </c>
      <c r="R21" s="117">
        <v>17.5</v>
      </c>
      <c r="S21" s="117">
        <v>176</v>
      </c>
      <c r="T21" s="120">
        <f t="shared" si="1"/>
        <v>18</v>
      </c>
      <c r="U21" s="117">
        <v>128</v>
      </c>
      <c r="V21" s="121">
        <f t="shared" si="2"/>
        <v>2304</v>
      </c>
      <c r="W21" s="117">
        <v>23</v>
      </c>
      <c r="X21" s="117" t="s">
        <v>46</v>
      </c>
      <c r="Y21" s="117" t="s">
        <v>69</v>
      </c>
      <c r="Z21" s="117" t="s">
        <v>55</v>
      </c>
      <c r="AA21" s="117" t="s">
        <v>47</v>
      </c>
      <c r="AB21" s="117" t="s">
        <v>158</v>
      </c>
      <c r="AE21" s="135"/>
      <c r="AP21" s="140" t="s">
        <v>226</v>
      </c>
      <c r="AR21" s="130" t="s">
        <v>68</v>
      </c>
      <c r="AV21" s="134" t="s">
        <v>227</v>
      </c>
    </row>
    <row r="22" spans="1:48" s="127" customFormat="1" x14ac:dyDescent="0.15">
      <c r="A22" s="117" t="s">
        <v>51</v>
      </c>
      <c r="B22" s="117" t="s">
        <v>157</v>
      </c>
      <c r="C22" s="117">
        <v>2019</v>
      </c>
      <c r="D22" s="118" t="s">
        <v>259</v>
      </c>
      <c r="E22" s="117" t="s">
        <v>139</v>
      </c>
      <c r="F22" s="117" t="s">
        <v>274</v>
      </c>
      <c r="G22" s="117" t="s">
        <v>42</v>
      </c>
      <c r="H22" s="117" t="s">
        <v>160</v>
      </c>
      <c r="I22" s="117" t="s">
        <v>159</v>
      </c>
      <c r="J22" s="117" t="s">
        <v>38</v>
      </c>
      <c r="K22" s="117" t="s">
        <v>161</v>
      </c>
      <c r="L22" s="117">
        <v>3</v>
      </c>
      <c r="M22" s="117"/>
      <c r="N22" s="117">
        <v>1</v>
      </c>
      <c r="O22" s="117">
        <v>0.75</v>
      </c>
      <c r="P22" s="117">
        <v>0.75</v>
      </c>
      <c r="Q22" s="119">
        <f t="shared" si="0"/>
        <v>0.75</v>
      </c>
      <c r="R22" s="117">
        <v>17.3</v>
      </c>
      <c r="S22" s="117">
        <v>174</v>
      </c>
      <c r="T22" s="120">
        <f t="shared" si="1"/>
        <v>18</v>
      </c>
      <c r="U22" s="117">
        <v>128</v>
      </c>
      <c r="V22" s="121">
        <f t="shared" si="2"/>
        <v>2304</v>
      </c>
      <c r="W22" s="117">
        <v>23</v>
      </c>
      <c r="X22" s="117" t="s">
        <v>46</v>
      </c>
      <c r="Y22" s="117" t="s">
        <v>69</v>
      </c>
      <c r="Z22" s="117" t="s">
        <v>55</v>
      </c>
      <c r="AA22" s="117" t="s">
        <v>47</v>
      </c>
      <c r="AB22" s="117" t="s">
        <v>158</v>
      </c>
      <c r="AP22" s="140" t="s">
        <v>228</v>
      </c>
      <c r="AR22" s="130" t="s">
        <v>83</v>
      </c>
      <c r="AV22" s="134"/>
    </row>
    <row r="23" spans="1:48" s="127" customFormat="1" x14ac:dyDescent="0.15">
      <c r="A23" s="117" t="s">
        <v>51</v>
      </c>
      <c r="B23" s="117" t="s">
        <v>157</v>
      </c>
      <c r="C23" s="117">
        <v>2019</v>
      </c>
      <c r="D23" s="118" t="s">
        <v>259</v>
      </c>
      <c r="E23" s="117" t="s">
        <v>268</v>
      </c>
      <c r="F23" s="117" t="s">
        <v>264</v>
      </c>
      <c r="G23" s="117" t="s">
        <v>36</v>
      </c>
      <c r="H23" s="117" t="s">
        <v>165</v>
      </c>
      <c r="I23" s="117" t="s">
        <v>159</v>
      </c>
      <c r="J23" s="117" t="s">
        <v>38</v>
      </c>
      <c r="K23" s="117" t="s">
        <v>161</v>
      </c>
      <c r="L23" s="117">
        <v>1</v>
      </c>
      <c r="M23" s="117"/>
      <c r="N23" s="117">
        <v>1</v>
      </c>
      <c r="O23" s="117">
        <v>0.7</v>
      </c>
      <c r="P23" s="117">
        <v>0.7</v>
      </c>
      <c r="Q23" s="119">
        <f t="shared" si="0"/>
        <v>0.7</v>
      </c>
      <c r="R23" s="117">
        <v>15.3</v>
      </c>
      <c r="S23" s="117">
        <v>142</v>
      </c>
      <c r="T23" s="120">
        <f t="shared" si="1"/>
        <v>22</v>
      </c>
      <c r="U23" s="117">
        <v>128</v>
      </c>
      <c r="V23" s="121">
        <f t="shared" si="2"/>
        <v>2816</v>
      </c>
      <c r="W23" s="117">
        <v>8</v>
      </c>
      <c r="X23" s="117" t="s">
        <v>46</v>
      </c>
      <c r="Y23" s="117" t="s">
        <v>47</v>
      </c>
      <c r="Z23" s="117" t="s">
        <v>69</v>
      </c>
      <c r="AA23" s="117" t="s">
        <v>55</v>
      </c>
      <c r="AB23" s="117" t="s">
        <v>158</v>
      </c>
      <c r="AP23" s="140" t="s">
        <v>275</v>
      </c>
      <c r="AR23" s="130" t="s">
        <v>61</v>
      </c>
    </row>
    <row r="24" spans="1:48" s="127" customFormat="1" x14ac:dyDescent="0.15">
      <c r="A24" s="117" t="s">
        <v>51</v>
      </c>
      <c r="B24" s="117" t="s">
        <v>157</v>
      </c>
      <c r="C24" s="117">
        <v>2019</v>
      </c>
      <c r="D24" s="118" t="s">
        <v>259</v>
      </c>
      <c r="E24" s="117" t="s">
        <v>268</v>
      </c>
      <c r="F24" s="117" t="s">
        <v>264</v>
      </c>
      <c r="G24" s="117" t="s">
        <v>36</v>
      </c>
      <c r="H24" s="117" t="s">
        <v>165</v>
      </c>
      <c r="I24" s="117" t="s">
        <v>159</v>
      </c>
      <c r="J24" s="117" t="s">
        <v>38</v>
      </c>
      <c r="K24" s="117" t="s">
        <v>161</v>
      </c>
      <c r="L24" s="117">
        <v>2</v>
      </c>
      <c r="M24" s="117"/>
      <c r="N24" s="117">
        <v>1</v>
      </c>
      <c r="O24" s="117">
        <v>0.6</v>
      </c>
      <c r="P24" s="117">
        <v>0.75</v>
      </c>
      <c r="Q24" s="119">
        <f t="shared" si="0"/>
        <v>0.67500000000000004</v>
      </c>
      <c r="R24" s="117">
        <v>15.8</v>
      </c>
      <c r="S24" s="117">
        <v>142</v>
      </c>
      <c r="T24" s="120">
        <f t="shared" si="1"/>
        <v>22</v>
      </c>
      <c r="U24" s="117">
        <v>128</v>
      </c>
      <c r="V24" s="121">
        <f t="shared" si="2"/>
        <v>2816</v>
      </c>
      <c r="W24" s="117">
        <v>8</v>
      </c>
      <c r="X24" s="117" t="s">
        <v>46</v>
      </c>
      <c r="Y24" s="117" t="s">
        <v>47</v>
      </c>
      <c r="Z24" s="117" t="s">
        <v>69</v>
      </c>
      <c r="AA24" s="117" t="s">
        <v>55</v>
      </c>
      <c r="AB24" s="117" t="s">
        <v>158</v>
      </c>
      <c r="AP24" s="140" t="s">
        <v>276</v>
      </c>
      <c r="AR24" s="130" t="s">
        <v>91</v>
      </c>
    </row>
    <row r="25" spans="1:48" s="127" customFormat="1" x14ac:dyDescent="0.15">
      <c r="A25" s="117" t="s">
        <v>51</v>
      </c>
      <c r="B25" s="117" t="s">
        <v>157</v>
      </c>
      <c r="C25" s="117">
        <v>2019</v>
      </c>
      <c r="D25" s="118" t="s">
        <v>259</v>
      </c>
      <c r="E25" s="117" t="s">
        <v>268</v>
      </c>
      <c r="F25" s="117" t="s">
        <v>264</v>
      </c>
      <c r="G25" s="117" t="s">
        <v>36</v>
      </c>
      <c r="H25" s="117" t="s">
        <v>165</v>
      </c>
      <c r="I25" s="117" t="s">
        <v>159</v>
      </c>
      <c r="J25" s="117" t="s">
        <v>38</v>
      </c>
      <c r="K25" s="117" t="s">
        <v>161</v>
      </c>
      <c r="L25" s="117">
        <v>3</v>
      </c>
      <c r="M25" s="117"/>
      <c r="N25" s="117">
        <v>1</v>
      </c>
      <c r="O25" s="117">
        <v>0.65</v>
      </c>
      <c r="P25" s="117">
        <v>0.5</v>
      </c>
      <c r="Q25" s="119">
        <f t="shared" si="0"/>
        <v>0.57499999999999996</v>
      </c>
      <c r="R25" s="117">
        <v>15.6</v>
      </c>
      <c r="S25" s="117">
        <v>140</v>
      </c>
      <c r="T25" s="120">
        <f t="shared" si="1"/>
        <v>22</v>
      </c>
      <c r="U25" s="117">
        <v>128</v>
      </c>
      <c r="V25" s="121">
        <f t="shared" si="2"/>
        <v>2816</v>
      </c>
      <c r="W25" s="117">
        <v>8</v>
      </c>
      <c r="X25" s="117" t="s">
        <v>46</v>
      </c>
      <c r="Y25" s="117" t="s">
        <v>47</v>
      </c>
      <c r="Z25" s="117" t="s">
        <v>69</v>
      </c>
      <c r="AA25" s="117" t="s">
        <v>55</v>
      </c>
      <c r="AB25" s="117" t="s">
        <v>158</v>
      </c>
      <c r="AP25" s="140" t="s">
        <v>277</v>
      </c>
      <c r="AR25" s="140" t="s">
        <v>51</v>
      </c>
    </row>
    <row r="26" spans="1:48" s="127" customFormat="1" x14ac:dyDescent="0.15">
      <c r="A26" s="117" t="s">
        <v>51</v>
      </c>
      <c r="B26" s="117" t="s">
        <v>157</v>
      </c>
      <c r="C26" s="117">
        <v>2019</v>
      </c>
      <c r="D26" s="118" t="s">
        <v>259</v>
      </c>
      <c r="E26" s="117" t="s">
        <v>268</v>
      </c>
      <c r="F26" s="117" t="s">
        <v>264</v>
      </c>
      <c r="G26" s="117" t="s">
        <v>36</v>
      </c>
      <c r="H26" s="117" t="s">
        <v>160</v>
      </c>
      <c r="I26" s="117" t="s">
        <v>159</v>
      </c>
      <c r="J26" s="117" t="s">
        <v>38</v>
      </c>
      <c r="K26" s="117" t="s">
        <v>161</v>
      </c>
      <c r="L26" s="117">
        <v>1</v>
      </c>
      <c r="M26" s="117"/>
      <c r="N26" s="117">
        <v>1</v>
      </c>
      <c r="O26" s="117">
        <v>0.55000000000000004</v>
      </c>
      <c r="P26" s="117">
        <v>0.6</v>
      </c>
      <c r="Q26" s="119">
        <f t="shared" si="0"/>
        <v>0.57499999999999996</v>
      </c>
      <c r="R26" s="117">
        <v>16.8</v>
      </c>
      <c r="S26" s="117">
        <v>140</v>
      </c>
      <c r="T26" s="120">
        <f t="shared" si="1"/>
        <v>22</v>
      </c>
      <c r="U26" s="117">
        <v>128</v>
      </c>
      <c r="V26" s="121">
        <f t="shared" si="2"/>
        <v>2816</v>
      </c>
      <c r="W26" s="117">
        <v>8</v>
      </c>
      <c r="X26" s="117" t="s">
        <v>46</v>
      </c>
      <c r="Y26" s="117" t="s">
        <v>47</v>
      </c>
      <c r="Z26" s="117" t="s">
        <v>69</v>
      </c>
      <c r="AA26" s="117" t="s">
        <v>55</v>
      </c>
      <c r="AB26" s="117" t="s">
        <v>158</v>
      </c>
      <c r="AP26" s="140" t="s">
        <v>229</v>
      </c>
      <c r="AR26" s="127" t="s">
        <v>230</v>
      </c>
    </row>
    <row r="27" spans="1:48" s="127" customFormat="1" x14ac:dyDescent="0.15">
      <c r="A27" s="117" t="s">
        <v>51</v>
      </c>
      <c r="B27" s="117" t="s">
        <v>157</v>
      </c>
      <c r="C27" s="117">
        <v>2019</v>
      </c>
      <c r="D27" s="118" t="s">
        <v>259</v>
      </c>
      <c r="E27" s="117" t="s">
        <v>268</v>
      </c>
      <c r="F27" s="117" t="s">
        <v>264</v>
      </c>
      <c r="G27" s="117" t="s">
        <v>36</v>
      </c>
      <c r="H27" s="117" t="s">
        <v>160</v>
      </c>
      <c r="I27" s="117" t="s">
        <v>159</v>
      </c>
      <c r="J27" s="117" t="s">
        <v>38</v>
      </c>
      <c r="K27" s="117" t="s">
        <v>161</v>
      </c>
      <c r="L27" s="117">
        <v>2</v>
      </c>
      <c r="M27" s="117"/>
      <c r="N27" s="117">
        <v>1</v>
      </c>
      <c r="O27" s="117">
        <v>0.75</v>
      </c>
      <c r="P27" s="117">
        <v>0.75</v>
      </c>
      <c r="Q27" s="119">
        <f t="shared" si="0"/>
        <v>0.75</v>
      </c>
      <c r="R27" s="117">
        <v>18.100000000000001</v>
      </c>
      <c r="S27" s="117">
        <v>146</v>
      </c>
      <c r="T27" s="120">
        <f t="shared" si="1"/>
        <v>22</v>
      </c>
      <c r="U27" s="117">
        <v>128</v>
      </c>
      <c r="V27" s="121">
        <f t="shared" si="2"/>
        <v>2816</v>
      </c>
      <c r="W27" s="117">
        <v>8</v>
      </c>
      <c r="X27" s="117" t="s">
        <v>46</v>
      </c>
      <c r="Y27" s="117" t="s">
        <v>47</v>
      </c>
      <c r="Z27" s="117" t="s">
        <v>69</v>
      </c>
      <c r="AA27" s="117" t="s">
        <v>55</v>
      </c>
      <c r="AB27" s="117" t="s">
        <v>158</v>
      </c>
      <c r="AP27" s="140" t="s">
        <v>231</v>
      </c>
    </row>
    <row r="28" spans="1:48" s="127" customFormat="1" x14ac:dyDescent="0.15">
      <c r="A28" s="117" t="s">
        <v>51</v>
      </c>
      <c r="B28" s="117" t="s">
        <v>157</v>
      </c>
      <c r="C28" s="117">
        <v>2019</v>
      </c>
      <c r="D28" s="118" t="s">
        <v>259</v>
      </c>
      <c r="E28" s="117" t="s">
        <v>268</v>
      </c>
      <c r="F28" s="117" t="s">
        <v>264</v>
      </c>
      <c r="G28" s="117" t="s">
        <v>36</v>
      </c>
      <c r="H28" s="117" t="s">
        <v>160</v>
      </c>
      <c r="I28" s="117" t="s">
        <v>159</v>
      </c>
      <c r="J28" s="117" t="s">
        <v>38</v>
      </c>
      <c r="K28" s="117" t="s">
        <v>161</v>
      </c>
      <c r="L28" s="117">
        <v>3</v>
      </c>
      <c r="M28" s="117"/>
      <c r="N28" s="117">
        <v>1</v>
      </c>
      <c r="O28" s="117">
        <v>0.65</v>
      </c>
      <c r="P28" s="117">
        <v>0.7</v>
      </c>
      <c r="Q28" s="119">
        <f t="shared" si="0"/>
        <v>0.67500000000000004</v>
      </c>
      <c r="R28" s="117">
        <v>17.399999999999999</v>
      </c>
      <c r="S28" s="117">
        <v>142</v>
      </c>
      <c r="T28" s="120">
        <f t="shared" si="1"/>
        <v>22</v>
      </c>
      <c r="U28" s="117">
        <v>128</v>
      </c>
      <c r="V28" s="121">
        <f t="shared" si="2"/>
        <v>2816</v>
      </c>
      <c r="W28" s="117">
        <v>8</v>
      </c>
      <c r="X28" s="117" t="s">
        <v>46</v>
      </c>
      <c r="Y28" s="117" t="s">
        <v>47</v>
      </c>
      <c r="Z28" s="117" t="s">
        <v>69</v>
      </c>
      <c r="AA28" s="117" t="s">
        <v>55</v>
      </c>
      <c r="AB28" s="117" t="s">
        <v>158</v>
      </c>
    </row>
    <row r="29" spans="1:48" s="127" customFormat="1" x14ac:dyDescent="0.15">
      <c r="A29" s="117" t="s">
        <v>51</v>
      </c>
      <c r="B29" s="117" t="s">
        <v>157</v>
      </c>
      <c r="C29" s="117">
        <v>2019</v>
      </c>
      <c r="D29" s="118" t="s">
        <v>259</v>
      </c>
      <c r="E29" s="117" t="s">
        <v>210</v>
      </c>
      <c r="F29" s="117" t="s">
        <v>262</v>
      </c>
      <c r="G29" s="117" t="s">
        <v>42</v>
      </c>
      <c r="H29" s="117" t="s">
        <v>165</v>
      </c>
      <c r="I29" s="117" t="s">
        <v>159</v>
      </c>
      <c r="J29" s="117" t="s">
        <v>38</v>
      </c>
      <c r="K29" s="117" t="s">
        <v>161</v>
      </c>
      <c r="L29" s="117">
        <v>1</v>
      </c>
      <c r="M29" s="117"/>
      <c r="N29" s="117">
        <v>1</v>
      </c>
      <c r="O29" s="117">
        <v>0.6</v>
      </c>
      <c r="P29" s="117">
        <v>0.55000000000000004</v>
      </c>
      <c r="Q29" s="119">
        <f t="shared" si="0"/>
        <v>0.57499999999999996</v>
      </c>
      <c r="R29" s="117">
        <v>16</v>
      </c>
      <c r="S29" s="117">
        <v>116</v>
      </c>
      <c r="T29" s="120">
        <f t="shared" si="1"/>
        <v>30</v>
      </c>
      <c r="U29" s="117">
        <v>127</v>
      </c>
      <c r="V29" s="121">
        <f t="shared" si="2"/>
        <v>3810</v>
      </c>
      <c r="W29" s="117">
        <v>20</v>
      </c>
      <c r="X29" s="117" t="s">
        <v>46</v>
      </c>
      <c r="Y29" s="117" t="s">
        <v>55</v>
      </c>
      <c r="Z29" s="117" t="s">
        <v>47</v>
      </c>
      <c r="AA29" s="117" t="s">
        <v>69</v>
      </c>
      <c r="AB29" s="117" t="s">
        <v>158</v>
      </c>
    </row>
    <row r="30" spans="1:48" s="127" customFormat="1" x14ac:dyDescent="0.15">
      <c r="A30" s="117" t="s">
        <v>51</v>
      </c>
      <c r="B30" s="117" t="s">
        <v>157</v>
      </c>
      <c r="C30" s="117">
        <v>2019</v>
      </c>
      <c r="D30" s="118" t="s">
        <v>259</v>
      </c>
      <c r="E30" s="117" t="s">
        <v>210</v>
      </c>
      <c r="F30" s="117" t="s">
        <v>262</v>
      </c>
      <c r="G30" s="117" t="s">
        <v>42</v>
      </c>
      <c r="H30" s="117" t="s">
        <v>165</v>
      </c>
      <c r="I30" s="117" t="s">
        <v>159</v>
      </c>
      <c r="J30" s="117" t="s">
        <v>38</v>
      </c>
      <c r="K30" s="117" t="s">
        <v>161</v>
      </c>
      <c r="L30" s="117">
        <v>2</v>
      </c>
      <c r="M30" s="117"/>
      <c r="N30" s="117">
        <v>1</v>
      </c>
      <c r="O30" s="117">
        <v>0.65</v>
      </c>
      <c r="P30" s="117">
        <v>0.65</v>
      </c>
      <c r="Q30" s="119">
        <f t="shared" si="0"/>
        <v>0.65</v>
      </c>
      <c r="R30" s="117">
        <v>16.3</v>
      </c>
      <c r="S30" s="117">
        <v>118</v>
      </c>
      <c r="T30" s="120">
        <f t="shared" si="1"/>
        <v>30</v>
      </c>
      <c r="U30" s="117">
        <v>127</v>
      </c>
      <c r="V30" s="121">
        <f t="shared" si="2"/>
        <v>3810</v>
      </c>
      <c r="W30" s="117">
        <v>20</v>
      </c>
      <c r="X30" s="117" t="s">
        <v>46</v>
      </c>
      <c r="Y30" s="117" t="s">
        <v>55</v>
      </c>
      <c r="Z30" s="117" t="s">
        <v>47</v>
      </c>
      <c r="AA30" s="117" t="s">
        <v>69</v>
      </c>
      <c r="AB30" s="117" t="s">
        <v>158</v>
      </c>
    </row>
    <row r="31" spans="1:48" s="127" customFormat="1" x14ac:dyDescent="0.15">
      <c r="A31" s="117" t="s">
        <v>51</v>
      </c>
      <c r="B31" s="117" t="s">
        <v>157</v>
      </c>
      <c r="C31" s="117">
        <v>2019</v>
      </c>
      <c r="D31" s="118" t="s">
        <v>259</v>
      </c>
      <c r="E31" s="117" t="s">
        <v>210</v>
      </c>
      <c r="F31" s="117" t="s">
        <v>262</v>
      </c>
      <c r="G31" s="117" t="s">
        <v>42</v>
      </c>
      <c r="H31" s="117" t="s">
        <v>165</v>
      </c>
      <c r="I31" s="117" t="s">
        <v>159</v>
      </c>
      <c r="J31" s="117" t="s">
        <v>38</v>
      </c>
      <c r="K31" s="117" t="s">
        <v>161</v>
      </c>
      <c r="L31" s="117">
        <v>3</v>
      </c>
      <c r="M31" s="117"/>
      <c r="N31" s="117">
        <v>1</v>
      </c>
      <c r="O31" s="117">
        <v>0.6</v>
      </c>
      <c r="P31" s="117">
        <v>0.7</v>
      </c>
      <c r="Q31" s="119">
        <f t="shared" si="0"/>
        <v>0.64999999999999991</v>
      </c>
      <c r="R31" s="117">
        <v>16.8</v>
      </c>
      <c r="S31" s="117">
        <v>120</v>
      </c>
      <c r="T31" s="120">
        <f t="shared" si="1"/>
        <v>30</v>
      </c>
      <c r="U31" s="117">
        <v>127</v>
      </c>
      <c r="V31" s="121">
        <f t="shared" si="2"/>
        <v>3810</v>
      </c>
      <c r="W31" s="117">
        <v>20</v>
      </c>
      <c r="X31" s="117" t="s">
        <v>46</v>
      </c>
      <c r="Y31" s="117" t="s">
        <v>55</v>
      </c>
      <c r="Z31" s="117" t="s">
        <v>47</v>
      </c>
      <c r="AA31" s="117" t="s">
        <v>69</v>
      </c>
      <c r="AB31" s="117" t="s">
        <v>158</v>
      </c>
    </row>
    <row r="32" spans="1:48" s="127" customFormat="1" x14ac:dyDescent="0.15">
      <c r="A32" s="117" t="s">
        <v>51</v>
      </c>
      <c r="B32" s="117" t="s">
        <v>157</v>
      </c>
      <c r="C32" s="117">
        <v>2019</v>
      </c>
      <c r="D32" s="118" t="s">
        <v>259</v>
      </c>
      <c r="E32" s="117" t="s">
        <v>210</v>
      </c>
      <c r="F32" s="117" t="s">
        <v>262</v>
      </c>
      <c r="G32" s="117" t="s">
        <v>42</v>
      </c>
      <c r="H32" s="117" t="s">
        <v>160</v>
      </c>
      <c r="I32" s="117" t="s">
        <v>159</v>
      </c>
      <c r="J32" s="117" t="s">
        <v>38</v>
      </c>
      <c r="K32" s="117" t="s">
        <v>161</v>
      </c>
      <c r="L32" s="117">
        <v>1</v>
      </c>
      <c r="M32" s="117"/>
      <c r="N32" s="117">
        <v>1</v>
      </c>
      <c r="O32" s="117">
        <v>0.65</v>
      </c>
      <c r="P32" s="117">
        <v>0.6</v>
      </c>
      <c r="Q32" s="119">
        <f t="shared" si="0"/>
        <v>0.625</v>
      </c>
      <c r="R32" s="117">
        <v>18.100000000000001</v>
      </c>
      <c r="S32" s="117">
        <v>148</v>
      </c>
      <c r="T32" s="120">
        <f t="shared" si="1"/>
        <v>22</v>
      </c>
      <c r="U32" s="117">
        <v>128</v>
      </c>
      <c r="V32" s="121">
        <f t="shared" si="2"/>
        <v>2816</v>
      </c>
      <c r="W32" s="117">
        <v>20</v>
      </c>
      <c r="X32" s="117" t="s">
        <v>46</v>
      </c>
      <c r="Y32" s="117" t="s">
        <v>55</v>
      </c>
      <c r="Z32" s="117" t="s">
        <v>47</v>
      </c>
      <c r="AA32" s="117" t="s">
        <v>69</v>
      </c>
      <c r="AB32" s="117" t="s">
        <v>158</v>
      </c>
    </row>
    <row r="33" spans="1:28" s="127" customFormat="1" x14ac:dyDescent="0.15">
      <c r="A33" s="117" t="s">
        <v>51</v>
      </c>
      <c r="B33" s="117" t="s">
        <v>157</v>
      </c>
      <c r="C33" s="117">
        <v>2019</v>
      </c>
      <c r="D33" s="118" t="s">
        <v>259</v>
      </c>
      <c r="E33" s="117" t="s">
        <v>210</v>
      </c>
      <c r="F33" s="117" t="s">
        <v>262</v>
      </c>
      <c r="G33" s="117" t="s">
        <v>42</v>
      </c>
      <c r="H33" s="117" t="s">
        <v>160</v>
      </c>
      <c r="I33" s="117" t="s">
        <v>159</v>
      </c>
      <c r="J33" s="117" t="s">
        <v>38</v>
      </c>
      <c r="K33" s="117" t="s">
        <v>161</v>
      </c>
      <c r="L33" s="117">
        <v>2</v>
      </c>
      <c r="M33" s="117"/>
      <c r="N33" s="117">
        <v>1</v>
      </c>
      <c r="O33" s="117">
        <v>0.5</v>
      </c>
      <c r="P33" s="117">
        <v>0.5</v>
      </c>
      <c r="Q33" s="119">
        <f t="shared" si="0"/>
        <v>0.5</v>
      </c>
      <c r="R33" s="117">
        <v>17.5</v>
      </c>
      <c r="S33" s="117">
        <v>148</v>
      </c>
      <c r="T33" s="120">
        <f t="shared" si="1"/>
        <v>22</v>
      </c>
      <c r="U33" s="117">
        <v>128</v>
      </c>
      <c r="V33" s="121">
        <f t="shared" si="2"/>
        <v>2816</v>
      </c>
      <c r="W33" s="117">
        <v>20</v>
      </c>
      <c r="X33" s="117" t="s">
        <v>46</v>
      </c>
      <c r="Y33" s="117" t="s">
        <v>55</v>
      </c>
      <c r="Z33" s="117" t="s">
        <v>47</v>
      </c>
      <c r="AA33" s="117" t="s">
        <v>69</v>
      </c>
      <c r="AB33" s="117" t="s">
        <v>158</v>
      </c>
    </row>
    <row r="34" spans="1:28" s="127" customFormat="1" x14ac:dyDescent="0.15">
      <c r="A34" s="117" t="s">
        <v>51</v>
      </c>
      <c r="B34" s="117" t="s">
        <v>157</v>
      </c>
      <c r="C34" s="117">
        <v>2019</v>
      </c>
      <c r="D34" s="118" t="s">
        <v>259</v>
      </c>
      <c r="E34" s="117" t="s">
        <v>210</v>
      </c>
      <c r="F34" s="117" t="s">
        <v>262</v>
      </c>
      <c r="G34" s="117" t="s">
        <v>42</v>
      </c>
      <c r="H34" s="117" t="s">
        <v>160</v>
      </c>
      <c r="I34" s="117" t="s">
        <v>159</v>
      </c>
      <c r="J34" s="117" t="s">
        <v>38</v>
      </c>
      <c r="K34" s="117" t="s">
        <v>161</v>
      </c>
      <c r="L34" s="117">
        <v>3</v>
      </c>
      <c r="M34" s="117"/>
      <c r="N34" s="117">
        <v>1</v>
      </c>
      <c r="O34" s="117">
        <v>0.25</v>
      </c>
      <c r="P34" s="117">
        <v>0.25</v>
      </c>
      <c r="Q34" s="119">
        <f t="shared" si="0"/>
        <v>0.25</v>
      </c>
      <c r="R34" s="117">
        <v>17.100000000000001</v>
      </c>
      <c r="S34" s="117">
        <v>146</v>
      </c>
      <c r="T34" s="120">
        <f t="shared" si="1"/>
        <v>22</v>
      </c>
      <c r="U34" s="117">
        <v>128</v>
      </c>
      <c r="V34" s="121">
        <f t="shared" si="2"/>
        <v>2816</v>
      </c>
      <c r="W34" s="117">
        <v>20</v>
      </c>
      <c r="X34" s="117" t="s">
        <v>46</v>
      </c>
      <c r="Y34" s="117" t="s">
        <v>55</v>
      </c>
      <c r="Z34" s="117" t="s">
        <v>47</v>
      </c>
      <c r="AA34" s="117" t="s">
        <v>69</v>
      </c>
      <c r="AB34" s="117" t="s">
        <v>158</v>
      </c>
    </row>
    <row r="35" spans="1:28" s="127" customFormat="1" x14ac:dyDescent="0.15">
      <c r="A35" s="117" t="s">
        <v>51</v>
      </c>
      <c r="B35" s="117" t="s">
        <v>157</v>
      </c>
      <c r="C35" s="117">
        <v>2019</v>
      </c>
      <c r="D35" s="118" t="s">
        <v>259</v>
      </c>
      <c r="E35" s="117" t="s">
        <v>270</v>
      </c>
      <c r="F35" s="117" t="s">
        <v>262</v>
      </c>
      <c r="G35" s="117" t="s">
        <v>42</v>
      </c>
      <c r="H35" s="117" t="s">
        <v>165</v>
      </c>
      <c r="I35" s="117" t="s">
        <v>159</v>
      </c>
      <c r="J35" s="117" t="s">
        <v>38</v>
      </c>
      <c r="K35" s="117" t="s">
        <v>161</v>
      </c>
      <c r="L35" s="117">
        <v>1</v>
      </c>
      <c r="M35" s="117"/>
      <c r="N35" s="117">
        <v>1</v>
      </c>
      <c r="O35" s="117">
        <v>0.75</v>
      </c>
      <c r="P35" s="117">
        <v>0.75</v>
      </c>
      <c r="Q35" s="119">
        <f t="shared" si="0"/>
        <v>0.75</v>
      </c>
      <c r="R35" s="117">
        <v>14.8</v>
      </c>
      <c r="S35" s="117">
        <v>114</v>
      </c>
      <c r="T35" s="120">
        <f t="shared" si="1"/>
        <v>30</v>
      </c>
      <c r="U35" s="117">
        <v>98</v>
      </c>
      <c r="V35" s="121">
        <f t="shared" si="2"/>
        <v>2940</v>
      </c>
      <c r="W35" s="117">
        <v>25</v>
      </c>
      <c r="X35" s="117" t="s">
        <v>46</v>
      </c>
      <c r="Y35" s="117" t="s">
        <v>55</v>
      </c>
      <c r="Z35" s="117" t="s">
        <v>90</v>
      </c>
      <c r="AA35" s="117" t="s">
        <v>69</v>
      </c>
      <c r="AB35" s="117" t="s">
        <v>158</v>
      </c>
    </row>
    <row r="36" spans="1:28" s="127" customFormat="1" x14ac:dyDescent="0.15">
      <c r="A36" s="117" t="s">
        <v>51</v>
      </c>
      <c r="B36" s="117" t="s">
        <v>157</v>
      </c>
      <c r="C36" s="117">
        <v>2019</v>
      </c>
      <c r="D36" s="118" t="s">
        <v>259</v>
      </c>
      <c r="E36" s="117" t="s">
        <v>270</v>
      </c>
      <c r="F36" s="117" t="s">
        <v>262</v>
      </c>
      <c r="G36" s="117" t="s">
        <v>42</v>
      </c>
      <c r="H36" s="117" t="s">
        <v>165</v>
      </c>
      <c r="I36" s="117" t="s">
        <v>159</v>
      </c>
      <c r="J36" s="117" t="s">
        <v>38</v>
      </c>
      <c r="K36" s="117" t="s">
        <v>161</v>
      </c>
      <c r="L36" s="117">
        <v>2</v>
      </c>
      <c r="M36" s="117"/>
      <c r="N36" s="117">
        <v>1</v>
      </c>
      <c r="O36" s="117">
        <v>0.8</v>
      </c>
      <c r="P36" s="117">
        <v>0.7</v>
      </c>
      <c r="Q36" s="119">
        <f t="shared" si="0"/>
        <v>0.75</v>
      </c>
      <c r="R36" s="117">
        <v>14.5</v>
      </c>
      <c r="S36" s="117">
        <v>114</v>
      </c>
      <c r="T36" s="120">
        <f t="shared" si="1"/>
        <v>30</v>
      </c>
      <c r="U36" s="117">
        <v>98</v>
      </c>
      <c r="V36" s="121">
        <f t="shared" si="2"/>
        <v>2940</v>
      </c>
      <c r="W36" s="117">
        <v>25</v>
      </c>
      <c r="X36" s="117" t="s">
        <v>46</v>
      </c>
      <c r="Y36" s="117" t="s">
        <v>55</v>
      </c>
      <c r="Z36" s="117" t="s">
        <v>90</v>
      </c>
      <c r="AA36" s="117" t="s">
        <v>69</v>
      </c>
      <c r="AB36" s="117" t="s">
        <v>158</v>
      </c>
    </row>
    <row r="37" spans="1:28" s="127" customFormat="1" x14ac:dyDescent="0.15">
      <c r="A37" s="117" t="s">
        <v>51</v>
      </c>
      <c r="B37" s="117" t="s">
        <v>157</v>
      </c>
      <c r="C37" s="117">
        <v>2019</v>
      </c>
      <c r="D37" s="118" t="s">
        <v>259</v>
      </c>
      <c r="E37" s="117" t="s">
        <v>270</v>
      </c>
      <c r="F37" s="117" t="s">
        <v>262</v>
      </c>
      <c r="G37" s="117" t="s">
        <v>42</v>
      </c>
      <c r="H37" s="117" t="s">
        <v>165</v>
      </c>
      <c r="I37" s="117" t="s">
        <v>159</v>
      </c>
      <c r="J37" s="117" t="s">
        <v>38</v>
      </c>
      <c r="K37" s="117" t="s">
        <v>161</v>
      </c>
      <c r="L37" s="117">
        <v>3</v>
      </c>
      <c r="M37" s="117"/>
      <c r="N37" s="117">
        <v>1</v>
      </c>
      <c r="O37" s="117">
        <v>0.75</v>
      </c>
      <c r="P37" s="117">
        <v>0.9</v>
      </c>
      <c r="Q37" s="119">
        <f t="shared" si="0"/>
        <v>0.82499999999999996</v>
      </c>
      <c r="R37" s="117">
        <v>13.8</v>
      </c>
      <c r="S37" s="117">
        <v>106</v>
      </c>
      <c r="T37" s="120">
        <f t="shared" si="1"/>
        <v>33</v>
      </c>
      <c r="U37" s="117">
        <v>98</v>
      </c>
      <c r="V37" s="121">
        <f t="shared" si="2"/>
        <v>3234</v>
      </c>
      <c r="W37" s="117">
        <v>25</v>
      </c>
      <c r="X37" s="117" t="s">
        <v>46</v>
      </c>
      <c r="Y37" s="117" t="s">
        <v>55</v>
      </c>
      <c r="Z37" s="117" t="s">
        <v>90</v>
      </c>
      <c r="AA37" s="117" t="s">
        <v>69</v>
      </c>
      <c r="AB37" s="117" t="s">
        <v>158</v>
      </c>
    </row>
    <row r="38" spans="1:28" s="127" customFormat="1" x14ac:dyDescent="0.15">
      <c r="A38" s="117" t="s">
        <v>51</v>
      </c>
      <c r="B38" s="117" t="s">
        <v>157</v>
      </c>
      <c r="C38" s="117">
        <v>2019</v>
      </c>
      <c r="D38" s="118" t="s">
        <v>259</v>
      </c>
      <c r="E38" s="117" t="s">
        <v>270</v>
      </c>
      <c r="F38" s="117" t="s">
        <v>262</v>
      </c>
      <c r="G38" s="117" t="s">
        <v>42</v>
      </c>
      <c r="H38" s="117" t="s">
        <v>164</v>
      </c>
      <c r="I38" s="117" t="s">
        <v>159</v>
      </c>
      <c r="J38" s="117" t="s">
        <v>38</v>
      </c>
      <c r="K38" s="117" t="s">
        <v>161</v>
      </c>
      <c r="L38" s="117">
        <v>1</v>
      </c>
      <c r="M38" s="117"/>
      <c r="N38" s="117">
        <v>5</v>
      </c>
      <c r="O38" s="117">
        <v>0.85</v>
      </c>
      <c r="P38" s="117">
        <v>0.9</v>
      </c>
      <c r="Q38" s="119">
        <f t="shared" si="0"/>
        <v>0.875</v>
      </c>
      <c r="R38" s="117">
        <v>18.600000000000001</v>
      </c>
      <c r="S38" s="117">
        <v>92</v>
      </c>
      <c r="T38" s="120">
        <f t="shared" si="1"/>
        <v>36</v>
      </c>
      <c r="U38" s="117">
        <v>358</v>
      </c>
      <c r="V38" s="121">
        <f t="shared" si="2"/>
        <v>2577.6</v>
      </c>
      <c r="W38" s="117">
        <v>25</v>
      </c>
      <c r="X38" s="117" t="s">
        <v>46</v>
      </c>
      <c r="Y38" s="117" t="s">
        <v>55</v>
      </c>
      <c r="Z38" s="117" t="s">
        <v>90</v>
      </c>
      <c r="AA38" s="117" t="s">
        <v>69</v>
      </c>
      <c r="AB38" s="117" t="s">
        <v>158</v>
      </c>
    </row>
    <row r="39" spans="1:28" s="127" customFormat="1" x14ac:dyDescent="0.15">
      <c r="A39" s="117" t="s">
        <v>51</v>
      </c>
      <c r="B39" s="117" t="s">
        <v>157</v>
      </c>
      <c r="C39" s="117">
        <v>2019</v>
      </c>
      <c r="D39" s="118" t="s">
        <v>259</v>
      </c>
      <c r="E39" s="117" t="s">
        <v>270</v>
      </c>
      <c r="F39" s="117" t="s">
        <v>262</v>
      </c>
      <c r="G39" s="117" t="s">
        <v>42</v>
      </c>
      <c r="H39" s="117" t="s">
        <v>164</v>
      </c>
      <c r="I39" s="117" t="s">
        <v>159</v>
      </c>
      <c r="J39" s="117" t="s">
        <v>38</v>
      </c>
      <c r="K39" s="117" t="s">
        <v>161</v>
      </c>
      <c r="L39" s="117">
        <v>2</v>
      </c>
      <c r="M39" s="117"/>
      <c r="N39" s="117">
        <v>5</v>
      </c>
      <c r="O39" s="117">
        <v>0.95</v>
      </c>
      <c r="P39" s="117">
        <v>0.7</v>
      </c>
      <c r="Q39" s="119">
        <f t="shared" si="0"/>
        <v>0.82499999999999996</v>
      </c>
      <c r="R39" s="117">
        <v>18.3</v>
      </c>
      <c r="S39" s="117">
        <v>82</v>
      </c>
      <c r="T39" s="120">
        <f t="shared" si="1"/>
        <v>39</v>
      </c>
      <c r="U39" s="117">
        <v>358</v>
      </c>
      <c r="V39" s="121">
        <f t="shared" si="2"/>
        <v>2792.3999999999996</v>
      </c>
      <c r="W39" s="117">
        <v>25</v>
      </c>
      <c r="X39" s="117" t="s">
        <v>46</v>
      </c>
      <c r="Y39" s="117" t="s">
        <v>55</v>
      </c>
      <c r="Z39" s="117" t="s">
        <v>90</v>
      </c>
      <c r="AA39" s="117" t="s">
        <v>69</v>
      </c>
      <c r="AB39" s="117" t="s">
        <v>158</v>
      </c>
    </row>
    <row r="40" spans="1:28" s="127" customFormat="1" x14ac:dyDescent="0.15">
      <c r="A40" s="117" t="s">
        <v>51</v>
      </c>
      <c r="B40" s="117" t="s">
        <v>157</v>
      </c>
      <c r="C40" s="117">
        <v>2019</v>
      </c>
      <c r="D40" s="118" t="s">
        <v>259</v>
      </c>
      <c r="E40" s="117" t="s">
        <v>270</v>
      </c>
      <c r="F40" s="117" t="s">
        <v>262</v>
      </c>
      <c r="G40" s="117" t="s">
        <v>42</v>
      </c>
      <c r="H40" s="117" t="s">
        <v>164</v>
      </c>
      <c r="I40" s="117" t="s">
        <v>159</v>
      </c>
      <c r="J40" s="117" t="s">
        <v>38</v>
      </c>
      <c r="K40" s="117" t="s">
        <v>161</v>
      </c>
      <c r="L40" s="117">
        <v>3</v>
      </c>
      <c r="M40" s="117"/>
      <c r="N40" s="117">
        <v>5</v>
      </c>
      <c r="O40" s="117">
        <v>0.8</v>
      </c>
      <c r="P40" s="117">
        <v>0.8</v>
      </c>
      <c r="Q40" s="119">
        <f t="shared" si="0"/>
        <v>0.8</v>
      </c>
      <c r="R40" s="117">
        <v>18.399999999999999</v>
      </c>
      <c r="S40" s="117">
        <v>90</v>
      </c>
      <c r="T40" s="120">
        <f t="shared" si="1"/>
        <v>36</v>
      </c>
      <c r="U40" s="117">
        <v>358</v>
      </c>
      <c r="V40" s="121">
        <f t="shared" si="2"/>
        <v>2577.6</v>
      </c>
      <c r="W40" s="117">
        <v>25</v>
      </c>
      <c r="X40" s="117" t="s">
        <v>46</v>
      </c>
      <c r="Y40" s="117" t="s">
        <v>55</v>
      </c>
      <c r="Z40" s="117" t="s">
        <v>90</v>
      </c>
      <c r="AA40" s="117" t="s">
        <v>69</v>
      </c>
      <c r="AB40" s="117" t="s">
        <v>158</v>
      </c>
    </row>
    <row r="41" spans="1:28" s="127" customFormat="1" x14ac:dyDescent="0.15">
      <c r="A41" s="117" t="s">
        <v>51</v>
      </c>
      <c r="B41" s="117" t="s">
        <v>157</v>
      </c>
      <c r="C41" s="117">
        <v>2019</v>
      </c>
      <c r="D41" s="118" t="s">
        <v>259</v>
      </c>
      <c r="E41" s="117" t="s">
        <v>270</v>
      </c>
      <c r="F41" s="117" t="s">
        <v>262</v>
      </c>
      <c r="G41" s="117" t="s">
        <v>42</v>
      </c>
      <c r="H41" s="117" t="s">
        <v>160</v>
      </c>
      <c r="I41" s="117" t="s">
        <v>159</v>
      </c>
      <c r="J41" s="117" t="s">
        <v>38</v>
      </c>
      <c r="K41" s="117" t="s">
        <v>161</v>
      </c>
      <c r="L41" s="117">
        <v>1</v>
      </c>
      <c r="M41" s="117"/>
      <c r="N41" s="117">
        <v>1</v>
      </c>
      <c r="O41" s="117">
        <v>0.8</v>
      </c>
      <c r="P41" s="117">
        <v>0.75</v>
      </c>
      <c r="Q41" s="119">
        <f t="shared" si="0"/>
        <v>0.77500000000000002</v>
      </c>
      <c r="R41" s="117">
        <v>15.9</v>
      </c>
      <c r="S41" s="117">
        <v>164</v>
      </c>
      <c r="T41" s="120">
        <f t="shared" si="1"/>
        <v>18</v>
      </c>
      <c r="U41" s="117">
        <v>138</v>
      </c>
      <c r="V41" s="121">
        <f t="shared" si="2"/>
        <v>2484</v>
      </c>
      <c r="W41" s="117">
        <v>25</v>
      </c>
      <c r="X41" s="117" t="s">
        <v>46</v>
      </c>
      <c r="Y41" s="117" t="s">
        <v>55</v>
      </c>
      <c r="Z41" s="117" t="s">
        <v>90</v>
      </c>
      <c r="AA41" s="117" t="s">
        <v>69</v>
      </c>
      <c r="AB41" s="117" t="s">
        <v>158</v>
      </c>
    </row>
    <row r="42" spans="1:28" s="127" customFormat="1" x14ac:dyDescent="0.15">
      <c r="A42" s="117" t="s">
        <v>51</v>
      </c>
      <c r="B42" s="117" t="s">
        <v>157</v>
      </c>
      <c r="C42" s="117">
        <v>2019</v>
      </c>
      <c r="D42" s="118" t="s">
        <v>259</v>
      </c>
      <c r="E42" s="117" t="s">
        <v>270</v>
      </c>
      <c r="F42" s="117" t="s">
        <v>262</v>
      </c>
      <c r="G42" s="117" t="s">
        <v>42</v>
      </c>
      <c r="H42" s="117" t="s">
        <v>160</v>
      </c>
      <c r="I42" s="117" t="s">
        <v>159</v>
      </c>
      <c r="J42" s="117" t="s">
        <v>38</v>
      </c>
      <c r="K42" s="117" t="s">
        <v>161</v>
      </c>
      <c r="L42" s="117">
        <v>2</v>
      </c>
      <c r="M42" s="117"/>
      <c r="N42" s="117">
        <v>1</v>
      </c>
      <c r="O42" s="117">
        <v>0.75</v>
      </c>
      <c r="P42" s="117">
        <v>0.85</v>
      </c>
      <c r="Q42" s="119">
        <f t="shared" si="0"/>
        <v>0.8</v>
      </c>
      <c r="R42" s="117">
        <v>16.3</v>
      </c>
      <c r="S42" s="117">
        <v>168</v>
      </c>
      <c r="T42" s="120">
        <f t="shared" si="1"/>
        <v>18</v>
      </c>
      <c r="U42" s="117">
        <v>138</v>
      </c>
      <c r="V42" s="121">
        <f t="shared" si="2"/>
        <v>2484</v>
      </c>
      <c r="W42" s="117">
        <v>25</v>
      </c>
      <c r="X42" s="117" t="s">
        <v>46</v>
      </c>
      <c r="Y42" s="117" t="s">
        <v>55</v>
      </c>
      <c r="Z42" s="117" t="s">
        <v>90</v>
      </c>
      <c r="AA42" s="117" t="s">
        <v>69</v>
      </c>
      <c r="AB42" s="117" t="s">
        <v>158</v>
      </c>
    </row>
    <row r="43" spans="1:28" s="127" customFormat="1" x14ac:dyDescent="0.15">
      <c r="A43" s="117" t="s">
        <v>51</v>
      </c>
      <c r="B43" s="117" t="s">
        <v>157</v>
      </c>
      <c r="C43" s="117">
        <v>2019</v>
      </c>
      <c r="D43" s="118" t="s">
        <v>259</v>
      </c>
      <c r="E43" s="117" t="s">
        <v>270</v>
      </c>
      <c r="F43" s="117" t="s">
        <v>262</v>
      </c>
      <c r="G43" s="117" t="s">
        <v>42</v>
      </c>
      <c r="H43" s="117" t="s">
        <v>160</v>
      </c>
      <c r="I43" s="117" t="s">
        <v>159</v>
      </c>
      <c r="J43" s="117" t="s">
        <v>38</v>
      </c>
      <c r="K43" s="117" t="s">
        <v>161</v>
      </c>
      <c r="L43" s="117">
        <v>3</v>
      </c>
      <c r="M43" s="117"/>
      <c r="N43" s="117">
        <v>1</v>
      </c>
      <c r="O43" s="117">
        <v>0.8</v>
      </c>
      <c r="P43" s="117">
        <v>0.9</v>
      </c>
      <c r="Q43" s="119">
        <f t="shared" si="0"/>
        <v>0.85000000000000009</v>
      </c>
      <c r="R43" s="117">
        <v>15.6</v>
      </c>
      <c r="S43" s="117">
        <v>158</v>
      </c>
      <c r="T43" s="120">
        <f t="shared" si="1"/>
        <v>18</v>
      </c>
      <c r="U43" s="117">
        <v>138</v>
      </c>
      <c r="V43" s="121">
        <f t="shared" si="2"/>
        <v>2484</v>
      </c>
      <c r="W43" s="117">
        <v>25</v>
      </c>
      <c r="X43" s="117" t="s">
        <v>46</v>
      </c>
      <c r="Y43" s="117" t="s">
        <v>55</v>
      </c>
      <c r="Z43" s="117" t="s">
        <v>90</v>
      </c>
      <c r="AA43" s="117" t="s">
        <v>69</v>
      </c>
      <c r="AB43" s="117" t="s">
        <v>158</v>
      </c>
    </row>
    <row r="44" spans="1:28" s="127" customFormat="1" x14ac:dyDescent="0.15">
      <c r="A44" s="117" t="s">
        <v>51</v>
      </c>
      <c r="B44" s="117" t="s">
        <v>157</v>
      </c>
      <c r="C44" s="117">
        <v>2019</v>
      </c>
      <c r="D44" s="118" t="s">
        <v>259</v>
      </c>
      <c r="E44" s="117" t="s">
        <v>265</v>
      </c>
      <c r="F44" s="117" t="s">
        <v>266</v>
      </c>
      <c r="G44" s="117" t="s">
        <v>42</v>
      </c>
      <c r="H44" s="117" t="s">
        <v>165</v>
      </c>
      <c r="I44" s="117" t="s">
        <v>159</v>
      </c>
      <c r="J44" s="117" t="s">
        <v>38</v>
      </c>
      <c r="K44" s="117" t="s">
        <v>161</v>
      </c>
      <c r="L44" s="117">
        <v>1</v>
      </c>
      <c r="M44" s="117"/>
      <c r="N44" s="117">
        <v>1</v>
      </c>
      <c r="O44" s="117">
        <v>0.75</v>
      </c>
      <c r="P44" s="117">
        <v>0.9</v>
      </c>
      <c r="Q44" s="119">
        <f t="shared" si="0"/>
        <v>0.82499999999999996</v>
      </c>
      <c r="R44" s="117">
        <v>15.7</v>
      </c>
      <c r="S44" s="117">
        <v>136</v>
      </c>
      <c r="T44" s="120">
        <f t="shared" si="1"/>
        <v>25</v>
      </c>
      <c r="U44" s="117">
        <v>99</v>
      </c>
      <c r="V44" s="121">
        <f t="shared" si="2"/>
        <v>2475</v>
      </c>
      <c r="W44" s="117">
        <v>14</v>
      </c>
      <c r="X44" s="117" t="s">
        <v>46</v>
      </c>
      <c r="Y44" s="117" t="s">
        <v>69</v>
      </c>
      <c r="Z44" s="117" t="s">
        <v>55</v>
      </c>
      <c r="AA44" s="117" t="s">
        <v>47</v>
      </c>
      <c r="AB44" s="117" t="s">
        <v>158</v>
      </c>
    </row>
    <row r="45" spans="1:28" s="127" customFormat="1" x14ac:dyDescent="0.15">
      <c r="A45" s="117" t="s">
        <v>51</v>
      </c>
      <c r="B45" s="117" t="s">
        <v>157</v>
      </c>
      <c r="C45" s="117">
        <v>2019</v>
      </c>
      <c r="D45" s="118" t="s">
        <v>259</v>
      </c>
      <c r="E45" s="117" t="s">
        <v>265</v>
      </c>
      <c r="F45" s="117" t="s">
        <v>266</v>
      </c>
      <c r="G45" s="117" t="s">
        <v>42</v>
      </c>
      <c r="H45" s="117" t="s">
        <v>165</v>
      </c>
      <c r="I45" s="117" t="s">
        <v>159</v>
      </c>
      <c r="J45" s="117" t="s">
        <v>38</v>
      </c>
      <c r="K45" s="117" t="s">
        <v>161</v>
      </c>
      <c r="L45" s="117">
        <v>2</v>
      </c>
      <c r="M45" s="117"/>
      <c r="N45" s="117">
        <v>1</v>
      </c>
      <c r="O45" s="117">
        <v>0.8</v>
      </c>
      <c r="P45" s="117">
        <v>0.8</v>
      </c>
      <c r="Q45" s="119">
        <f t="shared" si="0"/>
        <v>0.8</v>
      </c>
      <c r="R45" s="117">
        <v>15.2</v>
      </c>
      <c r="S45" s="117">
        <v>130</v>
      </c>
      <c r="T45" s="120">
        <f t="shared" si="1"/>
        <v>25</v>
      </c>
      <c r="U45" s="117">
        <v>99</v>
      </c>
      <c r="V45" s="121">
        <f t="shared" si="2"/>
        <v>2475</v>
      </c>
      <c r="W45" s="117">
        <v>14</v>
      </c>
      <c r="X45" s="117" t="s">
        <v>46</v>
      </c>
      <c r="Y45" s="117" t="s">
        <v>69</v>
      </c>
      <c r="Z45" s="117" t="s">
        <v>55</v>
      </c>
      <c r="AA45" s="117" t="s">
        <v>47</v>
      </c>
      <c r="AB45" s="117" t="s">
        <v>158</v>
      </c>
    </row>
    <row r="46" spans="1:28" s="127" customFormat="1" x14ac:dyDescent="0.15">
      <c r="A46" s="117" t="s">
        <v>51</v>
      </c>
      <c r="B46" s="117" t="s">
        <v>157</v>
      </c>
      <c r="C46" s="117">
        <v>2019</v>
      </c>
      <c r="D46" s="118" t="s">
        <v>259</v>
      </c>
      <c r="E46" s="117" t="s">
        <v>265</v>
      </c>
      <c r="F46" s="117" t="s">
        <v>266</v>
      </c>
      <c r="G46" s="117" t="s">
        <v>42</v>
      </c>
      <c r="H46" s="117" t="s">
        <v>165</v>
      </c>
      <c r="I46" s="117" t="s">
        <v>159</v>
      </c>
      <c r="J46" s="117" t="s">
        <v>38</v>
      </c>
      <c r="K46" s="117" t="s">
        <v>161</v>
      </c>
      <c r="L46" s="117">
        <v>3</v>
      </c>
      <c r="M46" s="117"/>
      <c r="N46" s="117">
        <v>1</v>
      </c>
      <c r="O46" s="117">
        <v>0.85</v>
      </c>
      <c r="P46" s="117">
        <v>0.75</v>
      </c>
      <c r="Q46" s="119">
        <f t="shared" si="0"/>
        <v>0.8</v>
      </c>
      <c r="R46" s="117">
        <v>15</v>
      </c>
      <c r="S46" s="117">
        <v>130</v>
      </c>
      <c r="T46" s="120">
        <f t="shared" si="1"/>
        <v>25</v>
      </c>
      <c r="U46" s="117">
        <v>99</v>
      </c>
      <c r="V46" s="121">
        <f t="shared" si="2"/>
        <v>2475</v>
      </c>
      <c r="W46" s="117">
        <v>14</v>
      </c>
      <c r="X46" s="117" t="s">
        <v>46</v>
      </c>
      <c r="Y46" s="117" t="s">
        <v>69</v>
      </c>
      <c r="Z46" s="117" t="s">
        <v>55</v>
      </c>
      <c r="AA46" s="117" t="s">
        <v>47</v>
      </c>
      <c r="AB46" s="117" t="s">
        <v>158</v>
      </c>
    </row>
    <row r="47" spans="1:28" s="127" customFormat="1" x14ac:dyDescent="0.15">
      <c r="A47" s="117" t="s">
        <v>51</v>
      </c>
      <c r="B47" s="117" t="s">
        <v>157</v>
      </c>
      <c r="C47" s="117">
        <v>2019</v>
      </c>
      <c r="D47" s="118" t="s">
        <v>259</v>
      </c>
      <c r="E47" s="117" t="s">
        <v>265</v>
      </c>
      <c r="F47" s="117" t="s">
        <v>266</v>
      </c>
      <c r="G47" s="117" t="s">
        <v>42</v>
      </c>
      <c r="H47" s="117" t="s">
        <v>160</v>
      </c>
      <c r="I47" s="117" t="s">
        <v>159</v>
      </c>
      <c r="J47" s="117" t="s">
        <v>38</v>
      </c>
      <c r="K47" s="117" t="s">
        <v>161</v>
      </c>
      <c r="L47" s="117">
        <v>1</v>
      </c>
      <c r="M47" s="117"/>
      <c r="N47" s="117">
        <v>1</v>
      </c>
      <c r="O47" s="117">
        <v>0.75</v>
      </c>
      <c r="P47" s="117">
        <v>0.75</v>
      </c>
      <c r="Q47" s="119">
        <f t="shared" si="0"/>
        <v>0.75</v>
      </c>
      <c r="R47" s="117">
        <v>16.899999999999999</v>
      </c>
      <c r="S47" s="117">
        <v>134</v>
      </c>
      <c r="T47" s="120">
        <f t="shared" si="1"/>
        <v>25</v>
      </c>
      <c r="U47" s="117">
        <v>99</v>
      </c>
      <c r="V47" s="121">
        <f t="shared" si="2"/>
        <v>2475</v>
      </c>
      <c r="W47" s="117">
        <v>14</v>
      </c>
      <c r="X47" s="117" t="s">
        <v>46</v>
      </c>
      <c r="Y47" s="117" t="s">
        <v>69</v>
      </c>
      <c r="Z47" s="117" t="s">
        <v>55</v>
      </c>
      <c r="AA47" s="117" t="s">
        <v>47</v>
      </c>
      <c r="AB47" s="117" t="s">
        <v>158</v>
      </c>
    </row>
    <row r="48" spans="1:28" s="127" customFormat="1" x14ac:dyDescent="0.15">
      <c r="A48" s="117" t="s">
        <v>51</v>
      </c>
      <c r="B48" s="117" t="s">
        <v>157</v>
      </c>
      <c r="C48" s="117">
        <v>2019</v>
      </c>
      <c r="D48" s="118" t="s">
        <v>259</v>
      </c>
      <c r="E48" s="117" t="s">
        <v>265</v>
      </c>
      <c r="F48" s="117" t="s">
        <v>266</v>
      </c>
      <c r="G48" s="117" t="s">
        <v>42</v>
      </c>
      <c r="H48" s="117" t="s">
        <v>160</v>
      </c>
      <c r="I48" s="117" t="s">
        <v>159</v>
      </c>
      <c r="J48" s="117" t="s">
        <v>38</v>
      </c>
      <c r="K48" s="117" t="s">
        <v>161</v>
      </c>
      <c r="L48" s="117">
        <v>2</v>
      </c>
      <c r="M48" s="117"/>
      <c r="N48" s="117">
        <v>1</v>
      </c>
      <c r="O48" s="117">
        <v>0.8</v>
      </c>
      <c r="P48" s="117">
        <v>0.65</v>
      </c>
      <c r="Q48" s="119">
        <f t="shared" si="0"/>
        <v>0.72500000000000009</v>
      </c>
      <c r="R48" s="117">
        <v>17.5</v>
      </c>
      <c r="S48" s="117">
        <v>138</v>
      </c>
      <c r="T48" s="120">
        <f t="shared" si="1"/>
        <v>22</v>
      </c>
      <c r="U48" s="117">
        <v>99</v>
      </c>
      <c r="V48" s="121">
        <f t="shared" si="2"/>
        <v>2178</v>
      </c>
      <c r="W48" s="117">
        <v>14</v>
      </c>
      <c r="X48" s="117" t="s">
        <v>46</v>
      </c>
      <c r="Y48" s="117" t="s">
        <v>69</v>
      </c>
      <c r="Z48" s="117" t="s">
        <v>55</v>
      </c>
      <c r="AA48" s="117" t="s">
        <v>47</v>
      </c>
      <c r="AB48" s="117" t="s">
        <v>158</v>
      </c>
    </row>
    <row r="49" spans="1:28" s="127" customFormat="1" x14ac:dyDescent="0.15">
      <c r="A49" s="117" t="s">
        <v>51</v>
      </c>
      <c r="B49" s="117" t="s">
        <v>157</v>
      </c>
      <c r="C49" s="117">
        <v>2019</v>
      </c>
      <c r="D49" s="118" t="s">
        <v>259</v>
      </c>
      <c r="E49" s="117" t="s">
        <v>265</v>
      </c>
      <c r="F49" s="117" t="s">
        <v>266</v>
      </c>
      <c r="G49" s="117" t="s">
        <v>42</v>
      </c>
      <c r="H49" s="117" t="s">
        <v>160</v>
      </c>
      <c r="I49" s="117" t="s">
        <v>159</v>
      </c>
      <c r="J49" s="117" t="s">
        <v>38</v>
      </c>
      <c r="K49" s="117" t="s">
        <v>161</v>
      </c>
      <c r="L49" s="117">
        <v>3</v>
      </c>
      <c r="M49" s="117"/>
      <c r="N49" s="117">
        <v>1</v>
      </c>
      <c r="O49" s="117">
        <v>0.7</v>
      </c>
      <c r="P49" s="117">
        <v>0.85</v>
      </c>
      <c r="Q49" s="119">
        <f t="shared" si="0"/>
        <v>0.77499999999999991</v>
      </c>
      <c r="R49" s="117">
        <v>17.3</v>
      </c>
      <c r="S49" s="117">
        <v>138</v>
      </c>
      <c r="T49" s="120">
        <f t="shared" si="1"/>
        <v>22</v>
      </c>
      <c r="U49" s="117">
        <v>99</v>
      </c>
      <c r="V49" s="121">
        <f t="shared" si="2"/>
        <v>2178</v>
      </c>
      <c r="W49" s="117">
        <v>14</v>
      </c>
      <c r="X49" s="117" t="s">
        <v>46</v>
      </c>
      <c r="Y49" s="117" t="s">
        <v>69</v>
      </c>
      <c r="Z49" s="117" t="s">
        <v>55</v>
      </c>
      <c r="AA49" s="117" t="s">
        <v>47</v>
      </c>
      <c r="AB49" s="117" t="s">
        <v>158</v>
      </c>
    </row>
    <row r="50" spans="1:28" s="127" customFormat="1" x14ac:dyDescent="0.15">
      <c r="A50" s="117" t="s">
        <v>51</v>
      </c>
      <c r="B50" s="117" t="s">
        <v>157</v>
      </c>
      <c r="C50" s="117">
        <v>2019</v>
      </c>
      <c r="D50" s="118" t="s">
        <v>259</v>
      </c>
      <c r="E50" s="117" t="s">
        <v>267</v>
      </c>
      <c r="F50" s="117" t="s">
        <v>261</v>
      </c>
      <c r="G50" s="117" t="s">
        <v>36</v>
      </c>
      <c r="H50" s="117" t="s">
        <v>165</v>
      </c>
      <c r="I50" s="117" t="s">
        <v>159</v>
      </c>
      <c r="J50" s="117" t="s">
        <v>38</v>
      </c>
      <c r="K50" s="117" t="s">
        <v>161</v>
      </c>
      <c r="L50" s="117">
        <v>1</v>
      </c>
      <c r="M50" s="117"/>
      <c r="N50" s="117">
        <v>1</v>
      </c>
      <c r="O50" s="117">
        <v>0.75</v>
      </c>
      <c r="P50" s="117">
        <v>0.7</v>
      </c>
      <c r="Q50" s="119">
        <f t="shared" si="0"/>
        <v>0.72499999999999998</v>
      </c>
      <c r="R50" s="117">
        <v>15.8</v>
      </c>
      <c r="S50" s="117">
        <v>128</v>
      </c>
      <c r="T50" s="120">
        <f t="shared" si="1"/>
        <v>27</v>
      </c>
      <c r="U50" s="117">
        <v>98</v>
      </c>
      <c r="V50" s="121">
        <f t="shared" si="2"/>
        <v>2646</v>
      </c>
      <c r="W50" s="117">
        <v>10</v>
      </c>
      <c r="X50" s="117" t="s">
        <v>46</v>
      </c>
      <c r="Y50" s="117" t="s">
        <v>97</v>
      </c>
      <c r="Z50" s="117" t="s">
        <v>55</v>
      </c>
      <c r="AA50" s="117" t="s">
        <v>69</v>
      </c>
      <c r="AB50" s="117" t="s">
        <v>158</v>
      </c>
    </row>
    <row r="51" spans="1:28" s="127" customFormat="1" x14ac:dyDescent="0.15">
      <c r="A51" s="117" t="s">
        <v>51</v>
      </c>
      <c r="B51" s="117" t="s">
        <v>157</v>
      </c>
      <c r="C51" s="117">
        <v>2019</v>
      </c>
      <c r="D51" s="118" t="s">
        <v>259</v>
      </c>
      <c r="E51" s="117" t="s">
        <v>267</v>
      </c>
      <c r="F51" s="117" t="s">
        <v>261</v>
      </c>
      <c r="G51" s="117" t="s">
        <v>36</v>
      </c>
      <c r="H51" s="117" t="s">
        <v>165</v>
      </c>
      <c r="I51" s="117" t="s">
        <v>159</v>
      </c>
      <c r="J51" s="117" t="s">
        <v>38</v>
      </c>
      <c r="K51" s="117" t="s">
        <v>161</v>
      </c>
      <c r="L51" s="117">
        <v>2</v>
      </c>
      <c r="M51" s="117"/>
      <c r="N51" s="117">
        <v>1</v>
      </c>
      <c r="O51" s="117">
        <v>0.7</v>
      </c>
      <c r="P51" s="117">
        <v>0.6</v>
      </c>
      <c r="Q51" s="119">
        <f t="shared" si="0"/>
        <v>0.64999999999999991</v>
      </c>
      <c r="R51" s="117">
        <v>16.2</v>
      </c>
      <c r="S51" s="117">
        <v>124</v>
      </c>
      <c r="T51" s="120">
        <f t="shared" si="1"/>
        <v>27</v>
      </c>
      <c r="U51" s="117">
        <v>98</v>
      </c>
      <c r="V51" s="121">
        <f t="shared" si="2"/>
        <v>2646</v>
      </c>
      <c r="W51" s="117">
        <v>10</v>
      </c>
      <c r="X51" s="117" t="s">
        <v>46</v>
      </c>
      <c r="Y51" s="117" t="s">
        <v>97</v>
      </c>
      <c r="Z51" s="117" t="s">
        <v>55</v>
      </c>
      <c r="AA51" s="117" t="s">
        <v>69</v>
      </c>
      <c r="AB51" s="117" t="s">
        <v>158</v>
      </c>
    </row>
    <row r="52" spans="1:28" s="127" customFormat="1" x14ac:dyDescent="0.15">
      <c r="A52" s="117" t="s">
        <v>51</v>
      </c>
      <c r="B52" s="117" t="s">
        <v>157</v>
      </c>
      <c r="C52" s="117">
        <v>2019</v>
      </c>
      <c r="D52" s="118" t="s">
        <v>259</v>
      </c>
      <c r="E52" s="117" t="s">
        <v>267</v>
      </c>
      <c r="F52" s="117" t="s">
        <v>261</v>
      </c>
      <c r="G52" s="117" t="s">
        <v>36</v>
      </c>
      <c r="H52" s="117" t="s">
        <v>165</v>
      </c>
      <c r="I52" s="117" t="s">
        <v>159</v>
      </c>
      <c r="J52" s="117" t="s">
        <v>38</v>
      </c>
      <c r="K52" s="117" t="s">
        <v>161</v>
      </c>
      <c r="L52" s="117">
        <v>3</v>
      </c>
      <c r="M52" s="117"/>
      <c r="N52" s="117">
        <v>1</v>
      </c>
      <c r="O52" s="117">
        <v>0.8</v>
      </c>
      <c r="P52" s="117">
        <v>0.75</v>
      </c>
      <c r="Q52" s="119">
        <f t="shared" si="0"/>
        <v>0.77500000000000002</v>
      </c>
      <c r="R52" s="117">
        <v>16.5</v>
      </c>
      <c r="S52" s="117">
        <v>130</v>
      </c>
      <c r="T52" s="120">
        <f t="shared" si="1"/>
        <v>25</v>
      </c>
      <c r="U52" s="117">
        <v>98</v>
      </c>
      <c r="V52" s="121">
        <f t="shared" si="2"/>
        <v>2450</v>
      </c>
      <c r="W52" s="117">
        <v>10</v>
      </c>
      <c r="X52" s="117" t="s">
        <v>46</v>
      </c>
      <c r="Y52" s="117" t="s">
        <v>97</v>
      </c>
      <c r="Z52" s="117" t="s">
        <v>55</v>
      </c>
      <c r="AA52" s="117" t="s">
        <v>69</v>
      </c>
      <c r="AB52" s="117" t="s">
        <v>158</v>
      </c>
    </row>
    <row r="53" spans="1:28" s="127" customFormat="1" x14ac:dyDescent="0.15">
      <c r="A53" s="117" t="s">
        <v>51</v>
      </c>
      <c r="B53" s="117" t="s">
        <v>157</v>
      </c>
      <c r="C53" s="117">
        <v>2019</v>
      </c>
      <c r="D53" s="118" t="s">
        <v>259</v>
      </c>
      <c r="E53" s="117" t="s">
        <v>267</v>
      </c>
      <c r="F53" s="117" t="s">
        <v>261</v>
      </c>
      <c r="G53" s="117" t="s">
        <v>36</v>
      </c>
      <c r="H53" s="117" t="s">
        <v>160</v>
      </c>
      <c r="I53" s="117" t="s">
        <v>159</v>
      </c>
      <c r="J53" s="117" t="s">
        <v>38</v>
      </c>
      <c r="K53" s="117" t="s">
        <v>161</v>
      </c>
      <c r="L53" s="117">
        <v>1</v>
      </c>
      <c r="M53" s="117"/>
      <c r="N53" s="117">
        <v>1</v>
      </c>
      <c r="O53" s="117">
        <v>0.75</v>
      </c>
      <c r="P53" s="117">
        <v>0.85</v>
      </c>
      <c r="Q53" s="119">
        <f t="shared" si="0"/>
        <v>0.8</v>
      </c>
      <c r="R53" s="117">
        <v>16.7</v>
      </c>
      <c r="S53" s="117">
        <v>110</v>
      </c>
      <c r="T53" s="120">
        <f t="shared" si="1"/>
        <v>33</v>
      </c>
      <c r="U53" s="117">
        <v>98</v>
      </c>
      <c r="V53" s="121">
        <f t="shared" si="2"/>
        <v>3234</v>
      </c>
      <c r="W53" s="117">
        <v>10</v>
      </c>
      <c r="X53" s="117" t="s">
        <v>46</v>
      </c>
      <c r="Y53" s="117" t="s">
        <v>97</v>
      </c>
      <c r="Z53" s="117" t="s">
        <v>55</v>
      </c>
      <c r="AA53" s="117" t="s">
        <v>69</v>
      </c>
      <c r="AB53" s="117" t="s">
        <v>158</v>
      </c>
    </row>
    <row r="54" spans="1:28" s="127" customFormat="1" x14ac:dyDescent="0.15">
      <c r="A54" s="117" t="s">
        <v>51</v>
      </c>
      <c r="B54" s="117" t="s">
        <v>157</v>
      </c>
      <c r="C54" s="117">
        <v>2019</v>
      </c>
      <c r="D54" s="118" t="s">
        <v>259</v>
      </c>
      <c r="E54" s="117" t="s">
        <v>267</v>
      </c>
      <c r="F54" s="117" t="s">
        <v>261</v>
      </c>
      <c r="G54" s="117" t="s">
        <v>36</v>
      </c>
      <c r="H54" s="117" t="s">
        <v>160</v>
      </c>
      <c r="I54" s="117" t="s">
        <v>159</v>
      </c>
      <c r="J54" s="117" t="s">
        <v>38</v>
      </c>
      <c r="K54" s="117" t="s">
        <v>161</v>
      </c>
      <c r="L54" s="117">
        <v>2</v>
      </c>
      <c r="M54" s="117"/>
      <c r="N54" s="117">
        <v>1</v>
      </c>
      <c r="O54" s="117">
        <v>0.8</v>
      </c>
      <c r="P54" s="117">
        <v>0.75</v>
      </c>
      <c r="Q54" s="119">
        <f t="shared" si="0"/>
        <v>0.77500000000000002</v>
      </c>
      <c r="R54" s="117">
        <v>16.899999999999999</v>
      </c>
      <c r="S54" s="117">
        <v>114</v>
      </c>
      <c r="T54" s="120">
        <f t="shared" si="1"/>
        <v>30</v>
      </c>
      <c r="U54" s="117">
        <v>98</v>
      </c>
      <c r="V54" s="121">
        <f t="shared" si="2"/>
        <v>2940</v>
      </c>
      <c r="W54" s="117">
        <v>10</v>
      </c>
      <c r="X54" s="117" t="s">
        <v>46</v>
      </c>
      <c r="Y54" s="117" t="s">
        <v>97</v>
      </c>
      <c r="Z54" s="117" t="s">
        <v>55</v>
      </c>
      <c r="AA54" s="117" t="s">
        <v>69</v>
      </c>
      <c r="AB54" s="117" t="s">
        <v>158</v>
      </c>
    </row>
    <row r="55" spans="1:28" s="127" customFormat="1" x14ac:dyDescent="0.15">
      <c r="A55" s="117" t="s">
        <v>51</v>
      </c>
      <c r="B55" s="117" t="s">
        <v>157</v>
      </c>
      <c r="C55" s="117">
        <v>2019</v>
      </c>
      <c r="D55" s="118" t="s">
        <v>259</v>
      </c>
      <c r="E55" s="117" t="s">
        <v>267</v>
      </c>
      <c r="F55" s="117" t="s">
        <v>261</v>
      </c>
      <c r="G55" s="117" t="s">
        <v>36</v>
      </c>
      <c r="H55" s="117" t="s">
        <v>160</v>
      </c>
      <c r="I55" s="117" t="s">
        <v>159</v>
      </c>
      <c r="J55" s="117" t="s">
        <v>38</v>
      </c>
      <c r="K55" s="117" t="s">
        <v>161</v>
      </c>
      <c r="L55" s="117">
        <v>3</v>
      </c>
      <c r="M55" s="117"/>
      <c r="N55" s="117">
        <v>1</v>
      </c>
      <c r="O55" s="117">
        <v>0.8</v>
      </c>
      <c r="P55" s="117">
        <v>0.8</v>
      </c>
      <c r="Q55" s="119">
        <f t="shared" si="0"/>
        <v>0.8</v>
      </c>
      <c r="R55" s="117">
        <v>16.5</v>
      </c>
      <c r="S55" s="117">
        <v>110</v>
      </c>
      <c r="T55" s="120">
        <f t="shared" si="1"/>
        <v>33</v>
      </c>
      <c r="U55" s="117">
        <v>98</v>
      </c>
      <c r="V55" s="121">
        <f t="shared" si="2"/>
        <v>3234</v>
      </c>
      <c r="W55" s="117">
        <v>10</v>
      </c>
      <c r="X55" s="117" t="s">
        <v>46</v>
      </c>
      <c r="Y55" s="117" t="s">
        <v>97</v>
      </c>
      <c r="Z55" s="117" t="s">
        <v>55</v>
      </c>
      <c r="AA55" s="117" t="s">
        <v>69</v>
      </c>
      <c r="AB55" s="117" t="s">
        <v>158</v>
      </c>
    </row>
    <row r="56" spans="1:28" s="127" customFormat="1" x14ac:dyDescent="0.15">
      <c r="A56" s="117" t="s">
        <v>51</v>
      </c>
      <c r="B56" s="117" t="s">
        <v>157</v>
      </c>
      <c r="C56" s="117">
        <v>2019</v>
      </c>
      <c r="D56" s="118" t="s">
        <v>259</v>
      </c>
      <c r="E56" s="117" t="s">
        <v>271</v>
      </c>
      <c r="F56" s="117" t="s">
        <v>272</v>
      </c>
      <c r="G56" s="117" t="s">
        <v>36</v>
      </c>
      <c r="H56" s="117" t="s">
        <v>165</v>
      </c>
      <c r="I56" s="117" t="s">
        <v>159</v>
      </c>
      <c r="J56" s="117" t="s">
        <v>38</v>
      </c>
      <c r="K56" s="117" t="s">
        <v>161</v>
      </c>
      <c r="L56" s="117">
        <v>1</v>
      </c>
      <c r="M56" s="117"/>
      <c r="N56" s="117">
        <v>3</v>
      </c>
      <c r="O56" s="117">
        <v>0.95</v>
      </c>
      <c r="P56" s="117">
        <v>0.8</v>
      </c>
      <c r="Q56" s="119">
        <f t="shared" si="0"/>
        <v>0.875</v>
      </c>
      <c r="R56" s="117">
        <v>16.7</v>
      </c>
      <c r="S56" s="117">
        <v>146</v>
      </c>
      <c r="T56" s="120">
        <f t="shared" si="1"/>
        <v>22</v>
      </c>
      <c r="U56" s="117">
        <v>380</v>
      </c>
      <c r="V56" s="121">
        <f t="shared" si="2"/>
        <v>2786.666666666667</v>
      </c>
      <c r="W56" s="117">
        <v>14</v>
      </c>
      <c r="X56" s="117" t="s">
        <v>46</v>
      </c>
      <c r="Y56" s="117" t="s">
        <v>97</v>
      </c>
      <c r="Z56" s="117" t="s">
        <v>55</v>
      </c>
      <c r="AA56" s="117" t="s">
        <v>47</v>
      </c>
      <c r="AB56" s="117" t="s">
        <v>158</v>
      </c>
    </row>
    <row r="57" spans="1:28" s="127" customFormat="1" x14ac:dyDescent="0.15">
      <c r="A57" s="117" t="s">
        <v>51</v>
      </c>
      <c r="B57" s="117" t="s">
        <v>157</v>
      </c>
      <c r="C57" s="117">
        <v>2019</v>
      </c>
      <c r="D57" s="118" t="s">
        <v>259</v>
      </c>
      <c r="E57" s="117" t="s">
        <v>271</v>
      </c>
      <c r="F57" s="117" t="s">
        <v>272</v>
      </c>
      <c r="G57" s="117" t="s">
        <v>36</v>
      </c>
      <c r="H57" s="117" t="s">
        <v>165</v>
      </c>
      <c r="I57" s="117" t="s">
        <v>159</v>
      </c>
      <c r="J57" s="117" t="s">
        <v>38</v>
      </c>
      <c r="K57" s="117" t="s">
        <v>161</v>
      </c>
      <c r="L57" s="117">
        <v>2</v>
      </c>
      <c r="M57" s="117"/>
      <c r="N57" s="117">
        <v>3</v>
      </c>
      <c r="O57" s="117">
        <v>0.85</v>
      </c>
      <c r="P57" s="117">
        <v>0.9</v>
      </c>
      <c r="Q57" s="119">
        <f t="shared" si="0"/>
        <v>0.875</v>
      </c>
      <c r="R57" s="117">
        <v>17.8</v>
      </c>
      <c r="S57" s="117">
        <v>138</v>
      </c>
      <c r="T57" s="120">
        <f t="shared" si="1"/>
        <v>22</v>
      </c>
      <c r="U57" s="117">
        <v>380</v>
      </c>
      <c r="V57" s="121">
        <f t="shared" si="2"/>
        <v>2786.666666666667</v>
      </c>
      <c r="W57" s="117">
        <v>14</v>
      </c>
      <c r="X57" s="117" t="s">
        <v>46</v>
      </c>
      <c r="Y57" s="117" t="s">
        <v>97</v>
      </c>
      <c r="Z57" s="117" t="s">
        <v>55</v>
      </c>
      <c r="AA57" s="117" t="s">
        <v>47</v>
      </c>
      <c r="AB57" s="117" t="s">
        <v>158</v>
      </c>
    </row>
    <row r="58" spans="1:28" s="127" customFormat="1" x14ac:dyDescent="0.15">
      <c r="A58" s="117" t="s">
        <v>51</v>
      </c>
      <c r="B58" s="117" t="s">
        <v>157</v>
      </c>
      <c r="C58" s="117">
        <v>2019</v>
      </c>
      <c r="D58" s="118" t="s">
        <v>259</v>
      </c>
      <c r="E58" s="117" t="s">
        <v>271</v>
      </c>
      <c r="F58" s="117" t="s">
        <v>272</v>
      </c>
      <c r="G58" s="117" t="s">
        <v>36</v>
      </c>
      <c r="H58" s="117" t="s">
        <v>165</v>
      </c>
      <c r="I58" s="117" t="s">
        <v>159</v>
      </c>
      <c r="J58" s="117" t="s">
        <v>38</v>
      </c>
      <c r="K58" s="117" t="s">
        <v>161</v>
      </c>
      <c r="L58" s="117">
        <v>3</v>
      </c>
      <c r="M58" s="117"/>
      <c r="N58" s="117">
        <v>3</v>
      </c>
      <c r="O58" s="117">
        <v>0.75</v>
      </c>
      <c r="P58" s="117">
        <v>0.85</v>
      </c>
      <c r="Q58" s="119">
        <f t="shared" si="0"/>
        <v>0.8</v>
      </c>
      <c r="R58" s="117">
        <v>17.899999999999999</v>
      </c>
      <c r="S58" s="117">
        <v>146</v>
      </c>
      <c r="T58" s="120">
        <f t="shared" si="1"/>
        <v>22</v>
      </c>
      <c r="U58" s="117">
        <v>380</v>
      </c>
      <c r="V58" s="121">
        <f t="shared" si="2"/>
        <v>2786.666666666667</v>
      </c>
      <c r="W58" s="117">
        <v>14</v>
      </c>
      <c r="X58" s="117" t="s">
        <v>46</v>
      </c>
      <c r="Y58" s="117" t="s">
        <v>97</v>
      </c>
      <c r="Z58" s="117" t="s">
        <v>55</v>
      </c>
      <c r="AA58" s="117" t="s">
        <v>47</v>
      </c>
      <c r="AB58" s="117" t="s">
        <v>158</v>
      </c>
    </row>
    <row r="59" spans="1:28" s="127" customFormat="1" x14ac:dyDescent="0.15">
      <c r="A59" s="117" t="s">
        <v>51</v>
      </c>
      <c r="B59" s="117" t="s">
        <v>157</v>
      </c>
      <c r="C59" s="117">
        <v>2019</v>
      </c>
      <c r="D59" s="118" t="s">
        <v>259</v>
      </c>
      <c r="E59" s="117" t="s">
        <v>271</v>
      </c>
      <c r="F59" s="117" t="s">
        <v>272</v>
      </c>
      <c r="G59" s="117" t="s">
        <v>36</v>
      </c>
      <c r="H59" s="117" t="s">
        <v>160</v>
      </c>
      <c r="I59" s="117" t="s">
        <v>159</v>
      </c>
      <c r="J59" s="117" t="s">
        <v>38</v>
      </c>
      <c r="K59" s="117" t="s">
        <v>161</v>
      </c>
      <c r="L59" s="127">
        <v>1</v>
      </c>
      <c r="N59" s="117">
        <v>3</v>
      </c>
      <c r="O59" s="127">
        <v>0.8</v>
      </c>
      <c r="P59" s="127">
        <v>0.8</v>
      </c>
      <c r="Q59" s="119">
        <f t="shared" si="0"/>
        <v>0.8</v>
      </c>
      <c r="R59" s="127">
        <v>18.3</v>
      </c>
      <c r="S59" s="127">
        <v>134</v>
      </c>
      <c r="T59" s="120">
        <f t="shared" si="1"/>
        <v>25</v>
      </c>
      <c r="U59" s="117">
        <v>380</v>
      </c>
      <c r="V59" s="121">
        <f t="shared" si="2"/>
        <v>3166.666666666667</v>
      </c>
      <c r="W59" s="117">
        <v>14</v>
      </c>
      <c r="X59" s="117" t="s">
        <v>46</v>
      </c>
      <c r="Y59" s="117" t="s">
        <v>97</v>
      </c>
      <c r="Z59" s="117" t="s">
        <v>55</v>
      </c>
      <c r="AA59" s="117" t="s">
        <v>47</v>
      </c>
      <c r="AB59" s="117" t="s">
        <v>158</v>
      </c>
    </row>
    <row r="60" spans="1:28" s="127" customFormat="1" x14ac:dyDescent="0.15">
      <c r="A60" s="117" t="s">
        <v>51</v>
      </c>
      <c r="B60" s="117" t="s">
        <v>157</v>
      </c>
      <c r="C60" s="117">
        <v>2019</v>
      </c>
      <c r="D60" s="118" t="s">
        <v>259</v>
      </c>
      <c r="E60" s="117" t="s">
        <v>271</v>
      </c>
      <c r="F60" s="117" t="s">
        <v>272</v>
      </c>
      <c r="G60" s="117" t="s">
        <v>36</v>
      </c>
      <c r="H60" s="117" t="s">
        <v>160</v>
      </c>
      <c r="I60" s="117" t="s">
        <v>159</v>
      </c>
      <c r="J60" s="117" t="s">
        <v>38</v>
      </c>
      <c r="K60" s="117" t="s">
        <v>161</v>
      </c>
      <c r="L60" s="127">
        <v>2</v>
      </c>
      <c r="N60" s="117">
        <v>3</v>
      </c>
      <c r="O60" s="127">
        <v>0.85</v>
      </c>
      <c r="P60" s="127">
        <v>0.7</v>
      </c>
      <c r="Q60" s="119">
        <f t="shared" si="0"/>
        <v>0.77499999999999991</v>
      </c>
      <c r="R60" s="127">
        <v>18.5</v>
      </c>
      <c r="S60" s="127">
        <v>134</v>
      </c>
      <c r="T60" s="120">
        <f t="shared" si="1"/>
        <v>25</v>
      </c>
      <c r="U60" s="117">
        <v>380</v>
      </c>
      <c r="V60" s="121">
        <f t="shared" si="2"/>
        <v>3166.666666666667</v>
      </c>
      <c r="W60" s="117">
        <v>14</v>
      </c>
      <c r="X60" s="117" t="s">
        <v>46</v>
      </c>
      <c r="Y60" s="117" t="s">
        <v>97</v>
      </c>
      <c r="Z60" s="117" t="s">
        <v>55</v>
      </c>
      <c r="AA60" s="117" t="s">
        <v>47</v>
      </c>
      <c r="AB60" s="117" t="s">
        <v>158</v>
      </c>
    </row>
    <row r="61" spans="1:28" s="127" customFormat="1" x14ac:dyDescent="0.15">
      <c r="A61" s="117" t="s">
        <v>51</v>
      </c>
      <c r="B61" s="117" t="s">
        <v>157</v>
      </c>
      <c r="C61" s="117">
        <v>2019</v>
      </c>
      <c r="D61" s="118" t="s">
        <v>259</v>
      </c>
      <c r="E61" s="117" t="s">
        <v>271</v>
      </c>
      <c r="F61" s="117" t="s">
        <v>272</v>
      </c>
      <c r="G61" s="117" t="s">
        <v>36</v>
      </c>
      <c r="H61" s="117" t="s">
        <v>160</v>
      </c>
      <c r="I61" s="117" t="s">
        <v>159</v>
      </c>
      <c r="J61" s="117" t="s">
        <v>38</v>
      </c>
      <c r="K61" s="117" t="s">
        <v>161</v>
      </c>
      <c r="L61" s="127">
        <v>3</v>
      </c>
      <c r="N61" s="117">
        <v>3</v>
      </c>
      <c r="O61" s="127">
        <v>0.8</v>
      </c>
      <c r="P61" s="127">
        <v>0.75</v>
      </c>
      <c r="Q61" s="119">
        <f t="shared" si="0"/>
        <v>0.77500000000000002</v>
      </c>
      <c r="R61" s="127">
        <v>17.7</v>
      </c>
      <c r="S61" s="127">
        <v>136</v>
      </c>
      <c r="T61" s="120">
        <f t="shared" si="1"/>
        <v>25</v>
      </c>
      <c r="U61" s="117">
        <v>380</v>
      </c>
      <c r="V61" s="121">
        <f t="shared" si="2"/>
        <v>3166.666666666667</v>
      </c>
      <c r="W61" s="117">
        <v>14</v>
      </c>
      <c r="X61" s="117" t="s">
        <v>46</v>
      </c>
      <c r="Y61" s="117" t="s">
        <v>97</v>
      </c>
      <c r="Z61" s="117" t="s">
        <v>55</v>
      </c>
      <c r="AA61" s="117" t="s">
        <v>47</v>
      </c>
      <c r="AB61" s="117" t="s">
        <v>158</v>
      </c>
    </row>
    <row r="62" spans="1:28" s="127" customFormat="1" x14ac:dyDescent="0.15">
      <c r="A62" s="117" t="s">
        <v>51</v>
      </c>
      <c r="B62" s="117" t="s">
        <v>157</v>
      </c>
      <c r="C62" s="117">
        <v>2019</v>
      </c>
      <c r="D62" s="118" t="s">
        <v>259</v>
      </c>
      <c r="E62" s="117" t="s">
        <v>273</v>
      </c>
      <c r="F62" s="117" t="s">
        <v>261</v>
      </c>
      <c r="G62" s="117" t="s">
        <v>42</v>
      </c>
      <c r="H62" s="117" t="s">
        <v>165</v>
      </c>
      <c r="I62" s="117" t="s">
        <v>159</v>
      </c>
      <c r="J62" s="117" t="s">
        <v>38</v>
      </c>
      <c r="K62" s="117" t="s">
        <v>161</v>
      </c>
      <c r="L62" s="127">
        <v>1</v>
      </c>
      <c r="N62" s="117">
        <v>1</v>
      </c>
      <c r="O62" s="127">
        <v>0.55000000000000004</v>
      </c>
      <c r="P62" s="127">
        <v>0.65</v>
      </c>
      <c r="Q62" s="119">
        <f t="shared" si="0"/>
        <v>0.60000000000000009</v>
      </c>
      <c r="R62" s="127">
        <v>15.6</v>
      </c>
      <c r="S62" s="127">
        <v>122</v>
      </c>
      <c r="T62" s="120">
        <f t="shared" si="1"/>
        <v>27</v>
      </c>
      <c r="U62" s="117">
        <v>98</v>
      </c>
      <c r="V62" s="121">
        <f t="shared" si="2"/>
        <v>2646</v>
      </c>
      <c r="W62" s="117">
        <v>8</v>
      </c>
      <c r="X62" s="117" t="s">
        <v>46</v>
      </c>
      <c r="Y62" s="117" t="s">
        <v>55</v>
      </c>
      <c r="Z62" s="117" t="s">
        <v>47</v>
      </c>
      <c r="AA62" s="117" t="s">
        <v>69</v>
      </c>
      <c r="AB62" s="117" t="s">
        <v>158</v>
      </c>
    </row>
    <row r="63" spans="1:28" s="127" customFormat="1" x14ac:dyDescent="0.15">
      <c r="A63" s="117" t="s">
        <v>51</v>
      </c>
      <c r="B63" s="117" t="s">
        <v>157</v>
      </c>
      <c r="C63" s="117">
        <v>2019</v>
      </c>
      <c r="D63" s="118" t="s">
        <v>259</v>
      </c>
      <c r="E63" s="117" t="s">
        <v>273</v>
      </c>
      <c r="F63" s="117" t="s">
        <v>261</v>
      </c>
      <c r="G63" s="117" t="s">
        <v>42</v>
      </c>
      <c r="H63" s="117" t="s">
        <v>165</v>
      </c>
      <c r="I63" s="117" t="s">
        <v>159</v>
      </c>
      <c r="J63" s="117" t="s">
        <v>38</v>
      </c>
      <c r="K63" s="117" t="s">
        <v>161</v>
      </c>
      <c r="L63" s="127">
        <v>2</v>
      </c>
      <c r="N63" s="117">
        <v>1</v>
      </c>
      <c r="O63" s="127">
        <v>0.65</v>
      </c>
      <c r="P63" s="127">
        <v>0.6</v>
      </c>
      <c r="Q63" s="119">
        <f t="shared" si="0"/>
        <v>0.625</v>
      </c>
      <c r="R63" s="127">
        <v>16.399999999999999</v>
      </c>
      <c r="S63" s="127">
        <v>130</v>
      </c>
      <c r="T63" s="120">
        <f t="shared" si="1"/>
        <v>25</v>
      </c>
      <c r="U63" s="117">
        <v>98</v>
      </c>
      <c r="V63" s="121">
        <f t="shared" si="2"/>
        <v>2450</v>
      </c>
      <c r="W63" s="117">
        <v>8</v>
      </c>
      <c r="X63" s="117" t="s">
        <v>46</v>
      </c>
      <c r="Y63" s="117" t="s">
        <v>55</v>
      </c>
      <c r="Z63" s="117" t="s">
        <v>47</v>
      </c>
      <c r="AA63" s="117" t="s">
        <v>69</v>
      </c>
      <c r="AB63" s="117" t="s">
        <v>158</v>
      </c>
    </row>
    <row r="64" spans="1:28" s="127" customFormat="1" x14ac:dyDescent="0.15">
      <c r="A64" s="117" t="s">
        <v>51</v>
      </c>
      <c r="B64" s="117" t="s">
        <v>157</v>
      </c>
      <c r="C64" s="117">
        <v>2019</v>
      </c>
      <c r="D64" s="118" t="s">
        <v>259</v>
      </c>
      <c r="E64" s="117" t="s">
        <v>273</v>
      </c>
      <c r="F64" s="117" t="s">
        <v>261</v>
      </c>
      <c r="G64" s="117" t="s">
        <v>42</v>
      </c>
      <c r="H64" s="117" t="s">
        <v>165</v>
      </c>
      <c r="I64" s="117" t="s">
        <v>159</v>
      </c>
      <c r="J64" s="117" t="s">
        <v>38</v>
      </c>
      <c r="K64" s="117" t="s">
        <v>161</v>
      </c>
      <c r="L64" s="127">
        <v>3</v>
      </c>
      <c r="N64" s="117">
        <v>1</v>
      </c>
      <c r="O64" s="127">
        <v>0.6</v>
      </c>
      <c r="P64" s="127">
        <v>0.6</v>
      </c>
      <c r="Q64" s="119">
        <f t="shared" si="0"/>
        <v>0.6</v>
      </c>
      <c r="R64" s="127">
        <v>15.8</v>
      </c>
      <c r="S64" s="127">
        <v>126</v>
      </c>
      <c r="T64" s="120">
        <f t="shared" si="1"/>
        <v>27</v>
      </c>
      <c r="U64" s="117">
        <v>98</v>
      </c>
      <c r="V64" s="121">
        <f t="shared" si="2"/>
        <v>2646</v>
      </c>
      <c r="W64" s="117">
        <v>8</v>
      </c>
      <c r="X64" s="117" t="s">
        <v>46</v>
      </c>
      <c r="Y64" s="117" t="s">
        <v>55</v>
      </c>
      <c r="Z64" s="117" t="s">
        <v>47</v>
      </c>
      <c r="AA64" s="117" t="s">
        <v>69</v>
      </c>
      <c r="AB64" s="117" t="s">
        <v>158</v>
      </c>
    </row>
    <row r="65" spans="1:28" s="127" customFormat="1" x14ac:dyDescent="0.15">
      <c r="A65" s="117" t="s">
        <v>51</v>
      </c>
      <c r="B65" s="117" t="s">
        <v>157</v>
      </c>
      <c r="C65" s="117">
        <v>2019</v>
      </c>
      <c r="D65" s="118" t="s">
        <v>259</v>
      </c>
      <c r="E65" s="117" t="s">
        <v>273</v>
      </c>
      <c r="F65" s="117" t="s">
        <v>261</v>
      </c>
      <c r="G65" s="117" t="s">
        <v>42</v>
      </c>
      <c r="H65" s="117" t="s">
        <v>164</v>
      </c>
      <c r="I65" s="117" t="s">
        <v>159</v>
      </c>
      <c r="J65" s="117" t="s">
        <v>38</v>
      </c>
      <c r="K65" s="117" t="s">
        <v>161</v>
      </c>
      <c r="L65" s="127">
        <v>1</v>
      </c>
      <c r="N65" s="117">
        <v>5</v>
      </c>
      <c r="O65" s="127">
        <v>0.8</v>
      </c>
      <c r="P65" s="127">
        <v>0.7</v>
      </c>
      <c r="Q65" s="120">
        <f t="shared" si="0"/>
        <v>0.75</v>
      </c>
      <c r="R65" s="127">
        <v>18.2</v>
      </c>
      <c r="S65" s="127">
        <v>84</v>
      </c>
      <c r="T65" s="120">
        <f t="shared" si="1"/>
        <v>36</v>
      </c>
      <c r="U65" s="117">
        <v>398</v>
      </c>
      <c r="V65" s="120">
        <f t="shared" si="2"/>
        <v>2865.6</v>
      </c>
      <c r="W65" s="117">
        <v>8</v>
      </c>
      <c r="X65" s="117" t="s">
        <v>46</v>
      </c>
      <c r="Y65" s="117" t="s">
        <v>55</v>
      </c>
      <c r="Z65" s="117" t="s">
        <v>47</v>
      </c>
      <c r="AA65" s="117" t="s">
        <v>69</v>
      </c>
      <c r="AB65" s="117" t="s">
        <v>158</v>
      </c>
    </row>
    <row r="66" spans="1:28" x14ac:dyDescent="0.15">
      <c r="A66" s="117" t="s">
        <v>51</v>
      </c>
      <c r="B66" s="117" t="s">
        <v>157</v>
      </c>
      <c r="C66" s="117">
        <v>2019</v>
      </c>
      <c r="D66" s="118" t="s">
        <v>259</v>
      </c>
      <c r="E66" s="117" t="s">
        <v>273</v>
      </c>
      <c r="F66" s="117" t="s">
        <v>261</v>
      </c>
      <c r="G66" s="117" t="s">
        <v>42</v>
      </c>
      <c r="H66" s="117" t="s">
        <v>164</v>
      </c>
      <c r="I66" s="117" t="s">
        <v>159</v>
      </c>
      <c r="J66" s="117" t="s">
        <v>38</v>
      </c>
      <c r="K66" s="117" t="s">
        <v>161</v>
      </c>
      <c r="L66" s="109">
        <v>2</v>
      </c>
      <c r="N66" s="117">
        <v>5</v>
      </c>
      <c r="O66" s="109">
        <v>0.75</v>
      </c>
      <c r="P66" s="109">
        <v>0.75</v>
      </c>
      <c r="Q66" s="142">
        <f t="shared" ref="Q66:Q85" si="3">IF(OR(O66="",P66=""),"",AVERAGE(O66,P66))</f>
        <v>0.75</v>
      </c>
      <c r="R66" s="109">
        <v>17.8</v>
      </c>
      <c r="S66" s="109">
        <v>77</v>
      </c>
      <c r="T66" s="142">
        <f t="shared" ref="T66:T85" si="4">IF(H66="","",IF(OR(H66="GREEN",H66="GK"),IF(S66&gt;=$AX$2,VLOOKUP(S66,$AX$2:$AY$12,2,1),""),IF(S66&gt;=$AZ$2,VLOOKUP(S66,$AZ$2:$BA$12,2,1),"")))</f>
        <v>39</v>
      </c>
      <c r="U66" s="117">
        <v>398</v>
      </c>
      <c r="V66" s="142">
        <f t="shared" ref="V66:V85" si="5">IF(OR(N66="",U66="",T66=""),"",U66/N66*T66)</f>
        <v>3104.3999999999996</v>
      </c>
      <c r="W66" s="143">
        <v>8</v>
      </c>
      <c r="X66" s="117" t="s">
        <v>46</v>
      </c>
      <c r="Y66" s="117" t="s">
        <v>55</v>
      </c>
      <c r="Z66" s="117" t="s">
        <v>47</v>
      </c>
      <c r="AA66" s="117" t="s">
        <v>69</v>
      </c>
      <c r="AB66" s="117" t="s">
        <v>158</v>
      </c>
    </row>
    <row r="67" spans="1:28" x14ac:dyDescent="0.15">
      <c r="A67" s="117" t="s">
        <v>51</v>
      </c>
      <c r="B67" s="117" t="s">
        <v>157</v>
      </c>
      <c r="C67" s="117">
        <v>2019</v>
      </c>
      <c r="D67" s="118" t="s">
        <v>259</v>
      </c>
      <c r="E67" s="117" t="s">
        <v>273</v>
      </c>
      <c r="F67" s="117" t="s">
        <v>261</v>
      </c>
      <c r="G67" s="117" t="s">
        <v>42</v>
      </c>
      <c r="H67" s="117" t="s">
        <v>164</v>
      </c>
      <c r="I67" s="117" t="s">
        <v>159</v>
      </c>
      <c r="J67" s="117" t="s">
        <v>38</v>
      </c>
      <c r="K67" s="117" t="s">
        <v>161</v>
      </c>
      <c r="L67" s="109">
        <v>3</v>
      </c>
      <c r="N67" s="117">
        <v>5</v>
      </c>
      <c r="O67" s="127">
        <v>0.7</v>
      </c>
      <c r="P67" s="109">
        <v>0.65</v>
      </c>
      <c r="Q67" s="142">
        <f t="shared" si="3"/>
        <v>0.67500000000000004</v>
      </c>
      <c r="R67" s="109">
        <v>18.399999999999999</v>
      </c>
      <c r="S67" s="109">
        <v>83</v>
      </c>
      <c r="T67" s="142">
        <f t="shared" si="4"/>
        <v>39</v>
      </c>
      <c r="U67" s="117">
        <v>398</v>
      </c>
      <c r="V67" s="142">
        <f t="shared" si="5"/>
        <v>3104.3999999999996</v>
      </c>
      <c r="W67" s="143">
        <v>8</v>
      </c>
      <c r="X67" s="117" t="s">
        <v>46</v>
      </c>
      <c r="Y67" s="117" t="s">
        <v>55</v>
      </c>
      <c r="Z67" s="117" t="s">
        <v>47</v>
      </c>
      <c r="AA67" s="117" t="s">
        <v>69</v>
      </c>
      <c r="AB67" s="117" t="s">
        <v>158</v>
      </c>
    </row>
    <row r="68" spans="1:28" x14ac:dyDescent="0.15">
      <c r="A68" s="117" t="s">
        <v>51</v>
      </c>
      <c r="B68" s="117" t="s">
        <v>157</v>
      </c>
      <c r="C68" s="117">
        <v>2019</v>
      </c>
      <c r="D68" s="118" t="s">
        <v>259</v>
      </c>
      <c r="E68" s="117" t="s">
        <v>273</v>
      </c>
      <c r="F68" s="117" t="s">
        <v>261</v>
      </c>
      <c r="G68" s="117" t="s">
        <v>42</v>
      </c>
      <c r="H68" s="117" t="s">
        <v>160</v>
      </c>
      <c r="I68" s="117" t="s">
        <v>159</v>
      </c>
      <c r="J68" s="117" t="s">
        <v>38</v>
      </c>
      <c r="K68" s="117" t="s">
        <v>161</v>
      </c>
      <c r="L68" s="109">
        <v>1</v>
      </c>
      <c r="N68" s="117">
        <v>1</v>
      </c>
      <c r="O68" s="109">
        <v>0.75</v>
      </c>
      <c r="P68" s="109">
        <v>0.75</v>
      </c>
      <c r="Q68" s="142">
        <f t="shared" si="3"/>
        <v>0.75</v>
      </c>
      <c r="R68" s="109">
        <v>16.7</v>
      </c>
      <c r="S68" s="109">
        <v>140</v>
      </c>
      <c r="T68" s="142">
        <f t="shared" si="4"/>
        <v>22</v>
      </c>
      <c r="U68" s="117">
        <v>98</v>
      </c>
      <c r="V68" s="142">
        <f t="shared" si="5"/>
        <v>2156</v>
      </c>
      <c r="W68" s="143">
        <v>8</v>
      </c>
      <c r="X68" s="117" t="s">
        <v>46</v>
      </c>
      <c r="Y68" s="117" t="s">
        <v>55</v>
      </c>
      <c r="Z68" s="117" t="s">
        <v>47</v>
      </c>
      <c r="AA68" s="117" t="s">
        <v>69</v>
      </c>
      <c r="AB68" s="117" t="s">
        <v>158</v>
      </c>
    </row>
    <row r="69" spans="1:28" x14ac:dyDescent="0.15">
      <c r="A69" s="117" t="s">
        <v>51</v>
      </c>
      <c r="B69" s="117" t="s">
        <v>157</v>
      </c>
      <c r="C69" s="117">
        <v>2019</v>
      </c>
      <c r="D69" s="118" t="s">
        <v>259</v>
      </c>
      <c r="E69" s="117" t="s">
        <v>273</v>
      </c>
      <c r="F69" s="117" t="s">
        <v>261</v>
      </c>
      <c r="G69" s="117" t="s">
        <v>42</v>
      </c>
      <c r="H69" s="117" t="s">
        <v>160</v>
      </c>
      <c r="I69" s="117" t="s">
        <v>159</v>
      </c>
      <c r="J69" s="117" t="s">
        <v>38</v>
      </c>
      <c r="K69" s="117" t="s">
        <v>161</v>
      </c>
      <c r="L69" s="109">
        <v>2</v>
      </c>
      <c r="N69" s="117">
        <v>1</v>
      </c>
      <c r="O69" s="127">
        <v>0.8</v>
      </c>
      <c r="P69" s="109">
        <v>0.7</v>
      </c>
      <c r="Q69" s="142">
        <f t="shared" si="3"/>
        <v>0.75</v>
      </c>
      <c r="R69" s="109">
        <v>16.3</v>
      </c>
      <c r="S69" s="109">
        <v>134</v>
      </c>
      <c r="T69" s="142">
        <f t="shared" si="4"/>
        <v>25</v>
      </c>
      <c r="U69" s="117">
        <v>98</v>
      </c>
      <c r="V69" s="142">
        <f t="shared" si="5"/>
        <v>2450</v>
      </c>
      <c r="W69" s="143">
        <v>8</v>
      </c>
      <c r="X69" s="117" t="s">
        <v>46</v>
      </c>
      <c r="Y69" s="117" t="s">
        <v>55</v>
      </c>
      <c r="Z69" s="117" t="s">
        <v>47</v>
      </c>
      <c r="AA69" s="117" t="s">
        <v>69</v>
      </c>
      <c r="AB69" s="117" t="s">
        <v>158</v>
      </c>
    </row>
    <row r="70" spans="1:28" x14ac:dyDescent="0.15">
      <c r="A70" s="117" t="s">
        <v>51</v>
      </c>
      <c r="B70" s="117" t="s">
        <v>157</v>
      </c>
      <c r="C70" s="117">
        <v>2019</v>
      </c>
      <c r="D70" s="118" t="s">
        <v>259</v>
      </c>
      <c r="E70" s="117" t="s">
        <v>273</v>
      </c>
      <c r="F70" s="117" t="s">
        <v>261</v>
      </c>
      <c r="G70" s="117" t="s">
        <v>42</v>
      </c>
      <c r="H70" s="117" t="s">
        <v>160</v>
      </c>
      <c r="I70" s="117" t="s">
        <v>159</v>
      </c>
      <c r="J70" s="117" t="s">
        <v>38</v>
      </c>
      <c r="K70" s="117" t="s">
        <v>161</v>
      </c>
      <c r="L70" s="109">
        <v>3</v>
      </c>
      <c r="N70" s="117">
        <v>1</v>
      </c>
      <c r="O70" s="109">
        <v>0.75</v>
      </c>
      <c r="P70" s="109">
        <v>0.85</v>
      </c>
      <c r="Q70" s="142">
        <f t="shared" si="3"/>
        <v>0.8</v>
      </c>
      <c r="R70" s="109">
        <v>15.8</v>
      </c>
      <c r="S70" s="109">
        <v>132</v>
      </c>
      <c r="T70" s="142">
        <f t="shared" si="4"/>
        <v>25</v>
      </c>
      <c r="U70" s="117">
        <v>98</v>
      </c>
      <c r="V70" s="142">
        <f t="shared" si="5"/>
        <v>2450</v>
      </c>
      <c r="W70" s="143">
        <v>8</v>
      </c>
      <c r="X70" s="117" t="s">
        <v>46</v>
      </c>
      <c r="Y70" s="117" t="s">
        <v>55</v>
      </c>
      <c r="Z70" s="117" t="s">
        <v>47</v>
      </c>
      <c r="AA70" s="117" t="s">
        <v>69</v>
      </c>
      <c r="AB70" s="117" t="s">
        <v>158</v>
      </c>
    </row>
    <row r="71" spans="1:28" x14ac:dyDescent="0.15">
      <c r="A71" s="117"/>
      <c r="B71" s="117"/>
      <c r="C71" s="143"/>
      <c r="D71" s="144"/>
      <c r="E71" s="117"/>
      <c r="F71" s="117"/>
      <c r="G71" s="143"/>
      <c r="H71" s="143"/>
      <c r="I71" s="143"/>
      <c r="J71" s="143"/>
      <c r="K71" s="117"/>
      <c r="N71" s="143"/>
      <c r="Q71" s="142" t="str">
        <f t="shared" si="3"/>
        <v/>
      </c>
      <c r="T71" s="142" t="str">
        <f t="shared" si="4"/>
        <v/>
      </c>
      <c r="V71" s="142" t="str">
        <f t="shared" si="5"/>
        <v/>
      </c>
      <c r="W71" s="143"/>
      <c r="X71" s="143"/>
      <c r="Y71" s="143"/>
      <c r="Z71" s="143"/>
      <c r="AA71" s="143"/>
      <c r="AB71" s="117"/>
    </row>
    <row r="72" spans="1:28" x14ac:dyDescent="0.15">
      <c r="A72" s="117"/>
      <c r="B72" s="117"/>
      <c r="C72" s="143"/>
      <c r="D72" s="144"/>
      <c r="E72" s="117"/>
      <c r="F72" s="117"/>
      <c r="G72" s="143"/>
      <c r="H72" s="143"/>
      <c r="I72" s="143"/>
      <c r="J72" s="143"/>
      <c r="K72" s="117"/>
      <c r="N72" s="143"/>
      <c r="Q72" s="142" t="str">
        <f t="shared" si="3"/>
        <v/>
      </c>
      <c r="T72" s="142" t="str">
        <f t="shared" si="4"/>
        <v/>
      </c>
      <c r="V72" s="142" t="str">
        <f t="shared" si="5"/>
        <v/>
      </c>
      <c r="W72" s="143"/>
      <c r="X72" s="143"/>
      <c r="Y72" s="143"/>
      <c r="Z72" s="143"/>
      <c r="AA72" s="143"/>
      <c r="AB72" s="117"/>
    </row>
    <row r="73" spans="1:28" x14ac:dyDescent="0.15">
      <c r="A73" s="117"/>
      <c r="B73" s="117"/>
      <c r="C73" s="143"/>
      <c r="D73" s="144"/>
      <c r="E73" s="117"/>
      <c r="F73" s="117"/>
      <c r="G73" s="143"/>
      <c r="H73" s="143"/>
      <c r="I73" s="143"/>
      <c r="J73" s="143"/>
      <c r="K73" s="117"/>
      <c r="N73" s="143"/>
      <c r="P73" s="127"/>
      <c r="Q73" s="142" t="str">
        <f t="shared" si="3"/>
        <v/>
      </c>
      <c r="T73" s="142" t="str">
        <f t="shared" si="4"/>
        <v/>
      </c>
      <c r="V73" s="142" t="str">
        <f t="shared" si="5"/>
        <v/>
      </c>
      <c r="W73" s="143"/>
      <c r="X73" s="143"/>
      <c r="Y73" s="143"/>
      <c r="Z73" s="143"/>
      <c r="AA73" s="143"/>
      <c r="AB73" s="117"/>
    </row>
    <row r="74" spans="1:28" x14ac:dyDescent="0.15">
      <c r="A74" s="117"/>
      <c r="B74" s="117"/>
      <c r="C74" s="143"/>
      <c r="D74" s="144"/>
      <c r="E74" s="117"/>
      <c r="F74" s="117"/>
      <c r="G74" s="143"/>
      <c r="H74" s="143"/>
      <c r="I74" s="143"/>
      <c r="J74" s="143"/>
      <c r="K74" s="117"/>
      <c r="N74" s="143"/>
      <c r="Q74" s="142" t="str">
        <f t="shared" si="3"/>
        <v/>
      </c>
      <c r="T74" s="142" t="str">
        <f t="shared" si="4"/>
        <v/>
      </c>
      <c r="V74" s="142" t="str">
        <f t="shared" si="5"/>
        <v/>
      </c>
      <c r="W74" s="143"/>
      <c r="X74" s="143"/>
      <c r="Y74" s="143"/>
      <c r="Z74" s="143"/>
      <c r="AA74" s="143"/>
      <c r="AB74" s="117"/>
    </row>
    <row r="75" spans="1:28" x14ac:dyDescent="0.15">
      <c r="A75" s="117"/>
      <c r="B75" s="117"/>
      <c r="C75" s="143"/>
      <c r="D75" s="144"/>
      <c r="E75" s="117"/>
      <c r="F75" s="117"/>
      <c r="G75" s="143"/>
      <c r="H75" s="143"/>
      <c r="I75" s="143"/>
      <c r="J75" s="143"/>
      <c r="K75" s="117"/>
      <c r="N75" s="143"/>
      <c r="Q75" s="142" t="str">
        <f t="shared" si="3"/>
        <v/>
      </c>
      <c r="T75" s="142" t="str">
        <f t="shared" si="4"/>
        <v/>
      </c>
      <c r="V75" s="142" t="str">
        <f t="shared" si="5"/>
        <v/>
      </c>
      <c r="W75" s="143"/>
      <c r="X75" s="143"/>
      <c r="Y75" s="143"/>
      <c r="Z75" s="143"/>
      <c r="AA75" s="143"/>
      <c r="AB75" s="117"/>
    </row>
    <row r="76" spans="1:28" x14ac:dyDescent="0.15">
      <c r="A76" s="117"/>
      <c r="B76" s="117"/>
      <c r="C76" s="143"/>
      <c r="D76" s="144"/>
      <c r="E76" s="117"/>
      <c r="F76" s="117"/>
      <c r="G76" s="143"/>
      <c r="H76" s="143"/>
      <c r="I76" s="143"/>
      <c r="J76" s="143"/>
      <c r="K76" s="117"/>
      <c r="N76" s="143"/>
      <c r="Q76" s="142" t="str">
        <f t="shared" si="3"/>
        <v/>
      </c>
      <c r="T76" s="142" t="str">
        <f t="shared" si="4"/>
        <v/>
      </c>
      <c r="V76" s="142" t="str">
        <f t="shared" si="5"/>
        <v/>
      </c>
      <c r="W76" s="143"/>
      <c r="X76" s="143"/>
      <c r="Y76" s="143"/>
      <c r="Z76" s="143"/>
      <c r="AA76" s="143"/>
      <c r="AB76" s="117"/>
    </row>
    <row r="77" spans="1:28" x14ac:dyDescent="0.15">
      <c r="A77" s="117"/>
      <c r="B77" s="117"/>
      <c r="C77" s="143"/>
      <c r="D77" s="144"/>
      <c r="E77" s="117"/>
      <c r="F77" s="117"/>
      <c r="G77" s="143"/>
      <c r="H77" s="143"/>
      <c r="I77" s="143"/>
      <c r="J77" s="143"/>
      <c r="K77" s="117"/>
      <c r="N77" s="143"/>
      <c r="Q77" s="142" t="str">
        <f t="shared" si="3"/>
        <v/>
      </c>
      <c r="T77" s="142" t="str">
        <f t="shared" si="4"/>
        <v/>
      </c>
      <c r="V77" s="142" t="str">
        <f t="shared" si="5"/>
        <v/>
      </c>
      <c r="W77" s="143"/>
      <c r="X77" s="143"/>
      <c r="Y77" s="143"/>
      <c r="Z77" s="143"/>
      <c r="AA77" s="143"/>
      <c r="AB77" s="117"/>
    </row>
    <row r="78" spans="1:28" x14ac:dyDescent="0.15">
      <c r="A78" s="117"/>
      <c r="B78" s="117"/>
      <c r="C78" s="143"/>
      <c r="D78" s="144"/>
      <c r="E78" s="117"/>
      <c r="F78" s="117"/>
      <c r="G78" s="143"/>
      <c r="H78" s="143"/>
      <c r="I78" s="143"/>
      <c r="J78" s="143"/>
      <c r="K78" s="117"/>
      <c r="N78" s="143"/>
      <c r="Q78" s="142" t="str">
        <f t="shared" si="3"/>
        <v/>
      </c>
      <c r="T78" s="142" t="str">
        <f t="shared" si="4"/>
        <v/>
      </c>
      <c r="V78" s="142" t="str">
        <f t="shared" si="5"/>
        <v/>
      </c>
      <c r="W78" s="143"/>
      <c r="X78" s="143"/>
      <c r="Y78" s="143"/>
      <c r="Z78" s="143"/>
      <c r="AA78" s="143"/>
      <c r="AB78" s="117"/>
    </row>
    <row r="79" spans="1:28" x14ac:dyDescent="0.15">
      <c r="A79" s="117"/>
      <c r="B79" s="117"/>
      <c r="C79" s="143"/>
      <c r="D79" s="144"/>
      <c r="E79" s="117"/>
      <c r="F79" s="117"/>
      <c r="G79" s="143"/>
      <c r="H79" s="143"/>
      <c r="I79" s="143"/>
      <c r="J79" s="143"/>
      <c r="K79" s="117"/>
      <c r="N79" s="143"/>
      <c r="Q79" s="142" t="str">
        <f t="shared" si="3"/>
        <v/>
      </c>
      <c r="R79" s="127"/>
      <c r="T79" s="142" t="str">
        <f t="shared" si="4"/>
        <v/>
      </c>
      <c r="V79" s="142" t="str">
        <f t="shared" si="5"/>
        <v/>
      </c>
      <c r="W79" s="143"/>
      <c r="X79" s="143"/>
      <c r="Y79" s="143"/>
      <c r="Z79" s="143"/>
      <c r="AA79" s="143"/>
      <c r="AB79" s="117"/>
    </row>
    <row r="80" spans="1:28" x14ac:dyDescent="0.15">
      <c r="A80" s="117"/>
      <c r="B80" s="117"/>
      <c r="C80" s="143"/>
      <c r="D80" s="144"/>
      <c r="E80" s="117"/>
      <c r="F80" s="117"/>
      <c r="G80" s="143"/>
      <c r="H80" s="143"/>
      <c r="I80" s="143"/>
      <c r="J80" s="143"/>
      <c r="K80" s="117"/>
      <c r="N80" s="143"/>
      <c r="Q80" s="142" t="str">
        <f t="shared" si="3"/>
        <v/>
      </c>
      <c r="T80" s="142" t="str">
        <f t="shared" si="4"/>
        <v/>
      </c>
      <c r="V80" s="142" t="str">
        <f t="shared" si="5"/>
        <v/>
      </c>
      <c r="W80" s="143"/>
      <c r="X80" s="143"/>
      <c r="Y80" s="143"/>
      <c r="Z80" s="143"/>
      <c r="AA80" s="143"/>
      <c r="AB80" s="117"/>
    </row>
    <row r="81" spans="1:28" x14ac:dyDescent="0.15">
      <c r="A81" s="117"/>
      <c r="B81" s="117"/>
      <c r="C81" s="143"/>
      <c r="D81" s="144"/>
      <c r="E81" s="117"/>
      <c r="F81" s="117"/>
      <c r="G81" s="143"/>
      <c r="H81" s="143"/>
      <c r="I81" s="143"/>
      <c r="J81" s="143"/>
      <c r="K81" s="117"/>
      <c r="N81" s="143"/>
      <c r="Q81" s="142" t="str">
        <f t="shared" si="3"/>
        <v/>
      </c>
      <c r="T81" s="142" t="str">
        <f t="shared" si="4"/>
        <v/>
      </c>
      <c r="V81" s="142" t="str">
        <f t="shared" si="5"/>
        <v/>
      </c>
      <c r="W81" s="143"/>
      <c r="X81" s="143"/>
      <c r="Y81" s="143"/>
      <c r="Z81" s="143"/>
      <c r="AA81" s="143"/>
      <c r="AB81" s="117"/>
    </row>
    <row r="82" spans="1:28" x14ac:dyDescent="0.15">
      <c r="A82" s="117"/>
      <c r="B82" s="117"/>
      <c r="C82" s="143"/>
      <c r="D82" s="144"/>
      <c r="E82" s="117"/>
      <c r="F82" s="117"/>
      <c r="G82" s="143"/>
      <c r="H82" s="143"/>
      <c r="I82" s="143"/>
      <c r="J82" s="143"/>
      <c r="K82" s="117"/>
      <c r="N82" s="143"/>
      <c r="Q82" s="142" t="str">
        <f t="shared" si="3"/>
        <v/>
      </c>
      <c r="T82" s="142" t="str">
        <f t="shared" si="4"/>
        <v/>
      </c>
      <c r="V82" s="142" t="str">
        <f t="shared" si="5"/>
        <v/>
      </c>
      <c r="W82" s="143"/>
      <c r="X82" s="143"/>
      <c r="Y82" s="143"/>
      <c r="Z82" s="143"/>
      <c r="AA82" s="143"/>
      <c r="AB82" s="117"/>
    </row>
    <row r="83" spans="1:28" x14ac:dyDescent="0.15">
      <c r="A83" s="117"/>
      <c r="B83" s="117"/>
      <c r="C83" s="143"/>
      <c r="D83" s="144"/>
      <c r="E83" s="117"/>
      <c r="F83" s="117"/>
      <c r="G83" s="143"/>
      <c r="H83" s="143"/>
      <c r="I83" s="143"/>
      <c r="J83" s="143"/>
      <c r="K83" s="117"/>
      <c r="N83" s="143"/>
      <c r="Q83" s="142" t="str">
        <f t="shared" si="3"/>
        <v/>
      </c>
      <c r="T83" s="142" t="str">
        <f t="shared" si="4"/>
        <v/>
      </c>
      <c r="V83" s="142" t="str">
        <f t="shared" si="5"/>
        <v/>
      </c>
      <c r="W83" s="143"/>
      <c r="X83" s="143"/>
      <c r="Y83" s="143"/>
      <c r="Z83" s="143"/>
      <c r="AA83" s="143"/>
      <c r="AB83" s="117"/>
    </row>
    <row r="84" spans="1:28" x14ac:dyDescent="0.15">
      <c r="A84" s="117"/>
      <c r="B84" s="117"/>
      <c r="C84" s="143"/>
      <c r="D84" s="144"/>
      <c r="E84" s="117"/>
      <c r="F84" s="117"/>
      <c r="G84" s="143"/>
      <c r="H84" s="143"/>
      <c r="I84" s="143"/>
      <c r="J84" s="143"/>
      <c r="K84" s="117"/>
      <c r="N84" s="143"/>
      <c r="Q84" s="142" t="str">
        <f t="shared" si="3"/>
        <v/>
      </c>
      <c r="T84" s="142" t="str">
        <f t="shared" si="4"/>
        <v/>
      </c>
      <c r="V84" s="142" t="str">
        <f t="shared" si="5"/>
        <v/>
      </c>
      <c r="W84" s="143"/>
      <c r="X84" s="143"/>
      <c r="Y84" s="143"/>
      <c r="Z84" s="143"/>
      <c r="AA84" s="143"/>
      <c r="AB84" s="117"/>
    </row>
    <row r="85" spans="1:28" x14ac:dyDescent="0.15">
      <c r="A85" s="117"/>
      <c r="B85" s="117"/>
      <c r="C85" s="143"/>
      <c r="D85" s="144"/>
      <c r="E85" s="117"/>
      <c r="F85" s="117"/>
      <c r="G85" s="143"/>
      <c r="H85" s="143"/>
      <c r="I85" s="143"/>
      <c r="J85" s="143"/>
      <c r="K85" s="117"/>
      <c r="N85" s="143"/>
      <c r="Q85" s="142" t="str">
        <f t="shared" si="3"/>
        <v/>
      </c>
      <c r="T85" s="142" t="str">
        <f t="shared" si="4"/>
        <v/>
      </c>
      <c r="V85" s="142" t="str">
        <f t="shared" si="5"/>
        <v/>
      </c>
      <c r="W85" s="143"/>
      <c r="X85" s="143"/>
      <c r="Y85" s="143"/>
      <c r="Z85" s="143"/>
      <c r="AA85" s="143"/>
      <c r="AB85" s="117"/>
    </row>
    <row r="86" spans="1:28" x14ac:dyDescent="0.15">
      <c r="A86" s="117"/>
      <c r="B86" s="117"/>
      <c r="C86" s="143"/>
      <c r="D86" s="144"/>
      <c r="E86" s="117"/>
      <c r="F86" s="117"/>
      <c r="G86" s="143"/>
      <c r="H86" s="143"/>
      <c r="I86" s="143"/>
      <c r="J86" s="143"/>
      <c r="K86" s="117"/>
      <c r="N86" s="143"/>
      <c r="W86" s="143"/>
      <c r="X86" s="143"/>
      <c r="Y86" s="143"/>
      <c r="Z86" s="143"/>
      <c r="AA86" s="143"/>
      <c r="AB86" s="117"/>
    </row>
    <row r="87" spans="1:28" x14ac:dyDescent="0.15">
      <c r="A87" s="117"/>
      <c r="B87" s="117"/>
      <c r="C87" s="143"/>
      <c r="D87" s="144"/>
      <c r="E87" s="117"/>
      <c r="F87" s="117"/>
      <c r="G87" s="143"/>
      <c r="H87" s="143"/>
      <c r="I87" s="143"/>
      <c r="J87" s="143"/>
      <c r="K87" s="117"/>
      <c r="N87" s="143"/>
      <c r="W87" s="143"/>
      <c r="X87" s="143"/>
      <c r="Y87" s="143"/>
      <c r="Z87" s="143"/>
      <c r="AA87" s="143"/>
      <c r="AB87" s="117"/>
    </row>
    <row r="88" spans="1:28" x14ac:dyDescent="0.15">
      <c r="A88" s="117"/>
      <c r="B88" s="117"/>
      <c r="C88" s="143"/>
      <c r="D88" s="144"/>
      <c r="E88" s="117"/>
      <c r="F88" s="117"/>
      <c r="G88" s="143"/>
      <c r="H88" s="143"/>
      <c r="I88" s="143"/>
      <c r="J88" s="143"/>
      <c r="K88" s="117"/>
      <c r="N88" s="143"/>
      <c r="W88" s="143"/>
      <c r="X88" s="143"/>
      <c r="Y88" s="143"/>
      <c r="Z88" s="143"/>
      <c r="AA88" s="143"/>
      <c r="AB88" s="117"/>
    </row>
    <row r="89" spans="1:28" x14ac:dyDescent="0.15">
      <c r="A89" s="117"/>
      <c r="B89" s="117"/>
      <c r="C89" s="143"/>
      <c r="D89" s="144"/>
      <c r="E89" s="117"/>
      <c r="F89" s="117"/>
      <c r="G89" s="143"/>
      <c r="H89" s="143"/>
      <c r="I89" s="143"/>
      <c r="J89" s="143"/>
      <c r="K89" s="117"/>
      <c r="N89" s="143"/>
      <c r="W89" s="143"/>
      <c r="X89" s="143"/>
      <c r="Y89" s="143"/>
      <c r="Z89" s="143"/>
      <c r="AA89" s="143"/>
      <c r="AB89" s="117"/>
    </row>
    <row r="90" spans="1:28" x14ac:dyDescent="0.15">
      <c r="A90" s="117"/>
      <c r="B90" s="117"/>
      <c r="C90" s="143"/>
      <c r="D90" s="144"/>
      <c r="E90" s="117"/>
      <c r="F90" s="117"/>
      <c r="G90" s="143"/>
      <c r="H90" s="143"/>
      <c r="I90" s="143"/>
      <c r="J90" s="143"/>
      <c r="K90" s="143"/>
      <c r="N90" s="143"/>
      <c r="W90" s="143"/>
      <c r="X90" s="143"/>
      <c r="Y90" s="143"/>
      <c r="Z90" s="143"/>
      <c r="AA90" s="143"/>
      <c r="AB90" s="117"/>
    </row>
    <row r="91" spans="1:28" x14ac:dyDescent="0.15">
      <c r="A91" s="117"/>
      <c r="B91" s="117"/>
      <c r="C91" s="143"/>
      <c r="D91" s="144"/>
      <c r="E91" s="117"/>
      <c r="F91" s="117"/>
      <c r="G91" s="143"/>
      <c r="H91" s="143"/>
      <c r="I91" s="143"/>
      <c r="J91" s="143"/>
      <c r="K91" s="143"/>
      <c r="N91" s="143"/>
      <c r="W91" s="143"/>
      <c r="X91" s="143"/>
      <c r="Y91" s="143"/>
      <c r="Z91" s="143"/>
      <c r="AA91" s="143"/>
      <c r="AB91" s="117"/>
    </row>
    <row r="92" spans="1:28" x14ac:dyDescent="0.15">
      <c r="E92" s="117"/>
      <c r="F92" s="117"/>
    </row>
    <row r="93" spans="1:28" x14ac:dyDescent="0.15">
      <c r="E93" s="117"/>
      <c r="F93" s="117"/>
    </row>
    <row r="94" spans="1:28" x14ac:dyDescent="0.15">
      <c r="E94" s="117"/>
      <c r="F94" s="117"/>
    </row>
    <row r="95" spans="1:28" x14ac:dyDescent="0.15">
      <c r="E95" s="117"/>
      <c r="F95" s="117"/>
    </row>
    <row r="96" spans="1:28" x14ac:dyDescent="0.15">
      <c r="E96" s="117"/>
      <c r="F96" s="117"/>
    </row>
    <row r="97" spans="5:6" x14ac:dyDescent="0.15">
      <c r="E97" s="117"/>
      <c r="F97" s="117"/>
    </row>
    <row r="98" spans="5:6" x14ac:dyDescent="0.15">
      <c r="E98" s="117"/>
      <c r="F98" s="117"/>
    </row>
    <row r="99" spans="5:6" x14ac:dyDescent="0.15">
      <c r="E99" s="117"/>
      <c r="F99" s="117"/>
    </row>
    <row r="100" spans="5:6" x14ac:dyDescent="0.15">
      <c r="E100" s="117"/>
      <c r="F100" s="117"/>
    </row>
    <row r="101" spans="5:6" x14ac:dyDescent="0.15">
      <c r="E101" s="117"/>
      <c r="F101" s="117"/>
    </row>
    <row r="102" spans="5:6" x14ac:dyDescent="0.15">
      <c r="E102" s="117"/>
      <c r="F102" s="117"/>
    </row>
    <row r="103" spans="5:6" x14ac:dyDescent="0.15">
      <c r="E103" s="117"/>
      <c r="F103" s="117"/>
    </row>
    <row r="104" spans="5:6" x14ac:dyDescent="0.15">
      <c r="E104" s="117"/>
      <c r="F104" s="117"/>
    </row>
    <row r="105" spans="5:6" x14ac:dyDescent="0.15">
      <c r="E105" s="117"/>
      <c r="F105" s="117"/>
    </row>
    <row r="106" spans="5:6" x14ac:dyDescent="0.15">
      <c r="E106" s="117"/>
      <c r="F106" s="117"/>
    </row>
    <row r="107" spans="5:6" x14ac:dyDescent="0.15">
      <c r="E107" s="117"/>
      <c r="F107" s="117"/>
    </row>
    <row r="108" spans="5:6" x14ac:dyDescent="0.15">
      <c r="E108" s="117"/>
      <c r="F108" s="117"/>
    </row>
    <row r="109" spans="5:6" x14ac:dyDescent="0.15">
      <c r="E109" s="117"/>
      <c r="F109" s="117"/>
    </row>
    <row r="110" spans="5:6" x14ac:dyDescent="0.15">
      <c r="E110" s="117"/>
      <c r="F110" s="117"/>
    </row>
    <row r="111" spans="5:6" x14ac:dyDescent="0.15">
      <c r="E111" s="117"/>
      <c r="F111" s="117"/>
    </row>
    <row r="112" spans="5:6" x14ac:dyDescent="0.15">
      <c r="E112" s="117"/>
      <c r="F112" s="117"/>
    </row>
    <row r="113" spans="5:6" x14ac:dyDescent="0.15">
      <c r="E113" s="117"/>
      <c r="F113" s="117"/>
    </row>
    <row r="114" spans="5:6" x14ac:dyDescent="0.15">
      <c r="E114" s="117"/>
      <c r="F114" s="117"/>
    </row>
    <row r="115" spans="5:6" x14ac:dyDescent="0.15">
      <c r="E115" s="117"/>
      <c r="F115" s="117"/>
    </row>
    <row r="116" spans="5:6" x14ac:dyDescent="0.15">
      <c r="E116" s="117"/>
      <c r="F116" s="117"/>
    </row>
    <row r="117" spans="5:6" x14ac:dyDescent="0.15">
      <c r="E117" s="117"/>
      <c r="F117" s="117"/>
    </row>
    <row r="118" spans="5:6" x14ac:dyDescent="0.15">
      <c r="E118" s="117"/>
      <c r="F118" s="117"/>
    </row>
    <row r="119" spans="5:6" x14ac:dyDescent="0.15">
      <c r="E119" s="117"/>
      <c r="F119" s="117"/>
    </row>
    <row r="120" spans="5:6" x14ac:dyDescent="0.15">
      <c r="E120" s="117"/>
      <c r="F120" s="117"/>
    </row>
    <row r="121" spans="5:6" x14ac:dyDescent="0.15">
      <c r="E121" s="117"/>
      <c r="F121" s="117"/>
    </row>
    <row r="122" spans="5:6" x14ac:dyDescent="0.15">
      <c r="E122" s="117"/>
      <c r="F122" s="117"/>
    </row>
    <row r="123" spans="5:6" x14ac:dyDescent="0.15">
      <c r="E123" s="117"/>
      <c r="F123" s="117"/>
    </row>
    <row r="124" spans="5:6" x14ac:dyDescent="0.15">
      <c r="E124" s="117"/>
      <c r="F124" s="117"/>
    </row>
    <row r="125" spans="5:6" x14ac:dyDescent="0.15">
      <c r="E125" s="117"/>
      <c r="F125" s="117"/>
    </row>
    <row r="126" spans="5:6" x14ac:dyDescent="0.15">
      <c r="E126" s="117"/>
      <c r="F126" s="117"/>
    </row>
    <row r="127" spans="5:6" x14ac:dyDescent="0.15">
      <c r="E127" s="117"/>
      <c r="F127" s="117"/>
    </row>
    <row r="128" spans="5:6" x14ac:dyDescent="0.15">
      <c r="E128" s="117"/>
      <c r="F128" s="117"/>
    </row>
    <row r="129" spans="5:6" x14ac:dyDescent="0.15">
      <c r="E129" s="117"/>
      <c r="F129" s="117"/>
    </row>
    <row r="130" spans="5:6" x14ac:dyDescent="0.15">
      <c r="E130" s="117"/>
      <c r="F130" s="117"/>
    </row>
    <row r="131" spans="5:6" x14ac:dyDescent="0.15">
      <c r="E131" s="117"/>
      <c r="F131" s="117"/>
    </row>
    <row r="132" spans="5:6" x14ac:dyDescent="0.15">
      <c r="E132" s="117"/>
      <c r="F132" s="117"/>
    </row>
    <row r="133" spans="5:6" x14ac:dyDescent="0.15">
      <c r="E133" s="117"/>
      <c r="F133" s="117"/>
    </row>
    <row r="134" spans="5:6" x14ac:dyDescent="0.15">
      <c r="E134" s="117"/>
      <c r="F134" s="117"/>
    </row>
    <row r="135" spans="5:6" x14ac:dyDescent="0.15">
      <c r="E135" s="117"/>
      <c r="F135" s="117"/>
    </row>
    <row r="136" spans="5:6" x14ac:dyDescent="0.15">
      <c r="E136" s="117"/>
      <c r="F136" s="117"/>
    </row>
    <row r="137" spans="5:6" x14ac:dyDescent="0.15">
      <c r="E137" s="117"/>
      <c r="F137" s="117"/>
    </row>
    <row r="138" spans="5:6" x14ac:dyDescent="0.15">
      <c r="E138" s="117"/>
      <c r="F138" s="117"/>
    </row>
    <row r="139" spans="5:6" x14ac:dyDescent="0.15">
      <c r="E139" s="117"/>
      <c r="F139" s="117"/>
    </row>
    <row r="140" spans="5:6" x14ac:dyDescent="0.15">
      <c r="E140" s="117"/>
      <c r="F140" s="117"/>
    </row>
    <row r="141" spans="5:6" x14ac:dyDescent="0.15">
      <c r="E141" s="117"/>
      <c r="F141" s="117"/>
    </row>
    <row r="142" spans="5:6" x14ac:dyDescent="0.15">
      <c r="E142" s="117"/>
      <c r="F142" s="117"/>
    </row>
    <row r="143" spans="5:6" x14ac:dyDescent="0.15">
      <c r="E143" s="117"/>
      <c r="F143" s="117"/>
    </row>
    <row r="144" spans="5:6" x14ac:dyDescent="0.15">
      <c r="E144" s="117"/>
      <c r="F144" s="117"/>
    </row>
    <row r="145" spans="5:6" x14ac:dyDescent="0.15">
      <c r="E145" s="117"/>
      <c r="F145" s="117"/>
    </row>
    <row r="146" spans="5:6" x14ac:dyDescent="0.15">
      <c r="E146" s="117"/>
      <c r="F146" s="117"/>
    </row>
    <row r="147" spans="5:6" x14ac:dyDescent="0.15">
      <c r="E147" s="117"/>
      <c r="F147" s="117"/>
    </row>
    <row r="148" spans="5:6" x14ac:dyDescent="0.15">
      <c r="E148" s="117"/>
      <c r="F148" s="117"/>
    </row>
    <row r="149" spans="5:6" x14ac:dyDescent="0.15">
      <c r="E149" s="117"/>
      <c r="F149" s="117"/>
    </row>
    <row r="150" spans="5:6" x14ac:dyDescent="0.15">
      <c r="E150" s="117"/>
      <c r="F150" s="117"/>
    </row>
    <row r="151" spans="5:6" x14ac:dyDescent="0.15">
      <c r="E151" s="117"/>
      <c r="F151" s="117"/>
    </row>
    <row r="152" spans="5:6" x14ac:dyDescent="0.15">
      <c r="E152" s="117"/>
      <c r="F152" s="117"/>
    </row>
    <row r="153" spans="5:6" x14ac:dyDescent="0.15">
      <c r="E153" s="117"/>
      <c r="F153" s="117"/>
    </row>
    <row r="154" spans="5:6" x14ac:dyDescent="0.15">
      <c r="E154" s="117"/>
      <c r="F154" s="117"/>
    </row>
    <row r="155" spans="5:6" x14ac:dyDescent="0.15">
      <c r="E155" s="117"/>
      <c r="F155" s="117"/>
    </row>
    <row r="156" spans="5:6" x14ac:dyDescent="0.15">
      <c r="E156" s="117"/>
      <c r="F156" s="117"/>
    </row>
    <row r="157" spans="5:6" x14ac:dyDescent="0.15">
      <c r="E157" s="117"/>
      <c r="F157" s="117"/>
    </row>
    <row r="158" spans="5:6" x14ac:dyDescent="0.15">
      <c r="E158" s="117"/>
      <c r="F158" s="117"/>
    </row>
    <row r="159" spans="5:6" x14ac:dyDescent="0.15">
      <c r="E159" s="117"/>
      <c r="F159" s="117"/>
    </row>
    <row r="160" spans="5:6" x14ac:dyDescent="0.15">
      <c r="E160" s="117"/>
      <c r="F160" s="117"/>
    </row>
    <row r="161" spans="5:6" x14ac:dyDescent="0.15">
      <c r="E161" s="117"/>
      <c r="F161" s="117"/>
    </row>
    <row r="162" spans="5:6" x14ac:dyDescent="0.15">
      <c r="E162" s="117"/>
      <c r="F162" s="117"/>
    </row>
    <row r="163" spans="5:6" x14ac:dyDescent="0.15">
      <c r="E163" s="117"/>
      <c r="F163" s="117"/>
    </row>
    <row r="164" spans="5:6" x14ac:dyDescent="0.15">
      <c r="E164" s="117"/>
      <c r="F164" s="117"/>
    </row>
    <row r="165" spans="5:6" x14ac:dyDescent="0.15">
      <c r="E165" s="117"/>
      <c r="F165" s="117"/>
    </row>
    <row r="166" spans="5:6" x14ac:dyDescent="0.15">
      <c r="E166" s="117"/>
      <c r="F166" s="117"/>
    </row>
    <row r="167" spans="5:6" x14ac:dyDescent="0.15">
      <c r="E167" s="117"/>
      <c r="F167" s="117"/>
    </row>
    <row r="168" spans="5:6" x14ac:dyDescent="0.15">
      <c r="E168" s="117"/>
      <c r="F168" s="117"/>
    </row>
    <row r="169" spans="5:6" x14ac:dyDescent="0.15">
      <c r="E169" s="117"/>
      <c r="F169" s="117"/>
    </row>
    <row r="170" spans="5:6" x14ac:dyDescent="0.15">
      <c r="E170" s="117"/>
      <c r="F170" s="117"/>
    </row>
    <row r="171" spans="5:6" x14ac:dyDescent="0.15">
      <c r="E171" s="117"/>
      <c r="F171" s="117"/>
    </row>
    <row r="172" spans="5:6" x14ac:dyDescent="0.15">
      <c r="E172" s="117"/>
      <c r="F172" s="117"/>
    </row>
    <row r="173" spans="5:6" x14ac:dyDescent="0.15">
      <c r="E173" s="117"/>
      <c r="F173" s="117"/>
    </row>
    <row r="174" spans="5:6" x14ac:dyDescent="0.15">
      <c r="E174" s="117"/>
      <c r="F174" s="117"/>
    </row>
    <row r="175" spans="5:6" x14ac:dyDescent="0.15">
      <c r="E175" s="117"/>
      <c r="F175" s="117"/>
    </row>
    <row r="176" spans="5:6" x14ac:dyDescent="0.15">
      <c r="E176" s="117"/>
      <c r="F176" s="117"/>
    </row>
    <row r="177" spans="5:6" x14ac:dyDescent="0.15">
      <c r="E177" s="117"/>
      <c r="F177" s="117"/>
    </row>
    <row r="178" spans="5:6" x14ac:dyDescent="0.15">
      <c r="E178" s="117"/>
      <c r="F178" s="117"/>
    </row>
    <row r="179" spans="5:6" x14ac:dyDescent="0.15">
      <c r="E179" s="117"/>
      <c r="F179" s="117"/>
    </row>
    <row r="180" spans="5:6" x14ac:dyDescent="0.15">
      <c r="E180" s="117"/>
      <c r="F180" s="117"/>
    </row>
    <row r="181" spans="5:6" x14ac:dyDescent="0.15">
      <c r="E181" s="117"/>
      <c r="F181" s="117"/>
    </row>
    <row r="182" spans="5:6" x14ac:dyDescent="0.15">
      <c r="E182" s="117"/>
      <c r="F182" s="117"/>
    </row>
    <row r="183" spans="5:6" x14ac:dyDescent="0.15">
      <c r="E183" s="117"/>
      <c r="F183" s="117"/>
    </row>
    <row r="184" spans="5:6" x14ac:dyDescent="0.15">
      <c r="E184" s="117"/>
      <c r="F184" s="117"/>
    </row>
    <row r="185" spans="5:6" x14ac:dyDescent="0.15">
      <c r="E185" s="117"/>
      <c r="F185" s="117"/>
    </row>
    <row r="186" spans="5:6" x14ac:dyDescent="0.15">
      <c r="E186" s="117"/>
      <c r="F186" s="117"/>
    </row>
    <row r="187" spans="5:6" x14ac:dyDescent="0.15">
      <c r="E187" s="117"/>
      <c r="F187" s="117"/>
    </row>
    <row r="188" spans="5:6" x14ac:dyDescent="0.15">
      <c r="E188" s="117"/>
      <c r="F188" s="117"/>
    </row>
    <row r="189" spans="5:6" x14ac:dyDescent="0.15">
      <c r="E189" s="117"/>
      <c r="F189" s="117"/>
    </row>
    <row r="190" spans="5:6" x14ac:dyDescent="0.15">
      <c r="E190" s="117"/>
      <c r="F190" s="117"/>
    </row>
    <row r="191" spans="5:6" x14ac:dyDescent="0.15">
      <c r="E191" s="117"/>
      <c r="F191" s="117"/>
    </row>
    <row r="192" spans="5:6" x14ac:dyDescent="0.15">
      <c r="E192" s="117"/>
      <c r="F192" s="117"/>
    </row>
    <row r="193" spans="5:6" x14ac:dyDescent="0.15">
      <c r="E193" s="117"/>
      <c r="F193" s="117"/>
    </row>
    <row r="194" spans="5:6" x14ac:dyDescent="0.15">
      <c r="E194" s="117"/>
      <c r="F194" s="117"/>
    </row>
    <row r="195" spans="5:6" x14ac:dyDescent="0.15">
      <c r="E195" s="117"/>
      <c r="F195" s="117"/>
    </row>
    <row r="196" spans="5:6" x14ac:dyDescent="0.15">
      <c r="E196" s="117"/>
      <c r="F196" s="117"/>
    </row>
    <row r="197" spans="5:6" x14ac:dyDescent="0.15">
      <c r="E197" s="117"/>
      <c r="F197" s="117"/>
    </row>
    <row r="198" spans="5:6" x14ac:dyDescent="0.15">
      <c r="E198" s="117"/>
      <c r="F198" s="117"/>
    </row>
    <row r="199" spans="5:6" x14ac:dyDescent="0.15">
      <c r="E199" s="117"/>
      <c r="F199" s="117"/>
    </row>
    <row r="200" spans="5:6" x14ac:dyDescent="0.15">
      <c r="E200" s="117"/>
      <c r="F200" s="117"/>
    </row>
    <row r="201" spans="5:6" x14ac:dyDescent="0.15">
      <c r="E201" s="117"/>
      <c r="F201" s="117"/>
    </row>
    <row r="202" spans="5:6" x14ac:dyDescent="0.15">
      <c r="E202" s="117"/>
      <c r="F202" s="117"/>
    </row>
    <row r="203" spans="5:6" x14ac:dyDescent="0.15">
      <c r="E203" s="117"/>
      <c r="F203" s="117"/>
    </row>
    <row r="204" spans="5:6" x14ac:dyDescent="0.15">
      <c r="E204" s="117"/>
      <c r="F204" s="117"/>
    </row>
    <row r="205" spans="5:6" x14ac:dyDescent="0.15">
      <c r="E205" s="117"/>
      <c r="F205" s="117"/>
    </row>
    <row r="206" spans="5:6" x14ac:dyDescent="0.15">
      <c r="E206" s="117"/>
      <c r="F206" s="117"/>
    </row>
    <row r="207" spans="5:6" x14ac:dyDescent="0.15">
      <c r="E207" s="117"/>
      <c r="F207" s="117"/>
    </row>
    <row r="208" spans="5:6" x14ac:dyDescent="0.15">
      <c r="E208" s="117"/>
      <c r="F208" s="117"/>
    </row>
    <row r="209" spans="5:6" x14ac:dyDescent="0.15">
      <c r="E209" s="117"/>
      <c r="F209" s="117"/>
    </row>
    <row r="210" spans="5:6" x14ac:dyDescent="0.15">
      <c r="E210" s="117"/>
      <c r="F210" s="117"/>
    </row>
    <row r="211" spans="5:6" x14ac:dyDescent="0.15">
      <c r="E211" s="117"/>
      <c r="F211" s="117"/>
    </row>
    <row r="212" spans="5:6" x14ac:dyDescent="0.15">
      <c r="E212" s="117"/>
      <c r="F212" s="117"/>
    </row>
    <row r="213" spans="5:6" x14ac:dyDescent="0.15">
      <c r="E213" s="117"/>
      <c r="F213" s="117"/>
    </row>
    <row r="214" spans="5:6" x14ac:dyDescent="0.15">
      <c r="E214" s="117"/>
      <c r="F214" s="117"/>
    </row>
    <row r="215" spans="5:6" x14ac:dyDescent="0.15">
      <c r="E215" s="117"/>
      <c r="F215" s="117"/>
    </row>
    <row r="216" spans="5:6" x14ac:dyDescent="0.15">
      <c r="E216" s="117"/>
      <c r="F216" s="117"/>
    </row>
    <row r="217" spans="5:6" x14ac:dyDescent="0.15">
      <c r="E217" s="117"/>
      <c r="F217" s="117"/>
    </row>
    <row r="218" spans="5:6" x14ac:dyDescent="0.15">
      <c r="E218" s="117"/>
      <c r="F218" s="117"/>
    </row>
    <row r="219" spans="5:6" x14ac:dyDescent="0.15">
      <c r="E219" s="117"/>
      <c r="F219" s="117"/>
    </row>
    <row r="220" spans="5:6" x14ac:dyDescent="0.15">
      <c r="E220" s="117"/>
      <c r="F220" s="117"/>
    </row>
    <row r="221" spans="5:6" x14ac:dyDescent="0.15">
      <c r="E221" s="117"/>
      <c r="F221" s="117"/>
    </row>
    <row r="222" spans="5:6" x14ac:dyDescent="0.15">
      <c r="E222" s="117"/>
      <c r="F222" s="117"/>
    </row>
    <row r="223" spans="5:6" x14ac:dyDescent="0.15">
      <c r="E223" s="117"/>
      <c r="F223" s="117"/>
    </row>
    <row r="224" spans="5:6" x14ac:dyDescent="0.15">
      <c r="E224" s="117"/>
      <c r="F224" s="117"/>
    </row>
    <row r="225" spans="5:6" x14ac:dyDescent="0.15">
      <c r="E225" s="117"/>
      <c r="F225" s="117"/>
    </row>
    <row r="226" spans="5:6" x14ac:dyDescent="0.15">
      <c r="E226" s="117"/>
      <c r="F226" s="117"/>
    </row>
    <row r="227" spans="5:6" x14ac:dyDescent="0.15">
      <c r="E227" s="117"/>
      <c r="F227" s="117"/>
    </row>
    <row r="228" spans="5:6" x14ac:dyDescent="0.15">
      <c r="E228" s="117"/>
      <c r="F228" s="117"/>
    </row>
    <row r="229" spans="5:6" x14ac:dyDescent="0.15">
      <c r="E229" s="117"/>
      <c r="F229" s="117"/>
    </row>
    <row r="230" spans="5:6" x14ac:dyDescent="0.15">
      <c r="E230" s="117"/>
      <c r="F230" s="117"/>
    </row>
    <row r="231" spans="5:6" x14ac:dyDescent="0.15">
      <c r="E231" s="117"/>
      <c r="F231" s="117"/>
    </row>
    <row r="232" spans="5:6" x14ac:dyDescent="0.15">
      <c r="E232" s="117"/>
      <c r="F232" s="117"/>
    </row>
    <row r="233" spans="5:6" x14ac:dyDescent="0.15">
      <c r="E233" s="117"/>
      <c r="F233" s="117"/>
    </row>
    <row r="234" spans="5:6" x14ac:dyDescent="0.15">
      <c r="E234" s="117"/>
      <c r="F234" s="117"/>
    </row>
    <row r="235" spans="5:6" x14ac:dyDescent="0.15">
      <c r="E235" s="117"/>
      <c r="F235" s="117"/>
    </row>
    <row r="236" spans="5:6" x14ac:dyDescent="0.15">
      <c r="E236" s="117"/>
      <c r="F236" s="117"/>
    </row>
    <row r="237" spans="5:6" x14ac:dyDescent="0.15">
      <c r="E237" s="117"/>
      <c r="F237" s="117"/>
    </row>
    <row r="238" spans="5:6" x14ac:dyDescent="0.15">
      <c r="E238" s="117"/>
      <c r="F238" s="117"/>
    </row>
    <row r="239" spans="5:6" x14ac:dyDescent="0.15">
      <c r="E239" s="117"/>
      <c r="F239" s="117"/>
    </row>
    <row r="240" spans="5:6" x14ac:dyDescent="0.15">
      <c r="E240" s="117"/>
      <c r="F240" s="117"/>
    </row>
    <row r="241" spans="5:6" x14ac:dyDescent="0.15">
      <c r="E241" s="117"/>
      <c r="F241" s="117"/>
    </row>
    <row r="242" spans="5:6" x14ac:dyDescent="0.15">
      <c r="E242" s="117"/>
      <c r="F242" s="117"/>
    </row>
    <row r="243" spans="5:6" x14ac:dyDescent="0.15">
      <c r="E243" s="117"/>
      <c r="F243" s="117"/>
    </row>
    <row r="244" spans="5:6" x14ac:dyDescent="0.15">
      <c r="E244" s="117"/>
      <c r="F244" s="117"/>
    </row>
    <row r="245" spans="5:6" x14ac:dyDescent="0.15">
      <c r="E245" s="117"/>
      <c r="F245" s="117"/>
    </row>
    <row r="246" spans="5:6" x14ac:dyDescent="0.15">
      <c r="E246" s="117"/>
      <c r="F246" s="117"/>
    </row>
    <row r="247" spans="5:6" x14ac:dyDescent="0.15">
      <c r="E247" s="117"/>
      <c r="F247" s="117"/>
    </row>
    <row r="248" spans="5:6" x14ac:dyDescent="0.15">
      <c r="E248" s="117"/>
      <c r="F248" s="117"/>
    </row>
    <row r="249" spans="5:6" x14ac:dyDescent="0.15">
      <c r="E249" s="117"/>
      <c r="F249" s="117"/>
    </row>
    <row r="250" spans="5:6" x14ac:dyDescent="0.15">
      <c r="E250" s="117"/>
      <c r="F250" s="117"/>
    </row>
    <row r="251" spans="5:6" x14ac:dyDescent="0.15">
      <c r="E251" s="117"/>
      <c r="F251" s="117"/>
    </row>
    <row r="252" spans="5:6" x14ac:dyDescent="0.15">
      <c r="E252" s="117"/>
      <c r="F252" s="117"/>
    </row>
    <row r="253" spans="5:6" x14ac:dyDescent="0.15">
      <c r="E253" s="117"/>
      <c r="F253" s="117"/>
    </row>
    <row r="254" spans="5:6" x14ac:dyDescent="0.15">
      <c r="E254" s="117"/>
      <c r="F254" s="117"/>
    </row>
    <row r="255" spans="5:6" x14ac:dyDescent="0.15">
      <c r="E255" s="117"/>
      <c r="F255" s="117"/>
    </row>
    <row r="256" spans="5:6" x14ac:dyDescent="0.15">
      <c r="E256" s="117"/>
      <c r="F256" s="117"/>
    </row>
    <row r="257" spans="5:6" x14ac:dyDescent="0.15">
      <c r="E257" s="117"/>
      <c r="F257" s="117"/>
    </row>
    <row r="258" spans="5:6" x14ac:dyDescent="0.15">
      <c r="E258" s="117"/>
      <c r="F258" s="117"/>
    </row>
    <row r="259" spans="5:6" x14ac:dyDescent="0.15">
      <c r="E259" s="117"/>
      <c r="F259" s="117"/>
    </row>
    <row r="260" spans="5:6" x14ac:dyDescent="0.15">
      <c r="E260" s="117"/>
      <c r="F260" s="117"/>
    </row>
    <row r="261" spans="5:6" x14ac:dyDescent="0.15">
      <c r="E261" s="117"/>
      <c r="F261" s="117"/>
    </row>
    <row r="262" spans="5:6" x14ac:dyDescent="0.15">
      <c r="E262" s="117"/>
      <c r="F262" s="117"/>
    </row>
    <row r="263" spans="5:6" x14ac:dyDescent="0.15">
      <c r="E263" s="117"/>
      <c r="F263" s="117"/>
    </row>
    <row r="264" spans="5:6" x14ac:dyDescent="0.15">
      <c r="E264" s="117"/>
      <c r="F264" s="117"/>
    </row>
    <row r="265" spans="5:6" x14ac:dyDescent="0.15">
      <c r="E265" s="117"/>
      <c r="F265" s="117"/>
    </row>
    <row r="266" spans="5:6" x14ac:dyDescent="0.15">
      <c r="E266" s="117"/>
      <c r="F266" s="117"/>
    </row>
    <row r="267" spans="5:6" x14ac:dyDescent="0.15">
      <c r="E267" s="117"/>
      <c r="F267" s="117"/>
    </row>
    <row r="268" spans="5:6" x14ac:dyDescent="0.15">
      <c r="E268" s="117"/>
      <c r="F268" s="117"/>
    </row>
    <row r="269" spans="5:6" x14ac:dyDescent="0.15">
      <c r="E269" s="117"/>
      <c r="F269" s="117"/>
    </row>
    <row r="270" spans="5:6" x14ac:dyDescent="0.15">
      <c r="E270" s="117"/>
      <c r="F270" s="117"/>
    </row>
    <row r="271" spans="5:6" x14ac:dyDescent="0.15">
      <c r="E271" s="117"/>
      <c r="F271" s="117"/>
    </row>
    <row r="272" spans="5:6" x14ac:dyDescent="0.15">
      <c r="E272" s="117"/>
      <c r="F272" s="117"/>
    </row>
    <row r="273" spans="5:6" x14ac:dyDescent="0.15">
      <c r="E273" s="117"/>
      <c r="F273" s="117"/>
    </row>
    <row r="274" spans="5:6" x14ac:dyDescent="0.15">
      <c r="E274" s="117"/>
      <c r="F274" s="117"/>
    </row>
    <row r="275" spans="5:6" x14ac:dyDescent="0.15">
      <c r="E275" s="117"/>
      <c r="F275" s="117"/>
    </row>
    <row r="276" spans="5:6" x14ac:dyDescent="0.15">
      <c r="E276" s="117"/>
      <c r="F276" s="117"/>
    </row>
    <row r="277" spans="5:6" x14ac:dyDescent="0.15">
      <c r="E277" s="117"/>
      <c r="F277" s="117"/>
    </row>
    <row r="278" spans="5:6" x14ac:dyDescent="0.15">
      <c r="E278" s="117"/>
      <c r="F278" s="117"/>
    </row>
    <row r="279" spans="5:6" x14ac:dyDescent="0.15">
      <c r="E279" s="117"/>
      <c r="F279" s="117"/>
    </row>
    <row r="280" spans="5:6" x14ac:dyDescent="0.15">
      <c r="E280" s="117"/>
      <c r="F280" s="117"/>
    </row>
    <row r="281" spans="5:6" x14ac:dyDescent="0.15">
      <c r="E281" s="117"/>
      <c r="F281" s="117"/>
    </row>
    <row r="282" spans="5:6" x14ac:dyDescent="0.15">
      <c r="E282" s="117"/>
      <c r="F282" s="117"/>
    </row>
    <row r="283" spans="5:6" x14ac:dyDescent="0.15">
      <c r="E283" s="117"/>
      <c r="F283" s="117"/>
    </row>
    <row r="284" spans="5:6" x14ac:dyDescent="0.15">
      <c r="E284" s="117"/>
      <c r="F284" s="117"/>
    </row>
    <row r="285" spans="5:6" x14ac:dyDescent="0.15">
      <c r="E285" s="117"/>
      <c r="F285" s="117"/>
    </row>
    <row r="286" spans="5:6" x14ac:dyDescent="0.15">
      <c r="E286" s="117"/>
      <c r="F286" s="117"/>
    </row>
    <row r="287" spans="5:6" x14ac:dyDescent="0.15">
      <c r="E287" s="117"/>
      <c r="F287" s="117"/>
    </row>
    <row r="288" spans="5:6" x14ac:dyDescent="0.15">
      <c r="E288" s="117"/>
      <c r="F288" s="117"/>
    </row>
    <row r="289" spans="5:6" x14ac:dyDescent="0.15">
      <c r="E289" s="117"/>
      <c r="F289" s="117"/>
    </row>
    <row r="290" spans="5:6" x14ac:dyDescent="0.15">
      <c r="E290" s="117"/>
      <c r="F290" s="117"/>
    </row>
    <row r="291" spans="5:6" x14ac:dyDescent="0.15">
      <c r="E291" s="117"/>
      <c r="F291" s="117"/>
    </row>
    <row r="292" spans="5:6" x14ac:dyDescent="0.15">
      <c r="E292" s="117"/>
      <c r="F292" s="117"/>
    </row>
    <row r="293" spans="5:6" x14ac:dyDescent="0.15">
      <c r="E293" s="117"/>
      <c r="F293" s="117"/>
    </row>
    <row r="294" spans="5:6" x14ac:dyDescent="0.15">
      <c r="E294" s="117"/>
      <c r="F294" s="117"/>
    </row>
    <row r="295" spans="5:6" x14ac:dyDescent="0.15">
      <c r="E295" s="117"/>
      <c r="F295" s="117"/>
    </row>
    <row r="296" spans="5:6" x14ac:dyDescent="0.15">
      <c r="E296" s="117"/>
      <c r="F296" s="117"/>
    </row>
    <row r="297" spans="5:6" x14ac:dyDescent="0.15">
      <c r="E297" s="117"/>
      <c r="F297" s="117"/>
    </row>
    <row r="298" spans="5:6" x14ac:dyDescent="0.15">
      <c r="E298" s="117"/>
      <c r="F298" s="117"/>
    </row>
    <row r="299" spans="5:6" x14ac:dyDescent="0.15">
      <c r="E299" s="117"/>
      <c r="F299" s="117"/>
    </row>
    <row r="300" spans="5:6" x14ac:dyDescent="0.15">
      <c r="E300" s="117"/>
      <c r="F300" s="117"/>
    </row>
    <row r="301" spans="5:6" x14ac:dyDescent="0.15">
      <c r="E301" s="117"/>
      <c r="F301" s="117"/>
    </row>
    <row r="302" spans="5:6" x14ac:dyDescent="0.15">
      <c r="E302" s="117"/>
      <c r="F302" s="117"/>
    </row>
    <row r="303" spans="5:6" x14ac:dyDescent="0.15">
      <c r="E303" s="117"/>
      <c r="F303" s="117"/>
    </row>
    <row r="304" spans="5:6" x14ac:dyDescent="0.15">
      <c r="E304" s="117"/>
      <c r="F304" s="117"/>
    </row>
    <row r="305" spans="5:6" x14ac:dyDescent="0.15">
      <c r="E305" s="117"/>
      <c r="F305" s="117"/>
    </row>
    <row r="306" spans="5:6" x14ac:dyDescent="0.15">
      <c r="E306" s="117"/>
      <c r="F306" s="117"/>
    </row>
    <row r="307" spans="5:6" x14ac:dyDescent="0.15">
      <c r="E307" s="117"/>
      <c r="F307" s="117"/>
    </row>
    <row r="308" spans="5:6" x14ac:dyDescent="0.15">
      <c r="E308" s="117"/>
      <c r="F308" s="117"/>
    </row>
    <row r="309" spans="5:6" x14ac:dyDescent="0.15">
      <c r="E309" s="117"/>
      <c r="F309" s="117"/>
    </row>
    <row r="310" spans="5:6" x14ac:dyDescent="0.15">
      <c r="E310" s="117"/>
      <c r="F310" s="117"/>
    </row>
    <row r="311" spans="5:6" x14ac:dyDescent="0.15">
      <c r="E311" s="117"/>
      <c r="F311" s="117"/>
    </row>
    <row r="312" spans="5:6" x14ac:dyDescent="0.15">
      <c r="E312" s="117"/>
      <c r="F312" s="117"/>
    </row>
    <row r="313" spans="5:6" x14ac:dyDescent="0.15">
      <c r="E313" s="117"/>
      <c r="F313" s="117"/>
    </row>
    <row r="314" spans="5:6" x14ac:dyDescent="0.15">
      <c r="E314" s="117"/>
      <c r="F314" s="117"/>
    </row>
    <row r="315" spans="5:6" x14ac:dyDescent="0.15">
      <c r="E315" s="117"/>
      <c r="F315" s="117"/>
    </row>
    <row r="316" spans="5:6" x14ac:dyDescent="0.15">
      <c r="E316" s="117"/>
      <c r="F316" s="117"/>
    </row>
    <row r="317" spans="5:6" x14ac:dyDescent="0.15">
      <c r="E317" s="117"/>
      <c r="F317" s="117"/>
    </row>
    <row r="318" spans="5:6" x14ac:dyDescent="0.15">
      <c r="E318" s="117"/>
      <c r="F318" s="117"/>
    </row>
    <row r="319" spans="5:6" x14ac:dyDescent="0.15">
      <c r="E319" s="117"/>
      <c r="F319" s="117"/>
    </row>
    <row r="320" spans="5:6" x14ac:dyDescent="0.15">
      <c r="E320" s="117"/>
      <c r="F320" s="117"/>
    </row>
    <row r="321" spans="5:6" x14ac:dyDescent="0.15">
      <c r="E321" s="117"/>
      <c r="F321" s="117"/>
    </row>
    <row r="322" spans="5:6" x14ac:dyDescent="0.15">
      <c r="E322" s="117"/>
      <c r="F322" s="117"/>
    </row>
    <row r="323" spans="5:6" x14ac:dyDescent="0.15">
      <c r="E323" s="117"/>
      <c r="F323" s="117"/>
    </row>
    <row r="324" spans="5:6" x14ac:dyDescent="0.15">
      <c r="E324" s="117"/>
      <c r="F324" s="117"/>
    </row>
    <row r="325" spans="5:6" x14ac:dyDescent="0.15">
      <c r="E325" s="117"/>
      <c r="F325" s="117"/>
    </row>
    <row r="326" spans="5:6" x14ac:dyDescent="0.15">
      <c r="E326" s="117"/>
      <c r="F326" s="117"/>
    </row>
    <row r="327" spans="5:6" x14ac:dyDescent="0.15">
      <c r="E327" s="117"/>
      <c r="F327" s="117"/>
    </row>
    <row r="328" spans="5:6" x14ac:dyDescent="0.15">
      <c r="E328" s="117"/>
      <c r="F328" s="117"/>
    </row>
    <row r="329" spans="5:6" x14ac:dyDescent="0.15">
      <c r="E329" s="117"/>
      <c r="F329" s="117"/>
    </row>
    <row r="330" spans="5:6" x14ac:dyDescent="0.15">
      <c r="E330" s="117"/>
      <c r="F330" s="117"/>
    </row>
    <row r="331" spans="5:6" x14ac:dyDescent="0.15">
      <c r="E331" s="117"/>
      <c r="F331" s="117"/>
    </row>
    <row r="332" spans="5:6" x14ac:dyDescent="0.15">
      <c r="E332" s="117"/>
      <c r="F332" s="117"/>
    </row>
    <row r="333" spans="5:6" x14ac:dyDescent="0.15">
      <c r="E333" s="117"/>
      <c r="F333" s="117"/>
    </row>
    <row r="334" spans="5:6" x14ac:dyDescent="0.15">
      <c r="E334" s="117"/>
      <c r="F334" s="117"/>
    </row>
    <row r="335" spans="5:6" x14ac:dyDescent="0.15">
      <c r="E335" s="117"/>
      <c r="F335" s="117"/>
    </row>
    <row r="336" spans="5:6" x14ac:dyDescent="0.15">
      <c r="E336" s="117"/>
      <c r="F336" s="117"/>
    </row>
    <row r="337" spans="5:6" x14ac:dyDescent="0.15">
      <c r="E337" s="117"/>
      <c r="F337" s="117"/>
    </row>
    <row r="338" spans="5:6" x14ac:dyDescent="0.15">
      <c r="E338" s="117"/>
      <c r="F338" s="117"/>
    </row>
    <row r="339" spans="5:6" x14ac:dyDescent="0.15">
      <c r="E339" s="117"/>
      <c r="F339" s="117"/>
    </row>
    <row r="340" spans="5:6" x14ac:dyDescent="0.15">
      <c r="E340" s="117"/>
      <c r="F340" s="117"/>
    </row>
    <row r="341" spans="5:6" x14ac:dyDescent="0.15">
      <c r="E341" s="117"/>
      <c r="F341" s="117"/>
    </row>
    <row r="342" spans="5:6" x14ac:dyDescent="0.15">
      <c r="E342" s="117"/>
      <c r="F342" s="117"/>
    </row>
    <row r="343" spans="5:6" x14ac:dyDescent="0.15">
      <c r="E343" s="117"/>
      <c r="F343" s="117"/>
    </row>
    <row r="344" spans="5:6" x14ac:dyDescent="0.15">
      <c r="E344" s="117"/>
      <c r="F344" s="117"/>
    </row>
    <row r="345" spans="5:6" x14ac:dyDescent="0.15">
      <c r="E345" s="117"/>
      <c r="F345" s="117"/>
    </row>
    <row r="346" spans="5:6" x14ac:dyDescent="0.15">
      <c r="E346" s="117"/>
      <c r="F346" s="117"/>
    </row>
    <row r="347" spans="5:6" x14ac:dyDescent="0.15">
      <c r="E347" s="117"/>
      <c r="F347" s="117"/>
    </row>
    <row r="348" spans="5:6" x14ac:dyDescent="0.15">
      <c r="E348" s="117"/>
      <c r="F348" s="117"/>
    </row>
    <row r="349" spans="5:6" x14ac:dyDescent="0.15">
      <c r="E349" s="117"/>
      <c r="F349" s="117"/>
    </row>
    <row r="350" spans="5:6" x14ac:dyDescent="0.15">
      <c r="E350" s="117"/>
      <c r="F350" s="117"/>
    </row>
    <row r="351" spans="5:6" x14ac:dyDescent="0.15">
      <c r="E351" s="117"/>
      <c r="F351" s="117"/>
    </row>
    <row r="352" spans="5:6" x14ac:dyDescent="0.15">
      <c r="E352" s="117"/>
      <c r="F352" s="117"/>
    </row>
    <row r="353" spans="5:6" x14ac:dyDescent="0.15">
      <c r="E353" s="117"/>
      <c r="F353" s="117"/>
    </row>
    <row r="354" spans="5:6" x14ac:dyDescent="0.15">
      <c r="E354" s="117"/>
      <c r="F354" s="117"/>
    </row>
    <row r="355" spans="5:6" x14ac:dyDescent="0.15">
      <c r="E355" s="117"/>
      <c r="F355" s="117"/>
    </row>
    <row r="356" spans="5:6" x14ac:dyDescent="0.15">
      <c r="E356" s="117"/>
      <c r="F356" s="117"/>
    </row>
    <row r="357" spans="5:6" x14ac:dyDescent="0.15">
      <c r="E357" s="117"/>
      <c r="F357" s="117"/>
    </row>
    <row r="358" spans="5:6" x14ac:dyDescent="0.15">
      <c r="E358" s="117"/>
      <c r="F358" s="117"/>
    </row>
    <row r="359" spans="5:6" x14ac:dyDescent="0.15">
      <c r="E359" s="117"/>
      <c r="F359" s="117"/>
    </row>
    <row r="360" spans="5:6" x14ac:dyDescent="0.15">
      <c r="E360" s="117"/>
      <c r="F360" s="117"/>
    </row>
    <row r="361" spans="5:6" x14ac:dyDescent="0.15">
      <c r="E361" s="117"/>
      <c r="F361" s="117"/>
    </row>
    <row r="362" spans="5:6" x14ac:dyDescent="0.15">
      <c r="E362" s="117"/>
      <c r="F362" s="117"/>
    </row>
    <row r="363" spans="5:6" x14ac:dyDescent="0.15">
      <c r="E363" s="117"/>
      <c r="F363" s="117"/>
    </row>
    <row r="364" spans="5:6" x14ac:dyDescent="0.15">
      <c r="E364" s="117"/>
      <c r="F364" s="117"/>
    </row>
    <row r="365" spans="5:6" x14ac:dyDescent="0.15">
      <c r="E365" s="117"/>
      <c r="F365" s="117"/>
    </row>
    <row r="366" spans="5:6" x14ac:dyDescent="0.15">
      <c r="E366" s="117"/>
      <c r="F366" s="117"/>
    </row>
    <row r="367" spans="5:6" x14ac:dyDescent="0.15">
      <c r="E367" s="117"/>
      <c r="F367" s="117"/>
    </row>
    <row r="368" spans="5:6" x14ac:dyDescent="0.15">
      <c r="E368" s="117"/>
      <c r="F368" s="117"/>
    </row>
    <row r="369" spans="5:6" x14ac:dyDescent="0.15">
      <c r="E369" s="117"/>
      <c r="F369" s="117"/>
    </row>
    <row r="370" spans="5:6" x14ac:dyDescent="0.15">
      <c r="E370" s="117"/>
      <c r="F370" s="117"/>
    </row>
    <row r="371" spans="5:6" x14ac:dyDescent="0.15">
      <c r="E371" s="117"/>
      <c r="F371" s="117"/>
    </row>
    <row r="372" spans="5:6" x14ac:dyDescent="0.15">
      <c r="E372" s="117"/>
      <c r="F372" s="117"/>
    </row>
    <row r="373" spans="5:6" x14ac:dyDescent="0.15">
      <c r="E373" s="117"/>
      <c r="F373" s="117"/>
    </row>
    <row r="374" spans="5:6" x14ac:dyDescent="0.15">
      <c r="E374" s="117"/>
      <c r="F374" s="117"/>
    </row>
    <row r="375" spans="5:6" x14ac:dyDescent="0.15">
      <c r="E375" s="117"/>
      <c r="F375" s="117"/>
    </row>
    <row r="376" spans="5:6" x14ac:dyDescent="0.15">
      <c r="E376" s="117"/>
      <c r="F376" s="117"/>
    </row>
    <row r="377" spans="5:6" x14ac:dyDescent="0.15">
      <c r="E377" s="117"/>
      <c r="F377" s="117"/>
    </row>
    <row r="378" spans="5:6" x14ac:dyDescent="0.15">
      <c r="E378" s="117"/>
      <c r="F378" s="117"/>
    </row>
    <row r="379" spans="5:6" x14ac:dyDescent="0.15">
      <c r="E379" s="117"/>
      <c r="F379" s="117"/>
    </row>
    <row r="380" spans="5:6" x14ac:dyDescent="0.15">
      <c r="E380" s="117"/>
      <c r="F380" s="117"/>
    </row>
    <row r="381" spans="5:6" x14ac:dyDescent="0.15">
      <c r="E381" s="117"/>
      <c r="F381" s="117"/>
    </row>
    <row r="382" spans="5:6" x14ac:dyDescent="0.15">
      <c r="E382" s="117"/>
      <c r="F382" s="117"/>
    </row>
    <row r="383" spans="5:6" x14ac:dyDescent="0.15">
      <c r="E383" s="117"/>
      <c r="F383" s="117"/>
    </row>
    <row r="384" spans="5:6" x14ac:dyDescent="0.15">
      <c r="E384" s="117"/>
      <c r="F384" s="117"/>
    </row>
    <row r="385" spans="5:6" x14ac:dyDescent="0.15">
      <c r="E385" s="117"/>
      <c r="F385" s="117"/>
    </row>
    <row r="386" spans="5:6" x14ac:dyDescent="0.15">
      <c r="E386" s="117"/>
      <c r="F386" s="117"/>
    </row>
    <row r="387" spans="5:6" x14ac:dyDescent="0.15">
      <c r="E387" s="117"/>
      <c r="F387" s="117"/>
    </row>
    <row r="388" spans="5:6" x14ac:dyDescent="0.15">
      <c r="E388" s="117"/>
      <c r="F388" s="117"/>
    </row>
    <row r="389" spans="5:6" x14ac:dyDescent="0.15">
      <c r="E389" s="117"/>
      <c r="F389" s="117"/>
    </row>
    <row r="390" spans="5:6" x14ac:dyDescent="0.15">
      <c r="E390" s="117"/>
      <c r="F390" s="117"/>
    </row>
    <row r="391" spans="5:6" x14ac:dyDescent="0.15">
      <c r="E391" s="117"/>
      <c r="F391" s="117"/>
    </row>
    <row r="392" spans="5:6" x14ac:dyDescent="0.15">
      <c r="E392" s="117"/>
      <c r="F392" s="117"/>
    </row>
    <row r="393" spans="5:6" x14ac:dyDescent="0.15">
      <c r="E393" s="117"/>
      <c r="F393" s="117"/>
    </row>
    <row r="394" spans="5:6" x14ac:dyDescent="0.15">
      <c r="E394" s="117"/>
      <c r="F394" s="117"/>
    </row>
    <row r="395" spans="5:6" x14ac:dyDescent="0.15">
      <c r="E395" s="117"/>
      <c r="F395" s="117"/>
    </row>
    <row r="396" spans="5:6" x14ac:dyDescent="0.15">
      <c r="E396" s="117"/>
      <c r="F396" s="117"/>
    </row>
    <row r="397" spans="5:6" x14ac:dyDescent="0.15">
      <c r="E397" s="117"/>
      <c r="F397" s="117"/>
    </row>
    <row r="398" spans="5:6" x14ac:dyDescent="0.15">
      <c r="E398" s="117"/>
      <c r="F398" s="117"/>
    </row>
    <row r="399" spans="5:6" x14ac:dyDescent="0.15">
      <c r="E399" s="117"/>
      <c r="F399" s="117"/>
    </row>
    <row r="400" spans="5:6" x14ac:dyDescent="0.15">
      <c r="E400" s="117"/>
      <c r="F400" s="117"/>
    </row>
    <row r="401" spans="5:6" x14ac:dyDescent="0.15">
      <c r="E401" s="117"/>
      <c r="F401" s="117"/>
    </row>
    <row r="402" spans="5:6" x14ac:dyDescent="0.15">
      <c r="E402" s="117"/>
      <c r="F402" s="117"/>
    </row>
    <row r="403" spans="5:6" x14ac:dyDescent="0.15">
      <c r="E403" s="117"/>
      <c r="F403" s="117"/>
    </row>
    <row r="404" spans="5:6" x14ac:dyDescent="0.15">
      <c r="E404" s="117"/>
      <c r="F404" s="117"/>
    </row>
    <row r="405" spans="5:6" x14ac:dyDescent="0.15">
      <c r="E405" s="117"/>
      <c r="F405" s="117"/>
    </row>
    <row r="406" spans="5:6" x14ac:dyDescent="0.15">
      <c r="E406" s="117"/>
      <c r="F406" s="117"/>
    </row>
    <row r="407" spans="5:6" x14ac:dyDescent="0.15">
      <c r="E407" s="117"/>
      <c r="F407" s="117"/>
    </row>
    <row r="408" spans="5:6" x14ac:dyDescent="0.15">
      <c r="E408" s="117"/>
      <c r="F408" s="117"/>
    </row>
    <row r="409" spans="5:6" x14ac:dyDescent="0.15">
      <c r="E409" s="117"/>
      <c r="F409" s="117"/>
    </row>
    <row r="410" spans="5:6" x14ac:dyDescent="0.15">
      <c r="E410" s="117"/>
      <c r="F410" s="117"/>
    </row>
    <row r="411" spans="5:6" x14ac:dyDescent="0.15">
      <c r="E411" s="117"/>
      <c r="F411" s="117"/>
    </row>
    <row r="412" spans="5:6" x14ac:dyDescent="0.15">
      <c r="E412" s="117"/>
      <c r="F412" s="117"/>
    </row>
    <row r="413" spans="5:6" x14ac:dyDescent="0.15">
      <c r="E413" s="117"/>
      <c r="F413" s="117"/>
    </row>
    <row r="414" spans="5:6" x14ac:dyDescent="0.15">
      <c r="E414" s="117"/>
      <c r="F414" s="117"/>
    </row>
    <row r="415" spans="5:6" x14ac:dyDescent="0.15">
      <c r="E415" s="117"/>
      <c r="F415" s="117"/>
    </row>
    <row r="416" spans="5:6" x14ac:dyDescent="0.15">
      <c r="E416" s="117"/>
      <c r="F416" s="117"/>
    </row>
    <row r="417" spans="5:6" x14ac:dyDescent="0.15">
      <c r="E417" s="117"/>
      <c r="F417" s="117"/>
    </row>
    <row r="418" spans="5:6" x14ac:dyDescent="0.15">
      <c r="E418" s="117"/>
      <c r="F418" s="117"/>
    </row>
    <row r="419" spans="5:6" x14ac:dyDescent="0.15">
      <c r="E419" s="117"/>
      <c r="F419" s="117"/>
    </row>
    <row r="420" spans="5:6" x14ac:dyDescent="0.15">
      <c r="E420" s="117"/>
      <c r="F420" s="117"/>
    </row>
    <row r="421" spans="5:6" x14ac:dyDescent="0.15">
      <c r="E421" s="117"/>
      <c r="F421" s="117"/>
    </row>
    <row r="422" spans="5:6" x14ac:dyDescent="0.15">
      <c r="E422" s="117"/>
      <c r="F422" s="117"/>
    </row>
    <row r="423" spans="5:6" x14ac:dyDescent="0.15">
      <c r="E423" s="117"/>
      <c r="F423" s="117"/>
    </row>
    <row r="424" spans="5:6" x14ac:dyDescent="0.15">
      <c r="E424" s="117"/>
      <c r="F424" s="117"/>
    </row>
    <row r="425" spans="5:6" x14ac:dyDescent="0.15">
      <c r="E425" s="117"/>
      <c r="F425" s="117"/>
    </row>
    <row r="426" spans="5:6" x14ac:dyDescent="0.15">
      <c r="E426" s="117"/>
      <c r="F426" s="117"/>
    </row>
    <row r="427" spans="5:6" x14ac:dyDescent="0.15">
      <c r="E427" s="117"/>
      <c r="F427" s="117"/>
    </row>
    <row r="428" spans="5:6" x14ac:dyDescent="0.15">
      <c r="E428" s="117"/>
      <c r="F428" s="117"/>
    </row>
    <row r="429" spans="5:6" x14ac:dyDescent="0.15">
      <c r="E429" s="117"/>
      <c r="F429" s="117"/>
    </row>
    <row r="430" spans="5:6" x14ac:dyDescent="0.15">
      <c r="E430" s="117"/>
      <c r="F430" s="117"/>
    </row>
    <row r="431" spans="5:6" x14ac:dyDescent="0.15">
      <c r="E431" s="117"/>
      <c r="F431" s="117"/>
    </row>
    <row r="432" spans="5:6" x14ac:dyDescent="0.15">
      <c r="E432" s="117"/>
      <c r="F432" s="117"/>
    </row>
    <row r="433" spans="5:6" x14ac:dyDescent="0.15">
      <c r="E433" s="117"/>
      <c r="F433" s="117"/>
    </row>
    <row r="434" spans="5:6" x14ac:dyDescent="0.15">
      <c r="E434" s="117"/>
      <c r="F434" s="117"/>
    </row>
    <row r="435" spans="5:6" x14ac:dyDescent="0.15">
      <c r="E435" s="117"/>
      <c r="F435" s="117"/>
    </row>
    <row r="436" spans="5:6" x14ac:dyDescent="0.15">
      <c r="E436" s="117"/>
      <c r="F436" s="117"/>
    </row>
    <row r="437" spans="5:6" x14ac:dyDescent="0.15">
      <c r="E437" s="117"/>
      <c r="F437" s="117"/>
    </row>
    <row r="438" spans="5:6" x14ac:dyDescent="0.15">
      <c r="E438" s="117"/>
      <c r="F438" s="117"/>
    </row>
    <row r="439" spans="5:6" x14ac:dyDescent="0.15">
      <c r="E439" s="117"/>
      <c r="F439" s="117"/>
    </row>
    <row r="440" spans="5:6" x14ac:dyDescent="0.15">
      <c r="E440" s="117"/>
      <c r="F440" s="117"/>
    </row>
    <row r="441" spans="5:6" x14ac:dyDescent="0.15">
      <c r="E441" s="117"/>
      <c r="F441" s="117"/>
    </row>
    <row r="442" spans="5:6" x14ac:dyDescent="0.15">
      <c r="E442" s="117"/>
      <c r="F442" s="117"/>
    </row>
    <row r="443" spans="5:6" x14ac:dyDescent="0.15">
      <c r="E443" s="117"/>
      <c r="F443" s="117"/>
    </row>
    <row r="444" spans="5:6" x14ac:dyDescent="0.15">
      <c r="E444" s="117"/>
      <c r="F444" s="117"/>
    </row>
    <row r="445" spans="5:6" x14ac:dyDescent="0.15">
      <c r="E445" s="117"/>
      <c r="F445" s="117"/>
    </row>
    <row r="446" spans="5:6" x14ac:dyDescent="0.15">
      <c r="E446" s="117"/>
      <c r="F446" s="117"/>
    </row>
    <row r="447" spans="5:6" x14ac:dyDescent="0.15">
      <c r="E447" s="117"/>
      <c r="F447" s="117"/>
    </row>
    <row r="448" spans="5:6" x14ac:dyDescent="0.15">
      <c r="E448" s="117"/>
      <c r="F448" s="117"/>
    </row>
    <row r="449" spans="5:6" x14ac:dyDescent="0.15">
      <c r="E449" s="117"/>
      <c r="F449" s="117"/>
    </row>
    <row r="450" spans="5:6" x14ac:dyDescent="0.15">
      <c r="E450" s="117"/>
      <c r="F450" s="117"/>
    </row>
    <row r="451" spans="5:6" x14ac:dyDescent="0.15">
      <c r="E451" s="117"/>
      <c r="F451" s="117"/>
    </row>
    <row r="452" spans="5:6" x14ac:dyDescent="0.15">
      <c r="E452" s="117"/>
      <c r="F452" s="117"/>
    </row>
    <row r="453" spans="5:6" x14ac:dyDescent="0.15">
      <c r="E453" s="117"/>
      <c r="F453" s="117"/>
    </row>
    <row r="454" spans="5:6" x14ac:dyDescent="0.15">
      <c r="E454" s="117"/>
      <c r="F454" s="117"/>
    </row>
    <row r="455" spans="5:6" x14ac:dyDescent="0.15">
      <c r="E455" s="117"/>
      <c r="F455" s="117"/>
    </row>
    <row r="456" spans="5:6" x14ac:dyDescent="0.15">
      <c r="E456" s="117"/>
      <c r="F456" s="117"/>
    </row>
    <row r="457" spans="5:6" x14ac:dyDescent="0.15">
      <c r="E457" s="117"/>
      <c r="F457" s="117"/>
    </row>
    <row r="458" spans="5:6" x14ac:dyDescent="0.15">
      <c r="E458" s="117"/>
      <c r="F458" s="117"/>
    </row>
    <row r="459" spans="5:6" x14ac:dyDescent="0.15">
      <c r="E459" s="117"/>
      <c r="F459" s="117"/>
    </row>
    <row r="460" spans="5:6" x14ac:dyDescent="0.15">
      <c r="E460" s="117"/>
      <c r="F460" s="117"/>
    </row>
    <row r="461" spans="5:6" x14ac:dyDescent="0.15">
      <c r="E461" s="117"/>
      <c r="F461" s="117"/>
    </row>
    <row r="462" spans="5:6" x14ac:dyDescent="0.15">
      <c r="E462" s="117"/>
      <c r="F462" s="117"/>
    </row>
    <row r="463" spans="5:6" x14ac:dyDescent="0.15">
      <c r="E463" s="117"/>
      <c r="F463" s="117"/>
    </row>
    <row r="464" spans="5:6" x14ac:dyDescent="0.15">
      <c r="E464" s="117"/>
      <c r="F464" s="117"/>
    </row>
    <row r="465" spans="5:6" x14ac:dyDescent="0.15">
      <c r="E465" s="117"/>
      <c r="F465" s="117"/>
    </row>
    <row r="466" spans="5:6" x14ac:dyDescent="0.15">
      <c r="E466" s="117"/>
      <c r="F466" s="117"/>
    </row>
    <row r="467" spans="5:6" x14ac:dyDescent="0.15">
      <c r="E467" s="117"/>
      <c r="F467" s="117"/>
    </row>
    <row r="468" spans="5:6" x14ac:dyDescent="0.15">
      <c r="E468" s="117"/>
      <c r="F468" s="117"/>
    </row>
    <row r="469" spans="5:6" x14ac:dyDescent="0.15">
      <c r="E469" s="117"/>
      <c r="F469" s="117"/>
    </row>
    <row r="470" spans="5:6" x14ac:dyDescent="0.15">
      <c r="E470" s="117"/>
      <c r="F470" s="117"/>
    </row>
    <row r="471" spans="5:6" x14ac:dyDescent="0.15">
      <c r="E471" s="117"/>
      <c r="F471" s="117"/>
    </row>
    <row r="472" spans="5:6" x14ac:dyDescent="0.15">
      <c r="E472" s="117"/>
      <c r="F472" s="117"/>
    </row>
    <row r="473" spans="5:6" x14ac:dyDescent="0.15">
      <c r="E473" s="117"/>
      <c r="F473" s="117"/>
    </row>
    <row r="474" spans="5:6" x14ac:dyDescent="0.15">
      <c r="E474" s="117"/>
      <c r="F474" s="117"/>
    </row>
    <row r="475" spans="5:6" x14ac:dyDescent="0.15">
      <c r="E475" s="117"/>
      <c r="F475" s="117"/>
    </row>
    <row r="476" spans="5:6" x14ac:dyDescent="0.15">
      <c r="E476" s="117"/>
      <c r="F476" s="117"/>
    </row>
    <row r="477" spans="5:6" x14ac:dyDescent="0.15">
      <c r="E477" s="117"/>
      <c r="F477" s="117"/>
    </row>
    <row r="478" spans="5:6" x14ac:dyDescent="0.15">
      <c r="E478" s="117"/>
      <c r="F478" s="117"/>
    </row>
    <row r="479" spans="5:6" x14ac:dyDescent="0.15">
      <c r="E479" s="117"/>
      <c r="F479" s="117"/>
    </row>
    <row r="480" spans="5:6" x14ac:dyDescent="0.15">
      <c r="E480" s="117"/>
      <c r="F480" s="117"/>
    </row>
    <row r="481" spans="5:6" x14ac:dyDescent="0.15">
      <c r="E481" s="117"/>
      <c r="F481" s="117"/>
    </row>
    <row r="482" spans="5:6" x14ac:dyDescent="0.15">
      <c r="E482" s="117"/>
      <c r="F482" s="117"/>
    </row>
    <row r="483" spans="5:6" x14ac:dyDescent="0.15">
      <c r="E483" s="117"/>
      <c r="F483" s="117"/>
    </row>
    <row r="484" spans="5:6" x14ac:dyDescent="0.15">
      <c r="E484" s="117"/>
      <c r="F484" s="117"/>
    </row>
    <row r="485" spans="5:6" x14ac:dyDescent="0.15">
      <c r="E485" s="117"/>
      <c r="F485" s="117"/>
    </row>
    <row r="486" spans="5:6" x14ac:dyDescent="0.15">
      <c r="E486" s="117"/>
      <c r="F486" s="117"/>
    </row>
    <row r="487" spans="5:6" x14ac:dyDescent="0.15">
      <c r="E487" s="117"/>
      <c r="F487" s="117"/>
    </row>
    <row r="488" spans="5:6" x14ac:dyDescent="0.15">
      <c r="E488" s="117"/>
      <c r="F488" s="117"/>
    </row>
    <row r="489" spans="5:6" x14ac:dyDescent="0.15">
      <c r="E489" s="117"/>
      <c r="F489" s="117"/>
    </row>
    <row r="490" spans="5:6" x14ac:dyDescent="0.15">
      <c r="E490" s="117"/>
      <c r="F490" s="117"/>
    </row>
    <row r="491" spans="5:6" x14ac:dyDescent="0.15">
      <c r="E491" s="117"/>
      <c r="F491" s="117"/>
    </row>
    <row r="492" spans="5:6" x14ac:dyDescent="0.15">
      <c r="E492" s="117"/>
      <c r="F492" s="117"/>
    </row>
    <row r="493" spans="5:6" x14ac:dyDescent="0.15">
      <c r="E493" s="117"/>
      <c r="F493" s="117"/>
    </row>
    <row r="494" spans="5:6" x14ac:dyDescent="0.15">
      <c r="E494" s="117"/>
      <c r="F494" s="117"/>
    </row>
    <row r="495" spans="5:6" x14ac:dyDescent="0.15">
      <c r="E495" s="117"/>
      <c r="F495" s="117"/>
    </row>
    <row r="496" spans="5:6" x14ac:dyDescent="0.15">
      <c r="E496" s="117"/>
      <c r="F496" s="117"/>
    </row>
    <row r="497" spans="5:6" x14ac:dyDescent="0.15">
      <c r="E497" s="117"/>
      <c r="F497" s="117"/>
    </row>
    <row r="498" spans="5:6" x14ac:dyDescent="0.15">
      <c r="E498" s="117"/>
      <c r="F498" s="117"/>
    </row>
    <row r="499" spans="5:6" x14ac:dyDescent="0.15">
      <c r="E499" s="117"/>
      <c r="F499" s="117"/>
    </row>
    <row r="500" spans="5:6" x14ac:dyDescent="0.15">
      <c r="E500" s="117"/>
      <c r="F500" s="117"/>
    </row>
    <row r="501" spans="5:6" x14ac:dyDescent="0.15">
      <c r="E501" s="117"/>
      <c r="F501" s="117"/>
    </row>
    <row r="502" spans="5:6" x14ac:dyDescent="0.15">
      <c r="E502" s="117"/>
      <c r="F502" s="117"/>
    </row>
    <row r="503" spans="5:6" x14ac:dyDescent="0.15">
      <c r="E503" s="117"/>
      <c r="F503" s="117"/>
    </row>
    <row r="504" spans="5:6" x14ac:dyDescent="0.15">
      <c r="E504" s="117"/>
      <c r="F504" s="117"/>
    </row>
    <row r="505" spans="5:6" x14ac:dyDescent="0.15">
      <c r="E505" s="117"/>
      <c r="F505" s="117"/>
    </row>
    <row r="506" spans="5:6" x14ac:dyDescent="0.15">
      <c r="E506" s="117"/>
      <c r="F506" s="117"/>
    </row>
    <row r="507" spans="5:6" x14ac:dyDescent="0.15">
      <c r="E507" s="117"/>
      <c r="F507" s="117"/>
    </row>
    <row r="508" spans="5:6" x14ac:dyDescent="0.15">
      <c r="E508" s="117"/>
      <c r="F508" s="117"/>
    </row>
    <row r="509" spans="5:6" x14ac:dyDescent="0.15">
      <c r="E509" s="117"/>
      <c r="F509" s="117"/>
    </row>
    <row r="510" spans="5:6" x14ac:dyDescent="0.15">
      <c r="E510" s="117"/>
      <c r="F510" s="117"/>
    </row>
    <row r="511" spans="5:6" x14ac:dyDescent="0.15">
      <c r="E511" s="117"/>
      <c r="F511" s="117"/>
    </row>
    <row r="512" spans="5:6" x14ac:dyDescent="0.15">
      <c r="E512" s="117"/>
      <c r="F512" s="117"/>
    </row>
    <row r="513" spans="5:6" x14ac:dyDescent="0.15">
      <c r="E513" s="117"/>
      <c r="F513" s="117"/>
    </row>
    <row r="514" spans="5:6" x14ac:dyDescent="0.15">
      <c r="E514" s="117"/>
      <c r="F514" s="117"/>
    </row>
    <row r="515" spans="5:6" x14ac:dyDescent="0.15">
      <c r="E515" s="117"/>
      <c r="F515" s="117"/>
    </row>
    <row r="516" spans="5:6" x14ac:dyDescent="0.15">
      <c r="E516" s="117"/>
      <c r="F516" s="117"/>
    </row>
    <row r="517" spans="5:6" x14ac:dyDescent="0.15">
      <c r="E517" s="117"/>
      <c r="F517" s="117"/>
    </row>
    <row r="518" spans="5:6" x14ac:dyDescent="0.15">
      <c r="E518" s="117"/>
      <c r="F518" s="117"/>
    </row>
    <row r="519" spans="5:6" x14ac:dyDescent="0.15">
      <c r="E519" s="117"/>
      <c r="F519" s="117"/>
    </row>
    <row r="520" spans="5:6" x14ac:dyDescent="0.15">
      <c r="E520" s="117"/>
      <c r="F520" s="117"/>
    </row>
    <row r="521" spans="5:6" x14ac:dyDescent="0.15">
      <c r="E521" s="117"/>
      <c r="F521" s="117"/>
    </row>
    <row r="522" spans="5:6" x14ac:dyDescent="0.15">
      <c r="E522" s="117"/>
      <c r="F522" s="117"/>
    </row>
    <row r="523" spans="5:6" x14ac:dyDescent="0.15">
      <c r="E523" s="117"/>
      <c r="F523" s="117"/>
    </row>
    <row r="524" spans="5:6" x14ac:dyDescent="0.15">
      <c r="E524" s="117"/>
      <c r="F524" s="117"/>
    </row>
    <row r="525" spans="5:6" x14ac:dyDescent="0.15">
      <c r="E525" s="117"/>
      <c r="F525" s="117"/>
    </row>
    <row r="526" spans="5:6" x14ac:dyDescent="0.15">
      <c r="E526" s="117"/>
      <c r="F526" s="117"/>
    </row>
    <row r="527" spans="5:6" x14ac:dyDescent="0.15">
      <c r="E527" s="117"/>
      <c r="F527" s="117"/>
    </row>
    <row r="528" spans="5:6" x14ac:dyDescent="0.15">
      <c r="E528" s="117"/>
      <c r="F528" s="117"/>
    </row>
    <row r="529" spans="5:6" x14ac:dyDescent="0.15">
      <c r="E529" s="117"/>
      <c r="F529" s="117"/>
    </row>
    <row r="530" spans="5:6" x14ac:dyDescent="0.15">
      <c r="E530" s="117"/>
      <c r="F530" s="117"/>
    </row>
    <row r="531" spans="5:6" x14ac:dyDescent="0.15">
      <c r="E531" s="117"/>
      <c r="F531" s="117"/>
    </row>
    <row r="532" spans="5:6" x14ac:dyDescent="0.15">
      <c r="E532" s="117"/>
      <c r="F532" s="117"/>
    </row>
    <row r="533" spans="5:6" x14ac:dyDescent="0.15">
      <c r="E533" s="117"/>
      <c r="F533" s="117"/>
    </row>
    <row r="534" spans="5:6" x14ac:dyDescent="0.15">
      <c r="E534" s="117"/>
      <c r="F534" s="117"/>
    </row>
    <row r="535" spans="5:6" x14ac:dyDescent="0.15">
      <c r="E535" s="117"/>
      <c r="F535" s="117"/>
    </row>
    <row r="536" spans="5:6" x14ac:dyDescent="0.15">
      <c r="E536" s="117"/>
      <c r="F536" s="117"/>
    </row>
    <row r="537" spans="5:6" x14ac:dyDescent="0.15">
      <c r="E537" s="117"/>
      <c r="F537" s="117"/>
    </row>
    <row r="538" spans="5:6" x14ac:dyDescent="0.15">
      <c r="E538" s="117"/>
      <c r="F538" s="117"/>
    </row>
    <row r="539" spans="5:6" x14ac:dyDescent="0.15">
      <c r="E539" s="117"/>
      <c r="F539" s="117"/>
    </row>
    <row r="540" spans="5:6" x14ac:dyDescent="0.15">
      <c r="E540" s="117"/>
      <c r="F540" s="117"/>
    </row>
    <row r="541" spans="5:6" x14ac:dyDescent="0.15">
      <c r="E541" s="117"/>
      <c r="F541" s="117"/>
    </row>
    <row r="542" spans="5:6" x14ac:dyDescent="0.15">
      <c r="E542" s="117"/>
      <c r="F542" s="117"/>
    </row>
    <row r="543" spans="5:6" x14ac:dyDescent="0.15">
      <c r="E543" s="117"/>
      <c r="F543" s="117"/>
    </row>
    <row r="544" spans="5:6" x14ac:dyDescent="0.15">
      <c r="E544" s="117"/>
      <c r="F544" s="117"/>
    </row>
    <row r="545" spans="5:6" x14ac:dyDescent="0.15">
      <c r="E545" s="117"/>
      <c r="F545" s="117"/>
    </row>
    <row r="546" spans="5:6" x14ac:dyDescent="0.15">
      <c r="E546" s="117"/>
      <c r="F546" s="117"/>
    </row>
    <row r="547" spans="5:6" x14ac:dyDescent="0.15">
      <c r="E547" s="117"/>
      <c r="F547" s="117"/>
    </row>
    <row r="548" spans="5:6" x14ac:dyDescent="0.15">
      <c r="E548" s="117"/>
      <c r="F548" s="117"/>
    </row>
    <row r="549" spans="5:6" x14ac:dyDescent="0.15">
      <c r="E549" s="117"/>
      <c r="F549" s="117"/>
    </row>
    <row r="550" spans="5:6" x14ac:dyDescent="0.15">
      <c r="E550" s="117"/>
      <c r="F550" s="117"/>
    </row>
    <row r="551" spans="5:6" x14ac:dyDescent="0.15">
      <c r="E551" s="117"/>
      <c r="F551" s="117"/>
    </row>
    <row r="552" spans="5:6" x14ac:dyDescent="0.15">
      <c r="E552" s="117"/>
      <c r="F552" s="117"/>
    </row>
    <row r="553" spans="5:6" x14ac:dyDescent="0.15">
      <c r="E553" s="117"/>
      <c r="F553" s="117"/>
    </row>
    <row r="554" spans="5:6" x14ac:dyDescent="0.15">
      <c r="E554" s="117"/>
      <c r="F554" s="117"/>
    </row>
    <row r="555" spans="5:6" x14ac:dyDescent="0.15">
      <c r="E555" s="117"/>
      <c r="F555" s="117"/>
    </row>
    <row r="556" spans="5:6" x14ac:dyDescent="0.15">
      <c r="E556" s="117"/>
      <c r="F556" s="117"/>
    </row>
    <row r="557" spans="5:6" x14ac:dyDescent="0.15">
      <c r="E557" s="117"/>
      <c r="F557" s="117"/>
    </row>
    <row r="558" spans="5:6" x14ac:dyDescent="0.15">
      <c r="E558" s="117"/>
      <c r="F558" s="117"/>
    </row>
    <row r="559" spans="5:6" x14ac:dyDescent="0.15">
      <c r="E559" s="117"/>
      <c r="F559" s="117"/>
    </row>
    <row r="560" spans="5:6" x14ac:dyDescent="0.15">
      <c r="E560" s="117"/>
      <c r="F560" s="117"/>
    </row>
    <row r="561" spans="5:6" x14ac:dyDescent="0.15">
      <c r="E561" s="117"/>
      <c r="F561" s="117"/>
    </row>
    <row r="562" spans="5:6" x14ac:dyDescent="0.15">
      <c r="E562" s="117"/>
      <c r="F562" s="117"/>
    </row>
    <row r="563" spans="5:6" x14ac:dyDescent="0.15">
      <c r="E563" s="117"/>
      <c r="F563" s="117"/>
    </row>
    <row r="564" spans="5:6" x14ac:dyDescent="0.15">
      <c r="E564" s="117"/>
      <c r="F564" s="117"/>
    </row>
    <row r="565" spans="5:6" x14ac:dyDescent="0.15">
      <c r="E565" s="117"/>
      <c r="F565" s="117"/>
    </row>
    <row r="566" spans="5:6" x14ac:dyDescent="0.15">
      <c r="E566" s="117"/>
      <c r="F566" s="117"/>
    </row>
    <row r="567" spans="5:6" x14ac:dyDescent="0.15">
      <c r="E567" s="117"/>
      <c r="F567" s="117"/>
    </row>
    <row r="568" spans="5:6" x14ac:dyDescent="0.15">
      <c r="E568" s="117"/>
      <c r="F568" s="117"/>
    </row>
    <row r="569" spans="5:6" x14ac:dyDescent="0.15">
      <c r="E569" s="117"/>
      <c r="F569" s="117"/>
    </row>
    <row r="570" spans="5:6" x14ac:dyDescent="0.15">
      <c r="E570" s="117"/>
      <c r="F570" s="117"/>
    </row>
    <row r="571" spans="5:6" x14ac:dyDescent="0.15">
      <c r="E571" s="117"/>
      <c r="F571" s="117"/>
    </row>
    <row r="572" spans="5:6" x14ac:dyDescent="0.15">
      <c r="E572" s="117"/>
      <c r="F572" s="117"/>
    </row>
    <row r="573" spans="5:6" x14ac:dyDescent="0.15">
      <c r="E573" s="117"/>
      <c r="F573" s="117"/>
    </row>
    <row r="574" spans="5:6" x14ac:dyDescent="0.15">
      <c r="E574" s="117"/>
      <c r="F574" s="117"/>
    </row>
    <row r="575" spans="5:6" x14ac:dyDescent="0.15">
      <c r="E575" s="117"/>
      <c r="F575" s="117"/>
    </row>
    <row r="576" spans="5:6" x14ac:dyDescent="0.15">
      <c r="E576" s="117"/>
      <c r="F576" s="117"/>
    </row>
    <row r="577" spans="5:6" x14ac:dyDescent="0.15">
      <c r="E577" s="117"/>
      <c r="F577" s="117"/>
    </row>
    <row r="578" spans="5:6" x14ac:dyDescent="0.15">
      <c r="E578" s="117"/>
      <c r="F578" s="117"/>
    </row>
    <row r="579" spans="5:6" x14ac:dyDescent="0.15">
      <c r="E579" s="117"/>
      <c r="F579" s="117"/>
    </row>
    <row r="580" spans="5:6" x14ac:dyDescent="0.15">
      <c r="E580" s="117"/>
      <c r="F580" s="117"/>
    </row>
    <row r="581" spans="5:6" x14ac:dyDescent="0.15">
      <c r="E581" s="117"/>
      <c r="F581" s="117"/>
    </row>
    <row r="582" spans="5:6" x14ac:dyDescent="0.15">
      <c r="E582" s="117"/>
      <c r="F582" s="117"/>
    </row>
    <row r="583" spans="5:6" x14ac:dyDescent="0.15">
      <c r="E583" s="117"/>
      <c r="F583" s="117"/>
    </row>
    <row r="584" spans="5:6" x14ac:dyDescent="0.15">
      <c r="E584" s="117"/>
      <c r="F584" s="117"/>
    </row>
    <row r="585" spans="5:6" x14ac:dyDescent="0.15">
      <c r="E585" s="117"/>
      <c r="F585" s="117"/>
    </row>
    <row r="586" spans="5:6" x14ac:dyDescent="0.15">
      <c r="E586" s="117"/>
      <c r="F586" s="117"/>
    </row>
    <row r="587" spans="5:6" x14ac:dyDescent="0.15">
      <c r="E587" s="117"/>
      <c r="F587" s="117"/>
    </row>
    <row r="588" spans="5:6" x14ac:dyDescent="0.15">
      <c r="E588" s="117"/>
      <c r="F588" s="117"/>
    </row>
    <row r="589" spans="5:6" x14ac:dyDescent="0.15">
      <c r="E589" s="117"/>
      <c r="F589" s="117"/>
    </row>
    <row r="590" spans="5:6" x14ac:dyDescent="0.15">
      <c r="E590" s="117"/>
      <c r="F590" s="117"/>
    </row>
    <row r="591" spans="5:6" x14ac:dyDescent="0.15">
      <c r="E591" s="117"/>
      <c r="F591" s="117"/>
    </row>
    <row r="592" spans="5:6" x14ac:dyDescent="0.15">
      <c r="E592" s="117"/>
      <c r="F592" s="117"/>
    </row>
    <row r="593" spans="5:6" x14ac:dyDescent="0.15">
      <c r="E593" s="117"/>
      <c r="F593" s="117"/>
    </row>
    <row r="594" spans="5:6" x14ac:dyDescent="0.15">
      <c r="E594" s="117"/>
      <c r="F594" s="117"/>
    </row>
    <row r="595" spans="5:6" x14ac:dyDescent="0.15">
      <c r="E595" s="117"/>
      <c r="F595" s="117"/>
    </row>
    <row r="596" spans="5:6" x14ac:dyDescent="0.15">
      <c r="E596" s="117"/>
      <c r="F596" s="117"/>
    </row>
    <row r="597" spans="5:6" x14ac:dyDescent="0.15">
      <c r="E597" s="117"/>
      <c r="F597" s="117"/>
    </row>
    <row r="598" spans="5:6" x14ac:dyDescent="0.15">
      <c r="E598" s="117"/>
      <c r="F598" s="117"/>
    </row>
    <row r="599" spans="5:6" x14ac:dyDescent="0.15">
      <c r="E599" s="117"/>
      <c r="F599" s="117"/>
    </row>
    <row r="600" spans="5:6" x14ac:dyDescent="0.15">
      <c r="E600" s="117"/>
      <c r="F600" s="117"/>
    </row>
    <row r="601" spans="5:6" x14ac:dyDescent="0.15">
      <c r="E601" s="117"/>
      <c r="F601" s="117"/>
    </row>
    <row r="602" spans="5:6" x14ac:dyDescent="0.15">
      <c r="E602" s="117"/>
      <c r="F602" s="117"/>
    </row>
    <row r="603" spans="5:6" x14ac:dyDescent="0.15">
      <c r="E603" s="117"/>
      <c r="F603" s="117"/>
    </row>
    <row r="604" spans="5:6" x14ac:dyDescent="0.15">
      <c r="E604" s="117"/>
      <c r="F604" s="117"/>
    </row>
    <row r="605" spans="5:6" x14ac:dyDescent="0.15">
      <c r="E605" s="117"/>
      <c r="F605" s="117"/>
    </row>
    <row r="606" spans="5:6" x14ac:dyDescent="0.15">
      <c r="E606" s="117"/>
      <c r="F606" s="117"/>
    </row>
    <row r="607" spans="5:6" x14ac:dyDescent="0.15">
      <c r="E607" s="117"/>
      <c r="F607" s="117"/>
    </row>
    <row r="608" spans="5:6" x14ac:dyDescent="0.15">
      <c r="E608" s="117"/>
      <c r="F608" s="117"/>
    </row>
    <row r="609" spans="5:6" x14ac:dyDescent="0.15">
      <c r="E609" s="117"/>
      <c r="F609" s="117"/>
    </row>
    <row r="610" spans="5:6" x14ac:dyDescent="0.15">
      <c r="E610" s="117"/>
      <c r="F610" s="117"/>
    </row>
    <row r="611" spans="5:6" x14ac:dyDescent="0.15">
      <c r="E611" s="117"/>
      <c r="F611" s="117"/>
    </row>
    <row r="612" spans="5:6" x14ac:dyDescent="0.15">
      <c r="E612" s="117"/>
      <c r="F612" s="117"/>
    </row>
    <row r="613" spans="5:6" x14ac:dyDescent="0.15">
      <c r="E613" s="117"/>
      <c r="F613" s="117"/>
    </row>
    <row r="614" spans="5:6" x14ac:dyDescent="0.15">
      <c r="E614" s="117"/>
      <c r="F614" s="117"/>
    </row>
    <row r="615" spans="5:6" x14ac:dyDescent="0.15">
      <c r="E615" s="117"/>
      <c r="F615" s="117"/>
    </row>
    <row r="616" spans="5:6" x14ac:dyDescent="0.15">
      <c r="E616" s="117"/>
      <c r="F616" s="117"/>
    </row>
    <row r="617" spans="5:6" x14ac:dyDescent="0.15">
      <c r="E617" s="117"/>
      <c r="F617" s="117"/>
    </row>
    <row r="618" spans="5:6" x14ac:dyDescent="0.15">
      <c r="E618" s="117"/>
      <c r="F618" s="117"/>
    </row>
    <row r="619" spans="5:6" x14ac:dyDescent="0.15">
      <c r="E619" s="117"/>
      <c r="F619" s="117"/>
    </row>
    <row r="620" spans="5:6" x14ac:dyDescent="0.15">
      <c r="E620" s="117"/>
      <c r="F620" s="117"/>
    </row>
    <row r="621" spans="5:6" x14ac:dyDescent="0.15">
      <c r="E621" s="117"/>
      <c r="F621" s="117"/>
    </row>
    <row r="622" spans="5:6" x14ac:dyDescent="0.15">
      <c r="E622" s="117"/>
      <c r="F622" s="117"/>
    </row>
    <row r="623" spans="5:6" x14ac:dyDescent="0.15">
      <c r="E623" s="117"/>
      <c r="F623" s="117"/>
    </row>
    <row r="624" spans="5:6" x14ac:dyDescent="0.15">
      <c r="E624" s="117"/>
      <c r="F624" s="117"/>
    </row>
    <row r="625" spans="5:6" x14ac:dyDescent="0.15">
      <c r="E625" s="117"/>
      <c r="F625" s="117"/>
    </row>
    <row r="626" spans="5:6" x14ac:dyDescent="0.15">
      <c r="E626" s="117"/>
      <c r="F626" s="117"/>
    </row>
    <row r="627" spans="5:6" x14ac:dyDescent="0.15">
      <c r="E627" s="117"/>
      <c r="F627" s="117"/>
    </row>
    <row r="628" spans="5:6" x14ac:dyDescent="0.15">
      <c r="E628" s="117"/>
      <c r="F628" s="117"/>
    </row>
    <row r="629" spans="5:6" x14ac:dyDescent="0.15">
      <c r="E629" s="117"/>
      <c r="F629" s="117"/>
    </row>
    <row r="630" spans="5:6" x14ac:dyDescent="0.15">
      <c r="E630" s="117"/>
      <c r="F630" s="117"/>
    </row>
    <row r="631" spans="5:6" x14ac:dyDescent="0.15">
      <c r="E631" s="117"/>
      <c r="F631" s="117"/>
    </row>
    <row r="632" spans="5:6" x14ac:dyDescent="0.15">
      <c r="E632" s="117"/>
      <c r="F632" s="117"/>
    </row>
    <row r="633" spans="5:6" x14ac:dyDescent="0.15">
      <c r="E633" s="117"/>
      <c r="F633" s="117"/>
    </row>
    <row r="634" spans="5:6" x14ac:dyDescent="0.15">
      <c r="E634" s="117"/>
      <c r="F634" s="117"/>
    </row>
    <row r="635" spans="5:6" x14ac:dyDescent="0.15">
      <c r="E635" s="117"/>
      <c r="F635" s="117"/>
    </row>
    <row r="636" spans="5:6" x14ac:dyDescent="0.15">
      <c r="E636" s="117"/>
      <c r="F636" s="117"/>
    </row>
    <row r="637" spans="5:6" x14ac:dyDescent="0.15">
      <c r="E637" s="117"/>
      <c r="F637" s="117"/>
    </row>
    <row r="638" spans="5:6" x14ac:dyDescent="0.15">
      <c r="E638" s="117"/>
      <c r="F638" s="117"/>
    </row>
    <row r="639" spans="5:6" x14ac:dyDescent="0.15">
      <c r="E639" s="117"/>
      <c r="F639" s="117"/>
    </row>
    <row r="640" spans="5:6" x14ac:dyDescent="0.15">
      <c r="E640" s="117"/>
      <c r="F640" s="117"/>
    </row>
    <row r="641" spans="5:6" x14ac:dyDescent="0.15">
      <c r="E641" s="117"/>
      <c r="F641" s="117"/>
    </row>
    <row r="642" spans="5:6" x14ac:dyDescent="0.15">
      <c r="E642" s="117"/>
      <c r="F642" s="117"/>
    </row>
    <row r="643" spans="5:6" x14ac:dyDescent="0.15">
      <c r="E643" s="117"/>
      <c r="F643" s="117"/>
    </row>
    <row r="644" spans="5:6" x14ac:dyDescent="0.15">
      <c r="E644" s="117"/>
      <c r="F644" s="117"/>
    </row>
    <row r="645" spans="5:6" x14ac:dyDescent="0.15">
      <c r="E645" s="117"/>
      <c r="F645" s="117"/>
    </row>
    <row r="646" spans="5:6" x14ac:dyDescent="0.15">
      <c r="E646" s="117"/>
      <c r="F646" s="117"/>
    </row>
    <row r="647" spans="5:6" x14ac:dyDescent="0.15">
      <c r="E647" s="117"/>
      <c r="F647" s="117"/>
    </row>
    <row r="648" spans="5:6" x14ac:dyDescent="0.15">
      <c r="E648" s="117"/>
      <c r="F648" s="117"/>
    </row>
    <row r="649" spans="5:6" x14ac:dyDescent="0.15">
      <c r="E649" s="117"/>
      <c r="F649" s="117"/>
    </row>
    <row r="650" spans="5:6" x14ac:dyDescent="0.15">
      <c r="E650" s="117"/>
      <c r="F650" s="117"/>
    </row>
    <row r="651" spans="5:6" x14ac:dyDescent="0.15">
      <c r="E651" s="117"/>
      <c r="F651" s="117"/>
    </row>
    <row r="652" spans="5:6" x14ac:dyDescent="0.15">
      <c r="E652" s="117"/>
      <c r="F652" s="117"/>
    </row>
    <row r="653" spans="5:6" x14ac:dyDescent="0.15">
      <c r="E653" s="117"/>
      <c r="F653" s="117"/>
    </row>
    <row r="654" spans="5:6" x14ac:dyDescent="0.15">
      <c r="E654" s="117"/>
      <c r="F654" s="117"/>
    </row>
    <row r="655" spans="5:6" x14ac:dyDescent="0.15">
      <c r="E655" s="117"/>
      <c r="F655" s="117"/>
    </row>
    <row r="656" spans="5:6" x14ac:dyDescent="0.15">
      <c r="E656" s="117"/>
      <c r="F656" s="117"/>
    </row>
    <row r="657" spans="5:6" x14ac:dyDescent="0.15">
      <c r="E657" s="117"/>
      <c r="F657" s="117"/>
    </row>
    <row r="658" spans="5:6" x14ac:dyDescent="0.15">
      <c r="E658" s="117"/>
      <c r="F658" s="117"/>
    </row>
    <row r="659" spans="5:6" x14ac:dyDescent="0.15">
      <c r="E659" s="117"/>
      <c r="F659" s="117"/>
    </row>
    <row r="660" spans="5:6" x14ac:dyDescent="0.15">
      <c r="E660" s="117"/>
      <c r="F660" s="117"/>
    </row>
    <row r="661" spans="5:6" x14ac:dyDescent="0.15">
      <c r="E661" s="117"/>
      <c r="F661" s="117"/>
    </row>
    <row r="662" spans="5:6" x14ac:dyDescent="0.15">
      <c r="E662" s="117"/>
      <c r="F662" s="117"/>
    </row>
    <row r="663" spans="5:6" x14ac:dyDescent="0.15">
      <c r="E663" s="117"/>
      <c r="F663" s="117"/>
    </row>
    <row r="664" spans="5:6" x14ac:dyDescent="0.15">
      <c r="E664" s="117"/>
      <c r="F664" s="117"/>
    </row>
    <row r="665" spans="5:6" x14ac:dyDescent="0.15">
      <c r="E665" s="117"/>
      <c r="F665" s="117"/>
    </row>
    <row r="666" spans="5:6" x14ac:dyDescent="0.15">
      <c r="E666" s="117"/>
      <c r="F666" s="117"/>
    </row>
    <row r="667" spans="5:6" x14ac:dyDescent="0.15">
      <c r="E667" s="117"/>
      <c r="F667" s="117"/>
    </row>
    <row r="668" spans="5:6" x14ac:dyDescent="0.15">
      <c r="E668" s="117"/>
      <c r="F668" s="117"/>
    </row>
    <row r="669" spans="5:6" x14ac:dyDescent="0.15">
      <c r="E669" s="117"/>
      <c r="F669" s="117"/>
    </row>
    <row r="670" spans="5:6" x14ac:dyDescent="0.15">
      <c r="E670" s="117"/>
      <c r="F670" s="117"/>
    </row>
    <row r="671" spans="5:6" x14ac:dyDescent="0.15">
      <c r="E671" s="117"/>
      <c r="F671" s="117"/>
    </row>
    <row r="672" spans="5:6" x14ac:dyDescent="0.15">
      <c r="E672" s="117"/>
      <c r="F672" s="117"/>
    </row>
    <row r="673" spans="5:6" x14ac:dyDescent="0.15">
      <c r="E673" s="117"/>
      <c r="F673" s="117"/>
    </row>
    <row r="674" spans="5:6" x14ac:dyDescent="0.15">
      <c r="E674" s="117"/>
      <c r="F674" s="117"/>
    </row>
    <row r="675" spans="5:6" x14ac:dyDescent="0.15">
      <c r="E675" s="117"/>
      <c r="F675" s="117"/>
    </row>
    <row r="676" spans="5:6" x14ac:dyDescent="0.15">
      <c r="E676" s="117"/>
      <c r="F676" s="117"/>
    </row>
    <row r="677" spans="5:6" x14ac:dyDescent="0.15">
      <c r="E677" s="117"/>
      <c r="F677" s="117"/>
    </row>
    <row r="678" spans="5:6" x14ac:dyDescent="0.15">
      <c r="E678" s="117"/>
      <c r="F678" s="117"/>
    </row>
    <row r="679" spans="5:6" x14ac:dyDescent="0.15">
      <c r="E679" s="117"/>
      <c r="F679" s="117"/>
    </row>
    <row r="680" spans="5:6" x14ac:dyDescent="0.15">
      <c r="E680" s="117"/>
      <c r="F680" s="117"/>
    </row>
    <row r="681" spans="5:6" x14ac:dyDescent="0.15">
      <c r="E681" s="117"/>
      <c r="F681" s="117"/>
    </row>
    <row r="682" spans="5:6" x14ac:dyDescent="0.15">
      <c r="E682" s="117"/>
      <c r="F682" s="117"/>
    </row>
    <row r="683" spans="5:6" x14ac:dyDescent="0.15">
      <c r="E683" s="117"/>
      <c r="F683" s="117"/>
    </row>
    <row r="684" spans="5:6" x14ac:dyDescent="0.15">
      <c r="E684" s="117"/>
      <c r="F684" s="117"/>
    </row>
    <row r="685" spans="5:6" x14ac:dyDescent="0.15">
      <c r="E685" s="117"/>
      <c r="F685" s="117"/>
    </row>
    <row r="686" spans="5:6" x14ac:dyDescent="0.15">
      <c r="E686" s="117"/>
      <c r="F686" s="117"/>
    </row>
    <row r="687" spans="5:6" x14ac:dyDescent="0.15">
      <c r="E687" s="117"/>
      <c r="F687" s="117"/>
    </row>
    <row r="688" spans="5:6" x14ac:dyDescent="0.15">
      <c r="E688" s="117"/>
      <c r="F688" s="117"/>
    </row>
    <row r="689" spans="5:6" x14ac:dyDescent="0.15">
      <c r="E689" s="117"/>
      <c r="F689" s="117"/>
    </row>
    <row r="690" spans="5:6" x14ac:dyDescent="0.15">
      <c r="E690" s="117"/>
      <c r="F690" s="117"/>
    </row>
    <row r="691" spans="5:6" x14ac:dyDescent="0.15">
      <c r="E691" s="117"/>
      <c r="F691" s="117"/>
    </row>
    <row r="692" spans="5:6" x14ac:dyDescent="0.15">
      <c r="E692" s="117"/>
      <c r="F692" s="117"/>
    </row>
    <row r="693" spans="5:6" x14ac:dyDescent="0.15">
      <c r="E693" s="117"/>
      <c r="F693" s="117"/>
    </row>
    <row r="694" spans="5:6" x14ac:dyDescent="0.15">
      <c r="E694" s="117"/>
      <c r="F694" s="117"/>
    </row>
    <row r="695" spans="5:6" x14ac:dyDescent="0.15">
      <c r="E695" s="117"/>
      <c r="F695" s="117"/>
    </row>
    <row r="696" spans="5:6" x14ac:dyDescent="0.15">
      <c r="E696" s="117"/>
      <c r="F696" s="117"/>
    </row>
    <row r="697" spans="5:6" x14ac:dyDescent="0.15">
      <c r="E697" s="117"/>
      <c r="F697" s="117"/>
    </row>
    <row r="698" spans="5:6" x14ac:dyDescent="0.15">
      <c r="E698" s="117"/>
      <c r="F698" s="117"/>
    </row>
    <row r="699" spans="5:6" x14ac:dyDescent="0.15">
      <c r="E699" s="117"/>
      <c r="F699" s="117"/>
    </row>
    <row r="700" spans="5:6" x14ac:dyDescent="0.15">
      <c r="E700" s="117"/>
      <c r="F700" s="117"/>
    </row>
    <row r="701" spans="5:6" x14ac:dyDescent="0.15">
      <c r="E701" s="117"/>
      <c r="F701" s="117"/>
    </row>
    <row r="702" spans="5:6" x14ac:dyDescent="0.15">
      <c r="E702" s="117"/>
      <c r="F702" s="117"/>
    </row>
    <row r="703" spans="5:6" x14ac:dyDescent="0.15">
      <c r="E703" s="117"/>
      <c r="F703" s="117"/>
    </row>
    <row r="704" spans="5:6" x14ac:dyDescent="0.15">
      <c r="E704" s="117"/>
      <c r="F704" s="117"/>
    </row>
    <row r="705" spans="5:6" x14ac:dyDescent="0.15">
      <c r="E705" s="117"/>
      <c r="F705" s="117"/>
    </row>
    <row r="706" spans="5:6" x14ac:dyDescent="0.15">
      <c r="E706" s="117"/>
      <c r="F706" s="117"/>
    </row>
    <row r="707" spans="5:6" x14ac:dyDescent="0.15">
      <c r="E707" s="117"/>
      <c r="F707" s="117"/>
    </row>
    <row r="708" spans="5:6" x14ac:dyDescent="0.15">
      <c r="E708" s="117"/>
      <c r="F708" s="117"/>
    </row>
    <row r="709" spans="5:6" x14ac:dyDescent="0.15">
      <c r="E709" s="117"/>
      <c r="F709" s="117"/>
    </row>
    <row r="710" spans="5:6" x14ac:dyDescent="0.15">
      <c r="E710" s="117"/>
      <c r="F710" s="117"/>
    </row>
    <row r="711" spans="5:6" x14ac:dyDescent="0.15">
      <c r="E711" s="117"/>
      <c r="F711" s="117"/>
    </row>
    <row r="712" spans="5:6" x14ac:dyDescent="0.15">
      <c r="E712" s="117"/>
      <c r="F712" s="117"/>
    </row>
    <row r="713" spans="5:6" x14ac:dyDescent="0.15">
      <c r="E713" s="117"/>
      <c r="F713" s="117"/>
    </row>
    <row r="714" spans="5:6" x14ac:dyDescent="0.15">
      <c r="E714" s="117"/>
      <c r="F714" s="117"/>
    </row>
    <row r="715" spans="5:6" x14ac:dyDescent="0.15">
      <c r="E715" s="117"/>
      <c r="F715" s="117"/>
    </row>
    <row r="716" spans="5:6" x14ac:dyDescent="0.15">
      <c r="E716" s="117"/>
      <c r="F716" s="117"/>
    </row>
    <row r="717" spans="5:6" x14ac:dyDescent="0.15">
      <c r="E717" s="117"/>
      <c r="F717" s="117"/>
    </row>
    <row r="718" spans="5:6" x14ac:dyDescent="0.15">
      <c r="E718" s="117"/>
      <c r="F718" s="117"/>
    </row>
    <row r="719" spans="5:6" x14ac:dyDescent="0.15">
      <c r="E719" s="117"/>
      <c r="F719" s="117"/>
    </row>
    <row r="720" spans="5:6" x14ac:dyDescent="0.15">
      <c r="E720" s="117"/>
      <c r="F720" s="117"/>
    </row>
    <row r="721" spans="5:6" x14ac:dyDescent="0.15">
      <c r="E721" s="117"/>
      <c r="F721" s="117"/>
    </row>
    <row r="722" spans="5:6" x14ac:dyDescent="0.15">
      <c r="E722" s="117"/>
      <c r="F722" s="117"/>
    </row>
    <row r="723" spans="5:6" x14ac:dyDescent="0.15">
      <c r="E723" s="117"/>
      <c r="F723" s="117"/>
    </row>
    <row r="724" spans="5:6" x14ac:dyDescent="0.15">
      <c r="E724" s="117"/>
      <c r="F724" s="117"/>
    </row>
    <row r="725" spans="5:6" x14ac:dyDescent="0.15">
      <c r="E725" s="117"/>
      <c r="F725" s="117"/>
    </row>
    <row r="726" spans="5:6" x14ac:dyDescent="0.15">
      <c r="E726" s="117"/>
      <c r="F726" s="117"/>
    </row>
    <row r="727" spans="5:6" x14ac:dyDescent="0.15">
      <c r="E727" s="117"/>
      <c r="F727" s="117"/>
    </row>
    <row r="728" spans="5:6" x14ac:dyDescent="0.15">
      <c r="E728" s="117"/>
      <c r="F728" s="117"/>
    </row>
    <row r="729" spans="5:6" x14ac:dyDescent="0.15">
      <c r="E729" s="117"/>
      <c r="F729" s="117"/>
    </row>
    <row r="730" spans="5:6" x14ac:dyDescent="0.15">
      <c r="E730" s="117"/>
      <c r="F730" s="117"/>
    </row>
    <row r="731" spans="5:6" x14ac:dyDescent="0.15">
      <c r="E731" s="117"/>
      <c r="F731" s="117"/>
    </row>
    <row r="732" spans="5:6" x14ac:dyDescent="0.15">
      <c r="E732" s="117"/>
    </row>
  </sheetData>
  <autoFilter ref="A1:BA85" xr:uid="{00000000-0009-0000-0000-000000000000}"/>
  <phoneticPr fontId="3"/>
  <dataValidations count="15">
    <dataValidation type="decimal" allowBlank="1" showInputMessage="1" showErrorMessage="1" error="硬度を正しく入力して下さい。" sqref="O2:P500" xr:uid="{38D42150-7B5E-4BC6-AF47-0EAE4BA7368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33BAB898-0138-46B4-9123-882EC501EEDA}">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BA97D704-72B3-460E-98AB-64A9E9663118}">
      <formula1>$AT$2:$AT$3</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185BA3AE-3327-4619-BFF8-98061CA5A227}">
      <formula1>$AN$5:$AN$6</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8A3FDBC2-431A-4FA4-813D-FAF8B9BF1AE5}">
      <formula1>$AL$4:$AL$12</formula1>
    </dataValidation>
    <dataValidation type="list" allowBlank="1" showInputMessage="1" showErrorMessage="1" sqref="Y2:AA500" xr:uid="{A2ACC39A-DEB7-470F-8459-BF9CFCAE1AB9}">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12647002-6B53-4AAC-A7AF-5EF8A8348195}">
      <formula1>$AP$2:$AP$27</formula1>
    </dataValidation>
    <dataValidation type="list" allowBlank="1" showInputMessage="1" showErrorMessage="1" sqref="H2:H500" xr:uid="{5257779C-E946-4306-A903-8188C3AB8639}">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AB535469-5AC2-4EDD-94A3-AF908E108FB9}">
      <formula1>$AH$2:$AH$11</formula1>
    </dataValidation>
    <dataValidation type="list" allowBlank="1" showInputMessage="1" showErrorMessage="1" sqref="K2:K89" xr:uid="{7FA92220-FA99-4336-B8D9-BD846BCD26B2}">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363A17E5-2C4D-4498-96A3-E6ED41565E65}">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28F1A5B4-DD13-4415-B435-A92131CE854B}"/>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F3596827-2934-454F-BB99-C5EF673DEEE8}">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591A49D9-F65D-4B92-ACE6-2D6A2DF74AC7}">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CA10833C-E1AD-497B-AB5E-0E8FC8903268}">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AD95B-318D-4273-B69D-4021BD984FC5}">
  <sheetPr>
    <pageSetUpPr fitToPage="1"/>
  </sheetPr>
  <dimension ref="A1:BA120"/>
  <sheetViews>
    <sheetView topLeftCell="A28" zoomScale="80" zoomScaleNormal="80" workbookViewId="0">
      <selection activeCell="J70" sqref="J70"/>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45" t="s">
        <v>278</v>
      </c>
      <c r="B1" s="1" t="s">
        <v>1</v>
      </c>
      <c r="C1" s="1" t="s">
        <v>2</v>
      </c>
      <c r="D1" s="2" t="s">
        <v>3</v>
      </c>
      <c r="E1" s="2" t="s">
        <v>279</v>
      </c>
      <c r="F1" s="2" t="s">
        <v>5</v>
      </c>
      <c r="G1" s="2" t="s">
        <v>6</v>
      </c>
      <c r="H1" s="2" t="s">
        <v>280</v>
      </c>
      <c r="I1" s="2" t="s">
        <v>8</v>
      </c>
      <c r="J1" s="2" t="s">
        <v>9</v>
      </c>
      <c r="K1" s="2" t="s">
        <v>10</v>
      </c>
      <c r="L1" s="2" t="s">
        <v>11</v>
      </c>
      <c r="M1" s="2" t="s">
        <v>12</v>
      </c>
      <c r="N1" s="2" t="s">
        <v>13</v>
      </c>
      <c r="O1" s="2" t="s">
        <v>14</v>
      </c>
      <c r="P1" s="2" t="s">
        <v>15</v>
      </c>
      <c r="Q1" s="3" t="s">
        <v>16</v>
      </c>
      <c r="R1" s="2" t="s">
        <v>17</v>
      </c>
      <c r="S1" s="2" t="s">
        <v>18</v>
      </c>
      <c r="T1" s="3" t="s">
        <v>19</v>
      </c>
      <c r="U1" s="4" t="s">
        <v>108</v>
      </c>
      <c r="V1" s="5" t="s">
        <v>20</v>
      </c>
      <c r="W1" s="2" t="s">
        <v>21</v>
      </c>
      <c r="X1" s="2" t="s">
        <v>22</v>
      </c>
      <c r="Y1" s="2" t="s">
        <v>23</v>
      </c>
      <c r="Z1" s="2" t="s">
        <v>24</v>
      </c>
      <c r="AA1" s="146" t="s">
        <v>25</v>
      </c>
      <c r="AB1" s="147" t="s">
        <v>26</v>
      </c>
      <c r="AC1" s="148"/>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6" customFormat="1" x14ac:dyDescent="0.15">
      <c r="A2" s="149" t="s">
        <v>61</v>
      </c>
      <c r="B2" s="149" t="s">
        <v>232</v>
      </c>
      <c r="C2" s="149">
        <v>2019</v>
      </c>
      <c r="D2" s="150" t="s">
        <v>281</v>
      </c>
      <c r="E2" s="149" t="s">
        <v>282</v>
      </c>
      <c r="F2" s="149" t="s">
        <v>283</v>
      </c>
      <c r="G2" s="149" t="s">
        <v>42</v>
      </c>
      <c r="H2" s="151" t="s">
        <v>165</v>
      </c>
      <c r="I2" s="151" t="s">
        <v>159</v>
      </c>
      <c r="J2" s="149" t="s">
        <v>38</v>
      </c>
      <c r="K2" s="151" t="s">
        <v>161</v>
      </c>
      <c r="L2" s="151">
        <v>1</v>
      </c>
      <c r="M2" s="151"/>
      <c r="N2" s="151">
        <v>4</v>
      </c>
      <c r="O2" s="151">
        <v>0.5</v>
      </c>
      <c r="P2" s="151">
        <v>0.5</v>
      </c>
      <c r="Q2" s="152">
        <f t="shared" ref="Q2:Q65" si="0">IF(OR(O2="",P2=""),"",AVERAGE(O2,P2))</f>
        <v>0.5</v>
      </c>
      <c r="R2" s="151">
        <v>15.6</v>
      </c>
      <c r="S2" s="151">
        <v>87</v>
      </c>
      <c r="T2" s="153">
        <f t="shared" ref="T2:T65" si="1">IF(H2="","",IF(OR(H2="GREEN",H2="GK"),IF(S2&gt;=$AX$2,VLOOKUP(S2,$AX$2:$AY$18,2,1),""),IF(S2&gt;=$AZ$2,VLOOKUP(S2,$AZ$2:$BA$18,2,1),"")))</f>
        <v>36</v>
      </c>
      <c r="U2" s="151">
        <v>350</v>
      </c>
      <c r="V2" s="154">
        <f t="shared" ref="V2:V65" si="2">IF(OR(N2="",U2="",T2=""),"",U2/N2*T2)</f>
        <v>3150</v>
      </c>
      <c r="W2" s="151">
        <v>3</v>
      </c>
      <c r="X2" s="149" t="s">
        <v>39</v>
      </c>
      <c r="Y2" s="151" t="s">
        <v>86</v>
      </c>
      <c r="Z2" s="151" t="s">
        <v>97</v>
      </c>
      <c r="AA2" s="151" t="s">
        <v>284</v>
      </c>
      <c r="AB2" s="149" t="s">
        <v>258</v>
      </c>
      <c r="AC2" s="155"/>
      <c r="AE2" s="17" t="s">
        <v>35</v>
      </c>
      <c r="AG2" s="49" t="s">
        <v>282</v>
      </c>
      <c r="AH2" s="49" t="s">
        <v>283</v>
      </c>
      <c r="AJ2" s="157" t="s">
        <v>36</v>
      </c>
      <c r="AL2" s="18" t="s">
        <v>127</v>
      </c>
      <c r="AN2" s="157" t="s">
        <v>37</v>
      </c>
      <c r="AP2" s="18" t="s">
        <v>38</v>
      </c>
      <c r="AR2" s="18" t="s">
        <v>120</v>
      </c>
      <c r="AT2" s="157" t="s">
        <v>39</v>
      </c>
      <c r="AV2" s="18" t="s">
        <v>40</v>
      </c>
      <c r="AX2" s="158">
        <v>1</v>
      </c>
      <c r="AY2" s="159">
        <v>50</v>
      </c>
      <c r="AZ2" s="159">
        <v>1</v>
      </c>
      <c r="BA2" s="160">
        <v>50</v>
      </c>
    </row>
    <row r="3" spans="1:53" x14ac:dyDescent="0.15">
      <c r="A3" s="149" t="s">
        <v>61</v>
      </c>
      <c r="B3" s="149" t="s">
        <v>232</v>
      </c>
      <c r="C3" s="149">
        <v>2019</v>
      </c>
      <c r="D3" s="150" t="s">
        <v>281</v>
      </c>
      <c r="E3" s="149" t="s">
        <v>282</v>
      </c>
      <c r="F3" s="149" t="s">
        <v>283</v>
      </c>
      <c r="G3" s="149" t="s">
        <v>42</v>
      </c>
      <c r="H3" s="151" t="s">
        <v>165</v>
      </c>
      <c r="I3" s="151" t="s">
        <v>159</v>
      </c>
      <c r="J3" s="149" t="s">
        <v>38</v>
      </c>
      <c r="K3" s="151" t="s">
        <v>161</v>
      </c>
      <c r="L3" s="151">
        <v>2</v>
      </c>
      <c r="M3" s="151"/>
      <c r="N3" s="151">
        <v>4</v>
      </c>
      <c r="O3" s="151">
        <v>0.5</v>
      </c>
      <c r="P3" s="151">
        <v>0.5</v>
      </c>
      <c r="Q3" s="152">
        <f t="shared" si="0"/>
        <v>0.5</v>
      </c>
      <c r="R3" s="151">
        <v>17</v>
      </c>
      <c r="S3" s="151">
        <v>99</v>
      </c>
      <c r="T3" s="153">
        <f t="shared" si="1"/>
        <v>33</v>
      </c>
      <c r="U3" s="151">
        <v>350</v>
      </c>
      <c r="V3" s="154">
        <f t="shared" si="2"/>
        <v>2887.5</v>
      </c>
      <c r="W3" s="151">
        <v>3</v>
      </c>
      <c r="X3" s="149" t="s">
        <v>39</v>
      </c>
      <c r="Y3" s="151" t="s">
        <v>86</v>
      </c>
      <c r="Z3" s="151" t="s">
        <v>97</v>
      </c>
      <c r="AA3" s="151" t="s">
        <v>284</v>
      </c>
      <c r="AB3" s="149" t="s">
        <v>258</v>
      </c>
      <c r="AC3" s="155"/>
      <c r="AE3" s="22" t="s">
        <v>41</v>
      </c>
      <c r="AG3" s="49" t="s">
        <v>285</v>
      </c>
      <c r="AH3" s="49" t="s">
        <v>286</v>
      </c>
      <c r="AJ3" s="23" t="s">
        <v>42</v>
      </c>
      <c r="AL3" s="23" t="s">
        <v>128</v>
      </c>
      <c r="AN3" s="23" t="s">
        <v>43</v>
      </c>
      <c r="AP3" s="23" t="s">
        <v>44</v>
      </c>
      <c r="AR3" s="41" t="s">
        <v>45</v>
      </c>
      <c r="AT3" s="23" t="s">
        <v>46</v>
      </c>
      <c r="AV3" s="41" t="s">
        <v>47</v>
      </c>
      <c r="AX3" s="24">
        <v>72</v>
      </c>
      <c r="AY3" s="25">
        <v>46</v>
      </c>
      <c r="AZ3" s="25">
        <v>71</v>
      </c>
      <c r="BA3" s="26">
        <v>42</v>
      </c>
    </row>
    <row r="4" spans="1:53" x14ac:dyDescent="0.15">
      <c r="A4" s="149" t="s">
        <v>61</v>
      </c>
      <c r="B4" s="149" t="s">
        <v>232</v>
      </c>
      <c r="C4" s="149">
        <v>2019</v>
      </c>
      <c r="D4" s="150" t="s">
        <v>281</v>
      </c>
      <c r="E4" s="149" t="s">
        <v>282</v>
      </c>
      <c r="F4" s="149" t="s">
        <v>283</v>
      </c>
      <c r="G4" s="149" t="s">
        <v>42</v>
      </c>
      <c r="H4" s="151" t="s">
        <v>165</v>
      </c>
      <c r="I4" s="151" t="s">
        <v>159</v>
      </c>
      <c r="J4" s="149" t="s">
        <v>38</v>
      </c>
      <c r="K4" s="151" t="s">
        <v>161</v>
      </c>
      <c r="L4" s="151">
        <v>3</v>
      </c>
      <c r="M4" s="151"/>
      <c r="N4" s="151">
        <v>4</v>
      </c>
      <c r="O4" s="151">
        <v>0.5</v>
      </c>
      <c r="P4" s="151">
        <v>0.5</v>
      </c>
      <c r="Q4" s="152">
        <f t="shared" si="0"/>
        <v>0.5</v>
      </c>
      <c r="R4" s="151">
        <v>17.5</v>
      </c>
      <c r="S4" s="151">
        <v>95</v>
      </c>
      <c r="T4" s="153">
        <f t="shared" si="1"/>
        <v>36</v>
      </c>
      <c r="U4" s="151">
        <v>350</v>
      </c>
      <c r="V4" s="154">
        <f t="shared" si="2"/>
        <v>3150</v>
      </c>
      <c r="W4" s="151">
        <v>3</v>
      </c>
      <c r="X4" s="149" t="s">
        <v>39</v>
      </c>
      <c r="Y4" s="151" t="s">
        <v>86</v>
      </c>
      <c r="Z4" s="151" t="s">
        <v>97</v>
      </c>
      <c r="AA4" s="151" t="s">
        <v>284</v>
      </c>
      <c r="AB4" s="149" t="s">
        <v>258</v>
      </c>
      <c r="AC4" s="155"/>
      <c r="AE4" s="22" t="s">
        <v>34</v>
      </c>
      <c r="AG4" s="49" t="s">
        <v>287</v>
      </c>
      <c r="AH4" s="49" t="s">
        <v>288</v>
      </c>
      <c r="AJ4" s="27" t="s">
        <v>48</v>
      </c>
      <c r="AL4" s="27" t="s">
        <v>129</v>
      </c>
      <c r="AN4" s="28" t="s">
        <v>49</v>
      </c>
      <c r="AP4" s="23" t="s">
        <v>93</v>
      </c>
      <c r="AR4" s="41" t="s">
        <v>121</v>
      </c>
      <c r="AT4" s="28"/>
      <c r="AV4" s="41" t="s">
        <v>50</v>
      </c>
      <c r="AX4" s="24">
        <v>75</v>
      </c>
      <c r="AY4" s="25">
        <v>42</v>
      </c>
      <c r="AZ4" s="25">
        <v>76</v>
      </c>
      <c r="BA4" s="26">
        <v>39</v>
      </c>
    </row>
    <row r="5" spans="1:53" x14ac:dyDescent="0.15">
      <c r="A5" s="149" t="s">
        <v>61</v>
      </c>
      <c r="B5" s="149" t="s">
        <v>232</v>
      </c>
      <c r="C5" s="149">
        <v>2019</v>
      </c>
      <c r="D5" s="150" t="s">
        <v>281</v>
      </c>
      <c r="E5" s="149" t="s">
        <v>282</v>
      </c>
      <c r="F5" s="149" t="s">
        <v>283</v>
      </c>
      <c r="G5" s="149" t="s">
        <v>42</v>
      </c>
      <c r="H5" s="151" t="s">
        <v>160</v>
      </c>
      <c r="I5" s="151" t="s">
        <v>159</v>
      </c>
      <c r="J5" s="149" t="s">
        <v>38</v>
      </c>
      <c r="K5" s="151" t="s">
        <v>161</v>
      </c>
      <c r="L5" s="151">
        <v>1</v>
      </c>
      <c r="M5" s="151"/>
      <c r="N5" s="151">
        <v>1</v>
      </c>
      <c r="O5" s="151">
        <v>0.5</v>
      </c>
      <c r="P5" s="151">
        <v>0.5</v>
      </c>
      <c r="Q5" s="152">
        <f t="shared" si="0"/>
        <v>0.5</v>
      </c>
      <c r="R5" s="151">
        <v>17.899999999999999</v>
      </c>
      <c r="S5" s="151">
        <v>126</v>
      </c>
      <c r="T5" s="153">
        <f t="shared" si="1"/>
        <v>27</v>
      </c>
      <c r="U5" s="151">
        <v>137</v>
      </c>
      <c r="V5" s="154">
        <f t="shared" si="2"/>
        <v>3699</v>
      </c>
      <c r="W5" s="151">
        <v>3</v>
      </c>
      <c r="X5" s="149" t="s">
        <v>39</v>
      </c>
      <c r="Y5" s="151" t="s">
        <v>86</v>
      </c>
      <c r="Z5" s="151" t="s">
        <v>97</v>
      </c>
      <c r="AA5" s="151" t="s">
        <v>284</v>
      </c>
      <c r="AB5" s="149" t="s">
        <v>258</v>
      </c>
      <c r="AC5" s="155"/>
      <c r="AE5" s="22" t="s">
        <v>51</v>
      </c>
      <c r="AG5" s="49" t="s">
        <v>289</v>
      </c>
      <c r="AH5" s="49" t="s">
        <v>290</v>
      </c>
      <c r="AJ5" s="27"/>
      <c r="AL5" s="29" t="s">
        <v>66</v>
      </c>
      <c r="AN5" s="29" t="s">
        <v>52</v>
      </c>
      <c r="AP5" s="23" t="s">
        <v>119</v>
      </c>
      <c r="AR5" s="41" t="s">
        <v>54</v>
      </c>
      <c r="AT5" s="151"/>
      <c r="AV5" s="41" t="s">
        <v>55</v>
      </c>
      <c r="AX5" s="24">
        <v>84</v>
      </c>
      <c r="AY5" s="25">
        <v>39</v>
      </c>
      <c r="AZ5" s="25">
        <v>84</v>
      </c>
      <c r="BA5" s="26">
        <v>36</v>
      </c>
    </row>
    <row r="6" spans="1:53" x14ac:dyDescent="0.15">
      <c r="A6" s="149" t="s">
        <v>61</v>
      </c>
      <c r="B6" s="149" t="s">
        <v>232</v>
      </c>
      <c r="C6" s="149">
        <v>2019</v>
      </c>
      <c r="D6" s="150" t="s">
        <v>281</v>
      </c>
      <c r="E6" s="149" t="s">
        <v>282</v>
      </c>
      <c r="F6" s="149" t="s">
        <v>283</v>
      </c>
      <c r="G6" s="149" t="s">
        <v>42</v>
      </c>
      <c r="H6" s="151" t="s">
        <v>160</v>
      </c>
      <c r="I6" s="151" t="s">
        <v>159</v>
      </c>
      <c r="J6" s="149" t="s">
        <v>38</v>
      </c>
      <c r="K6" s="151" t="s">
        <v>161</v>
      </c>
      <c r="L6" s="151">
        <v>2</v>
      </c>
      <c r="M6" s="151"/>
      <c r="N6" s="151">
        <v>1</v>
      </c>
      <c r="O6" s="151">
        <v>0.5</v>
      </c>
      <c r="P6" s="151">
        <v>0.5</v>
      </c>
      <c r="Q6" s="152">
        <f t="shared" si="0"/>
        <v>0.5</v>
      </c>
      <c r="R6" s="151">
        <v>19.399999999999999</v>
      </c>
      <c r="S6" s="151">
        <v>126</v>
      </c>
      <c r="T6" s="153">
        <f t="shared" si="1"/>
        <v>27</v>
      </c>
      <c r="U6" s="151">
        <v>137</v>
      </c>
      <c r="V6" s="154">
        <f t="shared" si="2"/>
        <v>3699</v>
      </c>
      <c r="W6" s="151">
        <v>3</v>
      </c>
      <c r="X6" s="149" t="s">
        <v>39</v>
      </c>
      <c r="Y6" s="151" t="s">
        <v>86</v>
      </c>
      <c r="Z6" s="151" t="s">
        <v>97</v>
      </c>
      <c r="AA6" s="151" t="s">
        <v>284</v>
      </c>
      <c r="AB6" s="149" t="s">
        <v>258</v>
      </c>
      <c r="AC6" s="155"/>
      <c r="AE6" s="22" t="s">
        <v>56</v>
      </c>
      <c r="AG6" s="49" t="s">
        <v>291</v>
      </c>
      <c r="AH6" s="49" t="s">
        <v>292</v>
      </c>
      <c r="AJ6" s="27"/>
      <c r="AL6" s="29" t="s">
        <v>99</v>
      </c>
      <c r="AN6" s="29" t="s">
        <v>57</v>
      </c>
      <c r="AP6" s="23" t="s">
        <v>53</v>
      </c>
      <c r="AR6" s="41" t="s">
        <v>59</v>
      </c>
      <c r="AT6" s="151"/>
      <c r="AV6" s="41" t="s">
        <v>60</v>
      </c>
      <c r="AX6" s="24">
        <v>97</v>
      </c>
      <c r="AY6" s="25">
        <v>36</v>
      </c>
      <c r="AZ6" s="25">
        <v>99</v>
      </c>
      <c r="BA6" s="26">
        <v>33</v>
      </c>
    </row>
    <row r="7" spans="1:53" x14ac:dyDescent="0.15">
      <c r="A7" s="149" t="s">
        <v>61</v>
      </c>
      <c r="B7" s="149" t="s">
        <v>232</v>
      </c>
      <c r="C7" s="149">
        <v>2019</v>
      </c>
      <c r="D7" s="150" t="s">
        <v>281</v>
      </c>
      <c r="E7" s="149" t="s">
        <v>282</v>
      </c>
      <c r="F7" s="149" t="s">
        <v>283</v>
      </c>
      <c r="G7" s="149" t="s">
        <v>42</v>
      </c>
      <c r="H7" s="151" t="s">
        <v>160</v>
      </c>
      <c r="I7" s="151" t="s">
        <v>159</v>
      </c>
      <c r="J7" s="149" t="s">
        <v>38</v>
      </c>
      <c r="K7" s="151" t="s">
        <v>161</v>
      </c>
      <c r="L7" s="151">
        <v>3</v>
      </c>
      <c r="M7" s="151"/>
      <c r="N7" s="151">
        <v>1</v>
      </c>
      <c r="O7" s="151">
        <v>0.5</v>
      </c>
      <c r="P7" s="151">
        <v>0.5</v>
      </c>
      <c r="Q7" s="152">
        <f t="shared" si="0"/>
        <v>0.5</v>
      </c>
      <c r="R7" s="151">
        <v>18.3</v>
      </c>
      <c r="S7" s="151">
        <v>128</v>
      </c>
      <c r="T7" s="153">
        <f t="shared" si="1"/>
        <v>27</v>
      </c>
      <c r="U7" s="151">
        <v>137</v>
      </c>
      <c r="V7" s="154">
        <f t="shared" si="2"/>
        <v>3699</v>
      </c>
      <c r="W7" s="151">
        <v>3</v>
      </c>
      <c r="X7" s="149" t="s">
        <v>39</v>
      </c>
      <c r="Y7" s="151" t="s">
        <v>86</v>
      </c>
      <c r="Z7" s="151" t="s">
        <v>97</v>
      </c>
      <c r="AA7" s="151" t="s">
        <v>284</v>
      </c>
      <c r="AB7" s="149" t="s">
        <v>258</v>
      </c>
      <c r="AC7" s="155"/>
      <c r="AE7" s="22" t="s">
        <v>61</v>
      </c>
      <c r="AG7" s="49" t="s">
        <v>293</v>
      </c>
      <c r="AH7" s="49" t="s">
        <v>294</v>
      </c>
      <c r="AJ7" s="27"/>
      <c r="AL7" s="34" t="s">
        <v>109</v>
      </c>
      <c r="AN7" s="161"/>
      <c r="AP7" s="23" t="s">
        <v>58</v>
      </c>
      <c r="AR7" s="30" t="s">
        <v>122</v>
      </c>
      <c r="AT7" s="151"/>
      <c r="AV7" s="41" t="s">
        <v>64</v>
      </c>
      <c r="AX7" s="24">
        <v>109</v>
      </c>
      <c r="AY7" s="25">
        <v>33</v>
      </c>
      <c r="AZ7" s="25">
        <v>113</v>
      </c>
      <c r="BA7" s="26">
        <v>30</v>
      </c>
    </row>
    <row r="8" spans="1:53" x14ac:dyDescent="0.15">
      <c r="A8" s="149" t="s">
        <v>61</v>
      </c>
      <c r="B8" s="149" t="s">
        <v>232</v>
      </c>
      <c r="C8" s="149">
        <v>2019</v>
      </c>
      <c r="D8" s="150" t="s">
        <v>281</v>
      </c>
      <c r="E8" s="149" t="s">
        <v>285</v>
      </c>
      <c r="F8" s="149" t="s">
        <v>286</v>
      </c>
      <c r="G8" s="149" t="s">
        <v>42</v>
      </c>
      <c r="H8" s="151" t="s">
        <v>165</v>
      </c>
      <c r="I8" s="151" t="s">
        <v>159</v>
      </c>
      <c r="J8" s="149" t="s">
        <v>38</v>
      </c>
      <c r="K8" s="151" t="s">
        <v>161</v>
      </c>
      <c r="L8" s="151">
        <v>1</v>
      </c>
      <c r="M8" s="151"/>
      <c r="N8" s="151">
        <v>4</v>
      </c>
      <c r="O8" s="151">
        <v>0.5</v>
      </c>
      <c r="P8" s="151">
        <v>0.85</v>
      </c>
      <c r="Q8" s="152">
        <f t="shared" si="0"/>
        <v>0.67500000000000004</v>
      </c>
      <c r="R8" s="151">
        <v>17.5</v>
      </c>
      <c r="S8" s="151">
        <v>99</v>
      </c>
      <c r="T8" s="153">
        <f t="shared" si="1"/>
        <v>33</v>
      </c>
      <c r="U8" s="151">
        <v>398</v>
      </c>
      <c r="V8" s="154">
        <f t="shared" si="2"/>
        <v>3283.5</v>
      </c>
      <c r="W8" s="151">
        <v>6</v>
      </c>
      <c r="X8" s="149" t="s">
        <v>46</v>
      </c>
      <c r="Y8" s="151" t="s">
        <v>47</v>
      </c>
      <c r="Z8" s="151" t="s">
        <v>97</v>
      </c>
      <c r="AA8" s="151" t="s">
        <v>69</v>
      </c>
      <c r="AB8" s="149" t="s">
        <v>258</v>
      </c>
      <c r="AC8" s="155"/>
      <c r="AE8" s="22" t="s">
        <v>59</v>
      </c>
      <c r="AG8" s="49" t="s">
        <v>295</v>
      </c>
      <c r="AH8" s="49" t="s">
        <v>296</v>
      </c>
      <c r="AJ8" s="28"/>
      <c r="AL8" s="34" t="s">
        <v>134</v>
      </c>
      <c r="AN8" s="29"/>
      <c r="AP8" s="23" t="s">
        <v>62</v>
      </c>
      <c r="AR8" s="41" t="s">
        <v>81</v>
      </c>
      <c r="AV8" s="41" t="s">
        <v>97</v>
      </c>
      <c r="AX8" s="24">
        <v>119</v>
      </c>
      <c r="AY8" s="25">
        <v>30</v>
      </c>
      <c r="AZ8" s="25">
        <v>121</v>
      </c>
      <c r="BA8" s="26">
        <v>27</v>
      </c>
    </row>
    <row r="9" spans="1:53" x14ac:dyDescent="0.15">
      <c r="A9" s="149" t="s">
        <v>61</v>
      </c>
      <c r="B9" s="149" t="s">
        <v>232</v>
      </c>
      <c r="C9" s="149">
        <v>2019</v>
      </c>
      <c r="D9" s="150" t="s">
        <v>281</v>
      </c>
      <c r="E9" s="149" t="s">
        <v>285</v>
      </c>
      <c r="F9" s="149" t="s">
        <v>286</v>
      </c>
      <c r="G9" s="149" t="s">
        <v>42</v>
      </c>
      <c r="H9" s="151" t="s">
        <v>165</v>
      </c>
      <c r="I9" s="151" t="s">
        <v>159</v>
      </c>
      <c r="J9" s="149" t="s">
        <v>38</v>
      </c>
      <c r="K9" s="151" t="s">
        <v>161</v>
      </c>
      <c r="L9" s="151">
        <v>2</v>
      </c>
      <c r="M9" s="151"/>
      <c r="N9" s="151">
        <v>4</v>
      </c>
      <c r="O9" s="151">
        <v>0.75</v>
      </c>
      <c r="P9" s="151">
        <v>0.5</v>
      </c>
      <c r="Q9" s="152">
        <f t="shared" si="0"/>
        <v>0.625</v>
      </c>
      <c r="R9" s="155">
        <v>14.3</v>
      </c>
      <c r="S9" s="151">
        <v>94</v>
      </c>
      <c r="T9" s="153">
        <f t="shared" si="1"/>
        <v>36</v>
      </c>
      <c r="U9" s="151">
        <v>398</v>
      </c>
      <c r="V9" s="154">
        <f t="shared" si="2"/>
        <v>3582</v>
      </c>
      <c r="W9" s="151">
        <v>6</v>
      </c>
      <c r="X9" s="149" t="s">
        <v>46</v>
      </c>
      <c r="Y9" s="151" t="s">
        <v>47</v>
      </c>
      <c r="Z9" s="151" t="s">
        <v>97</v>
      </c>
      <c r="AA9" s="151" t="s">
        <v>69</v>
      </c>
      <c r="AB9" s="149" t="s">
        <v>258</v>
      </c>
      <c r="AC9" s="155"/>
      <c r="AE9" s="22" t="s">
        <v>98</v>
      </c>
      <c r="AG9" s="49" t="s">
        <v>133</v>
      </c>
      <c r="AH9" s="49" t="s">
        <v>297</v>
      </c>
      <c r="AL9" s="29"/>
      <c r="AN9" s="29"/>
      <c r="AP9" s="23" t="s">
        <v>95</v>
      </c>
      <c r="AR9" s="30" t="s">
        <v>89</v>
      </c>
      <c r="AV9" s="41" t="s">
        <v>102</v>
      </c>
      <c r="AX9" s="24">
        <v>128</v>
      </c>
      <c r="AY9" s="25">
        <v>27</v>
      </c>
      <c r="AZ9" s="25">
        <v>129</v>
      </c>
      <c r="BA9" s="26">
        <v>25</v>
      </c>
    </row>
    <row r="10" spans="1:53" x14ac:dyDescent="0.15">
      <c r="A10" s="149" t="s">
        <v>61</v>
      </c>
      <c r="B10" s="149" t="s">
        <v>232</v>
      </c>
      <c r="C10" s="149">
        <v>2019</v>
      </c>
      <c r="D10" s="150" t="s">
        <v>281</v>
      </c>
      <c r="E10" s="149" t="s">
        <v>285</v>
      </c>
      <c r="F10" s="149" t="s">
        <v>286</v>
      </c>
      <c r="G10" s="149" t="s">
        <v>42</v>
      </c>
      <c r="H10" s="151" t="s">
        <v>165</v>
      </c>
      <c r="I10" s="151" t="s">
        <v>159</v>
      </c>
      <c r="J10" s="149" t="s">
        <v>38</v>
      </c>
      <c r="K10" s="151" t="s">
        <v>161</v>
      </c>
      <c r="L10" s="151">
        <v>3</v>
      </c>
      <c r="M10" s="151"/>
      <c r="N10" s="151">
        <v>4</v>
      </c>
      <c r="O10" s="151">
        <v>0.85</v>
      </c>
      <c r="P10" s="151">
        <v>0.95</v>
      </c>
      <c r="Q10" s="152">
        <f t="shared" si="0"/>
        <v>0.89999999999999991</v>
      </c>
      <c r="R10" s="151">
        <v>17.100000000000001</v>
      </c>
      <c r="S10" s="151">
        <v>93</v>
      </c>
      <c r="T10" s="153">
        <f t="shared" si="1"/>
        <v>36</v>
      </c>
      <c r="U10" s="151">
        <v>398</v>
      </c>
      <c r="V10" s="154">
        <f t="shared" si="2"/>
        <v>3582</v>
      </c>
      <c r="W10" s="151">
        <v>6</v>
      </c>
      <c r="X10" s="149" t="s">
        <v>46</v>
      </c>
      <c r="Y10" s="151" t="s">
        <v>47</v>
      </c>
      <c r="Z10" s="151" t="s">
        <v>97</v>
      </c>
      <c r="AA10" s="151" t="s">
        <v>69</v>
      </c>
      <c r="AB10" s="149" t="s">
        <v>258</v>
      </c>
      <c r="AC10" s="155"/>
      <c r="AE10" s="22" t="s">
        <v>103</v>
      </c>
      <c r="AG10" s="49" t="s">
        <v>298</v>
      </c>
      <c r="AH10" s="49" t="s">
        <v>299</v>
      </c>
      <c r="AL10" s="27"/>
      <c r="AP10" s="23" t="s">
        <v>100</v>
      </c>
      <c r="AR10" s="30" t="s">
        <v>123</v>
      </c>
      <c r="AV10" s="41" t="s">
        <v>106</v>
      </c>
      <c r="AX10" s="24">
        <v>138</v>
      </c>
      <c r="AY10" s="25">
        <v>25</v>
      </c>
      <c r="AZ10" s="25">
        <v>138</v>
      </c>
      <c r="BA10" s="26">
        <v>22</v>
      </c>
    </row>
    <row r="11" spans="1:53" x14ac:dyDescent="0.15">
      <c r="A11" s="149" t="s">
        <v>61</v>
      </c>
      <c r="B11" s="149" t="s">
        <v>232</v>
      </c>
      <c r="C11" s="149">
        <v>2019</v>
      </c>
      <c r="D11" s="150" t="s">
        <v>281</v>
      </c>
      <c r="E11" s="149" t="s">
        <v>285</v>
      </c>
      <c r="F11" s="149" t="s">
        <v>286</v>
      </c>
      <c r="G11" s="149" t="s">
        <v>42</v>
      </c>
      <c r="H11" s="151" t="s">
        <v>160</v>
      </c>
      <c r="I11" s="151" t="s">
        <v>159</v>
      </c>
      <c r="J11" s="149" t="s">
        <v>38</v>
      </c>
      <c r="K11" s="151" t="s">
        <v>161</v>
      </c>
      <c r="L11" s="151">
        <v>1</v>
      </c>
      <c r="M11" s="151"/>
      <c r="N11" s="151">
        <v>3</v>
      </c>
      <c r="O11" s="151">
        <v>0.5</v>
      </c>
      <c r="P11" s="151">
        <v>0.5</v>
      </c>
      <c r="Q11" s="152">
        <f t="shared" si="0"/>
        <v>0.5</v>
      </c>
      <c r="R11" s="151">
        <v>17.3</v>
      </c>
      <c r="S11" s="151">
        <v>138</v>
      </c>
      <c r="T11" s="153">
        <f t="shared" si="1"/>
        <v>22</v>
      </c>
      <c r="U11" s="151">
        <v>458</v>
      </c>
      <c r="V11" s="154">
        <f t="shared" si="2"/>
        <v>3358.6666666666665</v>
      </c>
      <c r="W11" s="151">
        <v>6</v>
      </c>
      <c r="X11" s="149" t="s">
        <v>46</v>
      </c>
      <c r="Y11" s="151" t="s">
        <v>47</v>
      </c>
      <c r="Z11" s="151" t="s">
        <v>97</v>
      </c>
      <c r="AA11" s="151" t="s">
        <v>69</v>
      </c>
      <c r="AB11" s="149" t="s">
        <v>258</v>
      </c>
      <c r="AC11" s="155"/>
      <c r="AE11" s="22" t="s">
        <v>65</v>
      </c>
      <c r="AG11" s="49" t="s">
        <v>300</v>
      </c>
      <c r="AH11" s="49" t="s">
        <v>299</v>
      </c>
      <c r="AL11" s="162"/>
      <c r="AP11" s="23" t="s">
        <v>104</v>
      </c>
      <c r="AR11" s="30" t="s">
        <v>87</v>
      </c>
      <c r="AV11" s="163" t="s">
        <v>301</v>
      </c>
      <c r="AX11" s="24">
        <v>151</v>
      </c>
      <c r="AY11" s="25">
        <v>22</v>
      </c>
      <c r="AZ11" s="25">
        <v>152</v>
      </c>
      <c r="BA11" s="26">
        <v>18</v>
      </c>
    </row>
    <row r="12" spans="1:53" x14ac:dyDescent="0.15">
      <c r="A12" s="149" t="s">
        <v>61</v>
      </c>
      <c r="B12" s="149" t="s">
        <v>232</v>
      </c>
      <c r="C12" s="149">
        <v>2019</v>
      </c>
      <c r="D12" s="150" t="s">
        <v>281</v>
      </c>
      <c r="E12" s="149" t="s">
        <v>285</v>
      </c>
      <c r="F12" s="149" t="s">
        <v>286</v>
      </c>
      <c r="G12" s="149" t="s">
        <v>42</v>
      </c>
      <c r="H12" s="151" t="s">
        <v>160</v>
      </c>
      <c r="I12" s="151" t="s">
        <v>159</v>
      </c>
      <c r="J12" s="149" t="s">
        <v>38</v>
      </c>
      <c r="K12" s="151" t="s">
        <v>161</v>
      </c>
      <c r="L12" s="151">
        <v>2</v>
      </c>
      <c r="M12" s="151"/>
      <c r="N12" s="151">
        <v>3</v>
      </c>
      <c r="O12" s="151">
        <v>0.75</v>
      </c>
      <c r="P12" s="151">
        <v>0.5</v>
      </c>
      <c r="Q12" s="152">
        <f t="shared" si="0"/>
        <v>0.625</v>
      </c>
      <c r="R12" s="155">
        <v>17.100000000000001</v>
      </c>
      <c r="S12" s="151">
        <v>144</v>
      </c>
      <c r="T12" s="153">
        <f t="shared" si="1"/>
        <v>22</v>
      </c>
      <c r="U12" s="151">
        <v>458</v>
      </c>
      <c r="V12" s="154">
        <f t="shared" si="2"/>
        <v>3358.6666666666665</v>
      </c>
      <c r="W12" s="151">
        <v>6</v>
      </c>
      <c r="X12" s="149" t="s">
        <v>46</v>
      </c>
      <c r="Y12" s="151" t="s">
        <v>47</v>
      </c>
      <c r="Z12" s="151" t="s">
        <v>97</v>
      </c>
      <c r="AA12" s="151" t="s">
        <v>69</v>
      </c>
      <c r="AB12" s="149" t="s">
        <v>258</v>
      </c>
      <c r="AC12" s="155"/>
      <c r="AE12" s="22" t="s">
        <v>70</v>
      </c>
      <c r="AG12" s="23"/>
      <c r="AH12" s="22"/>
      <c r="AL12" s="162"/>
      <c r="AP12" s="23" t="s">
        <v>67</v>
      </c>
      <c r="AR12" s="30" t="s">
        <v>124</v>
      </c>
      <c r="AV12" s="163" t="s">
        <v>302</v>
      </c>
      <c r="AX12" s="24">
        <v>180</v>
      </c>
      <c r="AY12" s="25">
        <v>18</v>
      </c>
      <c r="AZ12" s="25">
        <v>181</v>
      </c>
      <c r="BA12" s="26">
        <v>16</v>
      </c>
    </row>
    <row r="13" spans="1:53" x14ac:dyDescent="0.15">
      <c r="A13" s="149" t="s">
        <v>61</v>
      </c>
      <c r="B13" s="149" t="s">
        <v>232</v>
      </c>
      <c r="C13" s="149">
        <v>2019</v>
      </c>
      <c r="D13" s="150" t="s">
        <v>281</v>
      </c>
      <c r="E13" s="149" t="s">
        <v>285</v>
      </c>
      <c r="F13" s="149" t="s">
        <v>286</v>
      </c>
      <c r="G13" s="149" t="s">
        <v>42</v>
      </c>
      <c r="H13" s="151" t="s">
        <v>160</v>
      </c>
      <c r="I13" s="151" t="s">
        <v>159</v>
      </c>
      <c r="J13" s="149" t="s">
        <v>38</v>
      </c>
      <c r="K13" s="151" t="s">
        <v>161</v>
      </c>
      <c r="L13" s="151">
        <v>3</v>
      </c>
      <c r="M13" s="151"/>
      <c r="N13" s="151">
        <v>3</v>
      </c>
      <c r="O13" s="151">
        <v>0.5</v>
      </c>
      <c r="P13" s="151">
        <v>0.5</v>
      </c>
      <c r="Q13" s="152">
        <f t="shared" si="0"/>
        <v>0.5</v>
      </c>
      <c r="R13" s="151">
        <v>18.8</v>
      </c>
      <c r="S13" s="151">
        <v>140</v>
      </c>
      <c r="T13" s="153">
        <f t="shared" si="1"/>
        <v>22</v>
      </c>
      <c r="U13" s="151">
        <v>458</v>
      </c>
      <c r="V13" s="154">
        <f t="shared" si="2"/>
        <v>3358.6666666666665</v>
      </c>
      <c r="W13" s="151">
        <v>6</v>
      </c>
      <c r="X13" s="149" t="s">
        <v>46</v>
      </c>
      <c r="Y13" s="151" t="s">
        <v>47</v>
      </c>
      <c r="Z13" s="151" t="s">
        <v>97</v>
      </c>
      <c r="AA13" s="151" t="s">
        <v>69</v>
      </c>
      <c r="AB13" s="149" t="s">
        <v>258</v>
      </c>
      <c r="AC13" s="155"/>
      <c r="AE13" s="22" t="s">
        <v>73</v>
      </c>
      <c r="AG13" s="23"/>
      <c r="AH13" s="22"/>
      <c r="AL13" s="164"/>
      <c r="AP13" s="23" t="s">
        <v>71</v>
      </c>
      <c r="AR13" s="30" t="s">
        <v>103</v>
      </c>
      <c r="AV13" s="163" t="s">
        <v>303</v>
      </c>
      <c r="AX13" s="24"/>
      <c r="AY13" s="25"/>
      <c r="AZ13" s="25"/>
      <c r="BA13" s="26"/>
    </row>
    <row r="14" spans="1:53" x14ac:dyDescent="0.15">
      <c r="A14" s="149" t="s">
        <v>61</v>
      </c>
      <c r="B14" s="149" t="s">
        <v>232</v>
      </c>
      <c r="C14" s="149">
        <v>2019</v>
      </c>
      <c r="D14" s="150" t="s">
        <v>281</v>
      </c>
      <c r="E14" s="149" t="s">
        <v>285</v>
      </c>
      <c r="F14" s="149" t="s">
        <v>286</v>
      </c>
      <c r="G14" s="149" t="s">
        <v>42</v>
      </c>
      <c r="H14" s="151" t="s">
        <v>127</v>
      </c>
      <c r="I14" s="151" t="s">
        <v>159</v>
      </c>
      <c r="J14" s="149" t="s">
        <v>58</v>
      </c>
      <c r="K14" s="151" t="s">
        <v>59</v>
      </c>
      <c r="L14" s="151">
        <v>1</v>
      </c>
      <c r="M14" s="151"/>
      <c r="N14" s="151">
        <v>4</v>
      </c>
      <c r="O14" s="151">
        <v>0.85</v>
      </c>
      <c r="P14" s="151">
        <v>0.9</v>
      </c>
      <c r="Q14" s="152">
        <f t="shared" si="0"/>
        <v>0.875</v>
      </c>
      <c r="R14" s="151">
        <v>13.1</v>
      </c>
      <c r="S14" s="151">
        <v>100</v>
      </c>
      <c r="T14" s="153">
        <f t="shared" si="1"/>
        <v>33</v>
      </c>
      <c r="U14" s="151">
        <v>398</v>
      </c>
      <c r="V14" s="154">
        <f t="shared" si="2"/>
        <v>3283.5</v>
      </c>
      <c r="W14" s="151">
        <v>6</v>
      </c>
      <c r="X14" s="149" t="s">
        <v>46</v>
      </c>
      <c r="Y14" s="151" t="s">
        <v>47</v>
      </c>
      <c r="Z14" s="151" t="s">
        <v>97</v>
      </c>
      <c r="AA14" s="151" t="s">
        <v>69</v>
      </c>
      <c r="AB14" s="149" t="s">
        <v>258</v>
      </c>
      <c r="AC14" s="155"/>
      <c r="AE14" s="22" t="s">
        <v>59</v>
      </c>
      <c r="AG14" s="49" t="s">
        <v>295</v>
      </c>
      <c r="AH14" s="49" t="s">
        <v>296</v>
      </c>
      <c r="AJ14" s="28"/>
      <c r="AL14" s="34" t="s">
        <v>134</v>
      </c>
      <c r="AN14" s="29"/>
      <c r="AP14" s="23" t="s">
        <v>62</v>
      </c>
      <c r="AR14" s="41" t="s">
        <v>81</v>
      </c>
      <c r="AV14" s="41" t="s">
        <v>97</v>
      </c>
      <c r="AX14" s="24">
        <v>119</v>
      </c>
      <c r="AY14" s="25">
        <v>30</v>
      </c>
      <c r="AZ14" s="25">
        <v>121</v>
      </c>
      <c r="BA14" s="26">
        <v>27</v>
      </c>
    </row>
    <row r="15" spans="1:53" x14ac:dyDescent="0.15">
      <c r="A15" s="149" t="s">
        <v>61</v>
      </c>
      <c r="B15" s="149" t="s">
        <v>232</v>
      </c>
      <c r="C15" s="149">
        <v>2019</v>
      </c>
      <c r="D15" s="150" t="s">
        <v>281</v>
      </c>
      <c r="E15" s="149" t="s">
        <v>285</v>
      </c>
      <c r="F15" s="149" t="s">
        <v>286</v>
      </c>
      <c r="G15" s="149" t="s">
        <v>42</v>
      </c>
      <c r="H15" s="151" t="s">
        <v>127</v>
      </c>
      <c r="I15" s="151" t="s">
        <v>159</v>
      </c>
      <c r="J15" s="149" t="s">
        <v>58</v>
      </c>
      <c r="K15" s="151" t="s">
        <v>59</v>
      </c>
      <c r="L15" s="151">
        <v>2</v>
      </c>
      <c r="M15" s="151"/>
      <c r="N15" s="151">
        <v>4</v>
      </c>
      <c r="O15" s="151">
        <v>0.8</v>
      </c>
      <c r="P15" s="151">
        <v>0.75</v>
      </c>
      <c r="Q15" s="152">
        <f t="shared" si="0"/>
        <v>0.77500000000000002</v>
      </c>
      <c r="R15" s="155">
        <v>14.6</v>
      </c>
      <c r="S15" s="151">
        <v>93</v>
      </c>
      <c r="T15" s="153">
        <f t="shared" si="1"/>
        <v>36</v>
      </c>
      <c r="U15" s="151">
        <v>398</v>
      </c>
      <c r="V15" s="154">
        <f t="shared" si="2"/>
        <v>3582</v>
      </c>
      <c r="W15" s="151">
        <v>6</v>
      </c>
      <c r="X15" s="149" t="s">
        <v>46</v>
      </c>
      <c r="Y15" s="151" t="s">
        <v>47</v>
      </c>
      <c r="Z15" s="151" t="s">
        <v>97</v>
      </c>
      <c r="AA15" s="151" t="s">
        <v>69</v>
      </c>
      <c r="AB15" s="149" t="s">
        <v>258</v>
      </c>
      <c r="AC15" s="155"/>
      <c r="AE15" s="22" t="s">
        <v>98</v>
      </c>
      <c r="AG15" s="49" t="s">
        <v>133</v>
      </c>
      <c r="AH15" s="49" t="s">
        <v>297</v>
      </c>
      <c r="AL15" s="29"/>
      <c r="AN15" s="29"/>
      <c r="AP15" s="23" t="s">
        <v>95</v>
      </c>
      <c r="AR15" s="30" t="s">
        <v>89</v>
      </c>
      <c r="AV15" s="41" t="s">
        <v>102</v>
      </c>
      <c r="AX15" s="24">
        <v>128</v>
      </c>
      <c r="AY15" s="25">
        <v>27</v>
      </c>
      <c r="AZ15" s="25">
        <v>129</v>
      </c>
      <c r="BA15" s="26">
        <v>25</v>
      </c>
    </row>
    <row r="16" spans="1:53" x14ac:dyDescent="0.15">
      <c r="A16" s="149" t="s">
        <v>61</v>
      </c>
      <c r="B16" s="149" t="s">
        <v>232</v>
      </c>
      <c r="C16" s="149">
        <v>2019</v>
      </c>
      <c r="D16" s="150" t="s">
        <v>281</v>
      </c>
      <c r="E16" s="149" t="s">
        <v>285</v>
      </c>
      <c r="F16" s="149" t="s">
        <v>286</v>
      </c>
      <c r="G16" s="149" t="s">
        <v>42</v>
      </c>
      <c r="H16" s="151" t="s">
        <v>127</v>
      </c>
      <c r="I16" s="151" t="s">
        <v>159</v>
      </c>
      <c r="J16" s="149" t="s">
        <v>58</v>
      </c>
      <c r="K16" s="151" t="s">
        <v>59</v>
      </c>
      <c r="L16" s="151">
        <v>3</v>
      </c>
      <c r="M16" s="151"/>
      <c r="N16" s="151">
        <v>4</v>
      </c>
      <c r="O16" s="151">
        <v>1.2</v>
      </c>
      <c r="P16" s="151">
        <v>0.85</v>
      </c>
      <c r="Q16" s="152">
        <f t="shared" si="0"/>
        <v>1.0249999999999999</v>
      </c>
      <c r="R16" s="151">
        <v>13.1</v>
      </c>
      <c r="S16" s="151">
        <v>88</v>
      </c>
      <c r="T16" s="153">
        <f t="shared" si="1"/>
        <v>36</v>
      </c>
      <c r="U16" s="151">
        <v>398</v>
      </c>
      <c r="V16" s="154">
        <f t="shared" si="2"/>
        <v>3582</v>
      </c>
      <c r="W16" s="151">
        <v>6</v>
      </c>
      <c r="X16" s="149" t="s">
        <v>46</v>
      </c>
      <c r="Y16" s="151" t="s">
        <v>47</v>
      </c>
      <c r="Z16" s="151" t="s">
        <v>97</v>
      </c>
      <c r="AA16" s="151" t="s">
        <v>69</v>
      </c>
      <c r="AB16" s="149" t="s">
        <v>258</v>
      </c>
      <c r="AC16" s="155"/>
      <c r="AE16" s="22" t="s">
        <v>103</v>
      </c>
      <c r="AG16" s="49" t="s">
        <v>298</v>
      </c>
      <c r="AH16" s="49" t="s">
        <v>299</v>
      </c>
      <c r="AL16" s="27"/>
      <c r="AP16" s="23" t="s">
        <v>100</v>
      </c>
      <c r="AR16" s="30" t="s">
        <v>123</v>
      </c>
      <c r="AV16" s="41" t="s">
        <v>106</v>
      </c>
      <c r="AX16" s="24">
        <v>138</v>
      </c>
      <c r="AY16" s="25">
        <v>25</v>
      </c>
      <c r="AZ16" s="25">
        <v>138</v>
      </c>
      <c r="BA16" s="26">
        <v>22</v>
      </c>
    </row>
    <row r="17" spans="1:53" x14ac:dyDescent="0.15">
      <c r="A17" s="149" t="s">
        <v>61</v>
      </c>
      <c r="B17" s="149" t="s">
        <v>232</v>
      </c>
      <c r="C17" s="149">
        <v>2019</v>
      </c>
      <c r="D17" s="150" t="s">
        <v>281</v>
      </c>
      <c r="E17" s="149" t="s">
        <v>287</v>
      </c>
      <c r="F17" s="149" t="s">
        <v>288</v>
      </c>
      <c r="G17" s="149" t="s">
        <v>42</v>
      </c>
      <c r="H17" s="151" t="s">
        <v>165</v>
      </c>
      <c r="I17" s="151" t="s">
        <v>159</v>
      </c>
      <c r="J17" s="149" t="s">
        <v>38</v>
      </c>
      <c r="K17" s="151" t="s">
        <v>161</v>
      </c>
      <c r="L17" s="151">
        <v>1</v>
      </c>
      <c r="M17" s="151"/>
      <c r="N17" s="151">
        <v>4</v>
      </c>
      <c r="O17" s="151">
        <v>0.95</v>
      </c>
      <c r="P17" s="151">
        <v>1.05</v>
      </c>
      <c r="Q17" s="152">
        <f t="shared" si="0"/>
        <v>1</v>
      </c>
      <c r="R17" s="151">
        <v>17</v>
      </c>
      <c r="S17" s="151">
        <v>92</v>
      </c>
      <c r="T17" s="153">
        <f t="shared" si="1"/>
        <v>36</v>
      </c>
      <c r="U17" s="151">
        <v>298</v>
      </c>
      <c r="V17" s="154">
        <f t="shared" si="2"/>
        <v>2682</v>
      </c>
      <c r="W17" s="151">
        <v>12</v>
      </c>
      <c r="X17" s="149" t="s">
        <v>46</v>
      </c>
      <c r="Y17" s="151" t="s">
        <v>55</v>
      </c>
      <c r="Z17" s="151" t="s">
        <v>69</v>
      </c>
      <c r="AA17" s="151" t="s">
        <v>47</v>
      </c>
      <c r="AB17" s="149" t="s">
        <v>258</v>
      </c>
      <c r="AC17" s="155"/>
      <c r="AE17" s="22" t="s">
        <v>76</v>
      </c>
      <c r="AG17" s="23"/>
      <c r="AH17" s="22"/>
      <c r="AL17" s="34"/>
      <c r="AP17" s="23" t="s">
        <v>74</v>
      </c>
      <c r="AR17" s="30" t="s">
        <v>125</v>
      </c>
      <c r="AV17" s="163" t="s">
        <v>304</v>
      </c>
      <c r="AX17" s="24"/>
      <c r="AY17" s="25"/>
      <c r="AZ17" s="25"/>
      <c r="BA17" s="26"/>
    </row>
    <row r="18" spans="1:53" x14ac:dyDescent="0.15">
      <c r="A18" s="149" t="s">
        <v>61</v>
      </c>
      <c r="B18" s="149" t="s">
        <v>232</v>
      </c>
      <c r="C18" s="149">
        <v>2019</v>
      </c>
      <c r="D18" s="150" t="s">
        <v>281</v>
      </c>
      <c r="E18" s="149" t="s">
        <v>287</v>
      </c>
      <c r="F18" s="149" t="s">
        <v>288</v>
      </c>
      <c r="G18" s="149" t="s">
        <v>42</v>
      </c>
      <c r="H18" s="151" t="s">
        <v>165</v>
      </c>
      <c r="I18" s="151" t="s">
        <v>159</v>
      </c>
      <c r="J18" s="149" t="s">
        <v>38</v>
      </c>
      <c r="K18" s="151" t="s">
        <v>161</v>
      </c>
      <c r="L18" s="151">
        <v>2</v>
      </c>
      <c r="M18" s="151"/>
      <c r="N18" s="151">
        <v>4</v>
      </c>
      <c r="O18" s="151">
        <v>1.35</v>
      </c>
      <c r="P18" s="151">
        <v>1.5</v>
      </c>
      <c r="Q18" s="152">
        <f t="shared" si="0"/>
        <v>1.425</v>
      </c>
      <c r="R18" s="155">
        <v>11.4</v>
      </c>
      <c r="S18" s="151">
        <v>85</v>
      </c>
      <c r="T18" s="153">
        <f t="shared" si="1"/>
        <v>36</v>
      </c>
      <c r="U18" s="151">
        <v>298</v>
      </c>
      <c r="V18" s="154">
        <f t="shared" si="2"/>
        <v>2682</v>
      </c>
      <c r="W18" s="151">
        <v>12</v>
      </c>
      <c r="X18" s="149" t="s">
        <v>46</v>
      </c>
      <c r="Y18" s="151" t="s">
        <v>55</v>
      </c>
      <c r="Z18" s="151" t="s">
        <v>69</v>
      </c>
      <c r="AA18" s="151" t="s">
        <v>47</v>
      </c>
      <c r="AB18" s="149" t="s">
        <v>258</v>
      </c>
      <c r="AC18" s="155"/>
      <c r="AE18" s="22" t="s">
        <v>79</v>
      </c>
      <c r="AG18" s="23"/>
      <c r="AH18" s="23"/>
      <c r="AL18" s="34"/>
      <c r="AP18" s="23" t="s">
        <v>77</v>
      </c>
      <c r="AR18" s="30" t="s">
        <v>94</v>
      </c>
      <c r="AV18" s="163" t="s">
        <v>305</v>
      </c>
      <c r="AX18" s="31"/>
      <c r="AY18" s="32"/>
      <c r="AZ18" s="32"/>
      <c r="BA18" s="33"/>
    </row>
    <row r="19" spans="1:53" x14ac:dyDescent="0.15">
      <c r="A19" s="149" t="s">
        <v>61</v>
      </c>
      <c r="B19" s="149" t="s">
        <v>232</v>
      </c>
      <c r="C19" s="149">
        <v>2019</v>
      </c>
      <c r="D19" s="150" t="s">
        <v>281</v>
      </c>
      <c r="E19" s="149" t="s">
        <v>287</v>
      </c>
      <c r="F19" s="149" t="s">
        <v>288</v>
      </c>
      <c r="G19" s="149" t="s">
        <v>42</v>
      </c>
      <c r="H19" s="151" t="s">
        <v>165</v>
      </c>
      <c r="I19" s="151" t="s">
        <v>159</v>
      </c>
      <c r="J19" s="149" t="s">
        <v>38</v>
      </c>
      <c r="K19" s="151" t="s">
        <v>161</v>
      </c>
      <c r="L19" s="151">
        <v>3</v>
      </c>
      <c r="M19" s="151"/>
      <c r="N19" s="151">
        <v>4</v>
      </c>
      <c r="O19" s="151">
        <v>1.45</v>
      </c>
      <c r="P19" s="151">
        <v>1.5</v>
      </c>
      <c r="Q19" s="152">
        <f t="shared" si="0"/>
        <v>1.4750000000000001</v>
      </c>
      <c r="R19" s="151">
        <v>11.5</v>
      </c>
      <c r="S19" s="151">
        <v>89</v>
      </c>
      <c r="T19" s="153">
        <f t="shared" si="1"/>
        <v>36</v>
      </c>
      <c r="U19" s="151">
        <v>298</v>
      </c>
      <c r="V19" s="154">
        <f t="shared" si="2"/>
        <v>2682</v>
      </c>
      <c r="W19" s="151">
        <v>12</v>
      </c>
      <c r="X19" s="149" t="s">
        <v>46</v>
      </c>
      <c r="Y19" s="151" t="s">
        <v>55</v>
      </c>
      <c r="Z19" s="151" t="s">
        <v>69</v>
      </c>
      <c r="AA19" s="151" t="s">
        <v>47</v>
      </c>
      <c r="AB19" s="149" t="s">
        <v>258</v>
      </c>
      <c r="AC19" s="155"/>
      <c r="AE19" s="22" t="s">
        <v>82</v>
      </c>
      <c r="AG19" s="23"/>
      <c r="AH19" s="23"/>
      <c r="AP19" s="23" t="s">
        <v>80</v>
      </c>
      <c r="AR19" s="41" t="s">
        <v>63</v>
      </c>
      <c r="AV19" s="163" t="s">
        <v>306</v>
      </c>
    </row>
    <row r="20" spans="1:53" x14ac:dyDescent="0.15">
      <c r="A20" s="149" t="s">
        <v>61</v>
      </c>
      <c r="B20" s="149" t="s">
        <v>232</v>
      </c>
      <c r="C20" s="149">
        <v>2019</v>
      </c>
      <c r="D20" s="150" t="s">
        <v>281</v>
      </c>
      <c r="E20" s="149" t="s">
        <v>287</v>
      </c>
      <c r="F20" s="149" t="s">
        <v>288</v>
      </c>
      <c r="G20" s="149" t="s">
        <v>42</v>
      </c>
      <c r="H20" s="151" t="s">
        <v>160</v>
      </c>
      <c r="I20" s="151" t="s">
        <v>159</v>
      </c>
      <c r="J20" s="149" t="s">
        <v>38</v>
      </c>
      <c r="K20" s="151" t="s">
        <v>161</v>
      </c>
      <c r="L20" s="151">
        <v>1</v>
      </c>
      <c r="M20" s="151"/>
      <c r="N20" s="151">
        <v>1</v>
      </c>
      <c r="O20" s="151">
        <v>1</v>
      </c>
      <c r="P20" s="151">
        <v>1.2</v>
      </c>
      <c r="Q20" s="152">
        <f t="shared" si="0"/>
        <v>1.1000000000000001</v>
      </c>
      <c r="R20" s="151">
        <v>17.600000000000001</v>
      </c>
      <c r="S20" s="151">
        <v>158</v>
      </c>
      <c r="T20" s="153">
        <f t="shared" si="1"/>
        <v>22</v>
      </c>
      <c r="U20" s="151">
        <v>158</v>
      </c>
      <c r="V20" s="154">
        <f t="shared" si="2"/>
        <v>3476</v>
      </c>
      <c r="W20" s="151">
        <v>12</v>
      </c>
      <c r="X20" s="149" t="s">
        <v>46</v>
      </c>
      <c r="Y20" s="151" t="s">
        <v>55</v>
      </c>
      <c r="Z20" s="151" t="s">
        <v>69</v>
      </c>
      <c r="AA20" s="151" t="s">
        <v>47</v>
      </c>
      <c r="AB20" s="149" t="s">
        <v>258</v>
      </c>
      <c r="AC20" s="155"/>
      <c r="AE20" s="22" t="s">
        <v>85</v>
      </c>
      <c r="AP20" s="43" t="s">
        <v>110</v>
      </c>
      <c r="AR20" s="41" t="s">
        <v>96</v>
      </c>
      <c r="AV20" s="163" t="s">
        <v>251</v>
      </c>
    </row>
    <row r="21" spans="1:53" x14ac:dyDescent="0.15">
      <c r="A21" s="149" t="s">
        <v>61</v>
      </c>
      <c r="B21" s="149" t="s">
        <v>232</v>
      </c>
      <c r="C21" s="149">
        <v>2019</v>
      </c>
      <c r="D21" s="150" t="s">
        <v>281</v>
      </c>
      <c r="E21" s="149" t="s">
        <v>287</v>
      </c>
      <c r="F21" s="149" t="s">
        <v>288</v>
      </c>
      <c r="G21" s="149" t="s">
        <v>42</v>
      </c>
      <c r="H21" s="151" t="s">
        <v>160</v>
      </c>
      <c r="I21" s="151" t="s">
        <v>159</v>
      </c>
      <c r="J21" s="149" t="s">
        <v>38</v>
      </c>
      <c r="K21" s="151" t="s">
        <v>161</v>
      </c>
      <c r="L21" s="151">
        <v>2</v>
      </c>
      <c r="M21" s="151"/>
      <c r="N21" s="151">
        <v>1</v>
      </c>
      <c r="O21" s="151">
        <v>0.85</v>
      </c>
      <c r="P21" s="151">
        <v>1</v>
      </c>
      <c r="Q21" s="152">
        <f t="shared" si="0"/>
        <v>0.92500000000000004</v>
      </c>
      <c r="R21" s="155">
        <v>18.8</v>
      </c>
      <c r="S21" s="151">
        <v>183</v>
      </c>
      <c r="T21" s="153">
        <f t="shared" si="1"/>
        <v>22</v>
      </c>
      <c r="U21" s="151">
        <v>158</v>
      </c>
      <c r="V21" s="154">
        <f t="shared" si="2"/>
        <v>3476</v>
      </c>
      <c r="W21" s="151">
        <v>12</v>
      </c>
      <c r="X21" s="149" t="s">
        <v>46</v>
      </c>
      <c r="Y21" s="151" t="s">
        <v>55</v>
      </c>
      <c r="Z21" s="151" t="s">
        <v>69</v>
      </c>
      <c r="AA21" s="151" t="s">
        <v>47</v>
      </c>
      <c r="AB21" s="149" t="s">
        <v>258</v>
      </c>
      <c r="AC21" s="155"/>
      <c r="AE21" s="22" t="s">
        <v>87</v>
      </c>
      <c r="AP21" s="43" t="s">
        <v>111</v>
      </c>
      <c r="AR21" s="41" t="s">
        <v>101</v>
      </c>
      <c r="AV21" s="163" t="s">
        <v>135</v>
      </c>
    </row>
    <row r="22" spans="1:53" x14ac:dyDescent="0.15">
      <c r="A22" s="149" t="s">
        <v>61</v>
      </c>
      <c r="B22" s="149" t="s">
        <v>232</v>
      </c>
      <c r="C22" s="149">
        <v>2019</v>
      </c>
      <c r="D22" s="150" t="s">
        <v>281</v>
      </c>
      <c r="E22" s="149" t="s">
        <v>287</v>
      </c>
      <c r="F22" s="149" t="s">
        <v>288</v>
      </c>
      <c r="G22" s="149" t="s">
        <v>42</v>
      </c>
      <c r="H22" s="151" t="s">
        <v>160</v>
      </c>
      <c r="I22" s="151" t="s">
        <v>159</v>
      </c>
      <c r="J22" s="149" t="s">
        <v>38</v>
      </c>
      <c r="K22" s="151" t="s">
        <v>161</v>
      </c>
      <c r="L22" s="151">
        <v>3</v>
      </c>
      <c r="M22" s="151"/>
      <c r="N22" s="151">
        <v>1</v>
      </c>
      <c r="O22" s="155">
        <v>1.2</v>
      </c>
      <c r="P22" s="151">
        <v>1</v>
      </c>
      <c r="Q22" s="152">
        <f t="shared" si="0"/>
        <v>1.1000000000000001</v>
      </c>
      <c r="R22" s="151">
        <v>17.7</v>
      </c>
      <c r="S22" s="151">
        <v>148</v>
      </c>
      <c r="T22" s="153">
        <f t="shared" si="1"/>
        <v>22</v>
      </c>
      <c r="U22" s="151">
        <v>158</v>
      </c>
      <c r="V22" s="154">
        <f t="shared" si="2"/>
        <v>3476</v>
      </c>
      <c r="W22" s="151">
        <v>12</v>
      </c>
      <c r="X22" s="149" t="s">
        <v>46</v>
      </c>
      <c r="Y22" s="151" t="s">
        <v>55</v>
      </c>
      <c r="Z22" s="151" t="s">
        <v>69</v>
      </c>
      <c r="AA22" s="151" t="s">
        <v>47</v>
      </c>
      <c r="AB22" s="149" t="s">
        <v>258</v>
      </c>
      <c r="AC22" s="155"/>
      <c r="AE22" s="35" t="s">
        <v>89</v>
      </c>
      <c r="AP22" s="43" t="s">
        <v>112</v>
      </c>
      <c r="AR22" s="30" t="s">
        <v>126</v>
      </c>
      <c r="AV22" s="163" t="s">
        <v>307</v>
      </c>
    </row>
    <row r="23" spans="1:53" x14ac:dyDescent="0.15">
      <c r="A23" s="149" t="s">
        <v>61</v>
      </c>
      <c r="B23" s="149" t="s">
        <v>232</v>
      </c>
      <c r="C23" s="149">
        <v>2019</v>
      </c>
      <c r="D23" s="150" t="s">
        <v>185</v>
      </c>
      <c r="E23" s="149" t="s">
        <v>289</v>
      </c>
      <c r="F23" s="149" t="s">
        <v>290</v>
      </c>
      <c r="G23" s="149" t="s">
        <v>42</v>
      </c>
      <c r="H23" s="151" t="s">
        <v>165</v>
      </c>
      <c r="I23" s="151" t="s">
        <v>159</v>
      </c>
      <c r="J23" s="149" t="s">
        <v>38</v>
      </c>
      <c r="K23" s="151" t="s">
        <v>161</v>
      </c>
      <c r="L23" s="151">
        <v>1</v>
      </c>
      <c r="M23" s="151"/>
      <c r="N23" s="151">
        <v>1</v>
      </c>
      <c r="O23" s="151">
        <v>0.95</v>
      </c>
      <c r="P23" s="151">
        <v>1</v>
      </c>
      <c r="Q23" s="152">
        <f t="shared" si="0"/>
        <v>0.97499999999999998</v>
      </c>
      <c r="R23" s="151">
        <v>17.2</v>
      </c>
      <c r="S23" s="151">
        <v>134</v>
      </c>
      <c r="T23" s="153">
        <f t="shared" si="1"/>
        <v>25</v>
      </c>
      <c r="U23" s="151">
        <v>128</v>
      </c>
      <c r="V23" s="154">
        <f t="shared" si="2"/>
        <v>3200</v>
      </c>
      <c r="W23" s="151">
        <v>16</v>
      </c>
      <c r="X23" s="149" t="s">
        <v>46</v>
      </c>
      <c r="Y23" s="151" t="s">
        <v>97</v>
      </c>
      <c r="Z23" s="151" t="s">
        <v>55</v>
      </c>
      <c r="AA23" s="151" t="s">
        <v>47</v>
      </c>
      <c r="AB23" s="149" t="s">
        <v>258</v>
      </c>
      <c r="AC23" s="155"/>
      <c r="AE23" s="22"/>
      <c r="AG23" s="151"/>
      <c r="AH23" s="151"/>
      <c r="AJ23" s="151"/>
      <c r="AL23" s="151"/>
      <c r="AN23" s="151"/>
      <c r="AP23" s="43" t="s">
        <v>113</v>
      </c>
      <c r="AR23" s="41" t="s">
        <v>105</v>
      </c>
      <c r="AT23" s="151"/>
      <c r="AV23" s="163" t="s">
        <v>308</v>
      </c>
    </row>
    <row r="24" spans="1:53" x14ac:dyDescent="0.15">
      <c r="A24" s="149" t="s">
        <v>61</v>
      </c>
      <c r="B24" s="149" t="s">
        <v>232</v>
      </c>
      <c r="C24" s="149">
        <v>2019</v>
      </c>
      <c r="D24" s="150" t="s">
        <v>185</v>
      </c>
      <c r="E24" s="149" t="s">
        <v>289</v>
      </c>
      <c r="F24" s="149" t="s">
        <v>290</v>
      </c>
      <c r="G24" s="149" t="s">
        <v>42</v>
      </c>
      <c r="H24" s="151" t="s">
        <v>165</v>
      </c>
      <c r="I24" s="151" t="s">
        <v>159</v>
      </c>
      <c r="J24" s="149" t="s">
        <v>38</v>
      </c>
      <c r="K24" s="151" t="s">
        <v>161</v>
      </c>
      <c r="L24" s="151">
        <v>2</v>
      </c>
      <c r="M24" s="151"/>
      <c r="N24" s="151">
        <v>1</v>
      </c>
      <c r="O24" s="151">
        <v>0.95</v>
      </c>
      <c r="P24" s="151">
        <v>1.5</v>
      </c>
      <c r="Q24" s="152">
        <f t="shared" si="0"/>
        <v>1.2250000000000001</v>
      </c>
      <c r="R24" s="151">
        <v>17</v>
      </c>
      <c r="S24" s="151">
        <v>136</v>
      </c>
      <c r="T24" s="153">
        <f t="shared" si="1"/>
        <v>25</v>
      </c>
      <c r="U24" s="151">
        <v>128</v>
      </c>
      <c r="V24" s="154">
        <f t="shared" si="2"/>
        <v>3200</v>
      </c>
      <c r="W24" s="151">
        <v>16</v>
      </c>
      <c r="X24" s="149" t="s">
        <v>46</v>
      </c>
      <c r="Y24" s="151" t="s">
        <v>97</v>
      </c>
      <c r="Z24" s="151" t="s">
        <v>55</v>
      </c>
      <c r="AA24" s="151" t="s">
        <v>47</v>
      </c>
      <c r="AB24" s="149" t="s">
        <v>258</v>
      </c>
      <c r="AC24" s="155"/>
      <c r="AE24" s="22"/>
      <c r="AG24" s="151"/>
      <c r="AH24" s="151"/>
      <c r="AJ24" s="151"/>
      <c r="AL24" s="151"/>
      <c r="AN24" s="151"/>
      <c r="AP24" s="43" t="s">
        <v>114</v>
      </c>
      <c r="AR24" s="41" t="s">
        <v>68</v>
      </c>
      <c r="AT24" s="151"/>
      <c r="AV24" s="163" t="s">
        <v>309</v>
      </c>
    </row>
    <row r="25" spans="1:53" x14ac:dyDescent="0.15">
      <c r="A25" s="149" t="s">
        <v>61</v>
      </c>
      <c r="B25" s="149" t="s">
        <v>232</v>
      </c>
      <c r="C25" s="149">
        <v>2019</v>
      </c>
      <c r="D25" s="150" t="s">
        <v>185</v>
      </c>
      <c r="E25" s="149" t="s">
        <v>289</v>
      </c>
      <c r="F25" s="149" t="s">
        <v>290</v>
      </c>
      <c r="G25" s="149" t="s">
        <v>42</v>
      </c>
      <c r="H25" s="151" t="s">
        <v>165</v>
      </c>
      <c r="I25" s="151" t="s">
        <v>159</v>
      </c>
      <c r="J25" s="149" t="s">
        <v>38</v>
      </c>
      <c r="K25" s="151" t="s">
        <v>161</v>
      </c>
      <c r="L25" s="151">
        <v>3</v>
      </c>
      <c r="M25" s="151"/>
      <c r="N25" s="151">
        <v>1</v>
      </c>
      <c r="O25" s="151">
        <v>1.1499999999999999</v>
      </c>
      <c r="P25" s="151">
        <v>1.2</v>
      </c>
      <c r="Q25" s="152">
        <f t="shared" si="0"/>
        <v>1.1749999999999998</v>
      </c>
      <c r="R25" s="151">
        <v>16.8</v>
      </c>
      <c r="S25" s="151">
        <v>128</v>
      </c>
      <c r="T25" s="153">
        <f t="shared" si="1"/>
        <v>27</v>
      </c>
      <c r="U25" s="151">
        <v>128</v>
      </c>
      <c r="V25" s="154">
        <f t="shared" si="2"/>
        <v>3456</v>
      </c>
      <c r="W25" s="151">
        <v>16</v>
      </c>
      <c r="X25" s="149" t="s">
        <v>46</v>
      </c>
      <c r="Y25" s="151" t="s">
        <v>97</v>
      </c>
      <c r="Z25" s="151" t="s">
        <v>55</v>
      </c>
      <c r="AA25" s="151" t="s">
        <v>47</v>
      </c>
      <c r="AB25" s="149" t="s">
        <v>258</v>
      </c>
      <c r="AC25" s="155"/>
      <c r="AE25" s="35"/>
      <c r="AG25" s="151"/>
      <c r="AH25" s="151"/>
      <c r="AJ25" s="151"/>
      <c r="AL25" s="151"/>
      <c r="AN25" s="151"/>
      <c r="AP25" s="43" t="s">
        <v>115</v>
      </c>
      <c r="AR25" s="41" t="s">
        <v>83</v>
      </c>
      <c r="AT25" s="151"/>
      <c r="AV25" s="23"/>
    </row>
    <row r="26" spans="1:53" x14ac:dyDescent="0.15">
      <c r="A26" s="149" t="s">
        <v>61</v>
      </c>
      <c r="B26" s="149" t="s">
        <v>232</v>
      </c>
      <c r="C26" s="149">
        <v>2019</v>
      </c>
      <c r="D26" s="150" t="s">
        <v>185</v>
      </c>
      <c r="E26" s="149" t="s">
        <v>289</v>
      </c>
      <c r="F26" s="149" t="s">
        <v>290</v>
      </c>
      <c r="G26" s="149" t="s">
        <v>42</v>
      </c>
      <c r="H26" s="151" t="s">
        <v>160</v>
      </c>
      <c r="I26" s="151" t="s">
        <v>159</v>
      </c>
      <c r="J26" s="149" t="s">
        <v>38</v>
      </c>
      <c r="K26" s="151" t="s">
        <v>161</v>
      </c>
      <c r="L26" s="151">
        <v>1</v>
      </c>
      <c r="M26" s="151"/>
      <c r="N26" s="151">
        <v>3</v>
      </c>
      <c r="O26" s="151">
        <v>0.5</v>
      </c>
      <c r="P26" s="151">
        <v>0.5</v>
      </c>
      <c r="Q26" s="152">
        <f t="shared" si="0"/>
        <v>0.5</v>
      </c>
      <c r="R26" s="151">
        <v>17.2</v>
      </c>
      <c r="S26" s="151">
        <v>128</v>
      </c>
      <c r="T26" s="153">
        <f t="shared" si="1"/>
        <v>27</v>
      </c>
      <c r="U26" s="151">
        <v>398</v>
      </c>
      <c r="V26" s="154">
        <f t="shared" si="2"/>
        <v>3581.9999999999995</v>
      </c>
      <c r="W26" s="151">
        <v>16</v>
      </c>
      <c r="X26" s="149" t="s">
        <v>46</v>
      </c>
      <c r="Y26" s="151" t="s">
        <v>97</v>
      </c>
      <c r="Z26" s="151" t="s">
        <v>55</v>
      </c>
      <c r="AA26" s="151" t="s">
        <v>47</v>
      </c>
      <c r="AB26" s="149" t="s">
        <v>258</v>
      </c>
      <c r="AC26" s="155"/>
      <c r="AE26" s="22"/>
      <c r="AG26" s="151"/>
      <c r="AH26" s="151"/>
      <c r="AJ26" s="151"/>
      <c r="AL26" s="151"/>
      <c r="AN26" s="151"/>
      <c r="AP26" s="43" t="s">
        <v>137</v>
      </c>
      <c r="AR26" s="41" t="s">
        <v>61</v>
      </c>
      <c r="AV26" s="151"/>
    </row>
    <row r="27" spans="1:53" x14ac:dyDescent="0.15">
      <c r="A27" s="149" t="s">
        <v>61</v>
      </c>
      <c r="B27" s="149" t="s">
        <v>232</v>
      </c>
      <c r="C27" s="149">
        <v>2019</v>
      </c>
      <c r="D27" s="150" t="s">
        <v>185</v>
      </c>
      <c r="E27" s="149" t="s">
        <v>289</v>
      </c>
      <c r="F27" s="149" t="s">
        <v>290</v>
      </c>
      <c r="G27" s="149" t="s">
        <v>42</v>
      </c>
      <c r="H27" s="151" t="s">
        <v>160</v>
      </c>
      <c r="I27" s="151" t="s">
        <v>159</v>
      </c>
      <c r="J27" s="149" t="s">
        <v>38</v>
      </c>
      <c r="K27" s="151" t="s">
        <v>161</v>
      </c>
      <c r="L27" s="151">
        <v>2</v>
      </c>
      <c r="M27" s="151"/>
      <c r="N27" s="151">
        <v>3</v>
      </c>
      <c r="O27" s="151">
        <v>0.5</v>
      </c>
      <c r="P27" s="151">
        <v>0.5</v>
      </c>
      <c r="Q27" s="152">
        <f t="shared" si="0"/>
        <v>0.5</v>
      </c>
      <c r="R27" s="151">
        <v>17.8</v>
      </c>
      <c r="S27" s="151">
        <v>132</v>
      </c>
      <c r="T27" s="153">
        <f t="shared" si="1"/>
        <v>25</v>
      </c>
      <c r="U27" s="151">
        <v>398</v>
      </c>
      <c r="V27" s="154">
        <f t="shared" si="2"/>
        <v>3316.6666666666665</v>
      </c>
      <c r="W27" s="151">
        <v>16</v>
      </c>
      <c r="X27" s="149" t="s">
        <v>46</v>
      </c>
      <c r="Y27" s="151" t="s">
        <v>97</v>
      </c>
      <c r="Z27" s="151" t="s">
        <v>55</v>
      </c>
      <c r="AA27" s="151" t="s">
        <v>47</v>
      </c>
      <c r="AB27" s="149" t="s">
        <v>258</v>
      </c>
      <c r="AC27" s="155"/>
      <c r="AE27" s="22"/>
      <c r="AG27" s="151"/>
      <c r="AH27" s="151"/>
      <c r="AJ27" s="151"/>
      <c r="AL27" s="151"/>
      <c r="AN27" s="151"/>
      <c r="AP27" s="43" t="s">
        <v>138</v>
      </c>
      <c r="AR27" s="41" t="s">
        <v>91</v>
      </c>
      <c r="AV27" s="151"/>
    </row>
    <row r="28" spans="1:53" x14ac:dyDescent="0.15">
      <c r="A28" s="149" t="s">
        <v>61</v>
      </c>
      <c r="B28" s="149" t="s">
        <v>232</v>
      </c>
      <c r="C28" s="149">
        <v>2019</v>
      </c>
      <c r="D28" s="150" t="s">
        <v>185</v>
      </c>
      <c r="E28" s="149" t="s">
        <v>289</v>
      </c>
      <c r="F28" s="149" t="s">
        <v>290</v>
      </c>
      <c r="G28" s="149" t="s">
        <v>42</v>
      </c>
      <c r="H28" s="151" t="s">
        <v>160</v>
      </c>
      <c r="I28" s="151" t="s">
        <v>159</v>
      </c>
      <c r="J28" s="149" t="s">
        <v>38</v>
      </c>
      <c r="K28" s="151" t="s">
        <v>161</v>
      </c>
      <c r="L28" s="151">
        <v>3</v>
      </c>
      <c r="M28" s="151"/>
      <c r="N28" s="151">
        <v>3</v>
      </c>
      <c r="O28" s="155">
        <v>0.5</v>
      </c>
      <c r="P28" s="151">
        <v>0.5</v>
      </c>
      <c r="Q28" s="152">
        <f t="shared" si="0"/>
        <v>0.5</v>
      </c>
      <c r="R28" s="151">
        <v>17.8</v>
      </c>
      <c r="S28" s="151">
        <v>130</v>
      </c>
      <c r="T28" s="153">
        <f t="shared" si="1"/>
        <v>25</v>
      </c>
      <c r="U28" s="151">
        <v>398</v>
      </c>
      <c r="V28" s="154">
        <f t="shared" si="2"/>
        <v>3316.6666666666665</v>
      </c>
      <c r="W28" s="151">
        <v>16</v>
      </c>
      <c r="X28" s="149" t="s">
        <v>46</v>
      </c>
      <c r="Y28" s="151" t="s">
        <v>97</v>
      </c>
      <c r="Z28" s="151" t="s">
        <v>55</v>
      </c>
      <c r="AA28" s="151" t="s">
        <v>47</v>
      </c>
      <c r="AB28" s="149" t="s">
        <v>258</v>
      </c>
      <c r="AC28" s="155"/>
      <c r="AE28" s="35"/>
      <c r="AG28" s="151"/>
      <c r="AH28" s="151"/>
      <c r="AJ28" s="151"/>
      <c r="AN28" s="151"/>
      <c r="AP28" s="43" t="s">
        <v>116</v>
      </c>
      <c r="AR28" s="42" t="s">
        <v>92</v>
      </c>
      <c r="AV28" s="151"/>
    </row>
    <row r="29" spans="1:53" x14ac:dyDescent="0.15">
      <c r="A29" s="149" t="s">
        <v>61</v>
      </c>
      <c r="B29" s="149" t="s">
        <v>232</v>
      </c>
      <c r="C29" s="149">
        <v>2019</v>
      </c>
      <c r="D29" s="150" t="s">
        <v>185</v>
      </c>
      <c r="E29" s="149" t="s">
        <v>291</v>
      </c>
      <c r="F29" s="149" t="s">
        <v>292</v>
      </c>
      <c r="G29" s="149" t="s">
        <v>42</v>
      </c>
      <c r="H29" s="151" t="s">
        <v>165</v>
      </c>
      <c r="I29" s="151" t="s">
        <v>159</v>
      </c>
      <c r="J29" s="149" t="s">
        <v>38</v>
      </c>
      <c r="K29" s="151" t="s">
        <v>161</v>
      </c>
      <c r="L29" s="151">
        <v>1</v>
      </c>
      <c r="M29" s="151"/>
      <c r="N29" s="151">
        <v>1</v>
      </c>
      <c r="O29" s="151">
        <v>1</v>
      </c>
      <c r="P29" s="151">
        <v>1</v>
      </c>
      <c r="Q29" s="152">
        <f t="shared" si="0"/>
        <v>1</v>
      </c>
      <c r="R29" s="151">
        <v>17.5</v>
      </c>
      <c r="S29" s="151">
        <v>131</v>
      </c>
      <c r="T29" s="153">
        <f t="shared" si="1"/>
        <v>25</v>
      </c>
      <c r="U29" s="151">
        <v>138</v>
      </c>
      <c r="V29" s="154">
        <f t="shared" si="2"/>
        <v>3450</v>
      </c>
      <c r="W29" s="151">
        <v>10</v>
      </c>
      <c r="X29" s="149" t="s">
        <v>46</v>
      </c>
      <c r="Y29" s="151" t="s">
        <v>69</v>
      </c>
      <c r="Z29" s="151" t="s">
        <v>55</v>
      </c>
      <c r="AA29" s="151" t="s">
        <v>47</v>
      </c>
      <c r="AB29" s="149" t="s">
        <v>258</v>
      </c>
      <c r="AC29" s="155"/>
      <c r="AD29" s="34"/>
      <c r="AE29" s="35"/>
      <c r="AG29" s="151"/>
      <c r="AH29" s="151"/>
      <c r="AP29" s="43" t="s">
        <v>117</v>
      </c>
      <c r="AR29" s="23" t="s">
        <v>153</v>
      </c>
      <c r="AV29" s="151"/>
    </row>
    <row r="30" spans="1:53" x14ac:dyDescent="0.15">
      <c r="A30" s="149" t="s">
        <v>61</v>
      </c>
      <c r="B30" s="149" t="s">
        <v>232</v>
      </c>
      <c r="C30" s="149">
        <v>2019</v>
      </c>
      <c r="D30" s="150" t="s">
        <v>185</v>
      </c>
      <c r="E30" s="149" t="s">
        <v>291</v>
      </c>
      <c r="F30" s="149" t="s">
        <v>292</v>
      </c>
      <c r="G30" s="149" t="s">
        <v>42</v>
      </c>
      <c r="H30" s="151" t="s">
        <v>165</v>
      </c>
      <c r="I30" s="151" t="s">
        <v>159</v>
      </c>
      <c r="J30" s="149" t="s">
        <v>38</v>
      </c>
      <c r="K30" s="151" t="s">
        <v>161</v>
      </c>
      <c r="L30" s="151">
        <v>2</v>
      </c>
      <c r="M30" s="151"/>
      <c r="N30" s="151">
        <v>1</v>
      </c>
      <c r="O30" s="151">
        <v>0.75</v>
      </c>
      <c r="P30" s="151">
        <v>0.85</v>
      </c>
      <c r="Q30" s="152">
        <f t="shared" si="0"/>
        <v>0.8</v>
      </c>
      <c r="R30" s="151">
        <v>17</v>
      </c>
      <c r="S30" s="151">
        <v>121</v>
      </c>
      <c r="T30" s="153">
        <f t="shared" si="1"/>
        <v>27</v>
      </c>
      <c r="U30" s="151">
        <v>138</v>
      </c>
      <c r="V30" s="154">
        <f t="shared" si="2"/>
        <v>3726</v>
      </c>
      <c r="W30" s="151">
        <v>10</v>
      </c>
      <c r="X30" s="149" t="s">
        <v>46</v>
      </c>
      <c r="Y30" s="151" t="s">
        <v>69</v>
      </c>
      <c r="Z30" s="151" t="s">
        <v>55</v>
      </c>
      <c r="AA30" s="151" t="s">
        <v>47</v>
      </c>
      <c r="AB30" s="149" t="s">
        <v>258</v>
      </c>
      <c r="AC30" s="155"/>
      <c r="AD30" s="34"/>
      <c r="AE30" s="28"/>
      <c r="AG30" s="151"/>
      <c r="AH30" s="151"/>
      <c r="AP30" s="43" t="s">
        <v>118</v>
      </c>
      <c r="AR30" s="23"/>
      <c r="AV30" s="151"/>
    </row>
    <row r="31" spans="1:53" x14ac:dyDescent="0.15">
      <c r="A31" s="149" t="s">
        <v>61</v>
      </c>
      <c r="B31" s="149" t="s">
        <v>232</v>
      </c>
      <c r="C31" s="149">
        <v>2019</v>
      </c>
      <c r="D31" s="150" t="s">
        <v>185</v>
      </c>
      <c r="E31" s="149" t="s">
        <v>291</v>
      </c>
      <c r="F31" s="149" t="s">
        <v>292</v>
      </c>
      <c r="G31" s="149" t="s">
        <v>42</v>
      </c>
      <c r="H31" s="151" t="s">
        <v>165</v>
      </c>
      <c r="I31" s="151" t="s">
        <v>159</v>
      </c>
      <c r="J31" s="149" t="s">
        <v>38</v>
      </c>
      <c r="K31" s="151" t="s">
        <v>161</v>
      </c>
      <c r="L31" s="151">
        <v>3</v>
      </c>
      <c r="M31" s="151"/>
      <c r="N31" s="151">
        <v>1</v>
      </c>
      <c r="O31" s="151">
        <v>1.1499999999999999</v>
      </c>
      <c r="P31" s="155">
        <v>1.1000000000000001</v>
      </c>
      <c r="Q31" s="152">
        <f t="shared" si="0"/>
        <v>1.125</v>
      </c>
      <c r="R31" s="151">
        <v>17.3</v>
      </c>
      <c r="S31" s="151">
        <v>133</v>
      </c>
      <c r="T31" s="153">
        <f t="shared" si="1"/>
        <v>25</v>
      </c>
      <c r="U31" s="151">
        <v>138</v>
      </c>
      <c r="V31" s="154">
        <f t="shared" si="2"/>
        <v>3450</v>
      </c>
      <c r="W31" s="151">
        <v>10</v>
      </c>
      <c r="X31" s="149" t="s">
        <v>46</v>
      </c>
      <c r="Y31" s="151" t="s">
        <v>69</v>
      </c>
      <c r="Z31" s="151" t="s">
        <v>55</v>
      </c>
      <c r="AA31" s="151" t="s">
        <v>47</v>
      </c>
      <c r="AB31" s="149" t="s">
        <v>258</v>
      </c>
      <c r="AC31" s="155"/>
      <c r="AD31" s="34"/>
      <c r="AE31" s="151"/>
      <c r="AG31" s="151"/>
      <c r="AH31" s="151"/>
      <c r="AP31" s="27"/>
      <c r="AR31" s="23"/>
      <c r="AV31" s="151"/>
    </row>
    <row r="32" spans="1:53" x14ac:dyDescent="0.15">
      <c r="A32" s="149" t="s">
        <v>61</v>
      </c>
      <c r="B32" s="149" t="s">
        <v>232</v>
      </c>
      <c r="C32" s="149">
        <v>2019</v>
      </c>
      <c r="D32" s="150" t="s">
        <v>185</v>
      </c>
      <c r="E32" s="149" t="s">
        <v>291</v>
      </c>
      <c r="F32" s="149" t="s">
        <v>292</v>
      </c>
      <c r="G32" s="149" t="s">
        <v>42</v>
      </c>
      <c r="H32" s="151" t="s">
        <v>160</v>
      </c>
      <c r="I32" s="151" t="s">
        <v>159</v>
      </c>
      <c r="J32" s="149" t="s">
        <v>38</v>
      </c>
      <c r="K32" s="151" t="s">
        <v>161</v>
      </c>
      <c r="L32" s="151">
        <v>1</v>
      </c>
      <c r="M32" s="151"/>
      <c r="N32" s="151">
        <v>1</v>
      </c>
      <c r="O32" s="151">
        <v>0.9</v>
      </c>
      <c r="P32" s="151">
        <v>0.75</v>
      </c>
      <c r="Q32" s="152">
        <f t="shared" si="0"/>
        <v>0.82499999999999996</v>
      </c>
      <c r="R32" s="151">
        <v>19.5</v>
      </c>
      <c r="S32" s="151">
        <v>147</v>
      </c>
      <c r="T32" s="153">
        <f t="shared" si="1"/>
        <v>22</v>
      </c>
      <c r="U32" s="151">
        <v>108</v>
      </c>
      <c r="V32" s="154">
        <f t="shared" si="2"/>
        <v>2376</v>
      </c>
      <c r="W32" s="151">
        <v>10</v>
      </c>
      <c r="X32" s="149" t="s">
        <v>46</v>
      </c>
      <c r="Y32" s="151" t="s">
        <v>69</v>
      </c>
      <c r="Z32" s="151" t="s">
        <v>55</v>
      </c>
      <c r="AA32" s="151" t="s">
        <v>47</v>
      </c>
      <c r="AB32" s="149" t="s">
        <v>258</v>
      </c>
      <c r="AC32" s="155"/>
      <c r="AE32" s="151"/>
      <c r="AG32" s="151"/>
      <c r="AH32" s="151"/>
      <c r="AJ32" s="151"/>
      <c r="AN32" s="151"/>
      <c r="AP32" s="151"/>
      <c r="AR32" s="151"/>
      <c r="AV32" s="151"/>
    </row>
    <row r="33" spans="1:48" x14ac:dyDescent="0.15">
      <c r="A33" s="149" t="s">
        <v>61</v>
      </c>
      <c r="B33" s="149" t="s">
        <v>232</v>
      </c>
      <c r="C33" s="149">
        <v>2019</v>
      </c>
      <c r="D33" s="150" t="s">
        <v>185</v>
      </c>
      <c r="E33" s="149" t="s">
        <v>291</v>
      </c>
      <c r="F33" s="149" t="s">
        <v>292</v>
      </c>
      <c r="G33" s="149" t="s">
        <v>42</v>
      </c>
      <c r="H33" s="151" t="s">
        <v>160</v>
      </c>
      <c r="I33" s="151" t="s">
        <v>159</v>
      </c>
      <c r="J33" s="149" t="s">
        <v>38</v>
      </c>
      <c r="K33" s="151" t="s">
        <v>161</v>
      </c>
      <c r="L33" s="151">
        <v>2</v>
      </c>
      <c r="M33" s="151"/>
      <c r="N33" s="151">
        <v>1</v>
      </c>
      <c r="O33" s="151">
        <v>0.95</v>
      </c>
      <c r="P33" s="151">
        <v>0.85</v>
      </c>
      <c r="Q33" s="152">
        <f t="shared" si="0"/>
        <v>0.89999999999999991</v>
      </c>
      <c r="R33" s="151">
        <v>17.3</v>
      </c>
      <c r="S33" s="151">
        <v>143</v>
      </c>
      <c r="T33" s="153">
        <f t="shared" si="1"/>
        <v>22</v>
      </c>
      <c r="U33" s="151">
        <v>108</v>
      </c>
      <c r="V33" s="154">
        <f t="shared" si="2"/>
        <v>2376</v>
      </c>
      <c r="W33" s="151">
        <v>10</v>
      </c>
      <c r="X33" s="149" t="s">
        <v>46</v>
      </c>
      <c r="Y33" s="151" t="s">
        <v>69</v>
      </c>
      <c r="Z33" s="151" t="s">
        <v>55</v>
      </c>
      <c r="AA33" s="151" t="s">
        <v>47</v>
      </c>
      <c r="AB33" s="149" t="s">
        <v>258</v>
      </c>
      <c r="AC33" s="155"/>
      <c r="AE33" s="151"/>
      <c r="AG33" s="151"/>
      <c r="AH33" s="151"/>
      <c r="AL33" s="151"/>
      <c r="AN33" s="151"/>
      <c r="AP33" s="151"/>
      <c r="AR33" s="151"/>
      <c r="AV33" s="151"/>
    </row>
    <row r="34" spans="1:48" x14ac:dyDescent="0.15">
      <c r="A34" s="149" t="s">
        <v>61</v>
      </c>
      <c r="B34" s="149" t="s">
        <v>232</v>
      </c>
      <c r="C34" s="149">
        <v>2019</v>
      </c>
      <c r="D34" s="150" t="s">
        <v>185</v>
      </c>
      <c r="E34" s="149" t="s">
        <v>291</v>
      </c>
      <c r="F34" s="149" t="s">
        <v>292</v>
      </c>
      <c r="G34" s="149" t="s">
        <v>42</v>
      </c>
      <c r="H34" s="151" t="s">
        <v>160</v>
      </c>
      <c r="I34" s="151" t="s">
        <v>159</v>
      </c>
      <c r="J34" s="149" t="s">
        <v>38</v>
      </c>
      <c r="K34" s="151" t="s">
        <v>161</v>
      </c>
      <c r="L34" s="151">
        <v>3</v>
      </c>
      <c r="M34" s="151"/>
      <c r="N34" s="151">
        <v>1</v>
      </c>
      <c r="O34" s="151">
        <v>0.5</v>
      </c>
      <c r="P34" s="151">
        <v>0.5</v>
      </c>
      <c r="Q34" s="152">
        <f t="shared" si="0"/>
        <v>0.5</v>
      </c>
      <c r="R34" s="151">
        <v>19</v>
      </c>
      <c r="S34" s="151">
        <v>143</v>
      </c>
      <c r="T34" s="153">
        <f t="shared" si="1"/>
        <v>22</v>
      </c>
      <c r="U34" s="151">
        <v>108</v>
      </c>
      <c r="V34" s="154">
        <f t="shared" si="2"/>
        <v>2376</v>
      </c>
      <c r="W34" s="151">
        <v>10</v>
      </c>
      <c r="X34" s="149" t="s">
        <v>46</v>
      </c>
      <c r="Y34" s="151" t="s">
        <v>69</v>
      </c>
      <c r="Z34" s="151" t="s">
        <v>55</v>
      </c>
      <c r="AA34" s="151" t="s">
        <v>47</v>
      </c>
      <c r="AB34" s="149" t="s">
        <v>258</v>
      </c>
      <c r="AC34" s="155"/>
      <c r="AE34" s="151"/>
      <c r="AG34" s="151"/>
      <c r="AH34" s="151"/>
      <c r="AL34" s="151"/>
      <c r="AP34" s="151"/>
      <c r="AR34" s="151"/>
      <c r="AV34" s="151"/>
    </row>
    <row r="35" spans="1:48" x14ac:dyDescent="0.15">
      <c r="A35" s="149" t="s">
        <v>61</v>
      </c>
      <c r="B35" s="149" t="s">
        <v>232</v>
      </c>
      <c r="C35" s="149">
        <v>2019</v>
      </c>
      <c r="D35" s="150" t="s">
        <v>185</v>
      </c>
      <c r="E35" s="149" t="s">
        <v>291</v>
      </c>
      <c r="F35" s="149" t="s">
        <v>292</v>
      </c>
      <c r="G35" s="149" t="s">
        <v>42</v>
      </c>
      <c r="H35" s="151" t="s">
        <v>160</v>
      </c>
      <c r="I35" s="151" t="s">
        <v>166</v>
      </c>
      <c r="J35" s="149" t="s">
        <v>38</v>
      </c>
      <c r="K35" s="151" t="s">
        <v>161</v>
      </c>
      <c r="L35" s="151">
        <v>1</v>
      </c>
      <c r="M35" s="151"/>
      <c r="N35" s="151">
        <v>1</v>
      </c>
      <c r="O35" s="151">
        <v>0.5</v>
      </c>
      <c r="P35" s="151">
        <v>0.5</v>
      </c>
      <c r="Q35" s="152">
        <f t="shared" si="0"/>
        <v>0.5</v>
      </c>
      <c r="R35" s="151">
        <v>18.5</v>
      </c>
      <c r="S35" s="151">
        <v>119</v>
      </c>
      <c r="T35" s="153">
        <f t="shared" si="1"/>
        <v>30</v>
      </c>
      <c r="U35" s="151">
        <v>108</v>
      </c>
      <c r="V35" s="154">
        <f t="shared" si="2"/>
        <v>3240</v>
      </c>
      <c r="W35" s="151">
        <v>10</v>
      </c>
      <c r="X35" s="149" t="s">
        <v>46</v>
      </c>
      <c r="Y35" s="151" t="s">
        <v>69</v>
      </c>
      <c r="Z35" s="151" t="s">
        <v>55</v>
      </c>
      <c r="AA35" s="151" t="s">
        <v>47</v>
      </c>
      <c r="AB35" s="149" t="s">
        <v>258</v>
      </c>
      <c r="AC35" s="155"/>
      <c r="AE35" s="151"/>
      <c r="AG35" s="151"/>
      <c r="AH35" s="151"/>
      <c r="AJ35" s="151"/>
      <c r="AN35" s="151"/>
      <c r="AP35" s="151"/>
      <c r="AR35" s="151"/>
      <c r="AV35" s="151"/>
    </row>
    <row r="36" spans="1:48" x14ac:dyDescent="0.15">
      <c r="A36" s="149" t="s">
        <v>61</v>
      </c>
      <c r="B36" s="149" t="s">
        <v>232</v>
      </c>
      <c r="C36" s="149">
        <v>2019</v>
      </c>
      <c r="D36" s="150" t="s">
        <v>185</v>
      </c>
      <c r="E36" s="149" t="s">
        <v>291</v>
      </c>
      <c r="F36" s="149" t="s">
        <v>292</v>
      </c>
      <c r="G36" s="149" t="s">
        <v>42</v>
      </c>
      <c r="H36" s="151" t="s">
        <v>160</v>
      </c>
      <c r="I36" s="151" t="s">
        <v>166</v>
      </c>
      <c r="J36" s="149" t="s">
        <v>38</v>
      </c>
      <c r="K36" s="151" t="s">
        <v>161</v>
      </c>
      <c r="L36" s="151">
        <v>2</v>
      </c>
      <c r="M36" s="151"/>
      <c r="N36" s="151">
        <v>1</v>
      </c>
      <c r="O36" s="151">
        <v>0.5</v>
      </c>
      <c r="P36" s="151">
        <v>0.5</v>
      </c>
      <c r="Q36" s="152">
        <f t="shared" si="0"/>
        <v>0.5</v>
      </c>
      <c r="R36" s="151">
        <v>17</v>
      </c>
      <c r="S36" s="151">
        <v>119</v>
      </c>
      <c r="T36" s="153">
        <f t="shared" si="1"/>
        <v>30</v>
      </c>
      <c r="U36" s="151">
        <v>108</v>
      </c>
      <c r="V36" s="154">
        <f t="shared" si="2"/>
        <v>3240</v>
      </c>
      <c r="W36" s="151">
        <v>10</v>
      </c>
      <c r="X36" s="149" t="s">
        <v>46</v>
      </c>
      <c r="Y36" s="151" t="s">
        <v>69</v>
      </c>
      <c r="Z36" s="151" t="s">
        <v>55</v>
      </c>
      <c r="AA36" s="151" t="s">
        <v>47</v>
      </c>
      <c r="AB36" s="149" t="s">
        <v>258</v>
      </c>
      <c r="AC36" s="155"/>
      <c r="AE36" s="151"/>
      <c r="AG36" s="151"/>
      <c r="AH36" s="151"/>
      <c r="AL36" s="151"/>
      <c r="AN36" s="151"/>
      <c r="AP36" s="151"/>
      <c r="AR36" s="151"/>
      <c r="AV36" s="151"/>
    </row>
    <row r="37" spans="1:48" x14ac:dyDescent="0.15">
      <c r="A37" s="149" t="s">
        <v>61</v>
      </c>
      <c r="B37" s="149" t="s">
        <v>232</v>
      </c>
      <c r="C37" s="149">
        <v>2019</v>
      </c>
      <c r="D37" s="150" t="s">
        <v>185</v>
      </c>
      <c r="E37" s="149" t="s">
        <v>291</v>
      </c>
      <c r="F37" s="149" t="s">
        <v>292</v>
      </c>
      <c r="G37" s="149" t="s">
        <v>42</v>
      </c>
      <c r="H37" s="151" t="s">
        <v>160</v>
      </c>
      <c r="I37" s="151" t="s">
        <v>166</v>
      </c>
      <c r="J37" s="149" t="s">
        <v>38</v>
      </c>
      <c r="K37" s="151" t="s">
        <v>161</v>
      </c>
      <c r="L37" s="151">
        <v>3</v>
      </c>
      <c r="M37" s="151"/>
      <c r="N37" s="151">
        <v>1</v>
      </c>
      <c r="O37" s="151">
        <v>0.85</v>
      </c>
      <c r="P37" s="151">
        <v>0.5</v>
      </c>
      <c r="Q37" s="152">
        <f t="shared" si="0"/>
        <v>0.67500000000000004</v>
      </c>
      <c r="R37" s="151">
        <v>17.899999999999999</v>
      </c>
      <c r="S37" s="151">
        <v>125</v>
      </c>
      <c r="T37" s="153">
        <f t="shared" si="1"/>
        <v>27</v>
      </c>
      <c r="U37" s="151">
        <v>108</v>
      </c>
      <c r="V37" s="154">
        <f t="shared" si="2"/>
        <v>2916</v>
      </c>
      <c r="W37" s="151">
        <v>10</v>
      </c>
      <c r="X37" s="149" t="s">
        <v>46</v>
      </c>
      <c r="Y37" s="151" t="s">
        <v>69</v>
      </c>
      <c r="Z37" s="151" t="s">
        <v>55</v>
      </c>
      <c r="AA37" s="151" t="s">
        <v>47</v>
      </c>
      <c r="AB37" s="149" t="s">
        <v>258</v>
      </c>
      <c r="AC37" s="155"/>
      <c r="AE37" s="151"/>
      <c r="AG37" s="151"/>
      <c r="AH37" s="151"/>
      <c r="AL37" s="151"/>
      <c r="AP37" s="151"/>
      <c r="AR37" s="151"/>
      <c r="AV37" s="151"/>
    </row>
    <row r="38" spans="1:48" x14ac:dyDescent="0.15">
      <c r="A38" s="149" t="s">
        <v>61</v>
      </c>
      <c r="B38" s="149" t="s">
        <v>232</v>
      </c>
      <c r="C38" s="149">
        <v>2019</v>
      </c>
      <c r="D38" s="150" t="s">
        <v>185</v>
      </c>
      <c r="E38" s="149" t="s">
        <v>293</v>
      </c>
      <c r="F38" s="149" t="s">
        <v>294</v>
      </c>
      <c r="G38" s="149" t="s">
        <v>42</v>
      </c>
      <c r="H38" s="151" t="s">
        <v>160</v>
      </c>
      <c r="I38" s="151" t="s">
        <v>159</v>
      </c>
      <c r="J38" s="149" t="s">
        <v>38</v>
      </c>
      <c r="K38" s="151" t="s">
        <v>161</v>
      </c>
      <c r="L38" s="151">
        <v>1</v>
      </c>
      <c r="M38" s="151"/>
      <c r="N38" s="151">
        <v>1</v>
      </c>
      <c r="O38" s="151">
        <v>0.5</v>
      </c>
      <c r="P38" s="151">
        <v>0.5</v>
      </c>
      <c r="Q38" s="152">
        <f t="shared" si="0"/>
        <v>0.5</v>
      </c>
      <c r="R38" s="151">
        <v>19.399999999999999</v>
      </c>
      <c r="S38" s="151">
        <v>139</v>
      </c>
      <c r="T38" s="153">
        <f t="shared" si="1"/>
        <v>22</v>
      </c>
      <c r="U38" s="151">
        <v>128</v>
      </c>
      <c r="V38" s="154">
        <f t="shared" si="2"/>
        <v>2816</v>
      </c>
      <c r="W38" s="151">
        <v>2</v>
      </c>
      <c r="X38" s="149" t="s">
        <v>46</v>
      </c>
      <c r="Y38" s="151" t="s">
        <v>69</v>
      </c>
      <c r="Z38" s="151" t="s">
        <v>47</v>
      </c>
      <c r="AA38" s="151" t="s">
        <v>97</v>
      </c>
      <c r="AB38" s="149" t="s">
        <v>258</v>
      </c>
      <c r="AC38" s="155"/>
    </row>
    <row r="39" spans="1:48" x14ac:dyDescent="0.15">
      <c r="A39" s="149" t="s">
        <v>61</v>
      </c>
      <c r="B39" s="149" t="s">
        <v>232</v>
      </c>
      <c r="C39" s="149">
        <v>2019</v>
      </c>
      <c r="D39" s="150" t="s">
        <v>185</v>
      </c>
      <c r="E39" s="149" t="s">
        <v>293</v>
      </c>
      <c r="F39" s="149" t="s">
        <v>294</v>
      </c>
      <c r="G39" s="149" t="s">
        <v>42</v>
      </c>
      <c r="H39" s="151" t="s">
        <v>160</v>
      </c>
      <c r="I39" s="151" t="s">
        <v>159</v>
      </c>
      <c r="J39" s="149" t="s">
        <v>38</v>
      </c>
      <c r="K39" s="151" t="s">
        <v>161</v>
      </c>
      <c r="L39" s="151">
        <v>2</v>
      </c>
      <c r="M39" s="151"/>
      <c r="N39" s="151">
        <v>1</v>
      </c>
      <c r="O39" s="151">
        <v>0.5</v>
      </c>
      <c r="P39" s="151">
        <v>0.5</v>
      </c>
      <c r="Q39" s="152">
        <f t="shared" si="0"/>
        <v>0.5</v>
      </c>
      <c r="R39" s="151">
        <v>19</v>
      </c>
      <c r="S39" s="151">
        <v>137</v>
      </c>
      <c r="T39" s="153">
        <f t="shared" si="1"/>
        <v>25</v>
      </c>
      <c r="U39" s="151">
        <v>128</v>
      </c>
      <c r="V39" s="154">
        <f t="shared" si="2"/>
        <v>3200</v>
      </c>
      <c r="W39" s="151">
        <v>2</v>
      </c>
      <c r="X39" s="149" t="s">
        <v>46</v>
      </c>
      <c r="Y39" s="151" t="s">
        <v>69</v>
      </c>
      <c r="Z39" s="151" t="s">
        <v>47</v>
      </c>
      <c r="AA39" s="151" t="s">
        <v>97</v>
      </c>
      <c r="AB39" s="149" t="s">
        <v>258</v>
      </c>
      <c r="AC39" s="155"/>
    </row>
    <row r="40" spans="1:48" x14ac:dyDescent="0.15">
      <c r="A40" s="149" t="s">
        <v>61</v>
      </c>
      <c r="B40" s="149" t="s">
        <v>232</v>
      </c>
      <c r="C40" s="149">
        <v>2019</v>
      </c>
      <c r="D40" s="150" t="s">
        <v>185</v>
      </c>
      <c r="E40" s="149" t="s">
        <v>293</v>
      </c>
      <c r="F40" s="149" t="s">
        <v>294</v>
      </c>
      <c r="G40" s="149" t="s">
        <v>42</v>
      </c>
      <c r="H40" s="151" t="s">
        <v>160</v>
      </c>
      <c r="I40" s="151" t="s">
        <v>159</v>
      </c>
      <c r="J40" s="149" t="s">
        <v>38</v>
      </c>
      <c r="K40" s="151" t="s">
        <v>161</v>
      </c>
      <c r="L40" s="151">
        <v>3</v>
      </c>
      <c r="M40" s="151"/>
      <c r="N40" s="151">
        <v>1</v>
      </c>
      <c r="O40" s="151">
        <v>0.5</v>
      </c>
      <c r="P40" s="151">
        <v>0.75</v>
      </c>
      <c r="Q40" s="152">
        <f t="shared" si="0"/>
        <v>0.625</v>
      </c>
      <c r="R40" s="151">
        <v>17.5</v>
      </c>
      <c r="S40" s="151">
        <v>135</v>
      </c>
      <c r="T40" s="153">
        <f t="shared" si="1"/>
        <v>25</v>
      </c>
      <c r="U40" s="151">
        <v>128</v>
      </c>
      <c r="V40" s="154">
        <f t="shared" si="2"/>
        <v>3200</v>
      </c>
      <c r="W40" s="151">
        <v>2</v>
      </c>
      <c r="X40" s="149" t="s">
        <v>46</v>
      </c>
      <c r="Y40" s="151" t="s">
        <v>69</v>
      </c>
      <c r="Z40" s="151" t="s">
        <v>47</v>
      </c>
      <c r="AA40" s="151" t="s">
        <v>97</v>
      </c>
      <c r="AB40" s="149" t="s">
        <v>258</v>
      </c>
      <c r="AC40" s="155"/>
    </row>
    <row r="41" spans="1:48" x14ac:dyDescent="0.15">
      <c r="A41" s="149" t="s">
        <v>61</v>
      </c>
      <c r="B41" s="149" t="s">
        <v>232</v>
      </c>
      <c r="C41" s="149">
        <v>2019</v>
      </c>
      <c r="D41" s="150" t="s">
        <v>185</v>
      </c>
      <c r="E41" s="149" t="s">
        <v>295</v>
      </c>
      <c r="F41" s="149" t="s">
        <v>296</v>
      </c>
      <c r="G41" s="149" t="s">
        <v>42</v>
      </c>
      <c r="H41" s="151" t="s">
        <v>165</v>
      </c>
      <c r="I41" s="151" t="s">
        <v>159</v>
      </c>
      <c r="J41" s="149" t="s">
        <v>38</v>
      </c>
      <c r="K41" s="151" t="s">
        <v>161</v>
      </c>
      <c r="L41" s="151">
        <v>1</v>
      </c>
      <c r="M41" s="151"/>
      <c r="N41" s="151">
        <v>4</v>
      </c>
      <c r="O41" s="151">
        <v>0.75</v>
      </c>
      <c r="P41" s="151">
        <v>0.75</v>
      </c>
      <c r="Q41" s="152">
        <f t="shared" si="0"/>
        <v>0.75</v>
      </c>
      <c r="R41" s="151">
        <v>16.899999999999999</v>
      </c>
      <c r="S41" s="151">
        <v>96</v>
      </c>
      <c r="T41" s="153">
        <f t="shared" si="1"/>
        <v>36</v>
      </c>
      <c r="U41" s="151">
        <v>321</v>
      </c>
      <c r="V41" s="154">
        <f t="shared" si="2"/>
        <v>2889</v>
      </c>
      <c r="W41" s="151">
        <v>8</v>
      </c>
      <c r="X41" s="149" t="s">
        <v>46</v>
      </c>
      <c r="Y41" s="151" t="s">
        <v>69</v>
      </c>
      <c r="Z41" s="151" t="s">
        <v>55</v>
      </c>
      <c r="AA41" s="151" t="s">
        <v>47</v>
      </c>
      <c r="AB41" s="149" t="s">
        <v>258</v>
      </c>
      <c r="AC41" s="151"/>
    </row>
    <row r="42" spans="1:48" x14ac:dyDescent="0.15">
      <c r="A42" s="149" t="s">
        <v>61</v>
      </c>
      <c r="B42" s="149" t="s">
        <v>232</v>
      </c>
      <c r="C42" s="149">
        <v>2020</v>
      </c>
      <c r="D42" s="150" t="s">
        <v>185</v>
      </c>
      <c r="E42" s="149" t="s">
        <v>295</v>
      </c>
      <c r="F42" s="149" t="s">
        <v>296</v>
      </c>
      <c r="G42" s="149" t="s">
        <v>42</v>
      </c>
      <c r="H42" s="151" t="s">
        <v>165</v>
      </c>
      <c r="I42" s="151" t="s">
        <v>159</v>
      </c>
      <c r="J42" s="149" t="s">
        <v>38</v>
      </c>
      <c r="K42" s="151" t="s">
        <v>161</v>
      </c>
      <c r="L42" s="151">
        <v>2</v>
      </c>
      <c r="M42" s="151"/>
      <c r="N42" s="151">
        <v>4</v>
      </c>
      <c r="O42" s="151">
        <v>1.05</v>
      </c>
      <c r="P42" s="151">
        <v>1.25</v>
      </c>
      <c r="Q42" s="152">
        <f t="shared" si="0"/>
        <v>1.1499999999999999</v>
      </c>
      <c r="R42" s="151">
        <v>17</v>
      </c>
      <c r="S42" s="151">
        <v>96</v>
      </c>
      <c r="T42" s="153">
        <f t="shared" si="1"/>
        <v>36</v>
      </c>
      <c r="U42" s="151">
        <v>321</v>
      </c>
      <c r="V42" s="154">
        <f t="shared" si="2"/>
        <v>2889</v>
      </c>
      <c r="W42" s="151">
        <v>8</v>
      </c>
      <c r="X42" s="149" t="s">
        <v>46</v>
      </c>
      <c r="Y42" s="151" t="s">
        <v>69</v>
      </c>
      <c r="Z42" s="151" t="s">
        <v>55</v>
      </c>
      <c r="AA42" s="151" t="s">
        <v>47</v>
      </c>
      <c r="AB42" s="149" t="s">
        <v>258</v>
      </c>
      <c r="AC42" s="151"/>
    </row>
    <row r="43" spans="1:48" x14ac:dyDescent="0.15">
      <c r="A43" s="149" t="s">
        <v>61</v>
      </c>
      <c r="B43" s="149" t="s">
        <v>232</v>
      </c>
      <c r="C43" s="149">
        <v>2021</v>
      </c>
      <c r="D43" s="150" t="s">
        <v>185</v>
      </c>
      <c r="E43" s="149" t="s">
        <v>295</v>
      </c>
      <c r="F43" s="149" t="s">
        <v>296</v>
      </c>
      <c r="G43" s="149" t="s">
        <v>42</v>
      </c>
      <c r="H43" s="151" t="s">
        <v>165</v>
      </c>
      <c r="I43" s="151" t="s">
        <v>159</v>
      </c>
      <c r="J43" s="149" t="s">
        <v>38</v>
      </c>
      <c r="K43" s="151" t="s">
        <v>161</v>
      </c>
      <c r="L43" s="151">
        <v>3</v>
      </c>
      <c r="M43" s="151"/>
      <c r="N43" s="151">
        <v>4</v>
      </c>
      <c r="O43" s="151">
        <v>0.95</v>
      </c>
      <c r="P43" s="151">
        <v>1.2</v>
      </c>
      <c r="Q43" s="152">
        <f t="shared" si="0"/>
        <v>1.075</v>
      </c>
      <c r="R43" s="151">
        <v>11.8</v>
      </c>
      <c r="S43" s="151">
        <v>96</v>
      </c>
      <c r="T43" s="153">
        <f t="shared" si="1"/>
        <v>36</v>
      </c>
      <c r="U43" s="151">
        <v>321</v>
      </c>
      <c r="V43" s="154">
        <f t="shared" si="2"/>
        <v>2889</v>
      </c>
      <c r="W43" s="151">
        <v>8</v>
      </c>
      <c r="X43" s="149" t="s">
        <v>46</v>
      </c>
      <c r="Y43" s="151" t="s">
        <v>69</v>
      </c>
      <c r="Z43" s="151" t="s">
        <v>55</v>
      </c>
      <c r="AA43" s="151" t="s">
        <v>47</v>
      </c>
      <c r="AB43" s="149" t="s">
        <v>258</v>
      </c>
      <c r="AC43" s="151"/>
    </row>
    <row r="44" spans="1:48" x14ac:dyDescent="0.15">
      <c r="A44" s="149" t="s">
        <v>61</v>
      </c>
      <c r="B44" s="149" t="s">
        <v>232</v>
      </c>
      <c r="C44" s="149">
        <v>2022</v>
      </c>
      <c r="D44" s="150" t="s">
        <v>185</v>
      </c>
      <c r="E44" s="149" t="s">
        <v>295</v>
      </c>
      <c r="F44" s="149" t="s">
        <v>296</v>
      </c>
      <c r="G44" s="149" t="s">
        <v>42</v>
      </c>
      <c r="H44" s="151" t="s">
        <v>160</v>
      </c>
      <c r="I44" s="151" t="s">
        <v>159</v>
      </c>
      <c r="J44" s="149" t="s">
        <v>38</v>
      </c>
      <c r="K44" s="151" t="s">
        <v>161</v>
      </c>
      <c r="L44" s="151">
        <v>1</v>
      </c>
      <c r="M44" s="151"/>
      <c r="N44" s="151">
        <v>4</v>
      </c>
      <c r="O44" s="151">
        <v>0.5</v>
      </c>
      <c r="P44" s="151">
        <v>0.5</v>
      </c>
      <c r="Q44" s="152">
        <f t="shared" si="0"/>
        <v>0.5</v>
      </c>
      <c r="R44" s="151">
        <v>17.5</v>
      </c>
      <c r="S44" s="151">
        <v>111</v>
      </c>
      <c r="T44" s="153">
        <f t="shared" si="1"/>
        <v>33</v>
      </c>
      <c r="U44" s="151">
        <v>386</v>
      </c>
      <c r="V44" s="154">
        <f t="shared" si="2"/>
        <v>3184.5</v>
      </c>
      <c r="W44" s="151">
        <v>8</v>
      </c>
      <c r="X44" s="149" t="s">
        <v>46</v>
      </c>
      <c r="Y44" s="151" t="s">
        <v>69</v>
      </c>
      <c r="Z44" s="151" t="s">
        <v>55</v>
      </c>
      <c r="AA44" s="151" t="s">
        <v>47</v>
      </c>
      <c r="AB44" s="149" t="s">
        <v>258</v>
      </c>
      <c r="AC44" s="155"/>
    </row>
    <row r="45" spans="1:48" x14ac:dyDescent="0.15">
      <c r="A45" s="149" t="s">
        <v>61</v>
      </c>
      <c r="B45" s="149" t="s">
        <v>232</v>
      </c>
      <c r="C45" s="149">
        <v>2023</v>
      </c>
      <c r="D45" s="150" t="s">
        <v>185</v>
      </c>
      <c r="E45" s="149" t="s">
        <v>295</v>
      </c>
      <c r="F45" s="149" t="s">
        <v>296</v>
      </c>
      <c r="G45" s="149" t="s">
        <v>42</v>
      </c>
      <c r="H45" s="151" t="s">
        <v>160</v>
      </c>
      <c r="I45" s="151" t="s">
        <v>159</v>
      </c>
      <c r="J45" s="149" t="s">
        <v>38</v>
      </c>
      <c r="K45" s="151" t="s">
        <v>161</v>
      </c>
      <c r="L45" s="151">
        <v>2</v>
      </c>
      <c r="M45" s="151"/>
      <c r="N45" s="151">
        <v>4</v>
      </c>
      <c r="O45" s="151">
        <v>0.5</v>
      </c>
      <c r="P45" s="151">
        <v>0.5</v>
      </c>
      <c r="Q45" s="152">
        <f t="shared" si="0"/>
        <v>0.5</v>
      </c>
      <c r="R45" s="151">
        <v>17.3</v>
      </c>
      <c r="S45" s="151">
        <v>103</v>
      </c>
      <c r="T45" s="153">
        <f t="shared" si="1"/>
        <v>33</v>
      </c>
      <c r="U45" s="151">
        <v>386</v>
      </c>
      <c r="V45" s="154">
        <f t="shared" si="2"/>
        <v>3184.5</v>
      </c>
      <c r="W45" s="151">
        <v>8</v>
      </c>
      <c r="X45" s="149" t="s">
        <v>46</v>
      </c>
      <c r="Y45" s="151" t="s">
        <v>69</v>
      </c>
      <c r="Z45" s="151" t="s">
        <v>55</v>
      </c>
      <c r="AA45" s="151" t="s">
        <v>47</v>
      </c>
      <c r="AB45" s="149" t="s">
        <v>258</v>
      </c>
      <c r="AC45" s="155"/>
    </row>
    <row r="46" spans="1:48" x14ac:dyDescent="0.15">
      <c r="A46" s="149" t="s">
        <v>61</v>
      </c>
      <c r="B46" s="149" t="s">
        <v>232</v>
      </c>
      <c r="C46" s="149">
        <v>2024</v>
      </c>
      <c r="D46" s="150" t="s">
        <v>185</v>
      </c>
      <c r="E46" s="149" t="s">
        <v>295</v>
      </c>
      <c r="F46" s="149" t="s">
        <v>296</v>
      </c>
      <c r="G46" s="149" t="s">
        <v>42</v>
      </c>
      <c r="H46" s="151" t="s">
        <v>160</v>
      </c>
      <c r="I46" s="151" t="s">
        <v>159</v>
      </c>
      <c r="J46" s="149" t="s">
        <v>38</v>
      </c>
      <c r="K46" s="151" t="s">
        <v>161</v>
      </c>
      <c r="L46" s="151">
        <v>3</v>
      </c>
      <c r="M46" s="151"/>
      <c r="N46" s="151">
        <v>4</v>
      </c>
      <c r="O46" s="151">
        <v>0.5</v>
      </c>
      <c r="P46" s="151">
        <v>0.5</v>
      </c>
      <c r="Q46" s="152">
        <f t="shared" si="0"/>
        <v>0.5</v>
      </c>
      <c r="R46" s="155">
        <v>17.3</v>
      </c>
      <c r="S46" s="151">
        <v>107</v>
      </c>
      <c r="T46" s="153">
        <f t="shared" si="1"/>
        <v>33</v>
      </c>
      <c r="U46" s="151">
        <v>386</v>
      </c>
      <c r="V46" s="154">
        <f t="shared" si="2"/>
        <v>3184.5</v>
      </c>
      <c r="W46" s="151">
        <v>8</v>
      </c>
      <c r="X46" s="149" t="s">
        <v>46</v>
      </c>
      <c r="Y46" s="151" t="s">
        <v>69</v>
      </c>
      <c r="Z46" s="151" t="s">
        <v>55</v>
      </c>
      <c r="AA46" s="151" t="s">
        <v>47</v>
      </c>
      <c r="AB46" s="149" t="s">
        <v>258</v>
      </c>
      <c r="AC46" s="155"/>
    </row>
    <row r="47" spans="1:48" x14ac:dyDescent="0.15">
      <c r="A47" s="149" t="s">
        <v>61</v>
      </c>
      <c r="B47" s="149" t="s">
        <v>232</v>
      </c>
      <c r="C47" s="149">
        <v>2019</v>
      </c>
      <c r="D47" s="150" t="s">
        <v>185</v>
      </c>
      <c r="E47" s="149" t="s">
        <v>133</v>
      </c>
      <c r="F47" s="149" t="s">
        <v>297</v>
      </c>
      <c r="G47" s="149" t="s">
        <v>42</v>
      </c>
      <c r="H47" s="151" t="s">
        <v>165</v>
      </c>
      <c r="I47" s="151" t="s">
        <v>159</v>
      </c>
      <c r="J47" s="149" t="s">
        <v>38</v>
      </c>
      <c r="K47" s="151" t="s">
        <v>161</v>
      </c>
      <c r="L47" s="151">
        <v>1</v>
      </c>
      <c r="M47" s="151"/>
      <c r="N47" s="151">
        <v>1</v>
      </c>
      <c r="O47" s="151">
        <v>0.95</v>
      </c>
      <c r="P47" s="151">
        <v>0.85</v>
      </c>
      <c r="Q47" s="152">
        <f t="shared" si="0"/>
        <v>0.89999999999999991</v>
      </c>
      <c r="R47" s="151">
        <v>19.3</v>
      </c>
      <c r="S47" s="151">
        <v>114</v>
      </c>
      <c r="T47" s="153">
        <f t="shared" si="1"/>
        <v>30</v>
      </c>
      <c r="U47" s="151">
        <v>98</v>
      </c>
      <c r="V47" s="154">
        <f t="shared" si="2"/>
        <v>2940</v>
      </c>
      <c r="W47" s="151">
        <v>8</v>
      </c>
      <c r="X47" s="149" t="s">
        <v>46</v>
      </c>
      <c r="Y47" s="151" t="s">
        <v>97</v>
      </c>
      <c r="Z47" s="151" t="s">
        <v>69</v>
      </c>
      <c r="AA47" s="151" t="s">
        <v>47</v>
      </c>
      <c r="AB47" s="149" t="s">
        <v>258</v>
      </c>
      <c r="AC47" s="155"/>
    </row>
    <row r="48" spans="1:48" x14ac:dyDescent="0.15">
      <c r="A48" s="149" t="s">
        <v>61</v>
      </c>
      <c r="B48" s="149" t="s">
        <v>232</v>
      </c>
      <c r="C48" s="149">
        <v>2019</v>
      </c>
      <c r="D48" s="150" t="s">
        <v>185</v>
      </c>
      <c r="E48" s="149" t="s">
        <v>133</v>
      </c>
      <c r="F48" s="149" t="s">
        <v>297</v>
      </c>
      <c r="G48" s="149" t="s">
        <v>42</v>
      </c>
      <c r="H48" s="151" t="s">
        <v>165</v>
      </c>
      <c r="I48" s="151" t="s">
        <v>159</v>
      </c>
      <c r="J48" s="149" t="s">
        <v>38</v>
      </c>
      <c r="K48" s="151" t="s">
        <v>161</v>
      </c>
      <c r="L48" s="151">
        <v>2</v>
      </c>
      <c r="M48" s="151"/>
      <c r="N48" s="151">
        <v>1</v>
      </c>
      <c r="O48" s="151">
        <v>0.5</v>
      </c>
      <c r="P48" s="151">
        <v>0.5</v>
      </c>
      <c r="Q48" s="152">
        <f t="shared" si="0"/>
        <v>0.5</v>
      </c>
      <c r="R48" s="151">
        <v>19.5</v>
      </c>
      <c r="S48" s="151">
        <v>104</v>
      </c>
      <c r="T48" s="153">
        <f t="shared" si="1"/>
        <v>33</v>
      </c>
      <c r="U48" s="151">
        <v>98</v>
      </c>
      <c r="V48" s="154">
        <f t="shared" si="2"/>
        <v>3234</v>
      </c>
      <c r="W48" s="151">
        <v>8</v>
      </c>
      <c r="X48" s="149" t="s">
        <v>46</v>
      </c>
      <c r="Y48" s="151" t="s">
        <v>97</v>
      </c>
      <c r="Z48" s="151" t="s">
        <v>69</v>
      </c>
      <c r="AA48" s="151" t="s">
        <v>47</v>
      </c>
      <c r="AB48" s="149" t="s">
        <v>258</v>
      </c>
      <c r="AC48" s="155"/>
    </row>
    <row r="49" spans="1:29" x14ac:dyDescent="0.15">
      <c r="A49" s="149" t="s">
        <v>61</v>
      </c>
      <c r="B49" s="149" t="s">
        <v>232</v>
      </c>
      <c r="C49" s="149">
        <v>2019</v>
      </c>
      <c r="D49" s="150" t="s">
        <v>185</v>
      </c>
      <c r="E49" s="149" t="s">
        <v>133</v>
      </c>
      <c r="F49" s="149" t="s">
        <v>297</v>
      </c>
      <c r="G49" s="149" t="s">
        <v>42</v>
      </c>
      <c r="H49" s="151" t="s">
        <v>165</v>
      </c>
      <c r="I49" s="151" t="s">
        <v>159</v>
      </c>
      <c r="J49" s="149" t="s">
        <v>38</v>
      </c>
      <c r="K49" s="151" t="s">
        <v>161</v>
      </c>
      <c r="L49" s="151">
        <v>3</v>
      </c>
      <c r="M49" s="151"/>
      <c r="N49" s="151">
        <v>1</v>
      </c>
      <c r="O49" s="151">
        <v>0.85</v>
      </c>
      <c r="P49" s="151">
        <v>0.8</v>
      </c>
      <c r="Q49" s="152">
        <f t="shared" si="0"/>
        <v>0.82499999999999996</v>
      </c>
      <c r="R49" s="151">
        <v>17.600000000000001</v>
      </c>
      <c r="S49" s="151">
        <v>120</v>
      </c>
      <c r="T49" s="153">
        <f t="shared" si="1"/>
        <v>30</v>
      </c>
      <c r="U49" s="151">
        <v>98</v>
      </c>
      <c r="V49" s="154">
        <f t="shared" si="2"/>
        <v>2940</v>
      </c>
      <c r="W49" s="151">
        <v>8</v>
      </c>
      <c r="X49" s="149" t="s">
        <v>46</v>
      </c>
      <c r="Y49" s="151" t="s">
        <v>97</v>
      </c>
      <c r="Z49" s="151" t="s">
        <v>69</v>
      </c>
      <c r="AA49" s="151" t="s">
        <v>47</v>
      </c>
      <c r="AB49" s="149" t="s">
        <v>258</v>
      </c>
      <c r="AC49" s="155"/>
    </row>
    <row r="50" spans="1:29" x14ac:dyDescent="0.15">
      <c r="A50" s="149" t="s">
        <v>61</v>
      </c>
      <c r="B50" s="149" t="s">
        <v>232</v>
      </c>
      <c r="C50" s="149">
        <v>2019</v>
      </c>
      <c r="D50" s="150" t="s">
        <v>185</v>
      </c>
      <c r="E50" s="149" t="s">
        <v>133</v>
      </c>
      <c r="F50" s="149" t="s">
        <v>297</v>
      </c>
      <c r="G50" s="149" t="s">
        <v>42</v>
      </c>
      <c r="H50" s="151" t="s">
        <v>160</v>
      </c>
      <c r="I50" s="151" t="s">
        <v>159</v>
      </c>
      <c r="J50" s="149" t="s">
        <v>38</v>
      </c>
      <c r="K50" s="151" t="s">
        <v>161</v>
      </c>
      <c r="L50" s="151">
        <v>1</v>
      </c>
      <c r="M50" s="151"/>
      <c r="N50" s="151">
        <v>1</v>
      </c>
      <c r="O50" s="151">
        <v>0.85</v>
      </c>
      <c r="P50" s="151">
        <v>0.95</v>
      </c>
      <c r="Q50" s="152">
        <f t="shared" si="0"/>
        <v>0.89999999999999991</v>
      </c>
      <c r="R50" s="151">
        <v>18.8</v>
      </c>
      <c r="S50" s="151">
        <v>142</v>
      </c>
      <c r="T50" s="153">
        <f t="shared" si="1"/>
        <v>22</v>
      </c>
      <c r="U50" s="151">
        <v>138</v>
      </c>
      <c r="V50" s="154">
        <f t="shared" si="2"/>
        <v>3036</v>
      </c>
      <c r="W50" s="151">
        <v>8</v>
      </c>
      <c r="X50" s="149" t="s">
        <v>46</v>
      </c>
      <c r="Y50" s="151" t="s">
        <v>97</v>
      </c>
      <c r="Z50" s="151" t="s">
        <v>69</v>
      </c>
      <c r="AA50" s="151" t="s">
        <v>47</v>
      </c>
      <c r="AB50" s="149" t="s">
        <v>258</v>
      </c>
      <c r="AC50" s="155"/>
    </row>
    <row r="51" spans="1:29" x14ac:dyDescent="0.15">
      <c r="A51" s="149" t="s">
        <v>61</v>
      </c>
      <c r="B51" s="149" t="s">
        <v>232</v>
      </c>
      <c r="C51" s="149">
        <v>2019</v>
      </c>
      <c r="D51" s="150" t="s">
        <v>185</v>
      </c>
      <c r="E51" s="149" t="s">
        <v>133</v>
      </c>
      <c r="F51" s="149" t="s">
        <v>297</v>
      </c>
      <c r="G51" s="149" t="s">
        <v>42</v>
      </c>
      <c r="H51" s="151" t="s">
        <v>160</v>
      </c>
      <c r="I51" s="151" t="s">
        <v>159</v>
      </c>
      <c r="J51" s="149" t="s">
        <v>38</v>
      </c>
      <c r="K51" s="151" t="s">
        <v>161</v>
      </c>
      <c r="L51" s="151">
        <v>2</v>
      </c>
      <c r="M51" s="151"/>
      <c r="N51" s="151">
        <v>1</v>
      </c>
      <c r="O51" s="151">
        <v>1.5</v>
      </c>
      <c r="P51" s="151">
        <v>1.4</v>
      </c>
      <c r="Q51" s="152">
        <f t="shared" si="0"/>
        <v>1.45</v>
      </c>
      <c r="R51" s="151">
        <v>18.100000000000001</v>
      </c>
      <c r="S51" s="151">
        <v>136</v>
      </c>
      <c r="T51" s="153">
        <f t="shared" si="1"/>
        <v>25</v>
      </c>
      <c r="U51" s="151">
        <v>138</v>
      </c>
      <c r="V51" s="154">
        <f t="shared" si="2"/>
        <v>3450</v>
      </c>
      <c r="W51" s="151">
        <v>8</v>
      </c>
      <c r="X51" s="149" t="s">
        <v>46</v>
      </c>
      <c r="Y51" s="151" t="s">
        <v>97</v>
      </c>
      <c r="Z51" s="151" t="s">
        <v>69</v>
      </c>
      <c r="AA51" s="151" t="s">
        <v>47</v>
      </c>
      <c r="AB51" s="149" t="s">
        <v>258</v>
      </c>
      <c r="AC51" s="155"/>
    </row>
    <row r="52" spans="1:29" x14ac:dyDescent="0.15">
      <c r="A52" s="149" t="s">
        <v>61</v>
      </c>
      <c r="B52" s="149" t="s">
        <v>232</v>
      </c>
      <c r="C52" s="149">
        <v>2019</v>
      </c>
      <c r="D52" s="150" t="s">
        <v>185</v>
      </c>
      <c r="E52" s="149" t="s">
        <v>133</v>
      </c>
      <c r="F52" s="149" t="s">
        <v>297</v>
      </c>
      <c r="G52" s="149" t="s">
        <v>42</v>
      </c>
      <c r="H52" s="151" t="s">
        <v>160</v>
      </c>
      <c r="I52" s="151" t="s">
        <v>159</v>
      </c>
      <c r="J52" s="149" t="s">
        <v>38</v>
      </c>
      <c r="K52" s="151" t="s">
        <v>161</v>
      </c>
      <c r="L52" s="151">
        <v>3</v>
      </c>
      <c r="M52" s="151"/>
      <c r="N52" s="151">
        <v>1</v>
      </c>
      <c r="O52" s="151">
        <v>1.2</v>
      </c>
      <c r="P52" s="151">
        <v>1.1499999999999999</v>
      </c>
      <c r="Q52" s="152">
        <f t="shared" si="0"/>
        <v>1.1749999999999998</v>
      </c>
      <c r="R52" s="151">
        <v>15.6</v>
      </c>
      <c r="S52" s="151">
        <v>136</v>
      </c>
      <c r="T52" s="153">
        <f t="shared" si="1"/>
        <v>25</v>
      </c>
      <c r="U52" s="151">
        <v>138</v>
      </c>
      <c r="V52" s="154">
        <f t="shared" si="2"/>
        <v>3450</v>
      </c>
      <c r="W52" s="151">
        <v>8</v>
      </c>
      <c r="X52" s="149" t="s">
        <v>46</v>
      </c>
      <c r="Y52" s="151" t="s">
        <v>97</v>
      </c>
      <c r="Z52" s="151" t="s">
        <v>69</v>
      </c>
      <c r="AA52" s="151" t="s">
        <v>47</v>
      </c>
      <c r="AB52" s="149" t="s">
        <v>258</v>
      </c>
      <c r="AC52" s="155"/>
    </row>
    <row r="53" spans="1:29" x14ac:dyDescent="0.15">
      <c r="A53" s="149" t="s">
        <v>61</v>
      </c>
      <c r="B53" s="149" t="s">
        <v>232</v>
      </c>
      <c r="C53" s="149">
        <v>2019</v>
      </c>
      <c r="D53" s="150" t="s">
        <v>185</v>
      </c>
      <c r="E53" s="149" t="s">
        <v>298</v>
      </c>
      <c r="F53" s="149" t="s">
        <v>299</v>
      </c>
      <c r="G53" s="149" t="s">
        <v>42</v>
      </c>
      <c r="H53" s="151" t="s">
        <v>165</v>
      </c>
      <c r="I53" s="151" t="s">
        <v>159</v>
      </c>
      <c r="J53" s="149" t="s">
        <v>38</v>
      </c>
      <c r="K53" s="151" t="s">
        <v>161</v>
      </c>
      <c r="L53" s="151">
        <v>1</v>
      </c>
      <c r="M53" s="151"/>
      <c r="N53" s="151">
        <v>1</v>
      </c>
      <c r="O53" s="151">
        <v>0.5</v>
      </c>
      <c r="P53" s="151">
        <v>0.5</v>
      </c>
      <c r="Q53" s="152">
        <f t="shared" si="0"/>
        <v>0.5</v>
      </c>
      <c r="R53" s="151">
        <v>17.3</v>
      </c>
      <c r="S53" s="151">
        <v>144</v>
      </c>
      <c r="T53" s="153">
        <f t="shared" si="1"/>
        <v>22</v>
      </c>
      <c r="U53" s="151">
        <v>138</v>
      </c>
      <c r="V53" s="154">
        <f t="shared" si="2"/>
        <v>3036</v>
      </c>
      <c r="W53" s="151">
        <v>12</v>
      </c>
      <c r="X53" s="149" t="s">
        <v>46</v>
      </c>
      <c r="Y53" s="151" t="s">
        <v>97</v>
      </c>
      <c r="Z53" s="151" t="s">
        <v>69</v>
      </c>
      <c r="AA53" s="151" t="s">
        <v>47</v>
      </c>
      <c r="AB53" s="149" t="s">
        <v>258</v>
      </c>
      <c r="AC53" s="151"/>
    </row>
    <row r="54" spans="1:29" x14ac:dyDescent="0.15">
      <c r="A54" s="149" t="s">
        <v>61</v>
      </c>
      <c r="B54" s="149" t="s">
        <v>232</v>
      </c>
      <c r="C54" s="149">
        <v>2019</v>
      </c>
      <c r="D54" s="150" t="s">
        <v>185</v>
      </c>
      <c r="E54" s="149" t="s">
        <v>298</v>
      </c>
      <c r="F54" s="149" t="s">
        <v>299</v>
      </c>
      <c r="G54" s="149" t="s">
        <v>42</v>
      </c>
      <c r="H54" s="151" t="s">
        <v>165</v>
      </c>
      <c r="I54" s="151" t="s">
        <v>159</v>
      </c>
      <c r="J54" s="149" t="s">
        <v>38</v>
      </c>
      <c r="K54" s="151" t="s">
        <v>161</v>
      </c>
      <c r="L54" s="151">
        <v>2</v>
      </c>
      <c r="M54" s="151"/>
      <c r="N54" s="151">
        <v>1</v>
      </c>
      <c r="O54" s="151">
        <v>0.75</v>
      </c>
      <c r="P54" s="151">
        <v>0.75</v>
      </c>
      <c r="Q54" s="152">
        <f t="shared" si="0"/>
        <v>0.75</v>
      </c>
      <c r="R54" s="151">
        <v>17</v>
      </c>
      <c r="S54" s="151">
        <v>140</v>
      </c>
      <c r="T54" s="153">
        <f t="shared" si="1"/>
        <v>22</v>
      </c>
      <c r="U54" s="151">
        <v>138</v>
      </c>
      <c r="V54" s="154">
        <f t="shared" si="2"/>
        <v>3036</v>
      </c>
      <c r="W54" s="151">
        <v>12</v>
      </c>
      <c r="X54" s="149" t="s">
        <v>46</v>
      </c>
      <c r="Y54" s="151" t="s">
        <v>97</v>
      </c>
      <c r="Z54" s="151" t="s">
        <v>69</v>
      </c>
      <c r="AA54" s="151" t="s">
        <v>47</v>
      </c>
      <c r="AB54" s="149" t="s">
        <v>258</v>
      </c>
      <c r="AC54" s="151"/>
    </row>
    <row r="55" spans="1:29" x14ac:dyDescent="0.15">
      <c r="A55" s="149" t="s">
        <v>61</v>
      </c>
      <c r="B55" s="149" t="s">
        <v>232</v>
      </c>
      <c r="C55" s="149">
        <v>2019</v>
      </c>
      <c r="D55" s="150" t="s">
        <v>185</v>
      </c>
      <c r="E55" s="149" t="s">
        <v>298</v>
      </c>
      <c r="F55" s="149" t="s">
        <v>299</v>
      </c>
      <c r="G55" s="149" t="s">
        <v>42</v>
      </c>
      <c r="H55" s="151" t="s">
        <v>165</v>
      </c>
      <c r="I55" s="151" t="s">
        <v>159</v>
      </c>
      <c r="J55" s="149" t="s">
        <v>38</v>
      </c>
      <c r="K55" s="151" t="s">
        <v>161</v>
      </c>
      <c r="L55" s="151">
        <v>3</v>
      </c>
      <c r="M55" s="151"/>
      <c r="N55" s="151">
        <v>1</v>
      </c>
      <c r="O55" s="151">
        <v>0.5</v>
      </c>
      <c r="P55" s="151">
        <v>0.5</v>
      </c>
      <c r="Q55" s="152">
        <f t="shared" si="0"/>
        <v>0.5</v>
      </c>
      <c r="R55" s="151">
        <v>17.399999999999999</v>
      </c>
      <c r="S55" s="151">
        <v>140</v>
      </c>
      <c r="T55" s="153">
        <f t="shared" si="1"/>
        <v>22</v>
      </c>
      <c r="U55" s="151">
        <v>138</v>
      </c>
      <c r="V55" s="154">
        <f t="shared" si="2"/>
        <v>3036</v>
      </c>
      <c r="W55" s="151">
        <v>12</v>
      </c>
      <c r="X55" s="149" t="s">
        <v>46</v>
      </c>
      <c r="Y55" s="151" t="s">
        <v>97</v>
      </c>
      <c r="Z55" s="151" t="s">
        <v>69</v>
      </c>
      <c r="AA55" s="151" t="s">
        <v>47</v>
      </c>
      <c r="AB55" s="149" t="s">
        <v>258</v>
      </c>
      <c r="AC55" s="151"/>
    </row>
    <row r="56" spans="1:29" x14ac:dyDescent="0.15">
      <c r="A56" s="149" t="s">
        <v>61</v>
      </c>
      <c r="B56" s="149" t="s">
        <v>232</v>
      </c>
      <c r="C56" s="149">
        <v>2019</v>
      </c>
      <c r="D56" s="150" t="s">
        <v>185</v>
      </c>
      <c r="E56" s="149" t="s">
        <v>298</v>
      </c>
      <c r="F56" s="149" t="s">
        <v>299</v>
      </c>
      <c r="G56" s="149" t="s">
        <v>42</v>
      </c>
      <c r="H56" s="151" t="s">
        <v>160</v>
      </c>
      <c r="I56" s="151" t="s">
        <v>159</v>
      </c>
      <c r="J56" s="149" t="s">
        <v>38</v>
      </c>
      <c r="K56" s="151" t="s">
        <v>161</v>
      </c>
      <c r="L56" s="151">
        <v>1</v>
      </c>
      <c r="M56" s="151"/>
      <c r="N56" s="151">
        <v>1</v>
      </c>
      <c r="O56" s="151">
        <v>0.5</v>
      </c>
      <c r="P56" s="151">
        <v>0.5</v>
      </c>
      <c r="Q56" s="152">
        <f t="shared" si="0"/>
        <v>0.5</v>
      </c>
      <c r="R56" s="151">
        <v>18.8</v>
      </c>
      <c r="S56" s="151">
        <v>135</v>
      </c>
      <c r="T56" s="153">
        <f t="shared" si="1"/>
        <v>25</v>
      </c>
      <c r="U56" s="151">
        <v>138</v>
      </c>
      <c r="V56" s="154">
        <f t="shared" si="2"/>
        <v>3450</v>
      </c>
      <c r="W56" s="151">
        <v>12</v>
      </c>
      <c r="X56" s="149" t="s">
        <v>46</v>
      </c>
      <c r="Y56" s="151" t="s">
        <v>97</v>
      </c>
      <c r="Z56" s="151" t="s">
        <v>69</v>
      </c>
      <c r="AA56" s="151" t="s">
        <v>47</v>
      </c>
      <c r="AB56" s="149" t="s">
        <v>258</v>
      </c>
      <c r="AC56" s="155"/>
    </row>
    <row r="57" spans="1:29" x14ac:dyDescent="0.15">
      <c r="A57" s="149" t="s">
        <v>61</v>
      </c>
      <c r="B57" s="149" t="s">
        <v>232</v>
      </c>
      <c r="C57" s="149">
        <v>2019</v>
      </c>
      <c r="D57" s="150" t="s">
        <v>185</v>
      </c>
      <c r="E57" s="149" t="s">
        <v>298</v>
      </c>
      <c r="F57" s="149" t="s">
        <v>299</v>
      </c>
      <c r="G57" s="149" t="s">
        <v>42</v>
      </c>
      <c r="H57" s="151" t="s">
        <v>160</v>
      </c>
      <c r="I57" s="151" t="s">
        <v>159</v>
      </c>
      <c r="J57" s="149" t="s">
        <v>38</v>
      </c>
      <c r="K57" s="151" t="s">
        <v>161</v>
      </c>
      <c r="L57" s="151">
        <v>2</v>
      </c>
      <c r="M57" s="151"/>
      <c r="N57" s="151">
        <v>1</v>
      </c>
      <c r="O57" s="151">
        <v>0.5</v>
      </c>
      <c r="P57" s="151">
        <v>0.5</v>
      </c>
      <c r="Q57" s="152">
        <f t="shared" si="0"/>
        <v>0.5</v>
      </c>
      <c r="R57" s="151">
        <v>17.8</v>
      </c>
      <c r="S57" s="151">
        <v>134</v>
      </c>
      <c r="T57" s="153">
        <f t="shared" si="1"/>
        <v>25</v>
      </c>
      <c r="U57" s="151">
        <v>138</v>
      </c>
      <c r="V57" s="154">
        <f t="shared" si="2"/>
        <v>3450</v>
      </c>
      <c r="W57" s="151">
        <v>12</v>
      </c>
      <c r="X57" s="149" t="s">
        <v>46</v>
      </c>
      <c r="Y57" s="151" t="s">
        <v>97</v>
      </c>
      <c r="Z57" s="151" t="s">
        <v>69</v>
      </c>
      <c r="AA57" s="151" t="s">
        <v>47</v>
      </c>
      <c r="AB57" s="149" t="s">
        <v>258</v>
      </c>
      <c r="AC57" s="155"/>
    </row>
    <row r="58" spans="1:29" x14ac:dyDescent="0.15">
      <c r="A58" s="149" t="s">
        <v>61</v>
      </c>
      <c r="B58" s="149" t="s">
        <v>232</v>
      </c>
      <c r="C58" s="149">
        <v>2019</v>
      </c>
      <c r="D58" s="150" t="s">
        <v>185</v>
      </c>
      <c r="E58" s="149" t="s">
        <v>298</v>
      </c>
      <c r="F58" s="149" t="s">
        <v>299</v>
      </c>
      <c r="G58" s="149" t="s">
        <v>42</v>
      </c>
      <c r="H58" s="151" t="s">
        <v>160</v>
      </c>
      <c r="I58" s="151" t="s">
        <v>159</v>
      </c>
      <c r="J58" s="149" t="s">
        <v>38</v>
      </c>
      <c r="K58" s="151" t="s">
        <v>161</v>
      </c>
      <c r="L58" s="151">
        <v>3</v>
      </c>
      <c r="M58" s="151"/>
      <c r="N58" s="151">
        <v>1</v>
      </c>
      <c r="O58" s="151">
        <v>0.5</v>
      </c>
      <c r="P58" s="151">
        <v>0.5</v>
      </c>
      <c r="Q58" s="152">
        <f t="shared" si="0"/>
        <v>0.5</v>
      </c>
      <c r="R58" s="151">
        <v>18.899999999999999</v>
      </c>
      <c r="S58" s="151">
        <v>133</v>
      </c>
      <c r="T58" s="153">
        <f t="shared" si="1"/>
        <v>25</v>
      </c>
      <c r="U58" s="151">
        <v>138</v>
      </c>
      <c r="V58" s="154">
        <f t="shared" si="2"/>
        <v>3450</v>
      </c>
      <c r="W58" s="151">
        <v>12</v>
      </c>
      <c r="X58" s="149" t="s">
        <v>46</v>
      </c>
      <c r="Y58" s="151" t="s">
        <v>97</v>
      </c>
      <c r="Z58" s="151" t="s">
        <v>69</v>
      </c>
      <c r="AA58" s="151" t="s">
        <v>47</v>
      </c>
      <c r="AB58" s="149" t="s">
        <v>258</v>
      </c>
      <c r="AC58" s="155"/>
    </row>
    <row r="59" spans="1:29" x14ac:dyDescent="0.15">
      <c r="A59" s="149" t="s">
        <v>61</v>
      </c>
      <c r="B59" s="149" t="s">
        <v>232</v>
      </c>
      <c r="C59" s="149">
        <v>2019</v>
      </c>
      <c r="D59" s="150" t="s">
        <v>185</v>
      </c>
      <c r="E59" s="149" t="s">
        <v>300</v>
      </c>
      <c r="F59" s="149" t="s">
        <v>299</v>
      </c>
      <c r="G59" s="149" t="s">
        <v>42</v>
      </c>
      <c r="H59" s="151" t="s">
        <v>165</v>
      </c>
      <c r="I59" s="151" t="s">
        <v>159</v>
      </c>
      <c r="J59" s="149" t="s">
        <v>38</v>
      </c>
      <c r="K59" s="151" t="s">
        <v>161</v>
      </c>
      <c r="L59" s="151">
        <v>1</v>
      </c>
      <c r="M59" s="151"/>
      <c r="N59" s="151">
        <v>4</v>
      </c>
      <c r="O59" s="151">
        <v>0.5</v>
      </c>
      <c r="P59" s="151">
        <v>0.5</v>
      </c>
      <c r="Q59" s="152">
        <f t="shared" si="0"/>
        <v>0.5</v>
      </c>
      <c r="R59" s="151">
        <v>17.100000000000001</v>
      </c>
      <c r="S59" s="151">
        <v>99</v>
      </c>
      <c r="T59" s="153">
        <f t="shared" si="1"/>
        <v>33</v>
      </c>
      <c r="U59" s="151">
        <v>278</v>
      </c>
      <c r="V59" s="154">
        <f t="shared" si="2"/>
        <v>2293.5</v>
      </c>
      <c r="W59" s="151">
        <v>10</v>
      </c>
      <c r="X59" s="149" t="s">
        <v>46</v>
      </c>
      <c r="Y59" s="151" t="s">
        <v>97</v>
      </c>
      <c r="Z59" s="151" t="s">
        <v>90</v>
      </c>
      <c r="AA59" s="151" t="s">
        <v>69</v>
      </c>
      <c r="AB59" s="149" t="s">
        <v>258</v>
      </c>
      <c r="AC59" s="155"/>
    </row>
    <row r="60" spans="1:29" x14ac:dyDescent="0.15">
      <c r="A60" s="149" t="s">
        <v>61</v>
      </c>
      <c r="B60" s="149" t="s">
        <v>232</v>
      </c>
      <c r="C60" s="149">
        <v>2019</v>
      </c>
      <c r="D60" s="150" t="s">
        <v>185</v>
      </c>
      <c r="E60" s="149" t="s">
        <v>300</v>
      </c>
      <c r="F60" s="149" t="s">
        <v>299</v>
      </c>
      <c r="G60" s="149" t="s">
        <v>42</v>
      </c>
      <c r="H60" s="151" t="s">
        <v>165</v>
      </c>
      <c r="I60" s="151" t="s">
        <v>159</v>
      </c>
      <c r="J60" s="149" t="s">
        <v>38</v>
      </c>
      <c r="K60" s="151" t="s">
        <v>161</v>
      </c>
      <c r="L60" s="151">
        <v>2</v>
      </c>
      <c r="M60" s="151"/>
      <c r="N60" s="151">
        <v>4</v>
      </c>
      <c r="O60" s="151">
        <v>0.5</v>
      </c>
      <c r="P60" s="151">
        <v>0.5</v>
      </c>
      <c r="Q60" s="152">
        <f t="shared" si="0"/>
        <v>0.5</v>
      </c>
      <c r="R60" s="151">
        <v>17.3</v>
      </c>
      <c r="S60" s="151">
        <v>103</v>
      </c>
      <c r="T60" s="153">
        <f t="shared" si="1"/>
        <v>33</v>
      </c>
      <c r="U60" s="151">
        <v>278</v>
      </c>
      <c r="V60" s="154">
        <f t="shared" si="2"/>
        <v>2293.5</v>
      </c>
      <c r="W60" s="151">
        <v>10</v>
      </c>
      <c r="X60" s="149" t="s">
        <v>46</v>
      </c>
      <c r="Y60" s="151" t="s">
        <v>97</v>
      </c>
      <c r="Z60" s="151" t="s">
        <v>90</v>
      </c>
      <c r="AA60" s="151" t="s">
        <v>69</v>
      </c>
      <c r="AB60" s="149" t="s">
        <v>258</v>
      </c>
      <c r="AC60" s="155"/>
    </row>
    <row r="61" spans="1:29" x14ac:dyDescent="0.15">
      <c r="A61" s="149" t="s">
        <v>61</v>
      </c>
      <c r="B61" s="149" t="s">
        <v>232</v>
      </c>
      <c r="C61" s="149">
        <v>2019</v>
      </c>
      <c r="D61" s="150" t="s">
        <v>185</v>
      </c>
      <c r="E61" s="149" t="s">
        <v>300</v>
      </c>
      <c r="F61" s="149" t="s">
        <v>299</v>
      </c>
      <c r="G61" s="149" t="s">
        <v>42</v>
      </c>
      <c r="H61" s="151" t="s">
        <v>165</v>
      </c>
      <c r="I61" s="151" t="s">
        <v>159</v>
      </c>
      <c r="J61" s="149" t="s">
        <v>38</v>
      </c>
      <c r="K61" s="151" t="s">
        <v>161</v>
      </c>
      <c r="L61" s="151">
        <v>3</v>
      </c>
      <c r="M61" s="151"/>
      <c r="N61" s="151">
        <v>4</v>
      </c>
      <c r="O61" s="151">
        <v>0.5</v>
      </c>
      <c r="P61" s="151">
        <v>0.5</v>
      </c>
      <c r="Q61" s="152">
        <f t="shared" si="0"/>
        <v>0.5</v>
      </c>
      <c r="R61" s="151">
        <v>17.5</v>
      </c>
      <c r="S61" s="151">
        <v>99</v>
      </c>
      <c r="T61" s="153">
        <f t="shared" si="1"/>
        <v>33</v>
      </c>
      <c r="U61" s="151">
        <v>278</v>
      </c>
      <c r="V61" s="154">
        <f t="shared" si="2"/>
        <v>2293.5</v>
      </c>
      <c r="W61" s="151">
        <v>10</v>
      </c>
      <c r="X61" s="149" t="s">
        <v>46</v>
      </c>
      <c r="Y61" s="151" t="s">
        <v>97</v>
      </c>
      <c r="Z61" s="151" t="s">
        <v>90</v>
      </c>
      <c r="AA61" s="151" t="s">
        <v>69</v>
      </c>
      <c r="AB61" s="149" t="s">
        <v>258</v>
      </c>
      <c r="AC61" s="155"/>
    </row>
    <row r="62" spans="1:29" x14ac:dyDescent="0.15">
      <c r="A62" s="149" t="s">
        <v>61</v>
      </c>
      <c r="B62" s="149" t="s">
        <v>232</v>
      </c>
      <c r="C62" s="149">
        <v>2019</v>
      </c>
      <c r="D62" s="150" t="s">
        <v>185</v>
      </c>
      <c r="E62" s="149" t="s">
        <v>300</v>
      </c>
      <c r="F62" s="149" t="s">
        <v>299</v>
      </c>
      <c r="G62" s="149" t="s">
        <v>42</v>
      </c>
      <c r="H62" s="151" t="s">
        <v>160</v>
      </c>
      <c r="I62" s="151" t="s">
        <v>159</v>
      </c>
      <c r="J62" s="149" t="s">
        <v>38</v>
      </c>
      <c r="K62" s="151" t="s">
        <v>161</v>
      </c>
      <c r="L62" s="151">
        <v>1</v>
      </c>
      <c r="M62" s="151"/>
      <c r="N62" s="151">
        <v>4</v>
      </c>
      <c r="O62" s="151">
        <v>0.5</v>
      </c>
      <c r="P62" s="151">
        <v>0.5</v>
      </c>
      <c r="Q62" s="152">
        <f t="shared" si="0"/>
        <v>0.5</v>
      </c>
      <c r="R62" s="151">
        <v>17.3</v>
      </c>
      <c r="S62" s="151">
        <v>93</v>
      </c>
      <c r="T62" s="153">
        <f t="shared" si="1"/>
        <v>36</v>
      </c>
      <c r="U62" s="151">
        <v>386</v>
      </c>
      <c r="V62" s="154">
        <f t="shared" si="2"/>
        <v>3474</v>
      </c>
      <c r="W62" s="151">
        <v>10</v>
      </c>
      <c r="X62" s="149" t="s">
        <v>46</v>
      </c>
      <c r="Y62" s="151" t="s">
        <v>97</v>
      </c>
      <c r="Z62" s="151" t="s">
        <v>90</v>
      </c>
      <c r="AA62" s="151" t="s">
        <v>69</v>
      </c>
      <c r="AB62" s="149" t="s">
        <v>258</v>
      </c>
      <c r="AC62" s="155"/>
    </row>
    <row r="63" spans="1:29" x14ac:dyDescent="0.15">
      <c r="A63" s="149" t="s">
        <v>61</v>
      </c>
      <c r="B63" s="149" t="s">
        <v>232</v>
      </c>
      <c r="C63" s="149">
        <v>2019</v>
      </c>
      <c r="D63" s="150" t="s">
        <v>185</v>
      </c>
      <c r="E63" s="149" t="s">
        <v>300</v>
      </c>
      <c r="F63" s="149" t="s">
        <v>299</v>
      </c>
      <c r="G63" s="149" t="s">
        <v>42</v>
      </c>
      <c r="H63" s="151" t="s">
        <v>160</v>
      </c>
      <c r="I63" s="151" t="s">
        <v>159</v>
      </c>
      <c r="J63" s="149" t="s">
        <v>38</v>
      </c>
      <c r="K63" s="151" t="s">
        <v>161</v>
      </c>
      <c r="L63" s="151">
        <v>2</v>
      </c>
      <c r="M63" s="151"/>
      <c r="N63" s="151">
        <v>4</v>
      </c>
      <c r="O63" s="151">
        <v>0.5</v>
      </c>
      <c r="P63" s="151">
        <v>0.5</v>
      </c>
      <c r="Q63" s="152">
        <f t="shared" si="0"/>
        <v>0.5</v>
      </c>
      <c r="R63" s="151">
        <v>18.2</v>
      </c>
      <c r="S63" s="151">
        <v>94</v>
      </c>
      <c r="T63" s="153">
        <f t="shared" si="1"/>
        <v>36</v>
      </c>
      <c r="U63" s="151">
        <v>386</v>
      </c>
      <c r="V63" s="154">
        <f t="shared" si="2"/>
        <v>3474</v>
      </c>
      <c r="W63" s="151">
        <v>10</v>
      </c>
      <c r="X63" s="149" t="s">
        <v>46</v>
      </c>
      <c r="Y63" s="151" t="s">
        <v>97</v>
      </c>
      <c r="Z63" s="151" t="s">
        <v>90</v>
      </c>
      <c r="AA63" s="151" t="s">
        <v>69</v>
      </c>
      <c r="AB63" s="149" t="s">
        <v>258</v>
      </c>
      <c r="AC63" s="155"/>
    </row>
    <row r="64" spans="1:29" x14ac:dyDescent="0.15">
      <c r="A64" s="149" t="s">
        <v>61</v>
      </c>
      <c r="B64" s="149" t="s">
        <v>232</v>
      </c>
      <c r="C64" s="149">
        <v>2019</v>
      </c>
      <c r="D64" s="150" t="s">
        <v>185</v>
      </c>
      <c r="E64" s="149" t="s">
        <v>300</v>
      </c>
      <c r="F64" s="149" t="s">
        <v>299</v>
      </c>
      <c r="G64" s="149" t="s">
        <v>42</v>
      </c>
      <c r="H64" s="151" t="s">
        <v>160</v>
      </c>
      <c r="I64" s="151" t="s">
        <v>159</v>
      </c>
      <c r="J64" s="149" t="s">
        <v>38</v>
      </c>
      <c r="K64" s="151" t="s">
        <v>161</v>
      </c>
      <c r="L64" s="151">
        <v>3</v>
      </c>
      <c r="M64" s="151"/>
      <c r="N64" s="151">
        <v>4</v>
      </c>
      <c r="O64" s="151">
        <v>0.5</v>
      </c>
      <c r="P64" s="151">
        <v>0.5</v>
      </c>
      <c r="Q64" s="152">
        <f t="shared" si="0"/>
        <v>0.5</v>
      </c>
      <c r="R64" s="151">
        <v>14.4</v>
      </c>
      <c r="S64" s="151">
        <v>104</v>
      </c>
      <c r="T64" s="153">
        <f t="shared" si="1"/>
        <v>33</v>
      </c>
      <c r="U64" s="151">
        <v>386</v>
      </c>
      <c r="V64" s="154">
        <f t="shared" si="2"/>
        <v>3184.5</v>
      </c>
      <c r="W64" s="151">
        <v>10</v>
      </c>
      <c r="X64" s="149" t="s">
        <v>46</v>
      </c>
      <c r="Y64" s="151" t="s">
        <v>97</v>
      </c>
      <c r="Z64" s="151" t="s">
        <v>90</v>
      </c>
      <c r="AA64" s="151" t="s">
        <v>69</v>
      </c>
      <c r="AB64" s="149" t="s">
        <v>258</v>
      </c>
      <c r="AC64" s="155"/>
    </row>
    <row r="65" spans="1:29" x14ac:dyDescent="0.15">
      <c r="A65" s="149" t="s">
        <v>61</v>
      </c>
      <c r="B65" s="149" t="s">
        <v>232</v>
      </c>
      <c r="C65" s="149">
        <v>2019</v>
      </c>
      <c r="D65" s="150" t="s">
        <v>185</v>
      </c>
      <c r="E65" s="149" t="s">
        <v>300</v>
      </c>
      <c r="F65" s="149" t="s">
        <v>299</v>
      </c>
      <c r="G65" s="149" t="s">
        <v>42</v>
      </c>
      <c r="H65" s="151" t="s">
        <v>127</v>
      </c>
      <c r="I65" s="151" t="s">
        <v>159</v>
      </c>
      <c r="J65" s="149" t="s">
        <v>53</v>
      </c>
      <c r="K65" s="151" t="s">
        <v>54</v>
      </c>
      <c r="L65" s="151">
        <v>1</v>
      </c>
      <c r="M65" s="151"/>
      <c r="N65" s="151">
        <v>4</v>
      </c>
      <c r="O65" s="151">
        <v>0.75</v>
      </c>
      <c r="P65" s="151">
        <v>0.65</v>
      </c>
      <c r="Q65" s="152">
        <f t="shared" si="0"/>
        <v>0.7</v>
      </c>
      <c r="R65" s="151">
        <v>17.2</v>
      </c>
      <c r="S65" s="151">
        <v>83</v>
      </c>
      <c r="T65" s="153">
        <f t="shared" si="1"/>
        <v>39</v>
      </c>
      <c r="U65" s="151">
        <v>321</v>
      </c>
      <c r="V65" s="154">
        <f t="shared" si="2"/>
        <v>3129.75</v>
      </c>
      <c r="W65" s="151">
        <v>10</v>
      </c>
      <c r="X65" s="149" t="s">
        <v>46</v>
      </c>
      <c r="Y65" s="151" t="s">
        <v>97</v>
      </c>
      <c r="Z65" s="151" t="s">
        <v>90</v>
      </c>
      <c r="AA65" s="151" t="s">
        <v>69</v>
      </c>
      <c r="AB65" s="149" t="s">
        <v>258</v>
      </c>
      <c r="AC65" s="151"/>
    </row>
    <row r="66" spans="1:29" x14ac:dyDescent="0.15">
      <c r="A66" s="149" t="s">
        <v>61</v>
      </c>
      <c r="B66" s="149" t="s">
        <v>232</v>
      </c>
      <c r="C66" s="149">
        <v>2019</v>
      </c>
      <c r="D66" s="150" t="s">
        <v>185</v>
      </c>
      <c r="E66" s="149" t="s">
        <v>300</v>
      </c>
      <c r="F66" s="149" t="s">
        <v>299</v>
      </c>
      <c r="G66" s="149" t="s">
        <v>42</v>
      </c>
      <c r="H66" s="151" t="s">
        <v>127</v>
      </c>
      <c r="I66" s="151" t="s">
        <v>159</v>
      </c>
      <c r="J66" s="149" t="s">
        <v>53</v>
      </c>
      <c r="K66" s="151" t="s">
        <v>54</v>
      </c>
      <c r="L66" s="151">
        <v>2</v>
      </c>
      <c r="M66" s="151"/>
      <c r="N66" s="151">
        <v>4</v>
      </c>
      <c r="O66" s="151">
        <v>0.5</v>
      </c>
      <c r="P66" s="151">
        <v>0.5</v>
      </c>
      <c r="Q66" s="152">
        <f t="shared" ref="Q66:Q73" si="3">IF(OR(O66="",P66=""),"",AVERAGE(O66,P66))</f>
        <v>0.5</v>
      </c>
      <c r="R66" s="151">
        <v>17.2</v>
      </c>
      <c r="S66" s="151">
        <v>88</v>
      </c>
      <c r="T66" s="153">
        <f t="shared" ref="T66:T73" si="4">IF(H66="","",IF(OR(H66="GREEN",H66="GK"),IF(S66&gt;=$AX$2,VLOOKUP(S66,$AX$2:$AY$18,2,1),""),IF(S66&gt;=$AZ$2,VLOOKUP(S66,$AZ$2:$BA$18,2,1),"")))</f>
        <v>36</v>
      </c>
      <c r="U66" s="151">
        <v>321</v>
      </c>
      <c r="V66" s="154">
        <f t="shared" ref="V66:V73" si="5">IF(OR(N66="",U66="",T66=""),"",U66/N66*T66)</f>
        <v>2889</v>
      </c>
      <c r="W66" s="151">
        <v>10</v>
      </c>
      <c r="X66" s="149" t="s">
        <v>46</v>
      </c>
      <c r="Y66" s="151" t="s">
        <v>97</v>
      </c>
      <c r="Z66" s="151" t="s">
        <v>90</v>
      </c>
      <c r="AA66" s="151" t="s">
        <v>69</v>
      </c>
      <c r="AB66" s="149" t="s">
        <v>258</v>
      </c>
      <c r="AC66" s="151"/>
    </row>
    <row r="67" spans="1:29" x14ac:dyDescent="0.15">
      <c r="A67" s="149" t="s">
        <v>61</v>
      </c>
      <c r="B67" s="149" t="s">
        <v>232</v>
      </c>
      <c r="C67" s="149">
        <v>2019</v>
      </c>
      <c r="D67" s="150" t="s">
        <v>185</v>
      </c>
      <c r="E67" s="149" t="s">
        <v>300</v>
      </c>
      <c r="F67" s="149" t="s">
        <v>299</v>
      </c>
      <c r="G67" s="149" t="s">
        <v>42</v>
      </c>
      <c r="H67" s="151" t="s">
        <v>127</v>
      </c>
      <c r="I67" s="151" t="s">
        <v>159</v>
      </c>
      <c r="J67" s="149" t="s">
        <v>53</v>
      </c>
      <c r="K67" s="151" t="s">
        <v>54</v>
      </c>
      <c r="L67" s="151">
        <v>3</v>
      </c>
      <c r="M67" s="151"/>
      <c r="N67" s="151">
        <v>4</v>
      </c>
      <c r="O67" s="151">
        <v>0.55000000000000004</v>
      </c>
      <c r="P67" s="151">
        <v>0.75</v>
      </c>
      <c r="Q67" s="152">
        <f t="shared" si="3"/>
        <v>0.65</v>
      </c>
      <c r="R67" s="151">
        <v>17</v>
      </c>
      <c r="S67" s="151">
        <v>77</v>
      </c>
      <c r="T67" s="153">
        <f t="shared" si="4"/>
        <v>39</v>
      </c>
      <c r="U67" s="151">
        <v>321</v>
      </c>
      <c r="V67" s="154">
        <f t="shared" si="5"/>
        <v>3129.75</v>
      </c>
      <c r="W67" s="151">
        <v>10</v>
      </c>
      <c r="X67" s="149" t="s">
        <v>46</v>
      </c>
      <c r="Y67" s="151" t="s">
        <v>97</v>
      </c>
      <c r="Z67" s="151" t="s">
        <v>90</v>
      </c>
      <c r="AA67" s="151" t="s">
        <v>69</v>
      </c>
      <c r="AB67" s="149" t="s">
        <v>258</v>
      </c>
      <c r="AC67" s="151"/>
    </row>
    <row r="68" spans="1:29" x14ac:dyDescent="0.15">
      <c r="A68" s="149"/>
      <c r="B68" s="149"/>
      <c r="C68" s="149"/>
      <c r="D68" s="150"/>
      <c r="E68" s="149"/>
      <c r="F68" s="149"/>
      <c r="G68" s="149"/>
      <c r="H68" s="151"/>
      <c r="I68" s="151"/>
      <c r="J68" s="149"/>
      <c r="K68" s="151"/>
      <c r="L68" s="151"/>
      <c r="M68" s="151"/>
      <c r="N68" s="151"/>
      <c r="O68" s="151"/>
      <c r="P68" s="151"/>
      <c r="Q68" s="152" t="str">
        <f t="shared" si="3"/>
        <v/>
      </c>
      <c r="R68" s="151"/>
      <c r="S68" s="151"/>
      <c r="T68" s="153" t="str">
        <f t="shared" si="4"/>
        <v/>
      </c>
      <c r="U68" s="151"/>
      <c r="V68" s="154" t="str">
        <f t="shared" si="5"/>
        <v/>
      </c>
      <c r="W68" s="151"/>
      <c r="X68" s="149"/>
      <c r="Y68" s="151"/>
      <c r="Z68" s="151"/>
      <c r="AA68" s="151"/>
      <c r="AB68" s="149"/>
      <c r="AC68" s="155"/>
    </row>
    <row r="69" spans="1:29" x14ac:dyDescent="0.15">
      <c r="A69" s="149"/>
      <c r="B69" s="149"/>
      <c r="C69" s="149"/>
      <c r="D69" s="150"/>
      <c r="E69" s="149"/>
      <c r="F69" s="149"/>
      <c r="G69" s="149"/>
      <c r="H69" s="151"/>
      <c r="I69" s="151"/>
      <c r="J69" s="149"/>
      <c r="K69" s="151"/>
      <c r="L69" s="151"/>
      <c r="M69" s="151"/>
      <c r="N69" s="151"/>
      <c r="O69" s="151"/>
      <c r="P69" s="151"/>
      <c r="Q69" s="152" t="str">
        <f t="shared" si="3"/>
        <v/>
      </c>
      <c r="R69" s="155"/>
      <c r="S69" s="151"/>
      <c r="T69" s="153" t="str">
        <f t="shared" si="4"/>
        <v/>
      </c>
      <c r="U69" s="151"/>
      <c r="V69" s="154" t="str">
        <f t="shared" si="5"/>
        <v/>
      </c>
      <c r="W69" s="151"/>
      <c r="X69" s="149"/>
      <c r="Y69" s="151"/>
      <c r="Z69" s="151"/>
      <c r="AA69" s="151"/>
      <c r="AB69" s="149"/>
      <c r="AC69" s="155"/>
    </row>
    <row r="70" spans="1:29" x14ac:dyDescent="0.15">
      <c r="A70" s="149"/>
      <c r="B70" s="149"/>
      <c r="C70" s="149"/>
      <c r="D70" s="150"/>
      <c r="E70" s="151"/>
      <c r="F70" s="149"/>
      <c r="G70" s="149"/>
      <c r="H70" s="151"/>
      <c r="I70" s="151"/>
      <c r="J70" s="149"/>
      <c r="K70" s="151"/>
      <c r="L70" s="151"/>
      <c r="M70" s="151"/>
      <c r="N70" s="151"/>
      <c r="O70" s="151"/>
      <c r="P70" s="151"/>
      <c r="Q70" s="152" t="str">
        <f t="shared" si="3"/>
        <v/>
      </c>
      <c r="R70" s="155"/>
      <c r="S70" s="151"/>
      <c r="T70" s="153" t="str">
        <f t="shared" si="4"/>
        <v/>
      </c>
      <c r="U70" s="151"/>
      <c r="V70" s="154" t="str">
        <f t="shared" si="5"/>
        <v/>
      </c>
      <c r="W70" s="151"/>
      <c r="X70" s="149"/>
      <c r="Y70" s="151"/>
      <c r="Z70" s="151"/>
      <c r="AA70" s="151"/>
      <c r="AB70" s="149"/>
      <c r="AC70" s="155"/>
    </row>
    <row r="71" spans="1:29" x14ac:dyDescent="0.15">
      <c r="A71" s="149"/>
      <c r="B71" s="149"/>
      <c r="C71" s="149"/>
      <c r="D71" s="150"/>
      <c r="E71" s="151"/>
      <c r="F71" s="149"/>
      <c r="G71" s="149"/>
      <c r="H71" s="151"/>
      <c r="I71" s="151"/>
      <c r="J71" s="149"/>
      <c r="K71" s="151"/>
      <c r="L71" s="151"/>
      <c r="M71" s="151"/>
      <c r="N71" s="151"/>
      <c r="O71" s="151"/>
      <c r="P71" s="151"/>
      <c r="Q71" s="152" t="str">
        <f t="shared" si="3"/>
        <v/>
      </c>
      <c r="R71" s="151"/>
      <c r="S71" s="151"/>
      <c r="T71" s="153" t="str">
        <f t="shared" si="4"/>
        <v/>
      </c>
      <c r="U71" s="151"/>
      <c r="V71" s="154" t="str">
        <f t="shared" si="5"/>
        <v/>
      </c>
      <c r="W71" s="151"/>
      <c r="X71" s="149"/>
      <c r="Y71" s="151"/>
      <c r="Z71" s="151"/>
      <c r="AA71" s="151"/>
      <c r="AB71" s="149"/>
      <c r="AC71" s="155"/>
    </row>
    <row r="72" spans="1:29" x14ac:dyDescent="0.15">
      <c r="A72" s="149"/>
      <c r="B72" s="149"/>
      <c r="C72" s="149"/>
      <c r="D72" s="150"/>
      <c r="E72" s="151"/>
      <c r="F72" s="149"/>
      <c r="G72" s="149"/>
      <c r="H72" s="151"/>
      <c r="I72" s="151"/>
      <c r="J72" s="149"/>
      <c r="K72" s="151"/>
      <c r="L72" s="151"/>
      <c r="M72" s="151"/>
      <c r="N72" s="151"/>
      <c r="O72" s="151"/>
      <c r="P72" s="151"/>
      <c r="Q72" s="152" t="str">
        <f t="shared" si="3"/>
        <v/>
      </c>
      <c r="R72" s="151"/>
      <c r="S72" s="151"/>
      <c r="T72" s="153" t="str">
        <f t="shared" si="4"/>
        <v/>
      </c>
      <c r="U72" s="151"/>
      <c r="V72" s="154" t="str">
        <f t="shared" si="5"/>
        <v/>
      </c>
      <c r="W72" s="151"/>
      <c r="X72" s="149"/>
      <c r="Y72" s="151"/>
      <c r="Z72" s="151"/>
      <c r="AA72" s="151"/>
      <c r="AB72" s="149"/>
      <c r="AC72" s="155"/>
    </row>
    <row r="73" spans="1:29" x14ac:dyDescent="0.15">
      <c r="A73" s="149"/>
      <c r="B73" s="149"/>
      <c r="C73" s="149"/>
      <c r="D73" s="150"/>
      <c r="E73" s="151"/>
      <c r="F73" s="151"/>
      <c r="G73" s="149"/>
      <c r="H73" s="151"/>
      <c r="I73" s="151"/>
      <c r="J73" s="149"/>
      <c r="K73" s="151"/>
      <c r="L73" s="151"/>
      <c r="M73" s="151"/>
      <c r="N73" s="151"/>
      <c r="O73" s="151"/>
      <c r="P73" s="151"/>
      <c r="Q73" s="152" t="str">
        <f t="shared" si="3"/>
        <v/>
      </c>
      <c r="R73" s="151"/>
      <c r="S73" s="151"/>
      <c r="T73" s="153" t="str">
        <f t="shared" si="4"/>
        <v/>
      </c>
      <c r="U73" s="151"/>
      <c r="V73" s="154" t="str">
        <f t="shared" si="5"/>
        <v/>
      </c>
      <c r="W73" s="151"/>
      <c r="X73" s="149"/>
      <c r="Y73" s="151"/>
      <c r="Z73" s="151"/>
      <c r="AA73" s="151"/>
      <c r="AB73" s="149"/>
      <c r="AC73" s="155"/>
    </row>
    <row r="74" spans="1:29" x14ac:dyDescent="0.15">
      <c r="A74" s="149"/>
      <c r="B74" s="149"/>
      <c r="C74" s="149"/>
      <c r="D74" s="150"/>
      <c r="E74" s="151"/>
      <c r="F74" s="151"/>
      <c r="G74" s="149"/>
      <c r="H74" s="151"/>
      <c r="I74" s="151"/>
      <c r="J74" s="149"/>
      <c r="K74" s="151"/>
      <c r="L74" s="151"/>
      <c r="M74" s="151"/>
      <c r="N74" s="151"/>
      <c r="O74" s="151"/>
      <c r="P74" s="151"/>
      <c r="Q74" s="152"/>
      <c r="R74" s="151"/>
      <c r="S74" s="151"/>
      <c r="T74" s="153"/>
      <c r="U74" s="151"/>
      <c r="V74" s="154"/>
      <c r="W74" s="151"/>
      <c r="X74" s="149"/>
      <c r="Y74" s="151"/>
      <c r="Z74" s="151"/>
      <c r="AA74" s="151"/>
      <c r="AB74" s="149"/>
      <c r="AC74" s="151"/>
    </row>
    <row r="75" spans="1:29" x14ac:dyDescent="0.15">
      <c r="A75" s="149"/>
      <c r="B75" s="149"/>
      <c r="C75" s="149"/>
      <c r="D75" s="150"/>
      <c r="E75" s="151"/>
      <c r="F75" s="151"/>
      <c r="G75" s="149"/>
      <c r="H75" s="151"/>
      <c r="I75" s="151"/>
      <c r="J75" s="149"/>
      <c r="K75" s="151"/>
      <c r="L75" s="151"/>
      <c r="M75" s="151"/>
      <c r="N75" s="151"/>
      <c r="O75" s="151"/>
      <c r="P75" s="151"/>
      <c r="Q75" s="152"/>
      <c r="R75" s="151"/>
      <c r="S75" s="151"/>
      <c r="T75" s="153"/>
      <c r="U75" s="151"/>
      <c r="V75" s="154"/>
      <c r="W75" s="151"/>
      <c r="X75" s="149"/>
      <c r="Y75" s="151"/>
      <c r="Z75" s="151"/>
      <c r="AA75" s="151"/>
      <c r="AB75" s="149"/>
      <c r="AC75" s="151"/>
    </row>
    <row r="76" spans="1:29" x14ac:dyDescent="0.15">
      <c r="A76" s="149"/>
      <c r="B76" s="149"/>
      <c r="C76" s="149"/>
      <c r="D76" s="150"/>
      <c r="E76" s="151"/>
      <c r="F76" s="151"/>
      <c r="G76" s="149"/>
      <c r="H76" s="151"/>
      <c r="I76" s="151"/>
      <c r="J76" s="149"/>
      <c r="K76" s="151"/>
      <c r="L76" s="151"/>
      <c r="M76" s="151"/>
      <c r="N76" s="151"/>
      <c r="O76" s="151"/>
      <c r="P76" s="151"/>
      <c r="Q76" s="152"/>
      <c r="R76" s="151"/>
      <c r="S76" s="151"/>
      <c r="T76" s="153"/>
      <c r="U76" s="151"/>
      <c r="V76" s="154"/>
      <c r="W76" s="151"/>
      <c r="X76" s="149"/>
      <c r="Y76" s="151"/>
      <c r="Z76" s="151"/>
      <c r="AA76" s="151"/>
      <c r="AB76" s="149"/>
      <c r="AC76" s="151"/>
    </row>
    <row r="77" spans="1:29" x14ac:dyDescent="0.15">
      <c r="A77" s="149"/>
      <c r="B77" s="149"/>
      <c r="C77" s="149"/>
      <c r="D77" s="150"/>
      <c r="E77" s="151"/>
      <c r="F77" s="151"/>
      <c r="G77" s="149"/>
      <c r="H77" s="151"/>
      <c r="I77" s="151"/>
      <c r="J77" s="149"/>
      <c r="K77" s="151"/>
      <c r="L77" s="151"/>
      <c r="M77" s="151"/>
      <c r="N77" s="151"/>
      <c r="O77" s="151"/>
      <c r="P77" s="151"/>
      <c r="Q77" s="152" t="str">
        <f t="shared" ref="Q77:Q79" si="6">IF(OR(O77="",P77=""),"",AVERAGE(O77,P77))</f>
        <v/>
      </c>
      <c r="R77" s="151"/>
      <c r="S77" s="151"/>
      <c r="T77" s="153" t="str">
        <f t="shared" ref="T77:T79" si="7">IF(H77="","",IF(OR(H77="GREEN",H77="GK"),IF(S77&gt;=$AX$2,VLOOKUP(S77,$AX$2:$AY$18,2,1),""),IF(S77&gt;=$AZ$2,VLOOKUP(S77,$AZ$2:$BA$18,2,1),"")))</f>
        <v/>
      </c>
      <c r="U77" s="151"/>
      <c r="V77" s="154" t="str">
        <f t="shared" ref="V77:V79" si="8">IF(OR(N77="",U77="",T77=""),"",U77/N77*T77)</f>
        <v/>
      </c>
      <c r="W77" s="151"/>
      <c r="X77" s="149"/>
      <c r="Y77" s="151"/>
      <c r="Z77" s="151"/>
      <c r="AA77" s="151"/>
      <c r="AB77" s="149"/>
      <c r="AC77" s="151"/>
    </row>
    <row r="78" spans="1:29" x14ac:dyDescent="0.15">
      <c r="A78" s="149"/>
      <c r="B78" s="149"/>
      <c r="C78" s="149"/>
      <c r="D78" s="150"/>
      <c r="E78" s="151"/>
      <c r="F78" s="151"/>
      <c r="G78" s="149"/>
      <c r="H78" s="151"/>
      <c r="I78" s="151"/>
      <c r="J78" s="149"/>
      <c r="K78" s="151"/>
      <c r="L78" s="151"/>
      <c r="M78" s="151"/>
      <c r="N78" s="151"/>
      <c r="O78" s="151"/>
      <c r="P78" s="151"/>
      <c r="Q78" s="152" t="str">
        <f t="shared" si="6"/>
        <v/>
      </c>
      <c r="R78" s="151"/>
      <c r="S78" s="151"/>
      <c r="T78" s="153" t="str">
        <f t="shared" si="7"/>
        <v/>
      </c>
      <c r="U78" s="151"/>
      <c r="V78" s="154" t="str">
        <f t="shared" si="8"/>
        <v/>
      </c>
      <c r="W78" s="151"/>
      <c r="X78" s="149"/>
      <c r="Y78" s="151"/>
      <c r="Z78" s="151"/>
      <c r="AA78" s="151"/>
      <c r="AB78" s="149"/>
      <c r="AC78" s="151"/>
    </row>
    <row r="79" spans="1:29" x14ac:dyDescent="0.15">
      <c r="A79" s="149"/>
      <c r="B79" s="149"/>
      <c r="C79" s="149"/>
      <c r="D79" s="150"/>
      <c r="E79" s="151"/>
      <c r="F79" s="151"/>
      <c r="G79" s="149"/>
      <c r="H79" s="151"/>
      <c r="I79" s="151"/>
      <c r="J79" s="149"/>
      <c r="K79" s="151"/>
      <c r="L79" s="151"/>
      <c r="M79" s="151"/>
      <c r="N79" s="151"/>
      <c r="O79" s="151"/>
      <c r="P79" s="151"/>
      <c r="Q79" s="152" t="str">
        <f t="shared" si="6"/>
        <v/>
      </c>
      <c r="R79" s="151"/>
      <c r="S79" s="151"/>
      <c r="T79" s="153" t="str">
        <f t="shared" si="7"/>
        <v/>
      </c>
      <c r="U79" s="151"/>
      <c r="V79" s="154" t="str">
        <f t="shared" si="8"/>
        <v/>
      </c>
      <c r="W79" s="151"/>
      <c r="X79" s="149"/>
      <c r="Y79" s="151"/>
      <c r="Z79" s="151"/>
      <c r="AA79" s="151"/>
      <c r="AB79" s="149"/>
      <c r="AC79" s="151"/>
    </row>
    <row r="80" spans="1:29" x14ac:dyDescent="0.15">
      <c r="A80" s="149"/>
      <c r="B80" s="149"/>
      <c r="C80" s="149"/>
      <c r="D80" s="150"/>
      <c r="E80" s="151"/>
      <c r="F80" s="151"/>
      <c r="G80" s="149"/>
      <c r="H80" s="151"/>
      <c r="I80" s="151"/>
      <c r="J80" s="149"/>
      <c r="K80" s="151"/>
      <c r="L80" s="151"/>
      <c r="M80" s="151"/>
      <c r="N80" s="151"/>
      <c r="O80" s="151"/>
      <c r="P80" s="151"/>
      <c r="Q80" s="152"/>
      <c r="R80" s="151"/>
      <c r="S80" s="151"/>
      <c r="T80" s="153"/>
      <c r="U80" s="151"/>
      <c r="V80" s="154"/>
      <c r="W80" s="151"/>
      <c r="X80" s="149"/>
      <c r="Y80" s="151"/>
      <c r="Z80" s="151"/>
      <c r="AA80" s="151"/>
      <c r="AB80" s="149"/>
      <c r="AC80" s="151"/>
    </row>
    <row r="81" spans="1:29" x14ac:dyDescent="0.15">
      <c r="A81" s="149"/>
      <c r="B81" s="149"/>
      <c r="C81" s="149"/>
      <c r="D81" s="150"/>
      <c r="E81" s="151"/>
      <c r="F81" s="151"/>
      <c r="G81" s="149"/>
      <c r="H81" s="151"/>
      <c r="I81" s="151"/>
      <c r="J81" s="149"/>
      <c r="K81" s="151"/>
      <c r="L81" s="151"/>
      <c r="M81" s="151"/>
      <c r="N81" s="151"/>
      <c r="O81" s="151"/>
      <c r="P81" s="151"/>
      <c r="Q81" s="152"/>
      <c r="R81" s="151"/>
      <c r="S81" s="151"/>
      <c r="T81" s="153"/>
      <c r="U81" s="151"/>
      <c r="V81" s="154"/>
      <c r="W81" s="151"/>
      <c r="X81" s="149"/>
      <c r="Y81" s="151"/>
      <c r="Z81" s="151"/>
      <c r="AA81" s="151"/>
      <c r="AB81" s="149"/>
      <c r="AC81" s="151"/>
    </row>
    <row r="82" spans="1:29" x14ac:dyDescent="0.15">
      <c r="A82" s="149"/>
      <c r="B82" s="149"/>
      <c r="C82" s="149"/>
      <c r="D82" s="150"/>
      <c r="E82" s="151"/>
      <c r="F82" s="151"/>
      <c r="G82" s="149"/>
      <c r="H82" s="151"/>
      <c r="I82" s="151"/>
      <c r="J82" s="149"/>
      <c r="K82" s="151"/>
      <c r="L82" s="151"/>
      <c r="M82" s="151"/>
      <c r="N82" s="151"/>
      <c r="O82" s="151"/>
      <c r="P82" s="151"/>
      <c r="Q82" s="152"/>
      <c r="R82" s="151"/>
      <c r="S82" s="151"/>
      <c r="T82" s="153"/>
      <c r="U82" s="151"/>
      <c r="V82" s="154"/>
      <c r="W82" s="151"/>
      <c r="X82" s="149"/>
      <c r="Y82" s="151"/>
      <c r="Z82" s="151"/>
      <c r="AA82" s="151"/>
      <c r="AB82" s="149"/>
      <c r="AC82" s="151"/>
    </row>
    <row r="83" spans="1:29" x14ac:dyDescent="0.15">
      <c r="A83" s="149"/>
      <c r="B83" s="149"/>
      <c r="C83" s="149"/>
      <c r="D83" s="150"/>
      <c r="E83" s="151"/>
      <c r="F83" s="151"/>
      <c r="G83" s="149"/>
      <c r="H83" s="151"/>
      <c r="I83" s="151"/>
      <c r="J83" s="149"/>
      <c r="K83" s="151"/>
      <c r="L83" s="151"/>
      <c r="M83" s="151"/>
      <c r="N83" s="151"/>
      <c r="O83" s="151"/>
      <c r="P83" s="151"/>
      <c r="Q83" s="152"/>
      <c r="R83" s="151"/>
      <c r="S83" s="151"/>
      <c r="T83" s="153"/>
      <c r="U83" s="151"/>
      <c r="V83" s="154"/>
      <c r="W83" s="151"/>
      <c r="X83" s="149"/>
      <c r="Y83" s="151"/>
      <c r="Z83" s="151"/>
      <c r="AA83" s="151"/>
      <c r="AB83" s="149"/>
      <c r="AC83" s="151"/>
    </row>
    <row r="84" spans="1:29" x14ac:dyDescent="0.15">
      <c r="A84" s="149"/>
      <c r="B84" s="149"/>
      <c r="C84" s="149"/>
      <c r="D84" s="150"/>
      <c r="E84" s="151"/>
      <c r="F84" s="151"/>
      <c r="G84" s="149"/>
      <c r="H84" s="151"/>
      <c r="I84" s="151"/>
      <c r="J84" s="149"/>
      <c r="K84" s="151"/>
      <c r="L84" s="151"/>
      <c r="M84" s="151"/>
      <c r="N84" s="151"/>
      <c r="O84" s="151"/>
      <c r="P84" s="151"/>
      <c r="Q84" s="152"/>
      <c r="R84" s="151"/>
      <c r="S84" s="151"/>
      <c r="T84" s="153"/>
      <c r="U84" s="151"/>
      <c r="V84" s="154"/>
      <c r="W84" s="151"/>
      <c r="X84" s="149"/>
      <c r="Y84" s="151"/>
      <c r="Z84" s="151"/>
      <c r="AA84" s="151"/>
      <c r="AB84" s="149"/>
      <c r="AC84" s="151"/>
    </row>
    <row r="85" spans="1:29" x14ac:dyDescent="0.15">
      <c r="A85" s="149"/>
      <c r="B85" s="149"/>
      <c r="C85" s="149"/>
      <c r="D85" s="150"/>
      <c r="E85" s="151"/>
      <c r="F85" s="151"/>
      <c r="G85" s="149"/>
      <c r="H85" s="151"/>
      <c r="I85" s="151"/>
      <c r="J85" s="149"/>
      <c r="K85" s="151"/>
      <c r="L85" s="151"/>
      <c r="M85" s="151"/>
      <c r="N85" s="151"/>
      <c r="O85" s="151"/>
      <c r="P85" s="151"/>
      <c r="Q85" s="152"/>
      <c r="R85" s="151"/>
      <c r="S85" s="151"/>
      <c r="T85" s="153"/>
      <c r="U85" s="151"/>
      <c r="V85" s="154"/>
      <c r="W85" s="151"/>
      <c r="X85" s="149"/>
      <c r="Y85" s="151"/>
      <c r="Z85" s="151"/>
      <c r="AA85" s="151"/>
      <c r="AB85" s="149"/>
      <c r="AC85" s="151"/>
    </row>
    <row r="86" spans="1:29" x14ac:dyDescent="0.15">
      <c r="A86" s="149"/>
      <c r="B86" s="149"/>
      <c r="C86" s="149"/>
      <c r="D86" s="150"/>
      <c r="E86" s="151"/>
      <c r="F86" s="151"/>
      <c r="G86" s="149"/>
      <c r="H86" s="151"/>
      <c r="I86" s="151"/>
      <c r="J86" s="149"/>
      <c r="K86" s="151"/>
      <c r="L86" s="151"/>
      <c r="M86" s="151"/>
      <c r="N86" s="151"/>
      <c r="O86" s="151"/>
      <c r="P86" s="151"/>
      <c r="Q86" s="152"/>
      <c r="R86" s="151"/>
      <c r="S86" s="151"/>
      <c r="T86" s="153"/>
      <c r="U86" s="151"/>
      <c r="V86" s="154"/>
      <c r="W86" s="151"/>
      <c r="X86" s="149"/>
      <c r="Y86" s="151"/>
      <c r="Z86" s="151"/>
      <c r="AA86" s="151"/>
      <c r="AB86" s="149"/>
      <c r="AC86" s="151"/>
    </row>
    <row r="87" spans="1:29" x14ac:dyDescent="0.15">
      <c r="A87" s="149"/>
      <c r="B87" s="149"/>
      <c r="C87" s="149"/>
      <c r="D87" s="150"/>
      <c r="E87" s="151"/>
      <c r="F87" s="151"/>
      <c r="G87" s="149"/>
      <c r="H87" s="151"/>
      <c r="I87" s="151"/>
      <c r="J87" s="149"/>
      <c r="K87" s="151"/>
      <c r="L87" s="151"/>
      <c r="M87" s="151"/>
      <c r="N87" s="151"/>
      <c r="O87" s="151"/>
      <c r="P87" s="151"/>
      <c r="Q87" s="152"/>
      <c r="R87" s="151"/>
      <c r="S87" s="151"/>
      <c r="T87" s="153"/>
      <c r="U87" s="151"/>
      <c r="V87" s="154"/>
      <c r="W87" s="151"/>
      <c r="X87" s="149"/>
      <c r="Y87" s="151"/>
      <c r="Z87" s="151"/>
      <c r="AA87" s="151"/>
      <c r="AB87" s="149"/>
      <c r="AC87" s="151"/>
    </row>
    <row r="88" spans="1:29" x14ac:dyDescent="0.15">
      <c r="A88" s="149"/>
      <c r="B88" s="149"/>
      <c r="C88" s="149"/>
      <c r="D88" s="150"/>
      <c r="E88" s="151"/>
      <c r="F88" s="151"/>
      <c r="G88" s="149"/>
      <c r="H88" s="151"/>
      <c r="I88" s="151"/>
      <c r="J88" s="149"/>
      <c r="K88" s="151"/>
      <c r="L88" s="151"/>
      <c r="M88" s="151"/>
      <c r="N88" s="151"/>
      <c r="O88" s="151"/>
      <c r="P88" s="151"/>
      <c r="Q88" s="152"/>
      <c r="R88" s="151"/>
      <c r="S88" s="151"/>
      <c r="T88" s="153"/>
      <c r="U88" s="151"/>
      <c r="V88" s="154"/>
      <c r="W88" s="151"/>
      <c r="X88" s="149"/>
      <c r="Y88" s="151"/>
      <c r="Z88" s="151"/>
      <c r="AA88" s="151"/>
      <c r="AB88" s="149"/>
      <c r="AC88" s="151"/>
    </row>
    <row r="89" spans="1:29" x14ac:dyDescent="0.15">
      <c r="A89" s="149"/>
      <c r="B89" s="149"/>
      <c r="C89" s="149"/>
      <c r="D89" s="150"/>
      <c r="E89" s="151"/>
      <c r="F89" s="151"/>
      <c r="G89" s="149"/>
      <c r="H89" s="151"/>
      <c r="I89" s="151"/>
      <c r="J89" s="149"/>
      <c r="K89" s="151"/>
      <c r="L89" s="151"/>
      <c r="M89" s="151"/>
      <c r="N89" s="151"/>
      <c r="O89" s="151"/>
      <c r="P89" s="151"/>
      <c r="Q89" s="152"/>
      <c r="R89" s="151"/>
      <c r="S89" s="151"/>
      <c r="T89" s="153"/>
      <c r="U89" s="151"/>
      <c r="V89" s="154"/>
      <c r="W89" s="151"/>
      <c r="X89" s="149"/>
      <c r="Y89" s="151"/>
      <c r="Z89" s="151"/>
      <c r="AA89" s="151"/>
      <c r="AB89" s="149"/>
      <c r="AC89" s="151"/>
    </row>
    <row r="90" spans="1:29" x14ac:dyDescent="0.15">
      <c r="A90" s="149"/>
      <c r="B90" s="149"/>
      <c r="C90" s="149"/>
      <c r="D90" s="150"/>
      <c r="E90" s="151"/>
      <c r="F90" s="151"/>
      <c r="G90" s="149"/>
      <c r="H90" s="151"/>
      <c r="I90" s="151"/>
      <c r="J90" s="149"/>
      <c r="K90" s="151"/>
      <c r="L90" s="151"/>
      <c r="M90" s="151"/>
      <c r="N90" s="151"/>
      <c r="O90" s="151"/>
      <c r="P90" s="151"/>
      <c r="Q90" s="152"/>
      <c r="R90" s="151"/>
      <c r="S90" s="151"/>
      <c r="T90" s="153"/>
      <c r="U90" s="151"/>
      <c r="V90" s="154"/>
      <c r="W90" s="151"/>
      <c r="X90" s="149"/>
      <c r="Y90" s="151"/>
      <c r="Z90" s="151"/>
      <c r="AA90" s="151"/>
      <c r="AB90" s="149"/>
      <c r="AC90" s="151"/>
    </row>
    <row r="91" spans="1:29" x14ac:dyDescent="0.15">
      <c r="A91" s="149"/>
      <c r="B91" s="149"/>
      <c r="C91" s="149"/>
      <c r="D91" s="150"/>
      <c r="E91" s="151"/>
      <c r="F91" s="151"/>
      <c r="G91" s="149"/>
      <c r="H91" s="151"/>
      <c r="I91" s="151"/>
      <c r="J91" s="149"/>
      <c r="K91" s="151"/>
      <c r="L91" s="151"/>
      <c r="M91" s="151"/>
      <c r="N91" s="151"/>
      <c r="O91" s="151"/>
      <c r="P91" s="151"/>
      <c r="Q91" s="152"/>
      <c r="R91" s="151"/>
      <c r="S91" s="151"/>
      <c r="T91" s="153"/>
      <c r="U91" s="151"/>
      <c r="V91" s="154"/>
      <c r="W91" s="151"/>
      <c r="X91" s="149"/>
      <c r="Y91" s="151"/>
      <c r="Z91" s="151"/>
      <c r="AA91" s="151"/>
      <c r="AB91" s="149"/>
      <c r="AC91" s="151"/>
    </row>
    <row r="92" spans="1:29" x14ac:dyDescent="0.15">
      <c r="A92" s="149"/>
      <c r="B92" s="149"/>
      <c r="C92" s="149"/>
      <c r="D92" s="150"/>
      <c r="E92" s="151"/>
      <c r="F92" s="151"/>
      <c r="G92" s="149"/>
      <c r="H92" s="151"/>
      <c r="I92" s="151"/>
      <c r="J92" s="149"/>
      <c r="K92" s="151"/>
      <c r="L92" s="151"/>
      <c r="M92" s="151"/>
      <c r="N92" s="151"/>
      <c r="O92" s="151"/>
      <c r="P92" s="151"/>
      <c r="Q92" s="152"/>
      <c r="R92" s="151"/>
      <c r="S92" s="151"/>
      <c r="T92" s="153"/>
      <c r="U92" s="151"/>
      <c r="V92" s="154"/>
      <c r="W92" s="151"/>
      <c r="X92" s="149"/>
      <c r="Y92" s="151"/>
      <c r="Z92" s="151"/>
      <c r="AA92" s="151"/>
      <c r="AB92" s="149"/>
      <c r="AC92" s="151"/>
    </row>
    <row r="93" spans="1:29" x14ac:dyDescent="0.15">
      <c r="A93" s="149"/>
      <c r="B93" s="149"/>
      <c r="C93" s="149"/>
      <c r="D93" s="150"/>
      <c r="E93" s="151"/>
      <c r="F93" s="151"/>
      <c r="G93" s="149"/>
      <c r="H93" s="151"/>
      <c r="I93" s="151"/>
      <c r="J93" s="149"/>
      <c r="K93" s="151"/>
      <c r="L93" s="151"/>
      <c r="M93" s="151"/>
      <c r="N93" s="151"/>
      <c r="O93" s="151"/>
      <c r="P93" s="151"/>
      <c r="Q93" s="152"/>
      <c r="R93" s="151"/>
      <c r="S93" s="151"/>
      <c r="T93" s="153"/>
      <c r="U93" s="151"/>
      <c r="V93" s="154"/>
      <c r="W93" s="151"/>
      <c r="X93" s="149"/>
      <c r="Y93" s="151"/>
      <c r="Z93" s="151"/>
      <c r="AA93" s="151"/>
      <c r="AB93" s="149"/>
      <c r="AC93" s="151"/>
    </row>
    <row r="94" spans="1:29" x14ac:dyDescent="0.15">
      <c r="A94" s="149"/>
      <c r="B94" s="149"/>
      <c r="C94" s="149"/>
      <c r="D94" s="150"/>
      <c r="E94" s="151"/>
      <c r="F94" s="151"/>
      <c r="G94" s="149"/>
      <c r="H94" s="151"/>
      <c r="I94" s="151"/>
      <c r="J94" s="149"/>
      <c r="K94" s="151"/>
      <c r="L94" s="151"/>
      <c r="M94" s="151"/>
      <c r="N94" s="151"/>
      <c r="O94" s="151"/>
      <c r="P94" s="151"/>
      <c r="Q94" s="152"/>
      <c r="R94" s="151"/>
      <c r="S94" s="151"/>
      <c r="T94" s="153"/>
      <c r="U94" s="151"/>
      <c r="V94" s="154"/>
      <c r="W94" s="151"/>
      <c r="X94" s="149"/>
      <c r="Y94" s="151"/>
      <c r="Z94" s="151"/>
      <c r="AA94" s="151"/>
      <c r="AB94" s="149"/>
      <c r="AC94" s="151"/>
    </row>
    <row r="95" spans="1:29" x14ac:dyDescent="0.15">
      <c r="D95" s="150"/>
      <c r="E95" s="151"/>
      <c r="F95" s="151"/>
      <c r="K95" s="151"/>
      <c r="AC95" s="151"/>
    </row>
    <row r="96" spans="1:29" x14ac:dyDescent="0.15">
      <c r="A96" s="149"/>
      <c r="B96" s="149"/>
      <c r="C96" s="149"/>
      <c r="D96" s="150"/>
      <c r="E96" s="151"/>
      <c r="F96" s="151"/>
      <c r="G96" s="149"/>
      <c r="H96" s="151"/>
      <c r="I96" s="151"/>
      <c r="J96" s="149"/>
      <c r="K96" s="151"/>
      <c r="L96" s="151"/>
      <c r="M96" s="151"/>
      <c r="N96" s="151"/>
      <c r="O96" s="151"/>
      <c r="P96" s="151"/>
      <c r="Q96" s="152"/>
      <c r="R96" s="151"/>
      <c r="S96" s="151"/>
      <c r="T96" s="153"/>
      <c r="U96" s="151"/>
      <c r="V96" s="154"/>
      <c r="W96" s="151"/>
      <c r="X96" s="149"/>
      <c r="Y96" s="151"/>
      <c r="Z96" s="151"/>
      <c r="AA96" s="151"/>
      <c r="AB96" s="149"/>
      <c r="AC96" s="151"/>
    </row>
    <row r="97" spans="1:29" x14ac:dyDescent="0.15">
      <c r="A97" s="149"/>
      <c r="B97" s="149"/>
      <c r="C97" s="149"/>
      <c r="G97" s="149"/>
      <c r="H97" s="151"/>
      <c r="I97" s="151"/>
      <c r="J97" s="149"/>
      <c r="K97" s="151"/>
      <c r="L97" s="151"/>
      <c r="M97" s="151"/>
      <c r="N97" s="151"/>
      <c r="O97" s="151"/>
      <c r="P97" s="151"/>
      <c r="Q97" s="152"/>
      <c r="R97" s="151"/>
      <c r="S97" s="151"/>
      <c r="T97" s="153"/>
      <c r="U97" s="151"/>
      <c r="V97" s="154"/>
      <c r="W97" s="151"/>
      <c r="X97" s="149"/>
      <c r="Y97" s="151"/>
      <c r="Z97" s="151"/>
      <c r="AA97" s="151"/>
      <c r="AB97" s="149"/>
      <c r="AC97" s="151"/>
    </row>
    <row r="98" spans="1:29" x14ac:dyDescent="0.15">
      <c r="A98" s="149"/>
      <c r="B98" s="149"/>
      <c r="C98" s="149"/>
      <c r="D98" s="150"/>
      <c r="E98" s="151"/>
      <c r="F98" s="151"/>
      <c r="G98" s="149"/>
      <c r="H98" s="151"/>
      <c r="I98" s="151"/>
      <c r="J98" s="149"/>
      <c r="K98" s="151"/>
      <c r="L98" s="151"/>
      <c r="M98" s="151"/>
      <c r="N98" s="151"/>
      <c r="O98" s="151"/>
      <c r="P98" s="151"/>
      <c r="Q98" s="152"/>
      <c r="R98" s="151"/>
      <c r="S98" s="151"/>
      <c r="T98" s="153"/>
      <c r="U98" s="151"/>
      <c r="V98" s="154"/>
      <c r="W98" s="151"/>
      <c r="X98" s="149"/>
      <c r="Y98" s="151"/>
      <c r="Z98" s="151"/>
      <c r="AA98" s="151"/>
      <c r="AB98" s="149"/>
      <c r="AC98" s="151"/>
    </row>
    <row r="99" spans="1:29" x14ac:dyDescent="0.15">
      <c r="A99" s="149"/>
      <c r="B99" s="149"/>
      <c r="C99" s="149"/>
      <c r="D99" s="150"/>
      <c r="E99" s="151"/>
      <c r="F99" s="151"/>
      <c r="G99" s="149"/>
      <c r="H99" s="151"/>
      <c r="I99" s="151"/>
      <c r="J99" s="149"/>
      <c r="K99" s="151"/>
      <c r="L99" s="151"/>
      <c r="M99" s="151"/>
      <c r="N99" s="151"/>
      <c r="O99" s="151"/>
      <c r="P99" s="151"/>
      <c r="Q99" s="152"/>
      <c r="R99" s="151"/>
      <c r="S99" s="151"/>
      <c r="T99" s="153"/>
      <c r="U99" s="151"/>
      <c r="V99" s="154"/>
      <c r="W99" s="151"/>
      <c r="X99" s="149"/>
      <c r="Y99" s="151"/>
      <c r="Z99" s="151"/>
      <c r="AA99" s="151"/>
      <c r="AB99" s="149"/>
      <c r="AC99" s="151"/>
    </row>
    <row r="100" spans="1:29" x14ac:dyDescent="0.15">
      <c r="A100" s="149"/>
      <c r="B100" s="149"/>
      <c r="C100" s="149"/>
      <c r="D100" s="150"/>
      <c r="E100" s="151"/>
      <c r="F100" s="151"/>
      <c r="G100" s="149"/>
      <c r="H100" s="151"/>
      <c r="I100" s="151"/>
      <c r="J100" s="149"/>
      <c r="K100" s="151"/>
      <c r="L100" s="151"/>
      <c r="M100" s="151"/>
      <c r="N100" s="151"/>
      <c r="O100" s="151"/>
      <c r="P100" s="151"/>
      <c r="Q100" s="152"/>
      <c r="R100" s="151"/>
      <c r="S100" s="151"/>
      <c r="T100" s="153"/>
      <c r="U100" s="151"/>
      <c r="V100" s="154"/>
      <c r="W100" s="151"/>
      <c r="X100" s="149"/>
      <c r="Y100" s="151"/>
      <c r="Z100" s="151"/>
      <c r="AA100" s="151"/>
      <c r="AB100" s="149"/>
      <c r="AC100" s="151"/>
    </row>
    <row r="101" spans="1:29" x14ac:dyDescent="0.15">
      <c r="A101" s="149"/>
      <c r="B101" s="149"/>
      <c r="C101" s="149"/>
      <c r="D101" s="150"/>
      <c r="E101" s="151"/>
      <c r="F101" s="151"/>
      <c r="G101" s="149"/>
      <c r="H101" s="151"/>
      <c r="I101" s="151"/>
      <c r="J101" s="149"/>
      <c r="K101" s="151"/>
      <c r="L101" s="151"/>
      <c r="M101" s="151"/>
      <c r="N101" s="151"/>
      <c r="O101" s="151"/>
      <c r="P101" s="151"/>
      <c r="Q101" s="152"/>
      <c r="R101" s="151"/>
      <c r="S101" s="151"/>
      <c r="T101" s="153"/>
      <c r="U101" s="151"/>
      <c r="V101" s="154"/>
      <c r="W101" s="151"/>
      <c r="X101" s="149"/>
      <c r="Y101" s="151"/>
      <c r="Z101" s="151"/>
      <c r="AA101" s="151"/>
      <c r="AB101" s="149"/>
      <c r="AC101" s="151"/>
    </row>
    <row r="102" spans="1:29" x14ac:dyDescent="0.15">
      <c r="A102" s="149"/>
      <c r="B102" s="149"/>
      <c r="C102" s="149"/>
      <c r="D102" s="150"/>
      <c r="E102" s="151"/>
      <c r="F102" s="151"/>
      <c r="G102" s="149"/>
      <c r="H102" s="151"/>
      <c r="I102" s="151"/>
      <c r="J102" s="149"/>
      <c r="K102" s="151"/>
      <c r="L102" s="151"/>
      <c r="M102" s="151"/>
      <c r="N102" s="151"/>
      <c r="O102" s="151"/>
      <c r="P102" s="151"/>
      <c r="Q102" s="152"/>
      <c r="R102" s="151"/>
      <c r="S102" s="151"/>
      <c r="T102" s="153"/>
      <c r="U102" s="151"/>
      <c r="V102" s="154"/>
      <c r="W102" s="151"/>
      <c r="X102" s="149"/>
      <c r="Y102" s="151"/>
      <c r="Z102" s="151"/>
      <c r="AA102" s="151"/>
      <c r="AB102" s="149"/>
      <c r="AC102" s="151"/>
    </row>
    <row r="103" spans="1:29" x14ac:dyDescent="0.15">
      <c r="A103" s="149"/>
      <c r="B103" s="149"/>
      <c r="C103" s="149"/>
      <c r="D103" s="150"/>
      <c r="E103" s="151"/>
      <c r="F103" s="151"/>
      <c r="G103" s="149"/>
      <c r="H103" s="151"/>
      <c r="I103" s="151"/>
      <c r="J103" s="149"/>
      <c r="K103" s="151"/>
      <c r="L103" s="151"/>
      <c r="M103" s="151"/>
      <c r="N103" s="151"/>
      <c r="O103" s="151"/>
      <c r="P103" s="151"/>
      <c r="Q103" s="152"/>
      <c r="R103" s="151"/>
      <c r="S103" s="151"/>
      <c r="T103" s="153"/>
      <c r="U103" s="151"/>
      <c r="V103" s="154"/>
      <c r="W103" s="151"/>
      <c r="X103" s="149"/>
      <c r="Y103" s="151"/>
      <c r="Z103" s="151"/>
      <c r="AA103" s="151"/>
      <c r="AB103" s="149"/>
      <c r="AC103" s="151"/>
    </row>
    <row r="104" spans="1:29" x14ac:dyDescent="0.15">
      <c r="A104" s="149"/>
      <c r="B104" s="149"/>
      <c r="C104" s="149"/>
      <c r="D104" s="150"/>
      <c r="E104" s="151"/>
      <c r="F104" s="151"/>
      <c r="G104" s="149"/>
      <c r="H104" s="151"/>
      <c r="I104" s="151"/>
      <c r="J104" s="149"/>
      <c r="K104" s="151"/>
      <c r="L104" s="151"/>
      <c r="M104" s="151"/>
      <c r="N104" s="151"/>
      <c r="O104" s="151"/>
      <c r="P104" s="151"/>
      <c r="Q104" s="152"/>
      <c r="R104" s="151"/>
      <c r="S104" s="151"/>
      <c r="T104" s="153"/>
      <c r="U104" s="151"/>
      <c r="V104" s="154"/>
      <c r="W104" s="151"/>
      <c r="X104" s="149"/>
      <c r="Y104" s="151"/>
      <c r="Z104" s="151"/>
      <c r="AA104" s="151"/>
      <c r="AB104" s="149"/>
      <c r="AC104" s="151"/>
    </row>
    <row r="105" spans="1:29" x14ac:dyDescent="0.15">
      <c r="A105" s="149"/>
      <c r="B105" s="149"/>
      <c r="C105" s="149"/>
      <c r="D105" s="150"/>
      <c r="E105" s="151"/>
      <c r="F105" s="151"/>
      <c r="G105" s="149"/>
      <c r="H105" s="151"/>
      <c r="I105" s="151"/>
      <c r="J105" s="149"/>
      <c r="K105" s="151"/>
      <c r="L105" s="151"/>
      <c r="M105" s="151"/>
      <c r="N105" s="151"/>
      <c r="O105" s="151"/>
      <c r="P105" s="151"/>
      <c r="Q105" s="152"/>
      <c r="R105" s="151"/>
      <c r="S105" s="151"/>
      <c r="T105" s="153"/>
      <c r="U105" s="151"/>
      <c r="V105" s="154"/>
      <c r="W105" s="151"/>
      <c r="X105" s="149"/>
      <c r="Y105" s="151"/>
      <c r="Z105" s="151"/>
      <c r="AA105" s="151"/>
      <c r="AB105" s="149"/>
      <c r="AC105" s="151"/>
    </row>
    <row r="106" spans="1:29" x14ac:dyDescent="0.15">
      <c r="A106" s="149"/>
      <c r="B106" s="149"/>
      <c r="C106" s="149"/>
      <c r="D106" s="150"/>
      <c r="E106" s="151"/>
      <c r="F106" s="151"/>
      <c r="G106" s="149"/>
      <c r="H106" s="151"/>
      <c r="I106" s="151"/>
      <c r="J106" s="149"/>
      <c r="K106" s="151"/>
      <c r="L106" s="151"/>
      <c r="M106" s="151"/>
      <c r="N106" s="151"/>
      <c r="O106" s="151"/>
      <c r="P106" s="151"/>
      <c r="Q106" s="152"/>
      <c r="R106" s="151"/>
      <c r="S106" s="151"/>
      <c r="T106" s="153"/>
      <c r="U106" s="151"/>
      <c r="V106" s="154"/>
      <c r="W106" s="151"/>
      <c r="X106" s="149"/>
      <c r="Y106" s="151"/>
      <c r="Z106" s="151"/>
      <c r="AA106" s="151"/>
      <c r="AB106" s="149"/>
      <c r="AC106" s="151"/>
    </row>
    <row r="107" spans="1:29" x14ac:dyDescent="0.15">
      <c r="A107" s="149"/>
      <c r="B107" s="149"/>
      <c r="C107" s="149"/>
      <c r="D107" s="150"/>
      <c r="E107" s="151"/>
      <c r="F107" s="151"/>
      <c r="G107" s="149"/>
      <c r="H107" s="151"/>
      <c r="I107" s="151"/>
      <c r="J107" s="149"/>
      <c r="K107" s="151"/>
      <c r="L107" s="151"/>
      <c r="M107" s="151"/>
      <c r="N107" s="151"/>
      <c r="O107" s="151"/>
      <c r="P107" s="151"/>
      <c r="Q107" s="152"/>
      <c r="R107" s="151"/>
      <c r="S107" s="151"/>
      <c r="T107" s="153"/>
      <c r="U107" s="151"/>
      <c r="V107" s="154"/>
      <c r="W107" s="151"/>
      <c r="X107" s="149"/>
      <c r="Y107" s="151"/>
      <c r="Z107" s="151"/>
      <c r="AA107" s="151"/>
      <c r="AB107" s="149"/>
      <c r="AC107" s="151"/>
    </row>
    <row r="108" spans="1:29" x14ac:dyDescent="0.15">
      <c r="A108" s="149"/>
      <c r="B108" s="149"/>
      <c r="C108" s="149"/>
      <c r="D108" s="150"/>
      <c r="E108" s="151"/>
      <c r="F108" s="151"/>
      <c r="G108" s="149"/>
      <c r="H108" s="151"/>
      <c r="I108" s="151"/>
      <c r="J108" s="149"/>
      <c r="K108" s="151"/>
      <c r="L108" s="151"/>
      <c r="M108" s="151"/>
      <c r="N108" s="151"/>
      <c r="O108" s="151"/>
      <c r="P108" s="151"/>
      <c r="Q108" s="152"/>
      <c r="R108" s="151"/>
      <c r="S108" s="151"/>
      <c r="T108" s="153"/>
      <c r="U108" s="151"/>
      <c r="V108" s="154"/>
      <c r="W108" s="151"/>
      <c r="X108" s="149"/>
      <c r="Y108" s="151"/>
      <c r="Z108" s="151"/>
      <c r="AA108" s="151"/>
      <c r="AB108" s="149"/>
      <c r="AC108" s="151"/>
    </row>
    <row r="109" spans="1:29" x14ac:dyDescent="0.15">
      <c r="A109" s="149"/>
      <c r="B109" s="149"/>
      <c r="C109" s="149"/>
      <c r="D109" s="150"/>
      <c r="E109" s="151"/>
      <c r="F109" s="151"/>
      <c r="G109" s="149"/>
      <c r="H109" s="151"/>
      <c r="I109" s="151"/>
      <c r="J109" s="149"/>
      <c r="K109" s="151"/>
      <c r="L109" s="151"/>
      <c r="M109" s="151"/>
      <c r="N109" s="151"/>
      <c r="O109" s="151"/>
      <c r="P109" s="151"/>
      <c r="Q109" s="152"/>
      <c r="R109" s="151"/>
      <c r="S109" s="151"/>
      <c r="T109" s="153"/>
      <c r="U109" s="151"/>
      <c r="V109" s="154"/>
      <c r="W109" s="151"/>
      <c r="X109" s="149"/>
      <c r="Y109" s="151"/>
      <c r="Z109" s="151"/>
      <c r="AA109" s="151"/>
      <c r="AB109" s="149"/>
      <c r="AC109" s="151"/>
    </row>
    <row r="110" spans="1:29" x14ac:dyDescent="0.15">
      <c r="A110" s="149"/>
      <c r="B110" s="149"/>
      <c r="C110" s="149"/>
      <c r="D110" s="150"/>
      <c r="E110" s="151"/>
      <c r="F110" s="151"/>
      <c r="G110" s="149"/>
      <c r="H110" s="151"/>
      <c r="I110" s="151"/>
      <c r="J110" s="149"/>
      <c r="K110" s="151"/>
      <c r="L110" s="151"/>
      <c r="M110" s="151"/>
      <c r="N110" s="151"/>
      <c r="O110" s="151"/>
      <c r="P110" s="151"/>
      <c r="Q110" s="152"/>
      <c r="R110" s="151"/>
      <c r="S110" s="151"/>
      <c r="T110" s="153"/>
      <c r="U110" s="151"/>
      <c r="V110" s="154"/>
      <c r="W110" s="151"/>
      <c r="X110" s="149"/>
      <c r="Y110" s="151"/>
      <c r="Z110" s="151"/>
      <c r="AA110" s="151"/>
      <c r="AB110" s="149"/>
      <c r="AC110" s="151"/>
    </row>
    <row r="111" spans="1:29" x14ac:dyDescent="0.15">
      <c r="A111" s="149"/>
      <c r="B111" s="149"/>
      <c r="C111" s="149"/>
      <c r="D111" s="150"/>
      <c r="E111" s="151"/>
      <c r="F111" s="151"/>
      <c r="G111" s="149"/>
      <c r="H111" s="151"/>
      <c r="I111" s="151"/>
      <c r="J111" s="149"/>
      <c r="K111" s="151"/>
      <c r="L111" s="151"/>
      <c r="M111" s="151"/>
      <c r="N111" s="151"/>
      <c r="O111" s="151"/>
      <c r="P111" s="151"/>
      <c r="Q111" s="152"/>
      <c r="R111" s="151"/>
      <c r="S111" s="151"/>
      <c r="T111" s="153"/>
      <c r="U111" s="151"/>
      <c r="V111" s="154"/>
      <c r="W111" s="151"/>
      <c r="X111" s="149"/>
      <c r="Y111" s="151"/>
      <c r="Z111" s="151"/>
      <c r="AA111" s="151"/>
      <c r="AB111" s="149"/>
      <c r="AC111" s="151"/>
    </row>
    <row r="112" spans="1:29" x14ac:dyDescent="0.15">
      <c r="A112" s="149"/>
      <c r="B112" s="149"/>
      <c r="C112" s="149"/>
      <c r="D112" s="150"/>
      <c r="E112" s="151"/>
      <c r="F112" s="151"/>
      <c r="G112" s="149"/>
      <c r="H112" s="151"/>
      <c r="I112" s="151"/>
      <c r="J112" s="149"/>
      <c r="K112" s="151"/>
      <c r="L112" s="151"/>
      <c r="M112" s="151"/>
      <c r="N112" s="151"/>
      <c r="O112" s="151"/>
      <c r="P112" s="151"/>
      <c r="Q112" s="152"/>
      <c r="R112" s="151"/>
      <c r="S112" s="151"/>
      <c r="T112" s="153"/>
      <c r="U112" s="151"/>
      <c r="V112" s="154"/>
      <c r="W112" s="151"/>
      <c r="X112" s="149"/>
      <c r="Y112" s="151"/>
      <c r="Z112" s="151"/>
      <c r="AA112" s="151"/>
      <c r="AB112" s="149"/>
      <c r="AC112" s="151"/>
    </row>
    <row r="113" spans="1:29" x14ac:dyDescent="0.15">
      <c r="A113" s="151"/>
      <c r="B113" s="151"/>
      <c r="C113" s="151"/>
      <c r="D113" s="150"/>
      <c r="E113" s="151"/>
      <c r="F113" s="151"/>
      <c r="G113" s="151"/>
      <c r="H113" s="151"/>
      <c r="I113" s="151"/>
      <c r="J113" s="151"/>
      <c r="K113" s="151"/>
      <c r="L113" s="151"/>
      <c r="M113" s="151"/>
      <c r="N113" s="151"/>
      <c r="O113" s="151"/>
      <c r="P113" s="151"/>
      <c r="Q113" s="153"/>
      <c r="R113" s="151"/>
      <c r="S113" s="151"/>
      <c r="T113" s="153"/>
      <c r="U113" s="151"/>
      <c r="V113" s="153"/>
      <c r="W113" s="151"/>
      <c r="X113" s="151"/>
      <c r="Y113" s="151"/>
      <c r="Z113" s="151"/>
      <c r="AA113" s="151"/>
      <c r="AB113" s="151"/>
      <c r="AC113" s="151"/>
    </row>
    <row r="114" spans="1:29" x14ac:dyDescent="0.15">
      <c r="A114" s="151"/>
      <c r="B114" s="151"/>
      <c r="C114" s="151"/>
      <c r="D114" s="150"/>
      <c r="E114" s="151"/>
      <c r="F114" s="151"/>
      <c r="G114" s="151"/>
      <c r="H114" s="151"/>
      <c r="I114" s="151"/>
      <c r="J114" s="151"/>
      <c r="K114" s="151"/>
      <c r="L114" s="151"/>
      <c r="M114" s="151"/>
      <c r="N114" s="151"/>
      <c r="O114" s="151"/>
      <c r="P114" s="151"/>
      <c r="Q114" s="153"/>
      <c r="R114" s="151"/>
      <c r="S114" s="151"/>
      <c r="T114" s="153"/>
      <c r="U114" s="151"/>
      <c r="V114" s="153"/>
      <c r="W114" s="151"/>
      <c r="X114" s="151"/>
      <c r="Y114" s="151"/>
      <c r="Z114" s="151"/>
      <c r="AA114" s="151"/>
      <c r="AB114" s="151"/>
      <c r="AC114" s="151"/>
    </row>
    <row r="115" spans="1:29" x14ac:dyDescent="0.15">
      <c r="D115" s="151"/>
      <c r="E115" s="151"/>
      <c r="F115" s="151"/>
      <c r="K115" s="151"/>
    </row>
    <row r="116" spans="1:29" x14ac:dyDescent="0.15">
      <c r="D116" s="151"/>
      <c r="E116" s="151"/>
      <c r="F116" s="151"/>
      <c r="K116" s="151"/>
    </row>
    <row r="117" spans="1:29" x14ac:dyDescent="0.15">
      <c r="K117" s="151"/>
    </row>
    <row r="118" spans="1:29" x14ac:dyDescent="0.15">
      <c r="K118" s="151"/>
    </row>
    <row r="119" spans="1:29" x14ac:dyDescent="0.15">
      <c r="K119" s="151"/>
    </row>
    <row r="120" spans="1:29" x14ac:dyDescent="0.15">
      <c r="K120" s="151"/>
    </row>
  </sheetData>
  <autoFilter ref="A1:BA1" xr:uid="{00000000-0009-0000-0000-000004000000}"/>
  <phoneticPr fontId="3"/>
  <dataValidations count="21">
    <dataValidation type="list" allowBlank="1" showInputMessage="1" showErrorMessage="1" sqref="K2:K120" xr:uid="{76100FE6-7BF4-46E6-B660-70103E9DFE3C}">
      <formula1>$AR$2:$AR$29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24211764-156D-444E-B672-09F83C1655A9}">
      <formula1>$AN$8:$AN$9</formula1>
    </dataValidation>
    <dataValidation type="list" allowBlank="1" showInputMessage="1" showErrorMessage="1" sqref="WVS981805:WVS981894 WLW981805:WLW981894 K64310:K64399 JG64301:JG64390 TC64301:TC64390 ACY64301:ACY64390 AMU64301:AMU64390 AWQ64301:AWQ64390 BGM64301:BGM64390 BQI64301:BQI64390 CAE64301:CAE64390 CKA64301:CKA64390 CTW64301:CTW64390 DDS64301:DDS64390 DNO64301:DNO64390 DXK64301:DXK64390 EHG64301:EHG64390 ERC64301:ERC64390 FAY64301:FAY64390 FKU64301:FKU64390 FUQ64301:FUQ64390 GEM64301:GEM64390 GOI64301:GOI64390 GYE64301:GYE64390 HIA64301:HIA64390 HRW64301:HRW64390 IBS64301:IBS64390 ILO64301:ILO64390 IVK64301:IVK64390 JFG64301:JFG64390 JPC64301:JPC64390 JYY64301:JYY64390 KIU64301:KIU64390 KSQ64301:KSQ64390 LCM64301:LCM64390 LMI64301:LMI64390 LWE64301:LWE64390 MGA64301:MGA64390 MPW64301:MPW64390 MZS64301:MZS64390 NJO64301:NJO64390 NTK64301:NTK64390 ODG64301:ODG64390 ONC64301:ONC64390 OWY64301:OWY64390 PGU64301:PGU64390 PQQ64301:PQQ64390 QAM64301:QAM64390 QKI64301:QKI64390 QUE64301:QUE64390 REA64301:REA64390 RNW64301:RNW64390 RXS64301:RXS64390 SHO64301:SHO64390 SRK64301:SRK64390 TBG64301:TBG64390 TLC64301:TLC64390 TUY64301:TUY64390 UEU64301:UEU64390 UOQ64301:UOQ64390 UYM64301:UYM64390 VII64301:VII64390 VSE64301:VSE64390 WCA64301:WCA64390 WLW64301:WLW64390 WVS64301:WVS64390 K129846:K129935 JG129837:JG129926 TC129837:TC129926 ACY129837:ACY129926 AMU129837:AMU129926 AWQ129837:AWQ129926 BGM129837:BGM129926 BQI129837:BQI129926 CAE129837:CAE129926 CKA129837:CKA129926 CTW129837:CTW129926 DDS129837:DDS129926 DNO129837:DNO129926 DXK129837:DXK129926 EHG129837:EHG129926 ERC129837:ERC129926 FAY129837:FAY129926 FKU129837:FKU129926 FUQ129837:FUQ129926 GEM129837:GEM129926 GOI129837:GOI129926 GYE129837:GYE129926 HIA129837:HIA129926 HRW129837:HRW129926 IBS129837:IBS129926 ILO129837:ILO129926 IVK129837:IVK129926 JFG129837:JFG129926 JPC129837:JPC129926 JYY129837:JYY129926 KIU129837:KIU129926 KSQ129837:KSQ129926 LCM129837:LCM129926 LMI129837:LMI129926 LWE129837:LWE129926 MGA129837:MGA129926 MPW129837:MPW129926 MZS129837:MZS129926 NJO129837:NJO129926 NTK129837:NTK129926 ODG129837:ODG129926 ONC129837:ONC129926 OWY129837:OWY129926 PGU129837:PGU129926 PQQ129837:PQQ129926 QAM129837:QAM129926 QKI129837:QKI129926 QUE129837:QUE129926 REA129837:REA129926 RNW129837:RNW129926 RXS129837:RXS129926 SHO129837:SHO129926 SRK129837:SRK129926 TBG129837:TBG129926 TLC129837:TLC129926 TUY129837:TUY129926 UEU129837:UEU129926 UOQ129837:UOQ129926 UYM129837:UYM129926 VII129837:VII129926 VSE129837:VSE129926 WCA129837:WCA129926 WLW129837:WLW129926 WVS129837:WVS129926 K195382:K195471 JG195373:JG195462 TC195373:TC195462 ACY195373:ACY195462 AMU195373:AMU195462 AWQ195373:AWQ195462 BGM195373:BGM195462 BQI195373:BQI195462 CAE195373:CAE195462 CKA195373:CKA195462 CTW195373:CTW195462 DDS195373:DDS195462 DNO195373:DNO195462 DXK195373:DXK195462 EHG195373:EHG195462 ERC195373:ERC195462 FAY195373:FAY195462 FKU195373:FKU195462 FUQ195373:FUQ195462 GEM195373:GEM195462 GOI195373:GOI195462 GYE195373:GYE195462 HIA195373:HIA195462 HRW195373:HRW195462 IBS195373:IBS195462 ILO195373:ILO195462 IVK195373:IVK195462 JFG195373:JFG195462 JPC195373:JPC195462 JYY195373:JYY195462 KIU195373:KIU195462 KSQ195373:KSQ195462 LCM195373:LCM195462 LMI195373:LMI195462 LWE195373:LWE195462 MGA195373:MGA195462 MPW195373:MPW195462 MZS195373:MZS195462 NJO195373:NJO195462 NTK195373:NTK195462 ODG195373:ODG195462 ONC195373:ONC195462 OWY195373:OWY195462 PGU195373:PGU195462 PQQ195373:PQQ195462 QAM195373:QAM195462 QKI195373:QKI195462 QUE195373:QUE195462 REA195373:REA195462 RNW195373:RNW195462 RXS195373:RXS195462 SHO195373:SHO195462 SRK195373:SRK195462 TBG195373:TBG195462 TLC195373:TLC195462 TUY195373:TUY195462 UEU195373:UEU195462 UOQ195373:UOQ195462 UYM195373:UYM195462 VII195373:VII195462 VSE195373:VSE195462 WCA195373:WCA195462 WLW195373:WLW195462 WVS195373:WVS195462 K260918:K261007 JG260909:JG260998 TC260909:TC260998 ACY260909:ACY260998 AMU260909:AMU260998 AWQ260909:AWQ260998 BGM260909:BGM260998 BQI260909:BQI260998 CAE260909:CAE260998 CKA260909:CKA260998 CTW260909:CTW260998 DDS260909:DDS260998 DNO260909:DNO260998 DXK260909:DXK260998 EHG260909:EHG260998 ERC260909:ERC260998 FAY260909:FAY260998 FKU260909:FKU260998 FUQ260909:FUQ260998 GEM260909:GEM260998 GOI260909:GOI260998 GYE260909:GYE260998 HIA260909:HIA260998 HRW260909:HRW260998 IBS260909:IBS260998 ILO260909:ILO260998 IVK260909:IVK260998 JFG260909:JFG260998 JPC260909:JPC260998 JYY260909:JYY260998 KIU260909:KIU260998 KSQ260909:KSQ260998 LCM260909:LCM260998 LMI260909:LMI260998 LWE260909:LWE260998 MGA260909:MGA260998 MPW260909:MPW260998 MZS260909:MZS260998 NJO260909:NJO260998 NTK260909:NTK260998 ODG260909:ODG260998 ONC260909:ONC260998 OWY260909:OWY260998 PGU260909:PGU260998 PQQ260909:PQQ260998 QAM260909:QAM260998 QKI260909:QKI260998 QUE260909:QUE260998 REA260909:REA260998 RNW260909:RNW260998 RXS260909:RXS260998 SHO260909:SHO260998 SRK260909:SRK260998 TBG260909:TBG260998 TLC260909:TLC260998 TUY260909:TUY260998 UEU260909:UEU260998 UOQ260909:UOQ260998 UYM260909:UYM260998 VII260909:VII260998 VSE260909:VSE260998 WCA260909:WCA260998 WLW260909:WLW260998 WVS260909:WVS260998 K326454:K326543 JG326445:JG326534 TC326445:TC326534 ACY326445:ACY326534 AMU326445:AMU326534 AWQ326445:AWQ326534 BGM326445:BGM326534 BQI326445:BQI326534 CAE326445:CAE326534 CKA326445:CKA326534 CTW326445:CTW326534 DDS326445:DDS326534 DNO326445:DNO326534 DXK326445:DXK326534 EHG326445:EHG326534 ERC326445:ERC326534 FAY326445:FAY326534 FKU326445:FKU326534 FUQ326445:FUQ326534 GEM326445:GEM326534 GOI326445:GOI326534 GYE326445:GYE326534 HIA326445:HIA326534 HRW326445:HRW326534 IBS326445:IBS326534 ILO326445:ILO326534 IVK326445:IVK326534 JFG326445:JFG326534 JPC326445:JPC326534 JYY326445:JYY326534 KIU326445:KIU326534 KSQ326445:KSQ326534 LCM326445:LCM326534 LMI326445:LMI326534 LWE326445:LWE326534 MGA326445:MGA326534 MPW326445:MPW326534 MZS326445:MZS326534 NJO326445:NJO326534 NTK326445:NTK326534 ODG326445:ODG326534 ONC326445:ONC326534 OWY326445:OWY326534 PGU326445:PGU326534 PQQ326445:PQQ326534 QAM326445:QAM326534 QKI326445:QKI326534 QUE326445:QUE326534 REA326445:REA326534 RNW326445:RNW326534 RXS326445:RXS326534 SHO326445:SHO326534 SRK326445:SRK326534 TBG326445:TBG326534 TLC326445:TLC326534 TUY326445:TUY326534 UEU326445:UEU326534 UOQ326445:UOQ326534 UYM326445:UYM326534 VII326445:VII326534 VSE326445:VSE326534 WCA326445:WCA326534 WLW326445:WLW326534 WVS326445:WVS326534 K391990:K392079 JG391981:JG392070 TC391981:TC392070 ACY391981:ACY392070 AMU391981:AMU392070 AWQ391981:AWQ392070 BGM391981:BGM392070 BQI391981:BQI392070 CAE391981:CAE392070 CKA391981:CKA392070 CTW391981:CTW392070 DDS391981:DDS392070 DNO391981:DNO392070 DXK391981:DXK392070 EHG391981:EHG392070 ERC391981:ERC392070 FAY391981:FAY392070 FKU391981:FKU392070 FUQ391981:FUQ392070 GEM391981:GEM392070 GOI391981:GOI392070 GYE391981:GYE392070 HIA391981:HIA392070 HRW391981:HRW392070 IBS391981:IBS392070 ILO391981:ILO392070 IVK391981:IVK392070 JFG391981:JFG392070 JPC391981:JPC392070 JYY391981:JYY392070 KIU391981:KIU392070 KSQ391981:KSQ392070 LCM391981:LCM392070 LMI391981:LMI392070 LWE391981:LWE392070 MGA391981:MGA392070 MPW391981:MPW392070 MZS391981:MZS392070 NJO391981:NJO392070 NTK391981:NTK392070 ODG391981:ODG392070 ONC391981:ONC392070 OWY391981:OWY392070 PGU391981:PGU392070 PQQ391981:PQQ392070 QAM391981:QAM392070 QKI391981:QKI392070 QUE391981:QUE392070 REA391981:REA392070 RNW391981:RNW392070 RXS391981:RXS392070 SHO391981:SHO392070 SRK391981:SRK392070 TBG391981:TBG392070 TLC391981:TLC392070 TUY391981:TUY392070 UEU391981:UEU392070 UOQ391981:UOQ392070 UYM391981:UYM392070 VII391981:VII392070 VSE391981:VSE392070 WCA391981:WCA392070 WLW391981:WLW392070 WVS391981:WVS392070 K457526:K457615 JG457517:JG457606 TC457517:TC457606 ACY457517:ACY457606 AMU457517:AMU457606 AWQ457517:AWQ457606 BGM457517:BGM457606 BQI457517:BQI457606 CAE457517:CAE457606 CKA457517:CKA457606 CTW457517:CTW457606 DDS457517:DDS457606 DNO457517:DNO457606 DXK457517:DXK457606 EHG457517:EHG457606 ERC457517:ERC457606 FAY457517:FAY457606 FKU457517:FKU457606 FUQ457517:FUQ457606 GEM457517:GEM457606 GOI457517:GOI457606 GYE457517:GYE457606 HIA457517:HIA457606 HRW457517:HRW457606 IBS457517:IBS457606 ILO457517:ILO457606 IVK457517:IVK457606 JFG457517:JFG457606 JPC457517:JPC457606 JYY457517:JYY457606 KIU457517:KIU457606 KSQ457517:KSQ457606 LCM457517:LCM457606 LMI457517:LMI457606 LWE457517:LWE457606 MGA457517:MGA457606 MPW457517:MPW457606 MZS457517:MZS457606 NJO457517:NJO457606 NTK457517:NTK457606 ODG457517:ODG457606 ONC457517:ONC457606 OWY457517:OWY457606 PGU457517:PGU457606 PQQ457517:PQQ457606 QAM457517:QAM457606 QKI457517:QKI457606 QUE457517:QUE457606 REA457517:REA457606 RNW457517:RNW457606 RXS457517:RXS457606 SHO457517:SHO457606 SRK457517:SRK457606 TBG457517:TBG457606 TLC457517:TLC457606 TUY457517:TUY457606 UEU457517:UEU457606 UOQ457517:UOQ457606 UYM457517:UYM457606 VII457517:VII457606 VSE457517:VSE457606 WCA457517:WCA457606 WLW457517:WLW457606 WVS457517:WVS457606 K523062:K523151 JG523053:JG523142 TC523053:TC523142 ACY523053:ACY523142 AMU523053:AMU523142 AWQ523053:AWQ523142 BGM523053:BGM523142 BQI523053:BQI523142 CAE523053:CAE523142 CKA523053:CKA523142 CTW523053:CTW523142 DDS523053:DDS523142 DNO523053:DNO523142 DXK523053:DXK523142 EHG523053:EHG523142 ERC523053:ERC523142 FAY523053:FAY523142 FKU523053:FKU523142 FUQ523053:FUQ523142 GEM523053:GEM523142 GOI523053:GOI523142 GYE523053:GYE523142 HIA523053:HIA523142 HRW523053:HRW523142 IBS523053:IBS523142 ILO523053:ILO523142 IVK523053:IVK523142 JFG523053:JFG523142 JPC523053:JPC523142 JYY523053:JYY523142 KIU523053:KIU523142 KSQ523053:KSQ523142 LCM523053:LCM523142 LMI523053:LMI523142 LWE523053:LWE523142 MGA523053:MGA523142 MPW523053:MPW523142 MZS523053:MZS523142 NJO523053:NJO523142 NTK523053:NTK523142 ODG523053:ODG523142 ONC523053:ONC523142 OWY523053:OWY523142 PGU523053:PGU523142 PQQ523053:PQQ523142 QAM523053:QAM523142 QKI523053:QKI523142 QUE523053:QUE523142 REA523053:REA523142 RNW523053:RNW523142 RXS523053:RXS523142 SHO523053:SHO523142 SRK523053:SRK523142 TBG523053:TBG523142 TLC523053:TLC523142 TUY523053:TUY523142 UEU523053:UEU523142 UOQ523053:UOQ523142 UYM523053:UYM523142 VII523053:VII523142 VSE523053:VSE523142 WCA523053:WCA523142 WLW523053:WLW523142 WVS523053:WVS523142 K588598:K588687 JG588589:JG588678 TC588589:TC588678 ACY588589:ACY588678 AMU588589:AMU588678 AWQ588589:AWQ588678 BGM588589:BGM588678 BQI588589:BQI588678 CAE588589:CAE588678 CKA588589:CKA588678 CTW588589:CTW588678 DDS588589:DDS588678 DNO588589:DNO588678 DXK588589:DXK588678 EHG588589:EHG588678 ERC588589:ERC588678 FAY588589:FAY588678 FKU588589:FKU588678 FUQ588589:FUQ588678 GEM588589:GEM588678 GOI588589:GOI588678 GYE588589:GYE588678 HIA588589:HIA588678 HRW588589:HRW588678 IBS588589:IBS588678 ILO588589:ILO588678 IVK588589:IVK588678 JFG588589:JFG588678 JPC588589:JPC588678 JYY588589:JYY588678 KIU588589:KIU588678 KSQ588589:KSQ588678 LCM588589:LCM588678 LMI588589:LMI588678 LWE588589:LWE588678 MGA588589:MGA588678 MPW588589:MPW588678 MZS588589:MZS588678 NJO588589:NJO588678 NTK588589:NTK588678 ODG588589:ODG588678 ONC588589:ONC588678 OWY588589:OWY588678 PGU588589:PGU588678 PQQ588589:PQQ588678 QAM588589:QAM588678 QKI588589:QKI588678 QUE588589:QUE588678 REA588589:REA588678 RNW588589:RNW588678 RXS588589:RXS588678 SHO588589:SHO588678 SRK588589:SRK588678 TBG588589:TBG588678 TLC588589:TLC588678 TUY588589:TUY588678 UEU588589:UEU588678 UOQ588589:UOQ588678 UYM588589:UYM588678 VII588589:VII588678 VSE588589:VSE588678 WCA588589:WCA588678 WLW588589:WLW588678 WVS588589:WVS588678 K654134:K654223 JG654125:JG654214 TC654125:TC654214 ACY654125:ACY654214 AMU654125:AMU654214 AWQ654125:AWQ654214 BGM654125:BGM654214 BQI654125:BQI654214 CAE654125:CAE654214 CKA654125:CKA654214 CTW654125:CTW654214 DDS654125:DDS654214 DNO654125:DNO654214 DXK654125:DXK654214 EHG654125:EHG654214 ERC654125:ERC654214 FAY654125:FAY654214 FKU654125:FKU654214 FUQ654125:FUQ654214 GEM654125:GEM654214 GOI654125:GOI654214 GYE654125:GYE654214 HIA654125:HIA654214 HRW654125:HRW654214 IBS654125:IBS654214 ILO654125:ILO654214 IVK654125:IVK654214 JFG654125:JFG654214 JPC654125:JPC654214 JYY654125:JYY654214 KIU654125:KIU654214 KSQ654125:KSQ654214 LCM654125:LCM654214 LMI654125:LMI654214 LWE654125:LWE654214 MGA654125:MGA654214 MPW654125:MPW654214 MZS654125:MZS654214 NJO654125:NJO654214 NTK654125:NTK654214 ODG654125:ODG654214 ONC654125:ONC654214 OWY654125:OWY654214 PGU654125:PGU654214 PQQ654125:PQQ654214 QAM654125:QAM654214 QKI654125:QKI654214 QUE654125:QUE654214 REA654125:REA654214 RNW654125:RNW654214 RXS654125:RXS654214 SHO654125:SHO654214 SRK654125:SRK654214 TBG654125:TBG654214 TLC654125:TLC654214 TUY654125:TUY654214 UEU654125:UEU654214 UOQ654125:UOQ654214 UYM654125:UYM654214 VII654125:VII654214 VSE654125:VSE654214 WCA654125:WCA654214 WLW654125:WLW654214 WVS654125:WVS654214 K719670:K719759 JG719661:JG719750 TC719661:TC719750 ACY719661:ACY719750 AMU719661:AMU719750 AWQ719661:AWQ719750 BGM719661:BGM719750 BQI719661:BQI719750 CAE719661:CAE719750 CKA719661:CKA719750 CTW719661:CTW719750 DDS719661:DDS719750 DNO719661:DNO719750 DXK719661:DXK719750 EHG719661:EHG719750 ERC719661:ERC719750 FAY719661:FAY719750 FKU719661:FKU719750 FUQ719661:FUQ719750 GEM719661:GEM719750 GOI719661:GOI719750 GYE719661:GYE719750 HIA719661:HIA719750 HRW719661:HRW719750 IBS719661:IBS719750 ILO719661:ILO719750 IVK719661:IVK719750 JFG719661:JFG719750 JPC719661:JPC719750 JYY719661:JYY719750 KIU719661:KIU719750 KSQ719661:KSQ719750 LCM719661:LCM719750 LMI719661:LMI719750 LWE719661:LWE719750 MGA719661:MGA719750 MPW719661:MPW719750 MZS719661:MZS719750 NJO719661:NJO719750 NTK719661:NTK719750 ODG719661:ODG719750 ONC719661:ONC719750 OWY719661:OWY719750 PGU719661:PGU719750 PQQ719661:PQQ719750 QAM719661:QAM719750 QKI719661:QKI719750 QUE719661:QUE719750 REA719661:REA719750 RNW719661:RNW719750 RXS719661:RXS719750 SHO719661:SHO719750 SRK719661:SRK719750 TBG719661:TBG719750 TLC719661:TLC719750 TUY719661:TUY719750 UEU719661:UEU719750 UOQ719661:UOQ719750 UYM719661:UYM719750 VII719661:VII719750 VSE719661:VSE719750 WCA719661:WCA719750 WLW719661:WLW719750 WVS719661:WVS719750 K785206:K785295 JG785197:JG785286 TC785197:TC785286 ACY785197:ACY785286 AMU785197:AMU785286 AWQ785197:AWQ785286 BGM785197:BGM785286 BQI785197:BQI785286 CAE785197:CAE785286 CKA785197:CKA785286 CTW785197:CTW785286 DDS785197:DDS785286 DNO785197:DNO785286 DXK785197:DXK785286 EHG785197:EHG785286 ERC785197:ERC785286 FAY785197:FAY785286 FKU785197:FKU785286 FUQ785197:FUQ785286 GEM785197:GEM785286 GOI785197:GOI785286 GYE785197:GYE785286 HIA785197:HIA785286 HRW785197:HRW785286 IBS785197:IBS785286 ILO785197:ILO785286 IVK785197:IVK785286 JFG785197:JFG785286 JPC785197:JPC785286 JYY785197:JYY785286 KIU785197:KIU785286 KSQ785197:KSQ785286 LCM785197:LCM785286 LMI785197:LMI785286 LWE785197:LWE785286 MGA785197:MGA785286 MPW785197:MPW785286 MZS785197:MZS785286 NJO785197:NJO785286 NTK785197:NTK785286 ODG785197:ODG785286 ONC785197:ONC785286 OWY785197:OWY785286 PGU785197:PGU785286 PQQ785197:PQQ785286 QAM785197:QAM785286 QKI785197:QKI785286 QUE785197:QUE785286 REA785197:REA785286 RNW785197:RNW785286 RXS785197:RXS785286 SHO785197:SHO785286 SRK785197:SRK785286 TBG785197:TBG785286 TLC785197:TLC785286 TUY785197:TUY785286 UEU785197:UEU785286 UOQ785197:UOQ785286 UYM785197:UYM785286 VII785197:VII785286 VSE785197:VSE785286 WCA785197:WCA785286 WLW785197:WLW785286 WVS785197:WVS785286 K850742:K850831 JG850733:JG850822 TC850733:TC850822 ACY850733:ACY850822 AMU850733:AMU850822 AWQ850733:AWQ850822 BGM850733:BGM850822 BQI850733:BQI850822 CAE850733:CAE850822 CKA850733:CKA850822 CTW850733:CTW850822 DDS850733:DDS850822 DNO850733:DNO850822 DXK850733:DXK850822 EHG850733:EHG850822 ERC850733:ERC850822 FAY850733:FAY850822 FKU850733:FKU850822 FUQ850733:FUQ850822 GEM850733:GEM850822 GOI850733:GOI850822 GYE850733:GYE850822 HIA850733:HIA850822 HRW850733:HRW850822 IBS850733:IBS850822 ILO850733:ILO850822 IVK850733:IVK850822 JFG850733:JFG850822 JPC850733:JPC850822 JYY850733:JYY850822 KIU850733:KIU850822 KSQ850733:KSQ850822 LCM850733:LCM850822 LMI850733:LMI850822 LWE850733:LWE850822 MGA850733:MGA850822 MPW850733:MPW850822 MZS850733:MZS850822 NJO850733:NJO850822 NTK850733:NTK850822 ODG850733:ODG850822 ONC850733:ONC850822 OWY850733:OWY850822 PGU850733:PGU850822 PQQ850733:PQQ850822 QAM850733:QAM850822 QKI850733:QKI850822 QUE850733:QUE850822 REA850733:REA850822 RNW850733:RNW850822 RXS850733:RXS850822 SHO850733:SHO850822 SRK850733:SRK850822 TBG850733:TBG850822 TLC850733:TLC850822 TUY850733:TUY850822 UEU850733:UEU850822 UOQ850733:UOQ850822 UYM850733:UYM850822 VII850733:VII850822 VSE850733:VSE850822 WCA850733:WCA850822 WLW850733:WLW850822 WVS850733:WVS850822 K916278:K916367 JG916269:JG916358 TC916269:TC916358 ACY916269:ACY916358 AMU916269:AMU916358 AWQ916269:AWQ916358 BGM916269:BGM916358 BQI916269:BQI916358 CAE916269:CAE916358 CKA916269:CKA916358 CTW916269:CTW916358 DDS916269:DDS916358 DNO916269:DNO916358 DXK916269:DXK916358 EHG916269:EHG916358 ERC916269:ERC916358 FAY916269:FAY916358 FKU916269:FKU916358 FUQ916269:FUQ916358 GEM916269:GEM916358 GOI916269:GOI916358 GYE916269:GYE916358 HIA916269:HIA916358 HRW916269:HRW916358 IBS916269:IBS916358 ILO916269:ILO916358 IVK916269:IVK916358 JFG916269:JFG916358 JPC916269:JPC916358 JYY916269:JYY916358 KIU916269:KIU916358 KSQ916269:KSQ916358 LCM916269:LCM916358 LMI916269:LMI916358 LWE916269:LWE916358 MGA916269:MGA916358 MPW916269:MPW916358 MZS916269:MZS916358 NJO916269:NJO916358 NTK916269:NTK916358 ODG916269:ODG916358 ONC916269:ONC916358 OWY916269:OWY916358 PGU916269:PGU916358 PQQ916269:PQQ916358 QAM916269:QAM916358 QKI916269:QKI916358 QUE916269:QUE916358 REA916269:REA916358 RNW916269:RNW916358 RXS916269:RXS916358 SHO916269:SHO916358 SRK916269:SRK916358 TBG916269:TBG916358 TLC916269:TLC916358 TUY916269:TUY916358 UEU916269:UEU916358 UOQ916269:UOQ916358 UYM916269:UYM916358 VII916269:VII916358 VSE916269:VSE916358 WCA916269:WCA916358 WLW916269:WLW916358 WVS916269:WVS916358 K981814:K981903 JG981805:JG981894 TC981805:TC981894 ACY981805:ACY981894 AMU981805:AMU981894 AWQ981805:AWQ981894 BGM981805:BGM981894 BQI981805:BQI981894 CAE981805:CAE981894 CKA981805:CKA981894 CTW981805:CTW981894 DDS981805:DDS981894 DNO981805:DNO981894 DXK981805:DXK981894 EHG981805:EHG981894 ERC981805:ERC981894 FAY981805:FAY981894 FKU981805:FKU981894 FUQ981805:FUQ981894 GEM981805:GEM981894 GOI981805:GOI981894 GYE981805:GYE981894 HIA981805:HIA981894 HRW981805:HRW981894 IBS981805:IBS981894 ILO981805:ILO981894 IVK981805:IVK981894 JFG981805:JFG981894 JPC981805:JPC981894 JYY981805:JYY981894 KIU981805:KIU981894 KSQ981805:KSQ981894 LCM981805:LCM981894 LMI981805:LMI981894 LWE981805:LWE981894 MGA981805:MGA981894 MPW981805:MPW981894 MZS981805:MZS981894 NJO981805:NJO981894 NTK981805:NTK981894 ODG981805:ODG981894 ONC981805:ONC981894 OWY981805:OWY981894 PGU981805:PGU981894 PQQ981805:PQQ981894 QAM981805:QAM981894 QKI981805:QKI981894 QUE981805:QUE981894 REA981805:REA981894 RNW981805:RNW981894 RXS981805:RXS981894 SHO981805:SHO981894 SRK981805:SRK981894 TBG981805:TBG981894 TLC981805:TLC981894 TUY981805:TUY981894 UEU981805:UEU981894 UOQ981805:UOQ981894 UYM981805:UYM981894 VII981805:VII981894 VSE981805:VSE981894 WCA981805:WCA981894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CC79C287-1CE7-448B-9134-C1AD98FC1E6E}">
      <formula1>$AR$2:$AR$27</formula1>
    </dataValidation>
    <dataValidation type="list" allowBlank="1" showInputMessage="1" showErrorMessage="1" sqref="WVR981805:WVR981894 WLV981805:WLV981894 J64310:J64399 JF64301:JF64390 TB64301:TB64390 ACX64301:ACX64390 AMT64301:AMT64390 AWP64301:AWP64390 BGL64301:BGL64390 BQH64301:BQH64390 CAD64301:CAD64390 CJZ64301:CJZ64390 CTV64301:CTV64390 DDR64301:DDR64390 DNN64301:DNN64390 DXJ64301:DXJ64390 EHF64301:EHF64390 ERB64301:ERB64390 FAX64301:FAX64390 FKT64301:FKT64390 FUP64301:FUP64390 GEL64301:GEL64390 GOH64301:GOH64390 GYD64301:GYD64390 HHZ64301:HHZ64390 HRV64301:HRV64390 IBR64301:IBR64390 ILN64301:ILN64390 IVJ64301:IVJ64390 JFF64301:JFF64390 JPB64301:JPB64390 JYX64301:JYX64390 KIT64301:KIT64390 KSP64301:KSP64390 LCL64301:LCL64390 LMH64301:LMH64390 LWD64301:LWD64390 MFZ64301:MFZ64390 MPV64301:MPV64390 MZR64301:MZR64390 NJN64301:NJN64390 NTJ64301:NTJ64390 ODF64301:ODF64390 ONB64301:ONB64390 OWX64301:OWX64390 PGT64301:PGT64390 PQP64301:PQP64390 QAL64301:QAL64390 QKH64301:QKH64390 QUD64301:QUD64390 RDZ64301:RDZ64390 RNV64301:RNV64390 RXR64301:RXR64390 SHN64301:SHN64390 SRJ64301:SRJ64390 TBF64301:TBF64390 TLB64301:TLB64390 TUX64301:TUX64390 UET64301:UET64390 UOP64301:UOP64390 UYL64301:UYL64390 VIH64301:VIH64390 VSD64301:VSD64390 WBZ64301:WBZ64390 WLV64301:WLV64390 WVR64301:WVR64390 J129846:J129935 JF129837:JF129926 TB129837:TB129926 ACX129837:ACX129926 AMT129837:AMT129926 AWP129837:AWP129926 BGL129837:BGL129926 BQH129837:BQH129926 CAD129837:CAD129926 CJZ129837:CJZ129926 CTV129837:CTV129926 DDR129837:DDR129926 DNN129837:DNN129926 DXJ129837:DXJ129926 EHF129837:EHF129926 ERB129837:ERB129926 FAX129837:FAX129926 FKT129837:FKT129926 FUP129837:FUP129926 GEL129837:GEL129926 GOH129837:GOH129926 GYD129837:GYD129926 HHZ129837:HHZ129926 HRV129837:HRV129926 IBR129837:IBR129926 ILN129837:ILN129926 IVJ129837:IVJ129926 JFF129837:JFF129926 JPB129837:JPB129926 JYX129837:JYX129926 KIT129837:KIT129926 KSP129837:KSP129926 LCL129837:LCL129926 LMH129837:LMH129926 LWD129837:LWD129926 MFZ129837:MFZ129926 MPV129837:MPV129926 MZR129837:MZR129926 NJN129837:NJN129926 NTJ129837:NTJ129926 ODF129837:ODF129926 ONB129837:ONB129926 OWX129837:OWX129926 PGT129837:PGT129926 PQP129837:PQP129926 QAL129837:QAL129926 QKH129837:QKH129926 QUD129837:QUD129926 RDZ129837:RDZ129926 RNV129837:RNV129926 RXR129837:RXR129926 SHN129837:SHN129926 SRJ129837:SRJ129926 TBF129837:TBF129926 TLB129837:TLB129926 TUX129837:TUX129926 UET129837:UET129926 UOP129837:UOP129926 UYL129837:UYL129926 VIH129837:VIH129926 VSD129837:VSD129926 WBZ129837:WBZ129926 WLV129837:WLV129926 WVR129837:WVR129926 J195382:J195471 JF195373:JF195462 TB195373:TB195462 ACX195373:ACX195462 AMT195373:AMT195462 AWP195373:AWP195462 BGL195373:BGL195462 BQH195373:BQH195462 CAD195373:CAD195462 CJZ195373:CJZ195462 CTV195373:CTV195462 DDR195373:DDR195462 DNN195373:DNN195462 DXJ195373:DXJ195462 EHF195373:EHF195462 ERB195373:ERB195462 FAX195373:FAX195462 FKT195373:FKT195462 FUP195373:FUP195462 GEL195373:GEL195462 GOH195373:GOH195462 GYD195373:GYD195462 HHZ195373:HHZ195462 HRV195373:HRV195462 IBR195373:IBR195462 ILN195373:ILN195462 IVJ195373:IVJ195462 JFF195373:JFF195462 JPB195373:JPB195462 JYX195373:JYX195462 KIT195373:KIT195462 KSP195373:KSP195462 LCL195373:LCL195462 LMH195373:LMH195462 LWD195373:LWD195462 MFZ195373:MFZ195462 MPV195373:MPV195462 MZR195373:MZR195462 NJN195373:NJN195462 NTJ195373:NTJ195462 ODF195373:ODF195462 ONB195373:ONB195462 OWX195373:OWX195462 PGT195373:PGT195462 PQP195373:PQP195462 QAL195373:QAL195462 QKH195373:QKH195462 QUD195373:QUD195462 RDZ195373:RDZ195462 RNV195373:RNV195462 RXR195373:RXR195462 SHN195373:SHN195462 SRJ195373:SRJ195462 TBF195373:TBF195462 TLB195373:TLB195462 TUX195373:TUX195462 UET195373:UET195462 UOP195373:UOP195462 UYL195373:UYL195462 VIH195373:VIH195462 VSD195373:VSD195462 WBZ195373:WBZ195462 WLV195373:WLV195462 WVR195373:WVR195462 J260918:J261007 JF260909:JF260998 TB260909:TB260998 ACX260909:ACX260998 AMT260909:AMT260998 AWP260909:AWP260998 BGL260909:BGL260998 BQH260909:BQH260998 CAD260909:CAD260998 CJZ260909:CJZ260998 CTV260909:CTV260998 DDR260909:DDR260998 DNN260909:DNN260998 DXJ260909:DXJ260998 EHF260909:EHF260998 ERB260909:ERB260998 FAX260909:FAX260998 FKT260909:FKT260998 FUP260909:FUP260998 GEL260909:GEL260998 GOH260909:GOH260998 GYD260909:GYD260998 HHZ260909:HHZ260998 HRV260909:HRV260998 IBR260909:IBR260998 ILN260909:ILN260998 IVJ260909:IVJ260998 JFF260909:JFF260998 JPB260909:JPB260998 JYX260909:JYX260998 KIT260909:KIT260998 KSP260909:KSP260998 LCL260909:LCL260998 LMH260909:LMH260998 LWD260909:LWD260998 MFZ260909:MFZ260998 MPV260909:MPV260998 MZR260909:MZR260998 NJN260909:NJN260998 NTJ260909:NTJ260998 ODF260909:ODF260998 ONB260909:ONB260998 OWX260909:OWX260998 PGT260909:PGT260998 PQP260909:PQP260998 QAL260909:QAL260998 QKH260909:QKH260998 QUD260909:QUD260998 RDZ260909:RDZ260998 RNV260909:RNV260998 RXR260909:RXR260998 SHN260909:SHN260998 SRJ260909:SRJ260998 TBF260909:TBF260998 TLB260909:TLB260998 TUX260909:TUX260998 UET260909:UET260998 UOP260909:UOP260998 UYL260909:UYL260998 VIH260909:VIH260998 VSD260909:VSD260998 WBZ260909:WBZ260998 WLV260909:WLV260998 WVR260909:WVR260998 J326454:J326543 JF326445:JF326534 TB326445:TB326534 ACX326445:ACX326534 AMT326445:AMT326534 AWP326445:AWP326534 BGL326445:BGL326534 BQH326445:BQH326534 CAD326445:CAD326534 CJZ326445:CJZ326534 CTV326445:CTV326534 DDR326445:DDR326534 DNN326445:DNN326534 DXJ326445:DXJ326534 EHF326445:EHF326534 ERB326445:ERB326534 FAX326445:FAX326534 FKT326445:FKT326534 FUP326445:FUP326534 GEL326445:GEL326534 GOH326445:GOH326534 GYD326445:GYD326534 HHZ326445:HHZ326534 HRV326445:HRV326534 IBR326445:IBR326534 ILN326445:ILN326534 IVJ326445:IVJ326534 JFF326445:JFF326534 JPB326445:JPB326534 JYX326445:JYX326534 KIT326445:KIT326534 KSP326445:KSP326534 LCL326445:LCL326534 LMH326445:LMH326534 LWD326445:LWD326534 MFZ326445:MFZ326534 MPV326445:MPV326534 MZR326445:MZR326534 NJN326445:NJN326534 NTJ326445:NTJ326534 ODF326445:ODF326534 ONB326445:ONB326534 OWX326445:OWX326534 PGT326445:PGT326534 PQP326445:PQP326534 QAL326445:QAL326534 QKH326445:QKH326534 QUD326445:QUD326534 RDZ326445:RDZ326534 RNV326445:RNV326534 RXR326445:RXR326534 SHN326445:SHN326534 SRJ326445:SRJ326534 TBF326445:TBF326534 TLB326445:TLB326534 TUX326445:TUX326534 UET326445:UET326534 UOP326445:UOP326534 UYL326445:UYL326534 VIH326445:VIH326534 VSD326445:VSD326534 WBZ326445:WBZ326534 WLV326445:WLV326534 WVR326445:WVR326534 J391990:J392079 JF391981:JF392070 TB391981:TB392070 ACX391981:ACX392070 AMT391981:AMT392070 AWP391981:AWP392070 BGL391981:BGL392070 BQH391981:BQH392070 CAD391981:CAD392070 CJZ391981:CJZ392070 CTV391981:CTV392070 DDR391981:DDR392070 DNN391981:DNN392070 DXJ391981:DXJ392070 EHF391981:EHF392070 ERB391981:ERB392070 FAX391981:FAX392070 FKT391981:FKT392070 FUP391981:FUP392070 GEL391981:GEL392070 GOH391981:GOH392070 GYD391981:GYD392070 HHZ391981:HHZ392070 HRV391981:HRV392070 IBR391981:IBR392070 ILN391981:ILN392070 IVJ391981:IVJ392070 JFF391981:JFF392070 JPB391981:JPB392070 JYX391981:JYX392070 KIT391981:KIT392070 KSP391981:KSP392070 LCL391981:LCL392070 LMH391981:LMH392070 LWD391981:LWD392070 MFZ391981:MFZ392070 MPV391981:MPV392070 MZR391981:MZR392070 NJN391981:NJN392070 NTJ391981:NTJ392070 ODF391981:ODF392070 ONB391981:ONB392070 OWX391981:OWX392070 PGT391981:PGT392070 PQP391981:PQP392070 QAL391981:QAL392070 QKH391981:QKH392070 QUD391981:QUD392070 RDZ391981:RDZ392070 RNV391981:RNV392070 RXR391981:RXR392070 SHN391981:SHN392070 SRJ391981:SRJ392070 TBF391981:TBF392070 TLB391981:TLB392070 TUX391981:TUX392070 UET391981:UET392070 UOP391981:UOP392070 UYL391981:UYL392070 VIH391981:VIH392070 VSD391981:VSD392070 WBZ391981:WBZ392070 WLV391981:WLV392070 WVR391981:WVR392070 J457526:J457615 JF457517:JF457606 TB457517:TB457606 ACX457517:ACX457606 AMT457517:AMT457606 AWP457517:AWP457606 BGL457517:BGL457606 BQH457517:BQH457606 CAD457517:CAD457606 CJZ457517:CJZ457606 CTV457517:CTV457606 DDR457517:DDR457606 DNN457517:DNN457606 DXJ457517:DXJ457606 EHF457517:EHF457606 ERB457517:ERB457606 FAX457517:FAX457606 FKT457517:FKT457606 FUP457517:FUP457606 GEL457517:GEL457606 GOH457517:GOH457606 GYD457517:GYD457606 HHZ457517:HHZ457606 HRV457517:HRV457606 IBR457517:IBR457606 ILN457517:ILN457606 IVJ457517:IVJ457606 JFF457517:JFF457606 JPB457517:JPB457606 JYX457517:JYX457606 KIT457517:KIT457606 KSP457517:KSP457606 LCL457517:LCL457606 LMH457517:LMH457606 LWD457517:LWD457606 MFZ457517:MFZ457606 MPV457517:MPV457606 MZR457517:MZR457606 NJN457517:NJN457606 NTJ457517:NTJ457606 ODF457517:ODF457606 ONB457517:ONB457606 OWX457517:OWX457606 PGT457517:PGT457606 PQP457517:PQP457606 QAL457517:QAL457606 QKH457517:QKH457606 QUD457517:QUD457606 RDZ457517:RDZ457606 RNV457517:RNV457606 RXR457517:RXR457606 SHN457517:SHN457606 SRJ457517:SRJ457606 TBF457517:TBF457606 TLB457517:TLB457606 TUX457517:TUX457606 UET457517:UET457606 UOP457517:UOP457606 UYL457517:UYL457606 VIH457517:VIH457606 VSD457517:VSD457606 WBZ457517:WBZ457606 WLV457517:WLV457606 WVR457517:WVR457606 J523062:J523151 JF523053:JF523142 TB523053:TB523142 ACX523053:ACX523142 AMT523053:AMT523142 AWP523053:AWP523142 BGL523053:BGL523142 BQH523053:BQH523142 CAD523053:CAD523142 CJZ523053:CJZ523142 CTV523053:CTV523142 DDR523053:DDR523142 DNN523053:DNN523142 DXJ523053:DXJ523142 EHF523053:EHF523142 ERB523053:ERB523142 FAX523053:FAX523142 FKT523053:FKT523142 FUP523053:FUP523142 GEL523053:GEL523142 GOH523053:GOH523142 GYD523053:GYD523142 HHZ523053:HHZ523142 HRV523053:HRV523142 IBR523053:IBR523142 ILN523053:ILN523142 IVJ523053:IVJ523142 JFF523053:JFF523142 JPB523053:JPB523142 JYX523053:JYX523142 KIT523053:KIT523142 KSP523053:KSP523142 LCL523053:LCL523142 LMH523053:LMH523142 LWD523053:LWD523142 MFZ523053:MFZ523142 MPV523053:MPV523142 MZR523053:MZR523142 NJN523053:NJN523142 NTJ523053:NTJ523142 ODF523053:ODF523142 ONB523053:ONB523142 OWX523053:OWX523142 PGT523053:PGT523142 PQP523053:PQP523142 QAL523053:QAL523142 QKH523053:QKH523142 QUD523053:QUD523142 RDZ523053:RDZ523142 RNV523053:RNV523142 RXR523053:RXR523142 SHN523053:SHN523142 SRJ523053:SRJ523142 TBF523053:TBF523142 TLB523053:TLB523142 TUX523053:TUX523142 UET523053:UET523142 UOP523053:UOP523142 UYL523053:UYL523142 VIH523053:VIH523142 VSD523053:VSD523142 WBZ523053:WBZ523142 WLV523053:WLV523142 WVR523053:WVR523142 J588598:J588687 JF588589:JF588678 TB588589:TB588678 ACX588589:ACX588678 AMT588589:AMT588678 AWP588589:AWP588678 BGL588589:BGL588678 BQH588589:BQH588678 CAD588589:CAD588678 CJZ588589:CJZ588678 CTV588589:CTV588678 DDR588589:DDR588678 DNN588589:DNN588678 DXJ588589:DXJ588678 EHF588589:EHF588678 ERB588589:ERB588678 FAX588589:FAX588678 FKT588589:FKT588678 FUP588589:FUP588678 GEL588589:GEL588678 GOH588589:GOH588678 GYD588589:GYD588678 HHZ588589:HHZ588678 HRV588589:HRV588678 IBR588589:IBR588678 ILN588589:ILN588678 IVJ588589:IVJ588678 JFF588589:JFF588678 JPB588589:JPB588678 JYX588589:JYX588678 KIT588589:KIT588678 KSP588589:KSP588678 LCL588589:LCL588678 LMH588589:LMH588678 LWD588589:LWD588678 MFZ588589:MFZ588678 MPV588589:MPV588678 MZR588589:MZR588678 NJN588589:NJN588678 NTJ588589:NTJ588678 ODF588589:ODF588678 ONB588589:ONB588678 OWX588589:OWX588678 PGT588589:PGT588678 PQP588589:PQP588678 QAL588589:QAL588678 QKH588589:QKH588678 QUD588589:QUD588678 RDZ588589:RDZ588678 RNV588589:RNV588678 RXR588589:RXR588678 SHN588589:SHN588678 SRJ588589:SRJ588678 TBF588589:TBF588678 TLB588589:TLB588678 TUX588589:TUX588678 UET588589:UET588678 UOP588589:UOP588678 UYL588589:UYL588678 VIH588589:VIH588678 VSD588589:VSD588678 WBZ588589:WBZ588678 WLV588589:WLV588678 WVR588589:WVR588678 J654134:J654223 JF654125:JF654214 TB654125:TB654214 ACX654125:ACX654214 AMT654125:AMT654214 AWP654125:AWP654214 BGL654125:BGL654214 BQH654125:BQH654214 CAD654125:CAD654214 CJZ654125:CJZ654214 CTV654125:CTV654214 DDR654125:DDR654214 DNN654125:DNN654214 DXJ654125:DXJ654214 EHF654125:EHF654214 ERB654125:ERB654214 FAX654125:FAX654214 FKT654125:FKT654214 FUP654125:FUP654214 GEL654125:GEL654214 GOH654125:GOH654214 GYD654125:GYD654214 HHZ654125:HHZ654214 HRV654125:HRV654214 IBR654125:IBR654214 ILN654125:ILN654214 IVJ654125:IVJ654214 JFF654125:JFF654214 JPB654125:JPB654214 JYX654125:JYX654214 KIT654125:KIT654214 KSP654125:KSP654214 LCL654125:LCL654214 LMH654125:LMH654214 LWD654125:LWD654214 MFZ654125:MFZ654214 MPV654125:MPV654214 MZR654125:MZR654214 NJN654125:NJN654214 NTJ654125:NTJ654214 ODF654125:ODF654214 ONB654125:ONB654214 OWX654125:OWX654214 PGT654125:PGT654214 PQP654125:PQP654214 QAL654125:QAL654214 QKH654125:QKH654214 QUD654125:QUD654214 RDZ654125:RDZ654214 RNV654125:RNV654214 RXR654125:RXR654214 SHN654125:SHN654214 SRJ654125:SRJ654214 TBF654125:TBF654214 TLB654125:TLB654214 TUX654125:TUX654214 UET654125:UET654214 UOP654125:UOP654214 UYL654125:UYL654214 VIH654125:VIH654214 VSD654125:VSD654214 WBZ654125:WBZ654214 WLV654125:WLV654214 WVR654125:WVR654214 J719670:J719759 JF719661:JF719750 TB719661:TB719750 ACX719661:ACX719750 AMT719661:AMT719750 AWP719661:AWP719750 BGL719661:BGL719750 BQH719661:BQH719750 CAD719661:CAD719750 CJZ719661:CJZ719750 CTV719661:CTV719750 DDR719661:DDR719750 DNN719661:DNN719750 DXJ719661:DXJ719750 EHF719661:EHF719750 ERB719661:ERB719750 FAX719661:FAX719750 FKT719661:FKT719750 FUP719661:FUP719750 GEL719661:GEL719750 GOH719661:GOH719750 GYD719661:GYD719750 HHZ719661:HHZ719750 HRV719661:HRV719750 IBR719661:IBR719750 ILN719661:ILN719750 IVJ719661:IVJ719750 JFF719661:JFF719750 JPB719661:JPB719750 JYX719661:JYX719750 KIT719661:KIT719750 KSP719661:KSP719750 LCL719661:LCL719750 LMH719661:LMH719750 LWD719661:LWD719750 MFZ719661:MFZ719750 MPV719661:MPV719750 MZR719661:MZR719750 NJN719661:NJN719750 NTJ719661:NTJ719750 ODF719661:ODF719750 ONB719661:ONB719750 OWX719661:OWX719750 PGT719661:PGT719750 PQP719661:PQP719750 QAL719661:QAL719750 QKH719661:QKH719750 QUD719661:QUD719750 RDZ719661:RDZ719750 RNV719661:RNV719750 RXR719661:RXR719750 SHN719661:SHN719750 SRJ719661:SRJ719750 TBF719661:TBF719750 TLB719661:TLB719750 TUX719661:TUX719750 UET719661:UET719750 UOP719661:UOP719750 UYL719661:UYL719750 VIH719661:VIH719750 VSD719661:VSD719750 WBZ719661:WBZ719750 WLV719661:WLV719750 WVR719661:WVR719750 J785206:J785295 JF785197:JF785286 TB785197:TB785286 ACX785197:ACX785286 AMT785197:AMT785286 AWP785197:AWP785286 BGL785197:BGL785286 BQH785197:BQH785286 CAD785197:CAD785286 CJZ785197:CJZ785286 CTV785197:CTV785286 DDR785197:DDR785286 DNN785197:DNN785286 DXJ785197:DXJ785286 EHF785197:EHF785286 ERB785197:ERB785286 FAX785197:FAX785286 FKT785197:FKT785286 FUP785197:FUP785286 GEL785197:GEL785286 GOH785197:GOH785286 GYD785197:GYD785286 HHZ785197:HHZ785286 HRV785197:HRV785286 IBR785197:IBR785286 ILN785197:ILN785286 IVJ785197:IVJ785286 JFF785197:JFF785286 JPB785197:JPB785286 JYX785197:JYX785286 KIT785197:KIT785286 KSP785197:KSP785286 LCL785197:LCL785286 LMH785197:LMH785286 LWD785197:LWD785286 MFZ785197:MFZ785286 MPV785197:MPV785286 MZR785197:MZR785286 NJN785197:NJN785286 NTJ785197:NTJ785286 ODF785197:ODF785286 ONB785197:ONB785286 OWX785197:OWX785286 PGT785197:PGT785286 PQP785197:PQP785286 QAL785197:QAL785286 QKH785197:QKH785286 QUD785197:QUD785286 RDZ785197:RDZ785286 RNV785197:RNV785286 RXR785197:RXR785286 SHN785197:SHN785286 SRJ785197:SRJ785286 TBF785197:TBF785286 TLB785197:TLB785286 TUX785197:TUX785286 UET785197:UET785286 UOP785197:UOP785286 UYL785197:UYL785286 VIH785197:VIH785286 VSD785197:VSD785286 WBZ785197:WBZ785286 WLV785197:WLV785286 WVR785197:WVR785286 J850742:J850831 JF850733:JF850822 TB850733:TB850822 ACX850733:ACX850822 AMT850733:AMT850822 AWP850733:AWP850822 BGL850733:BGL850822 BQH850733:BQH850822 CAD850733:CAD850822 CJZ850733:CJZ850822 CTV850733:CTV850822 DDR850733:DDR850822 DNN850733:DNN850822 DXJ850733:DXJ850822 EHF850733:EHF850822 ERB850733:ERB850822 FAX850733:FAX850822 FKT850733:FKT850822 FUP850733:FUP850822 GEL850733:GEL850822 GOH850733:GOH850822 GYD850733:GYD850822 HHZ850733:HHZ850822 HRV850733:HRV850822 IBR850733:IBR850822 ILN850733:ILN850822 IVJ850733:IVJ850822 JFF850733:JFF850822 JPB850733:JPB850822 JYX850733:JYX850822 KIT850733:KIT850822 KSP850733:KSP850822 LCL850733:LCL850822 LMH850733:LMH850822 LWD850733:LWD850822 MFZ850733:MFZ850822 MPV850733:MPV850822 MZR850733:MZR850822 NJN850733:NJN850822 NTJ850733:NTJ850822 ODF850733:ODF850822 ONB850733:ONB850822 OWX850733:OWX850822 PGT850733:PGT850822 PQP850733:PQP850822 QAL850733:QAL850822 QKH850733:QKH850822 QUD850733:QUD850822 RDZ850733:RDZ850822 RNV850733:RNV850822 RXR850733:RXR850822 SHN850733:SHN850822 SRJ850733:SRJ850822 TBF850733:TBF850822 TLB850733:TLB850822 TUX850733:TUX850822 UET850733:UET850822 UOP850733:UOP850822 UYL850733:UYL850822 VIH850733:VIH850822 VSD850733:VSD850822 WBZ850733:WBZ850822 WLV850733:WLV850822 WVR850733:WVR850822 J916278:J916367 JF916269:JF916358 TB916269:TB916358 ACX916269:ACX916358 AMT916269:AMT916358 AWP916269:AWP916358 BGL916269:BGL916358 BQH916269:BQH916358 CAD916269:CAD916358 CJZ916269:CJZ916358 CTV916269:CTV916358 DDR916269:DDR916358 DNN916269:DNN916358 DXJ916269:DXJ916358 EHF916269:EHF916358 ERB916269:ERB916358 FAX916269:FAX916358 FKT916269:FKT916358 FUP916269:FUP916358 GEL916269:GEL916358 GOH916269:GOH916358 GYD916269:GYD916358 HHZ916269:HHZ916358 HRV916269:HRV916358 IBR916269:IBR916358 ILN916269:ILN916358 IVJ916269:IVJ916358 JFF916269:JFF916358 JPB916269:JPB916358 JYX916269:JYX916358 KIT916269:KIT916358 KSP916269:KSP916358 LCL916269:LCL916358 LMH916269:LMH916358 LWD916269:LWD916358 MFZ916269:MFZ916358 MPV916269:MPV916358 MZR916269:MZR916358 NJN916269:NJN916358 NTJ916269:NTJ916358 ODF916269:ODF916358 ONB916269:ONB916358 OWX916269:OWX916358 PGT916269:PGT916358 PQP916269:PQP916358 QAL916269:QAL916358 QKH916269:QKH916358 QUD916269:QUD916358 RDZ916269:RDZ916358 RNV916269:RNV916358 RXR916269:RXR916358 SHN916269:SHN916358 SRJ916269:SRJ916358 TBF916269:TBF916358 TLB916269:TLB916358 TUX916269:TUX916358 UET916269:UET916358 UOP916269:UOP916358 UYL916269:UYL916358 VIH916269:VIH916358 VSD916269:VSD916358 WBZ916269:WBZ916358 WLV916269:WLV916358 WVR916269:WVR916358 J981814:J981903 JF981805:JF981894 TB981805:TB981894 ACX981805:ACX981894 AMT981805:AMT981894 AWP981805:AWP981894 BGL981805:BGL981894 BQH981805:BQH981894 CAD981805:CAD981894 CJZ981805:CJZ981894 CTV981805:CTV981894 DDR981805:DDR981894 DNN981805:DNN981894 DXJ981805:DXJ981894 EHF981805:EHF981894 ERB981805:ERB981894 FAX981805:FAX981894 FKT981805:FKT981894 FUP981805:FUP981894 GEL981805:GEL981894 GOH981805:GOH981894 GYD981805:GYD981894 HHZ981805:HHZ981894 HRV981805:HRV981894 IBR981805:IBR981894 ILN981805:ILN981894 IVJ981805:IVJ981894 JFF981805:JFF981894 JPB981805:JPB981894 JYX981805:JYX981894 KIT981805:KIT981894 KSP981805:KSP981894 LCL981805:LCL981894 LMH981805:LMH981894 LWD981805:LWD981894 MFZ981805:MFZ981894 MPV981805:MPV981894 MZR981805:MZR981894 NJN981805:NJN981894 NTJ981805:NTJ981894 ODF981805:ODF981894 ONB981805:ONB981894 OWX981805:OWX981894 PGT981805:PGT981894 PQP981805:PQP981894 QAL981805:QAL981894 QKH981805:QKH981894 QUD981805:QUD981894 RDZ981805:RDZ981894 RNV981805:RNV981894 RXR981805:RXR981894 SHN981805:SHN981894 SRJ981805:SRJ981894 TBF981805:TBF981894 TLB981805:TLB981894 TUX981805:TUX981894 UET981805:UET981894 UOP981805:UOP981894 UYL981805:UYL981894 VIH981805:VIH981894 VSD981805:VSD981894 WBZ981805:WBZ981894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xr:uid="{776EDB24-850F-4F3B-9F63-AB2EA7748EEA}">
      <formula1>$AP$2:$AP$18</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6:F981905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80:F916369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4:F850833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8:F785297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2:F719761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6:F654225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600:F588689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4:F523153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8:F457617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2:F392081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6:F326545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20:F261009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4:F195473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8:F129937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2:F64401 WVN2:WVN73 WLR2:WLR73 WBV2:WBV73 VRZ2:VRZ73 VID2:VID73 UYH2:UYH73 UOL2:UOL73 UEP2:UEP73 TUT2:TUT73 TKX2:TKX73 TBB2:TBB73 SRF2:SRF73 SHJ2:SHJ73 RXN2:RXN73 RNR2:RNR73 RDV2:RDV73 QTZ2:QTZ73 QKD2:QKD73 QAH2:QAH73 PQL2:PQL73 PGP2:PGP73 OWT2:OWT73 OMX2:OMX73 ODB2:ODB73 NTF2:NTF73 NJJ2:NJJ73 MZN2:MZN73 MPR2:MPR73 MFV2:MFV73 LVZ2:LVZ73 LMD2:LMD73 LCH2:LCH73 KSL2:KSL73 KIP2:KIP73 JYT2:JYT73 JOX2:JOX73 JFB2:JFB73 IVF2:IVF73 ILJ2:ILJ73 IBN2:IBN73 HRR2:HRR73 HHV2:HHV73 GXZ2:GXZ73 GOD2:GOD73 GEH2:GEH73 FUL2:FUL73 FKP2:FKP73 FAT2:FAT73 EQX2:EQX73 EHB2:EHB73 DXF2:DXF73 DNJ2:DNJ73 DDN2:DDN73 CTR2:CTR73 CJV2:CJV73 BZZ2:BZZ73 BQD2:BQD73 BGH2:BGH73 AWL2:AWL73 AMP2:AMP73 ACT2:ACT73 SX2:SX73 JB2:JB73" xr:uid="{B08A5EBC-4AB4-4C59-8682-FC68AA2CFCBF}">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6:E981905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80:E916369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4:E850833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8:E785297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2:E719761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6:E654225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600:E588689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4:E523153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8:E457617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2:E392081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6:E326545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20:E261009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4:E195473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8:E129937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2:E64401 WVM2:WVM73 WLQ2:WLQ73 WBU2:WBU73 VRY2:VRY73 VIC2:VIC73 UYG2:UYG73 UOK2:UOK73 UEO2:UEO73 TUS2:TUS73 TKW2:TKW73 TBA2:TBA73 SRE2:SRE73 SHI2:SHI73 RXM2:RXM73 RNQ2:RNQ73 RDU2:RDU73 QTY2:QTY73 QKC2:QKC73 QAG2:QAG73 PQK2:PQK73 PGO2:PGO73 OWS2:OWS73 OMW2:OMW73 ODA2:ODA73 NTE2:NTE73 NJI2:NJI73 MZM2:MZM73 MPQ2:MPQ73 MFU2:MFU73 LVY2:LVY73 LMC2:LMC73 LCG2:LCG73 KSK2:KSK73 KIO2:KIO73 JYS2:JYS73 JOW2:JOW73 JFA2:JFA73 IVE2:IVE73 ILI2:ILI73 IBM2:IBM73 HRQ2:HRQ73 HHU2:HHU73 GXY2:GXY73 GOC2:GOC73 GEG2:GEG73 FUK2:FUK73 FKO2:FKO73 FAS2:FAS73 EQW2:EQW73 EHA2:EHA73 DXE2:DXE73 DNI2:DNI73 DDM2:DDM73 CTQ2:CTQ73 CJU2:CJU73 BZY2:BZY73 BQC2:BQC73 BGG2:BGG73 AWK2:AWK73 AMO2:AMO73 ACS2:ACS73 SW2:SW73 JA2:JA73" xr:uid="{7D5C40C3-E9BD-48C1-86AB-26B682F4F362}">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X96:X500 JT2:JT73 WWF2:WWF73 WMJ2:WMJ73 WCN2:WCN73 VSR2:VSR73 VIV2:VIV73 UYZ2:UYZ73 UPD2:UPD73 UFH2:UFH73 TVL2:TVL73 TLP2:TLP73 TBT2:TBT73 SRX2:SRX73 SIB2:SIB73 RYF2:RYF73 ROJ2:ROJ73 REN2:REN73 QUR2:QUR73 QKV2:QKV73 QAZ2:QAZ73 PRD2:PRD73 PHH2:PHH73 OXL2:OXL73 ONP2:ONP73 ODT2:ODT73 NTX2:NTX73 NKB2:NKB73 NAF2:NAF73 MQJ2:MQJ73 MGN2:MGN73 LWR2:LWR73 LMV2:LMV73 LCZ2:LCZ73 KTD2:KTD73 KJH2:KJH73 JZL2:JZL73 JPP2:JPP73 JFT2:JFT73 IVX2:IVX73 IMB2:IMB73 ICF2:ICF73 HSJ2:HSJ73 HIN2:HIN73 GYR2:GYR73 GOV2:GOV73 GEZ2:GEZ73 FVD2:FVD73 FLH2:FLH73 FBL2:FBL73 ERP2:ERP73 EHT2:EHT73 DXX2:DXX73 DOB2:DOB73 DEF2:DEF73 CUJ2:CUJ73 CKN2:CKN73 CAR2:CAR73 BQV2:BQV73 BGZ2:BGZ73 AXD2:AXD73 ANH2:ANH73 ADL2:ADL73 TP2:TP73 X2:X94" xr:uid="{2C8FC244-6F77-4F5A-8619-E47D60123435}">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B96:B112 IX2:IX73 WVJ2:WVJ73 WLN2:WLN73 WBR2:WBR73 VRV2:VRV73 VHZ2:VHZ73 UYD2:UYD73 UOH2:UOH73 UEL2:UEL73 TUP2:TUP73 TKT2:TKT73 TAX2:TAX73 SRB2:SRB73 SHF2:SHF73 RXJ2:RXJ73 RNN2:RNN73 RDR2:RDR73 QTV2:QTV73 QJZ2:QJZ73 QAD2:QAD73 PQH2:PQH73 PGL2:PGL73 OWP2:OWP73 OMT2:OMT73 OCX2:OCX73 NTB2:NTB73 NJF2:NJF73 MZJ2:MZJ73 MPN2:MPN73 MFR2:MFR73 LVV2:LVV73 LLZ2:LLZ73 LCD2:LCD73 KSH2:KSH73 KIL2:KIL73 JYP2:JYP73 JOT2:JOT73 JEX2:JEX73 IVB2:IVB73 ILF2:ILF73 IBJ2:IBJ73 HRN2:HRN73 HHR2:HHR73 GXV2:GXV73 GNZ2:GNZ73 GED2:GED73 FUH2:FUH73 FKL2:FKL73 FAP2:FAP73 EQT2:EQT73 EGX2:EGX73 DXB2:DXB73 DNF2:DNF73 DDJ2:DDJ73 CTN2:CTN73 CJR2:CJR73 BZV2:BZV73 BPZ2:BPZ73 BGD2:BGD73 AWH2:AWH73 AML2:AML73 ACP2:ACP73 ST2:ST73 B2:B94" xr:uid="{2A09E418-6818-4CA9-A86B-0E183FD5E7D9}"/>
    <dataValidation type="list" allowBlank="1" showInputMessage="1" showErrorMessage="1" sqref="WVI981805:WVI981894 WLM981805:WLM981894 A64307:A64396 IW64301:IW64390 SS64301:SS64390 ACO64301:ACO64390 AMK64301:AMK64390 AWG64301:AWG64390 BGC64301:BGC64390 BPY64301:BPY64390 BZU64301:BZU64390 CJQ64301:CJQ64390 CTM64301:CTM64390 DDI64301:DDI64390 DNE64301:DNE64390 DXA64301:DXA64390 EGW64301:EGW64390 EQS64301:EQS64390 FAO64301:FAO64390 FKK64301:FKK64390 FUG64301:FUG64390 GEC64301:GEC64390 GNY64301:GNY64390 GXU64301:GXU64390 HHQ64301:HHQ64390 HRM64301:HRM64390 IBI64301:IBI64390 ILE64301:ILE64390 IVA64301:IVA64390 JEW64301:JEW64390 JOS64301:JOS64390 JYO64301:JYO64390 KIK64301:KIK64390 KSG64301:KSG64390 LCC64301:LCC64390 LLY64301:LLY64390 LVU64301:LVU64390 MFQ64301:MFQ64390 MPM64301:MPM64390 MZI64301:MZI64390 NJE64301:NJE64390 NTA64301:NTA64390 OCW64301:OCW64390 OMS64301:OMS64390 OWO64301:OWO64390 PGK64301:PGK64390 PQG64301:PQG64390 QAC64301:QAC64390 QJY64301:QJY64390 QTU64301:QTU64390 RDQ64301:RDQ64390 RNM64301:RNM64390 RXI64301:RXI64390 SHE64301:SHE64390 SRA64301:SRA64390 TAW64301:TAW64390 TKS64301:TKS64390 TUO64301:TUO64390 UEK64301:UEK64390 UOG64301:UOG64390 UYC64301:UYC64390 VHY64301:VHY64390 VRU64301:VRU64390 WBQ64301:WBQ64390 WLM64301:WLM64390 WVI64301:WVI64390 A129843:A129932 IW129837:IW129926 SS129837:SS129926 ACO129837:ACO129926 AMK129837:AMK129926 AWG129837:AWG129926 BGC129837:BGC129926 BPY129837:BPY129926 BZU129837:BZU129926 CJQ129837:CJQ129926 CTM129837:CTM129926 DDI129837:DDI129926 DNE129837:DNE129926 DXA129837:DXA129926 EGW129837:EGW129926 EQS129837:EQS129926 FAO129837:FAO129926 FKK129837:FKK129926 FUG129837:FUG129926 GEC129837:GEC129926 GNY129837:GNY129926 GXU129837:GXU129926 HHQ129837:HHQ129926 HRM129837:HRM129926 IBI129837:IBI129926 ILE129837:ILE129926 IVA129837:IVA129926 JEW129837:JEW129926 JOS129837:JOS129926 JYO129837:JYO129926 KIK129837:KIK129926 KSG129837:KSG129926 LCC129837:LCC129926 LLY129837:LLY129926 LVU129837:LVU129926 MFQ129837:MFQ129926 MPM129837:MPM129926 MZI129837:MZI129926 NJE129837:NJE129926 NTA129837:NTA129926 OCW129837:OCW129926 OMS129837:OMS129926 OWO129837:OWO129926 PGK129837:PGK129926 PQG129837:PQG129926 QAC129837:QAC129926 QJY129837:QJY129926 QTU129837:QTU129926 RDQ129837:RDQ129926 RNM129837:RNM129926 RXI129837:RXI129926 SHE129837:SHE129926 SRA129837:SRA129926 TAW129837:TAW129926 TKS129837:TKS129926 TUO129837:TUO129926 UEK129837:UEK129926 UOG129837:UOG129926 UYC129837:UYC129926 VHY129837:VHY129926 VRU129837:VRU129926 WBQ129837:WBQ129926 WLM129837:WLM129926 WVI129837:WVI129926 A195379:A195468 IW195373:IW195462 SS195373:SS195462 ACO195373:ACO195462 AMK195373:AMK195462 AWG195373:AWG195462 BGC195373:BGC195462 BPY195373:BPY195462 BZU195373:BZU195462 CJQ195373:CJQ195462 CTM195373:CTM195462 DDI195373:DDI195462 DNE195373:DNE195462 DXA195373:DXA195462 EGW195373:EGW195462 EQS195373:EQS195462 FAO195373:FAO195462 FKK195373:FKK195462 FUG195373:FUG195462 GEC195373:GEC195462 GNY195373:GNY195462 GXU195373:GXU195462 HHQ195373:HHQ195462 HRM195373:HRM195462 IBI195373:IBI195462 ILE195373:ILE195462 IVA195373:IVA195462 JEW195373:JEW195462 JOS195373:JOS195462 JYO195373:JYO195462 KIK195373:KIK195462 KSG195373:KSG195462 LCC195373:LCC195462 LLY195373:LLY195462 LVU195373:LVU195462 MFQ195373:MFQ195462 MPM195373:MPM195462 MZI195373:MZI195462 NJE195373:NJE195462 NTA195373:NTA195462 OCW195373:OCW195462 OMS195373:OMS195462 OWO195373:OWO195462 PGK195373:PGK195462 PQG195373:PQG195462 QAC195373:QAC195462 QJY195373:QJY195462 QTU195373:QTU195462 RDQ195373:RDQ195462 RNM195373:RNM195462 RXI195373:RXI195462 SHE195373:SHE195462 SRA195373:SRA195462 TAW195373:TAW195462 TKS195373:TKS195462 TUO195373:TUO195462 UEK195373:UEK195462 UOG195373:UOG195462 UYC195373:UYC195462 VHY195373:VHY195462 VRU195373:VRU195462 WBQ195373:WBQ195462 WLM195373:WLM195462 WVI195373:WVI195462 A260915:A261004 IW260909:IW260998 SS260909:SS260998 ACO260909:ACO260998 AMK260909:AMK260998 AWG260909:AWG260998 BGC260909:BGC260998 BPY260909:BPY260998 BZU260909:BZU260998 CJQ260909:CJQ260998 CTM260909:CTM260998 DDI260909:DDI260998 DNE260909:DNE260998 DXA260909:DXA260998 EGW260909:EGW260998 EQS260909:EQS260998 FAO260909:FAO260998 FKK260909:FKK260998 FUG260909:FUG260998 GEC260909:GEC260998 GNY260909:GNY260998 GXU260909:GXU260998 HHQ260909:HHQ260998 HRM260909:HRM260998 IBI260909:IBI260998 ILE260909:ILE260998 IVA260909:IVA260998 JEW260909:JEW260998 JOS260909:JOS260998 JYO260909:JYO260998 KIK260909:KIK260998 KSG260909:KSG260998 LCC260909:LCC260998 LLY260909:LLY260998 LVU260909:LVU260998 MFQ260909:MFQ260998 MPM260909:MPM260998 MZI260909:MZI260998 NJE260909:NJE260998 NTA260909:NTA260998 OCW260909:OCW260998 OMS260909:OMS260998 OWO260909:OWO260998 PGK260909:PGK260998 PQG260909:PQG260998 QAC260909:QAC260998 QJY260909:QJY260998 QTU260909:QTU260998 RDQ260909:RDQ260998 RNM260909:RNM260998 RXI260909:RXI260998 SHE260909:SHE260998 SRA260909:SRA260998 TAW260909:TAW260998 TKS260909:TKS260998 TUO260909:TUO260998 UEK260909:UEK260998 UOG260909:UOG260998 UYC260909:UYC260998 VHY260909:VHY260998 VRU260909:VRU260998 WBQ260909:WBQ260998 WLM260909:WLM260998 WVI260909:WVI260998 A326451:A326540 IW326445:IW326534 SS326445:SS326534 ACO326445:ACO326534 AMK326445:AMK326534 AWG326445:AWG326534 BGC326445:BGC326534 BPY326445:BPY326534 BZU326445:BZU326534 CJQ326445:CJQ326534 CTM326445:CTM326534 DDI326445:DDI326534 DNE326445:DNE326534 DXA326445:DXA326534 EGW326445:EGW326534 EQS326445:EQS326534 FAO326445:FAO326534 FKK326445:FKK326534 FUG326445:FUG326534 GEC326445:GEC326534 GNY326445:GNY326534 GXU326445:GXU326534 HHQ326445:HHQ326534 HRM326445:HRM326534 IBI326445:IBI326534 ILE326445:ILE326534 IVA326445:IVA326534 JEW326445:JEW326534 JOS326445:JOS326534 JYO326445:JYO326534 KIK326445:KIK326534 KSG326445:KSG326534 LCC326445:LCC326534 LLY326445:LLY326534 LVU326445:LVU326534 MFQ326445:MFQ326534 MPM326445:MPM326534 MZI326445:MZI326534 NJE326445:NJE326534 NTA326445:NTA326534 OCW326445:OCW326534 OMS326445:OMS326534 OWO326445:OWO326534 PGK326445:PGK326534 PQG326445:PQG326534 QAC326445:QAC326534 QJY326445:QJY326534 QTU326445:QTU326534 RDQ326445:RDQ326534 RNM326445:RNM326534 RXI326445:RXI326534 SHE326445:SHE326534 SRA326445:SRA326534 TAW326445:TAW326534 TKS326445:TKS326534 TUO326445:TUO326534 UEK326445:UEK326534 UOG326445:UOG326534 UYC326445:UYC326534 VHY326445:VHY326534 VRU326445:VRU326534 WBQ326445:WBQ326534 WLM326445:WLM326534 WVI326445:WVI326534 A391987:A392076 IW391981:IW392070 SS391981:SS392070 ACO391981:ACO392070 AMK391981:AMK392070 AWG391981:AWG392070 BGC391981:BGC392070 BPY391981:BPY392070 BZU391981:BZU392070 CJQ391981:CJQ392070 CTM391981:CTM392070 DDI391981:DDI392070 DNE391981:DNE392070 DXA391981:DXA392070 EGW391981:EGW392070 EQS391981:EQS392070 FAO391981:FAO392070 FKK391981:FKK392070 FUG391981:FUG392070 GEC391981:GEC392070 GNY391981:GNY392070 GXU391981:GXU392070 HHQ391981:HHQ392070 HRM391981:HRM392070 IBI391981:IBI392070 ILE391981:ILE392070 IVA391981:IVA392070 JEW391981:JEW392070 JOS391981:JOS392070 JYO391981:JYO392070 KIK391981:KIK392070 KSG391981:KSG392070 LCC391981:LCC392070 LLY391981:LLY392070 LVU391981:LVU392070 MFQ391981:MFQ392070 MPM391981:MPM392070 MZI391981:MZI392070 NJE391981:NJE392070 NTA391981:NTA392070 OCW391981:OCW392070 OMS391981:OMS392070 OWO391981:OWO392070 PGK391981:PGK392070 PQG391981:PQG392070 QAC391981:QAC392070 QJY391981:QJY392070 QTU391981:QTU392070 RDQ391981:RDQ392070 RNM391981:RNM392070 RXI391981:RXI392070 SHE391981:SHE392070 SRA391981:SRA392070 TAW391981:TAW392070 TKS391981:TKS392070 TUO391981:TUO392070 UEK391981:UEK392070 UOG391981:UOG392070 UYC391981:UYC392070 VHY391981:VHY392070 VRU391981:VRU392070 WBQ391981:WBQ392070 WLM391981:WLM392070 WVI391981:WVI392070 A457523:A457612 IW457517:IW457606 SS457517:SS457606 ACO457517:ACO457606 AMK457517:AMK457606 AWG457517:AWG457606 BGC457517:BGC457606 BPY457517:BPY457606 BZU457517:BZU457606 CJQ457517:CJQ457606 CTM457517:CTM457606 DDI457517:DDI457606 DNE457517:DNE457606 DXA457517:DXA457606 EGW457517:EGW457606 EQS457517:EQS457606 FAO457517:FAO457606 FKK457517:FKK457606 FUG457517:FUG457606 GEC457517:GEC457606 GNY457517:GNY457606 GXU457517:GXU457606 HHQ457517:HHQ457606 HRM457517:HRM457606 IBI457517:IBI457606 ILE457517:ILE457606 IVA457517:IVA457606 JEW457517:JEW457606 JOS457517:JOS457606 JYO457517:JYO457606 KIK457517:KIK457606 KSG457517:KSG457606 LCC457517:LCC457606 LLY457517:LLY457606 LVU457517:LVU457606 MFQ457517:MFQ457606 MPM457517:MPM457606 MZI457517:MZI457606 NJE457517:NJE457606 NTA457517:NTA457606 OCW457517:OCW457606 OMS457517:OMS457606 OWO457517:OWO457606 PGK457517:PGK457606 PQG457517:PQG457606 QAC457517:QAC457606 QJY457517:QJY457606 QTU457517:QTU457606 RDQ457517:RDQ457606 RNM457517:RNM457606 RXI457517:RXI457606 SHE457517:SHE457606 SRA457517:SRA457606 TAW457517:TAW457606 TKS457517:TKS457606 TUO457517:TUO457606 UEK457517:UEK457606 UOG457517:UOG457606 UYC457517:UYC457606 VHY457517:VHY457606 VRU457517:VRU457606 WBQ457517:WBQ457606 WLM457517:WLM457606 WVI457517:WVI457606 A523059:A523148 IW523053:IW523142 SS523053:SS523142 ACO523053:ACO523142 AMK523053:AMK523142 AWG523053:AWG523142 BGC523053:BGC523142 BPY523053:BPY523142 BZU523053:BZU523142 CJQ523053:CJQ523142 CTM523053:CTM523142 DDI523053:DDI523142 DNE523053:DNE523142 DXA523053:DXA523142 EGW523053:EGW523142 EQS523053:EQS523142 FAO523053:FAO523142 FKK523053:FKK523142 FUG523053:FUG523142 GEC523053:GEC523142 GNY523053:GNY523142 GXU523053:GXU523142 HHQ523053:HHQ523142 HRM523053:HRM523142 IBI523053:IBI523142 ILE523053:ILE523142 IVA523053:IVA523142 JEW523053:JEW523142 JOS523053:JOS523142 JYO523053:JYO523142 KIK523053:KIK523142 KSG523053:KSG523142 LCC523053:LCC523142 LLY523053:LLY523142 LVU523053:LVU523142 MFQ523053:MFQ523142 MPM523053:MPM523142 MZI523053:MZI523142 NJE523053:NJE523142 NTA523053:NTA523142 OCW523053:OCW523142 OMS523053:OMS523142 OWO523053:OWO523142 PGK523053:PGK523142 PQG523053:PQG523142 QAC523053:QAC523142 QJY523053:QJY523142 QTU523053:QTU523142 RDQ523053:RDQ523142 RNM523053:RNM523142 RXI523053:RXI523142 SHE523053:SHE523142 SRA523053:SRA523142 TAW523053:TAW523142 TKS523053:TKS523142 TUO523053:TUO523142 UEK523053:UEK523142 UOG523053:UOG523142 UYC523053:UYC523142 VHY523053:VHY523142 VRU523053:VRU523142 WBQ523053:WBQ523142 WLM523053:WLM523142 WVI523053:WVI523142 A588595:A588684 IW588589:IW588678 SS588589:SS588678 ACO588589:ACO588678 AMK588589:AMK588678 AWG588589:AWG588678 BGC588589:BGC588678 BPY588589:BPY588678 BZU588589:BZU588678 CJQ588589:CJQ588678 CTM588589:CTM588678 DDI588589:DDI588678 DNE588589:DNE588678 DXA588589:DXA588678 EGW588589:EGW588678 EQS588589:EQS588678 FAO588589:FAO588678 FKK588589:FKK588678 FUG588589:FUG588678 GEC588589:GEC588678 GNY588589:GNY588678 GXU588589:GXU588678 HHQ588589:HHQ588678 HRM588589:HRM588678 IBI588589:IBI588678 ILE588589:ILE588678 IVA588589:IVA588678 JEW588589:JEW588678 JOS588589:JOS588678 JYO588589:JYO588678 KIK588589:KIK588678 KSG588589:KSG588678 LCC588589:LCC588678 LLY588589:LLY588678 LVU588589:LVU588678 MFQ588589:MFQ588678 MPM588589:MPM588678 MZI588589:MZI588678 NJE588589:NJE588678 NTA588589:NTA588678 OCW588589:OCW588678 OMS588589:OMS588678 OWO588589:OWO588678 PGK588589:PGK588678 PQG588589:PQG588678 QAC588589:QAC588678 QJY588589:QJY588678 QTU588589:QTU588678 RDQ588589:RDQ588678 RNM588589:RNM588678 RXI588589:RXI588678 SHE588589:SHE588678 SRA588589:SRA588678 TAW588589:TAW588678 TKS588589:TKS588678 TUO588589:TUO588678 UEK588589:UEK588678 UOG588589:UOG588678 UYC588589:UYC588678 VHY588589:VHY588678 VRU588589:VRU588678 WBQ588589:WBQ588678 WLM588589:WLM588678 WVI588589:WVI588678 A654131:A654220 IW654125:IW654214 SS654125:SS654214 ACO654125:ACO654214 AMK654125:AMK654214 AWG654125:AWG654214 BGC654125:BGC654214 BPY654125:BPY654214 BZU654125:BZU654214 CJQ654125:CJQ654214 CTM654125:CTM654214 DDI654125:DDI654214 DNE654125:DNE654214 DXA654125:DXA654214 EGW654125:EGW654214 EQS654125:EQS654214 FAO654125:FAO654214 FKK654125:FKK654214 FUG654125:FUG654214 GEC654125:GEC654214 GNY654125:GNY654214 GXU654125:GXU654214 HHQ654125:HHQ654214 HRM654125:HRM654214 IBI654125:IBI654214 ILE654125:ILE654214 IVA654125:IVA654214 JEW654125:JEW654214 JOS654125:JOS654214 JYO654125:JYO654214 KIK654125:KIK654214 KSG654125:KSG654214 LCC654125:LCC654214 LLY654125:LLY654214 LVU654125:LVU654214 MFQ654125:MFQ654214 MPM654125:MPM654214 MZI654125:MZI654214 NJE654125:NJE654214 NTA654125:NTA654214 OCW654125:OCW654214 OMS654125:OMS654214 OWO654125:OWO654214 PGK654125:PGK654214 PQG654125:PQG654214 QAC654125:QAC654214 QJY654125:QJY654214 QTU654125:QTU654214 RDQ654125:RDQ654214 RNM654125:RNM654214 RXI654125:RXI654214 SHE654125:SHE654214 SRA654125:SRA654214 TAW654125:TAW654214 TKS654125:TKS654214 TUO654125:TUO654214 UEK654125:UEK654214 UOG654125:UOG654214 UYC654125:UYC654214 VHY654125:VHY654214 VRU654125:VRU654214 WBQ654125:WBQ654214 WLM654125:WLM654214 WVI654125:WVI654214 A719667:A719756 IW719661:IW719750 SS719661:SS719750 ACO719661:ACO719750 AMK719661:AMK719750 AWG719661:AWG719750 BGC719661:BGC719750 BPY719661:BPY719750 BZU719661:BZU719750 CJQ719661:CJQ719750 CTM719661:CTM719750 DDI719661:DDI719750 DNE719661:DNE719750 DXA719661:DXA719750 EGW719661:EGW719750 EQS719661:EQS719750 FAO719661:FAO719750 FKK719661:FKK719750 FUG719661:FUG719750 GEC719661:GEC719750 GNY719661:GNY719750 GXU719661:GXU719750 HHQ719661:HHQ719750 HRM719661:HRM719750 IBI719661:IBI719750 ILE719661:ILE719750 IVA719661:IVA719750 JEW719661:JEW719750 JOS719661:JOS719750 JYO719661:JYO719750 KIK719661:KIK719750 KSG719661:KSG719750 LCC719661:LCC719750 LLY719661:LLY719750 LVU719661:LVU719750 MFQ719661:MFQ719750 MPM719661:MPM719750 MZI719661:MZI719750 NJE719661:NJE719750 NTA719661:NTA719750 OCW719661:OCW719750 OMS719661:OMS719750 OWO719661:OWO719750 PGK719661:PGK719750 PQG719661:PQG719750 QAC719661:QAC719750 QJY719661:QJY719750 QTU719661:QTU719750 RDQ719661:RDQ719750 RNM719661:RNM719750 RXI719661:RXI719750 SHE719661:SHE719750 SRA719661:SRA719750 TAW719661:TAW719750 TKS719661:TKS719750 TUO719661:TUO719750 UEK719661:UEK719750 UOG719661:UOG719750 UYC719661:UYC719750 VHY719661:VHY719750 VRU719661:VRU719750 WBQ719661:WBQ719750 WLM719661:WLM719750 WVI719661:WVI719750 A785203:A785292 IW785197:IW785286 SS785197:SS785286 ACO785197:ACO785286 AMK785197:AMK785286 AWG785197:AWG785286 BGC785197:BGC785286 BPY785197:BPY785286 BZU785197:BZU785286 CJQ785197:CJQ785286 CTM785197:CTM785286 DDI785197:DDI785286 DNE785197:DNE785286 DXA785197:DXA785286 EGW785197:EGW785286 EQS785197:EQS785286 FAO785197:FAO785286 FKK785197:FKK785286 FUG785197:FUG785286 GEC785197:GEC785286 GNY785197:GNY785286 GXU785197:GXU785286 HHQ785197:HHQ785286 HRM785197:HRM785286 IBI785197:IBI785286 ILE785197:ILE785286 IVA785197:IVA785286 JEW785197:JEW785286 JOS785197:JOS785286 JYO785197:JYO785286 KIK785197:KIK785286 KSG785197:KSG785286 LCC785197:LCC785286 LLY785197:LLY785286 LVU785197:LVU785286 MFQ785197:MFQ785286 MPM785197:MPM785286 MZI785197:MZI785286 NJE785197:NJE785286 NTA785197:NTA785286 OCW785197:OCW785286 OMS785197:OMS785286 OWO785197:OWO785286 PGK785197:PGK785286 PQG785197:PQG785286 QAC785197:QAC785286 QJY785197:QJY785286 QTU785197:QTU785286 RDQ785197:RDQ785286 RNM785197:RNM785286 RXI785197:RXI785286 SHE785197:SHE785286 SRA785197:SRA785286 TAW785197:TAW785286 TKS785197:TKS785286 TUO785197:TUO785286 UEK785197:UEK785286 UOG785197:UOG785286 UYC785197:UYC785286 VHY785197:VHY785286 VRU785197:VRU785286 WBQ785197:WBQ785286 WLM785197:WLM785286 WVI785197:WVI785286 A850739:A850828 IW850733:IW850822 SS850733:SS850822 ACO850733:ACO850822 AMK850733:AMK850822 AWG850733:AWG850822 BGC850733:BGC850822 BPY850733:BPY850822 BZU850733:BZU850822 CJQ850733:CJQ850822 CTM850733:CTM850822 DDI850733:DDI850822 DNE850733:DNE850822 DXA850733:DXA850822 EGW850733:EGW850822 EQS850733:EQS850822 FAO850733:FAO850822 FKK850733:FKK850822 FUG850733:FUG850822 GEC850733:GEC850822 GNY850733:GNY850822 GXU850733:GXU850822 HHQ850733:HHQ850822 HRM850733:HRM850822 IBI850733:IBI850822 ILE850733:ILE850822 IVA850733:IVA850822 JEW850733:JEW850822 JOS850733:JOS850822 JYO850733:JYO850822 KIK850733:KIK850822 KSG850733:KSG850822 LCC850733:LCC850822 LLY850733:LLY850822 LVU850733:LVU850822 MFQ850733:MFQ850822 MPM850733:MPM850822 MZI850733:MZI850822 NJE850733:NJE850822 NTA850733:NTA850822 OCW850733:OCW850822 OMS850733:OMS850822 OWO850733:OWO850822 PGK850733:PGK850822 PQG850733:PQG850822 QAC850733:QAC850822 QJY850733:QJY850822 QTU850733:QTU850822 RDQ850733:RDQ850822 RNM850733:RNM850822 RXI850733:RXI850822 SHE850733:SHE850822 SRA850733:SRA850822 TAW850733:TAW850822 TKS850733:TKS850822 TUO850733:TUO850822 UEK850733:UEK850822 UOG850733:UOG850822 UYC850733:UYC850822 VHY850733:VHY850822 VRU850733:VRU850822 WBQ850733:WBQ850822 WLM850733:WLM850822 WVI850733:WVI850822 A916275:A916364 IW916269:IW916358 SS916269:SS916358 ACO916269:ACO916358 AMK916269:AMK916358 AWG916269:AWG916358 BGC916269:BGC916358 BPY916269:BPY916358 BZU916269:BZU916358 CJQ916269:CJQ916358 CTM916269:CTM916358 DDI916269:DDI916358 DNE916269:DNE916358 DXA916269:DXA916358 EGW916269:EGW916358 EQS916269:EQS916358 FAO916269:FAO916358 FKK916269:FKK916358 FUG916269:FUG916358 GEC916269:GEC916358 GNY916269:GNY916358 GXU916269:GXU916358 HHQ916269:HHQ916358 HRM916269:HRM916358 IBI916269:IBI916358 ILE916269:ILE916358 IVA916269:IVA916358 JEW916269:JEW916358 JOS916269:JOS916358 JYO916269:JYO916358 KIK916269:KIK916358 KSG916269:KSG916358 LCC916269:LCC916358 LLY916269:LLY916358 LVU916269:LVU916358 MFQ916269:MFQ916358 MPM916269:MPM916358 MZI916269:MZI916358 NJE916269:NJE916358 NTA916269:NTA916358 OCW916269:OCW916358 OMS916269:OMS916358 OWO916269:OWO916358 PGK916269:PGK916358 PQG916269:PQG916358 QAC916269:QAC916358 QJY916269:QJY916358 QTU916269:QTU916358 RDQ916269:RDQ916358 RNM916269:RNM916358 RXI916269:RXI916358 SHE916269:SHE916358 SRA916269:SRA916358 TAW916269:TAW916358 TKS916269:TKS916358 TUO916269:TUO916358 UEK916269:UEK916358 UOG916269:UOG916358 UYC916269:UYC916358 VHY916269:VHY916358 VRU916269:VRU916358 WBQ916269:WBQ916358 WLM916269:WLM916358 WVI916269:WVI916358 A981811:A981900 IW981805:IW981894 SS981805:SS981894 ACO981805:ACO981894 AMK981805:AMK981894 AWG981805:AWG981894 BGC981805:BGC981894 BPY981805:BPY981894 BZU981805:BZU981894 CJQ981805:CJQ981894 CTM981805:CTM981894 DDI981805:DDI981894 DNE981805:DNE981894 DXA981805:DXA981894 EGW981805:EGW981894 EQS981805:EQS981894 FAO981805:FAO981894 FKK981805:FKK981894 FUG981805:FUG981894 GEC981805:GEC981894 GNY981805:GNY981894 GXU981805:GXU981894 HHQ981805:HHQ981894 HRM981805:HRM981894 IBI981805:IBI981894 ILE981805:ILE981894 IVA981805:IVA981894 JEW981805:JEW981894 JOS981805:JOS981894 JYO981805:JYO981894 KIK981805:KIK981894 KSG981805:KSG981894 LCC981805:LCC981894 LLY981805:LLY981894 LVU981805:LVU981894 MFQ981805:MFQ981894 MPM981805:MPM981894 MZI981805:MZI981894 NJE981805:NJE981894 NTA981805:NTA981894 OCW981805:OCW981894 OMS981805:OMS981894 OWO981805:OWO981894 PGK981805:PGK981894 PQG981805:PQG981894 QAC981805:QAC981894 QJY981805:QJY981894 QTU981805:QTU981894 RDQ981805:RDQ981894 RNM981805:RNM981894 RXI981805:RXI981894 SHE981805:SHE981894 SRA981805:SRA981894 TAW981805:TAW981894 TKS981805:TKS981894 TUO981805:TUO981894 UEK981805:UEK981894 UOG981805:UOG981894 UYC981805:UYC981894 VHY981805:VHY981894 VRU981805:VRU981894 WBQ981805:WBQ981894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2EA48AEC-0619-4EB2-A36A-508801D7E218}">
      <formula1>$AE$2:$AE$25</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G96:G500 JC2:JC73 WVO2:WVO73 WLS2:WLS73 WBW2:WBW73 VSA2:VSA73 VIE2:VIE73 UYI2:UYI73 UOM2:UOM73 UEQ2:UEQ73 TUU2:TUU73 TKY2:TKY73 TBC2:TBC73 SRG2:SRG73 SHK2:SHK73 RXO2:RXO73 RNS2:RNS73 RDW2:RDW73 QUA2:QUA73 QKE2:QKE73 QAI2:QAI73 PQM2:PQM73 PGQ2:PGQ73 OWU2:OWU73 OMY2:OMY73 ODC2:ODC73 NTG2:NTG73 NJK2:NJK73 MZO2:MZO73 MPS2:MPS73 MFW2:MFW73 LWA2:LWA73 LME2:LME73 LCI2:LCI73 KSM2:KSM73 KIQ2:KIQ73 JYU2:JYU73 JOY2:JOY73 JFC2:JFC73 IVG2:IVG73 ILK2:ILK73 IBO2:IBO73 HRS2:HRS73 HHW2:HHW73 GYA2:GYA73 GOE2:GOE73 GEI2:GEI73 FUM2:FUM73 FKQ2:FKQ73 FAU2:FAU73 EQY2:EQY73 EHC2:EHC73 DXG2:DXG73 DNK2:DNK73 DDO2:DDO73 CTS2:CTS73 CJW2:CJW73 CAA2:CAA73 BQE2:BQE73 BGI2:BGI73 AWM2:AWM73 AMQ2:AMQ73 ACU2:ACU73 SY2:SY73 G2:G94" xr:uid="{5A16720B-6920-40C3-ABD4-03137B7B1EBC}">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WVP2:WVP73 WLT2:WLT73 WBX2:WBX73 VSB2:VSB73 VIF2:VIF73 UYJ2:UYJ73 UON2:UON73 UER2:UER73 TUV2:TUV73 TKZ2:TKZ73 TBD2:TBD73 SRH2:SRH73 SHL2:SHL73 RXP2:RXP73 RNT2:RNT73 RDX2:RDX73 QUB2:QUB73 QKF2:QKF73 QAJ2:QAJ73 PQN2:PQN73 PGR2:PGR73 OWV2:OWV73 OMZ2:OMZ73 ODD2:ODD73 NTH2:NTH73 NJL2:NJL73 MZP2:MZP73 MPT2:MPT73 MFX2:MFX73 LWB2:LWB73 LMF2:LMF73 LCJ2:LCJ73 KSN2:KSN73 KIR2:KIR73 JYV2:JYV73 JOZ2:JOZ73 JFD2:JFD73 IVH2:IVH73 ILL2:ILL73 IBP2:IBP73 HRT2:HRT73 HHX2:HHX73 GYB2:GYB73 GOF2:GOF73 GEJ2:GEJ73 FUN2:FUN73 FKR2:FKR73 FAV2:FAV73 EQZ2:EQZ73 EHD2:EHD73 DXH2:DXH73 DNL2:DNL73 DDP2:DDP73 CTT2:CTT73 CJX2:CJX73 CAB2:CAB73 BQF2:BQF73 BGJ2:BGJ73 AWN2:AWN73 AMR2:AMR73 ACV2:ACV73 SZ2:SZ73 JD2:JD73" xr:uid="{100BCEBE-BA67-463E-A385-ED70978140B2}">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I96:I500 JE2:JE73 WVQ2:WVQ73 WLU2:WLU73 WBY2:WBY73 VSC2:VSC73 VIG2:VIG73 UYK2:UYK73 UOO2:UOO73 UES2:UES73 TUW2:TUW73 TLA2:TLA73 TBE2:TBE73 SRI2:SRI73 SHM2:SHM73 RXQ2:RXQ73 RNU2:RNU73 RDY2:RDY73 QUC2:QUC73 QKG2:QKG73 QAK2:QAK73 PQO2:PQO73 PGS2:PGS73 OWW2:OWW73 ONA2:ONA73 ODE2:ODE73 NTI2:NTI73 NJM2:NJM73 MZQ2:MZQ73 MPU2:MPU73 MFY2:MFY73 LWC2:LWC73 LMG2:LMG73 LCK2:LCK73 KSO2:KSO73 KIS2:KIS73 JYW2:JYW73 JPA2:JPA73 JFE2:JFE73 IVI2:IVI73 ILM2:ILM73 IBQ2:IBQ73 HRU2:HRU73 HHY2:HHY73 GYC2:GYC73 GOG2:GOG73 GEK2:GEK73 FUO2:FUO73 FKS2:FKS73 FAW2:FAW73 ERA2:ERA73 EHE2:EHE73 DXI2:DXI73 DNM2:DNM73 DDQ2:DDQ73 CTU2:CTU73 CJY2:CJY73 CAC2:CAC73 BQG2:BQG73 BGK2:BGK73 AWO2:AWO73 AMS2:AMS73 ACW2:ACW73 TA2:TA73 I2:I94" xr:uid="{8C7EEC61-F92D-44B4-82BB-D099659DE819}">
      <formula1>$AN$5:$AN$6</formula1>
    </dataValidation>
    <dataValidation type="list" allowBlank="1" showInputMessage="1" showErrorMessage="1" sqref="WWG981805:WWI981888 WCO981805:WCQ981888 VSS981805:VSU981888 VIW981805:VIY981888 UZA981805:UZC981888 UPE981805:UPG981888 UFI981805:UFK981888 TVM981805:TVO981888 TLQ981805:TLS981888 TBU981805:TBW981888 SRY981805:SSA981888 SIC981805:SIE981888 RYG981805:RYI981888 ROK981805:ROM981888 REO981805:REQ981888 QUS981805:QUU981888 QKW981805:QKY981888 QBA981805:QBC981888 PRE981805:PRG981888 PHI981805:PHK981888 OXM981805:OXO981888 ONQ981805:ONS981888 ODU981805:ODW981888 NTY981805:NUA981888 NKC981805:NKE981888 NAG981805:NAI981888 MQK981805:MQM981888 MGO981805:MGQ981888 LWS981805:LWU981888 LMW981805:LMY981888 LDA981805:LDC981888 KTE981805:KTG981888 KJI981805:KJK981888 JZM981805:JZO981888 JPQ981805:JPS981888 JFU981805:JFW981888 IVY981805:IWA981888 IMC981805:IME981888 ICG981805:ICI981888 HSK981805:HSM981888 HIO981805:HIQ981888 GYS981805:GYU981888 GOW981805:GOY981888 GFA981805:GFC981888 FVE981805:FVG981888 FLI981805:FLK981888 FBM981805:FBO981888 ERQ981805:ERS981888 EHU981805:EHW981888 DXY981805:DYA981888 DOC981805:DOE981888 DEG981805:DEI981888 CUK981805:CUM981888 CKO981805:CKQ981888 CAS981805:CAU981888 BQW981805:BQY981888 BHA981805:BHC981888 AXE981805:AXG981888 ANI981805:ANK981888 ADM981805:ADO981888 TQ981805:TS981888 JU981805:JW981888 Y981805:AA981888 WWG916269:WWI916352 WMK916269:WMM916352 WCO916269:WCQ916352 VSS916269:VSU916352 VIW916269:VIY916352 UZA916269:UZC916352 UPE916269:UPG916352 UFI916269:UFK916352 TVM916269:TVO916352 TLQ916269:TLS916352 TBU916269:TBW916352 SRY916269:SSA916352 SIC916269:SIE916352 RYG916269:RYI916352 ROK916269:ROM916352 REO916269:REQ916352 QUS916269:QUU916352 QKW916269:QKY916352 QBA916269:QBC916352 PRE916269:PRG916352 PHI916269:PHK916352 OXM916269:OXO916352 ONQ916269:ONS916352 ODU916269:ODW916352 NTY916269:NUA916352 NKC916269:NKE916352 NAG916269:NAI916352 MQK916269:MQM916352 MGO916269:MGQ916352 LWS916269:LWU916352 LMW916269:LMY916352 LDA916269:LDC916352 KTE916269:KTG916352 KJI916269:KJK916352 JZM916269:JZO916352 JPQ916269:JPS916352 JFU916269:JFW916352 IVY916269:IWA916352 IMC916269:IME916352 ICG916269:ICI916352 HSK916269:HSM916352 HIO916269:HIQ916352 GYS916269:GYU916352 GOW916269:GOY916352 GFA916269:GFC916352 FVE916269:FVG916352 FLI916269:FLK916352 FBM916269:FBO916352 ERQ916269:ERS916352 EHU916269:EHW916352 DXY916269:DYA916352 DOC916269:DOE916352 DEG916269:DEI916352 CUK916269:CUM916352 CKO916269:CKQ916352 CAS916269:CAU916352 BQW916269:BQY916352 BHA916269:BHC916352 AXE916269:AXG916352 ANI916269:ANK916352 ADM916269:ADO916352 TQ916269:TS916352 JU916269:JW916352 Y916269:AA916352 WWG850733:WWI850816 WMK850733:WMM850816 WCO850733:WCQ850816 VSS850733:VSU850816 VIW850733:VIY850816 UZA850733:UZC850816 UPE850733:UPG850816 UFI850733:UFK850816 TVM850733:TVO850816 TLQ850733:TLS850816 TBU850733:TBW850816 SRY850733:SSA850816 SIC850733:SIE850816 RYG850733:RYI850816 ROK850733:ROM850816 REO850733:REQ850816 QUS850733:QUU850816 QKW850733:QKY850816 QBA850733:QBC850816 PRE850733:PRG850816 PHI850733:PHK850816 OXM850733:OXO850816 ONQ850733:ONS850816 ODU850733:ODW850816 NTY850733:NUA850816 NKC850733:NKE850816 NAG850733:NAI850816 MQK850733:MQM850816 MGO850733:MGQ850816 LWS850733:LWU850816 LMW850733:LMY850816 LDA850733:LDC850816 KTE850733:KTG850816 KJI850733:KJK850816 JZM850733:JZO850816 JPQ850733:JPS850816 JFU850733:JFW850816 IVY850733:IWA850816 IMC850733:IME850816 ICG850733:ICI850816 HSK850733:HSM850816 HIO850733:HIQ850816 GYS850733:GYU850816 GOW850733:GOY850816 GFA850733:GFC850816 FVE850733:FVG850816 FLI850733:FLK850816 FBM850733:FBO850816 ERQ850733:ERS850816 EHU850733:EHW850816 DXY850733:DYA850816 DOC850733:DOE850816 DEG850733:DEI850816 CUK850733:CUM850816 CKO850733:CKQ850816 CAS850733:CAU850816 BQW850733:BQY850816 BHA850733:BHC850816 AXE850733:AXG850816 ANI850733:ANK850816 ADM850733:ADO850816 TQ850733:TS850816 JU850733:JW850816 Y850733:AA850816 WWG785197:WWI785280 WMK785197:WMM785280 WCO785197:WCQ785280 VSS785197:VSU785280 VIW785197:VIY785280 UZA785197:UZC785280 UPE785197:UPG785280 UFI785197:UFK785280 TVM785197:TVO785280 TLQ785197:TLS785280 TBU785197:TBW785280 SRY785197:SSA785280 SIC785197:SIE785280 RYG785197:RYI785280 ROK785197:ROM785280 REO785197:REQ785280 QUS785197:QUU785280 QKW785197:QKY785280 QBA785197:QBC785280 PRE785197:PRG785280 PHI785197:PHK785280 OXM785197:OXO785280 ONQ785197:ONS785280 ODU785197:ODW785280 NTY785197:NUA785280 NKC785197:NKE785280 NAG785197:NAI785280 MQK785197:MQM785280 MGO785197:MGQ785280 LWS785197:LWU785280 LMW785197:LMY785280 LDA785197:LDC785280 KTE785197:KTG785280 KJI785197:KJK785280 JZM785197:JZO785280 JPQ785197:JPS785280 JFU785197:JFW785280 IVY785197:IWA785280 IMC785197:IME785280 ICG785197:ICI785280 HSK785197:HSM785280 HIO785197:HIQ785280 GYS785197:GYU785280 GOW785197:GOY785280 GFA785197:GFC785280 FVE785197:FVG785280 FLI785197:FLK785280 FBM785197:FBO785280 ERQ785197:ERS785280 EHU785197:EHW785280 DXY785197:DYA785280 DOC785197:DOE785280 DEG785197:DEI785280 CUK785197:CUM785280 CKO785197:CKQ785280 CAS785197:CAU785280 BQW785197:BQY785280 BHA785197:BHC785280 AXE785197:AXG785280 ANI785197:ANK785280 ADM785197:ADO785280 TQ785197:TS785280 JU785197:JW785280 Y785197:AA785280 WWG719661:WWI719744 WMK719661:WMM719744 WCO719661:WCQ719744 VSS719661:VSU719744 VIW719661:VIY719744 UZA719661:UZC719744 UPE719661:UPG719744 UFI719661:UFK719744 TVM719661:TVO719744 TLQ719661:TLS719744 TBU719661:TBW719744 SRY719661:SSA719744 SIC719661:SIE719744 RYG719661:RYI719744 ROK719661:ROM719744 REO719661:REQ719744 QUS719661:QUU719744 QKW719661:QKY719744 QBA719661:QBC719744 PRE719661:PRG719744 PHI719661:PHK719744 OXM719661:OXO719744 ONQ719661:ONS719744 ODU719661:ODW719744 NTY719661:NUA719744 NKC719661:NKE719744 NAG719661:NAI719744 MQK719661:MQM719744 MGO719661:MGQ719744 LWS719661:LWU719744 LMW719661:LMY719744 LDA719661:LDC719744 KTE719661:KTG719744 KJI719661:KJK719744 JZM719661:JZO719744 JPQ719661:JPS719744 JFU719661:JFW719744 IVY719661:IWA719744 IMC719661:IME719744 ICG719661:ICI719744 HSK719661:HSM719744 HIO719661:HIQ719744 GYS719661:GYU719744 GOW719661:GOY719744 GFA719661:GFC719744 FVE719661:FVG719744 FLI719661:FLK719744 FBM719661:FBO719744 ERQ719661:ERS719744 EHU719661:EHW719744 DXY719661:DYA719744 DOC719661:DOE719744 DEG719661:DEI719744 CUK719661:CUM719744 CKO719661:CKQ719744 CAS719661:CAU719744 BQW719661:BQY719744 BHA719661:BHC719744 AXE719661:AXG719744 ANI719661:ANK719744 ADM719661:ADO719744 TQ719661:TS719744 JU719661:JW719744 Y719661:AA719744 WWG654125:WWI654208 WMK654125:WMM654208 WCO654125:WCQ654208 VSS654125:VSU654208 VIW654125:VIY654208 UZA654125:UZC654208 UPE654125:UPG654208 UFI654125:UFK654208 TVM654125:TVO654208 TLQ654125:TLS654208 TBU654125:TBW654208 SRY654125:SSA654208 SIC654125:SIE654208 RYG654125:RYI654208 ROK654125:ROM654208 REO654125:REQ654208 QUS654125:QUU654208 QKW654125:QKY654208 QBA654125:QBC654208 PRE654125:PRG654208 PHI654125:PHK654208 OXM654125:OXO654208 ONQ654125:ONS654208 ODU654125:ODW654208 NTY654125:NUA654208 NKC654125:NKE654208 NAG654125:NAI654208 MQK654125:MQM654208 MGO654125:MGQ654208 LWS654125:LWU654208 LMW654125:LMY654208 LDA654125:LDC654208 KTE654125:KTG654208 KJI654125:KJK654208 JZM654125:JZO654208 JPQ654125:JPS654208 JFU654125:JFW654208 IVY654125:IWA654208 IMC654125:IME654208 ICG654125:ICI654208 HSK654125:HSM654208 HIO654125:HIQ654208 GYS654125:GYU654208 GOW654125:GOY654208 GFA654125:GFC654208 FVE654125:FVG654208 FLI654125:FLK654208 FBM654125:FBO654208 ERQ654125:ERS654208 EHU654125:EHW654208 DXY654125:DYA654208 DOC654125:DOE654208 DEG654125:DEI654208 CUK654125:CUM654208 CKO654125:CKQ654208 CAS654125:CAU654208 BQW654125:BQY654208 BHA654125:BHC654208 AXE654125:AXG654208 ANI654125:ANK654208 ADM654125:ADO654208 TQ654125:TS654208 JU654125:JW654208 Y654125:AA654208 WWG588589:WWI588672 WMK588589:WMM588672 WCO588589:WCQ588672 VSS588589:VSU588672 VIW588589:VIY588672 UZA588589:UZC588672 UPE588589:UPG588672 UFI588589:UFK588672 TVM588589:TVO588672 TLQ588589:TLS588672 TBU588589:TBW588672 SRY588589:SSA588672 SIC588589:SIE588672 RYG588589:RYI588672 ROK588589:ROM588672 REO588589:REQ588672 QUS588589:QUU588672 QKW588589:QKY588672 QBA588589:QBC588672 PRE588589:PRG588672 PHI588589:PHK588672 OXM588589:OXO588672 ONQ588589:ONS588672 ODU588589:ODW588672 NTY588589:NUA588672 NKC588589:NKE588672 NAG588589:NAI588672 MQK588589:MQM588672 MGO588589:MGQ588672 LWS588589:LWU588672 LMW588589:LMY588672 LDA588589:LDC588672 KTE588589:KTG588672 KJI588589:KJK588672 JZM588589:JZO588672 JPQ588589:JPS588672 JFU588589:JFW588672 IVY588589:IWA588672 IMC588589:IME588672 ICG588589:ICI588672 HSK588589:HSM588672 HIO588589:HIQ588672 GYS588589:GYU588672 GOW588589:GOY588672 GFA588589:GFC588672 FVE588589:FVG588672 FLI588589:FLK588672 FBM588589:FBO588672 ERQ588589:ERS588672 EHU588589:EHW588672 DXY588589:DYA588672 DOC588589:DOE588672 DEG588589:DEI588672 CUK588589:CUM588672 CKO588589:CKQ588672 CAS588589:CAU588672 BQW588589:BQY588672 BHA588589:BHC588672 AXE588589:AXG588672 ANI588589:ANK588672 ADM588589:ADO588672 TQ588589:TS588672 JU588589:JW588672 Y588589:AA588672 WWG523053:WWI523136 WMK523053:WMM523136 WCO523053:WCQ523136 VSS523053:VSU523136 VIW523053:VIY523136 UZA523053:UZC523136 UPE523053:UPG523136 UFI523053:UFK523136 TVM523053:TVO523136 TLQ523053:TLS523136 TBU523053:TBW523136 SRY523053:SSA523136 SIC523053:SIE523136 RYG523053:RYI523136 ROK523053:ROM523136 REO523053:REQ523136 QUS523053:QUU523136 QKW523053:QKY523136 QBA523053:QBC523136 PRE523053:PRG523136 PHI523053:PHK523136 OXM523053:OXO523136 ONQ523053:ONS523136 ODU523053:ODW523136 NTY523053:NUA523136 NKC523053:NKE523136 NAG523053:NAI523136 MQK523053:MQM523136 MGO523053:MGQ523136 LWS523053:LWU523136 LMW523053:LMY523136 LDA523053:LDC523136 KTE523053:KTG523136 KJI523053:KJK523136 JZM523053:JZO523136 JPQ523053:JPS523136 JFU523053:JFW523136 IVY523053:IWA523136 IMC523053:IME523136 ICG523053:ICI523136 HSK523053:HSM523136 HIO523053:HIQ523136 GYS523053:GYU523136 GOW523053:GOY523136 GFA523053:GFC523136 FVE523053:FVG523136 FLI523053:FLK523136 FBM523053:FBO523136 ERQ523053:ERS523136 EHU523053:EHW523136 DXY523053:DYA523136 DOC523053:DOE523136 DEG523053:DEI523136 CUK523053:CUM523136 CKO523053:CKQ523136 CAS523053:CAU523136 BQW523053:BQY523136 BHA523053:BHC523136 AXE523053:AXG523136 ANI523053:ANK523136 ADM523053:ADO523136 TQ523053:TS523136 JU523053:JW523136 Y523053:AA523136 WWG457517:WWI457600 WMK457517:WMM457600 WCO457517:WCQ457600 VSS457517:VSU457600 VIW457517:VIY457600 UZA457517:UZC457600 UPE457517:UPG457600 UFI457517:UFK457600 TVM457517:TVO457600 TLQ457517:TLS457600 TBU457517:TBW457600 SRY457517:SSA457600 SIC457517:SIE457600 RYG457517:RYI457600 ROK457517:ROM457600 REO457517:REQ457600 QUS457517:QUU457600 QKW457517:QKY457600 QBA457517:QBC457600 PRE457517:PRG457600 PHI457517:PHK457600 OXM457517:OXO457600 ONQ457517:ONS457600 ODU457517:ODW457600 NTY457517:NUA457600 NKC457517:NKE457600 NAG457517:NAI457600 MQK457517:MQM457600 MGO457517:MGQ457600 LWS457517:LWU457600 LMW457517:LMY457600 LDA457517:LDC457600 KTE457517:KTG457600 KJI457517:KJK457600 JZM457517:JZO457600 JPQ457517:JPS457600 JFU457517:JFW457600 IVY457517:IWA457600 IMC457517:IME457600 ICG457517:ICI457600 HSK457517:HSM457600 HIO457517:HIQ457600 GYS457517:GYU457600 GOW457517:GOY457600 GFA457517:GFC457600 FVE457517:FVG457600 FLI457517:FLK457600 FBM457517:FBO457600 ERQ457517:ERS457600 EHU457517:EHW457600 DXY457517:DYA457600 DOC457517:DOE457600 DEG457517:DEI457600 CUK457517:CUM457600 CKO457517:CKQ457600 CAS457517:CAU457600 BQW457517:BQY457600 BHA457517:BHC457600 AXE457517:AXG457600 ANI457517:ANK457600 ADM457517:ADO457600 TQ457517:TS457600 JU457517:JW457600 Y457517:AA457600 WWG391981:WWI392064 WMK391981:WMM392064 WCO391981:WCQ392064 VSS391981:VSU392064 VIW391981:VIY392064 UZA391981:UZC392064 UPE391981:UPG392064 UFI391981:UFK392064 TVM391981:TVO392064 TLQ391981:TLS392064 TBU391981:TBW392064 SRY391981:SSA392064 SIC391981:SIE392064 RYG391981:RYI392064 ROK391981:ROM392064 REO391981:REQ392064 QUS391981:QUU392064 QKW391981:QKY392064 QBA391981:QBC392064 PRE391981:PRG392064 PHI391981:PHK392064 OXM391981:OXO392064 ONQ391981:ONS392064 ODU391981:ODW392064 NTY391981:NUA392064 NKC391981:NKE392064 NAG391981:NAI392064 MQK391981:MQM392064 MGO391981:MGQ392064 LWS391981:LWU392064 LMW391981:LMY392064 LDA391981:LDC392064 KTE391981:KTG392064 KJI391981:KJK392064 JZM391981:JZO392064 JPQ391981:JPS392064 JFU391981:JFW392064 IVY391981:IWA392064 IMC391981:IME392064 ICG391981:ICI392064 HSK391981:HSM392064 HIO391981:HIQ392064 GYS391981:GYU392064 GOW391981:GOY392064 GFA391981:GFC392064 FVE391981:FVG392064 FLI391981:FLK392064 FBM391981:FBO392064 ERQ391981:ERS392064 EHU391981:EHW392064 DXY391981:DYA392064 DOC391981:DOE392064 DEG391981:DEI392064 CUK391981:CUM392064 CKO391981:CKQ392064 CAS391981:CAU392064 BQW391981:BQY392064 BHA391981:BHC392064 AXE391981:AXG392064 ANI391981:ANK392064 ADM391981:ADO392064 TQ391981:TS392064 JU391981:JW392064 Y391981:AA392064 WWG326445:WWI326528 WMK326445:WMM326528 WCO326445:WCQ326528 VSS326445:VSU326528 VIW326445:VIY326528 UZA326445:UZC326528 UPE326445:UPG326528 UFI326445:UFK326528 TVM326445:TVO326528 TLQ326445:TLS326528 TBU326445:TBW326528 SRY326445:SSA326528 SIC326445:SIE326528 RYG326445:RYI326528 ROK326445:ROM326528 REO326445:REQ326528 QUS326445:QUU326528 QKW326445:QKY326528 QBA326445:QBC326528 PRE326445:PRG326528 PHI326445:PHK326528 OXM326445:OXO326528 ONQ326445:ONS326528 ODU326445:ODW326528 NTY326445:NUA326528 NKC326445:NKE326528 NAG326445:NAI326528 MQK326445:MQM326528 MGO326445:MGQ326528 LWS326445:LWU326528 LMW326445:LMY326528 LDA326445:LDC326528 KTE326445:KTG326528 KJI326445:KJK326528 JZM326445:JZO326528 JPQ326445:JPS326528 JFU326445:JFW326528 IVY326445:IWA326528 IMC326445:IME326528 ICG326445:ICI326528 HSK326445:HSM326528 HIO326445:HIQ326528 GYS326445:GYU326528 GOW326445:GOY326528 GFA326445:GFC326528 FVE326445:FVG326528 FLI326445:FLK326528 FBM326445:FBO326528 ERQ326445:ERS326528 EHU326445:EHW326528 DXY326445:DYA326528 DOC326445:DOE326528 DEG326445:DEI326528 CUK326445:CUM326528 CKO326445:CKQ326528 CAS326445:CAU326528 BQW326445:BQY326528 BHA326445:BHC326528 AXE326445:AXG326528 ANI326445:ANK326528 ADM326445:ADO326528 TQ326445:TS326528 JU326445:JW326528 Y326445:AA326528 WWG260909:WWI260992 WMK260909:WMM260992 WCO260909:WCQ260992 VSS260909:VSU260992 VIW260909:VIY260992 UZA260909:UZC260992 UPE260909:UPG260992 UFI260909:UFK260992 TVM260909:TVO260992 TLQ260909:TLS260992 TBU260909:TBW260992 SRY260909:SSA260992 SIC260909:SIE260992 RYG260909:RYI260992 ROK260909:ROM260992 REO260909:REQ260992 QUS260909:QUU260992 QKW260909:QKY260992 QBA260909:QBC260992 PRE260909:PRG260992 PHI260909:PHK260992 OXM260909:OXO260992 ONQ260909:ONS260992 ODU260909:ODW260992 NTY260909:NUA260992 NKC260909:NKE260992 NAG260909:NAI260992 MQK260909:MQM260992 MGO260909:MGQ260992 LWS260909:LWU260992 LMW260909:LMY260992 LDA260909:LDC260992 KTE260909:KTG260992 KJI260909:KJK260992 JZM260909:JZO260992 JPQ260909:JPS260992 JFU260909:JFW260992 IVY260909:IWA260992 IMC260909:IME260992 ICG260909:ICI260992 HSK260909:HSM260992 HIO260909:HIQ260992 GYS260909:GYU260992 GOW260909:GOY260992 GFA260909:GFC260992 FVE260909:FVG260992 FLI260909:FLK260992 FBM260909:FBO260992 ERQ260909:ERS260992 EHU260909:EHW260992 DXY260909:DYA260992 DOC260909:DOE260992 DEG260909:DEI260992 CUK260909:CUM260992 CKO260909:CKQ260992 CAS260909:CAU260992 BQW260909:BQY260992 BHA260909:BHC260992 AXE260909:AXG260992 ANI260909:ANK260992 ADM260909:ADO260992 TQ260909:TS260992 JU260909:JW260992 Y260909:AA260992 WWG195373:WWI195456 WMK195373:WMM195456 WCO195373:WCQ195456 VSS195373:VSU195456 VIW195373:VIY195456 UZA195373:UZC195456 UPE195373:UPG195456 UFI195373:UFK195456 TVM195373:TVO195456 TLQ195373:TLS195456 TBU195373:TBW195456 SRY195373:SSA195456 SIC195373:SIE195456 RYG195373:RYI195456 ROK195373:ROM195456 REO195373:REQ195456 QUS195373:QUU195456 QKW195373:QKY195456 QBA195373:QBC195456 PRE195373:PRG195456 PHI195373:PHK195456 OXM195373:OXO195456 ONQ195373:ONS195456 ODU195373:ODW195456 NTY195373:NUA195456 NKC195373:NKE195456 NAG195373:NAI195456 MQK195373:MQM195456 MGO195373:MGQ195456 LWS195373:LWU195456 LMW195373:LMY195456 LDA195373:LDC195456 KTE195373:KTG195456 KJI195373:KJK195456 JZM195373:JZO195456 JPQ195373:JPS195456 JFU195373:JFW195456 IVY195373:IWA195456 IMC195373:IME195456 ICG195373:ICI195456 HSK195373:HSM195456 HIO195373:HIQ195456 GYS195373:GYU195456 GOW195373:GOY195456 GFA195373:GFC195456 FVE195373:FVG195456 FLI195373:FLK195456 FBM195373:FBO195456 ERQ195373:ERS195456 EHU195373:EHW195456 DXY195373:DYA195456 DOC195373:DOE195456 DEG195373:DEI195456 CUK195373:CUM195456 CKO195373:CKQ195456 CAS195373:CAU195456 BQW195373:BQY195456 BHA195373:BHC195456 AXE195373:AXG195456 ANI195373:ANK195456 ADM195373:ADO195456 TQ195373:TS195456 JU195373:JW195456 Y195373:AA195456 WWG129837:WWI129920 WMK129837:WMM129920 WCO129837:WCQ129920 VSS129837:VSU129920 VIW129837:VIY129920 UZA129837:UZC129920 UPE129837:UPG129920 UFI129837:UFK129920 TVM129837:TVO129920 TLQ129837:TLS129920 TBU129837:TBW129920 SRY129837:SSA129920 SIC129837:SIE129920 RYG129837:RYI129920 ROK129837:ROM129920 REO129837:REQ129920 QUS129837:QUU129920 QKW129837:QKY129920 QBA129837:QBC129920 PRE129837:PRG129920 PHI129837:PHK129920 OXM129837:OXO129920 ONQ129837:ONS129920 ODU129837:ODW129920 NTY129837:NUA129920 NKC129837:NKE129920 NAG129837:NAI129920 MQK129837:MQM129920 MGO129837:MGQ129920 LWS129837:LWU129920 LMW129837:LMY129920 LDA129837:LDC129920 KTE129837:KTG129920 KJI129837:KJK129920 JZM129837:JZO129920 JPQ129837:JPS129920 JFU129837:JFW129920 IVY129837:IWA129920 IMC129837:IME129920 ICG129837:ICI129920 HSK129837:HSM129920 HIO129837:HIQ129920 GYS129837:GYU129920 GOW129837:GOY129920 GFA129837:GFC129920 FVE129837:FVG129920 FLI129837:FLK129920 FBM129837:FBO129920 ERQ129837:ERS129920 EHU129837:EHW129920 DXY129837:DYA129920 DOC129837:DOE129920 DEG129837:DEI129920 CUK129837:CUM129920 CKO129837:CKQ129920 CAS129837:CAU129920 BQW129837:BQY129920 BHA129837:BHC129920 AXE129837:AXG129920 ANI129837:ANK129920 ADM129837:ADO129920 TQ129837:TS129920 JU129837:JW129920 Y129837:AA129920 WWG64301:WWI64384 WMK64301:WMM64384 WCO64301:WCQ64384 VSS64301:VSU64384 VIW64301:VIY64384 UZA64301:UZC64384 UPE64301:UPG64384 UFI64301:UFK64384 TVM64301:TVO64384 TLQ64301:TLS64384 TBU64301:TBW64384 SRY64301:SSA64384 SIC64301:SIE64384 RYG64301:RYI64384 ROK64301:ROM64384 REO64301:REQ64384 QUS64301:QUU64384 QKW64301:QKY64384 QBA64301:QBC64384 PRE64301:PRG64384 PHI64301:PHK64384 OXM64301:OXO64384 ONQ64301:ONS64384 ODU64301:ODW64384 NTY64301:NUA64384 NKC64301:NKE64384 NAG64301:NAI64384 MQK64301:MQM64384 MGO64301:MGQ64384 LWS64301:LWU64384 LMW64301:LMY64384 LDA64301:LDC64384 KTE64301:KTG64384 KJI64301:KJK64384 JZM64301:JZO64384 JPQ64301:JPS64384 JFU64301:JFW64384 IVY64301:IWA64384 IMC64301:IME64384 ICG64301:ICI64384 HSK64301:HSM64384 HIO64301:HIQ64384 GYS64301:GYU64384 GOW64301:GOY64384 GFA64301:GFC64384 FVE64301:FVG64384 FLI64301:FLK64384 FBM64301:FBO64384 ERQ64301:ERS64384 EHU64301:EHW64384 DXY64301:DYA64384 DOC64301:DOE64384 DEG64301:DEI64384 CUK64301:CUM64384 CKO64301:CKQ64384 CAS64301:CAU64384 BQW64301:BQY64384 BHA64301:BHC64384 AXE64301:AXG64384 ANI64301:ANK64384 ADM64301:ADO64384 TQ64301:TS64384 JU64301:JW64384 Y64301:AA64384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xr:uid="{3B11DD24-D4FB-4F88-856B-7A1F7F4F1EB9}">
      <formula1>$AV$2:$AV$25</formula1>
    </dataValidation>
    <dataValidation type="list" allowBlank="1" showInputMessage="1" showErrorMessage="1" sqref="K121:K500" xr:uid="{EBEC609E-C0D5-4F65-85CD-D5F31FE4ADE4}">
      <formula1>$AR$2:$AR$28</formula1>
    </dataValidation>
    <dataValidation type="list" allowBlank="1" showInputMessage="1" showErrorMessage="1" sqref="J96:J500 J2:J94" xr:uid="{4D277D2D-E740-48A2-824B-47F2FDD73700}">
      <formula1>$AP$2:$AP$30</formula1>
    </dataValidation>
    <dataValidation type="list" allowBlank="1" showInputMessage="1" showErrorMessage="1" sqref="F98:F502 F2:F96" xr:uid="{D4A6D97D-F43F-43AE-ADF1-63971242FD01}">
      <formula1>$AH$2:$AH$10</formula1>
    </dataValidation>
    <dataValidation type="list" allowBlank="1" showInputMessage="1" showErrorMessage="1" sqref="E98:E502 E2:E96" xr:uid="{C0256B31-B27B-407A-AB48-9B6F4444E984}">
      <formula1>$AG$2:$AG$11</formula1>
    </dataValidation>
    <dataValidation type="list" allowBlank="1" showInputMessage="1" showErrorMessage="1" sqref="A96:A500 A2:A94" xr:uid="{F4D34825-BC36-43FF-92AF-67EE23B5A886}">
      <formula1>$AE$2:$AE$22</formula1>
    </dataValidation>
    <dataValidation type="list" allowBlank="1" showInputMessage="1" showErrorMessage="1" sqref="H96:H500 H2:H94" xr:uid="{A6959600-91DD-4653-866E-C6712B3E345C}">
      <formula1>$AL$2:$AL$8</formula1>
    </dataValidation>
    <dataValidation type="list" allowBlank="1" showInputMessage="1" showErrorMessage="1" sqref="Y96:AA500 Y2:AA94" xr:uid="{491DF22C-A215-4C81-8E9D-20CC14E5D7E3}">
      <formula1>$AV$2:$AV$24</formula1>
    </dataValidation>
    <dataValidation type="decimal" allowBlank="1" showInputMessage="1" showErrorMessage="1" error="硬度を正しく入力して下さい。" sqref="O96:P500 O31:P31 P18 O53 P53:P55 O21:P22 O26:P28 P13 O38:P46 O65:P94" xr:uid="{816D9488-05B6-4851-B113-76CB9BA3A118}">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99CF7-AE07-4F9F-9B6E-7CE05B900EA9}">
  <dimension ref="A1:BA152"/>
  <sheetViews>
    <sheetView topLeftCell="A10" zoomScale="70" zoomScaleNormal="70" workbookViewId="0">
      <selection activeCell="AF40" sqref="AF40"/>
    </sheetView>
  </sheetViews>
  <sheetFormatPr defaultColWidth="8.875" defaultRowHeight="13.5" x14ac:dyDescent="0.15"/>
  <cols>
    <col min="1" max="3" width="8.875" style="53"/>
    <col min="4" max="4" width="13.37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375" style="53" bestFit="1" customWidth="1"/>
    <col min="261" max="261" width="9.625" style="53" bestFit="1" customWidth="1"/>
    <col min="262" max="515" width="8.875" style="53"/>
    <col min="516" max="516" width="10.375" style="53" bestFit="1" customWidth="1"/>
    <col min="517" max="517" width="9.625" style="53" bestFit="1" customWidth="1"/>
    <col min="518" max="771" width="8.875" style="53"/>
    <col min="772" max="772" width="10.375" style="53" bestFit="1" customWidth="1"/>
    <col min="773" max="773" width="9.625" style="53" bestFit="1" customWidth="1"/>
    <col min="774" max="1027" width="8.875" style="53"/>
    <col min="1028" max="1028" width="10.375" style="53" bestFit="1" customWidth="1"/>
    <col min="1029" max="1029" width="9.625" style="53" bestFit="1" customWidth="1"/>
    <col min="1030" max="1283" width="8.875" style="53"/>
    <col min="1284" max="1284" width="10.375" style="53" bestFit="1" customWidth="1"/>
    <col min="1285" max="1285" width="9.625" style="53" bestFit="1" customWidth="1"/>
    <col min="1286" max="1539" width="8.875" style="53"/>
    <col min="1540" max="1540" width="10.375" style="53" bestFit="1" customWidth="1"/>
    <col min="1541" max="1541" width="9.625" style="53" bestFit="1" customWidth="1"/>
    <col min="1542" max="1795" width="8.875" style="53"/>
    <col min="1796" max="1796" width="10.375" style="53" bestFit="1" customWidth="1"/>
    <col min="1797" max="1797" width="9.625" style="53" bestFit="1" customWidth="1"/>
    <col min="1798" max="2051" width="8.875" style="53"/>
    <col min="2052" max="2052" width="10.375" style="53" bestFit="1" customWidth="1"/>
    <col min="2053" max="2053" width="9.625" style="53" bestFit="1" customWidth="1"/>
    <col min="2054" max="2307" width="8.875" style="53"/>
    <col min="2308" max="2308" width="10.375" style="53" bestFit="1" customWidth="1"/>
    <col min="2309" max="2309" width="9.625" style="53" bestFit="1" customWidth="1"/>
    <col min="2310" max="2563" width="8.875" style="53"/>
    <col min="2564" max="2564" width="10.375" style="53" bestFit="1" customWidth="1"/>
    <col min="2565" max="2565" width="9.625" style="53" bestFit="1" customWidth="1"/>
    <col min="2566" max="2819" width="8.875" style="53"/>
    <col min="2820" max="2820" width="10.375" style="53" bestFit="1" customWidth="1"/>
    <col min="2821" max="2821" width="9.625" style="53" bestFit="1" customWidth="1"/>
    <col min="2822" max="3075" width="8.875" style="53"/>
    <col min="3076" max="3076" width="10.375" style="53" bestFit="1" customWidth="1"/>
    <col min="3077" max="3077" width="9.625" style="53" bestFit="1" customWidth="1"/>
    <col min="3078" max="3331" width="8.875" style="53"/>
    <col min="3332" max="3332" width="10.375" style="53" bestFit="1" customWidth="1"/>
    <col min="3333" max="3333" width="9.625" style="53" bestFit="1" customWidth="1"/>
    <col min="3334" max="3587" width="8.875" style="53"/>
    <col min="3588" max="3588" width="10.375" style="53" bestFit="1" customWidth="1"/>
    <col min="3589" max="3589" width="9.625" style="53" bestFit="1" customWidth="1"/>
    <col min="3590" max="3843" width="8.875" style="53"/>
    <col min="3844" max="3844" width="10.375" style="53" bestFit="1" customWidth="1"/>
    <col min="3845" max="3845" width="9.625" style="53" bestFit="1" customWidth="1"/>
    <col min="3846" max="4099" width="8.875" style="53"/>
    <col min="4100" max="4100" width="10.375" style="53" bestFit="1" customWidth="1"/>
    <col min="4101" max="4101" width="9.625" style="53" bestFit="1" customWidth="1"/>
    <col min="4102" max="4355" width="8.875" style="53"/>
    <col min="4356" max="4356" width="10.375" style="53" bestFit="1" customWidth="1"/>
    <col min="4357" max="4357" width="9.625" style="53" bestFit="1" customWidth="1"/>
    <col min="4358" max="4611" width="8.875" style="53"/>
    <col min="4612" max="4612" width="10.375" style="53" bestFit="1" customWidth="1"/>
    <col min="4613" max="4613" width="9.625" style="53" bestFit="1" customWidth="1"/>
    <col min="4614" max="4867" width="8.875" style="53"/>
    <col min="4868" max="4868" width="10.375" style="53" bestFit="1" customWidth="1"/>
    <col min="4869" max="4869" width="9.625" style="53" bestFit="1" customWidth="1"/>
    <col min="4870" max="5123" width="8.875" style="53"/>
    <col min="5124" max="5124" width="10.375" style="53" bestFit="1" customWidth="1"/>
    <col min="5125" max="5125" width="9.625" style="53" bestFit="1" customWidth="1"/>
    <col min="5126" max="5379" width="8.875" style="53"/>
    <col min="5380" max="5380" width="10.375" style="53" bestFit="1" customWidth="1"/>
    <col min="5381" max="5381" width="9.625" style="53" bestFit="1" customWidth="1"/>
    <col min="5382" max="5635" width="8.875" style="53"/>
    <col min="5636" max="5636" width="10.375" style="53" bestFit="1" customWidth="1"/>
    <col min="5637" max="5637" width="9.625" style="53" bestFit="1" customWidth="1"/>
    <col min="5638" max="5891" width="8.875" style="53"/>
    <col min="5892" max="5892" width="10.375" style="53" bestFit="1" customWidth="1"/>
    <col min="5893" max="5893" width="9.625" style="53" bestFit="1" customWidth="1"/>
    <col min="5894" max="6147" width="8.875" style="53"/>
    <col min="6148" max="6148" width="10.375" style="53" bestFit="1" customWidth="1"/>
    <col min="6149" max="6149" width="9.625" style="53" bestFit="1" customWidth="1"/>
    <col min="6150" max="6403" width="8.875" style="53"/>
    <col min="6404" max="6404" width="10.375" style="53" bestFit="1" customWidth="1"/>
    <col min="6405" max="6405" width="9.625" style="53" bestFit="1" customWidth="1"/>
    <col min="6406" max="6659" width="8.875" style="53"/>
    <col min="6660" max="6660" width="10.375" style="53" bestFit="1" customWidth="1"/>
    <col min="6661" max="6661" width="9.625" style="53" bestFit="1" customWidth="1"/>
    <col min="6662" max="6915" width="8.875" style="53"/>
    <col min="6916" max="6916" width="10.375" style="53" bestFit="1" customWidth="1"/>
    <col min="6917" max="6917" width="9.625" style="53" bestFit="1" customWidth="1"/>
    <col min="6918" max="7171" width="8.875" style="53"/>
    <col min="7172" max="7172" width="10.375" style="53" bestFit="1" customWidth="1"/>
    <col min="7173" max="7173" width="9.625" style="53" bestFit="1" customWidth="1"/>
    <col min="7174" max="7427" width="8.875" style="53"/>
    <col min="7428" max="7428" width="10.375" style="53" bestFit="1" customWidth="1"/>
    <col min="7429" max="7429" width="9.625" style="53" bestFit="1" customWidth="1"/>
    <col min="7430" max="7683" width="8.875" style="53"/>
    <col min="7684" max="7684" width="10.375" style="53" bestFit="1" customWidth="1"/>
    <col min="7685" max="7685" width="9.625" style="53" bestFit="1" customWidth="1"/>
    <col min="7686" max="7939" width="8.875" style="53"/>
    <col min="7940" max="7940" width="10.375" style="53" bestFit="1" customWidth="1"/>
    <col min="7941" max="7941" width="9.625" style="53" bestFit="1" customWidth="1"/>
    <col min="7942" max="8195" width="8.875" style="53"/>
    <col min="8196" max="8196" width="10.375" style="53" bestFit="1" customWidth="1"/>
    <col min="8197" max="8197" width="9.625" style="53" bestFit="1" customWidth="1"/>
    <col min="8198" max="8451" width="8.875" style="53"/>
    <col min="8452" max="8452" width="10.375" style="53" bestFit="1" customWidth="1"/>
    <col min="8453" max="8453" width="9.625" style="53" bestFit="1" customWidth="1"/>
    <col min="8454" max="8707" width="8.875" style="53"/>
    <col min="8708" max="8708" width="10.375" style="53" bestFit="1" customWidth="1"/>
    <col min="8709" max="8709" width="9.625" style="53" bestFit="1" customWidth="1"/>
    <col min="8710" max="8963" width="8.875" style="53"/>
    <col min="8964" max="8964" width="10.375" style="53" bestFit="1" customWidth="1"/>
    <col min="8965" max="8965" width="9.625" style="53" bestFit="1" customWidth="1"/>
    <col min="8966" max="9219" width="8.875" style="53"/>
    <col min="9220" max="9220" width="10.375" style="53" bestFit="1" customWidth="1"/>
    <col min="9221" max="9221" width="9.625" style="53" bestFit="1" customWidth="1"/>
    <col min="9222" max="9475" width="8.875" style="53"/>
    <col min="9476" max="9476" width="10.375" style="53" bestFit="1" customWidth="1"/>
    <col min="9477" max="9477" width="9.625" style="53" bestFit="1" customWidth="1"/>
    <col min="9478" max="9731" width="8.875" style="53"/>
    <col min="9732" max="9732" width="10.375" style="53" bestFit="1" customWidth="1"/>
    <col min="9733" max="9733" width="9.625" style="53" bestFit="1" customWidth="1"/>
    <col min="9734" max="9987" width="8.875" style="53"/>
    <col min="9988" max="9988" width="10.375" style="53" bestFit="1" customWidth="1"/>
    <col min="9989" max="9989" width="9.625" style="53" bestFit="1" customWidth="1"/>
    <col min="9990" max="10243" width="8.875" style="53"/>
    <col min="10244" max="10244" width="10.375" style="53" bestFit="1" customWidth="1"/>
    <col min="10245" max="10245" width="9.625" style="53" bestFit="1" customWidth="1"/>
    <col min="10246" max="10499" width="8.875" style="53"/>
    <col min="10500" max="10500" width="10.375" style="53" bestFit="1" customWidth="1"/>
    <col min="10501" max="10501" width="9.625" style="53" bestFit="1" customWidth="1"/>
    <col min="10502" max="10755" width="8.875" style="53"/>
    <col min="10756" max="10756" width="10.375" style="53" bestFit="1" customWidth="1"/>
    <col min="10757" max="10757" width="9.625" style="53" bestFit="1" customWidth="1"/>
    <col min="10758" max="11011" width="8.875" style="53"/>
    <col min="11012" max="11012" width="10.375" style="53" bestFit="1" customWidth="1"/>
    <col min="11013" max="11013" width="9.625" style="53" bestFit="1" customWidth="1"/>
    <col min="11014" max="11267" width="8.875" style="53"/>
    <col min="11268" max="11268" width="10.375" style="53" bestFit="1" customWidth="1"/>
    <col min="11269" max="11269" width="9.625" style="53" bestFit="1" customWidth="1"/>
    <col min="11270" max="11523" width="8.875" style="53"/>
    <col min="11524" max="11524" width="10.375" style="53" bestFit="1" customWidth="1"/>
    <col min="11525" max="11525" width="9.625" style="53" bestFit="1" customWidth="1"/>
    <col min="11526" max="11779" width="8.875" style="53"/>
    <col min="11780" max="11780" width="10.375" style="53" bestFit="1" customWidth="1"/>
    <col min="11781" max="11781" width="9.625" style="53" bestFit="1" customWidth="1"/>
    <col min="11782" max="12035" width="8.875" style="53"/>
    <col min="12036" max="12036" width="10.375" style="53" bestFit="1" customWidth="1"/>
    <col min="12037" max="12037" width="9.625" style="53" bestFit="1" customWidth="1"/>
    <col min="12038" max="12291" width="8.875" style="53"/>
    <col min="12292" max="12292" width="10.375" style="53" bestFit="1" customWidth="1"/>
    <col min="12293" max="12293" width="9.625" style="53" bestFit="1" customWidth="1"/>
    <col min="12294" max="12547" width="8.875" style="53"/>
    <col min="12548" max="12548" width="10.375" style="53" bestFit="1" customWidth="1"/>
    <col min="12549" max="12549" width="9.625" style="53" bestFit="1" customWidth="1"/>
    <col min="12550" max="12803" width="8.875" style="53"/>
    <col min="12804" max="12804" width="10.375" style="53" bestFit="1" customWidth="1"/>
    <col min="12805" max="12805" width="9.625" style="53" bestFit="1" customWidth="1"/>
    <col min="12806" max="13059" width="8.875" style="53"/>
    <col min="13060" max="13060" width="10.375" style="53" bestFit="1" customWidth="1"/>
    <col min="13061" max="13061" width="9.625" style="53" bestFit="1" customWidth="1"/>
    <col min="13062" max="13315" width="8.875" style="53"/>
    <col min="13316" max="13316" width="10.375" style="53" bestFit="1" customWidth="1"/>
    <col min="13317" max="13317" width="9.625" style="53" bestFit="1" customWidth="1"/>
    <col min="13318" max="13571" width="8.875" style="53"/>
    <col min="13572" max="13572" width="10.375" style="53" bestFit="1" customWidth="1"/>
    <col min="13573" max="13573" width="9.625" style="53" bestFit="1" customWidth="1"/>
    <col min="13574" max="13827" width="8.875" style="53"/>
    <col min="13828" max="13828" width="10.375" style="53" bestFit="1" customWidth="1"/>
    <col min="13829" max="13829" width="9.625" style="53" bestFit="1" customWidth="1"/>
    <col min="13830" max="14083" width="8.875" style="53"/>
    <col min="14084" max="14084" width="10.375" style="53" bestFit="1" customWidth="1"/>
    <col min="14085" max="14085" width="9.625" style="53" bestFit="1" customWidth="1"/>
    <col min="14086" max="14339" width="8.875" style="53"/>
    <col min="14340" max="14340" width="10.375" style="53" bestFit="1" customWidth="1"/>
    <col min="14341" max="14341" width="9.625" style="53" bestFit="1" customWidth="1"/>
    <col min="14342" max="14595" width="8.875" style="53"/>
    <col min="14596" max="14596" width="10.375" style="53" bestFit="1" customWidth="1"/>
    <col min="14597" max="14597" width="9.625" style="53" bestFit="1" customWidth="1"/>
    <col min="14598" max="14851" width="8.875" style="53"/>
    <col min="14852" max="14852" width="10.375" style="53" bestFit="1" customWidth="1"/>
    <col min="14853" max="14853" width="9.625" style="53" bestFit="1" customWidth="1"/>
    <col min="14854" max="15107" width="8.875" style="53"/>
    <col min="15108" max="15108" width="10.375" style="53" bestFit="1" customWidth="1"/>
    <col min="15109" max="15109" width="9.625" style="53" bestFit="1" customWidth="1"/>
    <col min="15110" max="15363" width="8.875" style="53"/>
    <col min="15364" max="15364" width="10.375" style="53" bestFit="1" customWidth="1"/>
    <col min="15365" max="15365" width="9.625" style="53" bestFit="1" customWidth="1"/>
    <col min="15366" max="15619" width="8.875" style="53"/>
    <col min="15620" max="15620" width="10.375" style="53" bestFit="1" customWidth="1"/>
    <col min="15621" max="15621" width="9.625" style="53" bestFit="1" customWidth="1"/>
    <col min="15622" max="15875" width="8.875" style="53"/>
    <col min="15876" max="15876" width="10.375" style="53" bestFit="1" customWidth="1"/>
    <col min="15877" max="15877" width="9.625" style="53" bestFit="1" customWidth="1"/>
    <col min="15878" max="16131" width="8.875" style="53"/>
    <col min="16132" max="16132" width="10.375" style="53" bestFit="1" customWidth="1"/>
    <col min="16133" max="16133" width="9.625" style="53" bestFit="1" customWidth="1"/>
    <col min="16134" max="16384" width="8.875" style="53"/>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310</v>
      </c>
      <c r="O1" s="2" t="s">
        <v>14</v>
      </c>
      <c r="P1" s="2" t="s">
        <v>15</v>
      </c>
      <c r="Q1" s="3" t="s">
        <v>16</v>
      </c>
      <c r="R1" s="2" t="s">
        <v>17</v>
      </c>
      <c r="S1" s="2" t="s">
        <v>18</v>
      </c>
      <c r="T1" s="3" t="s">
        <v>19</v>
      </c>
      <c r="U1" s="4" t="s">
        <v>311</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x14ac:dyDescent="0.15">
      <c r="A2" s="53" t="s">
        <v>59</v>
      </c>
      <c r="B2" s="36" t="s">
        <v>232</v>
      </c>
      <c r="C2" s="165">
        <v>2019</v>
      </c>
      <c r="D2" s="166" t="s">
        <v>281</v>
      </c>
      <c r="E2" s="53" t="s">
        <v>312</v>
      </c>
      <c r="F2" s="53" t="s">
        <v>313</v>
      </c>
      <c r="G2" s="53" t="s">
        <v>36</v>
      </c>
      <c r="H2" s="53" t="s">
        <v>160</v>
      </c>
      <c r="I2" s="53" t="s">
        <v>159</v>
      </c>
      <c r="J2" s="53" t="s">
        <v>38</v>
      </c>
      <c r="K2" s="53" t="s">
        <v>161</v>
      </c>
      <c r="L2" s="53">
        <v>1</v>
      </c>
      <c r="N2" s="53">
        <v>4</v>
      </c>
      <c r="O2" s="53">
        <v>0.47</v>
      </c>
      <c r="P2" s="53">
        <v>0.5</v>
      </c>
      <c r="Q2" s="97">
        <f>IF(OR(O2="",P2=""),"",AVERAGE(O2,P2))</f>
        <v>0.48499999999999999</v>
      </c>
      <c r="R2" s="53">
        <v>16.5</v>
      </c>
      <c r="S2" s="53">
        <v>100</v>
      </c>
      <c r="T2" s="16">
        <f t="shared" ref="T2:T58" si="0">IF(H2="","",IF(OR(H2="GREEN",H2="GK"),IF(S2&gt;=$AX$2,VLOOKUP(S2,$AX$2:$AY$12,2,1),""),IF(S2&gt;=$AZ$2,VLOOKUP(S2,$AZ$2:$BA$12,2,1),"")))</f>
        <v>33</v>
      </c>
      <c r="U2" s="53">
        <v>480</v>
      </c>
      <c r="V2" s="16">
        <f t="shared" ref="V2:V58" si="1">IF(J2="","",IF(OR(J2="GREEN",J2="GK"),IF(U2&gt;=$AX$2,VLOOKUP(U2,$AX$2:$AY$12,2,1),""),IF(U2&gt;=$AZ$2,VLOOKUP(U2,$AZ$2:$BA$12,2,1),"")))</f>
        <v>16</v>
      </c>
      <c r="W2" s="53">
        <v>5</v>
      </c>
      <c r="X2" s="53" t="s">
        <v>39</v>
      </c>
      <c r="Y2" s="53" t="s">
        <v>314</v>
      </c>
      <c r="Z2" s="53" t="s">
        <v>47</v>
      </c>
      <c r="AA2" s="53" t="s">
        <v>86</v>
      </c>
      <c r="AB2" s="36" t="s">
        <v>315</v>
      </c>
      <c r="AE2" s="17" t="s">
        <v>35</v>
      </c>
      <c r="AG2" s="167" t="s">
        <v>316</v>
      </c>
      <c r="AH2" s="168" t="s">
        <v>317</v>
      </c>
      <c r="AJ2" s="169" t="s">
        <v>36</v>
      </c>
      <c r="AL2" s="18" t="s">
        <v>127</v>
      </c>
      <c r="AN2" s="170" t="s">
        <v>318</v>
      </c>
      <c r="AP2" s="18" t="s">
        <v>38</v>
      </c>
      <c r="AR2" s="18" t="s">
        <v>120</v>
      </c>
      <c r="AT2" s="169" t="s">
        <v>39</v>
      </c>
      <c r="AV2" s="23" t="s">
        <v>55</v>
      </c>
      <c r="AX2" s="171">
        <v>1</v>
      </c>
      <c r="AY2" s="172">
        <v>50</v>
      </c>
      <c r="AZ2" s="172">
        <v>1</v>
      </c>
      <c r="BA2" s="173">
        <v>50</v>
      </c>
    </row>
    <row r="3" spans="1:53" x14ac:dyDescent="0.15">
      <c r="A3" s="53" t="s">
        <v>59</v>
      </c>
      <c r="B3" s="36" t="s">
        <v>232</v>
      </c>
      <c r="C3" s="165">
        <v>2019</v>
      </c>
      <c r="D3" s="166" t="s">
        <v>281</v>
      </c>
      <c r="E3" s="53" t="s">
        <v>312</v>
      </c>
      <c r="F3" s="53" t="s">
        <v>313</v>
      </c>
      <c r="G3" s="53" t="s">
        <v>36</v>
      </c>
      <c r="H3" s="53" t="s">
        <v>160</v>
      </c>
      <c r="I3" s="53" t="s">
        <v>159</v>
      </c>
      <c r="J3" s="53" t="s">
        <v>38</v>
      </c>
      <c r="K3" s="53" t="s">
        <v>161</v>
      </c>
      <c r="L3" s="53">
        <v>2</v>
      </c>
      <c r="N3" s="53">
        <v>4</v>
      </c>
      <c r="O3" s="53">
        <v>0.59</v>
      </c>
      <c r="P3" s="53">
        <v>0.59</v>
      </c>
      <c r="Q3" s="97">
        <f t="shared" ref="Q3:Q58" si="2">IF(OR(O3="",P3=""),"",AVERAGE(O3,P3))</f>
        <v>0.59</v>
      </c>
      <c r="R3" s="53">
        <v>15.3</v>
      </c>
      <c r="S3" s="53">
        <v>101</v>
      </c>
      <c r="T3" s="16">
        <f t="shared" si="0"/>
        <v>33</v>
      </c>
      <c r="U3" s="53">
        <v>480</v>
      </c>
      <c r="V3" s="16">
        <f t="shared" si="1"/>
        <v>16</v>
      </c>
      <c r="W3" s="53">
        <v>5</v>
      </c>
      <c r="X3" s="53" t="s">
        <v>39</v>
      </c>
      <c r="Y3" s="53" t="s">
        <v>314</v>
      </c>
      <c r="Z3" s="53" t="s">
        <v>47</v>
      </c>
      <c r="AA3" s="53" t="s">
        <v>86</v>
      </c>
      <c r="AB3" s="36" t="s">
        <v>315</v>
      </c>
      <c r="AE3" s="22" t="s">
        <v>41</v>
      </c>
      <c r="AG3" s="167" t="s">
        <v>319</v>
      </c>
      <c r="AH3" s="168" t="s">
        <v>313</v>
      </c>
      <c r="AJ3" s="23" t="s">
        <v>42</v>
      </c>
      <c r="AL3" s="23" t="s">
        <v>128</v>
      </c>
      <c r="AN3" s="23" t="s">
        <v>43</v>
      </c>
      <c r="AP3" s="23" t="s">
        <v>44</v>
      </c>
      <c r="AR3" s="41" t="s">
        <v>45</v>
      </c>
      <c r="AT3" s="23" t="s">
        <v>46</v>
      </c>
      <c r="AV3" s="23" t="s">
        <v>320</v>
      </c>
      <c r="AX3" s="24">
        <v>72</v>
      </c>
      <c r="AY3" s="25">
        <v>46</v>
      </c>
      <c r="AZ3" s="25">
        <v>71</v>
      </c>
      <c r="BA3" s="26">
        <v>42</v>
      </c>
    </row>
    <row r="4" spans="1:53" x14ac:dyDescent="0.15">
      <c r="A4" s="53" t="s">
        <v>59</v>
      </c>
      <c r="B4" s="36" t="s">
        <v>232</v>
      </c>
      <c r="C4" s="165">
        <v>2019</v>
      </c>
      <c r="D4" s="166" t="s">
        <v>281</v>
      </c>
      <c r="E4" s="53" t="s">
        <v>312</v>
      </c>
      <c r="F4" s="53" t="s">
        <v>313</v>
      </c>
      <c r="G4" s="53" t="s">
        <v>36</v>
      </c>
      <c r="H4" s="53" t="s">
        <v>160</v>
      </c>
      <c r="I4" s="53" t="s">
        <v>321</v>
      </c>
      <c r="J4" s="53" t="s">
        <v>38</v>
      </c>
      <c r="K4" s="53" t="s">
        <v>161</v>
      </c>
      <c r="L4" s="53">
        <v>3</v>
      </c>
      <c r="N4" s="53">
        <v>4</v>
      </c>
      <c r="O4" s="53">
        <v>0.55000000000000004</v>
      </c>
      <c r="P4" s="53">
        <v>0.49</v>
      </c>
      <c r="Q4" s="97">
        <f t="shared" si="2"/>
        <v>0.52</v>
      </c>
      <c r="R4" s="53">
        <v>16.7</v>
      </c>
      <c r="S4" s="53">
        <v>103</v>
      </c>
      <c r="T4" s="16">
        <f t="shared" si="0"/>
        <v>33</v>
      </c>
      <c r="U4" s="53">
        <v>480</v>
      </c>
      <c r="V4" s="16">
        <f t="shared" si="1"/>
        <v>16</v>
      </c>
      <c r="W4" s="53">
        <v>5</v>
      </c>
      <c r="X4" s="53" t="s">
        <v>39</v>
      </c>
      <c r="Y4" s="53" t="s">
        <v>314</v>
      </c>
      <c r="Z4" s="53" t="s">
        <v>47</v>
      </c>
      <c r="AA4" s="53" t="s">
        <v>86</v>
      </c>
      <c r="AB4" s="36" t="s">
        <v>315</v>
      </c>
      <c r="AE4" s="22" t="s">
        <v>34</v>
      </c>
      <c r="AG4" s="167" t="s">
        <v>322</v>
      </c>
      <c r="AH4" s="168" t="s">
        <v>323</v>
      </c>
      <c r="AJ4" s="27" t="s">
        <v>48</v>
      </c>
      <c r="AL4" s="27" t="s">
        <v>129</v>
      </c>
      <c r="AN4" s="28" t="s">
        <v>49</v>
      </c>
      <c r="AP4" s="23" t="s">
        <v>93</v>
      </c>
      <c r="AR4" s="41" t="s">
        <v>324</v>
      </c>
      <c r="AT4" s="28"/>
      <c r="AV4" s="23" t="s">
        <v>314</v>
      </c>
      <c r="AX4" s="24">
        <v>75</v>
      </c>
      <c r="AY4" s="25">
        <v>42</v>
      </c>
      <c r="AZ4" s="25">
        <v>76</v>
      </c>
      <c r="BA4" s="26">
        <v>39</v>
      </c>
    </row>
    <row r="5" spans="1:53" x14ac:dyDescent="0.15">
      <c r="A5" s="53" t="s">
        <v>59</v>
      </c>
      <c r="B5" s="36" t="s">
        <v>232</v>
      </c>
      <c r="C5" s="165">
        <v>2019</v>
      </c>
      <c r="D5" s="166" t="s">
        <v>281</v>
      </c>
      <c r="E5" s="53" t="s">
        <v>312</v>
      </c>
      <c r="F5" s="53" t="s">
        <v>313</v>
      </c>
      <c r="G5" s="53" t="s">
        <v>36</v>
      </c>
      <c r="H5" s="53" t="s">
        <v>165</v>
      </c>
      <c r="I5" s="53" t="s">
        <v>159</v>
      </c>
      <c r="J5" s="53" t="s">
        <v>38</v>
      </c>
      <c r="K5" s="53" t="s">
        <v>161</v>
      </c>
      <c r="L5" s="53">
        <v>1</v>
      </c>
      <c r="N5" s="53">
        <v>5</v>
      </c>
      <c r="O5" s="53">
        <v>0.7</v>
      </c>
      <c r="P5" s="53">
        <v>0.72</v>
      </c>
      <c r="Q5" s="97">
        <f t="shared" si="2"/>
        <v>0.71</v>
      </c>
      <c r="R5" s="53">
        <v>13.7</v>
      </c>
      <c r="S5" s="53">
        <v>95</v>
      </c>
      <c r="T5" s="16">
        <f t="shared" si="0"/>
        <v>36</v>
      </c>
      <c r="U5" s="53">
        <v>398</v>
      </c>
      <c r="V5" s="16">
        <f t="shared" si="1"/>
        <v>16</v>
      </c>
      <c r="W5" s="53">
        <v>5</v>
      </c>
      <c r="X5" s="53" t="s">
        <v>39</v>
      </c>
      <c r="Y5" s="53" t="s">
        <v>314</v>
      </c>
      <c r="Z5" s="53" t="s">
        <v>47</v>
      </c>
      <c r="AA5" s="53" t="s">
        <v>86</v>
      </c>
      <c r="AB5" s="36" t="s">
        <v>315</v>
      </c>
      <c r="AE5" s="22" t="s">
        <v>51</v>
      </c>
      <c r="AG5" s="167" t="s">
        <v>325</v>
      </c>
      <c r="AH5" s="168" t="s">
        <v>326</v>
      </c>
      <c r="AJ5" s="28"/>
      <c r="AL5" s="29" t="s">
        <v>66</v>
      </c>
      <c r="AN5" s="80" t="s">
        <v>52</v>
      </c>
      <c r="AP5" s="23" t="s">
        <v>244</v>
      </c>
      <c r="AR5" s="41" t="s">
        <v>54</v>
      </c>
      <c r="AV5" s="23" t="s">
        <v>327</v>
      </c>
      <c r="AX5" s="24">
        <v>84</v>
      </c>
      <c r="AY5" s="25">
        <v>39</v>
      </c>
      <c r="AZ5" s="25">
        <v>84</v>
      </c>
      <c r="BA5" s="26">
        <v>36</v>
      </c>
    </row>
    <row r="6" spans="1:53" x14ac:dyDescent="0.15">
      <c r="A6" s="53" t="s">
        <v>59</v>
      </c>
      <c r="B6" s="36" t="s">
        <v>232</v>
      </c>
      <c r="C6" s="165">
        <v>2019</v>
      </c>
      <c r="D6" s="166" t="s">
        <v>281</v>
      </c>
      <c r="E6" s="53" t="s">
        <v>312</v>
      </c>
      <c r="F6" s="53" t="s">
        <v>313</v>
      </c>
      <c r="G6" s="53" t="s">
        <v>36</v>
      </c>
      <c r="H6" s="53" t="s">
        <v>165</v>
      </c>
      <c r="I6" s="53" t="s">
        <v>159</v>
      </c>
      <c r="J6" s="53" t="s">
        <v>38</v>
      </c>
      <c r="K6" s="53" t="s">
        <v>161</v>
      </c>
      <c r="L6" s="53">
        <v>2</v>
      </c>
      <c r="N6" s="53">
        <v>5</v>
      </c>
      <c r="O6" s="53">
        <v>0.73</v>
      </c>
      <c r="P6" s="53">
        <v>0.73</v>
      </c>
      <c r="Q6" s="97">
        <f t="shared" si="2"/>
        <v>0.73</v>
      </c>
      <c r="R6" s="53">
        <v>13</v>
      </c>
      <c r="S6" s="53">
        <v>94</v>
      </c>
      <c r="T6" s="16">
        <f t="shared" si="0"/>
        <v>36</v>
      </c>
      <c r="U6" s="53">
        <v>398</v>
      </c>
      <c r="V6" s="16">
        <f t="shared" si="1"/>
        <v>16</v>
      </c>
      <c r="W6" s="53">
        <v>5</v>
      </c>
      <c r="X6" s="53" t="s">
        <v>39</v>
      </c>
      <c r="Y6" s="53" t="s">
        <v>314</v>
      </c>
      <c r="Z6" s="53" t="s">
        <v>47</v>
      </c>
      <c r="AA6" s="53" t="s">
        <v>86</v>
      </c>
      <c r="AB6" s="36" t="s">
        <v>315</v>
      </c>
      <c r="AE6" s="22" t="s">
        <v>56</v>
      </c>
      <c r="AG6" s="167" t="s">
        <v>328</v>
      </c>
      <c r="AH6" s="168" t="s">
        <v>329</v>
      </c>
      <c r="AL6" s="29" t="s">
        <v>99</v>
      </c>
      <c r="AN6" s="29" t="s">
        <v>57</v>
      </c>
      <c r="AP6" s="23" t="s">
        <v>53</v>
      </c>
      <c r="AR6" s="41" t="s">
        <v>330</v>
      </c>
      <c r="AV6" s="23" t="s">
        <v>60</v>
      </c>
      <c r="AX6" s="24">
        <v>97</v>
      </c>
      <c r="AY6" s="25">
        <v>36</v>
      </c>
      <c r="AZ6" s="25">
        <v>99</v>
      </c>
      <c r="BA6" s="26">
        <v>33</v>
      </c>
    </row>
    <row r="7" spans="1:53" x14ac:dyDescent="0.15">
      <c r="A7" s="53" t="s">
        <v>59</v>
      </c>
      <c r="B7" s="36" t="s">
        <v>232</v>
      </c>
      <c r="C7" s="165">
        <v>2019</v>
      </c>
      <c r="D7" s="166" t="s">
        <v>281</v>
      </c>
      <c r="E7" s="53" t="s">
        <v>312</v>
      </c>
      <c r="F7" s="53" t="s">
        <v>313</v>
      </c>
      <c r="G7" s="53" t="s">
        <v>36</v>
      </c>
      <c r="H7" s="53" t="s">
        <v>165</v>
      </c>
      <c r="I7" s="53" t="s">
        <v>159</v>
      </c>
      <c r="J7" s="53" t="s">
        <v>38</v>
      </c>
      <c r="K7" s="53" t="s">
        <v>161</v>
      </c>
      <c r="L7" s="53">
        <v>3</v>
      </c>
      <c r="N7" s="53">
        <v>5</v>
      </c>
      <c r="O7" s="53">
        <v>0.71</v>
      </c>
      <c r="P7" s="53">
        <v>0.73</v>
      </c>
      <c r="Q7" s="97">
        <f t="shared" si="2"/>
        <v>0.72</v>
      </c>
      <c r="R7" s="53">
        <v>14.1</v>
      </c>
      <c r="S7" s="53">
        <v>96</v>
      </c>
      <c r="T7" s="16">
        <f t="shared" si="0"/>
        <v>36</v>
      </c>
      <c r="U7" s="53">
        <v>398</v>
      </c>
      <c r="V7" s="16">
        <f t="shared" si="1"/>
        <v>16</v>
      </c>
      <c r="W7" s="53">
        <v>5</v>
      </c>
      <c r="X7" s="53" t="s">
        <v>39</v>
      </c>
      <c r="Y7" s="53" t="s">
        <v>314</v>
      </c>
      <c r="Z7" s="53" t="s">
        <v>47</v>
      </c>
      <c r="AA7" s="53" t="s">
        <v>86</v>
      </c>
      <c r="AB7" s="36" t="s">
        <v>315</v>
      </c>
      <c r="AE7" s="22" t="s">
        <v>61</v>
      </c>
      <c r="AG7" s="167" t="s">
        <v>331</v>
      </c>
      <c r="AH7" s="168" t="s">
        <v>332</v>
      </c>
      <c r="AL7" s="34" t="s">
        <v>109</v>
      </c>
      <c r="AP7" s="23" t="s">
        <v>58</v>
      </c>
      <c r="AR7" s="30" t="s">
        <v>333</v>
      </c>
      <c r="AV7" s="23" t="s">
        <v>64</v>
      </c>
      <c r="AX7" s="24">
        <v>109</v>
      </c>
      <c r="AY7" s="25">
        <v>33</v>
      </c>
      <c r="AZ7" s="25">
        <v>113</v>
      </c>
      <c r="BA7" s="26">
        <v>30</v>
      </c>
    </row>
    <row r="8" spans="1:53" x14ac:dyDescent="0.15">
      <c r="A8" s="53" t="s">
        <v>59</v>
      </c>
      <c r="B8" s="36" t="s">
        <v>232</v>
      </c>
      <c r="C8" s="165">
        <v>2019</v>
      </c>
      <c r="D8" s="166" t="s">
        <v>281</v>
      </c>
      <c r="E8" s="53" t="s">
        <v>316</v>
      </c>
      <c r="F8" s="53" t="s">
        <v>317</v>
      </c>
      <c r="G8" s="53" t="s">
        <v>36</v>
      </c>
      <c r="H8" s="53" t="s">
        <v>160</v>
      </c>
      <c r="I8" s="53" t="s">
        <v>159</v>
      </c>
      <c r="J8" s="53" t="s">
        <v>38</v>
      </c>
      <c r="K8" s="53" t="s">
        <v>161</v>
      </c>
      <c r="L8" s="53">
        <v>1</v>
      </c>
      <c r="N8" s="53">
        <v>4</v>
      </c>
      <c r="O8" s="53">
        <v>0.3</v>
      </c>
      <c r="P8" s="53">
        <v>0.4</v>
      </c>
      <c r="Q8" s="97">
        <f t="shared" si="2"/>
        <v>0.35</v>
      </c>
      <c r="R8" s="53">
        <v>17.100000000000001</v>
      </c>
      <c r="S8" s="53">
        <v>100</v>
      </c>
      <c r="T8" s="16">
        <f t="shared" si="0"/>
        <v>33</v>
      </c>
      <c r="U8" s="53">
        <v>397</v>
      </c>
      <c r="V8" s="16">
        <f t="shared" si="1"/>
        <v>16</v>
      </c>
      <c r="W8" s="53">
        <v>6</v>
      </c>
      <c r="X8" s="53" t="s">
        <v>39</v>
      </c>
      <c r="Y8" s="53" t="s">
        <v>40</v>
      </c>
      <c r="Z8" s="53" t="s">
        <v>86</v>
      </c>
      <c r="AA8" s="53" t="s">
        <v>90</v>
      </c>
      <c r="AB8" s="36" t="s">
        <v>315</v>
      </c>
      <c r="AE8" s="22" t="s">
        <v>59</v>
      </c>
      <c r="AG8" s="174" t="s">
        <v>162</v>
      </c>
      <c r="AH8" s="168" t="s">
        <v>334</v>
      </c>
      <c r="AL8" s="34" t="s">
        <v>134</v>
      </c>
      <c r="AP8" s="23" t="s">
        <v>62</v>
      </c>
      <c r="AR8" s="41" t="s">
        <v>81</v>
      </c>
      <c r="AV8" s="23" t="s">
        <v>97</v>
      </c>
      <c r="AX8" s="24">
        <v>119</v>
      </c>
      <c r="AY8" s="25">
        <v>30</v>
      </c>
      <c r="AZ8" s="25">
        <v>121</v>
      </c>
      <c r="BA8" s="26">
        <v>27</v>
      </c>
    </row>
    <row r="9" spans="1:53" x14ac:dyDescent="0.15">
      <c r="A9" s="53" t="s">
        <v>59</v>
      </c>
      <c r="B9" s="36" t="s">
        <v>232</v>
      </c>
      <c r="C9" s="165">
        <v>2019</v>
      </c>
      <c r="D9" s="166" t="s">
        <v>281</v>
      </c>
      <c r="E9" s="53" t="s">
        <v>316</v>
      </c>
      <c r="F9" s="53" t="s">
        <v>317</v>
      </c>
      <c r="G9" s="53" t="s">
        <v>36</v>
      </c>
      <c r="H9" s="53" t="s">
        <v>160</v>
      </c>
      <c r="I9" s="53" t="s">
        <v>159</v>
      </c>
      <c r="J9" s="53" t="s">
        <v>38</v>
      </c>
      <c r="K9" s="53" t="s">
        <v>161</v>
      </c>
      <c r="L9" s="53">
        <v>2</v>
      </c>
      <c r="N9" s="53">
        <v>4</v>
      </c>
      <c r="O9" s="53">
        <v>0.35</v>
      </c>
      <c r="P9" s="53">
        <v>0.39</v>
      </c>
      <c r="Q9" s="97">
        <f t="shared" si="2"/>
        <v>0.37</v>
      </c>
      <c r="R9" s="53">
        <v>15.5</v>
      </c>
      <c r="S9" s="53">
        <v>109</v>
      </c>
      <c r="T9" s="16">
        <f t="shared" si="0"/>
        <v>33</v>
      </c>
      <c r="U9" s="53">
        <v>397</v>
      </c>
      <c r="V9" s="16">
        <f t="shared" si="1"/>
        <v>16</v>
      </c>
      <c r="W9" s="53">
        <v>6</v>
      </c>
      <c r="X9" s="53" t="s">
        <v>39</v>
      </c>
      <c r="Y9" s="53" t="s">
        <v>40</v>
      </c>
      <c r="Z9" s="53" t="s">
        <v>86</v>
      </c>
      <c r="AA9" s="53" t="s">
        <v>90</v>
      </c>
      <c r="AB9" s="36" t="s">
        <v>315</v>
      </c>
      <c r="AE9" s="22" t="s">
        <v>98</v>
      </c>
      <c r="AG9" s="174" t="s">
        <v>335</v>
      </c>
      <c r="AH9" s="168" t="s">
        <v>334</v>
      </c>
      <c r="AL9" s="29"/>
      <c r="AP9" s="23" t="s">
        <v>336</v>
      </c>
      <c r="AR9" s="30" t="s">
        <v>89</v>
      </c>
      <c r="AV9" s="23" t="s">
        <v>102</v>
      </c>
      <c r="AX9" s="24">
        <v>128</v>
      </c>
      <c r="AY9" s="25">
        <v>27</v>
      </c>
      <c r="AZ9" s="25">
        <v>129</v>
      </c>
      <c r="BA9" s="26">
        <v>25</v>
      </c>
    </row>
    <row r="10" spans="1:53" x14ac:dyDescent="0.15">
      <c r="A10" s="53" t="s">
        <v>59</v>
      </c>
      <c r="B10" s="36" t="s">
        <v>232</v>
      </c>
      <c r="C10" s="165">
        <v>2019</v>
      </c>
      <c r="D10" s="166" t="s">
        <v>281</v>
      </c>
      <c r="E10" s="53" t="s">
        <v>316</v>
      </c>
      <c r="F10" s="53" t="s">
        <v>317</v>
      </c>
      <c r="G10" s="53" t="s">
        <v>36</v>
      </c>
      <c r="H10" s="53" t="s">
        <v>160</v>
      </c>
      <c r="I10" s="53" t="s">
        <v>159</v>
      </c>
      <c r="J10" s="53" t="s">
        <v>38</v>
      </c>
      <c r="K10" s="53" t="s">
        <v>161</v>
      </c>
      <c r="L10" s="53">
        <v>3</v>
      </c>
      <c r="N10" s="53">
        <v>4</v>
      </c>
      <c r="O10" s="53">
        <v>0.37</v>
      </c>
      <c r="P10" s="53">
        <v>0.44</v>
      </c>
      <c r="Q10" s="97">
        <f t="shared" si="2"/>
        <v>0.40500000000000003</v>
      </c>
      <c r="R10" s="53">
        <v>16.399999999999999</v>
      </c>
      <c r="S10" s="53">
        <v>112</v>
      </c>
      <c r="T10" s="16">
        <f t="shared" si="0"/>
        <v>33</v>
      </c>
      <c r="U10" s="53">
        <v>397</v>
      </c>
      <c r="V10" s="16">
        <f t="shared" si="1"/>
        <v>16</v>
      </c>
      <c r="W10" s="53">
        <v>6</v>
      </c>
      <c r="X10" s="53" t="s">
        <v>39</v>
      </c>
      <c r="Y10" s="53" t="s">
        <v>40</v>
      </c>
      <c r="Z10" s="53" t="s">
        <v>86</v>
      </c>
      <c r="AA10" s="53" t="s">
        <v>90</v>
      </c>
      <c r="AB10" s="36" t="s">
        <v>315</v>
      </c>
      <c r="AE10" s="22" t="s">
        <v>103</v>
      </c>
      <c r="AG10" s="167" t="s">
        <v>337</v>
      </c>
      <c r="AH10" s="168" t="s">
        <v>326</v>
      </c>
      <c r="AL10" s="99"/>
      <c r="AP10" s="23" t="s">
        <v>100</v>
      </c>
      <c r="AR10" s="30" t="s">
        <v>123</v>
      </c>
      <c r="AV10" s="23" t="s">
        <v>106</v>
      </c>
      <c r="AX10" s="24">
        <v>138</v>
      </c>
      <c r="AY10" s="25">
        <v>25</v>
      </c>
      <c r="AZ10" s="25">
        <v>138</v>
      </c>
      <c r="BA10" s="26">
        <v>22</v>
      </c>
    </row>
    <row r="11" spans="1:53" x14ac:dyDescent="0.15">
      <c r="A11" s="53" t="s">
        <v>59</v>
      </c>
      <c r="B11" s="36" t="s">
        <v>232</v>
      </c>
      <c r="C11" s="165">
        <v>2019</v>
      </c>
      <c r="D11" s="166" t="s">
        <v>281</v>
      </c>
      <c r="E11" s="53" t="s">
        <v>316</v>
      </c>
      <c r="F11" s="53" t="s">
        <v>317</v>
      </c>
      <c r="G11" s="53" t="s">
        <v>36</v>
      </c>
      <c r="H11" s="53" t="s">
        <v>165</v>
      </c>
      <c r="I11" s="53" t="s">
        <v>159</v>
      </c>
      <c r="J11" s="53" t="s">
        <v>38</v>
      </c>
      <c r="K11" s="53" t="s">
        <v>161</v>
      </c>
      <c r="L11" s="53">
        <v>1</v>
      </c>
      <c r="N11" s="53">
        <v>1</v>
      </c>
      <c r="O11" s="53">
        <v>0.7</v>
      </c>
      <c r="P11" s="53">
        <v>0.76</v>
      </c>
      <c r="Q11" s="97">
        <f t="shared" si="2"/>
        <v>0.73</v>
      </c>
      <c r="R11" s="53">
        <v>14</v>
      </c>
      <c r="S11" s="53">
        <v>125</v>
      </c>
      <c r="T11" s="16">
        <f t="shared" si="0"/>
        <v>27</v>
      </c>
      <c r="U11" s="53">
        <v>127</v>
      </c>
      <c r="V11" s="16">
        <f t="shared" si="1"/>
        <v>27</v>
      </c>
      <c r="W11" s="53">
        <v>3</v>
      </c>
      <c r="X11" s="53" t="s">
        <v>39</v>
      </c>
      <c r="Y11" s="53" t="s">
        <v>40</v>
      </c>
      <c r="Z11" s="53" t="s">
        <v>86</v>
      </c>
      <c r="AA11" s="53" t="s">
        <v>90</v>
      </c>
      <c r="AB11" s="36" t="s">
        <v>315</v>
      </c>
      <c r="AE11" s="22" t="s">
        <v>65</v>
      </c>
      <c r="AG11" s="174" t="s">
        <v>338</v>
      </c>
      <c r="AH11" s="168" t="s">
        <v>339</v>
      </c>
      <c r="AL11" s="99"/>
      <c r="AP11" s="23" t="s">
        <v>340</v>
      </c>
      <c r="AR11" s="30" t="s">
        <v>341</v>
      </c>
      <c r="AV11" s="23" t="s">
        <v>284</v>
      </c>
      <c r="AX11" s="24">
        <v>151</v>
      </c>
      <c r="AY11" s="25">
        <v>22</v>
      </c>
      <c r="AZ11" s="25">
        <v>152</v>
      </c>
      <c r="BA11" s="26">
        <v>18</v>
      </c>
    </row>
    <row r="12" spans="1:53" x14ac:dyDescent="0.15">
      <c r="A12" s="53" t="s">
        <v>59</v>
      </c>
      <c r="B12" s="36" t="s">
        <v>232</v>
      </c>
      <c r="C12" s="165">
        <v>2019</v>
      </c>
      <c r="D12" s="166" t="s">
        <v>281</v>
      </c>
      <c r="E12" s="53" t="s">
        <v>316</v>
      </c>
      <c r="F12" s="53" t="s">
        <v>317</v>
      </c>
      <c r="G12" s="53" t="s">
        <v>36</v>
      </c>
      <c r="H12" s="53" t="s">
        <v>165</v>
      </c>
      <c r="I12" s="53" t="s">
        <v>159</v>
      </c>
      <c r="J12" s="53" t="s">
        <v>38</v>
      </c>
      <c r="K12" s="53" t="s">
        <v>161</v>
      </c>
      <c r="L12" s="53">
        <v>2</v>
      </c>
      <c r="N12" s="53">
        <v>1</v>
      </c>
      <c r="O12" s="53">
        <v>0.7</v>
      </c>
      <c r="P12" s="53">
        <v>0.75</v>
      </c>
      <c r="Q12" s="97">
        <f t="shared" si="2"/>
        <v>0.72499999999999998</v>
      </c>
      <c r="R12" s="53">
        <v>14.5</v>
      </c>
      <c r="S12" s="53">
        <v>130</v>
      </c>
      <c r="T12" s="16">
        <f t="shared" si="0"/>
        <v>25</v>
      </c>
      <c r="U12" s="53">
        <v>127</v>
      </c>
      <c r="V12" s="16">
        <f t="shared" si="1"/>
        <v>27</v>
      </c>
      <c r="W12" s="53">
        <v>3</v>
      </c>
      <c r="X12" s="53" t="s">
        <v>39</v>
      </c>
      <c r="Y12" s="53" t="s">
        <v>40</v>
      </c>
      <c r="Z12" s="53" t="s">
        <v>86</v>
      </c>
      <c r="AA12" s="53" t="s">
        <v>90</v>
      </c>
      <c r="AB12" s="36" t="s">
        <v>315</v>
      </c>
      <c r="AE12" s="22" t="s">
        <v>70</v>
      </c>
      <c r="AG12" s="30"/>
      <c r="AH12" s="175"/>
      <c r="AL12" s="99"/>
      <c r="AP12" s="23" t="s">
        <v>67</v>
      </c>
      <c r="AR12" s="30" t="s">
        <v>124</v>
      </c>
      <c r="AV12" s="23" t="s">
        <v>72</v>
      </c>
      <c r="AX12" s="31">
        <v>180</v>
      </c>
      <c r="AY12" s="32">
        <v>18</v>
      </c>
      <c r="AZ12" s="32">
        <v>181</v>
      </c>
      <c r="BA12" s="33">
        <v>16</v>
      </c>
    </row>
    <row r="13" spans="1:53" x14ac:dyDescent="0.15">
      <c r="A13" s="53" t="s">
        <v>59</v>
      </c>
      <c r="B13" s="36" t="s">
        <v>232</v>
      </c>
      <c r="C13" s="165">
        <v>2019</v>
      </c>
      <c r="D13" s="166" t="s">
        <v>281</v>
      </c>
      <c r="E13" s="53" t="s">
        <v>316</v>
      </c>
      <c r="F13" s="53" t="s">
        <v>317</v>
      </c>
      <c r="G13" s="53" t="s">
        <v>36</v>
      </c>
      <c r="H13" s="53" t="s">
        <v>165</v>
      </c>
      <c r="I13" s="53" t="s">
        <v>159</v>
      </c>
      <c r="J13" s="53" t="s">
        <v>38</v>
      </c>
      <c r="K13" s="53" t="s">
        <v>161</v>
      </c>
      <c r="L13" s="53">
        <v>3</v>
      </c>
      <c r="N13" s="53">
        <v>1</v>
      </c>
      <c r="O13" s="53">
        <v>0.72</v>
      </c>
      <c r="P13" s="53">
        <v>0.74</v>
      </c>
      <c r="Q13" s="97">
        <f t="shared" si="2"/>
        <v>0.73</v>
      </c>
      <c r="R13" s="53">
        <v>14</v>
      </c>
      <c r="S13" s="53">
        <v>127</v>
      </c>
      <c r="T13" s="16">
        <f t="shared" si="0"/>
        <v>27</v>
      </c>
      <c r="U13" s="53">
        <v>127</v>
      </c>
      <c r="V13" s="16">
        <f t="shared" si="1"/>
        <v>27</v>
      </c>
      <c r="W13" s="53">
        <v>3</v>
      </c>
      <c r="X13" s="53" t="s">
        <v>39</v>
      </c>
      <c r="Y13" s="53" t="s">
        <v>40</v>
      </c>
      <c r="Z13" s="53" t="s">
        <v>86</v>
      </c>
      <c r="AA13" s="53" t="s">
        <v>90</v>
      </c>
      <c r="AB13" s="36" t="s">
        <v>315</v>
      </c>
      <c r="AE13" s="22" t="s">
        <v>73</v>
      </c>
      <c r="AG13" s="23"/>
      <c r="AH13" s="23"/>
      <c r="AP13" s="23" t="s">
        <v>71</v>
      </c>
      <c r="AR13" s="30" t="s">
        <v>103</v>
      </c>
      <c r="AV13" s="23" t="s">
        <v>75</v>
      </c>
    </row>
    <row r="14" spans="1:53" x14ac:dyDescent="0.15">
      <c r="A14" s="53" t="s">
        <v>59</v>
      </c>
      <c r="B14" s="36" t="s">
        <v>232</v>
      </c>
      <c r="C14" s="165">
        <v>2019</v>
      </c>
      <c r="D14" s="166" t="s">
        <v>281</v>
      </c>
      <c r="E14" s="53" t="s">
        <v>325</v>
      </c>
      <c r="F14" s="53" t="s">
        <v>326</v>
      </c>
      <c r="G14" s="53" t="s">
        <v>36</v>
      </c>
      <c r="H14" s="53" t="s">
        <v>160</v>
      </c>
      <c r="I14" s="53" t="s">
        <v>159</v>
      </c>
      <c r="J14" s="53" t="s">
        <v>38</v>
      </c>
      <c r="K14" s="53" t="s">
        <v>161</v>
      </c>
      <c r="L14" s="53">
        <v>1</v>
      </c>
      <c r="N14" s="53">
        <v>2</v>
      </c>
      <c r="O14" s="53">
        <v>0.31</v>
      </c>
      <c r="P14" s="53">
        <v>0.36</v>
      </c>
      <c r="Q14" s="97">
        <f t="shared" si="2"/>
        <v>0.33499999999999996</v>
      </c>
      <c r="R14" s="53">
        <v>15</v>
      </c>
      <c r="S14" s="53">
        <v>145</v>
      </c>
      <c r="T14" s="16">
        <f t="shared" si="0"/>
        <v>22</v>
      </c>
      <c r="U14" s="53">
        <v>259</v>
      </c>
      <c r="V14" s="16">
        <f t="shared" si="1"/>
        <v>16</v>
      </c>
      <c r="W14" s="53">
        <v>6</v>
      </c>
      <c r="X14" s="53" t="s">
        <v>46</v>
      </c>
      <c r="Y14" s="53" t="s">
        <v>55</v>
      </c>
      <c r="Z14" s="53" t="s">
        <v>90</v>
      </c>
      <c r="AA14" s="53" t="s">
        <v>47</v>
      </c>
      <c r="AB14" s="36" t="s">
        <v>315</v>
      </c>
      <c r="AE14" s="22" t="s">
        <v>76</v>
      </c>
      <c r="AG14" s="23"/>
      <c r="AH14" s="23"/>
      <c r="AP14" s="23" t="s">
        <v>342</v>
      </c>
      <c r="AR14" s="30" t="s">
        <v>125</v>
      </c>
      <c r="AV14" s="23" t="s">
        <v>78</v>
      </c>
    </row>
    <row r="15" spans="1:53" x14ac:dyDescent="0.15">
      <c r="A15" s="53" t="s">
        <v>59</v>
      </c>
      <c r="B15" s="36" t="s">
        <v>232</v>
      </c>
      <c r="C15" s="165">
        <v>2019</v>
      </c>
      <c r="D15" s="166" t="s">
        <v>281</v>
      </c>
      <c r="E15" s="53" t="s">
        <v>325</v>
      </c>
      <c r="F15" s="53" t="s">
        <v>326</v>
      </c>
      <c r="G15" s="53" t="s">
        <v>36</v>
      </c>
      <c r="H15" s="53" t="s">
        <v>160</v>
      </c>
      <c r="I15" s="53" t="s">
        <v>159</v>
      </c>
      <c r="J15" s="53" t="s">
        <v>38</v>
      </c>
      <c r="K15" s="53" t="s">
        <v>161</v>
      </c>
      <c r="L15" s="53">
        <v>2</v>
      </c>
      <c r="N15" s="53">
        <v>2</v>
      </c>
      <c r="O15" s="53">
        <v>0.45</v>
      </c>
      <c r="P15" s="53">
        <v>0.4</v>
      </c>
      <c r="Q15" s="97">
        <f t="shared" si="2"/>
        <v>0.42500000000000004</v>
      </c>
      <c r="R15" s="53">
        <v>15.5</v>
      </c>
      <c r="S15" s="53">
        <v>144</v>
      </c>
      <c r="T15" s="16">
        <f t="shared" si="0"/>
        <v>22</v>
      </c>
      <c r="U15" s="53">
        <v>259</v>
      </c>
      <c r="V15" s="16">
        <f t="shared" si="1"/>
        <v>16</v>
      </c>
      <c r="W15" s="53">
        <v>6</v>
      </c>
      <c r="X15" s="53" t="s">
        <v>46</v>
      </c>
      <c r="Y15" s="53" t="s">
        <v>55</v>
      </c>
      <c r="Z15" s="53" t="s">
        <v>90</v>
      </c>
      <c r="AA15" s="53" t="s">
        <v>47</v>
      </c>
      <c r="AB15" s="36" t="s">
        <v>315</v>
      </c>
      <c r="AE15" s="22" t="s">
        <v>79</v>
      </c>
      <c r="AG15" s="23"/>
      <c r="AH15" s="23"/>
      <c r="AP15" s="23" t="s">
        <v>343</v>
      </c>
      <c r="AR15" s="30" t="s">
        <v>94</v>
      </c>
      <c r="AV15" s="23" t="s">
        <v>107</v>
      </c>
    </row>
    <row r="16" spans="1:53" x14ac:dyDescent="0.15">
      <c r="A16" s="53" t="s">
        <v>59</v>
      </c>
      <c r="B16" s="36" t="s">
        <v>232</v>
      </c>
      <c r="C16" s="165">
        <v>2019</v>
      </c>
      <c r="D16" s="166" t="s">
        <v>281</v>
      </c>
      <c r="E16" s="53" t="s">
        <v>325</v>
      </c>
      <c r="F16" s="53" t="s">
        <v>326</v>
      </c>
      <c r="G16" s="53" t="s">
        <v>36</v>
      </c>
      <c r="H16" s="53" t="s">
        <v>160</v>
      </c>
      <c r="I16" s="53" t="s">
        <v>159</v>
      </c>
      <c r="J16" s="53" t="s">
        <v>38</v>
      </c>
      <c r="K16" s="53" t="s">
        <v>161</v>
      </c>
      <c r="L16" s="53">
        <v>3</v>
      </c>
      <c r="N16" s="53">
        <v>2</v>
      </c>
      <c r="O16" s="53">
        <v>0.42</v>
      </c>
      <c r="P16" s="53">
        <v>0.39</v>
      </c>
      <c r="Q16" s="97">
        <f t="shared" si="2"/>
        <v>0.40500000000000003</v>
      </c>
      <c r="R16" s="53">
        <v>15.8</v>
      </c>
      <c r="S16" s="53">
        <v>146</v>
      </c>
      <c r="T16" s="16">
        <f t="shared" si="0"/>
        <v>22</v>
      </c>
      <c r="U16" s="53">
        <v>259</v>
      </c>
      <c r="V16" s="16">
        <f t="shared" si="1"/>
        <v>16</v>
      </c>
      <c r="W16" s="53">
        <v>6</v>
      </c>
      <c r="X16" s="53" t="s">
        <v>46</v>
      </c>
      <c r="Y16" s="53" t="s">
        <v>55</v>
      </c>
      <c r="Z16" s="53" t="s">
        <v>90</v>
      </c>
      <c r="AA16" s="53" t="s">
        <v>47</v>
      </c>
      <c r="AB16" s="36" t="s">
        <v>315</v>
      </c>
      <c r="AE16" s="22" t="s">
        <v>82</v>
      </c>
      <c r="AG16" s="28"/>
      <c r="AH16" s="28"/>
      <c r="AP16" s="23" t="s">
        <v>80</v>
      </c>
      <c r="AR16" s="41" t="s">
        <v>63</v>
      </c>
      <c r="AV16" s="23" t="s">
        <v>84</v>
      </c>
    </row>
    <row r="17" spans="1:48" x14ac:dyDescent="0.15">
      <c r="A17" s="53" t="s">
        <v>59</v>
      </c>
      <c r="B17" s="36" t="s">
        <v>232</v>
      </c>
      <c r="C17" s="165">
        <v>2019</v>
      </c>
      <c r="D17" s="166" t="s">
        <v>281</v>
      </c>
      <c r="E17" s="53" t="s">
        <v>325</v>
      </c>
      <c r="F17" s="53" t="s">
        <v>326</v>
      </c>
      <c r="G17" s="53" t="s">
        <v>36</v>
      </c>
      <c r="H17" s="53" t="s">
        <v>165</v>
      </c>
      <c r="I17" s="53" t="s">
        <v>159</v>
      </c>
      <c r="J17" s="53" t="s">
        <v>38</v>
      </c>
      <c r="K17" s="53" t="s">
        <v>161</v>
      </c>
      <c r="L17" s="53">
        <v>1</v>
      </c>
      <c r="N17" s="53">
        <v>4</v>
      </c>
      <c r="O17" s="53">
        <v>0.75</v>
      </c>
      <c r="P17" s="53">
        <v>0.8</v>
      </c>
      <c r="Q17" s="97">
        <f t="shared" si="2"/>
        <v>0.77500000000000002</v>
      </c>
      <c r="R17" s="53">
        <v>13.2</v>
      </c>
      <c r="S17" s="53">
        <v>86</v>
      </c>
      <c r="T17" s="16">
        <f t="shared" si="0"/>
        <v>36</v>
      </c>
      <c r="U17" s="53">
        <v>399</v>
      </c>
      <c r="V17" s="16">
        <f t="shared" si="1"/>
        <v>16</v>
      </c>
      <c r="W17" s="53">
        <v>6</v>
      </c>
      <c r="X17" s="53" t="s">
        <v>46</v>
      </c>
      <c r="Y17" s="53" t="s">
        <v>55</v>
      </c>
      <c r="Z17" s="53" t="s">
        <v>90</v>
      </c>
      <c r="AA17" s="53" t="s">
        <v>47</v>
      </c>
      <c r="AB17" s="36" t="s">
        <v>315</v>
      </c>
      <c r="AE17" s="22" t="s">
        <v>85</v>
      </c>
      <c r="AP17" s="43" t="s">
        <v>110</v>
      </c>
      <c r="AR17" s="41" t="s">
        <v>96</v>
      </c>
      <c r="AV17" s="23" t="s">
        <v>86</v>
      </c>
    </row>
    <row r="18" spans="1:48" x14ac:dyDescent="0.15">
      <c r="A18" s="53" t="s">
        <v>59</v>
      </c>
      <c r="B18" s="36" t="s">
        <v>232</v>
      </c>
      <c r="C18" s="165">
        <v>2019</v>
      </c>
      <c r="D18" s="166" t="s">
        <v>281</v>
      </c>
      <c r="E18" s="53" t="s">
        <v>325</v>
      </c>
      <c r="F18" s="53" t="s">
        <v>326</v>
      </c>
      <c r="G18" s="53" t="s">
        <v>36</v>
      </c>
      <c r="H18" s="53" t="s">
        <v>165</v>
      </c>
      <c r="I18" s="53" t="s">
        <v>159</v>
      </c>
      <c r="J18" s="53" t="s">
        <v>38</v>
      </c>
      <c r="K18" s="53" t="s">
        <v>161</v>
      </c>
      <c r="L18" s="53">
        <v>2</v>
      </c>
      <c r="N18" s="53">
        <v>4</v>
      </c>
      <c r="O18" s="53">
        <v>0.56999999999999995</v>
      </c>
      <c r="P18" s="53">
        <v>0.64</v>
      </c>
      <c r="Q18" s="97">
        <f t="shared" si="2"/>
        <v>0.60499999999999998</v>
      </c>
      <c r="R18" s="53">
        <v>13.4</v>
      </c>
      <c r="S18" s="53">
        <v>96</v>
      </c>
      <c r="T18" s="16">
        <f t="shared" si="0"/>
        <v>36</v>
      </c>
      <c r="U18" s="53">
        <v>399</v>
      </c>
      <c r="V18" s="16">
        <f t="shared" si="1"/>
        <v>16</v>
      </c>
      <c r="W18" s="53">
        <v>6</v>
      </c>
      <c r="X18" s="53" t="s">
        <v>46</v>
      </c>
      <c r="Y18" s="53" t="s">
        <v>55</v>
      </c>
      <c r="Z18" s="53" t="s">
        <v>90</v>
      </c>
      <c r="AA18" s="53" t="s">
        <v>47</v>
      </c>
      <c r="AB18" s="36" t="s">
        <v>315</v>
      </c>
      <c r="AE18" s="22" t="s">
        <v>87</v>
      </c>
      <c r="AP18" s="43" t="s">
        <v>344</v>
      </c>
      <c r="AR18" s="41" t="s">
        <v>101</v>
      </c>
      <c r="AV18" s="23" t="s">
        <v>88</v>
      </c>
    </row>
    <row r="19" spans="1:48" x14ac:dyDescent="0.15">
      <c r="A19" s="53" t="s">
        <v>59</v>
      </c>
      <c r="B19" s="36" t="s">
        <v>232</v>
      </c>
      <c r="C19" s="165">
        <v>2019</v>
      </c>
      <c r="D19" s="166" t="s">
        <v>281</v>
      </c>
      <c r="E19" s="53" t="s">
        <v>325</v>
      </c>
      <c r="F19" s="53" t="s">
        <v>326</v>
      </c>
      <c r="G19" s="53" t="s">
        <v>36</v>
      </c>
      <c r="H19" s="53" t="s">
        <v>165</v>
      </c>
      <c r="I19" s="53" t="s">
        <v>159</v>
      </c>
      <c r="J19" s="53" t="s">
        <v>38</v>
      </c>
      <c r="K19" s="53" t="s">
        <v>161</v>
      </c>
      <c r="L19" s="53">
        <v>3</v>
      </c>
      <c r="N19" s="53">
        <v>4</v>
      </c>
      <c r="O19" s="53">
        <v>0.7</v>
      </c>
      <c r="P19" s="53">
        <v>0.74</v>
      </c>
      <c r="Q19" s="97">
        <f t="shared" si="2"/>
        <v>0.72</v>
      </c>
      <c r="R19" s="53">
        <v>13.1</v>
      </c>
      <c r="S19" s="53">
        <v>94</v>
      </c>
      <c r="T19" s="16">
        <f t="shared" si="0"/>
        <v>36</v>
      </c>
      <c r="U19" s="53">
        <v>399</v>
      </c>
      <c r="V19" s="16">
        <f t="shared" si="1"/>
        <v>16</v>
      </c>
      <c r="W19" s="53">
        <v>6</v>
      </c>
      <c r="X19" s="53" t="s">
        <v>46</v>
      </c>
      <c r="Y19" s="53" t="s">
        <v>55</v>
      </c>
      <c r="Z19" s="53" t="s">
        <v>90</v>
      </c>
      <c r="AA19" s="53" t="s">
        <v>47</v>
      </c>
      <c r="AB19" s="36" t="s">
        <v>315</v>
      </c>
      <c r="AD19" s="36"/>
      <c r="AE19" s="35" t="s">
        <v>89</v>
      </c>
      <c r="AP19" s="43" t="s">
        <v>112</v>
      </c>
      <c r="AR19" s="30" t="s">
        <v>126</v>
      </c>
      <c r="AV19" s="23" t="s">
        <v>345</v>
      </c>
    </row>
    <row r="20" spans="1:48" x14ac:dyDescent="0.15">
      <c r="A20" s="53" t="s">
        <v>59</v>
      </c>
      <c r="B20" s="36" t="s">
        <v>232</v>
      </c>
      <c r="C20" s="165">
        <v>2019</v>
      </c>
      <c r="D20" s="166" t="s">
        <v>281</v>
      </c>
      <c r="E20" s="53" t="s">
        <v>337</v>
      </c>
      <c r="F20" s="53" t="s">
        <v>326</v>
      </c>
      <c r="G20" s="53" t="s">
        <v>36</v>
      </c>
      <c r="H20" s="53" t="s">
        <v>160</v>
      </c>
      <c r="I20" s="53" t="s">
        <v>159</v>
      </c>
      <c r="J20" s="53" t="s">
        <v>38</v>
      </c>
      <c r="K20" s="53" t="s">
        <v>161</v>
      </c>
      <c r="L20" s="53">
        <v>1</v>
      </c>
      <c r="N20" s="53">
        <v>2</v>
      </c>
      <c r="O20" s="53">
        <v>0.46</v>
      </c>
      <c r="P20" s="53">
        <v>0.47</v>
      </c>
      <c r="Q20" s="97">
        <f t="shared" si="2"/>
        <v>0.46499999999999997</v>
      </c>
      <c r="R20" s="53">
        <v>17.3</v>
      </c>
      <c r="S20" s="53">
        <v>168</v>
      </c>
      <c r="T20" s="16">
        <f t="shared" si="0"/>
        <v>18</v>
      </c>
      <c r="U20" s="53">
        <v>429</v>
      </c>
      <c r="V20" s="16">
        <f t="shared" si="1"/>
        <v>16</v>
      </c>
      <c r="W20" s="53">
        <v>4</v>
      </c>
      <c r="X20" s="53" t="s">
        <v>46</v>
      </c>
      <c r="Y20" s="53" t="s">
        <v>78</v>
      </c>
      <c r="Z20" s="53" t="s">
        <v>90</v>
      </c>
      <c r="AA20" s="53" t="s">
        <v>69</v>
      </c>
      <c r="AB20" s="36" t="s">
        <v>315</v>
      </c>
      <c r="AD20" s="36"/>
      <c r="AE20" s="35"/>
      <c r="AP20" s="43" t="s">
        <v>113</v>
      </c>
      <c r="AR20" s="41" t="s">
        <v>105</v>
      </c>
      <c r="AV20" s="27" t="s">
        <v>135</v>
      </c>
    </row>
    <row r="21" spans="1:48" x14ac:dyDescent="0.15">
      <c r="A21" s="53" t="s">
        <v>59</v>
      </c>
      <c r="B21" s="36" t="s">
        <v>232</v>
      </c>
      <c r="C21" s="165">
        <v>2019</v>
      </c>
      <c r="D21" s="166" t="s">
        <v>281</v>
      </c>
      <c r="E21" s="53" t="s">
        <v>337</v>
      </c>
      <c r="F21" s="53" t="s">
        <v>326</v>
      </c>
      <c r="G21" s="53" t="s">
        <v>36</v>
      </c>
      <c r="H21" s="53" t="s">
        <v>160</v>
      </c>
      <c r="I21" s="53" t="s">
        <v>159</v>
      </c>
      <c r="J21" s="53" t="s">
        <v>38</v>
      </c>
      <c r="K21" s="53" t="s">
        <v>161</v>
      </c>
      <c r="L21" s="53">
        <v>2</v>
      </c>
      <c r="N21" s="53">
        <v>2</v>
      </c>
      <c r="O21" s="53">
        <v>0.43</v>
      </c>
      <c r="P21" s="53">
        <v>0.42</v>
      </c>
      <c r="Q21" s="97">
        <f t="shared" si="2"/>
        <v>0.42499999999999999</v>
      </c>
      <c r="R21" s="53">
        <v>16.899999999999999</v>
      </c>
      <c r="S21" s="53">
        <v>152</v>
      </c>
      <c r="T21" s="16">
        <f t="shared" si="0"/>
        <v>18</v>
      </c>
      <c r="U21" s="53">
        <v>429</v>
      </c>
      <c r="V21" s="16">
        <f t="shared" si="1"/>
        <v>16</v>
      </c>
      <c r="W21" s="53">
        <v>4</v>
      </c>
      <c r="X21" s="53" t="s">
        <v>46</v>
      </c>
      <c r="Y21" s="53" t="s">
        <v>78</v>
      </c>
      <c r="Z21" s="53" t="s">
        <v>90</v>
      </c>
      <c r="AA21" s="53" t="s">
        <v>69</v>
      </c>
      <c r="AB21" s="36" t="s">
        <v>315</v>
      </c>
      <c r="AD21" s="36"/>
      <c r="AE21" s="28"/>
      <c r="AP21" s="43" t="s">
        <v>346</v>
      </c>
      <c r="AR21" s="41" t="s">
        <v>68</v>
      </c>
      <c r="AV21" s="27" t="s">
        <v>136</v>
      </c>
    </row>
    <row r="22" spans="1:48" x14ac:dyDescent="0.15">
      <c r="A22" s="53" t="s">
        <v>59</v>
      </c>
      <c r="B22" s="36" t="s">
        <v>232</v>
      </c>
      <c r="C22" s="165">
        <v>2019</v>
      </c>
      <c r="D22" s="166" t="s">
        <v>281</v>
      </c>
      <c r="E22" s="53" t="s">
        <v>337</v>
      </c>
      <c r="F22" s="53" t="s">
        <v>326</v>
      </c>
      <c r="G22" s="53" t="s">
        <v>36</v>
      </c>
      <c r="H22" s="53" t="s">
        <v>160</v>
      </c>
      <c r="I22" s="53" t="s">
        <v>159</v>
      </c>
      <c r="J22" s="53" t="s">
        <v>38</v>
      </c>
      <c r="K22" s="53" t="s">
        <v>161</v>
      </c>
      <c r="L22" s="53">
        <v>3</v>
      </c>
      <c r="N22" s="53">
        <v>2</v>
      </c>
      <c r="O22" s="53">
        <v>0.45</v>
      </c>
      <c r="P22" s="53">
        <v>0.42</v>
      </c>
      <c r="Q22" s="97">
        <f t="shared" si="2"/>
        <v>0.435</v>
      </c>
      <c r="R22" s="53">
        <v>16.8</v>
      </c>
      <c r="S22" s="53">
        <v>155</v>
      </c>
      <c r="T22" s="16">
        <f t="shared" si="0"/>
        <v>18</v>
      </c>
      <c r="U22" s="53">
        <v>429</v>
      </c>
      <c r="V22" s="16">
        <f t="shared" si="1"/>
        <v>16</v>
      </c>
      <c r="W22" s="53">
        <v>4</v>
      </c>
      <c r="X22" s="53" t="s">
        <v>46</v>
      </c>
      <c r="Y22" s="53" t="s">
        <v>78</v>
      </c>
      <c r="Z22" s="53" t="s">
        <v>90</v>
      </c>
      <c r="AA22" s="53" t="s">
        <v>69</v>
      </c>
      <c r="AB22" s="36" t="s">
        <v>315</v>
      </c>
      <c r="AD22" s="36"/>
      <c r="AP22" s="43" t="s">
        <v>347</v>
      </c>
      <c r="AR22" s="41" t="s">
        <v>83</v>
      </c>
      <c r="AV22" s="27" t="s">
        <v>348</v>
      </c>
    </row>
    <row r="23" spans="1:48" x14ac:dyDescent="0.15">
      <c r="A23" s="53" t="s">
        <v>59</v>
      </c>
      <c r="B23" s="36" t="s">
        <v>232</v>
      </c>
      <c r="C23" s="165">
        <v>2019</v>
      </c>
      <c r="D23" s="166" t="s">
        <v>281</v>
      </c>
      <c r="E23" s="53" t="s">
        <v>337</v>
      </c>
      <c r="F23" s="53" t="s">
        <v>326</v>
      </c>
      <c r="G23" s="53" t="s">
        <v>36</v>
      </c>
      <c r="H23" s="53" t="s">
        <v>165</v>
      </c>
      <c r="I23" s="53" t="s">
        <v>159</v>
      </c>
      <c r="J23" s="53" t="s">
        <v>38</v>
      </c>
      <c r="K23" s="53" t="s">
        <v>161</v>
      </c>
      <c r="L23" s="53">
        <v>1</v>
      </c>
      <c r="N23" s="53">
        <v>1</v>
      </c>
      <c r="O23" s="53">
        <v>0.48</v>
      </c>
      <c r="P23" s="53">
        <v>0.46</v>
      </c>
      <c r="Q23" s="97">
        <f t="shared" si="2"/>
        <v>0.47</v>
      </c>
      <c r="R23" s="53">
        <v>14.3</v>
      </c>
      <c r="S23" s="53">
        <v>145</v>
      </c>
      <c r="T23" s="16">
        <f t="shared" si="0"/>
        <v>22</v>
      </c>
      <c r="U23" s="53">
        <v>162</v>
      </c>
      <c r="V23" s="16">
        <f t="shared" si="1"/>
        <v>18</v>
      </c>
      <c r="W23" s="53">
        <v>2</v>
      </c>
      <c r="X23" s="53" t="s">
        <v>46</v>
      </c>
      <c r="Y23" s="53" t="s">
        <v>78</v>
      </c>
      <c r="Z23" s="53" t="s">
        <v>90</v>
      </c>
      <c r="AA23" s="53" t="s">
        <v>69</v>
      </c>
      <c r="AB23" s="36" t="s">
        <v>315</v>
      </c>
      <c r="AP23" s="43" t="s">
        <v>137</v>
      </c>
      <c r="AR23" s="41" t="s">
        <v>61</v>
      </c>
      <c r="AV23" s="27" t="s">
        <v>349</v>
      </c>
    </row>
    <row r="24" spans="1:48" x14ac:dyDescent="0.15">
      <c r="A24" s="53" t="s">
        <v>59</v>
      </c>
      <c r="B24" s="36" t="s">
        <v>232</v>
      </c>
      <c r="C24" s="165">
        <v>2019</v>
      </c>
      <c r="D24" s="166" t="s">
        <v>281</v>
      </c>
      <c r="E24" s="53" t="s">
        <v>337</v>
      </c>
      <c r="F24" s="53" t="s">
        <v>326</v>
      </c>
      <c r="G24" s="53" t="s">
        <v>36</v>
      </c>
      <c r="H24" s="53" t="s">
        <v>165</v>
      </c>
      <c r="I24" s="53" t="s">
        <v>159</v>
      </c>
      <c r="J24" s="53" t="s">
        <v>38</v>
      </c>
      <c r="K24" s="53" t="s">
        <v>161</v>
      </c>
      <c r="L24" s="53">
        <v>2</v>
      </c>
      <c r="N24" s="53">
        <v>1</v>
      </c>
      <c r="O24" s="53">
        <v>0.5</v>
      </c>
      <c r="P24" s="53">
        <v>0.48</v>
      </c>
      <c r="Q24" s="97">
        <f t="shared" si="2"/>
        <v>0.49</v>
      </c>
      <c r="R24" s="53">
        <v>15.7</v>
      </c>
      <c r="S24" s="53">
        <v>146</v>
      </c>
      <c r="T24" s="16">
        <f t="shared" si="0"/>
        <v>22</v>
      </c>
      <c r="U24" s="53">
        <v>162</v>
      </c>
      <c r="V24" s="16">
        <f t="shared" si="1"/>
        <v>18</v>
      </c>
      <c r="W24" s="53">
        <v>2</v>
      </c>
      <c r="X24" s="53" t="s">
        <v>46</v>
      </c>
      <c r="Y24" s="53" t="s">
        <v>78</v>
      </c>
      <c r="Z24" s="53" t="s">
        <v>90</v>
      </c>
      <c r="AA24" s="53" t="s">
        <v>69</v>
      </c>
      <c r="AB24" s="36" t="s">
        <v>315</v>
      </c>
      <c r="AP24" s="43" t="s">
        <v>138</v>
      </c>
      <c r="AR24" s="41" t="s">
        <v>91</v>
      </c>
      <c r="AV24" s="27" t="s">
        <v>350</v>
      </c>
    </row>
    <row r="25" spans="1:48" x14ac:dyDescent="0.15">
      <c r="A25" s="53" t="s">
        <v>59</v>
      </c>
      <c r="B25" s="36" t="s">
        <v>232</v>
      </c>
      <c r="C25" s="165">
        <v>2019</v>
      </c>
      <c r="D25" s="166" t="s">
        <v>281</v>
      </c>
      <c r="E25" s="53" t="s">
        <v>337</v>
      </c>
      <c r="F25" s="53" t="s">
        <v>326</v>
      </c>
      <c r="G25" s="53" t="s">
        <v>36</v>
      </c>
      <c r="H25" s="53" t="s">
        <v>165</v>
      </c>
      <c r="I25" s="53" t="s">
        <v>159</v>
      </c>
      <c r="J25" s="53" t="s">
        <v>38</v>
      </c>
      <c r="K25" s="53" t="s">
        <v>161</v>
      </c>
      <c r="L25" s="53">
        <v>3</v>
      </c>
      <c r="N25" s="53">
        <v>1</v>
      </c>
      <c r="O25" s="53">
        <v>0.5</v>
      </c>
      <c r="P25" s="53">
        <v>0.47</v>
      </c>
      <c r="Q25" s="97">
        <f t="shared" si="2"/>
        <v>0.48499999999999999</v>
      </c>
      <c r="R25" s="53">
        <v>15.5</v>
      </c>
      <c r="S25" s="53">
        <v>145</v>
      </c>
      <c r="T25" s="16">
        <f t="shared" si="0"/>
        <v>22</v>
      </c>
      <c r="U25" s="53">
        <v>162</v>
      </c>
      <c r="V25" s="16">
        <f t="shared" si="1"/>
        <v>18</v>
      </c>
      <c r="W25" s="53">
        <v>2</v>
      </c>
      <c r="X25" s="53" t="s">
        <v>46</v>
      </c>
      <c r="Y25" s="53" t="s">
        <v>78</v>
      </c>
      <c r="Z25" s="53" t="s">
        <v>90</v>
      </c>
      <c r="AA25" s="53" t="s">
        <v>69</v>
      </c>
      <c r="AB25" s="36" t="s">
        <v>315</v>
      </c>
      <c r="AD25" s="36"/>
      <c r="AP25" s="43" t="s">
        <v>116</v>
      </c>
      <c r="AR25" s="42" t="s">
        <v>92</v>
      </c>
      <c r="AV25" s="27" t="s">
        <v>351</v>
      </c>
    </row>
    <row r="26" spans="1:48" x14ac:dyDescent="0.15">
      <c r="A26" s="53" t="s">
        <v>59</v>
      </c>
      <c r="B26" s="36" t="s">
        <v>232</v>
      </c>
      <c r="C26" s="165">
        <v>2019</v>
      </c>
      <c r="D26" s="166" t="s">
        <v>281</v>
      </c>
      <c r="E26" s="53" t="s">
        <v>335</v>
      </c>
      <c r="F26" s="53" t="s">
        <v>334</v>
      </c>
      <c r="G26" s="53" t="s">
        <v>36</v>
      </c>
      <c r="H26" s="53" t="s">
        <v>160</v>
      </c>
      <c r="I26" s="53" t="s">
        <v>159</v>
      </c>
      <c r="J26" s="53" t="s">
        <v>38</v>
      </c>
      <c r="K26" s="53" t="s">
        <v>161</v>
      </c>
      <c r="L26" s="53">
        <v>1</v>
      </c>
      <c r="N26" s="53">
        <v>4</v>
      </c>
      <c r="O26" s="53">
        <v>0.34</v>
      </c>
      <c r="P26" s="53">
        <v>0.35</v>
      </c>
      <c r="Q26" s="97">
        <f t="shared" si="2"/>
        <v>0.34499999999999997</v>
      </c>
      <c r="R26" s="53">
        <v>17.899999999999999</v>
      </c>
      <c r="S26" s="53">
        <v>110</v>
      </c>
      <c r="T26" s="16">
        <f t="shared" si="0"/>
        <v>33</v>
      </c>
      <c r="U26" s="53">
        <v>398</v>
      </c>
      <c r="V26" s="16">
        <f t="shared" si="1"/>
        <v>16</v>
      </c>
      <c r="W26" s="53">
        <v>10</v>
      </c>
      <c r="X26" s="53" t="s">
        <v>46</v>
      </c>
      <c r="Y26" s="53" t="s">
        <v>55</v>
      </c>
      <c r="Z26" s="53" t="s">
        <v>90</v>
      </c>
      <c r="AA26" s="53" t="s">
        <v>78</v>
      </c>
      <c r="AB26" s="36" t="s">
        <v>315</v>
      </c>
      <c r="AD26" s="36"/>
      <c r="AP26" s="43" t="s">
        <v>117</v>
      </c>
      <c r="AR26" s="27" t="s">
        <v>352</v>
      </c>
      <c r="AV26" s="27"/>
    </row>
    <row r="27" spans="1:48" x14ac:dyDescent="0.15">
      <c r="A27" s="53" t="s">
        <v>59</v>
      </c>
      <c r="B27" s="36" t="s">
        <v>232</v>
      </c>
      <c r="C27" s="165">
        <v>2019</v>
      </c>
      <c r="D27" s="166" t="s">
        <v>281</v>
      </c>
      <c r="E27" s="53" t="s">
        <v>335</v>
      </c>
      <c r="F27" s="53" t="s">
        <v>334</v>
      </c>
      <c r="G27" s="53" t="s">
        <v>36</v>
      </c>
      <c r="H27" s="53" t="s">
        <v>160</v>
      </c>
      <c r="I27" s="53" t="s">
        <v>159</v>
      </c>
      <c r="J27" s="53" t="s">
        <v>38</v>
      </c>
      <c r="K27" s="53" t="s">
        <v>161</v>
      </c>
      <c r="L27" s="53">
        <v>2</v>
      </c>
      <c r="N27" s="53">
        <v>4</v>
      </c>
      <c r="O27" s="53">
        <v>0.26</v>
      </c>
      <c r="P27" s="53">
        <v>0.32</v>
      </c>
      <c r="Q27" s="97">
        <f t="shared" si="2"/>
        <v>0.29000000000000004</v>
      </c>
      <c r="R27" s="53">
        <v>17.899999999999999</v>
      </c>
      <c r="S27" s="53">
        <v>116</v>
      </c>
      <c r="T27" s="16">
        <f t="shared" si="0"/>
        <v>30</v>
      </c>
      <c r="U27" s="53">
        <v>398</v>
      </c>
      <c r="V27" s="16">
        <f t="shared" si="1"/>
        <v>16</v>
      </c>
      <c r="W27" s="53">
        <v>10</v>
      </c>
      <c r="X27" s="53" t="s">
        <v>46</v>
      </c>
      <c r="Y27" s="53" t="s">
        <v>55</v>
      </c>
      <c r="Z27" s="53" t="s">
        <v>90</v>
      </c>
      <c r="AA27" s="53" t="s">
        <v>78</v>
      </c>
      <c r="AB27" s="36" t="s">
        <v>315</v>
      </c>
      <c r="AD27" s="36"/>
      <c r="AP27" s="43" t="s">
        <v>118</v>
      </c>
      <c r="AR27" s="28" t="s">
        <v>153</v>
      </c>
      <c r="AV27" s="27"/>
    </row>
    <row r="28" spans="1:48" x14ac:dyDescent="0.15">
      <c r="A28" s="53" t="s">
        <v>59</v>
      </c>
      <c r="B28" s="36" t="s">
        <v>232</v>
      </c>
      <c r="C28" s="165">
        <v>2019</v>
      </c>
      <c r="D28" s="166" t="s">
        <v>281</v>
      </c>
      <c r="E28" s="53" t="s">
        <v>335</v>
      </c>
      <c r="F28" s="53" t="s">
        <v>334</v>
      </c>
      <c r="G28" s="53" t="s">
        <v>36</v>
      </c>
      <c r="H28" s="53" t="s">
        <v>160</v>
      </c>
      <c r="I28" s="53" t="s">
        <v>159</v>
      </c>
      <c r="J28" s="53" t="s">
        <v>38</v>
      </c>
      <c r="K28" s="53" t="s">
        <v>161</v>
      </c>
      <c r="L28" s="53">
        <v>3</v>
      </c>
      <c r="N28" s="53">
        <v>4</v>
      </c>
      <c r="O28" s="53">
        <v>0.31</v>
      </c>
      <c r="P28" s="53">
        <v>0.36</v>
      </c>
      <c r="Q28" s="97">
        <f t="shared" si="2"/>
        <v>0.33499999999999996</v>
      </c>
      <c r="R28" s="53">
        <v>18.2</v>
      </c>
      <c r="S28" s="53">
        <v>112</v>
      </c>
      <c r="T28" s="16">
        <f t="shared" si="0"/>
        <v>33</v>
      </c>
      <c r="U28" s="53">
        <v>398</v>
      </c>
      <c r="V28" s="16">
        <f t="shared" si="1"/>
        <v>16</v>
      </c>
      <c r="W28" s="53">
        <v>10</v>
      </c>
      <c r="X28" s="53" t="s">
        <v>46</v>
      </c>
      <c r="Y28" s="53" t="s">
        <v>55</v>
      </c>
      <c r="Z28" s="53" t="s">
        <v>90</v>
      </c>
      <c r="AA28" s="53" t="s">
        <v>78</v>
      </c>
      <c r="AB28" s="36" t="s">
        <v>315</v>
      </c>
      <c r="AD28" s="36"/>
      <c r="AV28" s="27"/>
    </row>
    <row r="29" spans="1:48" x14ac:dyDescent="0.15">
      <c r="A29" s="53" t="s">
        <v>59</v>
      </c>
      <c r="B29" s="36" t="s">
        <v>232</v>
      </c>
      <c r="C29" s="165">
        <v>2019</v>
      </c>
      <c r="D29" s="166" t="s">
        <v>281</v>
      </c>
      <c r="E29" s="53" t="s">
        <v>162</v>
      </c>
      <c r="F29" s="53" t="s">
        <v>334</v>
      </c>
      <c r="G29" s="53" t="s">
        <v>36</v>
      </c>
      <c r="H29" s="53" t="s">
        <v>160</v>
      </c>
      <c r="I29" s="53" t="s">
        <v>159</v>
      </c>
      <c r="J29" s="53" t="s">
        <v>38</v>
      </c>
      <c r="K29" s="53" t="s">
        <v>161</v>
      </c>
      <c r="L29" s="53">
        <v>1</v>
      </c>
      <c r="N29" s="53">
        <v>4</v>
      </c>
      <c r="O29" s="53">
        <v>0.35</v>
      </c>
      <c r="P29" s="53">
        <v>0.35</v>
      </c>
      <c r="Q29" s="97">
        <f t="shared" si="2"/>
        <v>0.35</v>
      </c>
      <c r="R29" s="53">
        <v>16.8</v>
      </c>
      <c r="S29" s="53">
        <v>100</v>
      </c>
      <c r="T29" s="16">
        <f t="shared" si="0"/>
        <v>33</v>
      </c>
      <c r="U29" s="53">
        <v>398</v>
      </c>
      <c r="V29" s="16">
        <f t="shared" si="1"/>
        <v>16</v>
      </c>
      <c r="W29" s="53">
        <v>8</v>
      </c>
      <c r="X29" s="53" t="s">
        <v>46</v>
      </c>
      <c r="Y29" s="53" t="s">
        <v>55</v>
      </c>
      <c r="Z29" s="53" t="s">
        <v>69</v>
      </c>
      <c r="AA29" s="53" t="s">
        <v>90</v>
      </c>
      <c r="AB29" s="36" t="s">
        <v>315</v>
      </c>
      <c r="AV29" s="27"/>
    </row>
    <row r="30" spans="1:48" x14ac:dyDescent="0.15">
      <c r="A30" s="53" t="s">
        <v>59</v>
      </c>
      <c r="B30" s="36" t="s">
        <v>232</v>
      </c>
      <c r="C30" s="165">
        <v>2019</v>
      </c>
      <c r="D30" s="166" t="s">
        <v>281</v>
      </c>
      <c r="E30" s="53" t="s">
        <v>162</v>
      </c>
      <c r="F30" s="53" t="s">
        <v>334</v>
      </c>
      <c r="G30" s="53" t="s">
        <v>36</v>
      </c>
      <c r="H30" s="53" t="s">
        <v>160</v>
      </c>
      <c r="I30" s="53" t="s">
        <v>159</v>
      </c>
      <c r="J30" s="53" t="s">
        <v>38</v>
      </c>
      <c r="K30" s="53" t="s">
        <v>161</v>
      </c>
      <c r="L30" s="53">
        <v>2</v>
      </c>
      <c r="N30" s="53">
        <v>4</v>
      </c>
      <c r="O30" s="53">
        <v>0.34</v>
      </c>
      <c r="P30" s="53">
        <v>0.33</v>
      </c>
      <c r="Q30" s="97">
        <f t="shared" si="2"/>
        <v>0.33500000000000002</v>
      </c>
      <c r="R30" s="53">
        <v>16.3</v>
      </c>
      <c r="S30" s="53">
        <v>104</v>
      </c>
      <c r="T30" s="16">
        <f t="shared" si="0"/>
        <v>33</v>
      </c>
      <c r="U30" s="53">
        <v>398</v>
      </c>
      <c r="V30" s="16">
        <f t="shared" si="1"/>
        <v>16</v>
      </c>
      <c r="W30" s="53">
        <v>8</v>
      </c>
      <c r="X30" s="53" t="s">
        <v>46</v>
      </c>
      <c r="Y30" s="53" t="s">
        <v>55</v>
      </c>
      <c r="Z30" s="53" t="s">
        <v>69</v>
      </c>
      <c r="AA30" s="53" t="s">
        <v>90</v>
      </c>
      <c r="AB30" s="36" t="s">
        <v>315</v>
      </c>
      <c r="AV30" s="27"/>
    </row>
    <row r="31" spans="1:48" x14ac:dyDescent="0.15">
      <c r="A31" s="53" t="s">
        <v>59</v>
      </c>
      <c r="B31" s="36" t="s">
        <v>232</v>
      </c>
      <c r="C31" s="165">
        <v>2019</v>
      </c>
      <c r="D31" s="166" t="s">
        <v>281</v>
      </c>
      <c r="E31" s="53" t="s">
        <v>162</v>
      </c>
      <c r="F31" s="53" t="s">
        <v>334</v>
      </c>
      <c r="G31" s="53" t="s">
        <v>36</v>
      </c>
      <c r="H31" s="53" t="s">
        <v>160</v>
      </c>
      <c r="I31" s="53" t="s">
        <v>159</v>
      </c>
      <c r="J31" s="53" t="s">
        <v>38</v>
      </c>
      <c r="K31" s="53" t="s">
        <v>161</v>
      </c>
      <c r="L31" s="53">
        <v>3</v>
      </c>
      <c r="N31" s="53">
        <v>4</v>
      </c>
      <c r="O31" s="53">
        <v>0.38</v>
      </c>
      <c r="P31" s="53">
        <v>0.36</v>
      </c>
      <c r="Q31" s="97">
        <f t="shared" si="2"/>
        <v>0.37</v>
      </c>
      <c r="R31" s="53">
        <v>16.100000000000001</v>
      </c>
      <c r="S31" s="53">
        <v>100</v>
      </c>
      <c r="T31" s="16">
        <f t="shared" si="0"/>
        <v>33</v>
      </c>
      <c r="U31" s="53">
        <v>398</v>
      </c>
      <c r="V31" s="16">
        <f t="shared" si="1"/>
        <v>16</v>
      </c>
      <c r="W31" s="53">
        <v>8</v>
      </c>
      <c r="X31" s="53" t="s">
        <v>46</v>
      </c>
      <c r="Y31" s="53" t="s">
        <v>55</v>
      </c>
      <c r="Z31" s="53" t="s">
        <v>69</v>
      </c>
      <c r="AA31" s="53" t="s">
        <v>90</v>
      </c>
      <c r="AB31" s="36" t="s">
        <v>315</v>
      </c>
      <c r="AV31" s="27"/>
    </row>
    <row r="32" spans="1:48" x14ac:dyDescent="0.15">
      <c r="A32" s="53" t="s">
        <v>59</v>
      </c>
      <c r="B32" s="36" t="s">
        <v>232</v>
      </c>
      <c r="C32" s="165">
        <v>2019</v>
      </c>
      <c r="D32" s="166" t="s">
        <v>281</v>
      </c>
      <c r="E32" s="53" t="s">
        <v>162</v>
      </c>
      <c r="F32" s="53" t="s">
        <v>334</v>
      </c>
      <c r="G32" s="53" t="s">
        <v>36</v>
      </c>
      <c r="H32" s="53" t="s">
        <v>165</v>
      </c>
      <c r="I32" s="53" t="s">
        <v>159</v>
      </c>
      <c r="J32" s="53" t="s">
        <v>38</v>
      </c>
      <c r="K32" s="53" t="s">
        <v>161</v>
      </c>
      <c r="L32" s="53">
        <v>1</v>
      </c>
      <c r="N32" s="53">
        <v>4</v>
      </c>
      <c r="O32" s="53">
        <v>0.3</v>
      </c>
      <c r="P32" s="53">
        <v>0.28000000000000003</v>
      </c>
      <c r="Q32" s="97">
        <f t="shared" si="2"/>
        <v>0.29000000000000004</v>
      </c>
      <c r="R32" s="53">
        <v>12.9</v>
      </c>
      <c r="S32" s="53">
        <v>102</v>
      </c>
      <c r="T32" s="16">
        <f t="shared" si="0"/>
        <v>33</v>
      </c>
      <c r="U32" s="53">
        <v>298</v>
      </c>
      <c r="V32" s="16">
        <f t="shared" si="1"/>
        <v>16</v>
      </c>
      <c r="W32" s="53">
        <v>2</v>
      </c>
      <c r="X32" s="53" t="s">
        <v>46</v>
      </c>
      <c r="Y32" s="53" t="s">
        <v>55</v>
      </c>
      <c r="Z32" s="53" t="s">
        <v>69</v>
      </c>
      <c r="AA32" s="53" t="s">
        <v>90</v>
      </c>
      <c r="AB32" s="36" t="s">
        <v>315</v>
      </c>
      <c r="AV32" s="27"/>
    </row>
    <row r="33" spans="1:48" x14ac:dyDescent="0.15">
      <c r="A33" s="53" t="s">
        <v>59</v>
      </c>
      <c r="B33" s="36" t="s">
        <v>232</v>
      </c>
      <c r="C33" s="165">
        <v>2019</v>
      </c>
      <c r="D33" s="166" t="s">
        <v>281</v>
      </c>
      <c r="E33" s="53" t="s">
        <v>162</v>
      </c>
      <c r="F33" s="53" t="s">
        <v>334</v>
      </c>
      <c r="G33" s="53" t="s">
        <v>36</v>
      </c>
      <c r="H33" s="53" t="s">
        <v>165</v>
      </c>
      <c r="I33" s="53" t="s">
        <v>159</v>
      </c>
      <c r="J33" s="53" t="s">
        <v>38</v>
      </c>
      <c r="K33" s="53" t="s">
        <v>161</v>
      </c>
      <c r="L33" s="53">
        <v>2</v>
      </c>
      <c r="N33" s="53">
        <v>4</v>
      </c>
      <c r="O33" s="53">
        <v>0.31</v>
      </c>
      <c r="P33" s="53">
        <v>0.3</v>
      </c>
      <c r="Q33" s="97">
        <f t="shared" si="2"/>
        <v>0.30499999999999999</v>
      </c>
      <c r="R33" s="53">
        <v>12.7</v>
      </c>
      <c r="S33" s="53">
        <v>100</v>
      </c>
      <c r="T33" s="16">
        <f t="shared" si="0"/>
        <v>33</v>
      </c>
      <c r="U33" s="53">
        <v>298</v>
      </c>
      <c r="V33" s="16">
        <f t="shared" si="1"/>
        <v>16</v>
      </c>
      <c r="W33" s="53">
        <v>2</v>
      </c>
      <c r="X33" s="53" t="s">
        <v>46</v>
      </c>
      <c r="Y33" s="53" t="s">
        <v>55</v>
      </c>
      <c r="Z33" s="53" t="s">
        <v>69</v>
      </c>
      <c r="AA33" s="53" t="s">
        <v>90</v>
      </c>
      <c r="AB33" s="36" t="s">
        <v>315</v>
      </c>
      <c r="AV33" s="27"/>
    </row>
    <row r="34" spans="1:48" x14ac:dyDescent="0.15">
      <c r="A34" s="53" t="s">
        <v>59</v>
      </c>
      <c r="B34" s="36" t="s">
        <v>232</v>
      </c>
      <c r="C34" s="165">
        <v>2019</v>
      </c>
      <c r="D34" s="166" t="s">
        <v>281</v>
      </c>
      <c r="E34" s="53" t="s">
        <v>162</v>
      </c>
      <c r="F34" s="53" t="s">
        <v>334</v>
      </c>
      <c r="G34" s="53" t="s">
        <v>36</v>
      </c>
      <c r="H34" s="53" t="s">
        <v>165</v>
      </c>
      <c r="I34" s="53" t="s">
        <v>159</v>
      </c>
      <c r="J34" s="53" t="s">
        <v>38</v>
      </c>
      <c r="K34" s="53" t="s">
        <v>161</v>
      </c>
      <c r="L34" s="53">
        <v>3</v>
      </c>
      <c r="N34" s="53">
        <v>4</v>
      </c>
      <c r="O34" s="53">
        <v>0.28000000000000003</v>
      </c>
      <c r="P34" s="53">
        <v>0.25</v>
      </c>
      <c r="Q34" s="97">
        <f t="shared" si="2"/>
        <v>0.26500000000000001</v>
      </c>
      <c r="R34" s="53">
        <v>13.1</v>
      </c>
      <c r="S34" s="53">
        <v>98</v>
      </c>
      <c r="T34" s="16">
        <f t="shared" si="0"/>
        <v>36</v>
      </c>
      <c r="U34" s="53">
        <v>298</v>
      </c>
      <c r="V34" s="16">
        <f t="shared" si="1"/>
        <v>16</v>
      </c>
      <c r="W34" s="53">
        <v>2</v>
      </c>
      <c r="X34" s="53" t="s">
        <v>46</v>
      </c>
      <c r="Y34" s="53" t="s">
        <v>55</v>
      </c>
      <c r="Z34" s="53" t="s">
        <v>69</v>
      </c>
      <c r="AA34" s="53" t="s">
        <v>90</v>
      </c>
      <c r="AB34" s="36" t="s">
        <v>315</v>
      </c>
      <c r="AV34" s="27"/>
    </row>
    <row r="35" spans="1:48" x14ac:dyDescent="0.15">
      <c r="A35" s="53" t="s">
        <v>59</v>
      </c>
      <c r="B35" s="36" t="s">
        <v>232</v>
      </c>
      <c r="C35" s="165">
        <v>2019</v>
      </c>
      <c r="D35" s="166" t="s">
        <v>281</v>
      </c>
      <c r="E35" s="53" t="s">
        <v>331</v>
      </c>
      <c r="F35" s="53" t="s">
        <v>332</v>
      </c>
      <c r="G35" s="53" t="s">
        <v>36</v>
      </c>
      <c r="H35" s="53" t="s">
        <v>160</v>
      </c>
      <c r="I35" s="53" t="s">
        <v>159</v>
      </c>
      <c r="J35" s="53" t="s">
        <v>38</v>
      </c>
      <c r="K35" s="53" t="s">
        <v>161</v>
      </c>
      <c r="L35" s="53">
        <v>1</v>
      </c>
      <c r="N35" s="53">
        <v>3</v>
      </c>
      <c r="O35" s="53">
        <v>0.7</v>
      </c>
      <c r="P35" s="53">
        <v>0.75</v>
      </c>
      <c r="Q35" s="97">
        <f t="shared" si="2"/>
        <v>0.72499999999999998</v>
      </c>
      <c r="R35" s="53">
        <v>14.7</v>
      </c>
      <c r="S35" s="53">
        <v>131</v>
      </c>
      <c r="T35" s="16">
        <f t="shared" si="0"/>
        <v>25</v>
      </c>
      <c r="U35" s="53">
        <v>399</v>
      </c>
      <c r="V35" s="16">
        <f t="shared" si="1"/>
        <v>16</v>
      </c>
      <c r="W35" s="53">
        <v>12</v>
      </c>
      <c r="X35" s="53" t="s">
        <v>39</v>
      </c>
      <c r="Y35" s="53" t="s">
        <v>69</v>
      </c>
      <c r="Z35" s="53" t="s">
        <v>40</v>
      </c>
      <c r="AA35" s="53" t="s">
        <v>90</v>
      </c>
      <c r="AB35" s="36" t="s">
        <v>315</v>
      </c>
      <c r="AV35" s="27"/>
    </row>
    <row r="36" spans="1:48" x14ac:dyDescent="0.15">
      <c r="A36" s="53" t="s">
        <v>59</v>
      </c>
      <c r="B36" s="36" t="s">
        <v>232</v>
      </c>
      <c r="C36" s="165">
        <v>2019</v>
      </c>
      <c r="D36" s="166" t="s">
        <v>281</v>
      </c>
      <c r="E36" s="53" t="s">
        <v>331</v>
      </c>
      <c r="F36" s="53" t="s">
        <v>332</v>
      </c>
      <c r="G36" s="53" t="s">
        <v>36</v>
      </c>
      <c r="H36" s="53" t="s">
        <v>160</v>
      </c>
      <c r="I36" s="53" t="s">
        <v>159</v>
      </c>
      <c r="J36" s="53" t="s">
        <v>38</v>
      </c>
      <c r="K36" s="53" t="s">
        <v>161</v>
      </c>
      <c r="L36" s="53">
        <v>2</v>
      </c>
      <c r="N36" s="53">
        <v>3</v>
      </c>
      <c r="O36" s="53">
        <v>0.69</v>
      </c>
      <c r="P36" s="53">
        <v>0.7</v>
      </c>
      <c r="Q36" s="97">
        <f t="shared" si="2"/>
        <v>0.69499999999999995</v>
      </c>
      <c r="R36" s="53">
        <v>15.6</v>
      </c>
      <c r="S36" s="53">
        <v>132</v>
      </c>
      <c r="T36" s="16">
        <f t="shared" si="0"/>
        <v>25</v>
      </c>
      <c r="U36" s="53">
        <v>399</v>
      </c>
      <c r="V36" s="16">
        <f t="shared" si="1"/>
        <v>16</v>
      </c>
      <c r="W36" s="53">
        <v>12</v>
      </c>
      <c r="X36" s="53" t="s">
        <v>39</v>
      </c>
      <c r="Y36" s="53" t="s">
        <v>69</v>
      </c>
      <c r="Z36" s="53" t="s">
        <v>40</v>
      </c>
      <c r="AA36" s="53" t="s">
        <v>90</v>
      </c>
      <c r="AB36" s="36" t="s">
        <v>315</v>
      </c>
      <c r="AV36" s="27"/>
    </row>
    <row r="37" spans="1:48" x14ac:dyDescent="0.15">
      <c r="A37" s="53" t="s">
        <v>59</v>
      </c>
      <c r="B37" s="36" t="s">
        <v>232</v>
      </c>
      <c r="C37" s="165">
        <v>2019</v>
      </c>
      <c r="D37" s="166" t="s">
        <v>281</v>
      </c>
      <c r="E37" s="53" t="s">
        <v>331</v>
      </c>
      <c r="F37" s="53" t="s">
        <v>332</v>
      </c>
      <c r="G37" s="53" t="s">
        <v>36</v>
      </c>
      <c r="H37" s="53" t="s">
        <v>160</v>
      </c>
      <c r="I37" s="53" t="s">
        <v>159</v>
      </c>
      <c r="J37" s="53" t="s">
        <v>38</v>
      </c>
      <c r="K37" s="53" t="s">
        <v>161</v>
      </c>
      <c r="L37" s="53">
        <v>3</v>
      </c>
      <c r="N37" s="53">
        <v>3</v>
      </c>
      <c r="O37" s="53">
        <v>0.72</v>
      </c>
      <c r="P37" s="53">
        <v>0.64</v>
      </c>
      <c r="Q37" s="97">
        <f t="shared" si="2"/>
        <v>0.67999999999999994</v>
      </c>
      <c r="R37" s="53">
        <v>15.6</v>
      </c>
      <c r="S37" s="53">
        <v>133</v>
      </c>
      <c r="T37" s="16">
        <f t="shared" si="0"/>
        <v>25</v>
      </c>
      <c r="U37" s="53">
        <v>399</v>
      </c>
      <c r="V37" s="16">
        <f t="shared" si="1"/>
        <v>16</v>
      </c>
      <c r="W37" s="53">
        <v>12</v>
      </c>
      <c r="X37" s="53" t="s">
        <v>39</v>
      </c>
      <c r="Y37" s="53" t="s">
        <v>69</v>
      </c>
      <c r="Z37" s="53" t="s">
        <v>40</v>
      </c>
      <c r="AA37" s="53" t="s">
        <v>90</v>
      </c>
      <c r="AB37" s="36" t="s">
        <v>315</v>
      </c>
      <c r="AV37" s="27"/>
    </row>
    <row r="38" spans="1:48" x14ac:dyDescent="0.15">
      <c r="A38" s="53" t="s">
        <v>59</v>
      </c>
      <c r="B38" s="36" t="s">
        <v>232</v>
      </c>
      <c r="C38" s="165">
        <v>2019</v>
      </c>
      <c r="D38" s="166" t="s">
        <v>281</v>
      </c>
      <c r="E38" s="53" t="s">
        <v>331</v>
      </c>
      <c r="F38" s="53" t="s">
        <v>332</v>
      </c>
      <c r="G38" s="53" t="s">
        <v>36</v>
      </c>
      <c r="H38" s="53" t="s">
        <v>165</v>
      </c>
      <c r="I38" s="53" t="s">
        <v>159</v>
      </c>
      <c r="J38" s="53" t="s">
        <v>38</v>
      </c>
      <c r="K38" s="53" t="s">
        <v>161</v>
      </c>
      <c r="L38" s="53">
        <v>1</v>
      </c>
      <c r="N38" s="53">
        <v>3</v>
      </c>
      <c r="O38" s="53">
        <v>0.72</v>
      </c>
      <c r="P38" s="53">
        <v>0.72</v>
      </c>
      <c r="Q38" s="97">
        <f t="shared" si="2"/>
        <v>0.72</v>
      </c>
      <c r="R38" s="53">
        <v>15.3</v>
      </c>
      <c r="S38" s="53">
        <v>136</v>
      </c>
      <c r="T38" s="16">
        <f t="shared" si="0"/>
        <v>25</v>
      </c>
      <c r="U38" s="53">
        <v>399</v>
      </c>
      <c r="V38" s="16">
        <f t="shared" si="1"/>
        <v>16</v>
      </c>
      <c r="W38" s="53">
        <v>2</v>
      </c>
      <c r="X38" s="53" t="s">
        <v>39</v>
      </c>
      <c r="Y38" s="53" t="s">
        <v>69</v>
      </c>
      <c r="Z38" s="53" t="s">
        <v>40</v>
      </c>
      <c r="AA38" s="53" t="s">
        <v>90</v>
      </c>
      <c r="AB38" s="36" t="s">
        <v>315</v>
      </c>
      <c r="AV38" s="27"/>
    </row>
    <row r="39" spans="1:48" x14ac:dyDescent="0.15">
      <c r="A39" s="53" t="s">
        <v>59</v>
      </c>
      <c r="B39" s="36" t="s">
        <v>232</v>
      </c>
      <c r="C39" s="165">
        <v>2019</v>
      </c>
      <c r="D39" s="166" t="s">
        <v>281</v>
      </c>
      <c r="E39" s="53" t="s">
        <v>331</v>
      </c>
      <c r="F39" s="53" t="s">
        <v>332</v>
      </c>
      <c r="G39" s="53" t="s">
        <v>36</v>
      </c>
      <c r="H39" s="53" t="s">
        <v>165</v>
      </c>
      <c r="I39" s="53" t="s">
        <v>159</v>
      </c>
      <c r="J39" s="53" t="s">
        <v>38</v>
      </c>
      <c r="K39" s="53" t="s">
        <v>161</v>
      </c>
      <c r="L39" s="53">
        <v>2</v>
      </c>
      <c r="N39" s="53">
        <v>3</v>
      </c>
      <c r="O39" s="53">
        <v>0.67</v>
      </c>
      <c r="P39" s="53">
        <v>0.71</v>
      </c>
      <c r="Q39" s="97">
        <f t="shared" si="2"/>
        <v>0.69</v>
      </c>
      <c r="R39" s="53">
        <v>13.8</v>
      </c>
      <c r="S39" s="53">
        <v>129</v>
      </c>
      <c r="T39" s="16">
        <f t="shared" si="0"/>
        <v>25</v>
      </c>
      <c r="U39" s="53">
        <v>399</v>
      </c>
      <c r="V39" s="16">
        <f t="shared" si="1"/>
        <v>16</v>
      </c>
      <c r="W39" s="53">
        <v>2</v>
      </c>
      <c r="X39" s="53" t="s">
        <v>39</v>
      </c>
      <c r="Y39" s="53" t="s">
        <v>69</v>
      </c>
      <c r="Z39" s="53" t="s">
        <v>40</v>
      </c>
      <c r="AA39" s="53" t="s">
        <v>90</v>
      </c>
      <c r="AB39" s="36" t="s">
        <v>315</v>
      </c>
      <c r="AV39" s="27"/>
    </row>
    <row r="40" spans="1:48" x14ac:dyDescent="0.15">
      <c r="A40" s="53" t="s">
        <v>59</v>
      </c>
      <c r="B40" s="36" t="s">
        <v>232</v>
      </c>
      <c r="C40" s="165">
        <v>2019</v>
      </c>
      <c r="D40" s="166" t="s">
        <v>281</v>
      </c>
      <c r="E40" s="53" t="s">
        <v>331</v>
      </c>
      <c r="F40" s="53" t="s">
        <v>332</v>
      </c>
      <c r="G40" s="53" t="s">
        <v>36</v>
      </c>
      <c r="H40" s="53" t="s">
        <v>165</v>
      </c>
      <c r="I40" s="53" t="s">
        <v>159</v>
      </c>
      <c r="J40" s="53" t="s">
        <v>38</v>
      </c>
      <c r="K40" s="53" t="s">
        <v>161</v>
      </c>
      <c r="L40" s="53">
        <v>3</v>
      </c>
      <c r="N40" s="53">
        <v>3</v>
      </c>
      <c r="O40" s="53">
        <v>0.66</v>
      </c>
      <c r="P40" s="53">
        <v>0.69</v>
      </c>
      <c r="Q40" s="97">
        <f t="shared" si="2"/>
        <v>0.67500000000000004</v>
      </c>
      <c r="R40" s="53">
        <v>13.9</v>
      </c>
      <c r="S40" s="53">
        <v>135</v>
      </c>
      <c r="T40" s="16">
        <f t="shared" si="0"/>
        <v>25</v>
      </c>
      <c r="U40" s="53">
        <v>399</v>
      </c>
      <c r="V40" s="16">
        <f t="shared" si="1"/>
        <v>16</v>
      </c>
      <c r="W40" s="53">
        <v>2</v>
      </c>
      <c r="X40" s="53" t="s">
        <v>39</v>
      </c>
      <c r="Y40" s="53" t="s">
        <v>69</v>
      </c>
      <c r="Z40" s="53" t="s">
        <v>40</v>
      </c>
      <c r="AA40" s="53" t="s">
        <v>90</v>
      </c>
      <c r="AB40" s="36" t="s">
        <v>315</v>
      </c>
      <c r="AV40" s="27"/>
    </row>
    <row r="41" spans="1:48" x14ac:dyDescent="0.15">
      <c r="A41" s="53" t="s">
        <v>59</v>
      </c>
      <c r="B41" s="36" t="s">
        <v>232</v>
      </c>
      <c r="C41" s="165">
        <v>2019</v>
      </c>
      <c r="D41" s="166" t="s">
        <v>281</v>
      </c>
      <c r="E41" s="53" t="s">
        <v>322</v>
      </c>
      <c r="F41" s="53" t="s">
        <v>323</v>
      </c>
      <c r="G41" s="53" t="s">
        <v>36</v>
      </c>
      <c r="H41" s="53" t="s">
        <v>160</v>
      </c>
      <c r="I41" s="53" t="s">
        <v>159</v>
      </c>
      <c r="J41" s="53" t="s">
        <v>38</v>
      </c>
      <c r="K41" s="53" t="s">
        <v>161</v>
      </c>
      <c r="L41" s="53">
        <v>1</v>
      </c>
      <c r="N41" s="53">
        <v>4</v>
      </c>
      <c r="O41" s="53">
        <v>0.45</v>
      </c>
      <c r="P41" s="53">
        <v>0.46</v>
      </c>
      <c r="Q41" s="97">
        <f t="shared" si="2"/>
        <v>0.45500000000000002</v>
      </c>
      <c r="R41" s="53">
        <v>17.2</v>
      </c>
      <c r="S41" s="53">
        <v>96</v>
      </c>
      <c r="T41" s="16">
        <f t="shared" si="0"/>
        <v>36</v>
      </c>
      <c r="U41" s="53">
        <v>486</v>
      </c>
      <c r="V41" s="16">
        <f t="shared" si="1"/>
        <v>16</v>
      </c>
      <c r="W41" s="53">
        <v>1</v>
      </c>
      <c r="X41" s="53" t="s">
        <v>39</v>
      </c>
      <c r="Y41" s="53" t="s">
        <v>40</v>
      </c>
      <c r="Z41" s="53" t="s">
        <v>69</v>
      </c>
      <c r="AA41" s="53" t="s">
        <v>97</v>
      </c>
      <c r="AB41" s="36" t="s">
        <v>315</v>
      </c>
      <c r="AV41" s="27"/>
    </row>
    <row r="42" spans="1:48" x14ac:dyDescent="0.15">
      <c r="A42" s="53" t="s">
        <v>59</v>
      </c>
      <c r="B42" s="36" t="s">
        <v>232</v>
      </c>
      <c r="C42" s="165">
        <v>2019</v>
      </c>
      <c r="D42" s="166" t="s">
        <v>281</v>
      </c>
      <c r="E42" s="53" t="s">
        <v>322</v>
      </c>
      <c r="F42" s="53" t="s">
        <v>323</v>
      </c>
      <c r="G42" s="53" t="s">
        <v>36</v>
      </c>
      <c r="H42" s="53" t="s">
        <v>160</v>
      </c>
      <c r="I42" s="53" t="s">
        <v>159</v>
      </c>
      <c r="J42" s="53" t="s">
        <v>38</v>
      </c>
      <c r="K42" s="53" t="s">
        <v>161</v>
      </c>
      <c r="L42" s="53">
        <v>2</v>
      </c>
      <c r="N42" s="53">
        <v>4</v>
      </c>
      <c r="O42" s="53">
        <v>0.39</v>
      </c>
      <c r="P42" s="53">
        <v>0.45</v>
      </c>
      <c r="Q42" s="97">
        <f t="shared" si="2"/>
        <v>0.42000000000000004</v>
      </c>
      <c r="R42" s="53">
        <v>18.7</v>
      </c>
      <c r="S42" s="53">
        <v>101</v>
      </c>
      <c r="T42" s="16">
        <f t="shared" si="0"/>
        <v>33</v>
      </c>
      <c r="U42" s="53">
        <v>486</v>
      </c>
      <c r="V42" s="16">
        <f t="shared" si="1"/>
        <v>16</v>
      </c>
      <c r="W42" s="53">
        <v>1</v>
      </c>
      <c r="X42" s="53" t="s">
        <v>39</v>
      </c>
      <c r="Y42" s="53" t="s">
        <v>40</v>
      </c>
      <c r="Z42" s="53" t="s">
        <v>69</v>
      </c>
      <c r="AA42" s="53" t="s">
        <v>97</v>
      </c>
      <c r="AB42" s="36" t="s">
        <v>315</v>
      </c>
      <c r="AV42" s="27"/>
    </row>
    <row r="43" spans="1:48" x14ac:dyDescent="0.15">
      <c r="A43" s="53" t="s">
        <v>59</v>
      </c>
      <c r="B43" s="36" t="s">
        <v>232</v>
      </c>
      <c r="C43" s="165">
        <v>2019</v>
      </c>
      <c r="D43" s="166" t="s">
        <v>281</v>
      </c>
      <c r="E43" s="53" t="s">
        <v>322</v>
      </c>
      <c r="F43" s="53" t="s">
        <v>323</v>
      </c>
      <c r="G43" s="53" t="s">
        <v>36</v>
      </c>
      <c r="H43" s="53" t="s">
        <v>160</v>
      </c>
      <c r="I43" s="53" t="s">
        <v>159</v>
      </c>
      <c r="J43" s="53" t="s">
        <v>38</v>
      </c>
      <c r="K43" s="53" t="s">
        <v>161</v>
      </c>
      <c r="L43" s="53">
        <v>3</v>
      </c>
      <c r="N43" s="53">
        <v>4</v>
      </c>
      <c r="O43" s="53">
        <v>0.42</v>
      </c>
      <c r="P43" s="53">
        <v>0.38</v>
      </c>
      <c r="Q43" s="97">
        <f t="shared" si="2"/>
        <v>0.4</v>
      </c>
      <c r="R43" s="53">
        <v>18.100000000000001</v>
      </c>
      <c r="S43" s="53">
        <v>98</v>
      </c>
      <c r="T43" s="16">
        <f t="shared" si="0"/>
        <v>36</v>
      </c>
      <c r="U43" s="53">
        <v>486</v>
      </c>
      <c r="V43" s="16">
        <f t="shared" si="1"/>
        <v>16</v>
      </c>
      <c r="W43" s="53">
        <v>1</v>
      </c>
      <c r="X43" s="53" t="s">
        <v>39</v>
      </c>
      <c r="Y43" s="53" t="s">
        <v>40</v>
      </c>
      <c r="Z43" s="53" t="s">
        <v>69</v>
      </c>
      <c r="AA43" s="53" t="s">
        <v>97</v>
      </c>
      <c r="AB43" s="36" t="s">
        <v>315</v>
      </c>
      <c r="AV43" s="27"/>
    </row>
    <row r="44" spans="1:48" x14ac:dyDescent="0.15">
      <c r="A44" s="53" t="s">
        <v>59</v>
      </c>
      <c r="B44" s="36" t="s">
        <v>232</v>
      </c>
      <c r="C44" s="165">
        <v>2019</v>
      </c>
      <c r="D44" s="166" t="s">
        <v>281</v>
      </c>
      <c r="E44" s="53" t="s">
        <v>322</v>
      </c>
      <c r="F44" s="53" t="s">
        <v>323</v>
      </c>
      <c r="G44" s="53" t="s">
        <v>36</v>
      </c>
      <c r="H44" s="53" t="s">
        <v>127</v>
      </c>
      <c r="I44" s="53" t="s">
        <v>159</v>
      </c>
      <c r="J44" s="53" t="s">
        <v>80</v>
      </c>
      <c r="K44" s="53" t="s">
        <v>45</v>
      </c>
      <c r="L44" s="53">
        <v>1</v>
      </c>
      <c r="N44" s="53">
        <v>4</v>
      </c>
      <c r="O44" s="53">
        <v>1.05</v>
      </c>
      <c r="P44" s="53">
        <v>1.03</v>
      </c>
      <c r="Q44" s="97">
        <f t="shared" si="2"/>
        <v>1.04</v>
      </c>
      <c r="R44" s="53">
        <v>10.4</v>
      </c>
      <c r="S44" s="53">
        <v>100</v>
      </c>
      <c r="T44" s="16">
        <f t="shared" si="0"/>
        <v>33</v>
      </c>
      <c r="U44" s="53">
        <v>321</v>
      </c>
      <c r="V44" s="16">
        <f t="shared" si="1"/>
        <v>16</v>
      </c>
      <c r="W44" s="53">
        <v>1</v>
      </c>
      <c r="X44" s="53" t="s">
        <v>39</v>
      </c>
      <c r="Y44" s="53" t="s">
        <v>40</v>
      </c>
      <c r="Z44" s="53" t="s">
        <v>69</v>
      </c>
      <c r="AA44" s="53" t="s">
        <v>97</v>
      </c>
      <c r="AB44" s="36" t="s">
        <v>315</v>
      </c>
      <c r="AV44" s="27"/>
    </row>
    <row r="45" spans="1:48" x14ac:dyDescent="0.15">
      <c r="A45" s="53" t="s">
        <v>59</v>
      </c>
      <c r="B45" s="36" t="s">
        <v>232</v>
      </c>
      <c r="C45" s="165">
        <v>2019</v>
      </c>
      <c r="D45" s="166" t="s">
        <v>281</v>
      </c>
      <c r="E45" s="53" t="s">
        <v>322</v>
      </c>
      <c r="F45" s="53" t="s">
        <v>323</v>
      </c>
      <c r="G45" s="53" t="s">
        <v>36</v>
      </c>
      <c r="H45" s="53" t="s">
        <v>127</v>
      </c>
      <c r="I45" s="53" t="s">
        <v>159</v>
      </c>
      <c r="J45" s="53" t="s">
        <v>80</v>
      </c>
      <c r="K45" s="53" t="s">
        <v>45</v>
      </c>
      <c r="L45" s="53">
        <v>2</v>
      </c>
      <c r="N45" s="53">
        <v>4</v>
      </c>
      <c r="O45" s="53">
        <v>0.85</v>
      </c>
      <c r="P45" s="53">
        <v>0.97</v>
      </c>
      <c r="Q45" s="97">
        <f t="shared" si="2"/>
        <v>0.90999999999999992</v>
      </c>
      <c r="R45" s="53">
        <v>11.6</v>
      </c>
      <c r="S45" s="53">
        <v>109</v>
      </c>
      <c r="T45" s="16">
        <f t="shared" si="0"/>
        <v>33</v>
      </c>
      <c r="U45" s="53">
        <v>321</v>
      </c>
      <c r="V45" s="16">
        <f t="shared" si="1"/>
        <v>16</v>
      </c>
      <c r="W45" s="53">
        <v>1</v>
      </c>
      <c r="X45" s="53" t="s">
        <v>39</v>
      </c>
      <c r="Y45" s="53" t="s">
        <v>40</v>
      </c>
      <c r="Z45" s="53" t="s">
        <v>69</v>
      </c>
      <c r="AA45" s="53" t="s">
        <v>97</v>
      </c>
      <c r="AB45" s="36" t="s">
        <v>315</v>
      </c>
      <c r="AV45" s="27"/>
    </row>
    <row r="46" spans="1:48" x14ac:dyDescent="0.15">
      <c r="A46" s="53" t="s">
        <v>59</v>
      </c>
      <c r="B46" s="36" t="s">
        <v>232</v>
      </c>
      <c r="C46" s="165">
        <v>2019</v>
      </c>
      <c r="D46" s="166" t="s">
        <v>281</v>
      </c>
      <c r="E46" s="53" t="s">
        <v>322</v>
      </c>
      <c r="F46" s="53" t="s">
        <v>323</v>
      </c>
      <c r="G46" s="53" t="s">
        <v>36</v>
      </c>
      <c r="H46" s="53" t="s">
        <v>127</v>
      </c>
      <c r="I46" s="53" t="s">
        <v>159</v>
      </c>
      <c r="J46" s="53" t="s">
        <v>80</v>
      </c>
      <c r="K46" s="53" t="s">
        <v>45</v>
      </c>
      <c r="L46" s="53">
        <v>3</v>
      </c>
      <c r="N46" s="53">
        <v>4</v>
      </c>
      <c r="O46" s="53">
        <v>0.88</v>
      </c>
      <c r="P46" s="53">
        <v>0.92</v>
      </c>
      <c r="Q46" s="97">
        <f t="shared" si="2"/>
        <v>0.9</v>
      </c>
      <c r="R46" s="53">
        <v>11.2</v>
      </c>
      <c r="S46" s="53">
        <v>98</v>
      </c>
      <c r="T46" s="16">
        <f t="shared" si="0"/>
        <v>36</v>
      </c>
      <c r="U46" s="53">
        <v>321</v>
      </c>
      <c r="V46" s="16">
        <f t="shared" si="1"/>
        <v>16</v>
      </c>
      <c r="W46" s="53">
        <v>1</v>
      </c>
      <c r="X46" s="53" t="s">
        <v>39</v>
      </c>
      <c r="Y46" s="53" t="s">
        <v>40</v>
      </c>
      <c r="Z46" s="53" t="s">
        <v>69</v>
      </c>
      <c r="AA46" s="53" t="s">
        <v>97</v>
      </c>
      <c r="AB46" s="36" t="s">
        <v>315</v>
      </c>
      <c r="AV46" s="27"/>
    </row>
    <row r="47" spans="1:48" x14ac:dyDescent="0.15">
      <c r="A47" s="53" t="s">
        <v>59</v>
      </c>
      <c r="B47" s="36" t="s">
        <v>232</v>
      </c>
      <c r="C47" s="165">
        <v>2019</v>
      </c>
      <c r="D47" s="166" t="s">
        <v>281</v>
      </c>
      <c r="E47" s="53" t="s">
        <v>338</v>
      </c>
      <c r="F47" s="53" t="s">
        <v>339</v>
      </c>
      <c r="G47" s="53" t="s">
        <v>36</v>
      </c>
      <c r="H47" s="53" t="s">
        <v>160</v>
      </c>
      <c r="I47" s="53" t="s">
        <v>159</v>
      </c>
      <c r="J47" s="53" t="s">
        <v>38</v>
      </c>
      <c r="K47" s="53" t="s">
        <v>161</v>
      </c>
      <c r="L47" s="53">
        <v>1</v>
      </c>
      <c r="N47" s="53">
        <v>4</v>
      </c>
      <c r="O47" s="53">
        <v>0.34</v>
      </c>
      <c r="P47" s="53">
        <v>0.35</v>
      </c>
      <c r="Q47" s="97">
        <f t="shared" si="2"/>
        <v>0.34499999999999997</v>
      </c>
      <c r="R47" s="53">
        <v>17</v>
      </c>
      <c r="S47" s="53">
        <v>132</v>
      </c>
      <c r="T47" s="16">
        <f t="shared" si="0"/>
        <v>25</v>
      </c>
      <c r="U47" s="53">
        <v>458</v>
      </c>
      <c r="V47" s="16">
        <f t="shared" si="1"/>
        <v>16</v>
      </c>
      <c r="W47" s="53">
        <v>10</v>
      </c>
      <c r="X47" s="53" t="s">
        <v>46</v>
      </c>
      <c r="Y47" s="53" t="s">
        <v>55</v>
      </c>
      <c r="Z47" s="53" t="s">
        <v>69</v>
      </c>
      <c r="AA47" s="53" t="s">
        <v>90</v>
      </c>
      <c r="AB47" s="36" t="s">
        <v>315</v>
      </c>
      <c r="AV47" s="27"/>
    </row>
    <row r="48" spans="1:48" x14ac:dyDescent="0.15">
      <c r="A48" s="53" t="s">
        <v>59</v>
      </c>
      <c r="B48" s="36" t="s">
        <v>232</v>
      </c>
      <c r="C48" s="165">
        <v>2019</v>
      </c>
      <c r="D48" s="166" t="s">
        <v>281</v>
      </c>
      <c r="E48" s="53" t="s">
        <v>338</v>
      </c>
      <c r="F48" s="53" t="s">
        <v>339</v>
      </c>
      <c r="G48" s="53" t="s">
        <v>36</v>
      </c>
      <c r="H48" s="53" t="s">
        <v>160</v>
      </c>
      <c r="I48" s="53" t="s">
        <v>159</v>
      </c>
      <c r="J48" s="53" t="s">
        <v>38</v>
      </c>
      <c r="K48" s="53" t="s">
        <v>161</v>
      </c>
      <c r="L48" s="53">
        <v>2</v>
      </c>
      <c r="N48" s="53">
        <v>4</v>
      </c>
      <c r="O48" s="53">
        <v>0.32</v>
      </c>
      <c r="P48" s="53">
        <v>0.34</v>
      </c>
      <c r="Q48" s="97">
        <f t="shared" si="2"/>
        <v>0.33</v>
      </c>
      <c r="R48" s="53">
        <v>17.7</v>
      </c>
      <c r="S48" s="53">
        <v>120</v>
      </c>
      <c r="T48" s="16">
        <f t="shared" si="0"/>
        <v>30</v>
      </c>
      <c r="U48" s="53">
        <v>458</v>
      </c>
      <c r="V48" s="16">
        <f t="shared" si="1"/>
        <v>16</v>
      </c>
      <c r="W48" s="53">
        <v>10</v>
      </c>
      <c r="X48" s="53" t="s">
        <v>46</v>
      </c>
      <c r="Y48" s="53" t="s">
        <v>55</v>
      </c>
      <c r="Z48" s="53" t="s">
        <v>69</v>
      </c>
      <c r="AA48" s="53" t="s">
        <v>90</v>
      </c>
      <c r="AB48" s="36" t="s">
        <v>315</v>
      </c>
      <c r="AV48" s="27"/>
    </row>
    <row r="49" spans="1:48" x14ac:dyDescent="0.15">
      <c r="A49" s="53" t="s">
        <v>59</v>
      </c>
      <c r="B49" s="36" t="s">
        <v>232</v>
      </c>
      <c r="C49" s="165">
        <v>2019</v>
      </c>
      <c r="D49" s="166" t="s">
        <v>281</v>
      </c>
      <c r="E49" s="53" t="s">
        <v>338</v>
      </c>
      <c r="F49" s="53" t="s">
        <v>339</v>
      </c>
      <c r="G49" s="53" t="s">
        <v>36</v>
      </c>
      <c r="H49" s="53" t="s">
        <v>160</v>
      </c>
      <c r="I49" s="53" t="s">
        <v>159</v>
      </c>
      <c r="J49" s="53" t="s">
        <v>38</v>
      </c>
      <c r="K49" s="53" t="s">
        <v>161</v>
      </c>
      <c r="L49" s="53">
        <v>3</v>
      </c>
      <c r="N49" s="53">
        <v>4</v>
      </c>
      <c r="O49" s="53">
        <v>0.33</v>
      </c>
      <c r="P49" s="53">
        <v>0.36</v>
      </c>
      <c r="Q49" s="97">
        <f t="shared" si="2"/>
        <v>0.34499999999999997</v>
      </c>
      <c r="R49" s="53">
        <v>17.5</v>
      </c>
      <c r="S49" s="53">
        <v>125</v>
      </c>
      <c r="T49" s="16">
        <f t="shared" si="0"/>
        <v>27</v>
      </c>
      <c r="U49" s="53">
        <v>458</v>
      </c>
      <c r="V49" s="16">
        <f t="shared" si="1"/>
        <v>16</v>
      </c>
      <c r="W49" s="53">
        <v>10</v>
      </c>
      <c r="X49" s="53" t="s">
        <v>46</v>
      </c>
      <c r="Y49" s="53" t="s">
        <v>55</v>
      </c>
      <c r="Z49" s="53" t="s">
        <v>69</v>
      </c>
      <c r="AA49" s="53" t="s">
        <v>90</v>
      </c>
      <c r="AB49" s="36" t="s">
        <v>315</v>
      </c>
      <c r="AV49" s="27"/>
    </row>
    <row r="50" spans="1:48" x14ac:dyDescent="0.15">
      <c r="A50" s="53" t="s">
        <v>59</v>
      </c>
      <c r="B50" s="36" t="s">
        <v>232</v>
      </c>
      <c r="C50" s="165">
        <v>2019</v>
      </c>
      <c r="D50" s="166" t="s">
        <v>281</v>
      </c>
      <c r="E50" s="53" t="s">
        <v>338</v>
      </c>
      <c r="F50" s="53" t="s">
        <v>339</v>
      </c>
      <c r="G50" s="53" t="s">
        <v>36</v>
      </c>
      <c r="H50" s="53" t="s">
        <v>165</v>
      </c>
      <c r="I50" s="53" t="s">
        <v>159</v>
      </c>
      <c r="J50" s="53" t="s">
        <v>38</v>
      </c>
      <c r="K50" s="53" t="s">
        <v>161</v>
      </c>
      <c r="L50" s="53">
        <v>1</v>
      </c>
      <c r="N50" s="53">
        <v>5</v>
      </c>
      <c r="O50" s="53">
        <v>0.24</v>
      </c>
      <c r="P50" s="53">
        <v>0.27</v>
      </c>
      <c r="Q50" s="97">
        <f t="shared" si="2"/>
        <v>0.255</v>
      </c>
      <c r="R50" s="53">
        <v>13.8</v>
      </c>
      <c r="S50" s="53">
        <v>105</v>
      </c>
      <c r="T50" s="16">
        <f t="shared" si="0"/>
        <v>33</v>
      </c>
      <c r="U50" s="53">
        <v>358</v>
      </c>
      <c r="V50" s="16">
        <f t="shared" si="1"/>
        <v>16</v>
      </c>
      <c r="W50" s="53">
        <v>8</v>
      </c>
      <c r="X50" s="53" t="s">
        <v>46</v>
      </c>
      <c r="Y50" s="53" t="s">
        <v>55</v>
      </c>
      <c r="Z50" s="53" t="s">
        <v>69</v>
      </c>
      <c r="AA50" s="53" t="s">
        <v>90</v>
      </c>
      <c r="AB50" s="36" t="s">
        <v>315</v>
      </c>
      <c r="AV50" s="27"/>
    </row>
    <row r="51" spans="1:48" x14ac:dyDescent="0.15">
      <c r="A51" s="53" t="s">
        <v>59</v>
      </c>
      <c r="B51" s="36" t="s">
        <v>232</v>
      </c>
      <c r="C51" s="165">
        <v>2019</v>
      </c>
      <c r="D51" s="166" t="s">
        <v>281</v>
      </c>
      <c r="E51" s="53" t="s">
        <v>338</v>
      </c>
      <c r="F51" s="53" t="s">
        <v>339</v>
      </c>
      <c r="G51" s="53" t="s">
        <v>36</v>
      </c>
      <c r="H51" s="53" t="s">
        <v>165</v>
      </c>
      <c r="I51" s="53" t="s">
        <v>159</v>
      </c>
      <c r="J51" s="53" t="s">
        <v>38</v>
      </c>
      <c r="K51" s="53" t="s">
        <v>161</v>
      </c>
      <c r="L51" s="53">
        <v>2</v>
      </c>
      <c r="N51" s="53">
        <v>5</v>
      </c>
      <c r="O51" s="53">
        <v>0.28000000000000003</v>
      </c>
      <c r="P51" s="53">
        <v>0.26</v>
      </c>
      <c r="Q51" s="97">
        <f t="shared" si="2"/>
        <v>0.27</v>
      </c>
      <c r="R51" s="53">
        <v>15.9</v>
      </c>
      <c r="S51" s="53">
        <v>103</v>
      </c>
      <c r="T51" s="16">
        <f t="shared" si="0"/>
        <v>33</v>
      </c>
      <c r="U51" s="53">
        <v>358</v>
      </c>
      <c r="V51" s="16">
        <f t="shared" si="1"/>
        <v>16</v>
      </c>
      <c r="W51" s="53">
        <v>8</v>
      </c>
      <c r="X51" s="53" t="s">
        <v>46</v>
      </c>
      <c r="Y51" s="53" t="s">
        <v>55</v>
      </c>
      <c r="Z51" s="53" t="s">
        <v>69</v>
      </c>
      <c r="AA51" s="53" t="s">
        <v>90</v>
      </c>
      <c r="AB51" s="36" t="s">
        <v>315</v>
      </c>
      <c r="AV51" s="27"/>
    </row>
    <row r="52" spans="1:48" x14ac:dyDescent="0.15">
      <c r="A52" s="53" t="s">
        <v>59</v>
      </c>
      <c r="B52" s="36" t="s">
        <v>232</v>
      </c>
      <c r="C52" s="165">
        <v>2019</v>
      </c>
      <c r="D52" s="166" t="s">
        <v>281</v>
      </c>
      <c r="E52" s="53" t="s">
        <v>338</v>
      </c>
      <c r="F52" s="53" t="s">
        <v>339</v>
      </c>
      <c r="G52" s="53" t="s">
        <v>36</v>
      </c>
      <c r="H52" s="53" t="s">
        <v>165</v>
      </c>
      <c r="I52" s="53" t="s">
        <v>159</v>
      </c>
      <c r="J52" s="53" t="s">
        <v>38</v>
      </c>
      <c r="K52" s="53" t="s">
        <v>161</v>
      </c>
      <c r="L52" s="53">
        <v>3</v>
      </c>
      <c r="N52" s="53">
        <v>5</v>
      </c>
      <c r="O52" s="53">
        <v>0.28000000000000003</v>
      </c>
      <c r="P52" s="53">
        <v>0.25</v>
      </c>
      <c r="Q52" s="97">
        <f t="shared" si="2"/>
        <v>0.26500000000000001</v>
      </c>
      <c r="R52" s="53">
        <v>13.9</v>
      </c>
      <c r="S52" s="53">
        <v>102</v>
      </c>
      <c r="T52" s="16">
        <f t="shared" si="0"/>
        <v>33</v>
      </c>
      <c r="U52" s="53">
        <v>358</v>
      </c>
      <c r="V52" s="16">
        <f t="shared" si="1"/>
        <v>16</v>
      </c>
      <c r="W52" s="53">
        <v>8</v>
      </c>
      <c r="X52" s="53" t="s">
        <v>46</v>
      </c>
      <c r="Y52" s="53" t="s">
        <v>55</v>
      </c>
      <c r="Z52" s="53" t="s">
        <v>69</v>
      </c>
      <c r="AA52" s="53" t="s">
        <v>90</v>
      </c>
      <c r="AB52" s="36" t="s">
        <v>315</v>
      </c>
      <c r="AV52" s="27"/>
    </row>
    <row r="53" spans="1:48" x14ac:dyDescent="0.15">
      <c r="A53" s="53" t="s">
        <v>59</v>
      </c>
      <c r="B53" s="36" t="s">
        <v>232</v>
      </c>
      <c r="C53" s="165">
        <v>2019</v>
      </c>
      <c r="D53" s="166" t="s">
        <v>281</v>
      </c>
      <c r="E53" s="53" t="s">
        <v>328</v>
      </c>
      <c r="F53" s="53" t="s">
        <v>329</v>
      </c>
      <c r="G53" s="53" t="s">
        <v>36</v>
      </c>
      <c r="H53" s="53" t="s">
        <v>160</v>
      </c>
      <c r="I53" s="53" t="s">
        <v>159</v>
      </c>
      <c r="J53" s="53" t="s">
        <v>38</v>
      </c>
      <c r="K53" s="53" t="s">
        <v>161</v>
      </c>
      <c r="L53" s="53">
        <v>1</v>
      </c>
      <c r="N53" s="53">
        <v>4</v>
      </c>
      <c r="O53" s="53">
        <v>0.38</v>
      </c>
      <c r="P53" s="53">
        <v>0.44</v>
      </c>
      <c r="Q53" s="97">
        <f t="shared" si="2"/>
        <v>0.41000000000000003</v>
      </c>
      <c r="R53" s="53">
        <v>15.8</v>
      </c>
      <c r="S53" s="53">
        <v>83</v>
      </c>
      <c r="T53" s="16">
        <f t="shared" si="0"/>
        <v>39</v>
      </c>
      <c r="U53" s="53">
        <v>518</v>
      </c>
      <c r="V53" s="16">
        <f t="shared" si="1"/>
        <v>16</v>
      </c>
      <c r="W53" s="53">
        <v>10</v>
      </c>
      <c r="X53" s="53" t="s">
        <v>39</v>
      </c>
      <c r="Y53" s="53" t="s">
        <v>90</v>
      </c>
      <c r="Z53" s="53" t="s">
        <v>55</v>
      </c>
      <c r="AA53" s="53" t="s">
        <v>69</v>
      </c>
      <c r="AB53" s="36" t="s">
        <v>315</v>
      </c>
      <c r="AV53" s="27"/>
    </row>
    <row r="54" spans="1:48" x14ac:dyDescent="0.15">
      <c r="A54" s="53" t="s">
        <v>59</v>
      </c>
      <c r="B54" s="36" t="s">
        <v>232</v>
      </c>
      <c r="C54" s="165">
        <v>2019</v>
      </c>
      <c r="D54" s="166" t="s">
        <v>281</v>
      </c>
      <c r="E54" s="53" t="s">
        <v>328</v>
      </c>
      <c r="F54" s="53" t="s">
        <v>329</v>
      </c>
      <c r="G54" s="53" t="s">
        <v>36</v>
      </c>
      <c r="H54" s="53" t="s">
        <v>160</v>
      </c>
      <c r="I54" s="53" t="s">
        <v>159</v>
      </c>
      <c r="J54" s="53" t="s">
        <v>38</v>
      </c>
      <c r="K54" s="53" t="s">
        <v>161</v>
      </c>
      <c r="L54" s="53">
        <v>2</v>
      </c>
      <c r="N54" s="53">
        <v>4</v>
      </c>
      <c r="O54" s="53">
        <v>0.3</v>
      </c>
      <c r="P54" s="53">
        <v>0.34</v>
      </c>
      <c r="Q54" s="97">
        <f t="shared" si="2"/>
        <v>0.32</v>
      </c>
      <c r="R54" s="53">
        <v>18.100000000000001</v>
      </c>
      <c r="S54" s="53">
        <v>81</v>
      </c>
      <c r="T54" s="16">
        <f t="shared" si="0"/>
        <v>39</v>
      </c>
      <c r="U54" s="53">
        <v>518</v>
      </c>
      <c r="V54" s="16">
        <f t="shared" si="1"/>
        <v>16</v>
      </c>
      <c r="W54" s="53">
        <v>10</v>
      </c>
      <c r="X54" s="53" t="s">
        <v>39</v>
      </c>
      <c r="Y54" s="53" t="s">
        <v>90</v>
      </c>
      <c r="Z54" s="53" t="s">
        <v>55</v>
      </c>
      <c r="AA54" s="53" t="s">
        <v>69</v>
      </c>
      <c r="AB54" s="36" t="s">
        <v>315</v>
      </c>
      <c r="AV54" s="27"/>
    </row>
    <row r="55" spans="1:48" x14ac:dyDescent="0.15">
      <c r="A55" s="53" t="s">
        <v>59</v>
      </c>
      <c r="B55" s="36" t="s">
        <v>232</v>
      </c>
      <c r="C55" s="165">
        <v>2019</v>
      </c>
      <c r="D55" s="166" t="s">
        <v>281</v>
      </c>
      <c r="E55" s="53" t="s">
        <v>328</v>
      </c>
      <c r="F55" s="53" t="s">
        <v>329</v>
      </c>
      <c r="G55" s="53" t="s">
        <v>36</v>
      </c>
      <c r="H55" s="53" t="s">
        <v>160</v>
      </c>
      <c r="I55" s="53" t="s">
        <v>159</v>
      </c>
      <c r="J55" s="53" t="s">
        <v>38</v>
      </c>
      <c r="K55" s="53" t="s">
        <v>161</v>
      </c>
      <c r="L55" s="53">
        <v>3</v>
      </c>
      <c r="N55" s="53">
        <v>4</v>
      </c>
      <c r="O55" s="53">
        <v>0.37</v>
      </c>
      <c r="P55" s="53">
        <v>0.41</v>
      </c>
      <c r="Q55" s="97">
        <f t="shared" si="2"/>
        <v>0.39</v>
      </c>
      <c r="R55" s="53">
        <v>18.399999999999999</v>
      </c>
      <c r="S55" s="53">
        <v>91</v>
      </c>
      <c r="T55" s="16">
        <f t="shared" si="0"/>
        <v>36</v>
      </c>
      <c r="U55" s="53">
        <v>518</v>
      </c>
      <c r="V55" s="16">
        <f t="shared" si="1"/>
        <v>16</v>
      </c>
      <c r="W55" s="53">
        <v>10</v>
      </c>
      <c r="X55" s="53" t="s">
        <v>39</v>
      </c>
      <c r="Y55" s="53" t="s">
        <v>90</v>
      </c>
      <c r="Z55" s="53" t="s">
        <v>55</v>
      </c>
      <c r="AA55" s="53" t="s">
        <v>69</v>
      </c>
      <c r="AB55" s="36" t="s">
        <v>315</v>
      </c>
      <c r="AV55" s="27"/>
    </row>
    <row r="56" spans="1:48" x14ac:dyDescent="0.15">
      <c r="A56" s="53" t="s">
        <v>59</v>
      </c>
      <c r="B56" s="36" t="s">
        <v>232</v>
      </c>
      <c r="C56" s="165">
        <v>2019</v>
      </c>
      <c r="D56" s="166" t="s">
        <v>281</v>
      </c>
      <c r="E56" s="53" t="s">
        <v>328</v>
      </c>
      <c r="F56" s="53" t="s">
        <v>329</v>
      </c>
      <c r="G56" s="53" t="s">
        <v>36</v>
      </c>
      <c r="H56" s="53" t="s">
        <v>165</v>
      </c>
      <c r="I56" s="53" t="s">
        <v>159</v>
      </c>
      <c r="J56" s="53" t="s">
        <v>38</v>
      </c>
      <c r="K56" s="53" t="s">
        <v>161</v>
      </c>
      <c r="L56" s="53">
        <v>1</v>
      </c>
      <c r="N56" s="53">
        <v>1</v>
      </c>
      <c r="O56" s="53">
        <v>0.82</v>
      </c>
      <c r="P56" s="53">
        <v>0.85</v>
      </c>
      <c r="Q56" s="97">
        <f t="shared" si="2"/>
        <v>0.83499999999999996</v>
      </c>
      <c r="R56" s="53">
        <v>14.5</v>
      </c>
      <c r="S56" s="53">
        <v>135</v>
      </c>
      <c r="T56" s="16">
        <f t="shared" si="0"/>
        <v>25</v>
      </c>
      <c r="U56" s="53">
        <v>138</v>
      </c>
      <c r="V56" s="16">
        <f t="shared" si="1"/>
        <v>22</v>
      </c>
      <c r="W56" s="53">
        <v>1</v>
      </c>
      <c r="X56" s="53" t="s">
        <v>39</v>
      </c>
      <c r="Y56" s="53" t="s">
        <v>90</v>
      </c>
      <c r="Z56" s="53" t="s">
        <v>55</v>
      </c>
      <c r="AA56" s="53" t="s">
        <v>69</v>
      </c>
      <c r="AB56" s="36" t="s">
        <v>315</v>
      </c>
      <c r="AV56" s="27"/>
    </row>
    <row r="57" spans="1:48" x14ac:dyDescent="0.15">
      <c r="A57" s="53" t="s">
        <v>59</v>
      </c>
      <c r="B57" s="36" t="s">
        <v>232</v>
      </c>
      <c r="C57" s="165">
        <v>2019</v>
      </c>
      <c r="D57" s="166" t="s">
        <v>281</v>
      </c>
      <c r="E57" s="53" t="s">
        <v>328</v>
      </c>
      <c r="F57" s="53" t="s">
        <v>329</v>
      </c>
      <c r="G57" s="53" t="s">
        <v>36</v>
      </c>
      <c r="H57" s="53" t="s">
        <v>165</v>
      </c>
      <c r="I57" s="53" t="s">
        <v>159</v>
      </c>
      <c r="J57" s="53" t="s">
        <v>38</v>
      </c>
      <c r="K57" s="53" t="s">
        <v>161</v>
      </c>
      <c r="L57" s="53">
        <v>2</v>
      </c>
      <c r="N57" s="53">
        <v>1</v>
      </c>
      <c r="O57" s="53">
        <v>0.9</v>
      </c>
      <c r="P57" s="53">
        <v>0.94</v>
      </c>
      <c r="Q57" s="97">
        <f t="shared" si="2"/>
        <v>0.91999999999999993</v>
      </c>
      <c r="R57" s="53">
        <v>13.2</v>
      </c>
      <c r="S57" s="53">
        <v>130</v>
      </c>
      <c r="T57" s="16">
        <f t="shared" si="0"/>
        <v>25</v>
      </c>
      <c r="U57" s="53">
        <v>138</v>
      </c>
      <c r="V57" s="16">
        <f t="shared" si="1"/>
        <v>22</v>
      </c>
      <c r="W57" s="53">
        <v>1</v>
      </c>
      <c r="X57" s="53" t="s">
        <v>39</v>
      </c>
      <c r="Y57" s="53" t="s">
        <v>90</v>
      </c>
      <c r="Z57" s="53" t="s">
        <v>55</v>
      </c>
      <c r="AA57" s="53" t="s">
        <v>69</v>
      </c>
      <c r="AB57" s="36" t="s">
        <v>315</v>
      </c>
      <c r="AV57" s="27"/>
    </row>
    <row r="58" spans="1:48" x14ac:dyDescent="0.15">
      <c r="A58" s="53" t="s">
        <v>59</v>
      </c>
      <c r="B58" s="36" t="s">
        <v>232</v>
      </c>
      <c r="C58" s="165">
        <v>2019</v>
      </c>
      <c r="D58" s="166" t="s">
        <v>281</v>
      </c>
      <c r="E58" s="53" t="s">
        <v>328</v>
      </c>
      <c r="F58" s="53" t="s">
        <v>329</v>
      </c>
      <c r="G58" s="53" t="s">
        <v>36</v>
      </c>
      <c r="H58" s="53" t="s">
        <v>165</v>
      </c>
      <c r="I58" s="53" t="s">
        <v>159</v>
      </c>
      <c r="J58" s="53" t="s">
        <v>38</v>
      </c>
      <c r="K58" s="53" t="s">
        <v>161</v>
      </c>
      <c r="L58" s="53">
        <v>3</v>
      </c>
      <c r="N58" s="53">
        <v>1</v>
      </c>
      <c r="O58" s="53">
        <v>0.82</v>
      </c>
      <c r="P58" s="53">
        <v>0.87</v>
      </c>
      <c r="Q58" s="97">
        <f t="shared" si="2"/>
        <v>0.84499999999999997</v>
      </c>
      <c r="R58" s="53">
        <v>13.6</v>
      </c>
      <c r="S58" s="53">
        <v>134</v>
      </c>
      <c r="T58" s="16">
        <f t="shared" si="0"/>
        <v>25</v>
      </c>
      <c r="U58" s="53">
        <v>138</v>
      </c>
      <c r="V58" s="16">
        <f t="shared" si="1"/>
        <v>22</v>
      </c>
      <c r="W58" s="53">
        <v>1</v>
      </c>
      <c r="X58" s="53" t="s">
        <v>39</v>
      </c>
      <c r="Y58" s="53" t="s">
        <v>90</v>
      </c>
      <c r="Z58" s="53" t="s">
        <v>55</v>
      </c>
      <c r="AA58" s="53" t="s">
        <v>69</v>
      </c>
      <c r="AB58" s="36" t="s">
        <v>315</v>
      </c>
      <c r="AV58" s="27"/>
    </row>
    <row r="59" spans="1:48" x14ac:dyDescent="0.15">
      <c r="B59" s="36"/>
      <c r="C59" s="165"/>
      <c r="D59" s="166"/>
      <c r="Q59" s="97"/>
      <c r="AB59" s="36"/>
    </row>
    <row r="60" spans="1:48" x14ac:dyDescent="0.15">
      <c r="B60" s="36"/>
      <c r="C60" s="165"/>
      <c r="D60" s="166"/>
      <c r="Q60" s="97"/>
      <c r="AB60" s="36"/>
    </row>
    <row r="61" spans="1:48" x14ac:dyDescent="0.15">
      <c r="B61" s="36"/>
      <c r="C61" s="165"/>
      <c r="D61" s="166"/>
      <c r="Q61" s="97"/>
      <c r="AB61" s="36"/>
    </row>
    <row r="62" spans="1:48" x14ac:dyDescent="0.15">
      <c r="B62" s="36"/>
      <c r="C62" s="165"/>
      <c r="D62" s="166"/>
      <c r="Q62" s="97"/>
      <c r="AB62" s="36"/>
    </row>
    <row r="63" spans="1:48" x14ac:dyDescent="0.15">
      <c r="B63" s="36"/>
      <c r="C63" s="165"/>
      <c r="D63" s="166"/>
      <c r="Q63" s="97"/>
      <c r="AB63" s="36"/>
    </row>
    <row r="64" spans="1:48" x14ac:dyDescent="0.15">
      <c r="B64" s="36"/>
      <c r="C64" s="165"/>
      <c r="D64" s="166"/>
      <c r="Q64" s="97"/>
      <c r="AB64" s="36"/>
    </row>
    <row r="65" spans="2:28" x14ac:dyDescent="0.15">
      <c r="B65" s="36"/>
      <c r="C65" s="165"/>
      <c r="D65" s="166"/>
      <c r="Q65" s="97"/>
      <c r="AB65" s="36"/>
    </row>
    <row r="66" spans="2:28" x14ac:dyDescent="0.15">
      <c r="B66" s="36"/>
      <c r="C66" s="165"/>
      <c r="D66" s="166"/>
      <c r="Q66" s="97"/>
      <c r="AB66" s="36"/>
    </row>
    <row r="67" spans="2:28" x14ac:dyDescent="0.15">
      <c r="B67" s="36"/>
      <c r="C67" s="165"/>
      <c r="D67" s="166"/>
      <c r="Q67" s="97"/>
      <c r="AB67" s="36"/>
    </row>
    <row r="68" spans="2:28" x14ac:dyDescent="0.15">
      <c r="B68" s="36"/>
      <c r="C68" s="165"/>
      <c r="D68" s="166"/>
      <c r="Q68" s="97"/>
      <c r="AB68" s="36"/>
    </row>
    <row r="69" spans="2:28" x14ac:dyDescent="0.15">
      <c r="B69" s="36"/>
      <c r="C69" s="165"/>
      <c r="D69" s="166"/>
      <c r="Q69" s="97"/>
      <c r="AB69" s="36"/>
    </row>
    <row r="70" spans="2:28" x14ac:dyDescent="0.15">
      <c r="B70" s="36"/>
      <c r="C70" s="165"/>
      <c r="D70" s="166"/>
      <c r="Q70" s="97"/>
      <c r="AB70" s="36"/>
    </row>
    <row r="71" spans="2:28" x14ac:dyDescent="0.15">
      <c r="B71" s="36"/>
      <c r="C71" s="165"/>
      <c r="D71" s="166"/>
      <c r="Q71" s="97"/>
      <c r="AB71" s="36"/>
    </row>
    <row r="72" spans="2:28" x14ac:dyDescent="0.15">
      <c r="B72" s="36"/>
      <c r="C72" s="165"/>
      <c r="D72" s="166"/>
      <c r="Q72" s="97"/>
      <c r="AB72" s="36"/>
    </row>
    <row r="73" spans="2:28" x14ac:dyDescent="0.15">
      <c r="B73" s="36"/>
      <c r="C73" s="165"/>
      <c r="D73" s="166"/>
      <c r="Q73" s="97"/>
      <c r="AB73" s="36"/>
    </row>
    <row r="74" spans="2:28" x14ac:dyDescent="0.15">
      <c r="B74" s="36"/>
      <c r="C74" s="165"/>
      <c r="D74" s="166"/>
      <c r="Q74" s="97"/>
      <c r="AB74" s="36"/>
    </row>
    <row r="75" spans="2:28" x14ac:dyDescent="0.15">
      <c r="B75" s="36"/>
      <c r="C75" s="165"/>
      <c r="D75" s="166"/>
      <c r="Q75" s="97"/>
      <c r="AB75" s="36"/>
    </row>
    <row r="76" spans="2:28" x14ac:dyDescent="0.15">
      <c r="B76" s="36"/>
      <c r="C76" s="165"/>
      <c r="D76" s="166"/>
      <c r="Q76" s="97"/>
      <c r="AB76" s="36"/>
    </row>
    <row r="77" spans="2:28" x14ac:dyDescent="0.15">
      <c r="B77" s="36"/>
      <c r="C77" s="165"/>
      <c r="D77" s="166"/>
      <c r="Q77" s="97"/>
      <c r="AB77" s="36"/>
    </row>
    <row r="78" spans="2:28" x14ac:dyDescent="0.15">
      <c r="B78" s="36"/>
      <c r="C78" s="165"/>
      <c r="D78" s="166"/>
      <c r="Q78" s="97"/>
      <c r="AB78" s="36"/>
    </row>
    <row r="79" spans="2:28" x14ac:dyDescent="0.15">
      <c r="B79" s="36"/>
      <c r="C79" s="165"/>
      <c r="D79" s="166"/>
      <c r="Q79" s="97"/>
      <c r="AB79" s="36"/>
    </row>
    <row r="80" spans="2:28" x14ac:dyDescent="0.15">
      <c r="B80" s="36"/>
      <c r="C80" s="165"/>
      <c r="D80" s="166"/>
      <c r="Q80" s="97"/>
      <c r="AB80" s="36"/>
    </row>
    <row r="81" spans="2:28" x14ac:dyDescent="0.15">
      <c r="B81" s="36"/>
      <c r="C81" s="165"/>
      <c r="D81" s="166"/>
      <c r="Q81" s="97"/>
      <c r="AB81" s="36"/>
    </row>
    <row r="82" spans="2:28" x14ac:dyDescent="0.15">
      <c r="B82" s="36"/>
      <c r="C82" s="165"/>
      <c r="D82" s="166"/>
      <c r="Q82" s="97"/>
      <c r="AB82" s="36"/>
    </row>
    <row r="83" spans="2:28" x14ac:dyDescent="0.15">
      <c r="B83" s="36"/>
      <c r="C83" s="165"/>
      <c r="Q83" s="97"/>
      <c r="AB83" s="36"/>
    </row>
    <row r="84" spans="2:28" x14ac:dyDescent="0.15">
      <c r="B84" s="36"/>
      <c r="C84" s="165"/>
      <c r="Q84" s="97"/>
      <c r="AB84" s="36"/>
    </row>
    <row r="85" spans="2:28" x14ac:dyDescent="0.15">
      <c r="B85" s="36"/>
      <c r="C85" s="165"/>
      <c r="Q85" s="97"/>
      <c r="AB85" s="36"/>
    </row>
    <row r="86" spans="2:28" x14ac:dyDescent="0.15">
      <c r="B86" s="36"/>
      <c r="C86" s="165"/>
      <c r="Q86" s="97"/>
      <c r="AB86" s="36"/>
    </row>
    <row r="87" spans="2:28" x14ac:dyDescent="0.15">
      <c r="B87" s="36"/>
      <c r="C87" s="165"/>
      <c r="Q87" s="97"/>
      <c r="AB87" s="36"/>
    </row>
    <row r="88" spans="2:28" x14ac:dyDescent="0.15">
      <c r="B88" s="36"/>
      <c r="C88" s="165"/>
      <c r="Q88" s="97"/>
      <c r="AB88" s="36"/>
    </row>
    <row r="89" spans="2:28" x14ac:dyDescent="0.15">
      <c r="B89" s="36"/>
      <c r="C89" s="165"/>
      <c r="Q89" s="97"/>
      <c r="AB89" s="36"/>
    </row>
    <row r="90" spans="2:28" x14ac:dyDescent="0.15">
      <c r="B90" s="36"/>
      <c r="C90" s="165"/>
      <c r="Q90" s="97"/>
      <c r="AB90" s="36"/>
    </row>
    <row r="91" spans="2:28" x14ac:dyDescent="0.15">
      <c r="B91" s="36"/>
      <c r="C91" s="165"/>
      <c r="Q91" s="97"/>
      <c r="AB91" s="36"/>
    </row>
    <row r="92" spans="2:28" x14ac:dyDescent="0.15">
      <c r="B92" s="36"/>
      <c r="C92" s="165"/>
      <c r="Q92" s="97"/>
      <c r="AB92" s="36"/>
    </row>
    <row r="93" spans="2:28" x14ac:dyDescent="0.15">
      <c r="B93" s="36"/>
      <c r="C93" s="165"/>
      <c r="Q93" s="97"/>
      <c r="AB93" s="36"/>
    </row>
    <row r="94" spans="2:28" x14ac:dyDescent="0.15">
      <c r="B94" s="36"/>
      <c r="C94" s="165"/>
      <c r="Q94" s="97"/>
      <c r="AB94" s="36"/>
    </row>
    <row r="95" spans="2:28" x14ac:dyDescent="0.15">
      <c r="B95" s="36"/>
      <c r="C95" s="165"/>
      <c r="Q95" s="97"/>
      <c r="AB95" s="36"/>
    </row>
    <row r="96" spans="2:28" x14ac:dyDescent="0.15">
      <c r="B96" s="36"/>
      <c r="C96" s="165"/>
      <c r="Q96" s="97"/>
      <c r="AB96" s="36"/>
    </row>
    <row r="97" spans="2:28" x14ac:dyDescent="0.15">
      <c r="B97" s="36"/>
      <c r="C97" s="165"/>
      <c r="Q97" s="97"/>
      <c r="AB97" s="36"/>
    </row>
    <row r="98" spans="2:28" x14ac:dyDescent="0.15">
      <c r="B98" s="36"/>
      <c r="C98" s="165"/>
      <c r="Q98" s="97"/>
      <c r="AB98" s="36"/>
    </row>
    <row r="99" spans="2:28" x14ac:dyDescent="0.15">
      <c r="B99" s="36"/>
      <c r="C99" s="165"/>
      <c r="AB99" s="36"/>
    </row>
    <row r="100" spans="2:28" x14ac:dyDescent="0.15">
      <c r="B100" s="36"/>
      <c r="C100" s="165"/>
      <c r="AB100" s="36"/>
    </row>
    <row r="101" spans="2:28" x14ac:dyDescent="0.15">
      <c r="Q101" s="16" t="str">
        <f t="shared" ref="Q101:Q152" si="3">IF(OR(O101="",P101=""),"",AVERAGE(O101,P101))</f>
        <v/>
      </c>
      <c r="T101" s="16" t="str">
        <f t="shared" ref="T101:T152" si="4">IF(H101="","",IF(OR(H101="GREEN",H101="GK"),IF(S101&gt;=$AX$2,VLOOKUP(S101,$AX$2:$AY$12,2,1),""),IF(S101&gt;=$AZ$2,VLOOKUP(S101,$AZ$2:$BA$12,2,1),"")))</f>
        <v/>
      </c>
      <c r="V101" s="16" t="str">
        <f t="shared" ref="V101:V152" si="5">IF(J101="","",IF(OR(J101="GREEN",J101="GK"),IF(U101&gt;=$AX$2,VLOOKUP(U101,$AX$2:$AY$12,2,1),""),IF(U101&gt;=$AZ$2,VLOOKUP(U101,$AZ$2:$BA$12,2,1),"")))</f>
        <v/>
      </c>
      <c r="AB101" s="36"/>
    </row>
    <row r="102" spans="2:28" x14ac:dyDescent="0.15">
      <c r="Q102" s="16" t="str">
        <f t="shared" si="3"/>
        <v/>
      </c>
      <c r="T102" s="16" t="str">
        <f t="shared" si="4"/>
        <v/>
      </c>
      <c r="V102" s="16" t="str">
        <f t="shared" si="5"/>
        <v/>
      </c>
    </row>
    <row r="103" spans="2:28" x14ac:dyDescent="0.15">
      <c r="Q103" s="16" t="str">
        <f t="shared" si="3"/>
        <v/>
      </c>
      <c r="T103" s="16" t="str">
        <f t="shared" si="4"/>
        <v/>
      </c>
      <c r="V103" s="16" t="str">
        <f t="shared" si="5"/>
        <v/>
      </c>
    </row>
    <row r="104" spans="2:28" x14ac:dyDescent="0.15">
      <c r="Q104" s="16" t="str">
        <f t="shared" si="3"/>
        <v/>
      </c>
      <c r="T104" s="16" t="str">
        <f t="shared" si="4"/>
        <v/>
      </c>
      <c r="V104" s="16" t="str">
        <f t="shared" si="5"/>
        <v/>
      </c>
    </row>
    <row r="105" spans="2:28" x14ac:dyDescent="0.15">
      <c r="Q105" s="16" t="str">
        <f t="shared" si="3"/>
        <v/>
      </c>
      <c r="T105" s="16" t="str">
        <f t="shared" si="4"/>
        <v/>
      </c>
      <c r="V105" s="16" t="str">
        <f t="shared" si="5"/>
        <v/>
      </c>
    </row>
    <row r="106" spans="2:28" x14ac:dyDescent="0.15">
      <c r="Q106" s="16" t="str">
        <f t="shared" si="3"/>
        <v/>
      </c>
      <c r="T106" s="16" t="str">
        <f t="shared" si="4"/>
        <v/>
      </c>
      <c r="V106" s="16" t="str">
        <f t="shared" si="5"/>
        <v/>
      </c>
    </row>
    <row r="107" spans="2:28" x14ac:dyDescent="0.15">
      <c r="Q107" s="16" t="str">
        <f t="shared" si="3"/>
        <v/>
      </c>
      <c r="T107" s="16" t="str">
        <f t="shared" si="4"/>
        <v/>
      </c>
      <c r="V107" s="16" t="str">
        <f t="shared" si="5"/>
        <v/>
      </c>
    </row>
    <row r="108" spans="2:28" x14ac:dyDescent="0.15">
      <c r="Q108" s="16" t="str">
        <f t="shared" si="3"/>
        <v/>
      </c>
      <c r="T108" s="16" t="str">
        <f t="shared" si="4"/>
        <v/>
      </c>
      <c r="V108" s="16" t="str">
        <f t="shared" si="5"/>
        <v/>
      </c>
    </row>
    <row r="109" spans="2:28" x14ac:dyDescent="0.15">
      <c r="Q109" s="16" t="str">
        <f t="shared" si="3"/>
        <v/>
      </c>
      <c r="T109" s="16" t="str">
        <f t="shared" si="4"/>
        <v/>
      </c>
      <c r="V109" s="16" t="str">
        <f t="shared" si="5"/>
        <v/>
      </c>
    </row>
    <row r="110" spans="2:28" x14ac:dyDescent="0.15">
      <c r="Q110" s="16" t="str">
        <f t="shared" si="3"/>
        <v/>
      </c>
      <c r="T110" s="16" t="str">
        <f t="shared" si="4"/>
        <v/>
      </c>
      <c r="V110" s="16" t="str">
        <f t="shared" si="5"/>
        <v/>
      </c>
    </row>
    <row r="111" spans="2:28" x14ac:dyDescent="0.15">
      <c r="Q111" s="16" t="str">
        <f t="shared" si="3"/>
        <v/>
      </c>
      <c r="T111" s="16" t="str">
        <f t="shared" si="4"/>
        <v/>
      </c>
      <c r="V111" s="16" t="str">
        <f t="shared" si="5"/>
        <v/>
      </c>
    </row>
    <row r="112" spans="2:28"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row r="146" spans="17:22" x14ac:dyDescent="0.15">
      <c r="Q146" s="16" t="str">
        <f t="shared" si="3"/>
        <v/>
      </c>
      <c r="T146" s="16" t="str">
        <f t="shared" si="4"/>
        <v/>
      </c>
      <c r="V146" s="16" t="str">
        <f t="shared" si="5"/>
        <v/>
      </c>
    </row>
    <row r="147" spans="17:22" x14ac:dyDescent="0.15">
      <c r="Q147" s="16" t="str">
        <f t="shared" si="3"/>
        <v/>
      </c>
      <c r="T147" s="16" t="str">
        <f t="shared" si="4"/>
        <v/>
      </c>
      <c r="V147" s="16" t="str">
        <f t="shared" si="5"/>
        <v/>
      </c>
    </row>
    <row r="148" spans="17:22" x14ac:dyDescent="0.15">
      <c r="Q148" s="16" t="str">
        <f t="shared" si="3"/>
        <v/>
      </c>
      <c r="T148" s="16" t="str">
        <f t="shared" si="4"/>
        <v/>
      </c>
      <c r="V148" s="16" t="str">
        <f t="shared" si="5"/>
        <v/>
      </c>
    </row>
    <row r="149" spans="17:22" x14ac:dyDescent="0.15">
      <c r="Q149" s="16" t="str">
        <f t="shared" si="3"/>
        <v/>
      </c>
      <c r="T149" s="16" t="str">
        <f t="shared" si="4"/>
        <v/>
      </c>
      <c r="V149" s="16" t="str">
        <f t="shared" si="5"/>
        <v/>
      </c>
    </row>
    <row r="150" spans="17:22" x14ac:dyDescent="0.15">
      <c r="Q150" s="16" t="str">
        <f t="shared" si="3"/>
        <v/>
      </c>
      <c r="T150" s="16" t="str">
        <f t="shared" si="4"/>
        <v/>
      </c>
      <c r="V150" s="16" t="str">
        <f t="shared" si="5"/>
        <v/>
      </c>
    </row>
    <row r="151" spans="17:22" x14ac:dyDescent="0.15">
      <c r="Q151" s="16" t="str">
        <f t="shared" si="3"/>
        <v/>
      </c>
      <c r="T151" s="16" t="str">
        <f t="shared" si="4"/>
        <v/>
      </c>
      <c r="V151" s="16" t="str">
        <f t="shared" si="5"/>
        <v/>
      </c>
    </row>
    <row r="152" spans="17:22" x14ac:dyDescent="0.15">
      <c r="Q152" s="16" t="str">
        <f t="shared" si="3"/>
        <v/>
      </c>
      <c r="T152" s="16" t="str">
        <f t="shared" si="4"/>
        <v/>
      </c>
      <c r="V152" s="16" t="str">
        <f t="shared" si="5"/>
        <v/>
      </c>
    </row>
  </sheetData>
  <autoFilter ref="A1:BA152" xr:uid="{00000000-0009-0000-0000-000000000000}"/>
  <phoneticPr fontId="3"/>
  <dataValidations count="19">
    <dataValidation type="list" allowBlank="1" showInputMessage="1" showErrorMessage="1" sqref="K2:K434" xr:uid="{D446E57A-3413-4E3D-80D0-9650D18C52D5}">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K435:K492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xr:uid="{F8E71F52-6325-40C7-A27D-F9DE4BEF5E97}">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59:J492" xr:uid="{48CE8BEA-7469-4E13-9F8D-FBC833077C8D}">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7448665C-460F-4CBC-BBE5-9820E03B693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DD442730-7F2F-4518-B4BE-D9EDC0998365}">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D349DF3F-B234-4530-93C7-72BF8BB59837}">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E50E998B-2F9F-4310-AB22-3FFEB6691A94}">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1DBF0AB4-2F81-410F-823D-705D31A0091D}">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xr:uid="{BDDB69EB-B13D-4C75-83C6-D0465CEF9807}">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xr:uid="{B52A5EBB-630F-464C-9CEA-7C1027FF6D7C}">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3A409C4A-4FB4-4BCD-9517-23D525A8D0EB}">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A6AD2ADC-3DAE-47E8-87B2-4DDACA8761A2}">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11E03208-872C-4F69-9C5D-54360982B002}">
      <formula1>#REF!</formula1>
    </dataValidation>
    <dataValidation type="list" allowBlank="1" showInputMessage="1" showErrorMessage="1" sqref="E2:E492" xr:uid="{F624177C-4B7C-46F3-A054-D214E1DAC7B4}">
      <formula1>$AG$2:$AG$11</formula1>
    </dataValidation>
    <dataValidation type="list" allowBlank="1" showInputMessage="1" showErrorMessage="1" sqref="H2:H492" xr:uid="{14D47DDA-ECCE-476E-A97C-82F43ECE51DA}">
      <formula1>$AL$2:$AL$8</formula1>
    </dataValidation>
    <dataValidation type="decimal" allowBlank="1" showInputMessage="1" showErrorMessage="1" error="硬度を正しく入力して下さい。" sqref="O2:P492" xr:uid="{5DF29942-88DA-41CB-9AEA-91F495A6A03C}">
      <formula1>0</formula1>
      <formula2>7</formula2>
    </dataValidation>
    <dataValidation type="list" allowBlank="1" showInputMessage="1" showErrorMessage="1" sqref="F2:F1446" xr:uid="{2A695F25-08C1-42FE-B2B0-B655A064667E}">
      <formula1>$AH$2:$AH$11</formula1>
    </dataValidation>
    <dataValidation type="list" allowBlank="1" showInputMessage="1" showErrorMessage="1" sqref="Y2:AA583" xr:uid="{7BC32D36-B293-41F6-8AF3-0C5707149A29}">
      <formula1>$AV$2:$AV$38</formula1>
    </dataValidation>
    <dataValidation type="list" allowBlank="1" showInputMessage="1" showErrorMessage="1" sqref="J2:J58" xr:uid="{D636E78F-B503-4AED-9442-57105FA56710}">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46666-3565-45FA-A650-7FB7F27A9644}">
  <dimension ref="A1:BA443"/>
  <sheetViews>
    <sheetView topLeftCell="A25" zoomScale="70" zoomScaleNormal="70" zoomScaleSheetLayoutView="100" workbookViewId="0">
      <selection activeCell="AD43" sqref="AD43"/>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9" style="53"/>
    <col min="22" max="22" width="9" style="16"/>
    <col min="23" max="32" width="9" style="53"/>
    <col min="33" max="33" width="16.875" style="53" bestFit="1" customWidth="1"/>
    <col min="34" max="34" width="15.625" style="53" customWidth="1"/>
    <col min="35" max="39" width="9" style="156"/>
    <col min="40" max="16384" width="9" style="53"/>
  </cols>
  <sheetData>
    <row r="1" spans="1:53" ht="45" x14ac:dyDescent="0.15">
      <c r="A1" s="44" t="s">
        <v>0</v>
      </c>
      <c r="B1" s="1" t="s">
        <v>1</v>
      </c>
      <c r="C1" s="1" t="s">
        <v>2</v>
      </c>
      <c r="D1" s="2" t="s">
        <v>3</v>
      </c>
      <c r="E1" s="45" t="s">
        <v>4</v>
      </c>
      <c r="F1" s="45" t="s">
        <v>5</v>
      </c>
      <c r="G1" s="45" t="s">
        <v>6</v>
      </c>
      <c r="H1" s="45" t="s">
        <v>7</v>
      </c>
      <c r="I1" s="45" t="s">
        <v>8</v>
      </c>
      <c r="J1" s="45" t="s">
        <v>9</v>
      </c>
      <c r="K1" s="176"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177"/>
      <c r="AJ1" s="178" t="s">
        <v>6</v>
      </c>
      <c r="AK1" s="177"/>
      <c r="AL1" s="179" t="s">
        <v>7</v>
      </c>
      <c r="AM1" s="177"/>
      <c r="AN1" s="10" t="s">
        <v>8</v>
      </c>
      <c r="AO1" s="9"/>
      <c r="AP1" s="10" t="s">
        <v>27</v>
      </c>
      <c r="AQ1" s="9"/>
      <c r="AR1" s="10" t="s">
        <v>10</v>
      </c>
      <c r="AS1" s="9"/>
      <c r="AT1" s="11" t="s">
        <v>28</v>
      </c>
      <c r="AU1" s="9"/>
      <c r="AV1" s="10" t="s">
        <v>29</v>
      </c>
      <c r="AX1" s="12" t="s">
        <v>30</v>
      </c>
      <c r="AY1" s="13" t="s">
        <v>31</v>
      </c>
      <c r="AZ1" s="13" t="s">
        <v>32</v>
      </c>
      <c r="BA1" s="14" t="s">
        <v>33</v>
      </c>
    </row>
    <row r="2" spans="1:53" x14ac:dyDescent="0.15">
      <c r="A2" s="180" t="s">
        <v>34</v>
      </c>
      <c r="B2" s="180" t="s">
        <v>232</v>
      </c>
      <c r="C2" s="180">
        <v>2019</v>
      </c>
      <c r="D2" s="181" t="s">
        <v>233</v>
      </c>
      <c r="E2" s="180" t="s">
        <v>353</v>
      </c>
      <c r="F2" s="180" t="s">
        <v>354</v>
      </c>
      <c r="G2" s="182" t="s">
        <v>36</v>
      </c>
      <c r="H2" s="183" t="s">
        <v>165</v>
      </c>
      <c r="I2" s="149" t="s">
        <v>159</v>
      </c>
      <c r="J2" s="184" t="s">
        <v>38</v>
      </c>
      <c r="K2" s="149" t="s">
        <v>161</v>
      </c>
      <c r="L2" s="185">
        <v>1</v>
      </c>
      <c r="M2" s="186"/>
      <c r="N2" s="186">
        <v>4</v>
      </c>
      <c r="O2" s="186">
        <v>0.8</v>
      </c>
      <c r="P2" s="186">
        <v>0.75</v>
      </c>
      <c r="Q2" s="187">
        <f t="shared" ref="Q2:Q65" si="0">IF(OR(O2="",P2=""),"",AVERAGE(O2,P2))</f>
        <v>0.77500000000000002</v>
      </c>
      <c r="R2" s="188">
        <v>15.2</v>
      </c>
      <c r="S2" s="183">
        <v>90</v>
      </c>
      <c r="T2" s="189">
        <f t="shared" ref="T2:T65" si="1">IF(H2="","",IF(OR(H2="GREEN",H2="GK"),IF(S2&gt;=$AX$2,VLOOKUP(S2,$AX$2:$AY$7,2,1),""),IF(S2&gt;=$AZ$2,VLOOKUP(S2,$AZ$2:$BA$7,2,1),"")))</f>
        <v>36</v>
      </c>
      <c r="U2" s="149">
        <v>98</v>
      </c>
      <c r="V2" s="189">
        <f t="shared" ref="V2:V65" si="2">IF(OR(N2="",U2="",T2=""),"",U2/N2*T2)</f>
        <v>882</v>
      </c>
      <c r="W2" s="190">
        <v>6</v>
      </c>
      <c r="X2" s="191" t="s">
        <v>46</v>
      </c>
      <c r="Y2" s="191" t="s">
        <v>86</v>
      </c>
      <c r="Z2" s="191" t="s">
        <v>90</v>
      </c>
      <c r="AA2" s="192" t="s">
        <v>55</v>
      </c>
      <c r="AB2" s="57" t="s">
        <v>258</v>
      </c>
      <c r="AE2" s="17" t="s">
        <v>35</v>
      </c>
      <c r="AG2" s="65" t="s">
        <v>353</v>
      </c>
      <c r="AH2" s="65" t="s">
        <v>354</v>
      </c>
      <c r="AJ2" s="157" t="s">
        <v>36</v>
      </c>
      <c r="AL2" s="18" t="s">
        <v>127</v>
      </c>
      <c r="AN2" s="18" t="s">
        <v>37</v>
      </c>
      <c r="AO2" s="54"/>
      <c r="AP2" s="18" t="s">
        <v>38</v>
      </c>
      <c r="AQ2" s="54"/>
      <c r="AR2" s="18" t="s">
        <v>120</v>
      </c>
      <c r="AS2" s="54"/>
      <c r="AT2" s="18" t="s">
        <v>39</v>
      </c>
      <c r="AU2" s="54"/>
      <c r="AV2" s="169" t="s">
        <v>40</v>
      </c>
      <c r="AW2" s="54"/>
      <c r="AX2" s="19">
        <v>1</v>
      </c>
      <c r="AY2" s="20">
        <v>50</v>
      </c>
      <c r="AZ2" s="20">
        <v>1</v>
      </c>
      <c r="BA2" s="21">
        <v>50</v>
      </c>
    </row>
    <row r="3" spans="1:53" x14ac:dyDescent="0.15">
      <c r="A3" s="193" t="s">
        <v>34</v>
      </c>
      <c r="B3" s="193" t="s">
        <v>157</v>
      </c>
      <c r="C3" s="194">
        <v>2019</v>
      </c>
      <c r="D3" s="195" t="s">
        <v>355</v>
      </c>
      <c r="E3" s="193" t="s">
        <v>353</v>
      </c>
      <c r="F3" s="193" t="s">
        <v>354</v>
      </c>
      <c r="G3" s="196" t="s">
        <v>36</v>
      </c>
      <c r="H3" s="149" t="s">
        <v>165</v>
      </c>
      <c r="I3" s="149" t="s">
        <v>159</v>
      </c>
      <c r="J3" s="149" t="s">
        <v>38</v>
      </c>
      <c r="K3" s="149" t="s">
        <v>161</v>
      </c>
      <c r="L3" s="53">
        <v>2</v>
      </c>
      <c r="N3" s="53">
        <v>4</v>
      </c>
      <c r="O3" s="53">
        <v>1.2</v>
      </c>
      <c r="P3" s="34">
        <v>0.95</v>
      </c>
      <c r="Q3" s="197">
        <f t="shared" si="0"/>
        <v>1.075</v>
      </c>
      <c r="R3" s="198">
        <v>14.9</v>
      </c>
      <c r="S3" s="198">
        <v>90</v>
      </c>
      <c r="T3" s="16">
        <f t="shared" si="1"/>
        <v>36</v>
      </c>
      <c r="U3" s="199">
        <v>98</v>
      </c>
      <c r="V3" s="200">
        <f t="shared" si="2"/>
        <v>882</v>
      </c>
      <c r="W3" s="201">
        <v>6</v>
      </c>
      <c r="X3" s="202" t="s">
        <v>46</v>
      </c>
      <c r="Y3" s="202" t="s">
        <v>86</v>
      </c>
      <c r="Z3" s="202" t="s">
        <v>90</v>
      </c>
      <c r="AA3" s="192" t="s">
        <v>55</v>
      </c>
      <c r="AB3" s="57" t="s">
        <v>158</v>
      </c>
      <c r="AE3" s="22" t="s">
        <v>41</v>
      </c>
      <c r="AG3" s="65" t="s">
        <v>356</v>
      </c>
      <c r="AH3" s="65" t="s">
        <v>357</v>
      </c>
      <c r="AJ3" s="203" t="s">
        <v>42</v>
      </c>
      <c r="AL3" s="23" t="s">
        <v>128</v>
      </c>
      <c r="AN3" s="23" t="s">
        <v>43</v>
      </c>
      <c r="AP3" s="23" t="s">
        <v>44</v>
      </c>
      <c r="AR3" s="41" t="s">
        <v>45</v>
      </c>
      <c r="AT3" s="23" t="s">
        <v>46</v>
      </c>
      <c r="AV3" s="23" t="s">
        <v>47</v>
      </c>
      <c r="AX3" s="24">
        <v>72</v>
      </c>
      <c r="AY3" s="25">
        <v>46</v>
      </c>
      <c r="AZ3" s="25">
        <v>71</v>
      </c>
      <c r="BA3" s="26">
        <v>42</v>
      </c>
    </row>
    <row r="4" spans="1:53" x14ac:dyDescent="0.15">
      <c r="A4" s="193" t="s">
        <v>34</v>
      </c>
      <c r="B4" s="193" t="s">
        <v>157</v>
      </c>
      <c r="C4" s="193">
        <v>2019</v>
      </c>
      <c r="D4" s="195" t="s">
        <v>355</v>
      </c>
      <c r="E4" s="193" t="s">
        <v>353</v>
      </c>
      <c r="F4" s="193" t="s">
        <v>354</v>
      </c>
      <c r="G4" s="196" t="s">
        <v>36</v>
      </c>
      <c r="H4" s="149" t="s">
        <v>165</v>
      </c>
      <c r="I4" s="149" t="s">
        <v>159</v>
      </c>
      <c r="J4" s="149" t="s">
        <v>38</v>
      </c>
      <c r="K4" s="149" t="s">
        <v>161</v>
      </c>
      <c r="L4" s="53">
        <v>3</v>
      </c>
      <c r="N4" s="53">
        <v>4</v>
      </c>
      <c r="O4" s="53">
        <v>0.75</v>
      </c>
      <c r="P4" s="34">
        <v>0.8</v>
      </c>
      <c r="Q4" s="97">
        <f t="shared" si="0"/>
        <v>0.77500000000000002</v>
      </c>
      <c r="R4" s="204">
        <v>15</v>
      </c>
      <c r="S4" s="204">
        <v>91</v>
      </c>
      <c r="T4" s="16">
        <f t="shared" si="1"/>
        <v>36</v>
      </c>
      <c r="U4" s="205">
        <v>98</v>
      </c>
      <c r="V4" s="200">
        <f t="shared" si="2"/>
        <v>882</v>
      </c>
      <c r="W4" s="206">
        <v>6</v>
      </c>
      <c r="X4" s="202" t="s">
        <v>46</v>
      </c>
      <c r="Y4" s="202" t="s">
        <v>86</v>
      </c>
      <c r="Z4" s="202" t="s">
        <v>90</v>
      </c>
      <c r="AA4" s="192" t="s">
        <v>55</v>
      </c>
      <c r="AB4" s="57" t="s">
        <v>158</v>
      </c>
      <c r="AE4" s="22" t="s">
        <v>34</v>
      </c>
      <c r="AG4" s="65" t="s">
        <v>358</v>
      </c>
      <c r="AH4" s="65" t="s">
        <v>357</v>
      </c>
      <c r="AJ4" s="207" t="s">
        <v>48</v>
      </c>
      <c r="AL4" s="27" t="s">
        <v>129</v>
      </c>
      <c r="AN4" s="28" t="s">
        <v>49</v>
      </c>
      <c r="AP4" s="23" t="s">
        <v>93</v>
      </c>
      <c r="AR4" s="41" t="s">
        <v>121</v>
      </c>
      <c r="AT4" s="28"/>
      <c r="AV4" s="23" t="s">
        <v>50</v>
      </c>
      <c r="AX4" s="24">
        <v>75</v>
      </c>
      <c r="AY4" s="25">
        <v>42</v>
      </c>
      <c r="AZ4" s="25">
        <v>76</v>
      </c>
      <c r="BA4" s="26">
        <v>39</v>
      </c>
    </row>
    <row r="5" spans="1:53" x14ac:dyDescent="0.15">
      <c r="A5" s="193" t="s">
        <v>34</v>
      </c>
      <c r="B5" s="193" t="s">
        <v>157</v>
      </c>
      <c r="C5" s="194">
        <v>2019</v>
      </c>
      <c r="D5" s="195" t="s">
        <v>355</v>
      </c>
      <c r="E5" s="193" t="s">
        <v>353</v>
      </c>
      <c r="F5" s="193" t="s">
        <v>354</v>
      </c>
      <c r="G5" s="196" t="s">
        <v>36</v>
      </c>
      <c r="H5" s="149" t="s">
        <v>160</v>
      </c>
      <c r="I5" s="149" t="s">
        <v>159</v>
      </c>
      <c r="J5" s="149" t="s">
        <v>38</v>
      </c>
      <c r="K5" s="149" t="s">
        <v>161</v>
      </c>
      <c r="L5" s="53">
        <v>1</v>
      </c>
      <c r="N5" s="53">
        <v>1</v>
      </c>
      <c r="O5" s="53">
        <v>0.55000000000000004</v>
      </c>
      <c r="P5" s="36">
        <v>0.5</v>
      </c>
      <c r="Q5" s="97">
        <f t="shared" si="0"/>
        <v>0.52500000000000002</v>
      </c>
      <c r="R5" s="204">
        <v>17.7</v>
      </c>
      <c r="S5" s="204">
        <v>133</v>
      </c>
      <c r="T5" s="16">
        <f t="shared" si="1"/>
        <v>30</v>
      </c>
      <c r="U5" s="205">
        <v>358</v>
      </c>
      <c r="V5" s="200">
        <f t="shared" si="2"/>
        <v>10740</v>
      </c>
      <c r="W5" s="206">
        <v>6</v>
      </c>
      <c r="X5" s="202" t="s">
        <v>46</v>
      </c>
      <c r="Y5" s="202" t="s">
        <v>86</v>
      </c>
      <c r="Z5" s="202" t="s">
        <v>90</v>
      </c>
      <c r="AA5" s="192" t="s">
        <v>55</v>
      </c>
      <c r="AB5" s="57" t="s">
        <v>158</v>
      </c>
      <c r="AE5" s="22" t="s">
        <v>51</v>
      </c>
      <c r="AG5" s="65" t="s">
        <v>353</v>
      </c>
      <c r="AH5" s="65" t="s">
        <v>359</v>
      </c>
      <c r="AJ5" s="208"/>
      <c r="AL5" s="29" t="s">
        <v>66</v>
      </c>
      <c r="AN5" s="29" t="s">
        <v>52</v>
      </c>
      <c r="AP5" s="23" t="s">
        <v>119</v>
      </c>
      <c r="AR5" s="41" t="s">
        <v>54</v>
      </c>
      <c r="AT5" s="151"/>
      <c r="AV5" s="23" t="s">
        <v>55</v>
      </c>
      <c r="AX5" s="24">
        <v>84</v>
      </c>
      <c r="AY5" s="25">
        <v>39</v>
      </c>
      <c r="AZ5" s="25">
        <v>84</v>
      </c>
      <c r="BA5" s="26">
        <v>36</v>
      </c>
    </row>
    <row r="6" spans="1:53" x14ac:dyDescent="0.15">
      <c r="A6" s="193" t="s">
        <v>34</v>
      </c>
      <c r="B6" s="193" t="s">
        <v>157</v>
      </c>
      <c r="C6" s="193">
        <v>2019</v>
      </c>
      <c r="D6" s="195" t="s">
        <v>355</v>
      </c>
      <c r="E6" s="193" t="s">
        <v>353</v>
      </c>
      <c r="F6" s="193" t="s">
        <v>354</v>
      </c>
      <c r="G6" s="196" t="s">
        <v>36</v>
      </c>
      <c r="H6" s="149" t="s">
        <v>160</v>
      </c>
      <c r="I6" s="149" t="s">
        <v>159</v>
      </c>
      <c r="J6" s="149" t="s">
        <v>38</v>
      </c>
      <c r="K6" s="149" t="s">
        <v>161</v>
      </c>
      <c r="L6" s="53">
        <v>2</v>
      </c>
      <c r="N6" s="53">
        <v>1</v>
      </c>
      <c r="O6" s="53">
        <v>0.4</v>
      </c>
      <c r="P6" s="36">
        <v>0.55000000000000004</v>
      </c>
      <c r="Q6" s="97">
        <f t="shared" si="0"/>
        <v>0.47500000000000003</v>
      </c>
      <c r="R6" s="204">
        <v>18.2</v>
      </c>
      <c r="S6" s="204">
        <v>133</v>
      </c>
      <c r="T6" s="16">
        <f t="shared" si="1"/>
        <v>30</v>
      </c>
      <c r="U6" s="205">
        <v>358</v>
      </c>
      <c r="V6" s="200">
        <f t="shared" si="2"/>
        <v>10740</v>
      </c>
      <c r="W6" s="206">
        <v>6</v>
      </c>
      <c r="X6" s="202" t="s">
        <v>46</v>
      </c>
      <c r="Y6" s="202" t="s">
        <v>86</v>
      </c>
      <c r="Z6" s="202" t="s">
        <v>90</v>
      </c>
      <c r="AA6" s="192" t="s">
        <v>55</v>
      </c>
      <c r="AB6" s="57" t="s">
        <v>158</v>
      </c>
      <c r="AE6" s="22" t="s">
        <v>56</v>
      </c>
      <c r="AG6" s="65" t="s">
        <v>210</v>
      </c>
      <c r="AH6" s="65" t="s">
        <v>360</v>
      </c>
      <c r="AL6" s="29" t="s">
        <v>99</v>
      </c>
      <c r="AN6" s="29" t="s">
        <v>57</v>
      </c>
      <c r="AP6" s="23" t="s">
        <v>53</v>
      </c>
      <c r="AR6" s="41" t="s">
        <v>59</v>
      </c>
      <c r="AV6" s="23" t="s">
        <v>60</v>
      </c>
      <c r="AX6" s="24">
        <v>97</v>
      </c>
      <c r="AY6" s="25">
        <v>36</v>
      </c>
      <c r="AZ6" s="25">
        <v>99</v>
      </c>
      <c r="BA6" s="26">
        <v>33</v>
      </c>
    </row>
    <row r="7" spans="1:53" x14ac:dyDescent="0.15">
      <c r="A7" s="193" t="s">
        <v>34</v>
      </c>
      <c r="B7" s="193" t="s">
        <v>157</v>
      </c>
      <c r="C7" s="194">
        <v>2019</v>
      </c>
      <c r="D7" s="195" t="s">
        <v>355</v>
      </c>
      <c r="E7" s="193" t="s">
        <v>353</v>
      </c>
      <c r="F7" s="193" t="s">
        <v>354</v>
      </c>
      <c r="G7" s="196" t="s">
        <v>36</v>
      </c>
      <c r="H7" s="149" t="s">
        <v>160</v>
      </c>
      <c r="I7" s="149" t="s">
        <v>159</v>
      </c>
      <c r="J7" s="149" t="s">
        <v>38</v>
      </c>
      <c r="K7" s="149" t="s">
        <v>161</v>
      </c>
      <c r="L7" s="53">
        <v>3</v>
      </c>
      <c r="N7" s="53">
        <v>1</v>
      </c>
      <c r="O7" s="53">
        <v>0.45</v>
      </c>
      <c r="P7" s="36">
        <v>0.45</v>
      </c>
      <c r="Q7" s="97">
        <f t="shared" si="0"/>
        <v>0.45</v>
      </c>
      <c r="R7" s="204">
        <v>18.5</v>
      </c>
      <c r="S7" s="204">
        <v>127</v>
      </c>
      <c r="T7" s="16">
        <f t="shared" si="1"/>
        <v>30</v>
      </c>
      <c r="U7" s="205">
        <v>358</v>
      </c>
      <c r="V7" s="200">
        <f t="shared" si="2"/>
        <v>10740</v>
      </c>
      <c r="W7" s="206">
        <v>6</v>
      </c>
      <c r="X7" s="202" t="s">
        <v>46</v>
      </c>
      <c r="Y7" s="202" t="s">
        <v>86</v>
      </c>
      <c r="Z7" s="202" t="s">
        <v>90</v>
      </c>
      <c r="AA7" s="192" t="s">
        <v>55</v>
      </c>
      <c r="AB7" s="57" t="s">
        <v>158</v>
      </c>
      <c r="AE7" s="22" t="s">
        <v>61</v>
      </c>
      <c r="AG7" s="65" t="s">
        <v>361</v>
      </c>
      <c r="AH7" s="65" t="s">
        <v>360</v>
      </c>
      <c r="AL7" s="34" t="s">
        <v>109</v>
      </c>
      <c r="AP7" s="23" t="s">
        <v>58</v>
      </c>
      <c r="AR7" s="30" t="s">
        <v>122</v>
      </c>
      <c r="AV7" s="23" t="s">
        <v>64</v>
      </c>
      <c r="AX7" s="24">
        <v>109</v>
      </c>
      <c r="AY7" s="25">
        <v>33</v>
      </c>
      <c r="AZ7" s="25">
        <v>113</v>
      </c>
      <c r="BA7" s="26">
        <v>30</v>
      </c>
    </row>
    <row r="8" spans="1:53" x14ac:dyDescent="0.15">
      <c r="A8" s="193" t="s">
        <v>34</v>
      </c>
      <c r="B8" s="193" t="s">
        <v>157</v>
      </c>
      <c r="C8" s="193">
        <v>2019</v>
      </c>
      <c r="D8" s="195" t="s">
        <v>355</v>
      </c>
      <c r="E8" s="194" t="s">
        <v>356</v>
      </c>
      <c r="F8" s="193" t="s">
        <v>357</v>
      </c>
      <c r="G8" s="196" t="s">
        <v>36</v>
      </c>
      <c r="H8" s="149" t="s">
        <v>165</v>
      </c>
      <c r="I8" s="149" t="s">
        <v>159</v>
      </c>
      <c r="J8" s="149" t="s">
        <v>38</v>
      </c>
      <c r="K8" s="149" t="s">
        <v>161</v>
      </c>
      <c r="L8" s="53">
        <v>1</v>
      </c>
      <c r="N8" s="53">
        <v>1</v>
      </c>
      <c r="O8" s="53">
        <v>1</v>
      </c>
      <c r="P8" s="53">
        <v>0.9</v>
      </c>
      <c r="Q8" s="97">
        <f t="shared" si="0"/>
        <v>0.95</v>
      </c>
      <c r="R8" s="204">
        <v>13.8</v>
      </c>
      <c r="S8" s="204">
        <v>121</v>
      </c>
      <c r="T8" s="16">
        <f t="shared" si="1"/>
        <v>30</v>
      </c>
      <c r="U8" s="209">
        <v>92</v>
      </c>
      <c r="V8" s="200">
        <f t="shared" si="2"/>
        <v>2760</v>
      </c>
      <c r="W8" s="206">
        <v>6</v>
      </c>
      <c r="X8" s="202" t="s">
        <v>46</v>
      </c>
      <c r="Y8" s="210" t="s">
        <v>86</v>
      </c>
      <c r="Z8" s="202" t="s">
        <v>75</v>
      </c>
      <c r="AA8" s="192" t="s">
        <v>64</v>
      </c>
      <c r="AB8" s="57" t="s">
        <v>158</v>
      </c>
      <c r="AE8" s="22" t="s">
        <v>59</v>
      </c>
      <c r="AG8" s="65" t="s">
        <v>210</v>
      </c>
      <c r="AH8" s="65" t="s">
        <v>362</v>
      </c>
      <c r="AL8" s="34" t="s">
        <v>134</v>
      </c>
      <c r="AP8" s="23" t="s">
        <v>62</v>
      </c>
      <c r="AR8" s="41" t="s">
        <v>81</v>
      </c>
      <c r="AV8" s="23" t="s">
        <v>97</v>
      </c>
      <c r="AX8" s="24">
        <v>151</v>
      </c>
      <c r="AY8" s="25">
        <v>22</v>
      </c>
      <c r="AZ8" s="25">
        <v>152</v>
      </c>
      <c r="BA8" s="26">
        <v>18</v>
      </c>
    </row>
    <row r="9" spans="1:53" x14ac:dyDescent="0.15">
      <c r="A9" s="193" t="s">
        <v>34</v>
      </c>
      <c r="B9" s="193" t="s">
        <v>157</v>
      </c>
      <c r="C9" s="194">
        <v>2019</v>
      </c>
      <c r="D9" s="195" t="s">
        <v>355</v>
      </c>
      <c r="E9" s="194" t="s">
        <v>356</v>
      </c>
      <c r="F9" s="193" t="s">
        <v>357</v>
      </c>
      <c r="G9" s="196" t="s">
        <v>36</v>
      </c>
      <c r="H9" s="149" t="s">
        <v>165</v>
      </c>
      <c r="I9" s="149" t="s">
        <v>159</v>
      </c>
      <c r="J9" s="149" t="s">
        <v>38</v>
      </c>
      <c r="K9" s="149" t="s">
        <v>161</v>
      </c>
      <c r="L9" s="53">
        <v>2</v>
      </c>
      <c r="N9" s="53">
        <v>1</v>
      </c>
      <c r="O9" s="53">
        <v>1.1499999999999999</v>
      </c>
      <c r="P9" s="53">
        <v>0.95</v>
      </c>
      <c r="Q9" s="97">
        <f t="shared" si="0"/>
        <v>1.0499999999999998</v>
      </c>
      <c r="R9" s="204">
        <v>14.6</v>
      </c>
      <c r="S9" s="204">
        <v>120</v>
      </c>
      <c r="T9" s="16">
        <f t="shared" si="1"/>
        <v>30</v>
      </c>
      <c r="U9" s="209">
        <v>92</v>
      </c>
      <c r="V9" s="200">
        <f t="shared" si="2"/>
        <v>2760</v>
      </c>
      <c r="W9" s="206">
        <v>6</v>
      </c>
      <c r="X9" s="202" t="s">
        <v>46</v>
      </c>
      <c r="Y9" s="210" t="s">
        <v>86</v>
      </c>
      <c r="Z9" s="202" t="s">
        <v>75</v>
      </c>
      <c r="AA9" s="192" t="s">
        <v>64</v>
      </c>
      <c r="AB9" s="57" t="s">
        <v>158</v>
      </c>
      <c r="AE9" s="22" t="s">
        <v>98</v>
      </c>
      <c r="AG9" s="65" t="s">
        <v>139</v>
      </c>
      <c r="AH9" s="65" t="s">
        <v>362</v>
      </c>
      <c r="AL9" s="29"/>
      <c r="AP9" s="23" t="s">
        <v>95</v>
      </c>
      <c r="AR9" s="30" t="s">
        <v>89</v>
      </c>
      <c r="AV9" s="23" t="s">
        <v>102</v>
      </c>
      <c r="AX9" s="31">
        <v>180</v>
      </c>
      <c r="AY9" s="32">
        <v>18</v>
      </c>
      <c r="AZ9" s="32">
        <v>181</v>
      </c>
      <c r="BA9" s="33">
        <v>16</v>
      </c>
    </row>
    <row r="10" spans="1:53" x14ac:dyDescent="0.15">
      <c r="A10" s="193" t="s">
        <v>34</v>
      </c>
      <c r="B10" s="193" t="s">
        <v>157</v>
      </c>
      <c r="C10" s="193">
        <v>2019</v>
      </c>
      <c r="D10" s="195" t="s">
        <v>355</v>
      </c>
      <c r="E10" s="194" t="s">
        <v>356</v>
      </c>
      <c r="F10" s="193" t="s">
        <v>357</v>
      </c>
      <c r="G10" s="196" t="s">
        <v>36</v>
      </c>
      <c r="H10" s="149" t="s">
        <v>165</v>
      </c>
      <c r="I10" s="149" t="s">
        <v>159</v>
      </c>
      <c r="J10" s="149" t="s">
        <v>38</v>
      </c>
      <c r="K10" s="149" t="s">
        <v>161</v>
      </c>
      <c r="L10" s="53">
        <v>3</v>
      </c>
      <c r="N10" s="53">
        <v>1</v>
      </c>
      <c r="O10" s="53">
        <v>0.85</v>
      </c>
      <c r="P10" s="53">
        <v>1.1499999999999999</v>
      </c>
      <c r="Q10" s="97">
        <f t="shared" si="0"/>
        <v>1</v>
      </c>
      <c r="R10" s="204">
        <v>14.4</v>
      </c>
      <c r="S10" s="204">
        <v>120</v>
      </c>
      <c r="T10" s="16">
        <f t="shared" si="1"/>
        <v>30</v>
      </c>
      <c r="U10" s="209">
        <v>92</v>
      </c>
      <c r="V10" s="200">
        <f t="shared" si="2"/>
        <v>2760</v>
      </c>
      <c r="W10" s="206">
        <v>6</v>
      </c>
      <c r="X10" s="202" t="s">
        <v>46</v>
      </c>
      <c r="Y10" s="210" t="s">
        <v>86</v>
      </c>
      <c r="Z10" s="202" t="s">
        <v>75</v>
      </c>
      <c r="AA10" s="192" t="s">
        <v>64</v>
      </c>
      <c r="AB10" s="57" t="s">
        <v>158</v>
      </c>
      <c r="AE10" s="22" t="s">
        <v>103</v>
      </c>
      <c r="AG10" s="65" t="s">
        <v>133</v>
      </c>
      <c r="AH10" s="65" t="s">
        <v>363</v>
      </c>
      <c r="AL10" s="34"/>
      <c r="AP10" s="23" t="s">
        <v>100</v>
      </c>
      <c r="AR10" s="30" t="s">
        <v>123</v>
      </c>
      <c r="AV10" s="23" t="s">
        <v>106</v>
      </c>
    </row>
    <row r="11" spans="1:53" x14ac:dyDescent="0.15">
      <c r="A11" s="193" t="s">
        <v>34</v>
      </c>
      <c r="B11" s="193" t="s">
        <v>157</v>
      </c>
      <c r="C11" s="194">
        <v>2019</v>
      </c>
      <c r="D11" s="195" t="s">
        <v>355</v>
      </c>
      <c r="E11" s="194" t="s">
        <v>356</v>
      </c>
      <c r="F11" s="193" t="s">
        <v>357</v>
      </c>
      <c r="G11" s="196" t="s">
        <v>36</v>
      </c>
      <c r="H11" s="149" t="s">
        <v>160</v>
      </c>
      <c r="I11" s="149" t="s">
        <v>159</v>
      </c>
      <c r="J11" s="149" t="s">
        <v>38</v>
      </c>
      <c r="K11" s="149" t="s">
        <v>161</v>
      </c>
      <c r="L11" s="53">
        <v>1</v>
      </c>
      <c r="N11" s="53">
        <v>1</v>
      </c>
      <c r="O11" s="53">
        <v>1.05</v>
      </c>
      <c r="P11" s="53">
        <v>1</v>
      </c>
      <c r="Q11" s="97">
        <f t="shared" si="0"/>
        <v>1.0249999999999999</v>
      </c>
      <c r="R11" s="204">
        <v>17.5</v>
      </c>
      <c r="S11" s="204">
        <v>116</v>
      </c>
      <c r="T11" s="16">
        <f t="shared" si="1"/>
        <v>30</v>
      </c>
      <c r="U11" s="209">
        <v>92</v>
      </c>
      <c r="V11" s="200">
        <f t="shared" si="2"/>
        <v>2760</v>
      </c>
      <c r="W11" s="206">
        <v>6</v>
      </c>
      <c r="X11" s="202" t="s">
        <v>46</v>
      </c>
      <c r="Y11" s="210" t="s">
        <v>86</v>
      </c>
      <c r="Z11" s="202" t="s">
        <v>75</v>
      </c>
      <c r="AA11" s="211" t="s">
        <v>64</v>
      </c>
      <c r="AB11" s="57" t="s">
        <v>158</v>
      </c>
      <c r="AE11" s="22" t="s">
        <v>65</v>
      </c>
      <c r="AG11" s="41" t="s">
        <v>267</v>
      </c>
      <c r="AH11" s="41" t="s">
        <v>364</v>
      </c>
      <c r="AL11" s="34"/>
      <c r="AP11" s="23" t="s">
        <v>104</v>
      </c>
      <c r="AR11" s="30" t="s">
        <v>87</v>
      </c>
      <c r="AV11" s="23" t="s">
        <v>69</v>
      </c>
    </row>
    <row r="12" spans="1:53" x14ac:dyDescent="0.15">
      <c r="A12" s="193" t="s">
        <v>34</v>
      </c>
      <c r="B12" s="193" t="s">
        <v>157</v>
      </c>
      <c r="C12" s="193">
        <v>2019</v>
      </c>
      <c r="D12" s="195" t="s">
        <v>355</v>
      </c>
      <c r="E12" s="194" t="s">
        <v>356</v>
      </c>
      <c r="F12" s="193" t="s">
        <v>357</v>
      </c>
      <c r="G12" s="196" t="s">
        <v>36</v>
      </c>
      <c r="H12" s="149" t="s">
        <v>160</v>
      </c>
      <c r="I12" s="149" t="s">
        <v>159</v>
      </c>
      <c r="J12" s="149" t="s">
        <v>38</v>
      </c>
      <c r="K12" s="149" t="s">
        <v>161</v>
      </c>
      <c r="L12" s="53">
        <v>2</v>
      </c>
      <c r="N12" s="53">
        <v>1</v>
      </c>
      <c r="O12" s="53">
        <v>0.85</v>
      </c>
      <c r="P12" s="53">
        <v>0.9</v>
      </c>
      <c r="Q12" s="97">
        <f t="shared" si="0"/>
        <v>0.875</v>
      </c>
      <c r="R12" s="204">
        <v>17.8</v>
      </c>
      <c r="S12" s="204">
        <v>122</v>
      </c>
      <c r="T12" s="16">
        <f t="shared" si="1"/>
        <v>30</v>
      </c>
      <c r="U12" s="209">
        <v>92</v>
      </c>
      <c r="V12" s="200">
        <f t="shared" si="2"/>
        <v>2760</v>
      </c>
      <c r="W12" s="206">
        <v>6</v>
      </c>
      <c r="X12" s="202" t="s">
        <v>46</v>
      </c>
      <c r="Y12" s="210" t="s">
        <v>86</v>
      </c>
      <c r="Z12" s="202" t="s">
        <v>75</v>
      </c>
      <c r="AA12" s="211" t="s">
        <v>64</v>
      </c>
      <c r="AB12" s="57" t="s">
        <v>158</v>
      </c>
      <c r="AE12" s="22" t="s">
        <v>70</v>
      </c>
      <c r="AG12" s="41"/>
      <c r="AH12" s="41"/>
      <c r="AL12" s="34"/>
      <c r="AP12" s="23" t="s">
        <v>67</v>
      </c>
      <c r="AR12" s="30" t="s">
        <v>124</v>
      </c>
      <c r="AV12" s="23" t="s">
        <v>72</v>
      </c>
    </row>
    <row r="13" spans="1:53" x14ac:dyDescent="0.15">
      <c r="A13" s="193" t="s">
        <v>34</v>
      </c>
      <c r="B13" s="193" t="s">
        <v>157</v>
      </c>
      <c r="C13" s="194">
        <v>2019</v>
      </c>
      <c r="D13" s="195" t="s">
        <v>355</v>
      </c>
      <c r="E13" s="194" t="s">
        <v>356</v>
      </c>
      <c r="F13" s="193" t="s">
        <v>357</v>
      </c>
      <c r="G13" s="196" t="s">
        <v>36</v>
      </c>
      <c r="H13" s="149" t="s">
        <v>160</v>
      </c>
      <c r="I13" s="149" t="s">
        <v>159</v>
      </c>
      <c r="J13" s="149" t="s">
        <v>38</v>
      </c>
      <c r="K13" s="149" t="s">
        <v>161</v>
      </c>
      <c r="L13" s="53">
        <v>3</v>
      </c>
      <c r="N13" s="53">
        <v>1</v>
      </c>
      <c r="O13" s="53">
        <v>0.9</v>
      </c>
      <c r="P13" s="53">
        <v>0.75</v>
      </c>
      <c r="Q13" s="97">
        <f t="shared" si="0"/>
        <v>0.82499999999999996</v>
      </c>
      <c r="R13" s="204">
        <v>18.100000000000001</v>
      </c>
      <c r="S13" s="204">
        <v>118</v>
      </c>
      <c r="T13" s="16">
        <f t="shared" si="1"/>
        <v>30</v>
      </c>
      <c r="U13" s="209">
        <v>92</v>
      </c>
      <c r="V13" s="200">
        <f t="shared" si="2"/>
        <v>2760</v>
      </c>
      <c r="W13" s="206">
        <v>6</v>
      </c>
      <c r="X13" s="202" t="s">
        <v>46</v>
      </c>
      <c r="Y13" s="210" t="s">
        <v>86</v>
      </c>
      <c r="Z13" s="202" t="s">
        <v>75</v>
      </c>
      <c r="AA13" s="211" t="s">
        <v>64</v>
      </c>
      <c r="AB13" s="57" t="s">
        <v>158</v>
      </c>
      <c r="AE13" s="22" t="s">
        <v>73</v>
      </c>
      <c r="AG13" s="212"/>
      <c r="AH13" s="212"/>
      <c r="AP13" s="23" t="s">
        <v>71</v>
      </c>
      <c r="AR13" s="30" t="s">
        <v>103</v>
      </c>
      <c r="AV13" s="23" t="s">
        <v>75</v>
      </c>
    </row>
    <row r="14" spans="1:53" x14ac:dyDescent="0.15">
      <c r="A14" s="193" t="s">
        <v>34</v>
      </c>
      <c r="B14" s="193" t="s">
        <v>157</v>
      </c>
      <c r="C14" s="193">
        <v>2019</v>
      </c>
      <c r="D14" s="195" t="s">
        <v>355</v>
      </c>
      <c r="E14" s="194" t="s">
        <v>358</v>
      </c>
      <c r="F14" s="193" t="s">
        <v>357</v>
      </c>
      <c r="G14" s="196" t="s">
        <v>36</v>
      </c>
      <c r="H14" s="149" t="s">
        <v>165</v>
      </c>
      <c r="I14" s="149" t="s">
        <v>159</v>
      </c>
      <c r="J14" s="149" t="s">
        <v>38</v>
      </c>
      <c r="K14" s="149" t="s">
        <v>161</v>
      </c>
      <c r="L14" s="53">
        <v>1</v>
      </c>
      <c r="N14" s="53">
        <v>1</v>
      </c>
      <c r="O14" s="53">
        <v>0.8</v>
      </c>
      <c r="P14" s="53">
        <v>0.75</v>
      </c>
      <c r="Q14" s="97">
        <f t="shared" si="0"/>
        <v>0.77500000000000002</v>
      </c>
      <c r="R14" s="204">
        <v>15.2</v>
      </c>
      <c r="S14" s="204">
        <v>133</v>
      </c>
      <c r="T14" s="16">
        <f t="shared" si="1"/>
        <v>30</v>
      </c>
      <c r="U14" s="209">
        <v>98</v>
      </c>
      <c r="V14" s="200">
        <f t="shared" si="2"/>
        <v>2940</v>
      </c>
      <c r="W14" s="206">
        <v>4</v>
      </c>
      <c r="X14" s="202" t="s">
        <v>46</v>
      </c>
      <c r="Y14" s="210" t="s">
        <v>97</v>
      </c>
      <c r="Z14" s="210" t="s">
        <v>88</v>
      </c>
      <c r="AA14" s="211" t="s">
        <v>40</v>
      </c>
      <c r="AB14" s="57" t="s">
        <v>158</v>
      </c>
      <c r="AC14" s="34"/>
      <c r="AE14" s="22" t="s">
        <v>76</v>
      </c>
      <c r="AG14" s="151"/>
      <c r="AH14" s="151"/>
      <c r="AP14" s="23" t="s">
        <v>74</v>
      </c>
      <c r="AR14" s="30" t="s">
        <v>125</v>
      </c>
      <c r="AV14" s="23" t="s">
        <v>78</v>
      </c>
    </row>
    <row r="15" spans="1:53" x14ac:dyDescent="0.15">
      <c r="A15" s="193" t="s">
        <v>34</v>
      </c>
      <c r="B15" s="193" t="s">
        <v>157</v>
      </c>
      <c r="C15" s="194">
        <v>2019</v>
      </c>
      <c r="D15" s="195" t="s">
        <v>355</v>
      </c>
      <c r="E15" s="194" t="s">
        <v>358</v>
      </c>
      <c r="F15" s="193" t="s">
        <v>357</v>
      </c>
      <c r="G15" s="196" t="s">
        <v>36</v>
      </c>
      <c r="H15" s="149" t="s">
        <v>165</v>
      </c>
      <c r="I15" s="149" t="s">
        <v>159</v>
      </c>
      <c r="J15" s="149" t="s">
        <v>38</v>
      </c>
      <c r="K15" s="149" t="s">
        <v>161</v>
      </c>
      <c r="L15" s="53">
        <v>2</v>
      </c>
      <c r="N15" s="53">
        <v>1</v>
      </c>
      <c r="O15" s="53">
        <v>0.85</v>
      </c>
      <c r="P15" s="53">
        <v>0.9</v>
      </c>
      <c r="Q15" s="97">
        <f t="shared" si="0"/>
        <v>0.875</v>
      </c>
      <c r="R15" s="204">
        <v>15.9</v>
      </c>
      <c r="S15" s="204">
        <v>114</v>
      </c>
      <c r="T15" s="16">
        <f t="shared" si="1"/>
        <v>30</v>
      </c>
      <c r="U15" s="209">
        <v>98</v>
      </c>
      <c r="V15" s="200">
        <f t="shared" si="2"/>
        <v>2940</v>
      </c>
      <c r="W15" s="206">
        <v>4</v>
      </c>
      <c r="X15" s="202" t="s">
        <v>46</v>
      </c>
      <c r="Y15" s="210" t="s">
        <v>97</v>
      </c>
      <c r="Z15" s="210" t="s">
        <v>88</v>
      </c>
      <c r="AA15" s="211" t="s">
        <v>40</v>
      </c>
      <c r="AB15" s="57" t="s">
        <v>158</v>
      </c>
      <c r="AC15" s="34"/>
      <c r="AE15" s="22" t="s">
        <v>79</v>
      </c>
      <c r="AP15" s="23" t="s">
        <v>77</v>
      </c>
      <c r="AR15" s="30" t="s">
        <v>94</v>
      </c>
      <c r="AV15" s="23" t="s">
        <v>107</v>
      </c>
    </row>
    <row r="16" spans="1:53" x14ac:dyDescent="0.15">
      <c r="A16" s="193" t="s">
        <v>34</v>
      </c>
      <c r="B16" s="193" t="s">
        <v>157</v>
      </c>
      <c r="C16" s="193">
        <v>2019</v>
      </c>
      <c r="D16" s="195" t="s">
        <v>355</v>
      </c>
      <c r="E16" s="194" t="s">
        <v>358</v>
      </c>
      <c r="F16" s="193" t="s">
        <v>357</v>
      </c>
      <c r="G16" s="196" t="s">
        <v>36</v>
      </c>
      <c r="H16" s="149" t="s">
        <v>165</v>
      </c>
      <c r="I16" s="149" t="s">
        <v>159</v>
      </c>
      <c r="J16" s="149" t="s">
        <v>38</v>
      </c>
      <c r="K16" s="149" t="s">
        <v>161</v>
      </c>
      <c r="L16" s="53">
        <v>3</v>
      </c>
      <c r="N16" s="53">
        <v>1</v>
      </c>
      <c r="O16" s="53">
        <v>1</v>
      </c>
      <c r="P16" s="53">
        <v>0.95</v>
      </c>
      <c r="Q16" s="97">
        <f t="shared" si="0"/>
        <v>0.97499999999999998</v>
      </c>
      <c r="R16" s="204">
        <v>15.4</v>
      </c>
      <c r="S16" s="204">
        <v>131</v>
      </c>
      <c r="T16" s="16">
        <f t="shared" si="1"/>
        <v>30</v>
      </c>
      <c r="U16" s="209">
        <v>98</v>
      </c>
      <c r="V16" s="200">
        <f t="shared" si="2"/>
        <v>2940</v>
      </c>
      <c r="W16" s="206">
        <v>4</v>
      </c>
      <c r="X16" s="202" t="s">
        <v>46</v>
      </c>
      <c r="Y16" s="210" t="s">
        <v>97</v>
      </c>
      <c r="Z16" s="210" t="s">
        <v>88</v>
      </c>
      <c r="AA16" s="211" t="s">
        <v>40</v>
      </c>
      <c r="AB16" s="57" t="s">
        <v>158</v>
      </c>
      <c r="AC16" s="34"/>
      <c r="AE16" s="22" t="s">
        <v>82</v>
      </c>
      <c r="AP16" s="23" t="s">
        <v>80</v>
      </c>
      <c r="AR16" s="41" t="s">
        <v>63</v>
      </c>
      <c r="AV16" s="23" t="s">
        <v>84</v>
      </c>
    </row>
    <row r="17" spans="1:48" x14ac:dyDescent="0.15">
      <c r="A17" s="193" t="s">
        <v>34</v>
      </c>
      <c r="B17" s="193" t="s">
        <v>157</v>
      </c>
      <c r="C17" s="194">
        <v>2019</v>
      </c>
      <c r="D17" s="195" t="s">
        <v>355</v>
      </c>
      <c r="E17" s="194" t="s">
        <v>358</v>
      </c>
      <c r="F17" s="193" t="s">
        <v>357</v>
      </c>
      <c r="G17" s="196" t="s">
        <v>36</v>
      </c>
      <c r="H17" s="149" t="s">
        <v>160</v>
      </c>
      <c r="I17" s="149" t="s">
        <v>159</v>
      </c>
      <c r="J17" s="149" t="s">
        <v>38</v>
      </c>
      <c r="K17" s="149" t="s">
        <v>161</v>
      </c>
      <c r="L17" s="53">
        <v>1</v>
      </c>
      <c r="N17" s="53">
        <v>1</v>
      </c>
      <c r="O17" s="53">
        <v>0.65</v>
      </c>
      <c r="P17" s="53">
        <v>0.7</v>
      </c>
      <c r="Q17" s="97">
        <f t="shared" si="0"/>
        <v>0.67500000000000004</v>
      </c>
      <c r="R17" s="204">
        <v>16.7</v>
      </c>
      <c r="S17" s="204">
        <v>100</v>
      </c>
      <c r="T17" s="16">
        <f t="shared" si="1"/>
        <v>33</v>
      </c>
      <c r="U17" s="209">
        <v>98</v>
      </c>
      <c r="V17" s="200">
        <f t="shared" si="2"/>
        <v>3234</v>
      </c>
      <c r="W17" s="206">
        <v>4</v>
      </c>
      <c r="X17" s="202" t="s">
        <v>46</v>
      </c>
      <c r="Y17" s="210" t="s">
        <v>97</v>
      </c>
      <c r="Z17" s="210" t="s">
        <v>88</v>
      </c>
      <c r="AA17" s="211" t="s">
        <v>40</v>
      </c>
      <c r="AB17" s="57" t="s">
        <v>158</v>
      </c>
      <c r="AC17" s="34"/>
      <c r="AE17" s="22" t="s">
        <v>85</v>
      </c>
      <c r="AP17" s="43" t="s">
        <v>110</v>
      </c>
      <c r="AR17" s="41" t="s">
        <v>96</v>
      </c>
      <c r="AV17" s="23" t="s">
        <v>86</v>
      </c>
    </row>
    <row r="18" spans="1:48" x14ac:dyDescent="0.15">
      <c r="A18" s="193" t="s">
        <v>34</v>
      </c>
      <c r="B18" s="193" t="s">
        <v>157</v>
      </c>
      <c r="C18" s="193">
        <v>2019</v>
      </c>
      <c r="D18" s="195" t="s">
        <v>355</v>
      </c>
      <c r="E18" s="194" t="s">
        <v>358</v>
      </c>
      <c r="F18" s="193" t="s">
        <v>357</v>
      </c>
      <c r="G18" s="196" t="s">
        <v>36</v>
      </c>
      <c r="H18" s="149" t="s">
        <v>160</v>
      </c>
      <c r="I18" s="149" t="s">
        <v>159</v>
      </c>
      <c r="J18" s="149" t="s">
        <v>38</v>
      </c>
      <c r="K18" s="149" t="s">
        <v>161</v>
      </c>
      <c r="L18" s="53">
        <v>2</v>
      </c>
      <c r="N18" s="53">
        <v>1</v>
      </c>
      <c r="O18" s="53">
        <v>0.7</v>
      </c>
      <c r="P18" s="53">
        <v>0.65</v>
      </c>
      <c r="Q18" s="97">
        <f t="shared" si="0"/>
        <v>0.67500000000000004</v>
      </c>
      <c r="R18" s="204">
        <v>16.5</v>
      </c>
      <c r="S18" s="204">
        <v>99</v>
      </c>
      <c r="T18" s="16">
        <f t="shared" si="1"/>
        <v>33</v>
      </c>
      <c r="U18" s="209">
        <v>98</v>
      </c>
      <c r="V18" s="200">
        <f t="shared" si="2"/>
        <v>3234</v>
      </c>
      <c r="W18" s="206">
        <v>4</v>
      </c>
      <c r="X18" s="202" t="s">
        <v>46</v>
      </c>
      <c r="Y18" s="210" t="s">
        <v>97</v>
      </c>
      <c r="Z18" s="210" t="s">
        <v>88</v>
      </c>
      <c r="AA18" s="211" t="s">
        <v>40</v>
      </c>
      <c r="AB18" s="57" t="s">
        <v>158</v>
      </c>
      <c r="AC18" s="34"/>
      <c r="AE18" s="22" t="s">
        <v>87</v>
      </c>
      <c r="AP18" s="43" t="s">
        <v>111</v>
      </c>
      <c r="AR18" s="41" t="s">
        <v>101</v>
      </c>
      <c r="AV18" s="23" t="s">
        <v>88</v>
      </c>
    </row>
    <row r="19" spans="1:48" x14ac:dyDescent="0.15">
      <c r="A19" s="193" t="s">
        <v>34</v>
      </c>
      <c r="B19" s="193" t="s">
        <v>157</v>
      </c>
      <c r="C19" s="194">
        <v>2019</v>
      </c>
      <c r="D19" s="195" t="s">
        <v>355</v>
      </c>
      <c r="E19" s="194" t="s">
        <v>358</v>
      </c>
      <c r="F19" s="193" t="s">
        <v>357</v>
      </c>
      <c r="G19" s="196" t="s">
        <v>36</v>
      </c>
      <c r="H19" s="149" t="s">
        <v>160</v>
      </c>
      <c r="I19" s="149" t="s">
        <v>159</v>
      </c>
      <c r="J19" s="149" t="s">
        <v>38</v>
      </c>
      <c r="K19" s="149" t="s">
        <v>161</v>
      </c>
      <c r="L19" s="53">
        <v>3</v>
      </c>
      <c r="N19" s="53">
        <v>1</v>
      </c>
      <c r="O19" s="53">
        <v>0.7</v>
      </c>
      <c r="P19" s="53">
        <v>0.65</v>
      </c>
      <c r="Q19" s="97">
        <f t="shared" si="0"/>
        <v>0.67500000000000004</v>
      </c>
      <c r="R19" s="204">
        <v>16.5</v>
      </c>
      <c r="S19" s="204">
        <v>95</v>
      </c>
      <c r="T19" s="16">
        <f t="shared" si="1"/>
        <v>36</v>
      </c>
      <c r="U19" s="209">
        <v>98</v>
      </c>
      <c r="V19" s="200">
        <f t="shared" si="2"/>
        <v>3528</v>
      </c>
      <c r="W19" s="206">
        <v>4</v>
      </c>
      <c r="X19" s="202" t="s">
        <v>46</v>
      </c>
      <c r="Y19" s="210" t="s">
        <v>97</v>
      </c>
      <c r="Z19" s="210" t="s">
        <v>88</v>
      </c>
      <c r="AA19" s="211" t="s">
        <v>40</v>
      </c>
      <c r="AB19" s="57" t="s">
        <v>158</v>
      </c>
      <c r="AC19" s="34"/>
      <c r="AE19" s="35" t="s">
        <v>89</v>
      </c>
      <c r="AP19" s="43" t="s">
        <v>112</v>
      </c>
      <c r="AR19" s="30" t="s">
        <v>126</v>
      </c>
      <c r="AV19" s="23" t="s">
        <v>90</v>
      </c>
    </row>
    <row r="20" spans="1:48" x14ac:dyDescent="0.15">
      <c r="A20" s="193" t="s">
        <v>34</v>
      </c>
      <c r="B20" s="193" t="s">
        <v>157</v>
      </c>
      <c r="C20" s="193">
        <v>2019</v>
      </c>
      <c r="D20" s="195" t="s">
        <v>355</v>
      </c>
      <c r="E20" s="194" t="s">
        <v>353</v>
      </c>
      <c r="F20" s="193" t="s">
        <v>359</v>
      </c>
      <c r="G20" s="196" t="s">
        <v>36</v>
      </c>
      <c r="H20" s="149" t="s">
        <v>165</v>
      </c>
      <c r="I20" s="149" t="s">
        <v>159</v>
      </c>
      <c r="J20" s="149" t="s">
        <v>38</v>
      </c>
      <c r="K20" s="149" t="s">
        <v>161</v>
      </c>
      <c r="L20" s="53">
        <v>1</v>
      </c>
      <c r="N20" s="53">
        <v>8</v>
      </c>
      <c r="O20" s="53">
        <v>1</v>
      </c>
      <c r="P20" s="53">
        <v>0.95</v>
      </c>
      <c r="Q20" s="97">
        <f t="shared" si="0"/>
        <v>0.97499999999999998</v>
      </c>
      <c r="R20" s="204">
        <v>13.3</v>
      </c>
      <c r="S20" s="213">
        <v>88</v>
      </c>
      <c r="T20" s="16">
        <f t="shared" si="1"/>
        <v>36</v>
      </c>
      <c r="U20" s="209">
        <v>598</v>
      </c>
      <c r="V20" s="200">
        <f t="shared" si="2"/>
        <v>2691</v>
      </c>
      <c r="W20" s="206">
        <v>10</v>
      </c>
      <c r="X20" s="202" t="s">
        <v>46</v>
      </c>
      <c r="Y20" s="210" t="s">
        <v>97</v>
      </c>
      <c r="Z20" s="210" t="s">
        <v>40</v>
      </c>
      <c r="AA20" s="211" t="s">
        <v>47</v>
      </c>
      <c r="AB20" s="57" t="s">
        <v>158</v>
      </c>
      <c r="AE20" s="35"/>
      <c r="AP20" s="43" t="s">
        <v>113</v>
      </c>
      <c r="AR20" s="41" t="s">
        <v>105</v>
      </c>
      <c r="AV20" s="27" t="s">
        <v>135</v>
      </c>
    </row>
    <row r="21" spans="1:48" x14ac:dyDescent="0.15">
      <c r="A21" s="193" t="s">
        <v>34</v>
      </c>
      <c r="B21" s="193" t="s">
        <v>157</v>
      </c>
      <c r="C21" s="194">
        <v>2019</v>
      </c>
      <c r="D21" s="195" t="s">
        <v>355</v>
      </c>
      <c r="E21" s="194" t="s">
        <v>353</v>
      </c>
      <c r="F21" s="193" t="s">
        <v>359</v>
      </c>
      <c r="G21" s="196" t="s">
        <v>36</v>
      </c>
      <c r="H21" s="149" t="s">
        <v>165</v>
      </c>
      <c r="I21" s="149" t="s">
        <v>159</v>
      </c>
      <c r="J21" s="149" t="s">
        <v>38</v>
      </c>
      <c r="K21" s="149" t="s">
        <v>161</v>
      </c>
      <c r="L21" s="53">
        <v>2</v>
      </c>
      <c r="N21" s="53">
        <v>8</v>
      </c>
      <c r="O21" s="53">
        <v>0.65</v>
      </c>
      <c r="P21" s="53">
        <v>0.5</v>
      </c>
      <c r="Q21" s="97">
        <f t="shared" si="0"/>
        <v>0.57499999999999996</v>
      </c>
      <c r="R21" s="213">
        <v>14.8</v>
      </c>
      <c r="S21" s="204">
        <v>90</v>
      </c>
      <c r="T21" s="16">
        <f t="shared" si="1"/>
        <v>36</v>
      </c>
      <c r="U21" s="209">
        <v>598</v>
      </c>
      <c r="V21" s="200">
        <f t="shared" si="2"/>
        <v>2691</v>
      </c>
      <c r="W21" s="206">
        <v>10</v>
      </c>
      <c r="X21" s="202" t="s">
        <v>46</v>
      </c>
      <c r="Y21" s="210" t="s">
        <v>97</v>
      </c>
      <c r="Z21" s="210" t="s">
        <v>40</v>
      </c>
      <c r="AA21" s="211" t="s">
        <v>47</v>
      </c>
      <c r="AB21" s="57" t="s">
        <v>158</v>
      </c>
      <c r="AE21" s="28"/>
      <c r="AP21" s="43" t="s">
        <v>114</v>
      </c>
      <c r="AR21" s="41" t="s">
        <v>68</v>
      </c>
      <c r="AV21" s="27" t="s">
        <v>136</v>
      </c>
    </row>
    <row r="22" spans="1:48" x14ac:dyDescent="0.15">
      <c r="A22" s="193" t="s">
        <v>34</v>
      </c>
      <c r="B22" s="193" t="s">
        <v>157</v>
      </c>
      <c r="C22" s="193">
        <v>2019</v>
      </c>
      <c r="D22" s="195" t="s">
        <v>355</v>
      </c>
      <c r="E22" s="194" t="s">
        <v>353</v>
      </c>
      <c r="F22" s="193" t="s">
        <v>359</v>
      </c>
      <c r="G22" s="196" t="s">
        <v>36</v>
      </c>
      <c r="H22" s="149" t="s">
        <v>165</v>
      </c>
      <c r="I22" s="149" t="s">
        <v>159</v>
      </c>
      <c r="J22" s="149" t="s">
        <v>38</v>
      </c>
      <c r="K22" s="149" t="s">
        <v>161</v>
      </c>
      <c r="L22" s="53">
        <v>3</v>
      </c>
      <c r="N22" s="53">
        <v>8</v>
      </c>
      <c r="O22" s="53">
        <v>0.8</v>
      </c>
      <c r="P22" s="34">
        <v>0.65</v>
      </c>
      <c r="Q22" s="97">
        <f t="shared" si="0"/>
        <v>0.72500000000000009</v>
      </c>
      <c r="R22" s="204">
        <v>14.6</v>
      </c>
      <c r="S22" s="204">
        <v>91</v>
      </c>
      <c r="T22" s="16">
        <f t="shared" si="1"/>
        <v>36</v>
      </c>
      <c r="U22" s="209">
        <v>598</v>
      </c>
      <c r="V22" s="200">
        <f t="shared" si="2"/>
        <v>2691</v>
      </c>
      <c r="W22" s="206">
        <v>10</v>
      </c>
      <c r="X22" s="202" t="s">
        <v>46</v>
      </c>
      <c r="Y22" s="210" t="s">
        <v>97</v>
      </c>
      <c r="Z22" s="210" t="s">
        <v>40</v>
      </c>
      <c r="AA22" s="211" t="s">
        <v>47</v>
      </c>
      <c r="AB22" s="57" t="s">
        <v>158</v>
      </c>
      <c r="AP22" s="43" t="s">
        <v>115</v>
      </c>
      <c r="AR22" s="41" t="s">
        <v>83</v>
      </c>
      <c r="AV22" s="23"/>
    </row>
    <row r="23" spans="1:48" x14ac:dyDescent="0.15">
      <c r="A23" s="193" t="s">
        <v>34</v>
      </c>
      <c r="B23" s="193" t="s">
        <v>157</v>
      </c>
      <c r="C23" s="194">
        <v>2019</v>
      </c>
      <c r="D23" s="195" t="s">
        <v>355</v>
      </c>
      <c r="E23" s="194" t="s">
        <v>353</v>
      </c>
      <c r="F23" s="193" t="s">
        <v>359</v>
      </c>
      <c r="G23" s="196" t="s">
        <v>36</v>
      </c>
      <c r="H23" s="149" t="s">
        <v>160</v>
      </c>
      <c r="I23" s="149" t="s">
        <v>159</v>
      </c>
      <c r="J23" s="149" t="s">
        <v>38</v>
      </c>
      <c r="K23" s="149" t="s">
        <v>161</v>
      </c>
      <c r="L23" s="53">
        <v>1</v>
      </c>
      <c r="N23" s="53">
        <v>1</v>
      </c>
      <c r="O23" s="53">
        <v>0.55000000000000004</v>
      </c>
      <c r="P23" s="34">
        <v>0.55000000000000004</v>
      </c>
      <c r="Q23" s="97">
        <f t="shared" si="0"/>
        <v>0.55000000000000004</v>
      </c>
      <c r="R23" s="204">
        <v>18.8</v>
      </c>
      <c r="S23" s="204">
        <v>129</v>
      </c>
      <c r="T23" s="16">
        <f t="shared" si="1"/>
        <v>30</v>
      </c>
      <c r="U23" s="209">
        <v>98</v>
      </c>
      <c r="V23" s="200">
        <f t="shared" si="2"/>
        <v>2940</v>
      </c>
      <c r="W23" s="206">
        <v>10</v>
      </c>
      <c r="X23" s="202" t="s">
        <v>46</v>
      </c>
      <c r="Y23" s="210" t="s">
        <v>97</v>
      </c>
      <c r="Z23" s="210" t="s">
        <v>40</v>
      </c>
      <c r="AA23" s="211" t="s">
        <v>47</v>
      </c>
      <c r="AB23" s="57" t="s">
        <v>158</v>
      </c>
      <c r="AP23" s="43" t="s">
        <v>137</v>
      </c>
      <c r="AR23" s="41" t="s">
        <v>61</v>
      </c>
      <c r="AV23" s="23"/>
    </row>
    <row r="24" spans="1:48" x14ac:dyDescent="0.15">
      <c r="A24" s="193" t="s">
        <v>34</v>
      </c>
      <c r="B24" s="193" t="s">
        <v>157</v>
      </c>
      <c r="C24" s="193">
        <v>2019</v>
      </c>
      <c r="D24" s="195" t="s">
        <v>355</v>
      </c>
      <c r="E24" s="194" t="s">
        <v>353</v>
      </c>
      <c r="F24" s="193" t="s">
        <v>359</v>
      </c>
      <c r="G24" s="196" t="s">
        <v>36</v>
      </c>
      <c r="H24" s="149" t="s">
        <v>160</v>
      </c>
      <c r="I24" s="149" t="s">
        <v>159</v>
      </c>
      <c r="J24" s="149" t="s">
        <v>38</v>
      </c>
      <c r="K24" s="149" t="s">
        <v>161</v>
      </c>
      <c r="L24" s="53">
        <v>2</v>
      </c>
      <c r="N24" s="53">
        <v>1</v>
      </c>
      <c r="O24" s="53">
        <v>0.5</v>
      </c>
      <c r="P24" s="34">
        <v>0.45</v>
      </c>
      <c r="Q24" s="97">
        <f t="shared" si="0"/>
        <v>0.47499999999999998</v>
      </c>
      <c r="R24" s="204">
        <v>18.899999999999999</v>
      </c>
      <c r="S24" s="204">
        <v>130</v>
      </c>
      <c r="T24" s="16">
        <f t="shared" si="1"/>
        <v>30</v>
      </c>
      <c r="U24" s="209">
        <v>98</v>
      </c>
      <c r="V24" s="200">
        <f t="shared" si="2"/>
        <v>2940</v>
      </c>
      <c r="W24" s="206">
        <v>10</v>
      </c>
      <c r="X24" s="202" t="s">
        <v>46</v>
      </c>
      <c r="Y24" s="210" t="s">
        <v>97</v>
      </c>
      <c r="Z24" s="210" t="s">
        <v>40</v>
      </c>
      <c r="AA24" s="211" t="s">
        <v>47</v>
      </c>
      <c r="AB24" s="57" t="s">
        <v>158</v>
      </c>
      <c r="AP24" s="43" t="s">
        <v>138</v>
      </c>
      <c r="AR24" s="41" t="s">
        <v>91</v>
      </c>
      <c r="AV24" s="23"/>
    </row>
    <row r="25" spans="1:48" x14ac:dyDescent="0.15">
      <c r="A25" s="193" t="s">
        <v>34</v>
      </c>
      <c r="B25" s="193" t="s">
        <v>157</v>
      </c>
      <c r="C25" s="194">
        <v>2019</v>
      </c>
      <c r="D25" s="195" t="s">
        <v>355</v>
      </c>
      <c r="E25" s="194" t="s">
        <v>353</v>
      </c>
      <c r="F25" s="193" t="s">
        <v>359</v>
      </c>
      <c r="G25" s="196" t="s">
        <v>36</v>
      </c>
      <c r="H25" s="149" t="s">
        <v>160</v>
      </c>
      <c r="I25" s="149" t="s">
        <v>159</v>
      </c>
      <c r="J25" s="149" t="s">
        <v>38</v>
      </c>
      <c r="K25" s="149" t="s">
        <v>161</v>
      </c>
      <c r="L25" s="53">
        <v>3</v>
      </c>
      <c r="N25" s="53">
        <v>1</v>
      </c>
      <c r="O25" s="53">
        <v>0.5</v>
      </c>
      <c r="P25" s="34">
        <v>0.5</v>
      </c>
      <c r="Q25" s="97">
        <f t="shared" si="0"/>
        <v>0.5</v>
      </c>
      <c r="R25" s="204">
        <v>18.2</v>
      </c>
      <c r="S25" s="204">
        <v>134</v>
      </c>
      <c r="T25" s="16">
        <f t="shared" si="1"/>
        <v>30</v>
      </c>
      <c r="U25" s="209">
        <v>98</v>
      </c>
      <c r="V25" s="200">
        <f t="shared" si="2"/>
        <v>2940</v>
      </c>
      <c r="W25" s="206">
        <v>10</v>
      </c>
      <c r="X25" s="202" t="s">
        <v>46</v>
      </c>
      <c r="Y25" s="210" t="s">
        <v>97</v>
      </c>
      <c r="Z25" s="210" t="s">
        <v>40</v>
      </c>
      <c r="AA25" s="211" t="s">
        <v>47</v>
      </c>
      <c r="AB25" s="57" t="s">
        <v>158</v>
      </c>
      <c r="AP25" s="43" t="s">
        <v>116</v>
      </c>
      <c r="AR25" s="42" t="s">
        <v>92</v>
      </c>
      <c r="AV25" s="23"/>
    </row>
    <row r="26" spans="1:48" x14ac:dyDescent="0.15">
      <c r="A26" s="193" t="s">
        <v>34</v>
      </c>
      <c r="B26" s="193" t="s">
        <v>157</v>
      </c>
      <c r="C26" s="193">
        <v>2019</v>
      </c>
      <c r="D26" s="195" t="s">
        <v>355</v>
      </c>
      <c r="E26" s="194" t="s">
        <v>210</v>
      </c>
      <c r="F26" s="193" t="s">
        <v>360</v>
      </c>
      <c r="G26" s="196" t="s">
        <v>42</v>
      </c>
      <c r="H26" s="149" t="s">
        <v>165</v>
      </c>
      <c r="I26" s="149" t="s">
        <v>159</v>
      </c>
      <c r="J26" s="149" t="s">
        <v>38</v>
      </c>
      <c r="K26" s="149" t="s">
        <v>161</v>
      </c>
      <c r="L26" s="53">
        <v>1</v>
      </c>
      <c r="N26" s="53">
        <v>4</v>
      </c>
      <c r="O26" s="53">
        <v>1.1000000000000001</v>
      </c>
      <c r="P26" s="36">
        <v>0.85</v>
      </c>
      <c r="Q26" s="97">
        <f t="shared" si="0"/>
        <v>0.97500000000000009</v>
      </c>
      <c r="R26" s="204">
        <v>13.7</v>
      </c>
      <c r="S26" s="204">
        <v>94</v>
      </c>
      <c r="T26" s="16">
        <f t="shared" si="1"/>
        <v>36</v>
      </c>
      <c r="U26" s="209">
        <v>397</v>
      </c>
      <c r="V26" s="200">
        <f t="shared" si="2"/>
        <v>3573</v>
      </c>
      <c r="W26" s="206">
        <v>18</v>
      </c>
      <c r="X26" s="202" t="s">
        <v>46</v>
      </c>
      <c r="Y26" s="211" t="s">
        <v>55</v>
      </c>
      <c r="Z26" s="210" t="s">
        <v>47</v>
      </c>
      <c r="AA26" s="210" t="s">
        <v>97</v>
      </c>
      <c r="AB26" s="57" t="s">
        <v>158</v>
      </c>
      <c r="AP26" s="43" t="s">
        <v>117</v>
      </c>
      <c r="AR26" s="23" t="s">
        <v>153</v>
      </c>
      <c r="AV26" s="27"/>
    </row>
    <row r="27" spans="1:48" x14ac:dyDescent="0.15">
      <c r="A27" s="193" t="s">
        <v>34</v>
      </c>
      <c r="B27" s="193" t="s">
        <v>157</v>
      </c>
      <c r="C27" s="194">
        <v>2019</v>
      </c>
      <c r="D27" s="195" t="s">
        <v>355</v>
      </c>
      <c r="E27" s="194" t="s">
        <v>210</v>
      </c>
      <c r="F27" s="193" t="s">
        <v>360</v>
      </c>
      <c r="G27" s="196" t="s">
        <v>42</v>
      </c>
      <c r="H27" s="149" t="s">
        <v>165</v>
      </c>
      <c r="I27" s="149" t="s">
        <v>159</v>
      </c>
      <c r="J27" s="149" t="s">
        <v>38</v>
      </c>
      <c r="K27" s="149" t="s">
        <v>161</v>
      </c>
      <c r="L27" s="53">
        <v>2</v>
      </c>
      <c r="N27" s="53">
        <v>4</v>
      </c>
      <c r="O27" s="34">
        <v>0.9</v>
      </c>
      <c r="P27" s="36">
        <v>0.95</v>
      </c>
      <c r="Q27" s="97">
        <f t="shared" si="0"/>
        <v>0.92500000000000004</v>
      </c>
      <c r="R27" s="204">
        <v>13.5</v>
      </c>
      <c r="S27" s="204">
        <v>103</v>
      </c>
      <c r="T27" s="16">
        <f t="shared" si="1"/>
        <v>33</v>
      </c>
      <c r="U27" s="209">
        <v>397</v>
      </c>
      <c r="V27" s="200">
        <f t="shared" si="2"/>
        <v>3275.25</v>
      </c>
      <c r="W27" s="206">
        <v>18</v>
      </c>
      <c r="X27" s="202" t="s">
        <v>46</v>
      </c>
      <c r="Y27" s="211" t="s">
        <v>55</v>
      </c>
      <c r="Z27" s="210" t="s">
        <v>47</v>
      </c>
      <c r="AA27" s="210" t="s">
        <v>97</v>
      </c>
      <c r="AB27" s="57" t="s">
        <v>158</v>
      </c>
      <c r="AP27" s="43" t="s">
        <v>118</v>
      </c>
      <c r="AR27" s="23"/>
    </row>
    <row r="28" spans="1:48" x14ac:dyDescent="0.15">
      <c r="A28" s="193" t="s">
        <v>34</v>
      </c>
      <c r="B28" s="193" t="s">
        <v>157</v>
      </c>
      <c r="C28" s="193">
        <v>2019</v>
      </c>
      <c r="D28" s="195" t="s">
        <v>355</v>
      </c>
      <c r="E28" s="194" t="s">
        <v>210</v>
      </c>
      <c r="F28" s="193" t="s">
        <v>360</v>
      </c>
      <c r="G28" s="196" t="s">
        <v>42</v>
      </c>
      <c r="H28" s="149" t="s">
        <v>165</v>
      </c>
      <c r="I28" s="149" t="s">
        <v>159</v>
      </c>
      <c r="J28" s="149" t="s">
        <v>38</v>
      </c>
      <c r="K28" s="149" t="s">
        <v>161</v>
      </c>
      <c r="L28" s="53">
        <v>3</v>
      </c>
      <c r="N28" s="53">
        <v>4</v>
      </c>
      <c r="O28" s="34">
        <v>0.95</v>
      </c>
      <c r="P28" s="53">
        <v>1</v>
      </c>
      <c r="Q28" s="97">
        <f t="shared" si="0"/>
        <v>0.97499999999999998</v>
      </c>
      <c r="R28" s="204">
        <v>13.6</v>
      </c>
      <c r="S28" s="204">
        <v>104</v>
      </c>
      <c r="T28" s="16">
        <f t="shared" si="1"/>
        <v>33</v>
      </c>
      <c r="U28" s="209">
        <v>397</v>
      </c>
      <c r="V28" s="200">
        <f t="shared" si="2"/>
        <v>3275.25</v>
      </c>
      <c r="W28" s="206">
        <v>18</v>
      </c>
      <c r="X28" s="202" t="s">
        <v>46</v>
      </c>
      <c r="Y28" s="211" t="s">
        <v>55</v>
      </c>
      <c r="Z28" s="210" t="s">
        <v>47</v>
      </c>
      <c r="AA28" s="210" t="s">
        <v>97</v>
      </c>
      <c r="AB28" s="57" t="s">
        <v>158</v>
      </c>
      <c r="AR28" s="23"/>
    </row>
    <row r="29" spans="1:48" x14ac:dyDescent="0.15">
      <c r="A29" s="193" t="s">
        <v>34</v>
      </c>
      <c r="B29" s="193" t="s">
        <v>157</v>
      </c>
      <c r="C29" s="193">
        <v>2019</v>
      </c>
      <c r="D29" s="195" t="s">
        <v>355</v>
      </c>
      <c r="E29" s="194" t="s">
        <v>210</v>
      </c>
      <c r="F29" s="193" t="s">
        <v>360</v>
      </c>
      <c r="G29" s="196" t="s">
        <v>42</v>
      </c>
      <c r="H29" s="149" t="s">
        <v>160</v>
      </c>
      <c r="I29" s="149" t="s">
        <v>159</v>
      </c>
      <c r="J29" s="149" t="s">
        <v>38</v>
      </c>
      <c r="K29" s="149" t="s">
        <v>161</v>
      </c>
      <c r="L29" s="53">
        <v>1</v>
      </c>
      <c r="N29" s="53">
        <v>4</v>
      </c>
      <c r="O29" s="53">
        <v>0.55000000000000004</v>
      </c>
      <c r="P29" s="53">
        <v>0.5</v>
      </c>
      <c r="Q29" s="97">
        <f t="shared" si="0"/>
        <v>0.52500000000000002</v>
      </c>
      <c r="R29" s="204">
        <v>15</v>
      </c>
      <c r="S29" s="204">
        <v>92</v>
      </c>
      <c r="T29" s="16">
        <f t="shared" si="1"/>
        <v>36</v>
      </c>
      <c r="U29" s="209">
        <v>397</v>
      </c>
      <c r="V29" s="200">
        <f t="shared" si="2"/>
        <v>3573</v>
      </c>
      <c r="W29" s="206">
        <v>18</v>
      </c>
      <c r="X29" s="202" t="s">
        <v>46</v>
      </c>
      <c r="Y29" s="211" t="s">
        <v>55</v>
      </c>
      <c r="Z29" s="210" t="s">
        <v>47</v>
      </c>
      <c r="AA29" s="210" t="s">
        <v>97</v>
      </c>
      <c r="AB29" s="57" t="s">
        <v>158</v>
      </c>
      <c r="AR29" s="28"/>
    </row>
    <row r="30" spans="1:48" x14ac:dyDescent="0.15">
      <c r="A30" s="193" t="s">
        <v>34</v>
      </c>
      <c r="B30" s="193" t="s">
        <v>157</v>
      </c>
      <c r="C30" s="194">
        <v>2019</v>
      </c>
      <c r="D30" s="195" t="s">
        <v>355</v>
      </c>
      <c r="E30" s="194" t="s">
        <v>210</v>
      </c>
      <c r="F30" s="193" t="s">
        <v>360</v>
      </c>
      <c r="G30" s="196" t="s">
        <v>42</v>
      </c>
      <c r="H30" s="149" t="s">
        <v>160</v>
      </c>
      <c r="I30" s="149" t="s">
        <v>159</v>
      </c>
      <c r="J30" s="149" t="s">
        <v>38</v>
      </c>
      <c r="K30" s="149" t="s">
        <v>161</v>
      </c>
      <c r="L30" s="53">
        <v>2</v>
      </c>
      <c r="N30" s="53">
        <v>4</v>
      </c>
      <c r="O30" s="53">
        <v>0.45</v>
      </c>
      <c r="P30" s="53">
        <v>0.55000000000000004</v>
      </c>
      <c r="Q30" s="97">
        <f t="shared" si="0"/>
        <v>0.5</v>
      </c>
      <c r="R30" s="204">
        <v>15.3</v>
      </c>
      <c r="S30" s="204">
        <v>74</v>
      </c>
      <c r="T30" s="16">
        <f t="shared" si="1"/>
        <v>42</v>
      </c>
      <c r="U30" s="209">
        <v>397</v>
      </c>
      <c r="V30" s="200">
        <f t="shared" si="2"/>
        <v>4168.5</v>
      </c>
      <c r="W30" s="206">
        <v>18</v>
      </c>
      <c r="X30" s="202" t="s">
        <v>46</v>
      </c>
      <c r="Y30" s="211" t="s">
        <v>55</v>
      </c>
      <c r="Z30" s="210" t="s">
        <v>47</v>
      </c>
      <c r="AA30" s="210" t="s">
        <v>97</v>
      </c>
      <c r="AB30" s="57" t="s">
        <v>158</v>
      </c>
    </row>
    <row r="31" spans="1:48" x14ac:dyDescent="0.15">
      <c r="A31" s="193" t="s">
        <v>34</v>
      </c>
      <c r="B31" s="193" t="s">
        <v>157</v>
      </c>
      <c r="C31" s="193">
        <v>2019</v>
      </c>
      <c r="D31" s="195" t="s">
        <v>355</v>
      </c>
      <c r="E31" s="194" t="s">
        <v>210</v>
      </c>
      <c r="F31" s="193" t="s">
        <v>360</v>
      </c>
      <c r="G31" s="196" t="s">
        <v>42</v>
      </c>
      <c r="H31" s="149" t="s">
        <v>160</v>
      </c>
      <c r="I31" s="149" t="s">
        <v>159</v>
      </c>
      <c r="J31" s="149" t="s">
        <v>38</v>
      </c>
      <c r="K31" s="149" t="s">
        <v>161</v>
      </c>
      <c r="L31" s="53">
        <v>3</v>
      </c>
      <c r="N31" s="53">
        <v>4</v>
      </c>
      <c r="O31" s="53">
        <v>0.5</v>
      </c>
      <c r="P31" s="53">
        <v>0.45</v>
      </c>
      <c r="Q31" s="97">
        <f t="shared" si="0"/>
        <v>0.47499999999999998</v>
      </c>
      <c r="R31" s="204">
        <v>15.7</v>
      </c>
      <c r="S31" s="204">
        <v>88</v>
      </c>
      <c r="T31" s="16">
        <f t="shared" si="1"/>
        <v>36</v>
      </c>
      <c r="U31" s="209">
        <v>397</v>
      </c>
      <c r="V31" s="200">
        <f t="shared" si="2"/>
        <v>3573</v>
      </c>
      <c r="W31" s="206">
        <v>18</v>
      </c>
      <c r="X31" s="202" t="s">
        <v>46</v>
      </c>
      <c r="Y31" s="211" t="s">
        <v>55</v>
      </c>
      <c r="Z31" s="210" t="s">
        <v>47</v>
      </c>
      <c r="AA31" s="210" t="s">
        <v>97</v>
      </c>
      <c r="AB31" s="57" t="s">
        <v>158</v>
      </c>
    </row>
    <row r="32" spans="1:48" ht="14.25" customHeight="1" x14ac:dyDescent="0.15">
      <c r="A32" s="193" t="s">
        <v>34</v>
      </c>
      <c r="B32" s="193" t="s">
        <v>157</v>
      </c>
      <c r="C32" s="194">
        <v>2019</v>
      </c>
      <c r="D32" s="195" t="s">
        <v>355</v>
      </c>
      <c r="E32" s="194" t="s">
        <v>361</v>
      </c>
      <c r="F32" s="193" t="s">
        <v>360</v>
      </c>
      <c r="G32" s="196" t="s">
        <v>42</v>
      </c>
      <c r="H32" s="149" t="s">
        <v>165</v>
      </c>
      <c r="I32" s="149" t="s">
        <v>159</v>
      </c>
      <c r="J32" s="149" t="s">
        <v>38</v>
      </c>
      <c r="K32" s="149" t="s">
        <v>161</v>
      </c>
      <c r="L32" s="53">
        <v>1</v>
      </c>
      <c r="N32" s="53">
        <v>1</v>
      </c>
      <c r="O32" s="53">
        <v>1.1499999999999999</v>
      </c>
      <c r="P32" s="53">
        <v>1</v>
      </c>
      <c r="Q32" s="97">
        <f t="shared" si="0"/>
        <v>1.075</v>
      </c>
      <c r="R32" s="204">
        <v>13.3</v>
      </c>
      <c r="S32" s="204">
        <v>102</v>
      </c>
      <c r="T32" s="16">
        <f t="shared" si="1"/>
        <v>33</v>
      </c>
      <c r="U32" s="209">
        <v>109</v>
      </c>
      <c r="V32" s="200">
        <f t="shared" si="2"/>
        <v>3597</v>
      </c>
      <c r="W32" s="206">
        <v>2</v>
      </c>
      <c r="X32" s="202" t="s">
        <v>39</v>
      </c>
      <c r="Y32" s="211" t="s">
        <v>47</v>
      </c>
      <c r="Z32" s="210" t="s">
        <v>69</v>
      </c>
      <c r="AA32" s="210" t="s">
        <v>97</v>
      </c>
      <c r="AB32" s="57" t="s">
        <v>158</v>
      </c>
    </row>
    <row r="33" spans="1:28" x14ac:dyDescent="0.15">
      <c r="A33" s="193" t="s">
        <v>34</v>
      </c>
      <c r="B33" s="193" t="s">
        <v>157</v>
      </c>
      <c r="C33" s="193">
        <v>2019</v>
      </c>
      <c r="D33" s="195" t="s">
        <v>355</v>
      </c>
      <c r="E33" s="194" t="s">
        <v>361</v>
      </c>
      <c r="F33" s="193" t="s">
        <v>360</v>
      </c>
      <c r="G33" s="196" t="s">
        <v>42</v>
      </c>
      <c r="H33" s="149" t="s">
        <v>165</v>
      </c>
      <c r="I33" s="149" t="s">
        <v>159</v>
      </c>
      <c r="J33" s="149" t="s">
        <v>38</v>
      </c>
      <c r="K33" s="149" t="s">
        <v>161</v>
      </c>
      <c r="L33" s="53">
        <v>2</v>
      </c>
      <c r="N33" s="53">
        <v>1</v>
      </c>
      <c r="O33" s="53">
        <v>1.3</v>
      </c>
      <c r="P33" s="53">
        <v>1.05</v>
      </c>
      <c r="Q33" s="97">
        <f t="shared" si="0"/>
        <v>1.175</v>
      </c>
      <c r="R33" s="204">
        <v>13.6</v>
      </c>
      <c r="S33" s="204">
        <v>100</v>
      </c>
      <c r="T33" s="16">
        <f t="shared" si="1"/>
        <v>33</v>
      </c>
      <c r="U33" s="209">
        <v>109</v>
      </c>
      <c r="V33" s="200">
        <f t="shared" si="2"/>
        <v>3597</v>
      </c>
      <c r="W33" s="206">
        <v>2</v>
      </c>
      <c r="X33" s="202" t="s">
        <v>39</v>
      </c>
      <c r="Y33" s="211" t="s">
        <v>47</v>
      </c>
      <c r="Z33" s="210" t="s">
        <v>69</v>
      </c>
      <c r="AA33" s="210" t="s">
        <v>97</v>
      </c>
      <c r="AB33" s="57" t="s">
        <v>158</v>
      </c>
    </row>
    <row r="34" spans="1:28" x14ac:dyDescent="0.15">
      <c r="A34" s="193" t="s">
        <v>34</v>
      </c>
      <c r="B34" s="193" t="s">
        <v>157</v>
      </c>
      <c r="C34" s="194">
        <v>2019</v>
      </c>
      <c r="D34" s="195" t="s">
        <v>355</v>
      </c>
      <c r="E34" s="194" t="s">
        <v>361</v>
      </c>
      <c r="F34" s="193" t="s">
        <v>360</v>
      </c>
      <c r="G34" s="196" t="s">
        <v>42</v>
      </c>
      <c r="H34" s="149" t="s">
        <v>165</v>
      </c>
      <c r="I34" s="149" t="s">
        <v>159</v>
      </c>
      <c r="J34" s="149" t="s">
        <v>38</v>
      </c>
      <c r="K34" s="149" t="s">
        <v>161</v>
      </c>
      <c r="L34" s="53">
        <v>3</v>
      </c>
      <c r="N34" s="53">
        <v>1</v>
      </c>
      <c r="O34" s="53">
        <v>1.1000000000000001</v>
      </c>
      <c r="P34" s="34">
        <v>0.9</v>
      </c>
      <c r="Q34" s="97">
        <f t="shared" si="0"/>
        <v>1</v>
      </c>
      <c r="R34" s="204">
        <v>13.5</v>
      </c>
      <c r="S34" s="204">
        <v>134</v>
      </c>
      <c r="T34" s="16">
        <f t="shared" si="1"/>
        <v>30</v>
      </c>
      <c r="U34" s="209">
        <v>109</v>
      </c>
      <c r="V34" s="200">
        <f t="shared" si="2"/>
        <v>3270</v>
      </c>
      <c r="W34" s="206">
        <v>2</v>
      </c>
      <c r="X34" s="202" t="s">
        <v>39</v>
      </c>
      <c r="Y34" s="211" t="s">
        <v>47</v>
      </c>
      <c r="Z34" s="210" t="s">
        <v>69</v>
      </c>
      <c r="AA34" s="210" t="s">
        <v>97</v>
      </c>
      <c r="AB34" s="57" t="s">
        <v>158</v>
      </c>
    </row>
    <row r="35" spans="1:28" x14ac:dyDescent="0.15">
      <c r="A35" s="193" t="s">
        <v>34</v>
      </c>
      <c r="B35" s="193" t="s">
        <v>157</v>
      </c>
      <c r="C35" s="193">
        <v>2019</v>
      </c>
      <c r="D35" s="195" t="s">
        <v>355</v>
      </c>
      <c r="E35" s="194" t="s">
        <v>361</v>
      </c>
      <c r="F35" s="193" t="s">
        <v>360</v>
      </c>
      <c r="G35" s="196" t="s">
        <v>42</v>
      </c>
      <c r="H35" s="149" t="s">
        <v>160</v>
      </c>
      <c r="I35" s="149" t="s">
        <v>159</v>
      </c>
      <c r="J35" s="149" t="s">
        <v>38</v>
      </c>
      <c r="K35" s="149" t="s">
        <v>161</v>
      </c>
      <c r="L35" s="53">
        <v>1</v>
      </c>
      <c r="N35" s="53">
        <v>1</v>
      </c>
      <c r="O35" s="53">
        <v>0.85</v>
      </c>
      <c r="P35" s="53">
        <v>0.95</v>
      </c>
      <c r="Q35" s="97">
        <f t="shared" si="0"/>
        <v>0.89999999999999991</v>
      </c>
      <c r="R35" s="204">
        <v>16.100000000000001</v>
      </c>
      <c r="S35" s="204">
        <v>132</v>
      </c>
      <c r="T35" s="16">
        <f t="shared" si="1"/>
        <v>30</v>
      </c>
      <c r="U35" s="209">
        <v>109</v>
      </c>
      <c r="V35" s="200">
        <f t="shared" si="2"/>
        <v>3270</v>
      </c>
      <c r="W35" s="206">
        <v>2</v>
      </c>
      <c r="X35" s="202" t="s">
        <v>39</v>
      </c>
      <c r="Y35" s="210" t="s">
        <v>47</v>
      </c>
      <c r="Z35" s="210" t="s">
        <v>69</v>
      </c>
      <c r="AA35" s="210" t="s">
        <v>97</v>
      </c>
      <c r="AB35" s="57" t="s">
        <v>158</v>
      </c>
    </row>
    <row r="36" spans="1:28" x14ac:dyDescent="0.15">
      <c r="A36" s="193" t="s">
        <v>34</v>
      </c>
      <c r="B36" s="193" t="s">
        <v>157</v>
      </c>
      <c r="C36" s="194">
        <v>2019</v>
      </c>
      <c r="D36" s="195" t="s">
        <v>355</v>
      </c>
      <c r="E36" s="194" t="s">
        <v>361</v>
      </c>
      <c r="F36" s="193" t="s">
        <v>360</v>
      </c>
      <c r="G36" s="196" t="s">
        <v>42</v>
      </c>
      <c r="H36" s="149" t="s">
        <v>160</v>
      </c>
      <c r="I36" s="149" t="s">
        <v>159</v>
      </c>
      <c r="J36" s="149" t="s">
        <v>38</v>
      </c>
      <c r="K36" s="149" t="s">
        <v>161</v>
      </c>
      <c r="L36" s="53">
        <v>2</v>
      </c>
      <c r="N36" s="53">
        <v>1</v>
      </c>
      <c r="O36" s="53">
        <v>0.9</v>
      </c>
      <c r="P36" s="53">
        <v>0.9</v>
      </c>
      <c r="Q36" s="97">
        <f t="shared" si="0"/>
        <v>0.9</v>
      </c>
      <c r="R36" s="204">
        <v>16.3</v>
      </c>
      <c r="S36" s="204">
        <v>136</v>
      </c>
      <c r="T36" s="16">
        <f t="shared" si="1"/>
        <v>30</v>
      </c>
      <c r="U36" s="209">
        <v>109</v>
      </c>
      <c r="V36" s="200">
        <f t="shared" si="2"/>
        <v>3270</v>
      </c>
      <c r="W36" s="206">
        <v>2</v>
      </c>
      <c r="X36" s="202" t="s">
        <v>39</v>
      </c>
      <c r="Y36" s="210" t="s">
        <v>47</v>
      </c>
      <c r="Z36" s="210" t="s">
        <v>69</v>
      </c>
      <c r="AA36" s="210" t="s">
        <v>97</v>
      </c>
      <c r="AB36" s="57" t="s">
        <v>158</v>
      </c>
    </row>
    <row r="37" spans="1:28" x14ac:dyDescent="0.15">
      <c r="A37" s="193" t="s">
        <v>34</v>
      </c>
      <c r="B37" s="193" t="s">
        <v>157</v>
      </c>
      <c r="C37" s="193">
        <v>2019</v>
      </c>
      <c r="D37" s="195" t="s">
        <v>355</v>
      </c>
      <c r="E37" s="194" t="s">
        <v>361</v>
      </c>
      <c r="F37" s="193" t="s">
        <v>360</v>
      </c>
      <c r="G37" s="196" t="s">
        <v>42</v>
      </c>
      <c r="H37" s="149" t="s">
        <v>160</v>
      </c>
      <c r="I37" s="149" t="s">
        <v>159</v>
      </c>
      <c r="J37" s="149" t="s">
        <v>38</v>
      </c>
      <c r="K37" s="149" t="s">
        <v>161</v>
      </c>
      <c r="L37" s="53">
        <v>3</v>
      </c>
      <c r="N37" s="53">
        <v>1</v>
      </c>
      <c r="O37" s="53">
        <v>0.85</v>
      </c>
      <c r="P37" s="53">
        <v>0.75</v>
      </c>
      <c r="Q37" s="97">
        <f t="shared" si="0"/>
        <v>0.8</v>
      </c>
      <c r="R37" s="204">
        <v>16.100000000000001</v>
      </c>
      <c r="S37" s="204">
        <v>130</v>
      </c>
      <c r="T37" s="16">
        <f t="shared" si="1"/>
        <v>30</v>
      </c>
      <c r="U37" s="209">
        <v>109</v>
      </c>
      <c r="V37" s="200">
        <f t="shared" si="2"/>
        <v>3270</v>
      </c>
      <c r="W37" s="206">
        <v>2</v>
      </c>
      <c r="X37" s="202" t="s">
        <v>39</v>
      </c>
      <c r="Y37" s="210" t="s">
        <v>47</v>
      </c>
      <c r="Z37" s="210" t="s">
        <v>69</v>
      </c>
      <c r="AA37" s="210" t="s">
        <v>97</v>
      </c>
      <c r="AB37" s="57" t="s">
        <v>158</v>
      </c>
    </row>
    <row r="38" spans="1:28" x14ac:dyDescent="0.15">
      <c r="A38" s="193" t="s">
        <v>34</v>
      </c>
      <c r="B38" s="193" t="s">
        <v>157</v>
      </c>
      <c r="C38" s="194">
        <v>2019</v>
      </c>
      <c r="D38" s="195" t="s">
        <v>355</v>
      </c>
      <c r="E38" s="194" t="s">
        <v>210</v>
      </c>
      <c r="F38" s="193" t="s">
        <v>362</v>
      </c>
      <c r="G38" s="196" t="s">
        <v>42</v>
      </c>
      <c r="H38" s="149" t="s">
        <v>165</v>
      </c>
      <c r="I38" s="149" t="s">
        <v>159</v>
      </c>
      <c r="J38" s="149" t="s">
        <v>38</v>
      </c>
      <c r="K38" s="149" t="s">
        <v>161</v>
      </c>
      <c r="L38" s="53">
        <v>1</v>
      </c>
      <c r="N38" s="53">
        <v>4</v>
      </c>
      <c r="O38" s="53">
        <v>0.95</v>
      </c>
      <c r="P38" s="53">
        <v>1.1000000000000001</v>
      </c>
      <c r="Q38" s="97">
        <f t="shared" si="0"/>
        <v>1.0249999999999999</v>
      </c>
      <c r="R38" s="204">
        <v>13.4</v>
      </c>
      <c r="S38" s="204">
        <v>98</v>
      </c>
      <c r="T38" s="16">
        <f t="shared" si="1"/>
        <v>36</v>
      </c>
      <c r="U38" s="209">
        <v>397</v>
      </c>
      <c r="V38" s="200">
        <f t="shared" si="2"/>
        <v>3573</v>
      </c>
      <c r="W38" s="206">
        <v>16</v>
      </c>
      <c r="X38" s="202" t="s">
        <v>46</v>
      </c>
      <c r="Y38" s="210" t="s">
        <v>55</v>
      </c>
      <c r="Z38" s="210" t="s">
        <v>69</v>
      </c>
      <c r="AA38" s="210" t="s">
        <v>47</v>
      </c>
      <c r="AB38" s="57" t="s">
        <v>158</v>
      </c>
    </row>
    <row r="39" spans="1:28" x14ac:dyDescent="0.15">
      <c r="A39" s="193" t="s">
        <v>34</v>
      </c>
      <c r="B39" s="193" t="s">
        <v>157</v>
      </c>
      <c r="C39" s="193">
        <v>2019</v>
      </c>
      <c r="D39" s="195" t="s">
        <v>355</v>
      </c>
      <c r="E39" s="194" t="s">
        <v>210</v>
      </c>
      <c r="F39" s="193" t="s">
        <v>362</v>
      </c>
      <c r="G39" s="196" t="s">
        <v>42</v>
      </c>
      <c r="H39" s="149" t="s">
        <v>165</v>
      </c>
      <c r="I39" s="149" t="s">
        <v>159</v>
      </c>
      <c r="J39" s="149" t="s">
        <v>38</v>
      </c>
      <c r="K39" s="149" t="s">
        <v>161</v>
      </c>
      <c r="L39" s="53">
        <v>2</v>
      </c>
      <c r="N39" s="53">
        <v>4</v>
      </c>
      <c r="O39" s="53">
        <v>0.9</v>
      </c>
      <c r="P39" s="53">
        <v>1</v>
      </c>
      <c r="Q39" s="97">
        <f t="shared" si="0"/>
        <v>0.95</v>
      </c>
      <c r="R39" s="204">
        <v>13.6</v>
      </c>
      <c r="S39" s="204">
        <v>97</v>
      </c>
      <c r="T39" s="16">
        <f t="shared" si="1"/>
        <v>36</v>
      </c>
      <c r="U39" s="209">
        <v>397</v>
      </c>
      <c r="V39" s="200">
        <f t="shared" si="2"/>
        <v>3573</v>
      </c>
      <c r="W39" s="206">
        <v>16</v>
      </c>
      <c r="X39" s="202" t="s">
        <v>46</v>
      </c>
      <c r="Y39" s="210" t="s">
        <v>55</v>
      </c>
      <c r="Z39" s="210" t="s">
        <v>69</v>
      </c>
      <c r="AA39" s="210" t="s">
        <v>47</v>
      </c>
      <c r="AB39" s="57" t="s">
        <v>158</v>
      </c>
    </row>
    <row r="40" spans="1:28" ht="12.75" customHeight="1" x14ac:dyDescent="0.15">
      <c r="A40" s="193" t="s">
        <v>34</v>
      </c>
      <c r="B40" s="193" t="s">
        <v>157</v>
      </c>
      <c r="C40" s="194">
        <v>2019</v>
      </c>
      <c r="D40" s="195" t="s">
        <v>355</v>
      </c>
      <c r="E40" s="194" t="s">
        <v>210</v>
      </c>
      <c r="F40" s="193" t="s">
        <v>362</v>
      </c>
      <c r="G40" s="196" t="s">
        <v>42</v>
      </c>
      <c r="H40" s="149" t="s">
        <v>165</v>
      </c>
      <c r="I40" s="149" t="s">
        <v>159</v>
      </c>
      <c r="J40" s="149" t="s">
        <v>38</v>
      </c>
      <c r="K40" s="149" t="s">
        <v>161</v>
      </c>
      <c r="L40" s="53">
        <v>3</v>
      </c>
      <c r="N40" s="53">
        <v>4</v>
      </c>
      <c r="O40" s="53">
        <v>1.1499999999999999</v>
      </c>
      <c r="P40" s="53">
        <v>0.95</v>
      </c>
      <c r="Q40" s="97">
        <f t="shared" si="0"/>
        <v>1.0499999999999998</v>
      </c>
      <c r="R40" s="204">
        <v>13.3</v>
      </c>
      <c r="S40" s="204">
        <v>101</v>
      </c>
      <c r="T40" s="16">
        <f t="shared" si="1"/>
        <v>33</v>
      </c>
      <c r="U40" s="209">
        <v>397</v>
      </c>
      <c r="V40" s="200">
        <f t="shared" si="2"/>
        <v>3275.25</v>
      </c>
      <c r="W40" s="206">
        <v>16</v>
      </c>
      <c r="X40" s="202" t="s">
        <v>46</v>
      </c>
      <c r="Y40" s="210" t="s">
        <v>55</v>
      </c>
      <c r="Z40" s="210" t="s">
        <v>69</v>
      </c>
      <c r="AA40" s="210" t="s">
        <v>47</v>
      </c>
      <c r="AB40" s="57" t="s">
        <v>158</v>
      </c>
    </row>
    <row r="41" spans="1:28" ht="12.75" customHeight="1" x14ac:dyDescent="0.15">
      <c r="A41" s="149" t="s">
        <v>34</v>
      </c>
      <c r="B41" s="193" t="s">
        <v>157</v>
      </c>
      <c r="C41" s="194">
        <v>2019</v>
      </c>
      <c r="D41" s="195" t="s">
        <v>355</v>
      </c>
      <c r="E41" s="194" t="s">
        <v>210</v>
      </c>
      <c r="F41" s="193" t="s">
        <v>362</v>
      </c>
      <c r="G41" s="196" t="s">
        <v>42</v>
      </c>
      <c r="H41" s="149" t="s">
        <v>160</v>
      </c>
      <c r="I41" s="149" t="s">
        <v>159</v>
      </c>
      <c r="J41" s="149" t="s">
        <v>38</v>
      </c>
      <c r="K41" s="149" t="s">
        <v>161</v>
      </c>
      <c r="L41" s="53">
        <v>1</v>
      </c>
      <c r="N41" s="53">
        <v>4</v>
      </c>
      <c r="O41" s="53">
        <v>0.5</v>
      </c>
      <c r="P41" s="53">
        <v>0.45</v>
      </c>
      <c r="Q41" s="97">
        <f t="shared" si="0"/>
        <v>0.47499999999999998</v>
      </c>
      <c r="R41" s="204">
        <v>15.5</v>
      </c>
      <c r="S41" s="204">
        <v>104</v>
      </c>
      <c r="T41" s="16">
        <f t="shared" si="1"/>
        <v>33</v>
      </c>
      <c r="U41" s="209">
        <v>397</v>
      </c>
      <c r="V41" s="200">
        <f t="shared" si="2"/>
        <v>3275.25</v>
      </c>
      <c r="W41" s="151">
        <v>16</v>
      </c>
      <c r="X41" s="202" t="s">
        <v>46</v>
      </c>
      <c r="Y41" s="214" t="s">
        <v>55</v>
      </c>
      <c r="Z41" s="214" t="s">
        <v>69</v>
      </c>
      <c r="AA41" s="214" t="s">
        <v>47</v>
      </c>
      <c r="AB41" s="57" t="s">
        <v>158</v>
      </c>
    </row>
    <row r="42" spans="1:28" ht="12.75" customHeight="1" x14ac:dyDescent="0.15">
      <c r="A42" s="149" t="s">
        <v>34</v>
      </c>
      <c r="B42" s="193" t="s">
        <v>157</v>
      </c>
      <c r="C42" s="194">
        <v>2019</v>
      </c>
      <c r="D42" s="195" t="s">
        <v>355</v>
      </c>
      <c r="E42" s="194" t="s">
        <v>210</v>
      </c>
      <c r="F42" s="193" t="s">
        <v>362</v>
      </c>
      <c r="G42" s="196" t="s">
        <v>42</v>
      </c>
      <c r="H42" s="149" t="s">
        <v>160</v>
      </c>
      <c r="I42" s="149" t="s">
        <v>159</v>
      </c>
      <c r="J42" s="149" t="s">
        <v>38</v>
      </c>
      <c r="K42" s="149" t="s">
        <v>161</v>
      </c>
      <c r="L42" s="53">
        <v>2</v>
      </c>
      <c r="N42" s="53">
        <v>4</v>
      </c>
      <c r="O42" s="53">
        <v>0.5</v>
      </c>
      <c r="P42" s="53">
        <v>0.55000000000000004</v>
      </c>
      <c r="Q42" s="97">
        <f t="shared" si="0"/>
        <v>0.52500000000000002</v>
      </c>
      <c r="R42" s="204">
        <v>15.4</v>
      </c>
      <c r="S42" s="204">
        <v>102</v>
      </c>
      <c r="T42" s="16">
        <f t="shared" si="1"/>
        <v>33</v>
      </c>
      <c r="U42" s="209">
        <v>397</v>
      </c>
      <c r="V42" s="200">
        <f t="shared" si="2"/>
        <v>3275.25</v>
      </c>
      <c r="W42" s="151">
        <v>16</v>
      </c>
      <c r="X42" s="202" t="s">
        <v>46</v>
      </c>
      <c r="Y42" s="214" t="s">
        <v>55</v>
      </c>
      <c r="Z42" s="214" t="s">
        <v>69</v>
      </c>
      <c r="AA42" s="214" t="s">
        <v>47</v>
      </c>
      <c r="AB42" s="57" t="s">
        <v>158</v>
      </c>
    </row>
    <row r="43" spans="1:28" ht="12.75" customHeight="1" x14ac:dyDescent="0.15">
      <c r="A43" s="149" t="s">
        <v>34</v>
      </c>
      <c r="B43" s="193" t="s">
        <v>157</v>
      </c>
      <c r="C43" s="194">
        <v>2019</v>
      </c>
      <c r="D43" s="195" t="s">
        <v>355</v>
      </c>
      <c r="E43" s="194" t="s">
        <v>210</v>
      </c>
      <c r="F43" s="193" t="s">
        <v>362</v>
      </c>
      <c r="G43" s="196" t="s">
        <v>42</v>
      </c>
      <c r="H43" s="149" t="s">
        <v>160</v>
      </c>
      <c r="I43" s="149" t="s">
        <v>159</v>
      </c>
      <c r="J43" s="149" t="s">
        <v>38</v>
      </c>
      <c r="K43" s="149" t="s">
        <v>161</v>
      </c>
      <c r="L43" s="53">
        <v>3</v>
      </c>
      <c r="N43" s="53">
        <v>4</v>
      </c>
      <c r="O43" s="53">
        <v>0.55000000000000004</v>
      </c>
      <c r="P43" s="53">
        <v>0.5</v>
      </c>
      <c r="Q43" s="97">
        <f t="shared" si="0"/>
        <v>0.52500000000000002</v>
      </c>
      <c r="R43" s="204">
        <v>15.5</v>
      </c>
      <c r="S43" s="204">
        <v>101</v>
      </c>
      <c r="T43" s="16">
        <f t="shared" si="1"/>
        <v>33</v>
      </c>
      <c r="U43" s="209">
        <v>397</v>
      </c>
      <c r="V43" s="200">
        <f t="shared" si="2"/>
        <v>3275.25</v>
      </c>
      <c r="W43" s="151">
        <v>16</v>
      </c>
      <c r="X43" s="202" t="s">
        <v>46</v>
      </c>
      <c r="Y43" s="214" t="s">
        <v>55</v>
      </c>
      <c r="Z43" s="214" t="s">
        <v>69</v>
      </c>
      <c r="AA43" s="214" t="s">
        <v>47</v>
      </c>
      <c r="AB43" s="57" t="s">
        <v>158</v>
      </c>
    </row>
    <row r="44" spans="1:28" x14ac:dyDescent="0.15">
      <c r="A44" s="53" t="s">
        <v>34</v>
      </c>
      <c r="B44" s="193" t="s">
        <v>157</v>
      </c>
      <c r="C44" s="194">
        <v>2019</v>
      </c>
      <c r="D44" s="195" t="s">
        <v>355</v>
      </c>
      <c r="E44" s="194" t="s">
        <v>139</v>
      </c>
      <c r="F44" s="193" t="s">
        <v>362</v>
      </c>
      <c r="G44" s="196" t="s">
        <v>36</v>
      </c>
      <c r="H44" s="149" t="s">
        <v>165</v>
      </c>
      <c r="I44" s="149" t="s">
        <v>159</v>
      </c>
      <c r="J44" s="151" t="s">
        <v>38</v>
      </c>
      <c r="K44" s="149" t="s">
        <v>161</v>
      </c>
      <c r="L44" s="53">
        <v>1</v>
      </c>
      <c r="N44" s="53">
        <v>1</v>
      </c>
      <c r="O44" s="53">
        <v>0.35</v>
      </c>
      <c r="P44" s="53">
        <v>0.35</v>
      </c>
      <c r="Q44" s="97">
        <f t="shared" si="0"/>
        <v>0.35</v>
      </c>
      <c r="R44" s="204">
        <v>12.6</v>
      </c>
      <c r="S44" s="204">
        <v>116</v>
      </c>
      <c r="T44" s="16">
        <f t="shared" si="1"/>
        <v>30</v>
      </c>
      <c r="U44" s="209">
        <v>105</v>
      </c>
      <c r="V44" s="16">
        <f t="shared" si="2"/>
        <v>3150</v>
      </c>
      <c r="W44" s="53">
        <v>8</v>
      </c>
      <c r="X44" s="202" t="s">
        <v>46</v>
      </c>
      <c r="Y44" s="214" t="s">
        <v>78</v>
      </c>
      <c r="Z44" s="214" t="s">
        <v>86</v>
      </c>
      <c r="AA44" s="214" t="s">
        <v>55</v>
      </c>
      <c r="AB44" s="57" t="s">
        <v>158</v>
      </c>
    </row>
    <row r="45" spans="1:28" x14ac:dyDescent="0.15">
      <c r="A45" s="53" t="s">
        <v>34</v>
      </c>
      <c r="B45" s="193" t="s">
        <v>157</v>
      </c>
      <c r="C45" s="193">
        <v>2019</v>
      </c>
      <c r="D45" s="195" t="s">
        <v>355</v>
      </c>
      <c r="E45" s="194" t="s">
        <v>139</v>
      </c>
      <c r="F45" s="193" t="s">
        <v>362</v>
      </c>
      <c r="G45" s="196" t="s">
        <v>36</v>
      </c>
      <c r="H45" s="149" t="s">
        <v>165</v>
      </c>
      <c r="I45" s="149" t="s">
        <v>159</v>
      </c>
      <c r="J45" s="151" t="s">
        <v>38</v>
      </c>
      <c r="K45" s="149" t="s">
        <v>161</v>
      </c>
      <c r="L45" s="53">
        <v>2</v>
      </c>
      <c r="N45" s="53">
        <v>1</v>
      </c>
      <c r="O45" s="53">
        <v>0.45</v>
      </c>
      <c r="P45" s="53">
        <v>0.5</v>
      </c>
      <c r="Q45" s="97">
        <f t="shared" si="0"/>
        <v>0.47499999999999998</v>
      </c>
      <c r="R45" s="204">
        <v>15.4</v>
      </c>
      <c r="S45" s="204">
        <v>111</v>
      </c>
      <c r="T45" s="16">
        <f t="shared" si="1"/>
        <v>33</v>
      </c>
      <c r="U45" s="209">
        <v>105</v>
      </c>
      <c r="V45" s="16">
        <f t="shared" si="2"/>
        <v>3465</v>
      </c>
      <c r="W45" s="53">
        <v>8</v>
      </c>
      <c r="X45" s="202" t="s">
        <v>46</v>
      </c>
      <c r="Y45" s="214" t="s">
        <v>78</v>
      </c>
      <c r="Z45" s="214" t="s">
        <v>86</v>
      </c>
      <c r="AA45" s="214" t="s">
        <v>55</v>
      </c>
      <c r="AB45" s="57" t="s">
        <v>158</v>
      </c>
    </row>
    <row r="46" spans="1:28" x14ac:dyDescent="0.15">
      <c r="A46" s="53" t="s">
        <v>34</v>
      </c>
      <c r="B46" s="193" t="s">
        <v>157</v>
      </c>
      <c r="C46" s="194">
        <v>2019</v>
      </c>
      <c r="D46" s="195" t="s">
        <v>355</v>
      </c>
      <c r="E46" s="194" t="s">
        <v>139</v>
      </c>
      <c r="F46" s="193" t="s">
        <v>362</v>
      </c>
      <c r="G46" s="196" t="s">
        <v>36</v>
      </c>
      <c r="H46" s="149" t="s">
        <v>165</v>
      </c>
      <c r="I46" s="149" t="s">
        <v>159</v>
      </c>
      <c r="J46" s="151" t="s">
        <v>38</v>
      </c>
      <c r="K46" s="149" t="s">
        <v>161</v>
      </c>
      <c r="L46" s="53">
        <v>3</v>
      </c>
      <c r="N46" s="53">
        <v>1</v>
      </c>
      <c r="O46" s="53">
        <v>0.5</v>
      </c>
      <c r="P46" s="53">
        <v>0.45</v>
      </c>
      <c r="Q46" s="97">
        <f t="shared" si="0"/>
        <v>0.47499999999999998</v>
      </c>
      <c r="R46" s="204">
        <v>15.2</v>
      </c>
      <c r="S46" s="204">
        <v>109</v>
      </c>
      <c r="T46" s="16">
        <f t="shared" si="1"/>
        <v>33</v>
      </c>
      <c r="U46" s="209">
        <v>105</v>
      </c>
      <c r="V46" s="16">
        <f t="shared" si="2"/>
        <v>3465</v>
      </c>
      <c r="W46" s="53">
        <v>8</v>
      </c>
      <c r="X46" s="202" t="s">
        <v>46</v>
      </c>
      <c r="Y46" s="214" t="s">
        <v>78</v>
      </c>
      <c r="Z46" s="214" t="s">
        <v>86</v>
      </c>
      <c r="AA46" s="214" t="s">
        <v>55</v>
      </c>
      <c r="AB46" s="57" t="s">
        <v>158</v>
      </c>
    </row>
    <row r="47" spans="1:28" x14ac:dyDescent="0.15">
      <c r="A47" s="53" t="s">
        <v>34</v>
      </c>
      <c r="B47" s="34" t="s">
        <v>157</v>
      </c>
      <c r="C47" s="53">
        <v>2019</v>
      </c>
      <c r="D47" s="215" t="s">
        <v>355</v>
      </c>
      <c r="E47" s="53" t="s">
        <v>139</v>
      </c>
      <c r="F47" s="193" t="s">
        <v>362</v>
      </c>
      <c r="G47" s="196" t="s">
        <v>36</v>
      </c>
      <c r="H47" s="149" t="s">
        <v>160</v>
      </c>
      <c r="I47" s="149" t="s">
        <v>159</v>
      </c>
      <c r="J47" s="151" t="s">
        <v>38</v>
      </c>
      <c r="K47" s="149" t="s">
        <v>161</v>
      </c>
      <c r="L47" s="53">
        <v>1</v>
      </c>
      <c r="N47" s="53">
        <v>1</v>
      </c>
      <c r="O47" s="53">
        <v>0.85</v>
      </c>
      <c r="P47" s="53">
        <v>0.75</v>
      </c>
      <c r="Q47" s="97">
        <f t="shared" si="0"/>
        <v>0.8</v>
      </c>
      <c r="R47" s="204">
        <v>15.5</v>
      </c>
      <c r="S47" s="204">
        <v>98</v>
      </c>
      <c r="T47" s="16">
        <f t="shared" si="1"/>
        <v>36</v>
      </c>
      <c r="U47" s="53">
        <v>105</v>
      </c>
      <c r="V47" s="16">
        <f t="shared" si="2"/>
        <v>3780</v>
      </c>
      <c r="W47" s="53">
        <v>8</v>
      </c>
      <c r="X47" s="202" t="s">
        <v>46</v>
      </c>
      <c r="Y47" s="53" t="s">
        <v>78</v>
      </c>
      <c r="Z47" s="53" t="s">
        <v>86</v>
      </c>
      <c r="AA47" s="53" t="s">
        <v>55</v>
      </c>
      <c r="AB47" s="57" t="s">
        <v>158</v>
      </c>
    </row>
    <row r="48" spans="1:28" x14ac:dyDescent="0.15">
      <c r="A48" s="53" t="s">
        <v>34</v>
      </c>
      <c r="B48" s="34" t="s">
        <v>157</v>
      </c>
      <c r="C48" s="53">
        <v>2019</v>
      </c>
      <c r="D48" s="215" t="s">
        <v>355</v>
      </c>
      <c r="E48" s="53" t="s">
        <v>139</v>
      </c>
      <c r="F48" s="193" t="s">
        <v>362</v>
      </c>
      <c r="G48" s="196" t="s">
        <v>36</v>
      </c>
      <c r="H48" s="149" t="s">
        <v>160</v>
      </c>
      <c r="I48" s="149" t="s">
        <v>159</v>
      </c>
      <c r="J48" s="151" t="s">
        <v>38</v>
      </c>
      <c r="K48" s="149" t="s">
        <v>161</v>
      </c>
      <c r="L48" s="53">
        <v>2</v>
      </c>
      <c r="N48" s="53">
        <v>1</v>
      </c>
      <c r="O48" s="53">
        <v>1</v>
      </c>
      <c r="P48" s="53">
        <v>0.95</v>
      </c>
      <c r="Q48" s="97">
        <f t="shared" si="0"/>
        <v>0.97499999999999998</v>
      </c>
      <c r="R48" s="204">
        <v>16.2</v>
      </c>
      <c r="S48" s="204">
        <v>98</v>
      </c>
      <c r="T48" s="16">
        <f t="shared" si="1"/>
        <v>36</v>
      </c>
      <c r="U48" s="53">
        <v>105</v>
      </c>
      <c r="V48" s="16">
        <f t="shared" si="2"/>
        <v>3780</v>
      </c>
      <c r="W48" s="53">
        <v>8</v>
      </c>
      <c r="X48" s="202" t="s">
        <v>46</v>
      </c>
      <c r="Y48" s="53" t="s">
        <v>78</v>
      </c>
      <c r="Z48" s="53" t="s">
        <v>86</v>
      </c>
      <c r="AA48" s="53" t="s">
        <v>55</v>
      </c>
      <c r="AB48" s="57" t="s">
        <v>158</v>
      </c>
    </row>
    <row r="49" spans="1:28" x14ac:dyDescent="0.15">
      <c r="A49" s="53" t="s">
        <v>34</v>
      </c>
      <c r="B49" s="34" t="s">
        <v>157</v>
      </c>
      <c r="C49" s="53">
        <v>2019</v>
      </c>
      <c r="D49" s="215" t="s">
        <v>355</v>
      </c>
      <c r="E49" s="53" t="s">
        <v>139</v>
      </c>
      <c r="F49" s="193" t="s">
        <v>362</v>
      </c>
      <c r="G49" s="196" t="s">
        <v>36</v>
      </c>
      <c r="H49" s="149" t="s">
        <v>160</v>
      </c>
      <c r="I49" s="149" t="s">
        <v>159</v>
      </c>
      <c r="J49" s="151" t="s">
        <v>38</v>
      </c>
      <c r="K49" s="149" t="s">
        <v>161</v>
      </c>
      <c r="L49" s="53">
        <v>3</v>
      </c>
      <c r="N49" s="53">
        <v>1</v>
      </c>
      <c r="O49" s="53">
        <v>1</v>
      </c>
      <c r="P49" s="53">
        <v>0.9</v>
      </c>
      <c r="Q49" s="97">
        <f t="shared" si="0"/>
        <v>0.95</v>
      </c>
      <c r="R49" s="204">
        <v>15.9</v>
      </c>
      <c r="S49" s="204">
        <v>118</v>
      </c>
      <c r="T49" s="16">
        <f t="shared" si="1"/>
        <v>30</v>
      </c>
      <c r="U49" s="53">
        <v>105</v>
      </c>
      <c r="V49" s="16">
        <f t="shared" si="2"/>
        <v>3150</v>
      </c>
      <c r="W49" s="53">
        <v>8</v>
      </c>
      <c r="X49" s="202" t="s">
        <v>46</v>
      </c>
      <c r="Y49" s="53" t="s">
        <v>78</v>
      </c>
      <c r="Z49" s="53" t="s">
        <v>86</v>
      </c>
      <c r="AA49" s="53" t="s">
        <v>55</v>
      </c>
      <c r="AB49" s="57" t="s">
        <v>158</v>
      </c>
    </row>
    <row r="50" spans="1:28" x14ac:dyDescent="0.15">
      <c r="A50" s="53" t="s">
        <v>34</v>
      </c>
      <c r="B50" s="53" t="s">
        <v>157</v>
      </c>
      <c r="C50" s="53">
        <v>2019</v>
      </c>
      <c r="D50" s="215" t="s">
        <v>355</v>
      </c>
      <c r="E50" s="53" t="s">
        <v>133</v>
      </c>
      <c r="F50" s="193" t="s">
        <v>363</v>
      </c>
      <c r="G50" s="196" t="s">
        <v>36</v>
      </c>
      <c r="H50" s="151" t="s">
        <v>164</v>
      </c>
      <c r="I50" s="151" t="s">
        <v>159</v>
      </c>
      <c r="J50" s="151" t="s">
        <v>38</v>
      </c>
      <c r="K50" s="149" t="s">
        <v>161</v>
      </c>
      <c r="L50" s="53">
        <v>1</v>
      </c>
      <c r="N50" s="53">
        <v>1</v>
      </c>
      <c r="O50" s="53">
        <v>0.5</v>
      </c>
      <c r="P50" s="53">
        <v>0.45</v>
      </c>
      <c r="Q50" s="97">
        <f t="shared" si="0"/>
        <v>0.47499999999999998</v>
      </c>
      <c r="R50" s="53">
        <v>17.3</v>
      </c>
      <c r="S50" s="53">
        <v>109</v>
      </c>
      <c r="T50" s="16">
        <f t="shared" si="1"/>
        <v>33</v>
      </c>
      <c r="U50" s="53">
        <v>98</v>
      </c>
      <c r="V50" s="16">
        <f t="shared" si="2"/>
        <v>3234</v>
      </c>
      <c r="W50" s="53">
        <v>20</v>
      </c>
      <c r="X50" s="202" t="s">
        <v>46</v>
      </c>
      <c r="Y50" s="53" t="s">
        <v>78</v>
      </c>
      <c r="Z50" s="53" t="s">
        <v>86</v>
      </c>
      <c r="AA50" s="53" t="s">
        <v>107</v>
      </c>
      <c r="AB50" s="53" t="s">
        <v>158</v>
      </c>
    </row>
    <row r="51" spans="1:28" x14ac:dyDescent="0.15">
      <c r="A51" s="53" t="s">
        <v>34</v>
      </c>
      <c r="B51" s="53" t="s">
        <v>157</v>
      </c>
      <c r="C51" s="53">
        <v>2019</v>
      </c>
      <c r="D51" s="215" t="s">
        <v>355</v>
      </c>
      <c r="E51" s="53" t="s">
        <v>133</v>
      </c>
      <c r="F51" s="193" t="s">
        <v>363</v>
      </c>
      <c r="G51" s="196" t="s">
        <v>36</v>
      </c>
      <c r="H51" s="151" t="s">
        <v>164</v>
      </c>
      <c r="I51" s="151" t="s">
        <v>159</v>
      </c>
      <c r="J51" s="151" t="s">
        <v>38</v>
      </c>
      <c r="K51" s="149" t="s">
        <v>161</v>
      </c>
      <c r="L51" s="53">
        <v>2</v>
      </c>
      <c r="N51" s="53">
        <v>1</v>
      </c>
      <c r="O51" s="53">
        <v>0.35</v>
      </c>
      <c r="P51" s="53">
        <v>0.35</v>
      </c>
      <c r="Q51" s="97">
        <f t="shared" si="0"/>
        <v>0.35</v>
      </c>
      <c r="R51" s="53">
        <v>15.8</v>
      </c>
      <c r="S51" s="53">
        <v>108</v>
      </c>
      <c r="T51" s="16">
        <f t="shared" si="1"/>
        <v>33</v>
      </c>
      <c r="U51" s="53">
        <v>98</v>
      </c>
      <c r="V51" s="16">
        <f t="shared" si="2"/>
        <v>3234</v>
      </c>
      <c r="W51" s="53">
        <v>20</v>
      </c>
      <c r="X51" s="202" t="s">
        <v>46</v>
      </c>
      <c r="Y51" s="53" t="s">
        <v>78</v>
      </c>
      <c r="Z51" s="53" t="s">
        <v>86</v>
      </c>
      <c r="AA51" s="53" t="s">
        <v>107</v>
      </c>
      <c r="AB51" s="53" t="s">
        <v>158</v>
      </c>
    </row>
    <row r="52" spans="1:28" x14ac:dyDescent="0.15">
      <c r="A52" s="53" t="s">
        <v>34</v>
      </c>
      <c r="B52" s="53" t="s">
        <v>157</v>
      </c>
      <c r="C52" s="53">
        <v>2019</v>
      </c>
      <c r="D52" s="215" t="s">
        <v>355</v>
      </c>
      <c r="E52" s="53" t="s">
        <v>133</v>
      </c>
      <c r="F52" s="193" t="s">
        <v>363</v>
      </c>
      <c r="G52" s="196" t="s">
        <v>36</v>
      </c>
      <c r="H52" s="151" t="s">
        <v>164</v>
      </c>
      <c r="I52" s="151" t="s">
        <v>159</v>
      </c>
      <c r="J52" s="151" t="s">
        <v>38</v>
      </c>
      <c r="K52" s="149" t="s">
        <v>161</v>
      </c>
      <c r="L52" s="53">
        <v>3</v>
      </c>
      <c r="N52" s="53">
        <v>1</v>
      </c>
      <c r="O52" s="53">
        <v>0.45</v>
      </c>
      <c r="P52" s="53">
        <v>0.5</v>
      </c>
      <c r="Q52" s="97">
        <f t="shared" si="0"/>
        <v>0.47499999999999998</v>
      </c>
      <c r="R52" s="53">
        <v>16.5</v>
      </c>
      <c r="S52" s="53">
        <v>110</v>
      </c>
      <c r="T52" s="16">
        <f t="shared" si="1"/>
        <v>33</v>
      </c>
      <c r="U52" s="53">
        <v>98</v>
      </c>
      <c r="V52" s="16">
        <f t="shared" si="2"/>
        <v>3234</v>
      </c>
      <c r="W52" s="53">
        <v>20</v>
      </c>
      <c r="X52" s="202" t="s">
        <v>46</v>
      </c>
      <c r="Y52" s="53" t="s">
        <v>78</v>
      </c>
      <c r="Z52" s="53" t="s">
        <v>86</v>
      </c>
      <c r="AA52" s="53" t="s">
        <v>107</v>
      </c>
      <c r="AB52" s="53" t="s">
        <v>158</v>
      </c>
    </row>
    <row r="53" spans="1:28" x14ac:dyDescent="0.15">
      <c r="A53" s="53" t="s">
        <v>34</v>
      </c>
      <c r="B53" s="53" t="s">
        <v>157</v>
      </c>
      <c r="C53" s="53">
        <v>2019</v>
      </c>
      <c r="D53" s="215" t="s">
        <v>355</v>
      </c>
      <c r="E53" s="53" t="s">
        <v>133</v>
      </c>
      <c r="F53" s="193" t="s">
        <v>363</v>
      </c>
      <c r="G53" s="196" t="s">
        <v>36</v>
      </c>
      <c r="H53" s="151" t="s">
        <v>160</v>
      </c>
      <c r="I53" s="151" t="s">
        <v>159</v>
      </c>
      <c r="J53" s="151" t="s">
        <v>38</v>
      </c>
      <c r="K53" s="149" t="s">
        <v>161</v>
      </c>
      <c r="L53" s="53">
        <v>1</v>
      </c>
      <c r="N53" s="53">
        <v>1</v>
      </c>
      <c r="O53" s="53">
        <v>0.7</v>
      </c>
      <c r="P53" s="53">
        <v>0.8</v>
      </c>
      <c r="Q53" s="97">
        <f t="shared" si="0"/>
        <v>0.75</v>
      </c>
      <c r="R53" s="53">
        <v>17.8</v>
      </c>
      <c r="S53" s="53">
        <v>137</v>
      </c>
      <c r="T53" s="16">
        <f t="shared" si="1"/>
        <v>30</v>
      </c>
      <c r="U53" s="53">
        <v>138</v>
      </c>
      <c r="V53" s="16">
        <f t="shared" si="2"/>
        <v>4140</v>
      </c>
      <c r="W53" s="53">
        <v>20</v>
      </c>
      <c r="X53" s="202" t="s">
        <v>46</v>
      </c>
      <c r="Y53" s="53" t="s">
        <v>78</v>
      </c>
      <c r="Z53" s="53" t="s">
        <v>86</v>
      </c>
      <c r="AA53" s="53" t="s">
        <v>107</v>
      </c>
      <c r="AB53" s="53" t="s">
        <v>158</v>
      </c>
    </row>
    <row r="54" spans="1:28" x14ac:dyDescent="0.15">
      <c r="A54" s="53" t="s">
        <v>34</v>
      </c>
      <c r="B54" s="53" t="s">
        <v>157</v>
      </c>
      <c r="C54" s="53">
        <v>2019</v>
      </c>
      <c r="D54" s="215" t="s">
        <v>355</v>
      </c>
      <c r="E54" s="53" t="s">
        <v>133</v>
      </c>
      <c r="F54" s="193" t="s">
        <v>363</v>
      </c>
      <c r="G54" s="196" t="s">
        <v>36</v>
      </c>
      <c r="H54" s="151" t="s">
        <v>160</v>
      </c>
      <c r="I54" s="151" t="s">
        <v>159</v>
      </c>
      <c r="J54" s="151" t="s">
        <v>38</v>
      </c>
      <c r="K54" s="149" t="s">
        <v>161</v>
      </c>
      <c r="L54" s="53">
        <v>2</v>
      </c>
      <c r="N54" s="53">
        <v>1</v>
      </c>
      <c r="O54" s="53">
        <v>0.55000000000000004</v>
      </c>
      <c r="P54" s="53">
        <v>0.55000000000000004</v>
      </c>
      <c r="Q54" s="97">
        <f t="shared" si="0"/>
        <v>0.55000000000000004</v>
      </c>
      <c r="R54" s="53">
        <v>18.2</v>
      </c>
      <c r="S54" s="53">
        <v>146</v>
      </c>
      <c r="T54" s="16">
        <f t="shared" si="1"/>
        <v>30</v>
      </c>
      <c r="U54" s="53">
        <v>138</v>
      </c>
      <c r="V54" s="16">
        <f t="shared" si="2"/>
        <v>4140</v>
      </c>
      <c r="W54" s="53">
        <v>20</v>
      </c>
      <c r="X54" s="202" t="s">
        <v>46</v>
      </c>
      <c r="Y54" s="53" t="s">
        <v>78</v>
      </c>
      <c r="Z54" s="53" t="s">
        <v>86</v>
      </c>
      <c r="AA54" s="53" t="s">
        <v>107</v>
      </c>
      <c r="AB54" s="53" t="s">
        <v>158</v>
      </c>
    </row>
    <row r="55" spans="1:28" x14ac:dyDescent="0.15">
      <c r="A55" s="53" t="s">
        <v>34</v>
      </c>
      <c r="B55" s="53" t="s">
        <v>157</v>
      </c>
      <c r="C55" s="53">
        <v>2019</v>
      </c>
      <c r="D55" s="215" t="s">
        <v>355</v>
      </c>
      <c r="E55" s="53" t="s">
        <v>133</v>
      </c>
      <c r="F55" s="193" t="s">
        <v>363</v>
      </c>
      <c r="G55" s="196" t="s">
        <v>36</v>
      </c>
      <c r="H55" s="151" t="s">
        <v>160</v>
      </c>
      <c r="I55" s="151" t="s">
        <v>159</v>
      </c>
      <c r="J55" s="151" t="s">
        <v>38</v>
      </c>
      <c r="K55" s="149" t="s">
        <v>161</v>
      </c>
      <c r="L55" s="53">
        <v>3</v>
      </c>
      <c r="N55" s="53">
        <v>1</v>
      </c>
      <c r="O55" s="53">
        <v>0.65</v>
      </c>
      <c r="P55" s="53">
        <v>0.6</v>
      </c>
      <c r="Q55" s="97">
        <f t="shared" si="0"/>
        <v>0.625</v>
      </c>
      <c r="R55" s="53">
        <v>17.899999999999999</v>
      </c>
      <c r="S55" s="53">
        <v>137</v>
      </c>
      <c r="T55" s="16">
        <f t="shared" si="1"/>
        <v>30</v>
      </c>
      <c r="U55" s="53">
        <v>138</v>
      </c>
      <c r="V55" s="16">
        <f t="shared" si="2"/>
        <v>4140</v>
      </c>
      <c r="W55" s="53">
        <v>20</v>
      </c>
      <c r="X55" s="202" t="s">
        <v>46</v>
      </c>
      <c r="Y55" s="53" t="s">
        <v>78</v>
      </c>
      <c r="Z55" s="53" t="s">
        <v>86</v>
      </c>
      <c r="AA55" s="53" t="s">
        <v>107</v>
      </c>
      <c r="AB55" s="53" t="s">
        <v>158</v>
      </c>
    </row>
    <row r="56" spans="1:28" x14ac:dyDescent="0.15">
      <c r="A56" s="53" t="s">
        <v>34</v>
      </c>
      <c r="B56" s="53" t="s">
        <v>157</v>
      </c>
      <c r="C56" s="53">
        <v>2019</v>
      </c>
      <c r="D56" s="215" t="s">
        <v>355</v>
      </c>
      <c r="E56" s="53" t="s">
        <v>267</v>
      </c>
      <c r="F56" s="193" t="s">
        <v>364</v>
      </c>
      <c r="G56" s="196" t="s">
        <v>36</v>
      </c>
      <c r="H56" s="151" t="s">
        <v>164</v>
      </c>
      <c r="I56" s="151" t="s">
        <v>159</v>
      </c>
      <c r="J56" s="151" t="s">
        <v>38</v>
      </c>
      <c r="K56" s="149" t="s">
        <v>161</v>
      </c>
      <c r="L56" s="53">
        <v>1</v>
      </c>
      <c r="N56" s="53">
        <v>10</v>
      </c>
      <c r="O56" s="53">
        <v>0.45</v>
      </c>
      <c r="P56" s="53">
        <v>0.5</v>
      </c>
      <c r="Q56" s="97">
        <f t="shared" si="0"/>
        <v>0.47499999999999998</v>
      </c>
      <c r="R56" s="53">
        <v>15.2</v>
      </c>
      <c r="S56" s="53">
        <v>75</v>
      </c>
      <c r="T56" s="16">
        <f t="shared" si="1"/>
        <v>42</v>
      </c>
      <c r="U56" s="53">
        <v>138</v>
      </c>
      <c r="V56" s="16">
        <f t="shared" si="2"/>
        <v>579.6</v>
      </c>
      <c r="W56" s="53">
        <v>6</v>
      </c>
      <c r="X56" s="202" t="s">
        <v>46</v>
      </c>
      <c r="Y56" s="53" t="s">
        <v>69</v>
      </c>
      <c r="Z56" s="53" t="s">
        <v>78</v>
      </c>
      <c r="AA56" s="53" t="s">
        <v>107</v>
      </c>
      <c r="AB56" s="53" t="s">
        <v>158</v>
      </c>
    </row>
    <row r="57" spans="1:28" x14ac:dyDescent="0.15">
      <c r="A57" s="53" t="s">
        <v>34</v>
      </c>
      <c r="B57" s="53" t="s">
        <v>157</v>
      </c>
      <c r="C57" s="53">
        <v>2019</v>
      </c>
      <c r="D57" s="215" t="s">
        <v>355</v>
      </c>
      <c r="E57" s="53" t="s">
        <v>267</v>
      </c>
      <c r="F57" s="193" t="s">
        <v>364</v>
      </c>
      <c r="G57" s="196" t="s">
        <v>36</v>
      </c>
      <c r="H57" s="151" t="s">
        <v>164</v>
      </c>
      <c r="I57" s="151" t="s">
        <v>159</v>
      </c>
      <c r="J57" s="151" t="s">
        <v>38</v>
      </c>
      <c r="K57" s="149" t="s">
        <v>161</v>
      </c>
      <c r="L57" s="53">
        <v>2</v>
      </c>
      <c r="N57" s="53">
        <v>10</v>
      </c>
      <c r="O57" s="53">
        <v>0.6</v>
      </c>
      <c r="P57" s="53">
        <v>0.55000000000000004</v>
      </c>
      <c r="Q57" s="97">
        <f t="shared" si="0"/>
        <v>0.57499999999999996</v>
      </c>
      <c r="R57" s="53">
        <v>14.4</v>
      </c>
      <c r="S57" s="53">
        <v>75</v>
      </c>
      <c r="T57" s="16">
        <f t="shared" si="1"/>
        <v>42</v>
      </c>
      <c r="U57" s="53">
        <v>138</v>
      </c>
      <c r="V57" s="16">
        <f t="shared" si="2"/>
        <v>579.6</v>
      </c>
      <c r="W57" s="53">
        <v>6</v>
      </c>
      <c r="X57" s="202" t="s">
        <v>46</v>
      </c>
      <c r="Y57" s="53" t="s">
        <v>69</v>
      </c>
      <c r="Z57" s="53" t="s">
        <v>78</v>
      </c>
      <c r="AA57" s="53" t="s">
        <v>107</v>
      </c>
      <c r="AB57" s="53" t="s">
        <v>158</v>
      </c>
    </row>
    <row r="58" spans="1:28" x14ac:dyDescent="0.15">
      <c r="A58" s="53" t="s">
        <v>34</v>
      </c>
      <c r="B58" s="53" t="s">
        <v>157</v>
      </c>
      <c r="C58" s="53">
        <v>2019</v>
      </c>
      <c r="D58" s="215" t="s">
        <v>355</v>
      </c>
      <c r="E58" s="53" t="s">
        <v>267</v>
      </c>
      <c r="F58" s="193" t="s">
        <v>364</v>
      </c>
      <c r="G58" s="196" t="s">
        <v>36</v>
      </c>
      <c r="H58" s="151" t="s">
        <v>164</v>
      </c>
      <c r="I58" s="151" t="s">
        <v>159</v>
      </c>
      <c r="J58" s="151" t="s">
        <v>38</v>
      </c>
      <c r="K58" s="149" t="s">
        <v>161</v>
      </c>
      <c r="L58" s="53">
        <v>3</v>
      </c>
      <c r="N58" s="53">
        <v>10</v>
      </c>
      <c r="O58" s="53">
        <v>0.55000000000000004</v>
      </c>
      <c r="P58" s="53">
        <v>0.6</v>
      </c>
      <c r="Q58" s="97">
        <f t="shared" si="0"/>
        <v>0.57499999999999996</v>
      </c>
      <c r="R58" s="53">
        <v>14.5</v>
      </c>
      <c r="S58" s="53">
        <v>75</v>
      </c>
      <c r="T58" s="16">
        <f t="shared" si="1"/>
        <v>42</v>
      </c>
      <c r="U58" s="53">
        <v>138</v>
      </c>
      <c r="V58" s="16">
        <f t="shared" si="2"/>
        <v>579.6</v>
      </c>
      <c r="W58" s="53">
        <v>6</v>
      </c>
      <c r="X58" s="202" t="s">
        <v>46</v>
      </c>
      <c r="Y58" s="53" t="s">
        <v>69</v>
      </c>
      <c r="Z58" s="53" t="s">
        <v>78</v>
      </c>
      <c r="AA58" s="53" t="s">
        <v>107</v>
      </c>
      <c r="AB58" s="53" t="s">
        <v>158</v>
      </c>
    </row>
    <row r="59" spans="1:28" x14ac:dyDescent="0.15">
      <c r="A59" s="53" t="s">
        <v>34</v>
      </c>
      <c r="B59" s="53" t="s">
        <v>157</v>
      </c>
      <c r="C59" s="53">
        <v>2019</v>
      </c>
      <c r="D59" s="215" t="s">
        <v>355</v>
      </c>
      <c r="E59" s="53" t="s">
        <v>267</v>
      </c>
      <c r="F59" s="193" t="s">
        <v>364</v>
      </c>
      <c r="G59" s="196" t="s">
        <v>36</v>
      </c>
      <c r="H59" s="151" t="s">
        <v>160</v>
      </c>
      <c r="I59" s="151" t="s">
        <v>159</v>
      </c>
      <c r="J59" s="151" t="s">
        <v>38</v>
      </c>
      <c r="K59" s="149" t="s">
        <v>161</v>
      </c>
      <c r="L59" s="53">
        <v>1</v>
      </c>
      <c r="N59" s="53">
        <v>1</v>
      </c>
      <c r="O59" s="53">
        <v>0.85</v>
      </c>
      <c r="P59" s="53">
        <v>0.7</v>
      </c>
      <c r="Q59" s="97">
        <f t="shared" si="0"/>
        <v>0.77499999999999991</v>
      </c>
      <c r="R59" s="53">
        <v>13.8</v>
      </c>
      <c r="S59" s="53">
        <v>128</v>
      </c>
      <c r="T59" s="16">
        <f t="shared" si="1"/>
        <v>30</v>
      </c>
      <c r="U59" s="53">
        <v>138</v>
      </c>
      <c r="V59" s="16">
        <f t="shared" si="2"/>
        <v>4140</v>
      </c>
      <c r="W59" s="53">
        <v>6</v>
      </c>
      <c r="X59" s="202" t="s">
        <v>46</v>
      </c>
      <c r="Y59" s="53" t="s">
        <v>69</v>
      </c>
      <c r="Z59" s="53" t="s">
        <v>78</v>
      </c>
      <c r="AA59" s="53" t="s">
        <v>107</v>
      </c>
      <c r="AB59" s="53" t="s">
        <v>158</v>
      </c>
    </row>
    <row r="60" spans="1:28" x14ac:dyDescent="0.15">
      <c r="A60" s="53" t="s">
        <v>34</v>
      </c>
      <c r="B60" s="53" t="s">
        <v>157</v>
      </c>
      <c r="C60" s="53">
        <v>2019</v>
      </c>
      <c r="D60" s="215" t="s">
        <v>355</v>
      </c>
      <c r="E60" s="53" t="s">
        <v>267</v>
      </c>
      <c r="F60" s="193" t="s">
        <v>364</v>
      </c>
      <c r="G60" s="196" t="s">
        <v>36</v>
      </c>
      <c r="H60" s="151" t="s">
        <v>160</v>
      </c>
      <c r="I60" s="151" t="s">
        <v>159</v>
      </c>
      <c r="J60" s="151" t="s">
        <v>38</v>
      </c>
      <c r="K60" s="149" t="s">
        <v>161</v>
      </c>
      <c r="L60" s="53">
        <v>2</v>
      </c>
      <c r="N60" s="53">
        <v>1</v>
      </c>
      <c r="O60" s="53">
        <v>0.75</v>
      </c>
      <c r="P60" s="53">
        <v>0.85</v>
      </c>
      <c r="Q60" s="97">
        <f t="shared" si="0"/>
        <v>0.8</v>
      </c>
      <c r="R60" s="53">
        <v>14.1</v>
      </c>
      <c r="S60" s="53">
        <v>137</v>
      </c>
      <c r="T60" s="16">
        <f t="shared" si="1"/>
        <v>30</v>
      </c>
      <c r="U60" s="53">
        <v>138</v>
      </c>
      <c r="V60" s="16">
        <f t="shared" si="2"/>
        <v>4140</v>
      </c>
      <c r="W60" s="53">
        <v>6</v>
      </c>
      <c r="X60" s="202" t="s">
        <v>46</v>
      </c>
      <c r="Y60" s="53" t="s">
        <v>69</v>
      </c>
      <c r="Z60" s="53" t="s">
        <v>78</v>
      </c>
      <c r="AA60" s="53" t="s">
        <v>107</v>
      </c>
      <c r="AB60" s="53" t="s">
        <v>158</v>
      </c>
    </row>
    <row r="61" spans="1:28" x14ac:dyDescent="0.15">
      <c r="A61" s="53" t="s">
        <v>34</v>
      </c>
      <c r="B61" s="53" t="s">
        <v>157</v>
      </c>
      <c r="C61" s="53">
        <v>2019</v>
      </c>
      <c r="D61" s="215" t="s">
        <v>355</v>
      </c>
      <c r="E61" s="53" t="s">
        <v>267</v>
      </c>
      <c r="F61" s="193" t="s">
        <v>364</v>
      </c>
      <c r="G61" s="196" t="s">
        <v>36</v>
      </c>
      <c r="H61" s="151" t="s">
        <v>160</v>
      </c>
      <c r="I61" s="151" t="s">
        <v>159</v>
      </c>
      <c r="J61" s="151" t="s">
        <v>38</v>
      </c>
      <c r="K61" s="149" t="s">
        <v>161</v>
      </c>
      <c r="L61" s="53">
        <v>3</v>
      </c>
      <c r="N61" s="53">
        <v>1</v>
      </c>
      <c r="O61" s="53">
        <v>0.8</v>
      </c>
      <c r="P61" s="53">
        <v>0.95</v>
      </c>
      <c r="Q61" s="97">
        <f t="shared" si="0"/>
        <v>0.875</v>
      </c>
      <c r="R61" s="53">
        <v>14.9</v>
      </c>
      <c r="S61" s="53">
        <v>136</v>
      </c>
      <c r="T61" s="16">
        <f t="shared" si="1"/>
        <v>30</v>
      </c>
      <c r="U61" s="53">
        <v>138</v>
      </c>
      <c r="V61" s="16">
        <f t="shared" si="2"/>
        <v>4140</v>
      </c>
      <c r="W61" s="53">
        <v>6</v>
      </c>
      <c r="X61" s="202" t="s">
        <v>46</v>
      </c>
      <c r="Y61" s="53" t="s">
        <v>69</v>
      </c>
      <c r="Z61" s="53" t="s">
        <v>78</v>
      </c>
      <c r="AA61" s="53" t="s">
        <v>107</v>
      </c>
      <c r="AB61" s="53" t="s">
        <v>158</v>
      </c>
    </row>
    <row r="62" spans="1:28" x14ac:dyDescent="0.15">
      <c r="D62" s="215"/>
      <c r="F62" s="193"/>
      <c r="G62" s="196"/>
      <c r="H62" s="151"/>
      <c r="I62" s="151"/>
      <c r="J62" s="151"/>
      <c r="K62" s="149"/>
      <c r="Q62" s="97" t="str">
        <f t="shared" si="0"/>
        <v/>
      </c>
      <c r="T62" s="16" t="str">
        <f t="shared" si="1"/>
        <v/>
      </c>
      <c r="V62" s="16" t="str">
        <f t="shared" si="2"/>
        <v/>
      </c>
      <c r="X62" s="202"/>
    </row>
    <row r="63" spans="1:28" x14ac:dyDescent="0.15">
      <c r="D63" s="215"/>
      <c r="F63" s="193"/>
      <c r="G63" s="196"/>
      <c r="H63" s="151"/>
      <c r="I63" s="151"/>
      <c r="J63" s="151"/>
      <c r="K63" s="149"/>
      <c r="Q63" s="97" t="str">
        <f t="shared" si="0"/>
        <v/>
      </c>
      <c r="T63" s="16" t="str">
        <f t="shared" si="1"/>
        <v/>
      </c>
      <c r="V63" s="16" t="str">
        <f t="shared" si="2"/>
        <v/>
      </c>
      <c r="X63" s="202"/>
    </row>
    <row r="64" spans="1:28" x14ac:dyDescent="0.15">
      <c r="D64" s="215"/>
      <c r="F64" s="193"/>
      <c r="G64" s="196"/>
      <c r="H64" s="151"/>
      <c r="I64" s="151"/>
      <c r="J64" s="151"/>
      <c r="K64" s="149"/>
      <c r="Q64" s="97" t="str">
        <f t="shared" si="0"/>
        <v/>
      </c>
      <c r="T64" s="16" t="str">
        <f t="shared" si="1"/>
        <v/>
      </c>
      <c r="V64" s="16" t="str">
        <f t="shared" si="2"/>
        <v/>
      </c>
      <c r="X64" s="202"/>
    </row>
    <row r="65" spans="4:24" x14ac:dyDescent="0.15">
      <c r="D65" s="215"/>
      <c r="F65" s="193"/>
      <c r="G65" s="196"/>
      <c r="H65" s="151"/>
      <c r="I65" s="151"/>
      <c r="J65" s="151"/>
      <c r="K65" s="149"/>
      <c r="Q65" s="97" t="str">
        <f t="shared" si="0"/>
        <v/>
      </c>
      <c r="T65" s="16" t="str">
        <f t="shared" si="1"/>
        <v/>
      </c>
      <c r="V65" s="16" t="str">
        <f t="shared" si="2"/>
        <v/>
      </c>
      <c r="X65" s="202"/>
    </row>
    <row r="66" spans="4:24" x14ac:dyDescent="0.15">
      <c r="D66" s="215"/>
      <c r="F66" s="193"/>
      <c r="G66" s="196"/>
      <c r="H66" s="151"/>
      <c r="I66" s="151"/>
      <c r="J66" s="151"/>
      <c r="K66" s="149"/>
      <c r="Q66" s="97" t="str">
        <f t="shared" ref="Q66:Q91" si="3">IF(OR(O66="",P66=""),"",AVERAGE(O66,P66))</f>
        <v/>
      </c>
      <c r="T66" s="16" t="str">
        <f t="shared" ref="T66:T91" si="4">IF(H66="","",IF(OR(H66="GREEN",H66="GK"),IF(S66&gt;=$AX$2,VLOOKUP(S66,$AX$2:$AY$7,2,1),""),IF(S66&gt;=$AZ$2,VLOOKUP(S66,$AZ$2:$BA$7,2,1),"")))</f>
        <v/>
      </c>
      <c r="V66" s="16" t="str">
        <f t="shared" ref="V66:V91" si="5">IF(OR(N66="",U66="",T66=""),"",U66/N66*T66)</f>
        <v/>
      </c>
      <c r="X66" s="202"/>
    </row>
    <row r="67" spans="4:24" x14ac:dyDescent="0.15">
      <c r="D67" s="215"/>
      <c r="F67" s="193"/>
      <c r="G67" s="196"/>
      <c r="H67" s="151"/>
      <c r="I67" s="151"/>
      <c r="J67" s="151"/>
      <c r="K67" s="149"/>
      <c r="Q67" s="97" t="str">
        <f t="shared" si="3"/>
        <v/>
      </c>
      <c r="T67" s="16" t="str">
        <f t="shared" si="4"/>
        <v/>
      </c>
      <c r="V67" s="16" t="str">
        <f t="shared" si="5"/>
        <v/>
      </c>
      <c r="X67" s="202"/>
    </row>
    <row r="68" spans="4:24" x14ac:dyDescent="0.15">
      <c r="D68" s="215"/>
      <c r="F68" s="193"/>
      <c r="G68" s="196"/>
      <c r="H68" s="151"/>
      <c r="I68" s="151"/>
      <c r="J68" s="151"/>
      <c r="K68" s="149"/>
      <c r="Q68" s="97" t="str">
        <f t="shared" si="3"/>
        <v/>
      </c>
      <c r="T68" s="16" t="str">
        <f t="shared" si="4"/>
        <v/>
      </c>
      <c r="V68" s="16" t="str">
        <f t="shared" si="5"/>
        <v/>
      </c>
      <c r="X68" s="202"/>
    </row>
    <row r="69" spans="4:24" x14ac:dyDescent="0.15">
      <c r="D69" s="215"/>
      <c r="F69" s="193"/>
      <c r="G69" s="196"/>
      <c r="H69" s="151"/>
      <c r="I69" s="151"/>
      <c r="J69" s="151"/>
      <c r="K69" s="149"/>
      <c r="Q69" s="97" t="str">
        <f t="shared" si="3"/>
        <v/>
      </c>
      <c r="T69" s="16" t="str">
        <f t="shared" si="4"/>
        <v/>
      </c>
      <c r="V69" s="16" t="str">
        <f t="shared" si="5"/>
        <v/>
      </c>
      <c r="X69" s="202"/>
    </row>
    <row r="70" spans="4:24" x14ac:dyDescent="0.15">
      <c r="D70" s="215"/>
      <c r="F70" s="193"/>
      <c r="G70" s="196"/>
      <c r="H70" s="151"/>
      <c r="I70" s="151"/>
      <c r="J70" s="151"/>
      <c r="K70" s="149"/>
      <c r="Q70" s="97" t="str">
        <f t="shared" si="3"/>
        <v/>
      </c>
      <c r="T70" s="16" t="str">
        <f t="shared" si="4"/>
        <v/>
      </c>
      <c r="V70" s="16" t="str">
        <f t="shared" si="5"/>
        <v/>
      </c>
      <c r="X70" s="202"/>
    </row>
    <row r="71" spans="4:24" x14ac:dyDescent="0.15">
      <c r="D71" s="215"/>
      <c r="F71" s="193"/>
      <c r="G71" s="196"/>
      <c r="H71" s="151"/>
      <c r="I71" s="151"/>
      <c r="J71" s="151"/>
      <c r="K71" s="149"/>
      <c r="Q71" s="97" t="str">
        <f t="shared" si="3"/>
        <v/>
      </c>
      <c r="T71" s="16" t="str">
        <f t="shared" si="4"/>
        <v/>
      </c>
      <c r="V71" s="16" t="str">
        <f t="shared" si="5"/>
        <v/>
      </c>
      <c r="X71" s="202"/>
    </row>
    <row r="72" spans="4:24" x14ac:dyDescent="0.15">
      <c r="D72" s="215"/>
      <c r="F72" s="193"/>
      <c r="G72" s="196"/>
      <c r="H72" s="151"/>
      <c r="I72" s="151"/>
      <c r="J72" s="151"/>
      <c r="K72" s="149"/>
      <c r="Q72" s="97" t="str">
        <f t="shared" si="3"/>
        <v/>
      </c>
      <c r="T72" s="16" t="str">
        <f t="shared" si="4"/>
        <v/>
      </c>
      <c r="V72" s="16" t="str">
        <f t="shared" si="5"/>
        <v/>
      </c>
      <c r="X72" s="202"/>
    </row>
    <row r="73" spans="4:24" x14ac:dyDescent="0.15">
      <c r="D73" s="215"/>
      <c r="F73" s="193"/>
      <c r="G73" s="196"/>
      <c r="H73" s="151"/>
      <c r="I73" s="151"/>
      <c r="J73" s="151"/>
      <c r="K73" s="149"/>
      <c r="Q73" s="97" t="str">
        <f t="shared" si="3"/>
        <v/>
      </c>
      <c r="T73" s="16" t="str">
        <f t="shared" si="4"/>
        <v/>
      </c>
      <c r="V73" s="16" t="str">
        <f t="shared" si="5"/>
        <v/>
      </c>
      <c r="X73" s="202"/>
    </row>
    <row r="74" spans="4:24" x14ac:dyDescent="0.15">
      <c r="D74" s="215"/>
      <c r="F74" s="193"/>
      <c r="G74" s="196"/>
      <c r="H74" s="151"/>
      <c r="I74" s="151"/>
      <c r="J74" s="151"/>
      <c r="K74" s="149"/>
      <c r="Q74" s="97" t="str">
        <f t="shared" si="3"/>
        <v/>
      </c>
      <c r="T74" s="16" t="str">
        <f t="shared" si="4"/>
        <v/>
      </c>
      <c r="V74" s="16" t="str">
        <f t="shared" si="5"/>
        <v/>
      </c>
      <c r="X74" s="202"/>
    </row>
    <row r="75" spans="4:24" x14ac:dyDescent="0.15">
      <c r="D75" s="215"/>
      <c r="F75" s="193"/>
      <c r="G75" s="196"/>
      <c r="H75" s="151"/>
      <c r="I75" s="151"/>
      <c r="J75" s="151"/>
      <c r="K75" s="149"/>
      <c r="Q75" s="97" t="str">
        <f t="shared" si="3"/>
        <v/>
      </c>
      <c r="T75" s="16" t="str">
        <f t="shared" si="4"/>
        <v/>
      </c>
      <c r="V75" s="16" t="str">
        <f t="shared" si="5"/>
        <v/>
      </c>
      <c r="X75" s="202"/>
    </row>
    <row r="76" spans="4:24" x14ac:dyDescent="0.15">
      <c r="D76" s="215"/>
      <c r="F76" s="193"/>
      <c r="G76" s="196"/>
      <c r="H76" s="151"/>
      <c r="I76" s="151"/>
      <c r="J76" s="151"/>
      <c r="K76" s="149"/>
      <c r="Q76" s="97" t="str">
        <f t="shared" si="3"/>
        <v/>
      </c>
      <c r="T76" s="16" t="str">
        <f t="shared" si="4"/>
        <v/>
      </c>
      <c r="V76" s="16" t="str">
        <f t="shared" si="5"/>
        <v/>
      </c>
      <c r="X76" s="202"/>
    </row>
    <row r="77" spans="4:24" x14ac:dyDescent="0.15">
      <c r="D77" s="215"/>
      <c r="F77" s="193"/>
      <c r="G77" s="196"/>
      <c r="H77" s="151"/>
      <c r="I77" s="151"/>
      <c r="J77" s="151"/>
      <c r="K77" s="149"/>
      <c r="Q77" s="97" t="str">
        <f t="shared" si="3"/>
        <v/>
      </c>
      <c r="T77" s="16" t="str">
        <f t="shared" si="4"/>
        <v/>
      </c>
      <c r="V77" s="16" t="str">
        <f t="shared" si="5"/>
        <v/>
      </c>
      <c r="X77" s="202"/>
    </row>
    <row r="78" spans="4:24" x14ac:dyDescent="0.15">
      <c r="D78" s="215"/>
      <c r="F78" s="193"/>
      <c r="G78" s="196"/>
      <c r="H78" s="151"/>
      <c r="I78" s="151"/>
      <c r="J78" s="151"/>
      <c r="K78" s="149"/>
      <c r="Q78" s="97" t="str">
        <f t="shared" si="3"/>
        <v/>
      </c>
      <c r="T78" s="16" t="str">
        <f t="shared" si="4"/>
        <v/>
      </c>
      <c r="V78" s="16" t="str">
        <f t="shared" si="5"/>
        <v/>
      </c>
      <c r="X78" s="202"/>
    </row>
    <row r="79" spans="4:24" x14ac:dyDescent="0.15">
      <c r="D79" s="215"/>
      <c r="F79" s="193"/>
      <c r="G79" s="196"/>
      <c r="H79" s="151"/>
      <c r="I79" s="151"/>
      <c r="J79" s="151"/>
      <c r="K79" s="149"/>
      <c r="Q79" s="97" t="str">
        <f t="shared" si="3"/>
        <v/>
      </c>
      <c r="T79" s="16" t="str">
        <f t="shared" si="4"/>
        <v/>
      </c>
      <c r="V79" s="16" t="str">
        <f t="shared" si="5"/>
        <v/>
      </c>
      <c r="X79" s="202"/>
    </row>
    <row r="80" spans="4:24" x14ac:dyDescent="0.15">
      <c r="H80" s="151"/>
      <c r="I80" s="151"/>
      <c r="J80" s="151"/>
      <c r="K80" s="149"/>
      <c r="Q80" s="97" t="str">
        <f t="shared" si="3"/>
        <v/>
      </c>
      <c r="T80" s="16" t="str">
        <f t="shared" si="4"/>
        <v/>
      </c>
      <c r="V80" s="16" t="str">
        <f t="shared" si="5"/>
        <v/>
      </c>
    </row>
    <row r="81" spans="8:22" x14ac:dyDescent="0.15">
      <c r="H81" s="151"/>
      <c r="I81" s="151"/>
      <c r="J81" s="151"/>
      <c r="K81" s="149"/>
      <c r="Q81" s="97" t="str">
        <f t="shared" si="3"/>
        <v/>
      </c>
      <c r="T81" s="16" t="str">
        <f t="shared" si="4"/>
        <v/>
      </c>
      <c r="V81" s="16" t="str">
        <f t="shared" si="5"/>
        <v/>
      </c>
    </row>
    <row r="82" spans="8:22" x14ac:dyDescent="0.15">
      <c r="H82" s="151"/>
      <c r="I82" s="151"/>
      <c r="J82" s="151"/>
      <c r="K82" s="149"/>
      <c r="Q82" s="97" t="str">
        <f t="shared" si="3"/>
        <v/>
      </c>
      <c r="T82" s="16" t="str">
        <f t="shared" si="4"/>
        <v/>
      </c>
      <c r="V82" s="16" t="str">
        <f t="shared" si="5"/>
        <v/>
      </c>
    </row>
    <row r="83" spans="8:22" x14ac:dyDescent="0.15">
      <c r="H83" s="151"/>
      <c r="I83" s="151"/>
      <c r="J83" s="151"/>
      <c r="K83" s="149"/>
      <c r="Q83" s="97" t="str">
        <f t="shared" si="3"/>
        <v/>
      </c>
      <c r="T83" s="16" t="str">
        <f t="shared" si="4"/>
        <v/>
      </c>
      <c r="V83" s="16" t="str">
        <f t="shared" si="5"/>
        <v/>
      </c>
    </row>
    <row r="84" spans="8:22" x14ac:dyDescent="0.15">
      <c r="H84" s="151"/>
      <c r="I84" s="151"/>
      <c r="J84" s="151"/>
      <c r="K84" s="149"/>
      <c r="Q84" s="97" t="str">
        <f t="shared" si="3"/>
        <v/>
      </c>
      <c r="T84" s="16" t="str">
        <f t="shared" si="4"/>
        <v/>
      </c>
      <c r="V84" s="16" t="str">
        <f t="shared" si="5"/>
        <v/>
      </c>
    </row>
    <row r="85" spans="8:22" x14ac:dyDescent="0.15">
      <c r="H85" s="151"/>
      <c r="I85" s="151"/>
      <c r="J85" s="151"/>
      <c r="K85" s="149"/>
      <c r="Q85" s="97" t="str">
        <f t="shared" si="3"/>
        <v/>
      </c>
      <c r="T85" s="16" t="str">
        <f t="shared" si="4"/>
        <v/>
      </c>
      <c r="V85" s="16" t="str">
        <f t="shared" si="5"/>
        <v/>
      </c>
    </row>
    <row r="86" spans="8:22" x14ac:dyDescent="0.15">
      <c r="H86" s="151"/>
      <c r="I86" s="151"/>
      <c r="J86" s="151"/>
      <c r="K86" s="149"/>
      <c r="Q86" s="97" t="str">
        <f t="shared" si="3"/>
        <v/>
      </c>
      <c r="T86" s="16" t="str">
        <f t="shared" si="4"/>
        <v/>
      </c>
      <c r="V86" s="16" t="str">
        <f t="shared" si="5"/>
        <v/>
      </c>
    </row>
    <row r="87" spans="8:22" x14ac:dyDescent="0.15">
      <c r="H87" s="151"/>
      <c r="I87" s="151"/>
      <c r="J87" s="151"/>
      <c r="K87" s="149"/>
      <c r="Q87" s="97" t="str">
        <f t="shared" si="3"/>
        <v/>
      </c>
      <c r="T87" s="16" t="str">
        <f t="shared" si="4"/>
        <v/>
      </c>
      <c r="V87" s="16" t="str">
        <f t="shared" si="5"/>
        <v/>
      </c>
    </row>
    <row r="88" spans="8:22" x14ac:dyDescent="0.15">
      <c r="H88" s="151"/>
      <c r="I88" s="151"/>
      <c r="J88" s="151"/>
      <c r="K88" s="149"/>
      <c r="Q88" s="97" t="str">
        <f t="shared" si="3"/>
        <v/>
      </c>
      <c r="T88" s="16" t="str">
        <f t="shared" si="4"/>
        <v/>
      </c>
      <c r="V88" s="16" t="str">
        <f t="shared" si="5"/>
        <v/>
      </c>
    </row>
    <row r="89" spans="8:22" x14ac:dyDescent="0.15">
      <c r="H89" s="151"/>
      <c r="I89" s="151"/>
      <c r="J89" s="151"/>
      <c r="K89" s="149"/>
      <c r="Q89" s="97" t="str">
        <f t="shared" si="3"/>
        <v/>
      </c>
      <c r="T89" s="16" t="str">
        <f t="shared" si="4"/>
        <v/>
      </c>
      <c r="V89" s="16" t="str">
        <f t="shared" si="5"/>
        <v/>
      </c>
    </row>
    <row r="90" spans="8:22" x14ac:dyDescent="0.15">
      <c r="H90" s="151"/>
      <c r="I90" s="151"/>
      <c r="J90" s="151"/>
      <c r="K90" s="149"/>
      <c r="Q90" s="97" t="str">
        <f t="shared" si="3"/>
        <v/>
      </c>
      <c r="T90" s="16" t="str">
        <f t="shared" si="4"/>
        <v/>
      </c>
      <c r="V90" s="16" t="str">
        <f t="shared" si="5"/>
        <v/>
      </c>
    </row>
    <row r="91" spans="8:22" x14ac:dyDescent="0.15">
      <c r="H91" s="151"/>
      <c r="I91" s="151"/>
      <c r="J91" s="151"/>
      <c r="K91" s="149"/>
      <c r="Q91" s="97" t="str">
        <f t="shared" si="3"/>
        <v/>
      </c>
      <c r="T91" s="16" t="str">
        <f t="shared" si="4"/>
        <v/>
      </c>
      <c r="V91" s="16" t="str">
        <f t="shared" si="5"/>
        <v/>
      </c>
    </row>
    <row r="92" spans="8:22" x14ac:dyDescent="0.15">
      <c r="H92" s="151"/>
      <c r="I92" s="151"/>
      <c r="J92" s="151"/>
      <c r="K92" s="149"/>
      <c r="Q92" s="97"/>
    </row>
    <row r="93" spans="8:22" x14ac:dyDescent="0.15">
      <c r="H93" s="151"/>
      <c r="I93" s="151"/>
      <c r="J93" s="151"/>
      <c r="K93" s="149"/>
      <c r="Q93" s="97"/>
    </row>
    <row r="94" spans="8:22" x14ac:dyDescent="0.15">
      <c r="H94" s="151"/>
      <c r="I94" s="151"/>
      <c r="J94" s="151"/>
      <c r="K94" s="149"/>
      <c r="Q94" s="97"/>
    </row>
    <row r="95" spans="8:22" x14ac:dyDescent="0.15">
      <c r="H95" s="151"/>
      <c r="I95" s="151"/>
      <c r="J95" s="151"/>
      <c r="K95" s="149"/>
      <c r="Q95" s="97"/>
    </row>
    <row r="96" spans="8:22" x14ac:dyDescent="0.15">
      <c r="H96" s="151"/>
      <c r="I96" s="151"/>
      <c r="J96" s="151"/>
      <c r="K96" s="149"/>
      <c r="Q96" s="97"/>
    </row>
    <row r="97" spans="8:17" x14ac:dyDescent="0.15">
      <c r="H97" s="151"/>
      <c r="I97" s="151"/>
      <c r="J97" s="151"/>
      <c r="K97" s="149"/>
      <c r="Q97" s="97"/>
    </row>
    <row r="98" spans="8:17" x14ac:dyDescent="0.15">
      <c r="H98" s="151"/>
      <c r="I98" s="151"/>
      <c r="J98" s="151"/>
      <c r="K98" s="149"/>
      <c r="Q98" s="97"/>
    </row>
    <row r="99" spans="8:17" x14ac:dyDescent="0.15">
      <c r="H99" s="151"/>
      <c r="I99" s="151"/>
      <c r="J99" s="151"/>
      <c r="K99" s="149"/>
      <c r="Q99" s="97"/>
    </row>
    <row r="100" spans="8:17" x14ac:dyDescent="0.15">
      <c r="H100" s="151"/>
      <c r="I100" s="151"/>
      <c r="J100" s="151"/>
      <c r="K100" s="149"/>
      <c r="Q100" s="97"/>
    </row>
    <row r="101" spans="8:17" x14ac:dyDescent="0.15">
      <c r="H101" s="151"/>
      <c r="I101" s="151"/>
      <c r="J101" s="151"/>
      <c r="K101" s="149"/>
      <c r="Q101" s="97"/>
    </row>
    <row r="102" spans="8:17" x14ac:dyDescent="0.15">
      <c r="H102" s="151"/>
      <c r="I102" s="151"/>
      <c r="J102" s="151"/>
      <c r="K102" s="149"/>
      <c r="Q102" s="97"/>
    </row>
    <row r="103" spans="8:17" x14ac:dyDescent="0.15">
      <c r="H103" s="151"/>
      <c r="I103" s="151"/>
      <c r="J103" s="151"/>
      <c r="K103" s="149"/>
      <c r="Q103" s="97"/>
    </row>
    <row r="104" spans="8:17" x14ac:dyDescent="0.15">
      <c r="H104" s="151"/>
      <c r="I104" s="151"/>
      <c r="J104" s="151"/>
      <c r="K104" s="149"/>
      <c r="Q104" s="97"/>
    </row>
    <row r="105" spans="8:17" x14ac:dyDescent="0.15">
      <c r="H105" s="151"/>
      <c r="I105" s="151"/>
      <c r="J105" s="151"/>
      <c r="K105" s="149"/>
      <c r="Q105" s="97"/>
    </row>
    <row r="106" spans="8:17" x14ac:dyDescent="0.15">
      <c r="H106" s="151"/>
      <c r="I106" s="151"/>
      <c r="J106" s="151"/>
      <c r="K106" s="149"/>
      <c r="Q106" s="97"/>
    </row>
    <row r="107" spans="8:17" x14ac:dyDescent="0.15">
      <c r="H107" s="151"/>
      <c r="I107" s="151"/>
      <c r="J107" s="151"/>
      <c r="K107" s="149"/>
      <c r="Q107" s="97"/>
    </row>
    <row r="108" spans="8:17" x14ac:dyDescent="0.15">
      <c r="H108" s="151"/>
      <c r="I108" s="151"/>
      <c r="J108" s="151"/>
      <c r="K108" s="149"/>
      <c r="Q108" s="97"/>
    </row>
    <row r="109" spans="8:17" x14ac:dyDescent="0.15">
      <c r="H109" s="151"/>
      <c r="I109" s="151"/>
      <c r="J109" s="151"/>
      <c r="K109" s="149"/>
      <c r="Q109" s="97"/>
    </row>
    <row r="110" spans="8:17" x14ac:dyDescent="0.15">
      <c r="H110" s="151"/>
      <c r="I110" s="151"/>
      <c r="J110" s="151"/>
      <c r="K110" s="149"/>
      <c r="Q110" s="97"/>
    </row>
    <row r="111" spans="8:17" x14ac:dyDescent="0.15">
      <c r="H111" s="151"/>
      <c r="I111" s="151"/>
      <c r="J111" s="151"/>
      <c r="K111" s="149"/>
      <c r="Q111" s="97"/>
    </row>
    <row r="112" spans="8:17" x14ac:dyDescent="0.15">
      <c r="H112" s="151"/>
      <c r="I112" s="151"/>
      <c r="J112" s="151"/>
      <c r="K112" s="149"/>
      <c r="Q112" s="97"/>
    </row>
    <row r="113" spans="8:17" x14ac:dyDescent="0.15">
      <c r="H113" s="151"/>
      <c r="I113" s="151"/>
      <c r="J113" s="151"/>
      <c r="K113" s="149"/>
      <c r="Q113" s="97"/>
    </row>
    <row r="114" spans="8:17" x14ac:dyDescent="0.15">
      <c r="H114" s="151"/>
      <c r="I114" s="151"/>
      <c r="J114" s="151"/>
      <c r="K114" s="149"/>
      <c r="Q114" s="97"/>
    </row>
    <row r="115" spans="8:17" x14ac:dyDescent="0.15">
      <c r="H115" s="151"/>
      <c r="I115" s="151"/>
      <c r="J115" s="151"/>
      <c r="K115" s="149"/>
      <c r="Q115" s="97"/>
    </row>
    <row r="116" spans="8:17" x14ac:dyDescent="0.15">
      <c r="H116" s="151"/>
      <c r="I116" s="151"/>
      <c r="J116" s="151"/>
      <c r="K116" s="149"/>
      <c r="Q116" s="97"/>
    </row>
    <row r="117" spans="8:17" x14ac:dyDescent="0.15">
      <c r="H117" s="151"/>
      <c r="I117" s="151"/>
      <c r="J117" s="151"/>
      <c r="K117" s="149"/>
      <c r="Q117" s="97"/>
    </row>
    <row r="118" spans="8:17" x14ac:dyDescent="0.15">
      <c r="H118" s="151"/>
      <c r="I118" s="151"/>
      <c r="J118" s="151"/>
      <c r="K118" s="149"/>
      <c r="Q118" s="97"/>
    </row>
    <row r="119" spans="8:17" x14ac:dyDescent="0.15">
      <c r="H119" s="151"/>
      <c r="I119" s="151"/>
      <c r="J119" s="151"/>
      <c r="K119" s="149"/>
      <c r="Q119" s="97"/>
    </row>
    <row r="120" spans="8:17" x14ac:dyDescent="0.15">
      <c r="H120" s="151"/>
      <c r="I120" s="151"/>
      <c r="J120" s="151"/>
      <c r="K120" s="149"/>
      <c r="Q120" s="97"/>
    </row>
    <row r="121" spans="8:17" x14ac:dyDescent="0.15">
      <c r="H121" s="151"/>
      <c r="I121" s="151"/>
      <c r="J121" s="151"/>
      <c r="K121" s="149"/>
      <c r="Q121" s="97"/>
    </row>
    <row r="122" spans="8:17" x14ac:dyDescent="0.15">
      <c r="H122" s="151"/>
      <c r="I122" s="151"/>
      <c r="J122" s="151"/>
      <c r="K122" s="149"/>
      <c r="Q122" s="97"/>
    </row>
    <row r="123" spans="8:17" x14ac:dyDescent="0.15">
      <c r="H123" s="151"/>
      <c r="I123" s="151"/>
      <c r="J123" s="151"/>
      <c r="K123" s="149"/>
      <c r="Q123" s="97"/>
    </row>
    <row r="124" spans="8:17" x14ac:dyDescent="0.15">
      <c r="H124" s="151"/>
      <c r="I124" s="151"/>
      <c r="J124" s="151"/>
      <c r="K124" s="149"/>
      <c r="Q124" s="97"/>
    </row>
    <row r="125" spans="8:17" x14ac:dyDescent="0.15">
      <c r="H125" s="151"/>
      <c r="I125" s="151"/>
      <c r="J125" s="151"/>
      <c r="K125" s="149"/>
      <c r="Q125" s="97"/>
    </row>
    <row r="126" spans="8:17" x14ac:dyDescent="0.15">
      <c r="H126" s="151"/>
      <c r="I126" s="151"/>
      <c r="J126" s="151"/>
      <c r="K126" s="149"/>
      <c r="Q126" s="97"/>
    </row>
    <row r="127" spans="8:17" x14ac:dyDescent="0.15">
      <c r="H127" s="151"/>
      <c r="I127" s="151"/>
      <c r="J127" s="151"/>
      <c r="K127" s="149"/>
      <c r="Q127" s="97"/>
    </row>
    <row r="128" spans="8:17" x14ac:dyDescent="0.15">
      <c r="H128" s="151"/>
      <c r="I128" s="151"/>
      <c r="J128" s="151"/>
      <c r="K128" s="149"/>
      <c r="Q128" s="97"/>
    </row>
    <row r="129" spans="8:17" x14ac:dyDescent="0.15">
      <c r="H129" s="151"/>
      <c r="I129" s="151"/>
      <c r="J129" s="151"/>
      <c r="K129" s="149"/>
      <c r="Q129" s="97"/>
    </row>
    <row r="130" spans="8:17" x14ac:dyDescent="0.15">
      <c r="H130" s="151"/>
      <c r="I130" s="151"/>
      <c r="J130" s="151"/>
      <c r="K130" s="149"/>
      <c r="Q130" s="97"/>
    </row>
    <row r="131" spans="8:17" x14ac:dyDescent="0.15">
      <c r="H131" s="151"/>
      <c r="I131" s="151"/>
      <c r="J131" s="151"/>
      <c r="K131" s="149"/>
      <c r="Q131" s="97"/>
    </row>
    <row r="132" spans="8:17" x14ac:dyDescent="0.15">
      <c r="H132" s="151"/>
      <c r="I132" s="151"/>
      <c r="J132" s="151"/>
      <c r="K132" s="149"/>
      <c r="Q132" s="97"/>
    </row>
    <row r="133" spans="8:17" x14ac:dyDescent="0.15">
      <c r="H133" s="151"/>
      <c r="I133" s="151"/>
      <c r="J133" s="151"/>
      <c r="K133" s="149"/>
      <c r="Q133" s="97"/>
    </row>
    <row r="134" spans="8:17" x14ac:dyDescent="0.15">
      <c r="H134" s="151"/>
      <c r="I134" s="151"/>
      <c r="J134" s="151"/>
      <c r="K134" s="149"/>
      <c r="Q134" s="97"/>
    </row>
    <row r="135" spans="8:17" x14ac:dyDescent="0.15">
      <c r="H135" s="151"/>
      <c r="I135" s="151"/>
      <c r="J135" s="151"/>
      <c r="K135" s="149"/>
      <c r="Q135" s="97"/>
    </row>
    <row r="136" spans="8:17" x14ac:dyDescent="0.15">
      <c r="H136" s="151"/>
      <c r="I136" s="151"/>
      <c r="J136" s="151"/>
      <c r="K136" s="149"/>
      <c r="Q136" s="97"/>
    </row>
    <row r="137" spans="8:17" x14ac:dyDescent="0.15">
      <c r="H137" s="151"/>
      <c r="I137" s="151"/>
      <c r="J137" s="151"/>
      <c r="K137" s="149"/>
      <c r="Q137" s="97"/>
    </row>
    <row r="138" spans="8:17" x14ac:dyDescent="0.15">
      <c r="H138" s="151"/>
      <c r="I138" s="151"/>
      <c r="J138" s="151"/>
      <c r="K138" s="149"/>
      <c r="Q138" s="97"/>
    </row>
    <row r="139" spans="8:17" x14ac:dyDescent="0.15">
      <c r="H139" s="151"/>
      <c r="I139" s="151"/>
      <c r="J139" s="151"/>
      <c r="K139" s="149"/>
      <c r="Q139" s="97"/>
    </row>
    <row r="140" spans="8:17" x14ac:dyDescent="0.15">
      <c r="H140" s="151"/>
      <c r="I140" s="151"/>
      <c r="J140" s="151"/>
      <c r="K140" s="149"/>
      <c r="Q140" s="97"/>
    </row>
    <row r="141" spans="8:17" x14ac:dyDescent="0.15">
      <c r="H141" s="151"/>
      <c r="I141" s="151"/>
      <c r="J141" s="151"/>
      <c r="K141" s="149"/>
      <c r="Q141" s="97"/>
    </row>
    <row r="142" spans="8:17" x14ac:dyDescent="0.15">
      <c r="K142" s="149"/>
      <c r="Q142" s="97"/>
    </row>
    <row r="143" spans="8:17" x14ac:dyDescent="0.15">
      <c r="K143" s="149"/>
      <c r="Q143" s="97"/>
    </row>
    <row r="144" spans="8:17" x14ac:dyDescent="0.15">
      <c r="K144" s="149"/>
      <c r="Q144" s="97"/>
    </row>
    <row r="145" spans="11:17" x14ac:dyDescent="0.15">
      <c r="K145" s="149"/>
      <c r="Q145" s="97"/>
    </row>
    <row r="146" spans="11:17" x14ac:dyDescent="0.15">
      <c r="K146" s="149"/>
      <c r="Q146" s="97"/>
    </row>
    <row r="147" spans="11:17" x14ac:dyDescent="0.15">
      <c r="K147" s="149"/>
      <c r="Q147" s="97"/>
    </row>
    <row r="148" spans="11:17" x14ac:dyDescent="0.15">
      <c r="K148" s="149"/>
      <c r="Q148" s="97"/>
    </row>
    <row r="149" spans="11:17" x14ac:dyDescent="0.15">
      <c r="K149" s="149"/>
      <c r="Q149" s="97"/>
    </row>
    <row r="150" spans="11:17" x14ac:dyDescent="0.15">
      <c r="K150" s="149"/>
      <c r="Q150" s="97"/>
    </row>
    <row r="151" spans="11:17" x14ac:dyDescent="0.15">
      <c r="K151" s="149"/>
      <c r="Q151" s="97"/>
    </row>
    <row r="152" spans="11:17" x14ac:dyDescent="0.15">
      <c r="K152" s="149"/>
      <c r="Q152" s="97"/>
    </row>
    <row r="153" spans="11:17" x14ac:dyDescent="0.15">
      <c r="K153" s="149"/>
      <c r="Q153" s="97"/>
    </row>
    <row r="154" spans="11:17" x14ac:dyDescent="0.15">
      <c r="K154" s="149"/>
      <c r="Q154" s="97"/>
    </row>
    <row r="155" spans="11:17" x14ac:dyDescent="0.15">
      <c r="K155" s="149"/>
      <c r="Q155" s="97"/>
    </row>
    <row r="156" spans="11:17" x14ac:dyDescent="0.15">
      <c r="K156" s="149"/>
      <c r="Q156" s="97"/>
    </row>
    <row r="157" spans="11:17" x14ac:dyDescent="0.15">
      <c r="K157" s="149"/>
      <c r="Q157" s="97"/>
    </row>
    <row r="158" spans="11:17" x14ac:dyDescent="0.15">
      <c r="K158" s="149"/>
      <c r="Q158" s="97"/>
    </row>
    <row r="159" spans="11:17" x14ac:dyDescent="0.15">
      <c r="K159" s="149"/>
      <c r="Q159" s="97"/>
    </row>
    <row r="160" spans="11:17" x14ac:dyDescent="0.15">
      <c r="K160" s="149"/>
      <c r="Q160" s="97"/>
    </row>
    <row r="161" spans="11:17" x14ac:dyDescent="0.15">
      <c r="K161" s="149"/>
      <c r="Q161" s="97"/>
    </row>
    <row r="162" spans="11:17" x14ac:dyDescent="0.15">
      <c r="K162" s="149"/>
      <c r="Q162" s="97"/>
    </row>
    <row r="163" spans="11:17" x14ac:dyDescent="0.15">
      <c r="K163" s="149"/>
      <c r="Q163" s="97"/>
    </row>
    <row r="164" spans="11:17" x14ac:dyDescent="0.15">
      <c r="K164" s="149"/>
      <c r="Q164" s="97"/>
    </row>
    <row r="165" spans="11:17" x14ac:dyDescent="0.15">
      <c r="K165" s="149"/>
      <c r="Q165" s="97"/>
    </row>
    <row r="166" spans="11:17" x14ac:dyDescent="0.15">
      <c r="K166" s="149"/>
      <c r="Q166" s="97"/>
    </row>
    <row r="167" spans="11:17" x14ac:dyDescent="0.15">
      <c r="K167" s="149"/>
      <c r="Q167" s="97"/>
    </row>
    <row r="168" spans="11:17" x14ac:dyDescent="0.15">
      <c r="K168" s="149"/>
      <c r="Q168" s="97"/>
    </row>
    <row r="169" spans="11:17" x14ac:dyDescent="0.15">
      <c r="K169" s="149"/>
      <c r="Q169" s="97"/>
    </row>
    <row r="170" spans="11:17" x14ac:dyDescent="0.15">
      <c r="K170" s="149"/>
      <c r="Q170" s="97"/>
    </row>
    <row r="171" spans="11:17" x14ac:dyDescent="0.15">
      <c r="K171" s="149"/>
      <c r="Q171" s="97"/>
    </row>
    <row r="172" spans="11:17" x14ac:dyDescent="0.15">
      <c r="K172" s="149"/>
      <c r="Q172" s="97"/>
    </row>
    <row r="173" spans="11:17" x14ac:dyDescent="0.15">
      <c r="K173" s="149"/>
      <c r="Q173" s="97"/>
    </row>
    <row r="174" spans="11:17" x14ac:dyDescent="0.15">
      <c r="K174" s="149"/>
      <c r="Q174" s="97"/>
    </row>
    <row r="175" spans="11:17" x14ac:dyDescent="0.15">
      <c r="K175" s="149"/>
      <c r="Q175" s="97"/>
    </row>
    <row r="176" spans="11:17" x14ac:dyDescent="0.15">
      <c r="K176" s="149"/>
      <c r="Q176" s="97"/>
    </row>
    <row r="177" spans="11:17" x14ac:dyDescent="0.15">
      <c r="K177" s="149"/>
      <c r="Q177" s="97"/>
    </row>
    <row r="178" spans="11:17" x14ac:dyDescent="0.15">
      <c r="K178" s="149"/>
      <c r="Q178" s="97"/>
    </row>
    <row r="179" spans="11:17" x14ac:dyDescent="0.15">
      <c r="K179" s="149"/>
      <c r="Q179" s="97"/>
    </row>
    <row r="180" spans="11:17" x14ac:dyDescent="0.15">
      <c r="K180" s="149"/>
      <c r="Q180" s="97"/>
    </row>
    <row r="181" spans="11:17" x14ac:dyDescent="0.15">
      <c r="K181" s="149"/>
      <c r="Q181" s="97"/>
    </row>
    <row r="182" spans="11:17" x14ac:dyDescent="0.15">
      <c r="K182" s="149"/>
      <c r="Q182" s="97"/>
    </row>
    <row r="183" spans="11:17" x14ac:dyDescent="0.15">
      <c r="K183" s="149"/>
      <c r="Q183" s="97"/>
    </row>
    <row r="184" spans="11:17" x14ac:dyDescent="0.15">
      <c r="K184" s="149"/>
      <c r="Q184" s="97"/>
    </row>
    <row r="185" spans="11:17" x14ac:dyDescent="0.15">
      <c r="K185" s="149"/>
      <c r="Q185" s="97"/>
    </row>
    <row r="186" spans="11:17" x14ac:dyDescent="0.15">
      <c r="K186" s="149"/>
      <c r="Q186" s="97"/>
    </row>
    <row r="187" spans="11:17" x14ac:dyDescent="0.15">
      <c r="K187" s="149"/>
      <c r="Q187" s="97"/>
    </row>
    <row r="188" spans="11:17" x14ac:dyDescent="0.15">
      <c r="K188" s="149"/>
      <c r="Q188" s="97"/>
    </row>
    <row r="189" spans="11:17" x14ac:dyDescent="0.15">
      <c r="K189" s="149"/>
      <c r="Q189" s="97"/>
    </row>
    <row r="190" spans="11:17" x14ac:dyDescent="0.15">
      <c r="K190" s="149"/>
      <c r="Q190" s="97"/>
    </row>
    <row r="191" spans="11:17" x14ac:dyDescent="0.15">
      <c r="K191" s="149"/>
      <c r="Q191" s="97"/>
    </row>
    <row r="192" spans="11:17" x14ac:dyDescent="0.15">
      <c r="K192" s="149"/>
      <c r="Q192" s="97"/>
    </row>
    <row r="193" spans="11:17" x14ac:dyDescent="0.15">
      <c r="K193" s="149"/>
      <c r="Q193" s="97"/>
    </row>
    <row r="194" spans="11:17" x14ac:dyDescent="0.15">
      <c r="K194" s="149"/>
      <c r="Q194" s="97"/>
    </row>
    <row r="195" spans="11:17" x14ac:dyDescent="0.15">
      <c r="K195" s="149"/>
      <c r="Q195" s="97"/>
    </row>
    <row r="196" spans="11:17" x14ac:dyDescent="0.15">
      <c r="K196" s="149"/>
      <c r="Q196" s="97"/>
    </row>
    <row r="197" spans="11:17" x14ac:dyDescent="0.15">
      <c r="K197" s="149"/>
      <c r="Q197" s="97"/>
    </row>
    <row r="198" spans="11:17" x14ac:dyDescent="0.15">
      <c r="K198" s="149"/>
      <c r="Q198" s="97"/>
    </row>
    <row r="199" spans="11:17" x14ac:dyDescent="0.15">
      <c r="K199" s="149"/>
      <c r="Q199" s="97"/>
    </row>
    <row r="200" spans="11:17" x14ac:dyDescent="0.15">
      <c r="K200" s="149"/>
      <c r="Q200" s="97"/>
    </row>
    <row r="201" spans="11:17" x14ac:dyDescent="0.15">
      <c r="K201" s="149"/>
      <c r="Q201" s="97"/>
    </row>
    <row r="202" spans="11:17" x14ac:dyDescent="0.15">
      <c r="K202" s="149"/>
      <c r="Q202" s="97"/>
    </row>
    <row r="203" spans="11:17" x14ac:dyDescent="0.15">
      <c r="K203" s="149"/>
      <c r="Q203" s="97"/>
    </row>
    <row r="204" spans="11:17" x14ac:dyDescent="0.15">
      <c r="K204" s="149"/>
      <c r="Q204" s="97"/>
    </row>
    <row r="205" spans="11:17" x14ac:dyDescent="0.15">
      <c r="K205" s="149"/>
      <c r="Q205" s="97"/>
    </row>
    <row r="206" spans="11:17" x14ac:dyDescent="0.15">
      <c r="K206" s="149"/>
      <c r="Q206" s="97"/>
    </row>
    <row r="207" spans="11:17" x14ac:dyDescent="0.15">
      <c r="K207" s="149"/>
      <c r="Q207" s="97"/>
    </row>
    <row r="208" spans="11:17" x14ac:dyDescent="0.15">
      <c r="K208" s="149"/>
      <c r="Q208" s="97"/>
    </row>
    <row r="209" spans="11:17" x14ac:dyDescent="0.15">
      <c r="K209" s="149"/>
      <c r="Q209" s="97"/>
    </row>
    <row r="210" spans="11:17" x14ac:dyDescent="0.15">
      <c r="K210" s="149"/>
      <c r="Q210" s="97"/>
    </row>
    <row r="211" spans="11:17" x14ac:dyDescent="0.15">
      <c r="K211" s="149"/>
      <c r="Q211" s="97"/>
    </row>
    <row r="212" spans="11:17" x14ac:dyDescent="0.15">
      <c r="K212" s="149"/>
      <c r="Q212" s="97"/>
    </row>
    <row r="213" spans="11:17" x14ac:dyDescent="0.15">
      <c r="K213" s="149"/>
      <c r="Q213" s="97"/>
    </row>
    <row r="214" spans="11:17" x14ac:dyDescent="0.15">
      <c r="K214" s="149"/>
      <c r="Q214" s="97"/>
    </row>
    <row r="215" spans="11:17" x14ac:dyDescent="0.15">
      <c r="K215" s="149"/>
      <c r="Q215" s="97"/>
    </row>
    <row r="216" spans="11:17" x14ac:dyDescent="0.15">
      <c r="K216" s="149"/>
      <c r="Q216" s="97"/>
    </row>
    <row r="217" spans="11:17" x14ac:dyDescent="0.15">
      <c r="K217" s="149"/>
      <c r="Q217" s="97"/>
    </row>
    <row r="218" spans="11:17" x14ac:dyDescent="0.15">
      <c r="K218" s="149"/>
      <c r="Q218" s="97"/>
    </row>
    <row r="219" spans="11:17" x14ac:dyDescent="0.15">
      <c r="K219" s="149"/>
      <c r="Q219" s="97"/>
    </row>
    <row r="220" spans="11:17" x14ac:dyDescent="0.15">
      <c r="K220" s="149"/>
      <c r="Q220" s="97"/>
    </row>
    <row r="221" spans="11:17" x14ac:dyDescent="0.15">
      <c r="K221" s="149"/>
      <c r="Q221" s="97"/>
    </row>
    <row r="222" spans="11:17" x14ac:dyDescent="0.15">
      <c r="K222" s="149"/>
      <c r="Q222" s="97"/>
    </row>
    <row r="223" spans="11:17" x14ac:dyDescent="0.15">
      <c r="K223" s="149"/>
      <c r="Q223" s="97"/>
    </row>
    <row r="224" spans="11:17" x14ac:dyDescent="0.15">
      <c r="K224" s="149"/>
      <c r="Q224" s="97"/>
    </row>
    <row r="225" spans="11:17" x14ac:dyDescent="0.15">
      <c r="K225" s="149"/>
      <c r="Q225" s="97"/>
    </row>
    <row r="226" spans="11:17" x14ac:dyDescent="0.15">
      <c r="K226" s="149"/>
      <c r="Q226" s="97"/>
    </row>
    <row r="227" spans="11:17" x14ac:dyDescent="0.15">
      <c r="K227" s="149"/>
      <c r="Q227" s="97"/>
    </row>
    <row r="228" spans="11:17" x14ac:dyDescent="0.15">
      <c r="K228" s="149"/>
      <c r="Q228" s="97"/>
    </row>
    <row r="229" spans="11:17" x14ac:dyDescent="0.15">
      <c r="K229" s="149"/>
      <c r="Q229" s="97"/>
    </row>
    <row r="230" spans="11:17" x14ac:dyDescent="0.15">
      <c r="K230" s="149"/>
      <c r="Q230" s="97"/>
    </row>
    <row r="231" spans="11:17" x14ac:dyDescent="0.15">
      <c r="K231" s="149"/>
      <c r="Q231" s="97"/>
    </row>
    <row r="232" spans="11:17" x14ac:dyDescent="0.15">
      <c r="K232" s="149"/>
      <c r="Q232" s="97"/>
    </row>
    <row r="233" spans="11:17" x14ac:dyDescent="0.15">
      <c r="K233" s="149"/>
      <c r="Q233" s="97"/>
    </row>
    <row r="234" spans="11:17" x14ac:dyDescent="0.15">
      <c r="K234" s="149"/>
      <c r="Q234" s="97"/>
    </row>
    <row r="235" spans="11:17" x14ac:dyDescent="0.15">
      <c r="K235" s="149"/>
      <c r="Q235" s="97"/>
    </row>
    <row r="236" spans="11:17" x14ac:dyDescent="0.15">
      <c r="K236" s="149"/>
      <c r="Q236" s="97"/>
    </row>
    <row r="237" spans="11:17" x14ac:dyDescent="0.15">
      <c r="K237" s="149"/>
      <c r="Q237" s="97"/>
    </row>
    <row r="238" spans="11:17" x14ac:dyDescent="0.15">
      <c r="K238" s="149"/>
      <c r="Q238" s="97"/>
    </row>
    <row r="239" spans="11:17" x14ac:dyDescent="0.15">
      <c r="K239" s="149"/>
      <c r="Q239" s="97"/>
    </row>
    <row r="240" spans="11:17" x14ac:dyDescent="0.15">
      <c r="K240" s="149"/>
      <c r="Q240" s="97"/>
    </row>
    <row r="241" spans="11:17" x14ac:dyDescent="0.15">
      <c r="K241" s="149"/>
      <c r="Q241" s="97"/>
    </row>
    <row r="242" spans="11:17" x14ac:dyDescent="0.15">
      <c r="K242" s="149"/>
      <c r="Q242" s="97"/>
    </row>
    <row r="243" spans="11:17" x14ac:dyDescent="0.15">
      <c r="K243" s="149"/>
      <c r="Q243" s="97"/>
    </row>
    <row r="244" spans="11:17" x14ac:dyDescent="0.15">
      <c r="K244" s="149"/>
      <c r="Q244" s="97"/>
    </row>
    <row r="245" spans="11:17" x14ac:dyDescent="0.15">
      <c r="K245" s="149"/>
      <c r="Q245" s="97"/>
    </row>
    <row r="246" spans="11:17" x14ac:dyDescent="0.15">
      <c r="K246" s="149"/>
      <c r="Q246" s="97"/>
    </row>
    <row r="247" spans="11:17" x14ac:dyDescent="0.15">
      <c r="K247" s="149"/>
      <c r="Q247" s="97"/>
    </row>
    <row r="248" spans="11:17" x14ac:dyDescent="0.15">
      <c r="K248" s="149"/>
      <c r="Q248" s="97"/>
    </row>
    <row r="249" spans="11:17" x14ac:dyDescent="0.15">
      <c r="K249" s="149"/>
      <c r="Q249" s="97"/>
    </row>
    <row r="250" spans="11:17" x14ac:dyDescent="0.15">
      <c r="K250" s="149"/>
      <c r="Q250" s="97"/>
    </row>
    <row r="251" spans="11:17" x14ac:dyDescent="0.15">
      <c r="K251" s="149"/>
      <c r="Q251" s="97"/>
    </row>
    <row r="252" spans="11:17" x14ac:dyDescent="0.15">
      <c r="K252" s="149"/>
      <c r="Q252" s="97"/>
    </row>
    <row r="253" spans="11:17" x14ac:dyDescent="0.15">
      <c r="K253" s="149"/>
      <c r="Q253" s="97"/>
    </row>
    <row r="254" spans="11:17" x14ac:dyDescent="0.15">
      <c r="K254" s="149"/>
      <c r="Q254" s="97"/>
    </row>
    <row r="255" spans="11:17" x14ac:dyDescent="0.15">
      <c r="K255" s="149"/>
      <c r="Q255" s="97"/>
    </row>
    <row r="256" spans="11:17" x14ac:dyDescent="0.15">
      <c r="K256" s="149"/>
      <c r="Q256" s="97"/>
    </row>
    <row r="257" spans="11:17" x14ac:dyDescent="0.15">
      <c r="K257" s="149"/>
      <c r="Q257" s="97"/>
    </row>
    <row r="258" spans="11:17" x14ac:dyDescent="0.15">
      <c r="K258" s="149"/>
      <c r="Q258" s="97"/>
    </row>
    <row r="259" spans="11:17" x14ac:dyDescent="0.15">
      <c r="K259" s="149"/>
      <c r="Q259" s="97"/>
    </row>
    <row r="260" spans="11:17" x14ac:dyDescent="0.15">
      <c r="K260" s="149"/>
      <c r="Q260" s="97"/>
    </row>
    <row r="261" spans="11:17" x14ac:dyDescent="0.15">
      <c r="K261" s="149"/>
      <c r="Q261" s="97"/>
    </row>
    <row r="262" spans="11:17" x14ac:dyDescent="0.15">
      <c r="K262" s="149"/>
      <c r="Q262" s="97"/>
    </row>
    <row r="263" spans="11:17" x14ac:dyDescent="0.15">
      <c r="K263" s="149"/>
      <c r="Q263" s="97"/>
    </row>
    <row r="264" spans="11:17" x14ac:dyDescent="0.15">
      <c r="K264" s="149"/>
      <c r="Q264" s="97"/>
    </row>
    <row r="265" spans="11:17" x14ac:dyDescent="0.15">
      <c r="K265" s="149"/>
      <c r="Q265" s="97"/>
    </row>
    <row r="266" spans="11:17" x14ac:dyDescent="0.15">
      <c r="K266" s="149"/>
      <c r="Q266" s="97"/>
    </row>
    <row r="267" spans="11:17" x14ac:dyDescent="0.15">
      <c r="K267" s="149"/>
      <c r="Q267" s="97"/>
    </row>
    <row r="268" spans="11:17" x14ac:dyDescent="0.15">
      <c r="K268" s="149"/>
      <c r="Q268" s="97"/>
    </row>
    <row r="269" spans="11:17" x14ac:dyDescent="0.15">
      <c r="K269" s="149"/>
      <c r="Q269" s="97"/>
    </row>
    <row r="270" spans="11:17" x14ac:dyDescent="0.15">
      <c r="K270" s="149"/>
      <c r="Q270" s="97"/>
    </row>
    <row r="271" spans="11:17" x14ac:dyDescent="0.15">
      <c r="K271" s="149"/>
      <c r="Q271" s="97"/>
    </row>
    <row r="272" spans="11:17" x14ac:dyDescent="0.15">
      <c r="K272" s="149"/>
      <c r="Q272" s="97"/>
    </row>
    <row r="273" spans="11:17" x14ac:dyDescent="0.15">
      <c r="K273" s="149"/>
      <c r="Q273" s="97"/>
    </row>
    <row r="274" spans="11:17" x14ac:dyDescent="0.15">
      <c r="K274" s="149"/>
      <c r="Q274" s="97"/>
    </row>
    <row r="275" spans="11:17" x14ac:dyDescent="0.15">
      <c r="K275" s="149"/>
      <c r="Q275" s="97"/>
    </row>
    <row r="276" spans="11:17" x14ac:dyDescent="0.15">
      <c r="K276" s="149"/>
      <c r="Q276" s="97"/>
    </row>
    <row r="277" spans="11:17" x14ac:dyDescent="0.15">
      <c r="K277" s="149"/>
      <c r="Q277" s="97"/>
    </row>
    <row r="278" spans="11:17" x14ac:dyDescent="0.15">
      <c r="K278" s="149"/>
      <c r="Q278" s="97"/>
    </row>
    <row r="279" spans="11:17" x14ac:dyDescent="0.15">
      <c r="K279" s="149"/>
      <c r="Q279" s="97"/>
    </row>
    <row r="280" spans="11:17" x14ac:dyDescent="0.15">
      <c r="K280" s="149"/>
      <c r="Q280" s="97"/>
    </row>
    <row r="281" spans="11:17" x14ac:dyDescent="0.15">
      <c r="K281" s="149"/>
      <c r="Q281" s="97"/>
    </row>
    <row r="282" spans="11:17" x14ac:dyDescent="0.15">
      <c r="K282" s="149"/>
      <c r="Q282" s="97"/>
    </row>
    <row r="283" spans="11:17" x14ac:dyDescent="0.15">
      <c r="K283" s="149"/>
      <c r="Q283" s="97"/>
    </row>
    <row r="284" spans="11:17" x14ac:dyDescent="0.15">
      <c r="K284" s="149"/>
      <c r="Q284" s="97"/>
    </row>
    <row r="285" spans="11:17" x14ac:dyDescent="0.15">
      <c r="K285" s="149"/>
      <c r="Q285" s="97"/>
    </row>
    <row r="286" spans="11:17" x14ac:dyDescent="0.15">
      <c r="K286" s="149"/>
      <c r="Q286" s="97"/>
    </row>
    <row r="287" spans="11:17" x14ac:dyDescent="0.15">
      <c r="K287" s="149"/>
      <c r="Q287" s="97"/>
    </row>
    <row r="288" spans="11:17" x14ac:dyDescent="0.15">
      <c r="K288" s="149"/>
      <c r="Q288" s="97"/>
    </row>
    <row r="289" spans="11:17" x14ac:dyDescent="0.15">
      <c r="K289" s="149"/>
      <c r="Q289" s="97"/>
    </row>
    <row r="290" spans="11:17" x14ac:dyDescent="0.15">
      <c r="K290" s="149"/>
      <c r="Q290" s="97"/>
    </row>
    <row r="291" spans="11:17" x14ac:dyDescent="0.15">
      <c r="K291" s="149"/>
      <c r="Q291" s="97"/>
    </row>
    <row r="292" spans="11:17" x14ac:dyDescent="0.15">
      <c r="K292" s="149"/>
    </row>
    <row r="293" spans="11:17" x14ac:dyDescent="0.15">
      <c r="K293" s="149"/>
    </row>
    <row r="294" spans="11:17" x14ac:dyDescent="0.15">
      <c r="K294" s="149"/>
    </row>
    <row r="295" spans="11:17" x14ac:dyDescent="0.15">
      <c r="K295" s="149"/>
    </row>
    <row r="296" spans="11:17" x14ac:dyDescent="0.15">
      <c r="K296" s="149"/>
    </row>
    <row r="297" spans="11:17" x14ac:dyDescent="0.15">
      <c r="K297" s="149"/>
    </row>
    <row r="298" spans="11:17" x14ac:dyDescent="0.15">
      <c r="K298" s="149"/>
    </row>
    <row r="299" spans="11:17" x14ac:dyDescent="0.15">
      <c r="K299" s="149"/>
    </row>
    <row r="300" spans="11:17" x14ac:dyDescent="0.15">
      <c r="K300" s="149"/>
    </row>
    <row r="301" spans="11:17" x14ac:dyDescent="0.15">
      <c r="K301" s="149"/>
    </row>
    <row r="302" spans="11:17" x14ac:dyDescent="0.15">
      <c r="K302" s="149"/>
    </row>
    <row r="303" spans="11:17" x14ac:dyDescent="0.15">
      <c r="K303" s="149"/>
    </row>
    <row r="304" spans="11:17" x14ac:dyDescent="0.15">
      <c r="K304" s="149"/>
    </row>
    <row r="305" spans="11:11" x14ac:dyDescent="0.15">
      <c r="K305" s="149"/>
    </row>
    <row r="306" spans="11:11" x14ac:dyDescent="0.15">
      <c r="K306" s="149"/>
    </row>
    <row r="307" spans="11:11" x14ac:dyDescent="0.15">
      <c r="K307" s="149"/>
    </row>
    <row r="308" spans="11:11" x14ac:dyDescent="0.15">
      <c r="K308" s="149"/>
    </row>
    <row r="309" spans="11:11" x14ac:dyDescent="0.15">
      <c r="K309" s="149"/>
    </row>
    <row r="310" spans="11:11" x14ac:dyDescent="0.15">
      <c r="K310" s="149"/>
    </row>
    <row r="311" spans="11:11" x14ac:dyDescent="0.15">
      <c r="K311" s="149"/>
    </row>
    <row r="312" spans="11:11" x14ac:dyDescent="0.15">
      <c r="K312" s="149"/>
    </row>
    <row r="313" spans="11:11" x14ac:dyDescent="0.15">
      <c r="K313" s="149"/>
    </row>
    <row r="314" spans="11:11" x14ac:dyDescent="0.15">
      <c r="K314" s="149"/>
    </row>
    <row r="315" spans="11:11" x14ac:dyDescent="0.15">
      <c r="K315" s="149"/>
    </row>
    <row r="316" spans="11:11" x14ac:dyDescent="0.15">
      <c r="K316" s="149"/>
    </row>
    <row r="317" spans="11:11" x14ac:dyDescent="0.15">
      <c r="K317" s="149"/>
    </row>
    <row r="318" spans="11:11" x14ac:dyDescent="0.15">
      <c r="K318" s="149"/>
    </row>
    <row r="319" spans="11:11" x14ac:dyDescent="0.15">
      <c r="K319" s="149"/>
    </row>
    <row r="320" spans="11:11" x14ac:dyDescent="0.15">
      <c r="K320" s="149"/>
    </row>
    <row r="321" spans="11:11" x14ac:dyDescent="0.15">
      <c r="K321" s="149"/>
    </row>
    <row r="322" spans="11:11" x14ac:dyDescent="0.15">
      <c r="K322" s="149"/>
    </row>
    <row r="323" spans="11:11" x14ac:dyDescent="0.15">
      <c r="K323" s="149"/>
    </row>
    <row r="324" spans="11:11" x14ac:dyDescent="0.15">
      <c r="K324" s="149"/>
    </row>
    <row r="325" spans="11:11" x14ac:dyDescent="0.15">
      <c r="K325" s="149"/>
    </row>
    <row r="326" spans="11:11" x14ac:dyDescent="0.15">
      <c r="K326" s="149"/>
    </row>
    <row r="327" spans="11:11" x14ac:dyDescent="0.15">
      <c r="K327" s="149"/>
    </row>
    <row r="328" spans="11:11" x14ac:dyDescent="0.15">
      <c r="K328" s="149"/>
    </row>
    <row r="329" spans="11:11" x14ac:dyDescent="0.15">
      <c r="K329" s="149"/>
    </row>
    <row r="330" spans="11:11" x14ac:dyDescent="0.15">
      <c r="K330" s="149"/>
    </row>
    <row r="331" spans="11:11" x14ac:dyDescent="0.15">
      <c r="K331" s="149"/>
    </row>
    <row r="332" spans="11:11" x14ac:dyDescent="0.15">
      <c r="K332" s="149"/>
    </row>
    <row r="333" spans="11:11" x14ac:dyDescent="0.15">
      <c r="K333" s="149"/>
    </row>
    <row r="334" spans="11:11" x14ac:dyDescent="0.15">
      <c r="K334" s="149"/>
    </row>
    <row r="335" spans="11:11" x14ac:dyDescent="0.15">
      <c r="K335" s="149"/>
    </row>
    <row r="336" spans="11:11" x14ac:dyDescent="0.15">
      <c r="K336" s="149"/>
    </row>
    <row r="337" spans="11:11" x14ac:dyDescent="0.15">
      <c r="K337" s="149"/>
    </row>
    <row r="338" spans="11:11" x14ac:dyDescent="0.15">
      <c r="K338" s="149"/>
    </row>
    <row r="339" spans="11:11" x14ac:dyDescent="0.15">
      <c r="K339" s="149"/>
    </row>
    <row r="340" spans="11:11" x14ac:dyDescent="0.15">
      <c r="K340" s="149"/>
    </row>
    <row r="341" spans="11:11" x14ac:dyDescent="0.15">
      <c r="K341" s="149"/>
    </row>
    <row r="342" spans="11:11" x14ac:dyDescent="0.15">
      <c r="K342" s="149"/>
    </row>
    <row r="343" spans="11:11" x14ac:dyDescent="0.15">
      <c r="K343" s="149"/>
    </row>
    <row r="344" spans="11:11" x14ac:dyDescent="0.15">
      <c r="K344" s="149"/>
    </row>
    <row r="345" spans="11:11" x14ac:dyDescent="0.15">
      <c r="K345" s="149"/>
    </row>
    <row r="346" spans="11:11" x14ac:dyDescent="0.15">
      <c r="K346" s="149"/>
    </row>
    <row r="347" spans="11:11" x14ac:dyDescent="0.15">
      <c r="K347" s="149"/>
    </row>
    <row r="348" spans="11:11" x14ac:dyDescent="0.15">
      <c r="K348" s="149"/>
    </row>
    <row r="349" spans="11:11" x14ac:dyDescent="0.15">
      <c r="K349" s="149"/>
    </row>
    <row r="350" spans="11:11" x14ac:dyDescent="0.15">
      <c r="K350" s="149"/>
    </row>
    <row r="351" spans="11:11" x14ac:dyDescent="0.15">
      <c r="K351" s="149"/>
    </row>
    <row r="352" spans="11:11" x14ac:dyDescent="0.15">
      <c r="K352" s="149"/>
    </row>
    <row r="353" spans="11:11" x14ac:dyDescent="0.15">
      <c r="K353" s="149"/>
    </row>
    <row r="354" spans="11:11" x14ac:dyDescent="0.15">
      <c r="K354" s="149"/>
    </row>
    <row r="355" spans="11:11" x14ac:dyDescent="0.15">
      <c r="K355" s="149"/>
    </row>
    <row r="356" spans="11:11" x14ac:dyDescent="0.15">
      <c r="K356" s="149"/>
    </row>
    <row r="357" spans="11:11" x14ac:dyDescent="0.15">
      <c r="K357" s="149"/>
    </row>
    <row r="358" spans="11:11" x14ac:dyDescent="0.15">
      <c r="K358" s="149"/>
    </row>
    <row r="359" spans="11:11" x14ac:dyDescent="0.15">
      <c r="K359" s="149"/>
    </row>
    <row r="360" spans="11:11" x14ac:dyDescent="0.15">
      <c r="K360" s="149"/>
    </row>
    <row r="361" spans="11:11" x14ac:dyDescent="0.15">
      <c r="K361" s="149"/>
    </row>
    <row r="362" spans="11:11" x14ac:dyDescent="0.15">
      <c r="K362" s="149"/>
    </row>
    <row r="363" spans="11:11" x14ac:dyDescent="0.15">
      <c r="K363" s="149"/>
    </row>
    <row r="364" spans="11:11" x14ac:dyDescent="0.15">
      <c r="K364" s="149"/>
    </row>
    <row r="365" spans="11:11" x14ac:dyDescent="0.15">
      <c r="K365" s="149"/>
    </row>
    <row r="366" spans="11:11" x14ac:dyDescent="0.15">
      <c r="K366" s="149"/>
    </row>
    <row r="367" spans="11:11" x14ac:dyDescent="0.15">
      <c r="K367" s="149"/>
    </row>
    <row r="368" spans="11:11" x14ac:dyDescent="0.15">
      <c r="K368" s="149"/>
    </row>
    <row r="369" spans="11:11" x14ac:dyDescent="0.15">
      <c r="K369" s="149"/>
    </row>
    <row r="370" spans="11:11" x14ac:dyDescent="0.15">
      <c r="K370" s="149"/>
    </row>
    <row r="371" spans="11:11" x14ac:dyDescent="0.15">
      <c r="K371" s="149"/>
    </row>
    <row r="372" spans="11:11" x14ac:dyDescent="0.15">
      <c r="K372" s="149"/>
    </row>
    <row r="373" spans="11:11" x14ac:dyDescent="0.15">
      <c r="K373" s="149"/>
    </row>
    <row r="374" spans="11:11" x14ac:dyDescent="0.15">
      <c r="K374" s="149"/>
    </row>
    <row r="375" spans="11:11" x14ac:dyDescent="0.15">
      <c r="K375" s="149"/>
    </row>
    <row r="376" spans="11:11" x14ac:dyDescent="0.15">
      <c r="K376" s="149"/>
    </row>
    <row r="377" spans="11:11" x14ac:dyDescent="0.15">
      <c r="K377" s="149"/>
    </row>
    <row r="378" spans="11:11" x14ac:dyDescent="0.15">
      <c r="K378" s="149"/>
    </row>
    <row r="379" spans="11:11" x14ac:dyDescent="0.15">
      <c r="K379" s="149"/>
    </row>
    <row r="380" spans="11:11" x14ac:dyDescent="0.15">
      <c r="K380" s="149"/>
    </row>
    <row r="381" spans="11:11" x14ac:dyDescent="0.15">
      <c r="K381" s="149"/>
    </row>
    <row r="382" spans="11:11" x14ac:dyDescent="0.15">
      <c r="K382" s="149"/>
    </row>
    <row r="383" spans="11:11" x14ac:dyDescent="0.15">
      <c r="K383" s="149"/>
    </row>
    <row r="384" spans="11:11" x14ac:dyDescent="0.15">
      <c r="K384" s="149"/>
    </row>
    <row r="385" spans="11:11" x14ac:dyDescent="0.15">
      <c r="K385" s="149"/>
    </row>
    <row r="386" spans="11:11" x14ac:dyDescent="0.15">
      <c r="K386" s="149"/>
    </row>
    <row r="387" spans="11:11" x14ac:dyDescent="0.15">
      <c r="K387" s="149"/>
    </row>
    <row r="388" spans="11:11" x14ac:dyDescent="0.15">
      <c r="K388" s="149"/>
    </row>
    <row r="389" spans="11:11" x14ac:dyDescent="0.15">
      <c r="K389" s="149"/>
    </row>
    <row r="390" spans="11:11" x14ac:dyDescent="0.15">
      <c r="K390" s="149"/>
    </row>
    <row r="391" spans="11:11" x14ac:dyDescent="0.15">
      <c r="K391" s="149"/>
    </row>
    <row r="392" spans="11:11" x14ac:dyDescent="0.15">
      <c r="K392" s="149"/>
    </row>
    <row r="393" spans="11:11" x14ac:dyDescent="0.15">
      <c r="K393" s="149"/>
    </row>
    <row r="394" spans="11:11" x14ac:dyDescent="0.15">
      <c r="K394" s="149"/>
    </row>
    <row r="395" spans="11:11" x14ac:dyDescent="0.15">
      <c r="K395" s="149"/>
    </row>
    <row r="396" spans="11:11" x14ac:dyDescent="0.15">
      <c r="K396" s="149"/>
    </row>
    <row r="397" spans="11:11" x14ac:dyDescent="0.15">
      <c r="K397" s="149"/>
    </row>
    <row r="398" spans="11:11" x14ac:dyDescent="0.15">
      <c r="K398" s="149"/>
    </row>
    <row r="399" spans="11:11" x14ac:dyDescent="0.15">
      <c r="K399" s="149"/>
    </row>
    <row r="400" spans="11:11" x14ac:dyDescent="0.15">
      <c r="K400" s="149"/>
    </row>
    <row r="401" spans="11:11" x14ac:dyDescent="0.15">
      <c r="K401" s="149"/>
    </row>
    <row r="402" spans="11:11" x14ac:dyDescent="0.15">
      <c r="K402" s="149"/>
    </row>
    <row r="403" spans="11:11" x14ac:dyDescent="0.15">
      <c r="K403" s="149"/>
    </row>
    <row r="404" spans="11:11" x14ac:dyDescent="0.15">
      <c r="K404" s="149"/>
    </row>
    <row r="405" spans="11:11" x14ac:dyDescent="0.15">
      <c r="K405" s="149"/>
    </row>
    <row r="406" spans="11:11" x14ac:dyDescent="0.15">
      <c r="K406" s="149"/>
    </row>
    <row r="407" spans="11:11" x14ac:dyDescent="0.15">
      <c r="K407" s="149"/>
    </row>
    <row r="408" spans="11:11" x14ac:dyDescent="0.15">
      <c r="K408" s="149"/>
    </row>
    <row r="409" spans="11:11" x14ac:dyDescent="0.15">
      <c r="K409" s="149"/>
    </row>
    <row r="410" spans="11:11" x14ac:dyDescent="0.15">
      <c r="K410" s="149"/>
    </row>
    <row r="411" spans="11:11" x14ac:dyDescent="0.15">
      <c r="K411" s="149"/>
    </row>
    <row r="412" spans="11:11" x14ac:dyDescent="0.15">
      <c r="K412" s="149"/>
    </row>
    <row r="413" spans="11:11" x14ac:dyDescent="0.15">
      <c r="K413" s="149"/>
    </row>
    <row r="414" spans="11:11" x14ac:dyDescent="0.15">
      <c r="K414" s="149"/>
    </row>
    <row r="415" spans="11:11" x14ac:dyDescent="0.15">
      <c r="K415" s="149"/>
    </row>
    <row r="416" spans="11:11" x14ac:dyDescent="0.15">
      <c r="K416" s="149"/>
    </row>
    <row r="417" spans="11:11" x14ac:dyDescent="0.15">
      <c r="K417" s="149"/>
    </row>
    <row r="418" spans="11:11" x14ac:dyDescent="0.15">
      <c r="K418" s="149"/>
    </row>
    <row r="419" spans="11:11" x14ac:dyDescent="0.15">
      <c r="K419" s="149"/>
    </row>
    <row r="420" spans="11:11" x14ac:dyDescent="0.15">
      <c r="K420" s="149"/>
    </row>
    <row r="421" spans="11:11" x14ac:dyDescent="0.15">
      <c r="K421" s="149"/>
    </row>
    <row r="422" spans="11:11" x14ac:dyDescent="0.15">
      <c r="K422" s="149"/>
    </row>
    <row r="423" spans="11:11" x14ac:dyDescent="0.15">
      <c r="K423" s="149"/>
    </row>
    <row r="424" spans="11:11" x14ac:dyDescent="0.15">
      <c r="K424" s="149"/>
    </row>
    <row r="425" spans="11:11" x14ac:dyDescent="0.15">
      <c r="K425" s="149"/>
    </row>
    <row r="426" spans="11:11" x14ac:dyDescent="0.15">
      <c r="K426" s="149"/>
    </row>
    <row r="427" spans="11:11" x14ac:dyDescent="0.15">
      <c r="K427" s="149"/>
    </row>
    <row r="428" spans="11:11" x14ac:dyDescent="0.15">
      <c r="K428" s="149"/>
    </row>
    <row r="429" spans="11:11" x14ac:dyDescent="0.15">
      <c r="K429" s="149"/>
    </row>
    <row r="430" spans="11:11" x14ac:dyDescent="0.15">
      <c r="K430" s="149"/>
    </row>
    <row r="431" spans="11:11" x14ac:dyDescent="0.15">
      <c r="K431" s="149"/>
    </row>
    <row r="432" spans="11:11" x14ac:dyDescent="0.15">
      <c r="K432" s="149"/>
    </row>
    <row r="433" spans="11:11" x14ac:dyDescent="0.15">
      <c r="K433" s="149"/>
    </row>
    <row r="434" spans="11:11" x14ac:dyDescent="0.15">
      <c r="K434" s="149"/>
    </row>
    <row r="435" spans="11:11" x14ac:dyDescent="0.15">
      <c r="K435" s="149"/>
    </row>
    <row r="436" spans="11:11" x14ac:dyDescent="0.15">
      <c r="K436" s="149"/>
    </row>
    <row r="437" spans="11:11" x14ac:dyDescent="0.15">
      <c r="K437" s="149"/>
    </row>
    <row r="438" spans="11:11" x14ac:dyDescent="0.15">
      <c r="K438" s="149"/>
    </row>
    <row r="439" spans="11:11" x14ac:dyDescent="0.15">
      <c r="K439" s="149"/>
    </row>
    <row r="440" spans="11:11" x14ac:dyDescent="0.15">
      <c r="K440" s="149"/>
    </row>
    <row r="441" spans="11:11" x14ac:dyDescent="0.15">
      <c r="K441" s="149"/>
    </row>
    <row r="442" spans="11:11" x14ac:dyDescent="0.15">
      <c r="K442" s="149"/>
    </row>
    <row r="443" spans="11:11" x14ac:dyDescent="0.15">
      <c r="K443" s="149"/>
    </row>
  </sheetData>
  <autoFilter ref="A1:BA1" xr:uid="{00000000-0009-0000-0000-000000000000}"/>
  <phoneticPr fontId="3"/>
  <dataValidations count="20">
    <dataValidation type="list" allowBlank="1" showInputMessage="1" showErrorMessage="1" sqref="F2:F491" xr:uid="{49A822C6-F52A-4F32-82CA-02A500AA2853}">
      <formula1>$AH$2:$AH$11</formula1>
    </dataValidation>
    <dataValidation type="list" allowBlank="1" showInputMessage="1" showErrorMessage="1" sqref="E2:E491" xr:uid="{7BF682C8-C2B6-4533-8445-61DD8A5F6980}">
      <formula1>$AG$2:$AG$11</formula1>
    </dataValidation>
    <dataValidation type="decimal" allowBlank="1" showInputMessage="1" showErrorMessage="1" error="硬度を正しく入力して下さい。" sqref="O2:P491" xr:uid="{FE3A31DA-6556-4008-B316-C782059DF668}">
      <formula1>0</formula1>
      <formula2>7</formula2>
    </dataValidation>
    <dataValidation type="list" allowBlank="1" showInputMessage="1" showErrorMessage="1" sqref="Y2:AA491" xr:uid="{6AD27A2C-0FC0-48FC-9BBA-2F5FE366AA2B}">
      <formula1>$AV$2:$AV$21</formula1>
    </dataValidation>
    <dataValidation type="list" allowBlank="1" showInputMessage="1" showErrorMessage="1" sqref="K444:K491" xr:uid="{9FAE5D1D-0215-470B-A1A2-870ED6FD1D04}">
      <formula1>$AR$2:$AR$25</formula1>
    </dataValidation>
    <dataValidation type="list" allowBlank="1" showInputMessage="1" showErrorMessage="1" sqref="I2:I491" xr:uid="{8288E050-9AC7-4793-AA74-72431C5A3D05}">
      <formula1>$AN$5:$AN$6</formula1>
    </dataValidation>
    <dataValidation type="list" allowBlank="1" showInputMessage="1" showErrorMessage="1" sqref="H2:H491" xr:uid="{EFFC650E-A4C9-47B6-AA5B-F8E215E51E39}">
      <formula1>$AL$2:$AL$8</formula1>
    </dataValidation>
    <dataValidation type="list" allowBlank="1" showInputMessage="1" showErrorMessage="1" sqref="A2:A491" xr:uid="{D9A1C8A1-B9F1-4D3F-90BF-38BD07BE07AD}">
      <formula1>$AE$2:$AE$19</formula1>
    </dataValidation>
    <dataValidation type="list" allowBlank="1" showInputMessage="1" showErrorMessage="1" sqref="X2:X491" xr:uid="{EC0FE509-12AF-4AB4-ACEC-56715C113CAE}">
      <formula1>$AT$2:$AT$3</formula1>
    </dataValidation>
    <dataValidation type="list" allowBlank="1" showInputMessage="1" showErrorMessage="1" sqref="G2:G491" xr:uid="{CBDB7918-4FE4-4EDC-A20D-BCACA38E299A}">
      <formula1>$AJ$2:$AJ$4</formula1>
    </dataValidation>
    <dataValidation type="list" allowBlank="1" showInputMessage="1" showErrorMessage="1" sqref="J2:J491" xr:uid="{EE9AB3D8-EEDA-43A0-B042-9817C9C547FC}">
      <formula1>$AP$2:$AP$27</formula1>
    </dataValidation>
    <dataValidation operator="equal" allowBlank="1" showInputMessage="1" showErrorMessage="1" sqref="B2:B46" xr:uid="{6F797830-DC96-4811-9984-B7A7A0E171D4}"/>
    <dataValidation type="list" allowBlank="1" showInputMessage="1" showErrorMessage="1" sqref="F492:F64242" xr:uid="{176841A5-0E0A-43C0-A9BE-B821A2479935}">
      <formula1>$AH$2:$AH$8</formula1>
    </dataValidation>
    <dataValidation type="list" allowBlank="1" showInputMessage="1" showErrorMessage="1" sqref="E492:E64242" xr:uid="{28D01BFA-A23B-43CC-86E3-D8EDC116DABB}">
      <formula1>$AG$2:$AG$9</formula1>
    </dataValidation>
    <dataValidation type="list" allowBlank="1" showInputMessage="1" showErrorMessage="1" sqref="H492:H64242" xr:uid="{18BC6D0A-ECD6-48B3-96F2-94415EC759CA}">
      <formula1>$AL$2:$AL$10</formula1>
    </dataValidation>
    <dataValidation type="list" allowBlank="1" showInputMessage="1" showErrorMessage="1" sqref="K492:K64242" xr:uid="{F79AD2DD-D9D5-4EB4-8F1A-183176A189DD}">
      <formula1>$AR$2:$AR$28</formula1>
    </dataValidation>
    <dataValidation type="list" allowBlank="1" showInputMessage="1" showErrorMessage="1" sqref="Y492:AA64242" xr:uid="{DA7710A6-C846-47B0-8D6F-4F921B39A847}">
      <formula1>$AV$2:$AV$26</formula1>
    </dataValidation>
    <dataValidation type="list" allowBlank="1" showInputMessage="1" showErrorMessage="1" sqref="I492:I64242" xr:uid="{E6E00116-947F-4676-B90B-5AE5BB5E0E52}">
      <formula1>$AN$2:$AN$6</formula1>
    </dataValidation>
    <dataValidation type="list" allowBlank="1" showInputMessage="1" showErrorMessage="1" sqref="J492:J64242" xr:uid="{75CEAC30-4A40-44C7-9010-B2E738300B58}">
      <formula1>$AP$2:$AP$16</formula1>
    </dataValidation>
    <dataValidation type="list" allowBlank="1" showInputMessage="1" showErrorMessage="1" sqref="K2:K443" xr:uid="{3F26D4A7-AAFD-43E5-A68F-AA956D57A993}">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FBABE-26C8-4851-AEC3-8CA15616A46D}">
  <dimension ref="A1:BA744"/>
  <sheetViews>
    <sheetView zoomScale="70" zoomScaleNormal="70" workbookViewId="0">
      <selection activeCell="AB105" sqref="AB105"/>
    </sheetView>
  </sheetViews>
  <sheetFormatPr defaultColWidth="9"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311</v>
      </c>
      <c r="V1" s="5" t="s">
        <v>20</v>
      </c>
      <c r="W1" s="2" t="s">
        <v>21</v>
      </c>
      <c r="X1" s="45" t="s">
        <v>22</v>
      </c>
      <c r="Y1" s="45" t="s">
        <v>23</v>
      </c>
      <c r="Z1" s="45" t="s">
        <v>365</v>
      </c>
      <c r="AA1" s="46" t="s">
        <v>25</v>
      </c>
      <c r="AB1" s="6" t="s">
        <v>26</v>
      </c>
      <c r="AE1" s="8" t="s">
        <v>0</v>
      </c>
      <c r="AF1" s="9"/>
      <c r="AG1" s="216"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54" customFormat="1" x14ac:dyDescent="0.15">
      <c r="A2" s="54" t="s">
        <v>34</v>
      </c>
      <c r="B2" s="53" t="s">
        <v>232</v>
      </c>
      <c r="C2" s="53">
        <v>2019</v>
      </c>
      <c r="D2" s="217" t="s">
        <v>168</v>
      </c>
      <c r="E2" s="36" t="s">
        <v>366</v>
      </c>
      <c r="F2" s="36" t="s">
        <v>367</v>
      </c>
      <c r="G2" s="54" t="s">
        <v>36</v>
      </c>
      <c r="H2" s="53" t="s">
        <v>165</v>
      </c>
      <c r="I2" s="54" t="s">
        <v>159</v>
      </c>
      <c r="J2" s="54" t="s">
        <v>38</v>
      </c>
      <c r="K2" s="54" t="s">
        <v>161</v>
      </c>
      <c r="L2" s="54">
        <v>1</v>
      </c>
      <c r="N2" s="54">
        <v>1</v>
      </c>
      <c r="O2" s="54">
        <v>1.45</v>
      </c>
      <c r="P2" s="54">
        <v>1.5</v>
      </c>
      <c r="Q2" s="97">
        <f t="shared" ref="Q2:Q82" si="0">IF(OR(O2="",P2=""),"",AVERAGE(O2,P2))</f>
        <v>1.4750000000000001</v>
      </c>
      <c r="R2" s="54">
        <v>17.100000000000001</v>
      </c>
      <c r="S2" s="54">
        <v>106</v>
      </c>
      <c r="T2" s="16">
        <f t="shared" ref="T2:T82" si="1">IF(H2="","",IF(OR(H2="GREEN",H2="GK"),IF(S2&gt;=$AX$2,VLOOKUP(S2,$AX$2:$AY$9,2,1),""),IF(S2&gt;=$AZ$2,VLOOKUP(S2,$AZ$2:$BA$9,2,1),"")))</f>
        <v>33</v>
      </c>
      <c r="U2" s="54">
        <v>103</v>
      </c>
      <c r="V2" s="16">
        <f t="shared" ref="V2:V82" si="2">IF(OR(N2="",U2="",T2=""),"",U2/N2*T2)</f>
        <v>3399</v>
      </c>
      <c r="W2" s="54">
        <v>1</v>
      </c>
      <c r="X2" s="54" t="s">
        <v>46</v>
      </c>
      <c r="Y2" s="54" t="s">
        <v>69</v>
      </c>
      <c r="Z2" s="54" t="s">
        <v>90</v>
      </c>
      <c r="AA2" s="54" t="s">
        <v>47</v>
      </c>
      <c r="AB2" s="54" t="s">
        <v>258</v>
      </c>
      <c r="AE2" s="17" t="s">
        <v>35</v>
      </c>
      <c r="AG2" s="218" t="s">
        <v>358</v>
      </c>
      <c r="AH2" s="65" t="s">
        <v>368</v>
      </c>
      <c r="AJ2" s="18" t="s">
        <v>36</v>
      </c>
      <c r="AL2" s="18" t="s">
        <v>127</v>
      </c>
      <c r="AN2" s="18" t="s">
        <v>37</v>
      </c>
      <c r="AP2" s="18" t="s">
        <v>38</v>
      </c>
      <c r="AR2" s="18" t="s">
        <v>120</v>
      </c>
      <c r="AT2" s="18" t="s">
        <v>39</v>
      </c>
      <c r="AV2" s="169" t="s">
        <v>40</v>
      </c>
      <c r="AX2" s="19">
        <v>1</v>
      </c>
      <c r="AY2" s="20">
        <v>50</v>
      </c>
      <c r="AZ2" s="20">
        <v>1</v>
      </c>
      <c r="BA2" s="21">
        <v>50</v>
      </c>
    </row>
    <row r="3" spans="1:53" x14ac:dyDescent="0.15">
      <c r="A3" s="54" t="s">
        <v>34</v>
      </c>
      <c r="B3" s="53" t="s">
        <v>232</v>
      </c>
      <c r="C3" s="53">
        <v>2019</v>
      </c>
      <c r="D3" s="217" t="s">
        <v>168</v>
      </c>
      <c r="E3" s="36" t="s">
        <v>366</v>
      </c>
      <c r="F3" s="36" t="s">
        <v>367</v>
      </c>
      <c r="G3" s="54" t="s">
        <v>36</v>
      </c>
      <c r="H3" s="53" t="s">
        <v>165</v>
      </c>
      <c r="I3" s="54" t="s">
        <v>159</v>
      </c>
      <c r="J3" s="54" t="s">
        <v>38</v>
      </c>
      <c r="K3" s="54" t="s">
        <v>161</v>
      </c>
      <c r="L3" s="53">
        <v>2</v>
      </c>
      <c r="N3" s="53">
        <v>1</v>
      </c>
      <c r="O3" s="53">
        <v>1.25</v>
      </c>
      <c r="P3" s="53">
        <v>1.35</v>
      </c>
      <c r="Q3" s="97">
        <f t="shared" si="0"/>
        <v>1.3</v>
      </c>
      <c r="R3" s="53">
        <v>16.600000000000001</v>
      </c>
      <c r="S3" s="53">
        <v>113</v>
      </c>
      <c r="T3" s="16">
        <f t="shared" si="1"/>
        <v>30</v>
      </c>
      <c r="U3" s="53">
        <v>103</v>
      </c>
      <c r="V3" s="16">
        <f t="shared" si="2"/>
        <v>3090</v>
      </c>
      <c r="W3" s="54">
        <v>1</v>
      </c>
      <c r="X3" s="54" t="s">
        <v>46</v>
      </c>
      <c r="Y3" s="54" t="s">
        <v>69</v>
      </c>
      <c r="Z3" s="54" t="s">
        <v>90</v>
      </c>
      <c r="AA3" s="54" t="s">
        <v>47</v>
      </c>
      <c r="AB3" s="54" t="s">
        <v>258</v>
      </c>
      <c r="AC3" s="54"/>
      <c r="AE3" s="22" t="s">
        <v>41</v>
      </c>
      <c r="AG3" s="219" t="s">
        <v>369</v>
      </c>
      <c r="AH3" s="65" t="s">
        <v>368</v>
      </c>
      <c r="AJ3" s="23" t="s">
        <v>42</v>
      </c>
      <c r="AL3" s="23" t="s">
        <v>128</v>
      </c>
      <c r="AN3" s="23" t="s">
        <v>43</v>
      </c>
      <c r="AP3" s="23" t="s">
        <v>44</v>
      </c>
      <c r="AR3" s="41" t="s">
        <v>45</v>
      </c>
      <c r="AT3" s="23" t="s">
        <v>46</v>
      </c>
      <c r="AV3" s="23" t="s">
        <v>47</v>
      </c>
      <c r="AX3" s="24">
        <v>72</v>
      </c>
      <c r="AY3" s="25">
        <v>46</v>
      </c>
      <c r="AZ3" s="25">
        <v>71</v>
      </c>
      <c r="BA3" s="26">
        <v>42</v>
      </c>
    </row>
    <row r="4" spans="1:53" x14ac:dyDescent="0.15">
      <c r="A4" s="54" t="s">
        <v>34</v>
      </c>
      <c r="B4" s="53" t="s">
        <v>232</v>
      </c>
      <c r="C4" s="53">
        <v>2019</v>
      </c>
      <c r="D4" s="217" t="s">
        <v>168</v>
      </c>
      <c r="E4" s="36" t="s">
        <v>366</v>
      </c>
      <c r="F4" s="36" t="s">
        <v>367</v>
      </c>
      <c r="G4" s="54" t="s">
        <v>36</v>
      </c>
      <c r="H4" s="53" t="s">
        <v>165</v>
      </c>
      <c r="I4" s="54" t="s">
        <v>159</v>
      </c>
      <c r="J4" s="54" t="s">
        <v>38</v>
      </c>
      <c r="K4" s="54" t="s">
        <v>161</v>
      </c>
      <c r="L4" s="53">
        <v>3</v>
      </c>
      <c r="N4" s="53">
        <v>1</v>
      </c>
      <c r="O4" s="53">
        <v>1.5</v>
      </c>
      <c r="P4" s="53">
        <v>1.5</v>
      </c>
      <c r="Q4" s="97">
        <f t="shared" si="0"/>
        <v>1.5</v>
      </c>
      <c r="R4" s="53">
        <v>15.8</v>
      </c>
      <c r="S4" s="53">
        <v>107</v>
      </c>
      <c r="T4" s="16">
        <f t="shared" si="1"/>
        <v>33</v>
      </c>
      <c r="U4" s="53">
        <v>103</v>
      </c>
      <c r="V4" s="16">
        <f t="shared" si="2"/>
        <v>3399</v>
      </c>
      <c r="W4" s="53">
        <v>1</v>
      </c>
      <c r="X4" s="54" t="s">
        <v>46</v>
      </c>
      <c r="Y4" s="54" t="s">
        <v>69</v>
      </c>
      <c r="Z4" s="54" t="s">
        <v>90</v>
      </c>
      <c r="AA4" s="54" t="s">
        <v>47</v>
      </c>
      <c r="AB4" s="54" t="s">
        <v>258</v>
      </c>
      <c r="AC4" s="54"/>
      <c r="AE4" s="22" t="s">
        <v>34</v>
      </c>
      <c r="AG4" s="219" t="s">
        <v>370</v>
      </c>
      <c r="AH4" s="65" t="s">
        <v>371</v>
      </c>
      <c r="AJ4" s="27" t="s">
        <v>48</v>
      </c>
      <c r="AL4" s="27" t="s">
        <v>129</v>
      </c>
      <c r="AN4" s="28" t="s">
        <v>49</v>
      </c>
      <c r="AP4" s="23" t="s">
        <v>93</v>
      </c>
      <c r="AR4" s="41" t="s">
        <v>121</v>
      </c>
      <c r="AT4" s="28"/>
      <c r="AV4" s="23" t="s">
        <v>50</v>
      </c>
      <c r="AX4" s="24">
        <v>75</v>
      </c>
      <c r="AY4" s="25">
        <v>42</v>
      </c>
      <c r="AZ4" s="25">
        <v>76</v>
      </c>
      <c r="BA4" s="26">
        <v>39</v>
      </c>
    </row>
    <row r="5" spans="1:53" x14ac:dyDescent="0.15">
      <c r="A5" s="54" t="s">
        <v>34</v>
      </c>
      <c r="B5" s="53" t="s">
        <v>232</v>
      </c>
      <c r="C5" s="53">
        <v>2019</v>
      </c>
      <c r="D5" s="217" t="s">
        <v>168</v>
      </c>
      <c r="E5" s="36" t="s">
        <v>372</v>
      </c>
      <c r="F5" s="36" t="s">
        <v>373</v>
      </c>
      <c r="G5" s="54" t="s">
        <v>36</v>
      </c>
      <c r="H5" s="53" t="s">
        <v>160</v>
      </c>
      <c r="I5" s="54" t="s">
        <v>159</v>
      </c>
      <c r="J5" s="54" t="s">
        <v>38</v>
      </c>
      <c r="K5" s="54" t="s">
        <v>161</v>
      </c>
      <c r="L5" s="54">
        <v>1</v>
      </c>
      <c r="N5" s="53">
        <v>1</v>
      </c>
      <c r="O5" s="53">
        <v>0.6</v>
      </c>
      <c r="P5" s="53">
        <v>0.7</v>
      </c>
      <c r="Q5" s="97">
        <f t="shared" si="0"/>
        <v>0.64999999999999991</v>
      </c>
      <c r="R5" s="53">
        <v>19.7</v>
      </c>
      <c r="S5" s="53">
        <v>132</v>
      </c>
      <c r="T5" s="16">
        <f t="shared" si="1"/>
        <v>30</v>
      </c>
      <c r="U5" s="53">
        <v>105</v>
      </c>
      <c r="V5" s="16">
        <f t="shared" si="2"/>
        <v>3150</v>
      </c>
      <c r="W5" s="53">
        <v>8</v>
      </c>
      <c r="X5" s="54" t="s">
        <v>46</v>
      </c>
      <c r="Y5" s="54" t="s">
        <v>69</v>
      </c>
      <c r="Z5" s="54" t="s">
        <v>55</v>
      </c>
      <c r="AA5" s="54" t="s">
        <v>47</v>
      </c>
      <c r="AB5" s="54" t="s">
        <v>258</v>
      </c>
      <c r="AE5" s="22" t="s">
        <v>51</v>
      </c>
      <c r="AG5" s="219" t="s">
        <v>374</v>
      </c>
      <c r="AH5" s="65" t="s">
        <v>375</v>
      </c>
      <c r="AJ5" s="28"/>
      <c r="AL5" s="29" t="s">
        <v>66</v>
      </c>
      <c r="AN5" s="29" t="s">
        <v>52</v>
      </c>
      <c r="AP5" s="23" t="s">
        <v>119</v>
      </c>
      <c r="AR5" s="41" t="s">
        <v>54</v>
      </c>
      <c r="AV5" s="23" t="s">
        <v>55</v>
      </c>
      <c r="AX5" s="24">
        <v>84</v>
      </c>
      <c r="AY5" s="25">
        <v>39</v>
      </c>
      <c r="AZ5" s="25">
        <v>84</v>
      </c>
      <c r="BA5" s="26">
        <v>36</v>
      </c>
    </row>
    <row r="6" spans="1:53" x14ac:dyDescent="0.15">
      <c r="A6" s="54" t="s">
        <v>34</v>
      </c>
      <c r="B6" s="53" t="s">
        <v>232</v>
      </c>
      <c r="C6" s="53">
        <v>2019</v>
      </c>
      <c r="D6" s="217" t="s">
        <v>168</v>
      </c>
      <c r="E6" s="36" t="s">
        <v>372</v>
      </c>
      <c r="F6" s="36" t="s">
        <v>373</v>
      </c>
      <c r="G6" s="54" t="s">
        <v>36</v>
      </c>
      <c r="H6" s="53" t="s">
        <v>160</v>
      </c>
      <c r="I6" s="54" t="s">
        <v>159</v>
      </c>
      <c r="J6" s="54" t="s">
        <v>38</v>
      </c>
      <c r="K6" s="54" t="s">
        <v>161</v>
      </c>
      <c r="L6" s="53">
        <v>2</v>
      </c>
      <c r="N6" s="53">
        <v>1</v>
      </c>
      <c r="O6" s="53">
        <v>0.85</v>
      </c>
      <c r="P6" s="53">
        <v>0.75</v>
      </c>
      <c r="Q6" s="97">
        <f t="shared" si="0"/>
        <v>0.8</v>
      </c>
      <c r="R6" s="53">
        <v>17.8</v>
      </c>
      <c r="S6" s="53">
        <v>128</v>
      </c>
      <c r="T6" s="16">
        <f t="shared" si="1"/>
        <v>30</v>
      </c>
      <c r="U6" s="53">
        <v>105</v>
      </c>
      <c r="V6" s="16">
        <f t="shared" si="2"/>
        <v>3150</v>
      </c>
      <c r="W6" s="53">
        <v>8</v>
      </c>
      <c r="X6" s="54" t="s">
        <v>46</v>
      </c>
      <c r="Y6" s="54" t="s">
        <v>69</v>
      </c>
      <c r="Z6" s="54" t="s">
        <v>55</v>
      </c>
      <c r="AA6" s="54" t="s">
        <v>47</v>
      </c>
      <c r="AB6" s="54" t="s">
        <v>258</v>
      </c>
      <c r="AE6" s="22" t="s">
        <v>56</v>
      </c>
      <c r="AG6" s="219" t="s">
        <v>376</v>
      </c>
      <c r="AH6" s="65" t="s">
        <v>377</v>
      </c>
      <c r="AL6" s="29" t="s">
        <v>99</v>
      </c>
      <c r="AN6" s="29" t="s">
        <v>57</v>
      </c>
      <c r="AP6" s="23" t="s">
        <v>53</v>
      </c>
      <c r="AR6" s="41" t="s">
        <v>59</v>
      </c>
      <c r="AV6" s="23" t="s">
        <v>60</v>
      </c>
      <c r="AX6" s="24">
        <v>97</v>
      </c>
      <c r="AY6" s="25">
        <v>36</v>
      </c>
      <c r="AZ6" s="25">
        <v>99</v>
      </c>
      <c r="BA6" s="26">
        <v>33</v>
      </c>
    </row>
    <row r="7" spans="1:53" x14ac:dyDescent="0.15">
      <c r="A7" s="54" t="s">
        <v>34</v>
      </c>
      <c r="B7" s="53" t="s">
        <v>232</v>
      </c>
      <c r="C7" s="53">
        <v>2019</v>
      </c>
      <c r="D7" s="217" t="s">
        <v>168</v>
      </c>
      <c r="E7" s="36" t="s">
        <v>372</v>
      </c>
      <c r="F7" s="36" t="s">
        <v>373</v>
      </c>
      <c r="G7" s="54" t="s">
        <v>36</v>
      </c>
      <c r="H7" s="53" t="s">
        <v>160</v>
      </c>
      <c r="I7" s="54" t="s">
        <v>159</v>
      </c>
      <c r="J7" s="54" t="s">
        <v>38</v>
      </c>
      <c r="K7" s="54" t="s">
        <v>161</v>
      </c>
      <c r="L7" s="53">
        <v>3</v>
      </c>
      <c r="N7" s="53">
        <v>1</v>
      </c>
      <c r="O7" s="53">
        <v>0.85</v>
      </c>
      <c r="P7" s="53">
        <v>1.05</v>
      </c>
      <c r="Q7" s="97">
        <f t="shared" si="0"/>
        <v>0.95</v>
      </c>
      <c r="R7" s="53">
        <v>17.7</v>
      </c>
      <c r="S7" s="53">
        <v>130</v>
      </c>
      <c r="T7" s="16">
        <f t="shared" si="1"/>
        <v>30</v>
      </c>
      <c r="U7" s="53">
        <v>105</v>
      </c>
      <c r="V7" s="16">
        <f t="shared" si="2"/>
        <v>3150</v>
      </c>
      <c r="W7" s="53">
        <v>8</v>
      </c>
      <c r="X7" s="54" t="s">
        <v>46</v>
      </c>
      <c r="Y7" s="54" t="s">
        <v>69</v>
      </c>
      <c r="Z7" s="54" t="s">
        <v>55</v>
      </c>
      <c r="AA7" s="54" t="s">
        <v>47</v>
      </c>
      <c r="AB7" s="54" t="s">
        <v>258</v>
      </c>
      <c r="AE7" s="22" t="s">
        <v>61</v>
      </c>
      <c r="AG7" s="219" t="s">
        <v>267</v>
      </c>
      <c r="AH7" s="65" t="s">
        <v>378</v>
      </c>
      <c r="AL7" s="34" t="s">
        <v>109</v>
      </c>
      <c r="AP7" s="23" t="s">
        <v>58</v>
      </c>
      <c r="AR7" s="30" t="s">
        <v>122</v>
      </c>
      <c r="AV7" s="23" t="s">
        <v>64</v>
      </c>
      <c r="AX7" s="24">
        <v>109</v>
      </c>
      <c r="AY7" s="25">
        <v>33</v>
      </c>
      <c r="AZ7" s="25">
        <v>113</v>
      </c>
      <c r="BA7" s="26">
        <v>30</v>
      </c>
    </row>
    <row r="8" spans="1:53" x14ac:dyDescent="0.15">
      <c r="A8" s="54" t="s">
        <v>34</v>
      </c>
      <c r="B8" s="53" t="s">
        <v>232</v>
      </c>
      <c r="C8" s="53">
        <v>2019</v>
      </c>
      <c r="D8" s="217" t="s">
        <v>168</v>
      </c>
      <c r="E8" s="36" t="s">
        <v>372</v>
      </c>
      <c r="F8" s="36" t="s">
        <v>373</v>
      </c>
      <c r="G8" s="54" t="s">
        <v>36</v>
      </c>
      <c r="H8" s="53" t="s">
        <v>160</v>
      </c>
      <c r="I8" s="54" t="s">
        <v>159</v>
      </c>
      <c r="J8" s="54" t="s">
        <v>38</v>
      </c>
      <c r="K8" s="54" t="s">
        <v>161</v>
      </c>
      <c r="L8" s="54">
        <v>1</v>
      </c>
      <c r="N8" s="53">
        <v>5</v>
      </c>
      <c r="O8" s="53">
        <v>0.45</v>
      </c>
      <c r="P8" s="53">
        <v>0.55000000000000004</v>
      </c>
      <c r="Q8" s="97">
        <f t="shared" si="0"/>
        <v>0.5</v>
      </c>
      <c r="R8" s="53">
        <v>18.899999999999999</v>
      </c>
      <c r="S8" s="53">
        <v>88</v>
      </c>
      <c r="T8" s="16">
        <f t="shared" si="1"/>
        <v>36</v>
      </c>
      <c r="U8" s="53">
        <v>429</v>
      </c>
      <c r="V8" s="16">
        <f t="shared" si="2"/>
        <v>3088.7999999999997</v>
      </c>
      <c r="W8" s="53">
        <v>8</v>
      </c>
      <c r="X8" s="54" t="s">
        <v>46</v>
      </c>
      <c r="Y8" s="54" t="s">
        <v>69</v>
      </c>
      <c r="Z8" s="54" t="s">
        <v>55</v>
      </c>
      <c r="AA8" s="54" t="s">
        <v>47</v>
      </c>
      <c r="AB8" s="54" t="s">
        <v>258</v>
      </c>
      <c r="AE8" s="22" t="s">
        <v>59</v>
      </c>
      <c r="AG8" s="219" t="s">
        <v>372</v>
      </c>
      <c r="AH8" s="65" t="s">
        <v>373</v>
      </c>
      <c r="AL8" s="34" t="s">
        <v>134</v>
      </c>
      <c r="AP8" s="23" t="s">
        <v>62</v>
      </c>
      <c r="AR8" s="41" t="s">
        <v>81</v>
      </c>
      <c r="AV8" s="23" t="s">
        <v>97</v>
      </c>
      <c r="AX8" s="24">
        <v>151</v>
      </c>
      <c r="AY8" s="25">
        <v>22</v>
      </c>
      <c r="AZ8" s="25">
        <v>152</v>
      </c>
      <c r="BA8" s="26">
        <v>18</v>
      </c>
    </row>
    <row r="9" spans="1:53" x14ac:dyDescent="0.15">
      <c r="A9" s="54" t="s">
        <v>34</v>
      </c>
      <c r="B9" s="53" t="s">
        <v>232</v>
      </c>
      <c r="C9" s="53">
        <v>2019</v>
      </c>
      <c r="D9" s="217" t="s">
        <v>168</v>
      </c>
      <c r="E9" s="36" t="s">
        <v>372</v>
      </c>
      <c r="F9" s="36" t="s">
        <v>373</v>
      </c>
      <c r="G9" s="54" t="s">
        <v>36</v>
      </c>
      <c r="H9" s="53" t="s">
        <v>160</v>
      </c>
      <c r="I9" s="54" t="s">
        <v>159</v>
      </c>
      <c r="J9" s="54" t="s">
        <v>38</v>
      </c>
      <c r="K9" s="54" t="s">
        <v>161</v>
      </c>
      <c r="L9" s="53">
        <v>2</v>
      </c>
      <c r="N9" s="53">
        <v>5</v>
      </c>
      <c r="O9" s="53">
        <v>0.6</v>
      </c>
      <c r="P9" s="53">
        <v>0.55000000000000004</v>
      </c>
      <c r="Q9" s="97">
        <f t="shared" si="0"/>
        <v>0.57499999999999996</v>
      </c>
      <c r="R9" s="53">
        <v>18.2</v>
      </c>
      <c r="S9" s="53">
        <v>90</v>
      </c>
      <c r="T9" s="16">
        <f t="shared" si="1"/>
        <v>36</v>
      </c>
      <c r="U9" s="53">
        <v>429</v>
      </c>
      <c r="V9" s="16">
        <f t="shared" si="2"/>
        <v>3088.7999999999997</v>
      </c>
      <c r="W9" s="53">
        <v>8</v>
      </c>
      <c r="X9" s="54" t="s">
        <v>46</v>
      </c>
      <c r="Y9" s="54" t="s">
        <v>69</v>
      </c>
      <c r="Z9" s="54" t="s">
        <v>55</v>
      </c>
      <c r="AA9" s="54" t="s">
        <v>47</v>
      </c>
      <c r="AB9" s="54" t="s">
        <v>258</v>
      </c>
      <c r="AE9" s="22" t="s">
        <v>98</v>
      </c>
      <c r="AG9" s="219" t="s">
        <v>379</v>
      </c>
      <c r="AH9" s="65" t="s">
        <v>380</v>
      </c>
      <c r="AL9" s="29"/>
      <c r="AP9" s="23" t="s">
        <v>95</v>
      </c>
      <c r="AR9" s="30" t="s">
        <v>89</v>
      </c>
      <c r="AV9" s="23" t="s">
        <v>102</v>
      </c>
      <c r="AX9" s="31">
        <v>180</v>
      </c>
      <c r="AY9" s="32">
        <v>18</v>
      </c>
      <c r="AZ9" s="32">
        <v>181</v>
      </c>
      <c r="BA9" s="33">
        <v>16</v>
      </c>
    </row>
    <row r="10" spans="1:53" x14ac:dyDescent="0.15">
      <c r="A10" s="54" t="s">
        <v>34</v>
      </c>
      <c r="B10" s="53" t="s">
        <v>232</v>
      </c>
      <c r="C10" s="53">
        <v>2019</v>
      </c>
      <c r="D10" s="217" t="s">
        <v>168</v>
      </c>
      <c r="E10" s="36" t="s">
        <v>372</v>
      </c>
      <c r="F10" s="36" t="s">
        <v>373</v>
      </c>
      <c r="G10" s="54" t="s">
        <v>36</v>
      </c>
      <c r="H10" s="53" t="s">
        <v>160</v>
      </c>
      <c r="I10" s="54" t="s">
        <v>159</v>
      </c>
      <c r="J10" s="54" t="s">
        <v>38</v>
      </c>
      <c r="K10" s="54" t="s">
        <v>161</v>
      </c>
      <c r="L10" s="53">
        <v>3</v>
      </c>
      <c r="N10" s="53">
        <v>5</v>
      </c>
      <c r="O10" s="53">
        <v>0.65</v>
      </c>
      <c r="P10" s="53">
        <v>0.6</v>
      </c>
      <c r="Q10" s="97">
        <f t="shared" si="0"/>
        <v>0.625</v>
      </c>
      <c r="R10" s="53">
        <v>16.600000000000001</v>
      </c>
      <c r="S10" s="53">
        <v>84</v>
      </c>
      <c r="T10" s="16">
        <f t="shared" si="1"/>
        <v>36</v>
      </c>
      <c r="U10" s="53">
        <v>429</v>
      </c>
      <c r="V10" s="16">
        <f t="shared" si="2"/>
        <v>3088.7999999999997</v>
      </c>
      <c r="W10" s="53">
        <v>8</v>
      </c>
      <c r="X10" s="54" t="s">
        <v>46</v>
      </c>
      <c r="Y10" s="54" t="s">
        <v>69</v>
      </c>
      <c r="Z10" s="54" t="s">
        <v>55</v>
      </c>
      <c r="AA10" s="54" t="s">
        <v>47</v>
      </c>
      <c r="AB10" s="54" t="s">
        <v>258</v>
      </c>
      <c r="AE10" s="22" t="s">
        <v>103</v>
      </c>
      <c r="AG10" s="219" t="s">
        <v>366</v>
      </c>
      <c r="AH10" s="65" t="s">
        <v>367</v>
      </c>
      <c r="AL10" s="34"/>
      <c r="AP10" s="23" t="s">
        <v>100</v>
      </c>
      <c r="AR10" s="30" t="s">
        <v>123</v>
      </c>
      <c r="AV10" s="23" t="s">
        <v>106</v>
      </c>
    </row>
    <row r="11" spans="1:53" x14ac:dyDescent="0.15">
      <c r="A11" s="54" t="s">
        <v>34</v>
      </c>
      <c r="B11" s="53" t="s">
        <v>232</v>
      </c>
      <c r="C11" s="53">
        <v>2019</v>
      </c>
      <c r="D11" s="217" t="s">
        <v>168</v>
      </c>
      <c r="E11" s="36" t="s">
        <v>372</v>
      </c>
      <c r="F11" s="36" t="s">
        <v>373</v>
      </c>
      <c r="G11" s="54" t="s">
        <v>36</v>
      </c>
      <c r="H11" s="53" t="s">
        <v>165</v>
      </c>
      <c r="I11" s="54" t="s">
        <v>159</v>
      </c>
      <c r="J11" s="54" t="s">
        <v>38</v>
      </c>
      <c r="K11" s="54" t="s">
        <v>161</v>
      </c>
      <c r="L11" s="54">
        <v>1</v>
      </c>
      <c r="N11" s="53">
        <v>1</v>
      </c>
      <c r="O11" s="53">
        <v>0.9</v>
      </c>
      <c r="P11" s="53">
        <v>0.9</v>
      </c>
      <c r="Q11" s="97">
        <f t="shared" si="0"/>
        <v>0.9</v>
      </c>
      <c r="R11" s="53">
        <v>18.100000000000001</v>
      </c>
      <c r="S11" s="53">
        <v>145</v>
      </c>
      <c r="T11" s="16">
        <f t="shared" si="1"/>
        <v>30</v>
      </c>
      <c r="U11" s="53">
        <v>105</v>
      </c>
      <c r="V11" s="16">
        <f t="shared" si="2"/>
        <v>3150</v>
      </c>
      <c r="W11" s="53">
        <v>2</v>
      </c>
      <c r="X11" s="54" t="s">
        <v>46</v>
      </c>
      <c r="Y11" s="54" t="s">
        <v>69</v>
      </c>
      <c r="Z11" s="54" t="s">
        <v>55</v>
      </c>
      <c r="AA11" s="54" t="s">
        <v>47</v>
      </c>
      <c r="AB11" s="54" t="s">
        <v>258</v>
      </c>
      <c r="AE11" s="22" t="s">
        <v>65</v>
      </c>
      <c r="AG11" s="219" t="s">
        <v>210</v>
      </c>
      <c r="AH11" s="65" t="s">
        <v>381</v>
      </c>
      <c r="AL11" s="34"/>
      <c r="AP11" s="23" t="s">
        <v>104</v>
      </c>
      <c r="AR11" s="30" t="s">
        <v>87</v>
      </c>
      <c r="AV11" s="23" t="s">
        <v>69</v>
      </c>
    </row>
    <row r="12" spans="1:53" x14ac:dyDescent="0.15">
      <c r="A12" s="54" t="s">
        <v>34</v>
      </c>
      <c r="B12" s="53" t="s">
        <v>232</v>
      </c>
      <c r="C12" s="53">
        <v>2019</v>
      </c>
      <c r="D12" s="217" t="s">
        <v>168</v>
      </c>
      <c r="E12" s="36" t="s">
        <v>372</v>
      </c>
      <c r="F12" s="36" t="s">
        <v>373</v>
      </c>
      <c r="G12" s="54" t="s">
        <v>36</v>
      </c>
      <c r="H12" s="53" t="s">
        <v>165</v>
      </c>
      <c r="I12" s="54" t="s">
        <v>159</v>
      </c>
      <c r="J12" s="54" t="s">
        <v>38</v>
      </c>
      <c r="K12" s="54" t="s">
        <v>161</v>
      </c>
      <c r="L12" s="53">
        <v>2</v>
      </c>
      <c r="N12" s="53">
        <v>1</v>
      </c>
      <c r="O12" s="53">
        <v>0.75</v>
      </c>
      <c r="P12" s="53">
        <v>0.9</v>
      </c>
      <c r="Q12" s="97">
        <f t="shared" si="0"/>
        <v>0.82499999999999996</v>
      </c>
      <c r="R12" s="53">
        <v>18</v>
      </c>
      <c r="S12" s="53">
        <v>138</v>
      </c>
      <c r="T12" s="16">
        <f t="shared" si="1"/>
        <v>30</v>
      </c>
      <c r="U12" s="53">
        <v>105</v>
      </c>
      <c r="V12" s="16">
        <f t="shared" si="2"/>
        <v>3150</v>
      </c>
      <c r="W12" s="53">
        <v>2</v>
      </c>
      <c r="X12" s="54" t="s">
        <v>46</v>
      </c>
      <c r="Y12" s="54" t="s">
        <v>69</v>
      </c>
      <c r="Z12" s="54" t="s">
        <v>55</v>
      </c>
      <c r="AA12" s="54" t="s">
        <v>47</v>
      </c>
      <c r="AB12" s="54" t="s">
        <v>258</v>
      </c>
      <c r="AE12" s="22" t="s">
        <v>70</v>
      </c>
      <c r="AG12" s="77"/>
      <c r="AH12" s="23"/>
      <c r="AL12" s="34"/>
      <c r="AP12" s="23" t="s">
        <v>67</v>
      </c>
      <c r="AR12" s="30" t="s">
        <v>124</v>
      </c>
      <c r="AV12" s="23" t="s">
        <v>72</v>
      </c>
    </row>
    <row r="13" spans="1:53" x14ac:dyDescent="0.15">
      <c r="A13" s="54" t="s">
        <v>34</v>
      </c>
      <c r="B13" s="53" t="s">
        <v>232</v>
      </c>
      <c r="C13" s="53">
        <v>2019</v>
      </c>
      <c r="D13" s="217" t="s">
        <v>168</v>
      </c>
      <c r="E13" s="36" t="s">
        <v>372</v>
      </c>
      <c r="F13" s="36" t="s">
        <v>373</v>
      </c>
      <c r="G13" s="54" t="s">
        <v>36</v>
      </c>
      <c r="H13" s="53" t="s">
        <v>165</v>
      </c>
      <c r="I13" s="54" t="s">
        <v>159</v>
      </c>
      <c r="J13" s="54" t="s">
        <v>38</v>
      </c>
      <c r="K13" s="54" t="s">
        <v>161</v>
      </c>
      <c r="L13" s="53">
        <v>3</v>
      </c>
      <c r="N13" s="53">
        <v>1</v>
      </c>
      <c r="O13" s="53">
        <v>0.2</v>
      </c>
      <c r="P13" s="53">
        <v>1.25</v>
      </c>
      <c r="Q13" s="97">
        <f t="shared" si="0"/>
        <v>0.72499999999999998</v>
      </c>
      <c r="R13" s="53">
        <v>17.2</v>
      </c>
      <c r="S13" s="53">
        <v>138</v>
      </c>
      <c r="T13" s="16">
        <f t="shared" si="1"/>
        <v>30</v>
      </c>
      <c r="U13" s="53">
        <v>105</v>
      </c>
      <c r="V13" s="16">
        <f t="shared" si="2"/>
        <v>3150</v>
      </c>
      <c r="W13" s="53">
        <v>2</v>
      </c>
      <c r="X13" s="54" t="s">
        <v>46</v>
      </c>
      <c r="Y13" s="54" t="s">
        <v>69</v>
      </c>
      <c r="Z13" s="54" t="s">
        <v>55</v>
      </c>
      <c r="AA13" s="54" t="s">
        <v>47</v>
      </c>
      <c r="AB13" s="54" t="s">
        <v>258</v>
      </c>
      <c r="AE13" s="22" t="s">
        <v>73</v>
      </c>
      <c r="AG13" s="220"/>
      <c r="AH13" s="28"/>
      <c r="AP13" s="23" t="s">
        <v>71</v>
      </c>
      <c r="AR13" s="30" t="s">
        <v>103</v>
      </c>
      <c r="AV13" s="23" t="s">
        <v>75</v>
      </c>
    </row>
    <row r="14" spans="1:53" x14ac:dyDescent="0.15">
      <c r="A14" s="54" t="s">
        <v>34</v>
      </c>
      <c r="B14" s="53" t="s">
        <v>232</v>
      </c>
      <c r="C14" s="53">
        <v>2019</v>
      </c>
      <c r="D14" s="217" t="s">
        <v>168</v>
      </c>
      <c r="E14" s="36" t="s">
        <v>210</v>
      </c>
      <c r="F14" s="36" t="s">
        <v>381</v>
      </c>
      <c r="G14" s="54" t="s">
        <v>36</v>
      </c>
      <c r="H14" s="53" t="s">
        <v>160</v>
      </c>
      <c r="I14" s="54" t="s">
        <v>159</v>
      </c>
      <c r="J14" s="54" t="s">
        <v>38</v>
      </c>
      <c r="K14" s="54" t="s">
        <v>161</v>
      </c>
      <c r="L14" s="54">
        <v>1</v>
      </c>
      <c r="N14" s="53">
        <v>1</v>
      </c>
      <c r="O14" s="53">
        <v>0.7</v>
      </c>
      <c r="P14" s="53">
        <v>0.75</v>
      </c>
      <c r="Q14" s="97">
        <f t="shared" si="0"/>
        <v>0.72499999999999998</v>
      </c>
      <c r="R14" s="53">
        <v>19</v>
      </c>
      <c r="S14" s="53">
        <v>137</v>
      </c>
      <c r="T14" s="16">
        <f t="shared" si="1"/>
        <v>30</v>
      </c>
      <c r="U14" s="53">
        <v>137</v>
      </c>
      <c r="V14" s="16">
        <f t="shared" si="2"/>
        <v>4110</v>
      </c>
      <c r="W14" s="53">
        <v>10</v>
      </c>
      <c r="X14" s="54" t="s">
        <v>46</v>
      </c>
      <c r="Y14" s="54" t="s">
        <v>55</v>
      </c>
      <c r="Z14" s="54" t="s">
        <v>69</v>
      </c>
      <c r="AA14" s="54" t="s">
        <v>47</v>
      </c>
      <c r="AB14" s="54" t="s">
        <v>258</v>
      </c>
      <c r="AE14" s="22" t="s">
        <v>76</v>
      </c>
      <c r="AG14" s="221"/>
      <c r="AL14" s="151"/>
      <c r="AP14" s="23" t="s">
        <v>74</v>
      </c>
      <c r="AR14" s="30" t="s">
        <v>125</v>
      </c>
      <c r="AV14" s="23" t="s">
        <v>78</v>
      </c>
    </row>
    <row r="15" spans="1:53" x14ac:dyDescent="0.15">
      <c r="A15" s="54" t="s">
        <v>34</v>
      </c>
      <c r="B15" s="53" t="s">
        <v>232</v>
      </c>
      <c r="C15" s="53">
        <v>2019</v>
      </c>
      <c r="D15" s="217" t="s">
        <v>168</v>
      </c>
      <c r="E15" s="36" t="s">
        <v>210</v>
      </c>
      <c r="F15" s="36" t="s">
        <v>381</v>
      </c>
      <c r="G15" s="54" t="s">
        <v>36</v>
      </c>
      <c r="H15" s="53" t="s">
        <v>160</v>
      </c>
      <c r="I15" s="54" t="s">
        <v>159</v>
      </c>
      <c r="J15" s="54" t="s">
        <v>38</v>
      </c>
      <c r="K15" s="54" t="s">
        <v>161</v>
      </c>
      <c r="L15" s="54">
        <v>2</v>
      </c>
      <c r="N15" s="53">
        <v>1</v>
      </c>
      <c r="O15" s="53">
        <v>0.7</v>
      </c>
      <c r="P15" s="53">
        <v>0.6</v>
      </c>
      <c r="Q15" s="97">
        <f t="shared" si="0"/>
        <v>0.64999999999999991</v>
      </c>
      <c r="R15" s="53">
        <v>18.399999999999999</v>
      </c>
      <c r="S15" s="53">
        <v>138</v>
      </c>
      <c r="T15" s="16">
        <f t="shared" si="1"/>
        <v>30</v>
      </c>
      <c r="U15" s="53">
        <v>137</v>
      </c>
      <c r="V15" s="16">
        <f t="shared" si="2"/>
        <v>4110</v>
      </c>
      <c r="W15" s="53">
        <v>10</v>
      </c>
      <c r="X15" s="54" t="s">
        <v>46</v>
      </c>
      <c r="Y15" s="54" t="s">
        <v>55</v>
      </c>
      <c r="Z15" s="54" t="s">
        <v>69</v>
      </c>
      <c r="AA15" s="54" t="s">
        <v>47</v>
      </c>
      <c r="AB15" s="54" t="s">
        <v>258</v>
      </c>
      <c r="AE15" s="22" t="s">
        <v>79</v>
      </c>
      <c r="AL15" s="222"/>
      <c r="AP15" s="23" t="s">
        <v>77</v>
      </c>
      <c r="AR15" s="30" t="s">
        <v>94</v>
      </c>
      <c r="AV15" s="23" t="s">
        <v>107</v>
      </c>
    </row>
    <row r="16" spans="1:53" x14ac:dyDescent="0.15">
      <c r="A16" s="54" t="s">
        <v>34</v>
      </c>
      <c r="B16" s="53" t="s">
        <v>232</v>
      </c>
      <c r="C16" s="53">
        <v>2019</v>
      </c>
      <c r="D16" s="217" t="s">
        <v>168</v>
      </c>
      <c r="E16" s="36" t="s">
        <v>210</v>
      </c>
      <c r="F16" s="36" t="s">
        <v>381</v>
      </c>
      <c r="G16" s="54" t="s">
        <v>36</v>
      </c>
      <c r="H16" s="53" t="s">
        <v>160</v>
      </c>
      <c r="I16" s="54" t="s">
        <v>159</v>
      </c>
      <c r="J16" s="54" t="s">
        <v>38</v>
      </c>
      <c r="K16" s="54" t="s">
        <v>161</v>
      </c>
      <c r="L16" s="54">
        <v>3</v>
      </c>
      <c r="N16" s="53">
        <v>1</v>
      </c>
      <c r="O16" s="53">
        <v>0.45</v>
      </c>
      <c r="P16" s="53">
        <v>0.65</v>
      </c>
      <c r="Q16" s="97">
        <f t="shared" si="0"/>
        <v>0.55000000000000004</v>
      </c>
      <c r="R16" s="53">
        <v>18.600000000000001</v>
      </c>
      <c r="S16" s="53">
        <v>134</v>
      </c>
      <c r="T16" s="16">
        <f t="shared" si="1"/>
        <v>30</v>
      </c>
      <c r="U16" s="53">
        <v>137</v>
      </c>
      <c r="V16" s="16">
        <f t="shared" si="2"/>
        <v>4110</v>
      </c>
      <c r="W16" s="53">
        <v>10</v>
      </c>
      <c r="X16" s="54" t="s">
        <v>46</v>
      </c>
      <c r="Y16" s="54" t="s">
        <v>55</v>
      </c>
      <c r="Z16" s="54" t="s">
        <v>69</v>
      </c>
      <c r="AA16" s="54" t="s">
        <v>47</v>
      </c>
      <c r="AB16" s="54" t="s">
        <v>258</v>
      </c>
      <c r="AE16" s="22" t="s">
        <v>82</v>
      </c>
      <c r="AL16" s="222"/>
      <c r="AP16" s="23" t="s">
        <v>80</v>
      </c>
      <c r="AR16" s="41" t="s">
        <v>63</v>
      </c>
      <c r="AV16" s="23" t="s">
        <v>84</v>
      </c>
    </row>
    <row r="17" spans="1:48" x14ac:dyDescent="0.15">
      <c r="A17" s="54" t="s">
        <v>34</v>
      </c>
      <c r="B17" s="53" t="s">
        <v>232</v>
      </c>
      <c r="C17" s="53">
        <v>2019</v>
      </c>
      <c r="D17" s="217" t="s">
        <v>168</v>
      </c>
      <c r="E17" s="36" t="s">
        <v>210</v>
      </c>
      <c r="F17" s="36" t="s">
        <v>381</v>
      </c>
      <c r="G17" s="54" t="s">
        <v>36</v>
      </c>
      <c r="H17" s="53" t="s">
        <v>160</v>
      </c>
      <c r="I17" s="54" t="s">
        <v>159</v>
      </c>
      <c r="J17" s="54" t="s">
        <v>38</v>
      </c>
      <c r="K17" s="54" t="s">
        <v>161</v>
      </c>
      <c r="L17" s="54">
        <v>1</v>
      </c>
      <c r="N17" s="53">
        <v>4</v>
      </c>
      <c r="O17" s="53">
        <v>0.5</v>
      </c>
      <c r="P17" s="53">
        <v>0.5</v>
      </c>
      <c r="Q17" s="97">
        <f t="shared" si="0"/>
        <v>0.5</v>
      </c>
      <c r="R17" s="53">
        <v>18.899999999999999</v>
      </c>
      <c r="S17" s="53">
        <v>93</v>
      </c>
      <c r="T17" s="16">
        <f t="shared" si="1"/>
        <v>36</v>
      </c>
      <c r="U17" s="53">
        <v>428</v>
      </c>
      <c r="V17" s="16">
        <f t="shared" si="2"/>
        <v>3852</v>
      </c>
      <c r="W17" s="53">
        <v>10</v>
      </c>
      <c r="X17" s="54" t="s">
        <v>46</v>
      </c>
      <c r="Y17" s="54" t="s">
        <v>55</v>
      </c>
      <c r="Z17" s="54" t="s">
        <v>69</v>
      </c>
      <c r="AA17" s="54" t="s">
        <v>47</v>
      </c>
      <c r="AB17" s="54" t="s">
        <v>258</v>
      </c>
      <c r="AE17" s="22" t="s">
        <v>85</v>
      </c>
      <c r="AL17" s="222"/>
      <c r="AP17" s="43" t="s">
        <v>110</v>
      </c>
      <c r="AR17" s="41" t="s">
        <v>96</v>
      </c>
      <c r="AV17" s="23" t="s">
        <v>86</v>
      </c>
    </row>
    <row r="18" spans="1:48" x14ac:dyDescent="0.15">
      <c r="A18" s="54" t="s">
        <v>34</v>
      </c>
      <c r="B18" s="53" t="s">
        <v>232</v>
      </c>
      <c r="C18" s="53">
        <v>2019</v>
      </c>
      <c r="D18" s="217" t="s">
        <v>168</v>
      </c>
      <c r="E18" s="36" t="s">
        <v>210</v>
      </c>
      <c r="F18" s="36" t="s">
        <v>381</v>
      </c>
      <c r="G18" s="54" t="s">
        <v>36</v>
      </c>
      <c r="H18" s="53" t="s">
        <v>160</v>
      </c>
      <c r="I18" s="54" t="s">
        <v>159</v>
      </c>
      <c r="J18" s="54" t="s">
        <v>38</v>
      </c>
      <c r="K18" s="54" t="s">
        <v>161</v>
      </c>
      <c r="L18" s="53">
        <v>2</v>
      </c>
      <c r="N18" s="53">
        <v>4</v>
      </c>
      <c r="O18" s="53">
        <v>0.8</v>
      </c>
      <c r="P18" s="53">
        <v>0.6</v>
      </c>
      <c r="Q18" s="97">
        <f t="shared" si="0"/>
        <v>0.7</v>
      </c>
      <c r="R18" s="53">
        <v>17</v>
      </c>
      <c r="S18" s="53">
        <v>102</v>
      </c>
      <c r="T18" s="16">
        <f t="shared" si="1"/>
        <v>33</v>
      </c>
      <c r="U18" s="53">
        <v>428</v>
      </c>
      <c r="V18" s="16">
        <f t="shared" si="2"/>
        <v>3531</v>
      </c>
      <c r="W18" s="53">
        <v>10</v>
      </c>
      <c r="X18" s="54" t="s">
        <v>46</v>
      </c>
      <c r="Y18" s="54" t="s">
        <v>55</v>
      </c>
      <c r="Z18" s="54" t="s">
        <v>69</v>
      </c>
      <c r="AA18" s="54" t="s">
        <v>47</v>
      </c>
      <c r="AB18" s="54" t="s">
        <v>258</v>
      </c>
      <c r="AE18" s="22" t="s">
        <v>87</v>
      </c>
      <c r="AL18" s="54"/>
      <c r="AP18" s="43" t="s">
        <v>111</v>
      </c>
      <c r="AR18" s="41" t="s">
        <v>101</v>
      </c>
      <c r="AV18" s="23" t="s">
        <v>88</v>
      </c>
    </row>
    <row r="19" spans="1:48" x14ac:dyDescent="0.15">
      <c r="A19" s="54" t="s">
        <v>34</v>
      </c>
      <c r="B19" s="53" t="s">
        <v>232</v>
      </c>
      <c r="C19" s="53">
        <v>2019</v>
      </c>
      <c r="D19" s="217" t="s">
        <v>168</v>
      </c>
      <c r="E19" s="36" t="s">
        <v>210</v>
      </c>
      <c r="F19" s="36" t="s">
        <v>381</v>
      </c>
      <c r="G19" s="54" t="s">
        <v>36</v>
      </c>
      <c r="H19" s="53" t="s">
        <v>160</v>
      </c>
      <c r="I19" s="54" t="s">
        <v>159</v>
      </c>
      <c r="J19" s="54" t="s">
        <v>38</v>
      </c>
      <c r="K19" s="54" t="s">
        <v>161</v>
      </c>
      <c r="L19" s="53">
        <v>3</v>
      </c>
      <c r="N19" s="53">
        <v>4</v>
      </c>
      <c r="O19" s="53">
        <v>0.75</v>
      </c>
      <c r="P19" s="53">
        <v>0.9</v>
      </c>
      <c r="Q19" s="97">
        <f t="shared" si="0"/>
        <v>0.82499999999999996</v>
      </c>
      <c r="R19" s="53">
        <v>17</v>
      </c>
      <c r="S19" s="53">
        <v>103</v>
      </c>
      <c r="T19" s="16">
        <f t="shared" si="1"/>
        <v>33</v>
      </c>
      <c r="U19" s="53">
        <v>428</v>
      </c>
      <c r="V19" s="16">
        <f t="shared" si="2"/>
        <v>3531</v>
      </c>
      <c r="W19" s="53">
        <v>10</v>
      </c>
      <c r="X19" s="54" t="s">
        <v>46</v>
      </c>
      <c r="Y19" s="54" t="s">
        <v>55</v>
      </c>
      <c r="Z19" s="54" t="s">
        <v>69</v>
      </c>
      <c r="AA19" s="54" t="s">
        <v>47</v>
      </c>
      <c r="AB19" s="54" t="s">
        <v>258</v>
      </c>
      <c r="AE19" s="35" t="s">
        <v>89</v>
      </c>
      <c r="AP19" s="43" t="s">
        <v>112</v>
      </c>
      <c r="AR19" s="30" t="s">
        <v>126</v>
      </c>
      <c r="AV19" s="23" t="s">
        <v>90</v>
      </c>
    </row>
    <row r="20" spans="1:48" x14ac:dyDescent="0.15">
      <c r="A20" s="54" t="s">
        <v>34</v>
      </c>
      <c r="B20" s="53" t="s">
        <v>232</v>
      </c>
      <c r="C20" s="53">
        <v>2019</v>
      </c>
      <c r="D20" s="217" t="s">
        <v>168</v>
      </c>
      <c r="E20" s="36" t="s">
        <v>210</v>
      </c>
      <c r="F20" s="36" t="s">
        <v>381</v>
      </c>
      <c r="G20" s="54" t="s">
        <v>36</v>
      </c>
      <c r="H20" s="53" t="s">
        <v>165</v>
      </c>
      <c r="I20" s="54" t="s">
        <v>159</v>
      </c>
      <c r="J20" s="54" t="s">
        <v>38</v>
      </c>
      <c r="K20" s="54" t="s">
        <v>161</v>
      </c>
      <c r="L20" s="54">
        <v>1</v>
      </c>
      <c r="N20" s="53">
        <v>1</v>
      </c>
      <c r="O20" s="53">
        <v>0.55000000000000004</v>
      </c>
      <c r="P20" s="53">
        <v>0.8</v>
      </c>
      <c r="Q20" s="97">
        <f t="shared" si="0"/>
        <v>0.67500000000000004</v>
      </c>
      <c r="R20" s="53">
        <v>17.8</v>
      </c>
      <c r="S20" s="53">
        <v>117</v>
      </c>
      <c r="T20" s="16">
        <f t="shared" si="1"/>
        <v>30</v>
      </c>
      <c r="U20" s="53">
        <v>137</v>
      </c>
      <c r="V20" s="16">
        <f t="shared" si="2"/>
        <v>4110</v>
      </c>
      <c r="W20" s="53">
        <v>7</v>
      </c>
      <c r="X20" s="54" t="s">
        <v>46</v>
      </c>
      <c r="Y20" s="54" t="s">
        <v>55</v>
      </c>
      <c r="Z20" s="54" t="s">
        <v>69</v>
      </c>
      <c r="AA20" s="54" t="s">
        <v>47</v>
      </c>
      <c r="AB20" s="54" t="s">
        <v>258</v>
      </c>
      <c r="AP20" s="43" t="s">
        <v>113</v>
      </c>
      <c r="AR20" s="41" t="s">
        <v>105</v>
      </c>
      <c r="AV20" s="27" t="s">
        <v>135</v>
      </c>
    </row>
    <row r="21" spans="1:48" x14ac:dyDescent="0.15">
      <c r="A21" s="54" t="s">
        <v>34</v>
      </c>
      <c r="B21" s="53" t="s">
        <v>232</v>
      </c>
      <c r="C21" s="53">
        <v>2019</v>
      </c>
      <c r="D21" s="217" t="s">
        <v>168</v>
      </c>
      <c r="E21" s="36" t="s">
        <v>210</v>
      </c>
      <c r="F21" s="36" t="s">
        <v>381</v>
      </c>
      <c r="G21" s="54" t="s">
        <v>36</v>
      </c>
      <c r="H21" s="53" t="s">
        <v>165</v>
      </c>
      <c r="I21" s="54" t="s">
        <v>159</v>
      </c>
      <c r="J21" s="54" t="s">
        <v>38</v>
      </c>
      <c r="K21" s="54" t="s">
        <v>161</v>
      </c>
      <c r="L21" s="53">
        <v>2</v>
      </c>
      <c r="N21" s="53">
        <v>1</v>
      </c>
      <c r="O21" s="53">
        <v>0.55000000000000004</v>
      </c>
      <c r="P21" s="53">
        <v>0.65</v>
      </c>
      <c r="Q21" s="97">
        <f t="shared" si="0"/>
        <v>0.60000000000000009</v>
      </c>
      <c r="R21" s="53">
        <v>17.5</v>
      </c>
      <c r="S21" s="53">
        <v>125</v>
      </c>
      <c r="T21" s="16">
        <f t="shared" si="1"/>
        <v>30</v>
      </c>
      <c r="U21" s="53">
        <v>137</v>
      </c>
      <c r="V21" s="16">
        <f t="shared" si="2"/>
        <v>4110</v>
      </c>
      <c r="W21" s="53">
        <v>7</v>
      </c>
      <c r="X21" s="54" t="s">
        <v>46</v>
      </c>
      <c r="Y21" s="54" t="s">
        <v>55</v>
      </c>
      <c r="Z21" s="54" t="s">
        <v>69</v>
      </c>
      <c r="AA21" s="54" t="s">
        <v>47</v>
      </c>
      <c r="AB21" s="54" t="s">
        <v>258</v>
      </c>
      <c r="AP21" s="43" t="s">
        <v>114</v>
      </c>
      <c r="AR21" s="41" t="s">
        <v>68</v>
      </c>
      <c r="AV21" s="27" t="s">
        <v>136</v>
      </c>
    </row>
    <row r="22" spans="1:48" x14ac:dyDescent="0.15">
      <c r="A22" s="54" t="s">
        <v>34</v>
      </c>
      <c r="B22" s="53" t="s">
        <v>232</v>
      </c>
      <c r="C22" s="53">
        <v>2019</v>
      </c>
      <c r="D22" s="217" t="s">
        <v>168</v>
      </c>
      <c r="E22" s="36" t="s">
        <v>210</v>
      </c>
      <c r="F22" s="36" t="s">
        <v>381</v>
      </c>
      <c r="G22" s="54" t="s">
        <v>36</v>
      </c>
      <c r="H22" s="53" t="s">
        <v>165</v>
      </c>
      <c r="I22" s="54" t="s">
        <v>159</v>
      </c>
      <c r="J22" s="54" t="s">
        <v>38</v>
      </c>
      <c r="K22" s="54" t="s">
        <v>161</v>
      </c>
      <c r="L22" s="53">
        <v>3</v>
      </c>
      <c r="N22" s="53">
        <v>1</v>
      </c>
      <c r="O22" s="53">
        <v>0.8</v>
      </c>
      <c r="P22" s="53">
        <v>0.75</v>
      </c>
      <c r="Q22" s="97">
        <f t="shared" si="0"/>
        <v>0.77500000000000002</v>
      </c>
      <c r="R22" s="53">
        <v>20.100000000000001</v>
      </c>
      <c r="S22" s="53">
        <v>116</v>
      </c>
      <c r="T22" s="16">
        <f t="shared" si="1"/>
        <v>30</v>
      </c>
      <c r="U22" s="53">
        <v>137</v>
      </c>
      <c r="V22" s="16">
        <f t="shared" si="2"/>
        <v>4110</v>
      </c>
      <c r="W22" s="53">
        <v>7</v>
      </c>
      <c r="X22" s="54" t="s">
        <v>46</v>
      </c>
      <c r="Y22" s="54" t="s">
        <v>55</v>
      </c>
      <c r="Z22" s="54" t="s">
        <v>69</v>
      </c>
      <c r="AA22" s="54" t="s">
        <v>47</v>
      </c>
      <c r="AB22" s="54" t="s">
        <v>258</v>
      </c>
      <c r="AP22" s="43" t="s">
        <v>115</v>
      </c>
      <c r="AR22" s="41" t="s">
        <v>83</v>
      </c>
      <c r="AV22" s="27"/>
    </row>
    <row r="23" spans="1:48" x14ac:dyDescent="0.15">
      <c r="A23" s="54" t="s">
        <v>34</v>
      </c>
      <c r="B23" s="53" t="s">
        <v>232</v>
      </c>
      <c r="C23" s="53">
        <v>2019</v>
      </c>
      <c r="D23" s="217" t="s">
        <v>168</v>
      </c>
      <c r="E23" s="36" t="s">
        <v>210</v>
      </c>
      <c r="F23" s="36" t="s">
        <v>381</v>
      </c>
      <c r="G23" s="54" t="s">
        <v>36</v>
      </c>
      <c r="H23" s="53" t="s">
        <v>165</v>
      </c>
      <c r="I23" s="54" t="s">
        <v>159</v>
      </c>
      <c r="J23" s="54" t="s">
        <v>38</v>
      </c>
      <c r="K23" s="54" t="s">
        <v>161</v>
      </c>
      <c r="L23" s="54">
        <v>1</v>
      </c>
      <c r="N23" s="53">
        <v>4</v>
      </c>
      <c r="O23" s="53">
        <v>0.2</v>
      </c>
      <c r="P23" s="53">
        <v>0.55000000000000004</v>
      </c>
      <c r="Q23" s="97">
        <f t="shared" si="0"/>
        <v>0.375</v>
      </c>
      <c r="R23" s="53">
        <v>15.2</v>
      </c>
      <c r="S23" s="53">
        <v>100</v>
      </c>
      <c r="T23" s="16">
        <f t="shared" si="1"/>
        <v>33</v>
      </c>
      <c r="U23" s="53">
        <v>428</v>
      </c>
      <c r="V23" s="16">
        <f t="shared" si="2"/>
        <v>3531</v>
      </c>
      <c r="W23" s="53">
        <v>7</v>
      </c>
      <c r="X23" s="54" t="s">
        <v>46</v>
      </c>
      <c r="Y23" s="54" t="s">
        <v>55</v>
      </c>
      <c r="Z23" s="54" t="s">
        <v>69</v>
      </c>
      <c r="AA23" s="54" t="s">
        <v>47</v>
      </c>
      <c r="AB23" s="54" t="s">
        <v>258</v>
      </c>
      <c r="AP23" s="43" t="s">
        <v>117</v>
      </c>
      <c r="AR23" s="41" t="s">
        <v>153</v>
      </c>
    </row>
    <row r="24" spans="1:48" x14ac:dyDescent="0.15">
      <c r="A24" s="54" t="s">
        <v>34</v>
      </c>
      <c r="B24" s="53" t="s">
        <v>232</v>
      </c>
      <c r="C24" s="53">
        <v>2019</v>
      </c>
      <c r="D24" s="217" t="s">
        <v>168</v>
      </c>
      <c r="E24" s="36" t="s">
        <v>210</v>
      </c>
      <c r="F24" s="36" t="s">
        <v>381</v>
      </c>
      <c r="G24" s="54" t="s">
        <v>36</v>
      </c>
      <c r="H24" s="53" t="s">
        <v>165</v>
      </c>
      <c r="I24" s="54" t="s">
        <v>159</v>
      </c>
      <c r="J24" s="54" t="s">
        <v>38</v>
      </c>
      <c r="K24" s="54" t="s">
        <v>161</v>
      </c>
      <c r="L24" s="53">
        <v>2</v>
      </c>
      <c r="N24" s="53">
        <v>4</v>
      </c>
      <c r="O24" s="53">
        <v>0.65</v>
      </c>
      <c r="P24" s="53">
        <v>0.55000000000000004</v>
      </c>
      <c r="Q24" s="97">
        <f t="shared" si="0"/>
        <v>0.60000000000000009</v>
      </c>
      <c r="R24" s="53">
        <v>16.899999999999999</v>
      </c>
      <c r="S24" s="53">
        <v>100</v>
      </c>
      <c r="T24" s="16">
        <f t="shared" si="1"/>
        <v>33</v>
      </c>
      <c r="U24" s="53">
        <v>428</v>
      </c>
      <c r="V24" s="16">
        <f t="shared" si="2"/>
        <v>3531</v>
      </c>
      <c r="W24" s="53">
        <v>7</v>
      </c>
      <c r="X24" s="54" t="s">
        <v>46</v>
      </c>
      <c r="Y24" s="54" t="s">
        <v>55</v>
      </c>
      <c r="Z24" s="54" t="s">
        <v>69</v>
      </c>
      <c r="AA24" s="54" t="s">
        <v>47</v>
      </c>
      <c r="AB24" s="54" t="s">
        <v>258</v>
      </c>
      <c r="AP24" s="43" t="s">
        <v>118</v>
      </c>
    </row>
    <row r="25" spans="1:48" x14ac:dyDescent="0.15">
      <c r="A25" s="54" t="s">
        <v>34</v>
      </c>
      <c r="B25" s="53" t="s">
        <v>232</v>
      </c>
      <c r="C25" s="53">
        <v>2019</v>
      </c>
      <c r="D25" s="217" t="s">
        <v>168</v>
      </c>
      <c r="E25" s="36" t="s">
        <v>210</v>
      </c>
      <c r="F25" s="36" t="s">
        <v>381</v>
      </c>
      <c r="G25" s="54" t="s">
        <v>36</v>
      </c>
      <c r="H25" s="53" t="s">
        <v>165</v>
      </c>
      <c r="I25" s="54" t="s">
        <v>159</v>
      </c>
      <c r="J25" s="54" t="s">
        <v>38</v>
      </c>
      <c r="K25" s="54" t="s">
        <v>161</v>
      </c>
      <c r="L25" s="53">
        <v>3</v>
      </c>
      <c r="N25" s="53">
        <v>4</v>
      </c>
      <c r="O25" s="53">
        <v>0.65</v>
      </c>
      <c r="P25" s="53">
        <v>0.6</v>
      </c>
      <c r="Q25" s="97">
        <f t="shared" si="0"/>
        <v>0.625</v>
      </c>
      <c r="R25" s="53">
        <v>16.899999999999999</v>
      </c>
      <c r="S25" s="53">
        <v>100</v>
      </c>
      <c r="T25" s="16">
        <f t="shared" si="1"/>
        <v>33</v>
      </c>
      <c r="U25" s="53">
        <v>428</v>
      </c>
      <c r="V25" s="16">
        <f t="shared" si="2"/>
        <v>3531</v>
      </c>
      <c r="W25" s="53">
        <v>7</v>
      </c>
      <c r="X25" s="54" t="s">
        <v>46</v>
      </c>
      <c r="Y25" s="54" t="s">
        <v>55</v>
      </c>
      <c r="Z25" s="54" t="s">
        <v>69</v>
      </c>
      <c r="AA25" s="54" t="s">
        <v>47</v>
      </c>
      <c r="AB25" s="54" t="s">
        <v>258</v>
      </c>
    </row>
    <row r="26" spans="1:48" x14ac:dyDescent="0.15">
      <c r="A26" s="54" t="s">
        <v>34</v>
      </c>
      <c r="B26" s="53" t="s">
        <v>232</v>
      </c>
      <c r="C26" s="53">
        <v>2019</v>
      </c>
      <c r="D26" s="217" t="s">
        <v>168</v>
      </c>
      <c r="E26" s="36" t="s">
        <v>370</v>
      </c>
      <c r="F26" s="36" t="s">
        <v>371</v>
      </c>
      <c r="G26" s="54" t="s">
        <v>36</v>
      </c>
      <c r="H26" s="53" t="s">
        <v>160</v>
      </c>
      <c r="I26" s="54" t="s">
        <v>159</v>
      </c>
      <c r="J26" s="54" t="s">
        <v>38</v>
      </c>
      <c r="K26" s="54" t="s">
        <v>161</v>
      </c>
      <c r="L26" s="54">
        <v>1</v>
      </c>
      <c r="N26" s="53">
        <v>1</v>
      </c>
      <c r="O26" s="53">
        <v>0.65</v>
      </c>
      <c r="P26" s="53">
        <v>0.6</v>
      </c>
      <c r="Q26" s="97">
        <f t="shared" si="0"/>
        <v>0.625</v>
      </c>
      <c r="R26" s="53">
        <v>20.5</v>
      </c>
      <c r="S26" s="53">
        <v>144</v>
      </c>
      <c r="T26" s="16">
        <f t="shared" si="1"/>
        <v>30</v>
      </c>
      <c r="U26" s="53">
        <v>108</v>
      </c>
      <c r="V26" s="16">
        <f t="shared" si="2"/>
        <v>3240</v>
      </c>
      <c r="W26" s="53">
        <v>9</v>
      </c>
      <c r="X26" s="54" t="s">
        <v>46</v>
      </c>
      <c r="Y26" s="54" t="s">
        <v>55</v>
      </c>
      <c r="Z26" s="54" t="s">
        <v>47</v>
      </c>
      <c r="AA26" s="54" t="s">
        <v>69</v>
      </c>
      <c r="AB26" s="54" t="s">
        <v>258</v>
      </c>
    </row>
    <row r="27" spans="1:48" x14ac:dyDescent="0.15">
      <c r="A27" s="54" t="s">
        <v>34</v>
      </c>
      <c r="B27" s="53" t="s">
        <v>232</v>
      </c>
      <c r="C27" s="53">
        <v>2019</v>
      </c>
      <c r="D27" s="217" t="s">
        <v>168</v>
      </c>
      <c r="E27" s="36" t="s">
        <v>370</v>
      </c>
      <c r="F27" s="36" t="s">
        <v>371</v>
      </c>
      <c r="G27" s="54" t="s">
        <v>36</v>
      </c>
      <c r="H27" s="53" t="s">
        <v>160</v>
      </c>
      <c r="I27" s="54" t="s">
        <v>159</v>
      </c>
      <c r="J27" s="54" t="s">
        <v>38</v>
      </c>
      <c r="K27" s="54" t="s">
        <v>161</v>
      </c>
      <c r="L27" s="53">
        <v>2</v>
      </c>
      <c r="N27" s="53">
        <v>1</v>
      </c>
      <c r="O27" s="53">
        <v>0.7</v>
      </c>
      <c r="P27" s="53">
        <v>0.75</v>
      </c>
      <c r="Q27" s="97">
        <f t="shared" si="0"/>
        <v>0.72499999999999998</v>
      </c>
      <c r="R27" s="53">
        <v>19.899999999999999</v>
      </c>
      <c r="S27" s="53">
        <v>147</v>
      </c>
      <c r="T27" s="16">
        <f t="shared" si="1"/>
        <v>30</v>
      </c>
      <c r="U27" s="53">
        <v>108</v>
      </c>
      <c r="V27" s="16">
        <f t="shared" si="2"/>
        <v>3240</v>
      </c>
      <c r="W27" s="53">
        <v>9</v>
      </c>
      <c r="X27" s="54" t="s">
        <v>46</v>
      </c>
      <c r="Y27" s="54" t="s">
        <v>55</v>
      </c>
      <c r="Z27" s="54" t="s">
        <v>47</v>
      </c>
      <c r="AA27" s="54" t="s">
        <v>69</v>
      </c>
      <c r="AB27" s="54" t="s">
        <v>258</v>
      </c>
    </row>
    <row r="28" spans="1:48" x14ac:dyDescent="0.15">
      <c r="A28" s="54" t="s">
        <v>34</v>
      </c>
      <c r="B28" s="53" t="s">
        <v>232</v>
      </c>
      <c r="C28" s="53">
        <v>2019</v>
      </c>
      <c r="D28" s="217" t="s">
        <v>168</v>
      </c>
      <c r="E28" s="36" t="s">
        <v>370</v>
      </c>
      <c r="F28" s="36" t="s">
        <v>371</v>
      </c>
      <c r="G28" s="54" t="s">
        <v>36</v>
      </c>
      <c r="H28" s="53" t="s">
        <v>160</v>
      </c>
      <c r="I28" s="54" t="s">
        <v>159</v>
      </c>
      <c r="J28" s="54" t="s">
        <v>38</v>
      </c>
      <c r="K28" s="54" t="s">
        <v>161</v>
      </c>
      <c r="L28" s="53">
        <v>3</v>
      </c>
      <c r="N28" s="53">
        <v>1</v>
      </c>
      <c r="O28" s="53">
        <v>0.65</v>
      </c>
      <c r="P28" s="53">
        <v>0.6</v>
      </c>
      <c r="Q28" s="97">
        <f>IF(OR(O28="",P28=""),"",AVERAGE(O28,P28))</f>
        <v>0.625</v>
      </c>
      <c r="R28" s="53">
        <v>20.7</v>
      </c>
      <c r="S28" s="53">
        <v>141</v>
      </c>
      <c r="T28" s="16">
        <f t="shared" si="1"/>
        <v>30</v>
      </c>
      <c r="U28" s="53">
        <v>108</v>
      </c>
      <c r="V28" s="16">
        <f t="shared" si="2"/>
        <v>3240</v>
      </c>
      <c r="W28" s="53">
        <v>9</v>
      </c>
      <c r="X28" s="54" t="s">
        <v>46</v>
      </c>
      <c r="Y28" s="54" t="s">
        <v>55</v>
      </c>
      <c r="Z28" s="54" t="s">
        <v>47</v>
      </c>
      <c r="AA28" s="54" t="s">
        <v>69</v>
      </c>
      <c r="AB28" s="54" t="s">
        <v>258</v>
      </c>
    </row>
    <row r="29" spans="1:48" x14ac:dyDescent="0.15">
      <c r="A29" s="54" t="s">
        <v>34</v>
      </c>
      <c r="B29" s="53" t="s">
        <v>232</v>
      </c>
      <c r="C29" s="53">
        <v>2019</v>
      </c>
      <c r="D29" s="217" t="s">
        <v>168</v>
      </c>
      <c r="E29" s="36" t="s">
        <v>370</v>
      </c>
      <c r="F29" s="36" t="s">
        <v>371</v>
      </c>
      <c r="G29" s="54" t="s">
        <v>36</v>
      </c>
      <c r="H29" s="53" t="s">
        <v>160</v>
      </c>
      <c r="I29" s="54" t="s">
        <v>159</v>
      </c>
      <c r="J29" s="54" t="s">
        <v>38</v>
      </c>
      <c r="K29" s="54" t="s">
        <v>161</v>
      </c>
      <c r="L29" s="54">
        <v>1</v>
      </c>
      <c r="N29" s="53">
        <v>3</v>
      </c>
      <c r="O29" s="53">
        <v>0.85</v>
      </c>
      <c r="P29" s="53">
        <v>0.75</v>
      </c>
      <c r="Q29" s="97">
        <f t="shared" si="0"/>
        <v>0.8</v>
      </c>
      <c r="R29" s="53">
        <v>21.5</v>
      </c>
      <c r="S29" s="53">
        <v>165</v>
      </c>
      <c r="T29" s="16">
        <f t="shared" si="1"/>
        <v>18</v>
      </c>
      <c r="U29" s="53">
        <v>429</v>
      </c>
      <c r="V29" s="16">
        <f t="shared" si="2"/>
        <v>2574</v>
      </c>
      <c r="W29" s="53">
        <v>9</v>
      </c>
      <c r="X29" s="54" t="s">
        <v>46</v>
      </c>
      <c r="Y29" s="54" t="s">
        <v>55</v>
      </c>
      <c r="Z29" s="54" t="s">
        <v>47</v>
      </c>
      <c r="AA29" s="54" t="s">
        <v>69</v>
      </c>
      <c r="AB29" s="54" t="s">
        <v>258</v>
      </c>
    </row>
    <row r="30" spans="1:48" x14ac:dyDescent="0.15">
      <c r="A30" s="54" t="s">
        <v>34</v>
      </c>
      <c r="B30" s="53" t="s">
        <v>232</v>
      </c>
      <c r="C30" s="53">
        <v>2019</v>
      </c>
      <c r="D30" s="217" t="s">
        <v>168</v>
      </c>
      <c r="E30" s="36" t="s">
        <v>370</v>
      </c>
      <c r="F30" s="36" t="s">
        <v>371</v>
      </c>
      <c r="G30" s="54" t="s">
        <v>36</v>
      </c>
      <c r="H30" s="53" t="s">
        <v>160</v>
      </c>
      <c r="I30" s="54" t="s">
        <v>159</v>
      </c>
      <c r="J30" s="54" t="s">
        <v>38</v>
      </c>
      <c r="K30" s="54" t="s">
        <v>161</v>
      </c>
      <c r="L30" s="53">
        <v>2</v>
      </c>
      <c r="N30" s="53">
        <v>3</v>
      </c>
      <c r="O30" s="53">
        <v>0.65</v>
      </c>
      <c r="P30" s="53">
        <v>0.75</v>
      </c>
      <c r="Q30" s="97">
        <f t="shared" si="0"/>
        <v>0.7</v>
      </c>
      <c r="R30" s="53">
        <v>21.2</v>
      </c>
      <c r="S30" s="53">
        <v>152</v>
      </c>
      <c r="T30" s="16">
        <f t="shared" si="1"/>
        <v>18</v>
      </c>
      <c r="U30" s="53">
        <v>429</v>
      </c>
      <c r="V30" s="16">
        <f t="shared" si="2"/>
        <v>2574</v>
      </c>
      <c r="W30" s="53">
        <v>9</v>
      </c>
      <c r="X30" s="54" t="s">
        <v>46</v>
      </c>
      <c r="Y30" s="54" t="s">
        <v>55</v>
      </c>
      <c r="Z30" s="54" t="s">
        <v>47</v>
      </c>
      <c r="AA30" s="54" t="s">
        <v>69</v>
      </c>
      <c r="AB30" s="54" t="s">
        <v>258</v>
      </c>
    </row>
    <row r="31" spans="1:48" x14ac:dyDescent="0.15">
      <c r="A31" s="54" t="s">
        <v>34</v>
      </c>
      <c r="B31" s="53" t="s">
        <v>232</v>
      </c>
      <c r="C31" s="53">
        <v>2019</v>
      </c>
      <c r="D31" s="217" t="s">
        <v>168</v>
      </c>
      <c r="E31" s="36" t="s">
        <v>370</v>
      </c>
      <c r="F31" s="36" t="s">
        <v>371</v>
      </c>
      <c r="G31" s="54" t="s">
        <v>36</v>
      </c>
      <c r="H31" s="53" t="s">
        <v>160</v>
      </c>
      <c r="I31" s="54" t="s">
        <v>159</v>
      </c>
      <c r="J31" s="54" t="s">
        <v>38</v>
      </c>
      <c r="K31" s="54" t="s">
        <v>161</v>
      </c>
      <c r="L31" s="53">
        <v>3</v>
      </c>
      <c r="N31" s="53">
        <v>3</v>
      </c>
      <c r="O31" s="53">
        <v>0.8</v>
      </c>
      <c r="P31" s="53">
        <v>0.75</v>
      </c>
      <c r="Q31" s="97">
        <f t="shared" si="0"/>
        <v>0.77500000000000002</v>
      </c>
      <c r="R31" s="53">
        <v>18.5</v>
      </c>
      <c r="S31" s="53">
        <v>155</v>
      </c>
      <c r="T31" s="16">
        <f t="shared" si="1"/>
        <v>18</v>
      </c>
      <c r="U31" s="53">
        <v>429</v>
      </c>
      <c r="V31" s="16">
        <f t="shared" si="2"/>
        <v>2574</v>
      </c>
      <c r="W31" s="53">
        <v>9</v>
      </c>
      <c r="X31" s="54" t="s">
        <v>46</v>
      </c>
      <c r="Y31" s="54" t="s">
        <v>55</v>
      </c>
      <c r="Z31" s="54" t="s">
        <v>47</v>
      </c>
      <c r="AA31" s="54" t="s">
        <v>69</v>
      </c>
      <c r="AB31" s="54" t="s">
        <v>258</v>
      </c>
    </row>
    <row r="32" spans="1:48" x14ac:dyDescent="0.15">
      <c r="A32" s="54" t="s">
        <v>34</v>
      </c>
      <c r="B32" s="53" t="s">
        <v>232</v>
      </c>
      <c r="C32" s="53">
        <v>2019</v>
      </c>
      <c r="D32" s="217" t="s">
        <v>168</v>
      </c>
      <c r="E32" s="36" t="s">
        <v>370</v>
      </c>
      <c r="F32" s="36" t="s">
        <v>371</v>
      </c>
      <c r="G32" s="54" t="s">
        <v>36</v>
      </c>
      <c r="H32" s="53" t="s">
        <v>160</v>
      </c>
      <c r="I32" s="54" t="s">
        <v>159</v>
      </c>
      <c r="J32" s="54" t="s">
        <v>38</v>
      </c>
      <c r="K32" s="54" t="s">
        <v>161</v>
      </c>
      <c r="L32" s="54">
        <v>1</v>
      </c>
      <c r="N32" s="53">
        <v>4</v>
      </c>
      <c r="O32" s="53">
        <v>0.65</v>
      </c>
      <c r="P32" s="53">
        <v>0.6</v>
      </c>
      <c r="Q32" s="97">
        <f t="shared" si="0"/>
        <v>0.625</v>
      </c>
      <c r="R32" s="53">
        <v>19.5</v>
      </c>
      <c r="S32" s="53">
        <v>111</v>
      </c>
      <c r="T32" s="16">
        <f t="shared" si="1"/>
        <v>33</v>
      </c>
      <c r="U32" s="53">
        <v>429</v>
      </c>
      <c r="V32" s="16">
        <f t="shared" si="2"/>
        <v>3539.25</v>
      </c>
      <c r="W32" s="53">
        <v>9</v>
      </c>
      <c r="X32" s="54" t="s">
        <v>46</v>
      </c>
      <c r="Y32" s="54" t="s">
        <v>55</v>
      </c>
      <c r="Z32" s="54" t="s">
        <v>47</v>
      </c>
      <c r="AA32" s="54" t="s">
        <v>69</v>
      </c>
      <c r="AB32" s="54" t="s">
        <v>258</v>
      </c>
    </row>
    <row r="33" spans="1:28" x14ac:dyDescent="0.15">
      <c r="A33" s="54" t="s">
        <v>34</v>
      </c>
      <c r="B33" s="53" t="s">
        <v>232</v>
      </c>
      <c r="C33" s="53">
        <v>2019</v>
      </c>
      <c r="D33" s="217" t="s">
        <v>168</v>
      </c>
      <c r="E33" s="36" t="s">
        <v>370</v>
      </c>
      <c r="F33" s="36" t="s">
        <v>371</v>
      </c>
      <c r="G33" s="54" t="s">
        <v>36</v>
      </c>
      <c r="H33" s="53" t="s">
        <v>160</v>
      </c>
      <c r="I33" s="54" t="s">
        <v>159</v>
      </c>
      <c r="J33" s="54" t="s">
        <v>38</v>
      </c>
      <c r="K33" s="54" t="s">
        <v>161</v>
      </c>
      <c r="L33" s="53">
        <v>2</v>
      </c>
      <c r="N33" s="53">
        <v>4</v>
      </c>
      <c r="O33" s="53">
        <v>0.75</v>
      </c>
      <c r="P33" s="53">
        <v>0.7</v>
      </c>
      <c r="Q33" s="97">
        <f t="shared" si="0"/>
        <v>0.72499999999999998</v>
      </c>
      <c r="R33" s="53">
        <v>17.3</v>
      </c>
      <c r="S33" s="53">
        <v>113</v>
      </c>
      <c r="T33" s="16">
        <f t="shared" si="1"/>
        <v>30</v>
      </c>
      <c r="U33" s="53">
        <v>429</v>
      </c>
      <c r="V33" s="16">
        <f t="shared" si="2"/>
        <v>3217.5</v>
      </c>
      <c r="W33" s="53">
        <v>9</v>
      </c>
      <c r="X33" s="54" t="s">
        <v>46</v>
      </c>
      <c r="Y33" s="54" t="s">
        <v>55</v>
      </c>
      <c r="Z33" s="54" t="s">
        <v>47</v>
      </c>
      <c r="AA33" s="54" t="s">
        <v>69</v>
      </c>
      <c r="AB33" s="54" t="s">
        <v>258</v>
      </c>
    </row>
    <row r="34" spans="1:28" x14ac:dyDescent="0.15">
      <c r="A34" s="54" t="s">
        <v>34</v>
      </c>
      <c r="B34" s="53" t="s">
        <v>232</v>
      </c>
      <c r="C34" s="53">
        <v>2019</v>
      </c>
      <c r="D34" s="217" t="s">
        <v>168</v>
      </c>
      <c r="E34" s="36" t="s">
        <v>370</v>
      </c>
      <c r="F34" s="36" t="s">
        <v>371</v>
      </c>
      <c r="G34" s="54" t="s">
        <v>36</v>
      </c>
      <c r="H34" s="53" t="s">
        <v>160</v>
      </c>
      <c r="I34" s="54" t="s">
        <v>159</v>
      </c>
      <c r="J34" s="54" t="s">
        <v>38</v>
      </c>
      <c r="K34" s="54" t="s">
        <v>161</v>
      </c>
      <c r="L34" s="53">
        <v>3</v>
      </c>
      <c r="N34" s="53">
        <v>4</v>
      </c>
      <c r="O34" s="53">
        <v>0.75</v>
      </c>
      <c r="P34" s="53">
        <v>0.6</v>
      </c>
      <c r="Q34" s="97">
        <f>IF(OR(O34="",P34=""),"",AVERAGE(O34,P34))</f>
        <v>0.67500000000000004</v>
      </c>
      <c r="R34" s="53">
        <v>19.2</v>
      </c>
      <c r="S34" s="53">
        <v>106</v>
      </c>
      <c r="T34" s="16">
        <f t="shared" si="1"/>
        <v>33</v>
      </c>
      <c r="U34" s="53">
        <v>429</v>
      </c>
      <c r="V34" s="16">
        <f t="shared" si="2"/>
        <v>3539.25</v>
      </c>
      <c r="W34" s="53">
        <v>9</v>
      </c>
      <c r="X34" s="54" t="s">
        <v>46</v>
      </c>
      <c r="Y34" s="54" t="s">
        <v>55</v>
      </c>
      <c r="Z34" s="54" t="s">
        <v>47</v>
      </c>
      <c r="AA34" s="54" t="s">
        <v>69</v>
      </c>
      <c r="AB34" s="54" t="s">
        <v>258</v>
      </c>
    </row>
    <row r="35" spans="1:28" x14ac:dyDescent="0.15">
      <c r="A35" s="54" t="s">
        <v>34</v>
      </c>
      <c r="B35" s="53" t="s">
        <v>232</v>
      </c>
      <c r="C35" s="53">
        <v>2019</v>
      </c>
      <c r="D35" s="217" t="s">
        <v>168</v>
      </c>
      <c r="E35" s="36" t="s">
        <v>370</v>
      </c>
      <c r="F35" s="36" t="s">
        <v>371</v>
      </c>
      <c r="G35" s="54" t="s">
        <v>36</v>
      </c>
      <c r="H35" s="53" t="s">
        <v>165</v>
      </c>
      <c r="I35" s="54" t="s">
        <v>159</v>
      </c>
      <c r="J35" s="54" t="s">
        <v>38</v>
      </c>
      <c r="K35" s="54" t="s">
        <v>161</v>
      </c>
      <c r="L35" s="54">
        <v>1</v>
      </c>
      <c r="N35" s="53">
        <v>1</v>
      </c>
      <c r="O35" s="53">
        <v>0.2</v>
      </c>
      <c r="P35" s="53">
        <v>0.45</v>
      </c>
      <c r="Q35" s="97">
        <f t="shared" ref="Q35:Q36" si="3">IF(OR(O35="",P35=""),"",AVERAGE(O35,P35))</f>
        <v>0.32500000000000001</v>
      </c>
      <c r="R35" s="53">
        <v>17.899999999999999</v>
      </c>
      <c r="S35" s="53">
        <v>144</v>
      </c>
      <c r="T35" s="16">
        <f t="shared" si="1"/>
        <v>30</v>
      </c>
      <c r="U35" s="53">
        <v>108</v>
      </c>
      <c r="V35" s="16">
        <f t="shared" si="2"/>
        <v>3240</v>
      </c>
      <c r="W35" s="53">
        <v>1</v>
      </c>
      <c r="X35" s="54" t="s">
        <v>46</v>
      </c>
      <c r="Y35" s="54" t="s">
        <v>55</v>
      </c>
      <c r="Z35" s="54" t="s">
        <v>47</v>
      </c>
      <c r="AA35" s="54" t="s">
        <v>69</v>
      </c>
      <c r="AB35" s="54" t="s">
        <v>258</v>
      </c>
    </row>
    <row r="36" spans="1:28" x14ac:dyDescent="0.15">
      <c r="A36" s="54" t="s">
        <v>34</v>
      </c>
      <c r="B36" s="53" t="s">
        <v>232</v>
      </c>
      <c r="C36" s="53">
        <v>2019</v>
      </c>
      <c r="D36" s="217" t="s">
        <v>168</v>
      </c>
      <c r="E36" s="36" t="s">
        <v>370</v>
      </c>
      <c r="F36" s="36" t="s">
        <v>371</v>
      </c>
      <c r="G36" s="54" t="s">
        <v>36</v>
      </c>
      <c r="H36" s="53" t="s">
        <v>165</v>
      </c>
      <c r="I36" s="54" t="s">
        <v>159</v>
      </c>
      <c r="J36" s="54" t="s">
        <v>38</v>
      </c>
      <c r="K36" s="54" t="s">
        <v>161</v>
      </c>
      <c r="L36" s="53">
        <v>2</v>
      </c>
      <c r="N36" s="53">
        <v>1</v>
      </c>
      <c r="O36" s="53">
        <v>0.2</v>
      </c>
      <c r="P36" s="53">
        <v>0.2</v>
      </c>
      <c r="Q36" s="97">
        <f t="shared" si="3"/>
        <v>0.2</v>
      </c>
      <c r="R36" s="53">
        <v>17.899999999999999</v>
      </c>
      <c r="S36" s="53">
        <v>141</v>
      </c>
      <c r="T36" s="16">
        <f t="shared" si="1"/>
        <v>30</v>
      </c>
      <c r="U36" s="53">
        <v>108</v>
      </c>
      <c r="V36" s="16">
        <f t="shared" si="2"/>
        <v>3240</v>
      </c>
      <c r="W36" s="53">
        <v>1</v>
      </c>
      <c r="X36" s="54" t="s">
        <v>46</v>
      </c>
      <c r="Y36" s="54" t="s">
        <v>55</v>
      </c>
      <c r="Z36" s="54" t="s">
        <v>47</v>
      </c>
      <c r="AA36" s="54" t="s">
        <v>69</v>
      </c>
      <c r="AB36" s="54" t="s">
        <v>258</v>
      </c>
    </row>
    <row r="37" spans="1:28" x14ac:dyDescent="0.15">
      <c r="A37" s="54" t="s">
        <v>34</v>
      </c>
      <c r="B37" s="53" t="s">
        <v>232</v>
      </c>
      <c r="C37" s="53">
        <v>2019</v>
      </c>
      <c r="D37" s="217" t="s">
        <v>168</v>
      </c>
      <c r="E37" s="36" t="s">
        <v>370</v>
      </c>
      <c r="F37" s="36" t="s">
        <v>371</v>
      </c>
      <c r="G37" s="54" t="s">
        <v>36</v>
      </c>
      <c r="H37" s="53" t="s">
        <v>165</v>
      </c>
      <c r="I37" s="54" t="s">
        <v>159</v>
      </c>
      <c r="J37" s="54" t="s">
        <v>38</v>
      </c>
      <c r="K37" s="54" t="s">
        <v>161</v>
      </c>
      <c r="L37" s="53">
        <v>3</v>
      </c>
      <c r="N37" s="53">
        <v>1</v>
      </c>
      <c r="O37" s="53">
        <v>0.6</v>
      </c>
      <c r="P37" s="53">
        <v>0.6</v>
      </c>
      <c r="Q37" s="97">
        <f>IF(OR(O37="",P37=""),"",AVERAGE(O37,P37))</f>
        <v>0.6</v>
      </c>
      <c r="R37" s="53">
        <v>18.399999999999999</v>
      </c>
      <c r="S37" s="53">
        <v>140</v>
      </c>
      <c r="T37" s="16">
        <f t="shared" si="1"/>
        <v>30</v>
      </c>
      <c r="U37" s="53">
        <v>108</v>
      </c>
      <c r="V37" s="16">
        <f t="shared" si="2"/>
        <v>3240</v>
      </c>
      <c r="W37" s="53">
        <v>1</v>
      </c>
      <c r="X37" s="54" t="s">
        <v>46</v>
      </c>
      <c r="Y37" s="54" t="s">
        <v>55</v>
      </c>
      <c r="Z37" s="54" t="s">
        <v>47</v>
      </c>
      <c r="AA37" s="54" t="s">
        <v>69</v>
      </c>
      <c r="AB37" s="54" t="s">
        <v>258</v>
      </c>
    </row>
    <row r="38" spans="1:28" x14ac:dyDescent="0.15">
      <c r="A38" s="54" t="s">
        <v>34</v>
      </c>
      <c r="B38" s="53" t="s">
        <v>232</v>
      </c>
      <c r="C38" s="53">
        <v>2019</v>
      </c>
      <c r="D38" s="217" t="s">
        <v>168</v>
      </c>
      <c r="E38" s="36" t="s">
        <v>369</v>
      </c>
      <c r="F38" s="36" t="s">
        <v>368</v>
      </c>
      <c r="G38" s="54" t="s">
        <v>36</v>
      </c>
      <c r="H38" s="53" t="s">
        <v>160</v>
      </c>
      <c r="I38" s="54" t="s">
        <v>159</v>
      </c>
      <c r="J38" s="54" t="s">
        <v>38</v>
      </c>
      <c r="K38" s="54" t="s">
        <v>161</v>
      </c>
      <c r="L38" s="54">
        <v>1</v>
      </c>
      <c r="N38" s="53">
        <v>1</v>
      </c>
      <c r="O38" s="53">
        <v>1</v>
      </c>
      <c r="P38" s="53">
        <v>0.75</v>
      </c>
      <c r="Q38" s="97">
        <f t="shared" ref="Q38:Q39" si="4">IF(OR(O38="",P38=""),"",AVERAGE(O38,P38))</f>
        <v>0.875</v>
      </c>
      <c r="R38" s="53">
        <v>18.899999999999999</v>
      </c>
      <c r="S38" s="53">
        <v>116</v>
      </c>
      <c r="T38" s="16">
        <f t="shared" si="1"/>
        <v>30</v>
      </c>
      <c r="U38" s="53">
        <v>105</v>
      </c>
      <c r="V38" s="16">
        <f t="shared" si="2"/>
        <v>3150</v>
      </c>
      <c r="W38" s="53">
        <v>8</v>
      </c>
      <c r="X38" s="54" t="s">
        <v>46</v>
      </c>
      <c r="Y38" s="54" t="s">
        <v>55</v>
      </c>
      <c r="Z38" s="54" t="s">
        <v>69</v>
      </c>
      <c r="AA38" s="54" t="s">
        <v>97</v>
      </c>
      <c r="AB38" s="54" t="s">
        <v>258</v>
      </c>
    </row>
    <row r="39" spans="1:28" x14ac:dyDescent="0.15">
      <c r="A39" s="54" t="s">
        <v>34</v>
      </c>
      <c r="B39" s="53" t="s">
        <v>232</v>
      </c>
      <c r="C39" s="53">
        <v>2019</v>
      </c>
      <c r="D39" s="217" t="s">
        <v>168</v>
      </c>
      <c r="E39" s="36" t="s">
        <v>369</v>
      </c>
      <c r="F39" s="36" t="s">
        <v>368</v>
      </c>
      <c r="G39" s="54" t="s">
        <v>36</v>
      </c>
      <c r="H39" s="53" t="s">
        <v>160</v>
      </c>
      <c r="I39" s="54" t="s">
        <v>159</v>
      </c>
      <c r="J39" s="54" t="s">
        <v>38</v>
      </c>
      <c r="K39" s="54" t="s">
        <v>161</v>
      </c>
      <c r="L39" s="53">
        <v>2</v>
      </c>
      <c r="N39" s="53">
        <v>1</v>
      </c>
      <c r="O39" s="53">
        <v>0.6</v>
      </c>
      <c r="P39" s="53">
        <v>0.7</v>
      </c>
      <c r="Q39" s="97">
        <f t="shared" si="4"/>
        <v>0.64999999999999991</v>
      </c>
      <c r="R39" s="53">
        <v>17.899999999999999</v>
      </c>
      <c r="S39" s="53">
        <v>122</v>
      </c>
      <c r="T39" s="16">
        <f t="shared" si="1"/>
        <v>30</v>
      </c>
      <c r="U39" s="53">
        <v>105</v>
      </c>
      <c r="V39" s="16">
        <f t="shared" si="2"/>
        <v>3150</v>
      </c>
      <c r="W39" s="53">
        <v>8</v>
      </c>
      <c r="X39" s="54" t="s">
        <v>46</v>
      </c>
      <c r="Y39" s="54" t="s">
        <v>55</v>
      </c>
      <c r="Z39" s="54" t="s">
        <v>69</v>
      </c>
      <c r="AA39" s="54" t="s">
        <v>97</v>
      </c>
      <c r="AB39" s="54" t="s">
        <v>258</v>
      </c>
    </row>
    <row r="40" spans="1:28" x14ac:dyDescent="0.15">
      <c r="A40" s="54" t="s">
        <v>34</v>
      </c>
      <c r="B40" s="53" t="s">
        <v>232</v>
      </c>
      <c r="C40" s="53">
        <v>2019</v>
      </c>
      <c r="D40" s="217" t="s">
        <v>168</v>
      </c>
      <c r="E40" s="36" t="s">
        <v>369</v>
      </c>
      <c r="F40" s="36" t="s">
        <v>368</v>
      </c>
      <c r="G40" s="54" t="s">
        <v>36</v>
      </c>
      <c r="H40" s="53" t="s">
        <v>160</v>
      </c>
      <c r="I40" s="54" t="s">
        <v>159</v>
      </c>
      <c r="J40" s="54" t="s">
        <v>38</v>
      </c>
      <c r="K40" s="54" t="s">
        <v>161</v>
      </c>
      <c r="L40" s="53">
        <v>3</v>
      </c>
      <c r="N40" s="53">
        <v>1</v>
      </c>
      <c r="O40" s="53">
        <v>0.55000000000000004</v>
      </c>
      <c r="P40" s="53">
        <v>0.2</v>
      </c>
      <c r="Q40" s="97">
        <f>IF(OR(O40="",P40=""),"",AVERAGE(O40,P40))</f>
        <v>0.375</v>
      </c>
      <c r="R40" s="53">
        <v>17.7</v>
      </c>
      <c r="S40" s="53">
        <v>115</v>
      </c>
      <c r="T40" s="16">
        <f t="shared" si="1"/>
        <v>30</v>
      </c>
      <c r="U40" s="53">
        <v>105</v>
      </c>
      <c r="V40" s="16">
        <f t="shared" si="2"/>
        <v>3150</v>
      </c>
      <c r="W40" s="53">
        <v>8</v>
      </c>
      <c r="X40" s="54" t="s">
        <v>46</v>
      </c>
      <c r="Y40" s="54" t="s">
        <v>55</v>
      </c>
      <c r="Z40" s="54" t="s">
        <v>69</v>
      </c>
      <c r="AA40" s="54" t="s">
        <v>97</v>
      </c>
      <c r="AB40" s="54" t="s">
        <v>258</v>
      </c>
    </row>
    <row r="41" spans="1:28" x14ac:dyDescent="0.15">
      <c r="A41" s="54" t="s">
        <v>34</v>
      </c>
      <c r="B41" s="53" t="s">
        <v>232</v>
      </c>
      <c r="C41" s="53">
        <v>2019</v>
      </c>
      <c r="D41" s="217" t="s">
        <v>168</v>
      </c>
      <c r="E41" s="36" t="s">
        <v>369</v>
      </c>
      <c r="F41" s="36" t="s">
        <v>368</v>
      </c>
      <c r="G41" s="54" t="s">
        <v>36</v>
      </c>
      <c r="H41" s="53" t="s">
        <v>160</v>
      </c>
      <c r="I41" s="54" t="s">
        <v>159</v>
      </c>
      <c r="J41" s="54" t="s">
        <v>38</v>
      </c>
      <c r="K41" s="54" t="s">
        <v>161</v>
      </c>
      <c r="L41" s="54">
        <v>1</v>
      </c>
      <c r="N41" s="53">
        <v>4</v>
      </c>
      <c r="O41" s="53">
        <v>0.85</v>
      </c>
      <c r="P41" s="53">
        <v>0.6</v>
      </c>
      <c r="Q41" s="97">
        <f t="shared" si="0"/>
        <v>0.72499999999999998</v>
      </c>
      <c r="R41" s="53">
        <v>17.7</v>
      </c>
      <c r="S41" s="53">
        <v>115</v>
      </c>
      <c r="T41" s="16">
        <f t="shared" si="1"/>
        <v>30</v>
      </c>
      <c r="U41" s="53">
        <v>429</v>
      </c>
      <c r="V41" s="16">
        <f t="shared" si="2"/>
        <v>3217.5</v>
      </c>
      <c r="W41" s="53">
        <v>8</v>
      </c>
      <c r="X41" s="54" t="s">
        <v>46</v>
      </c>
      <c r="Y41" s="54" t="s">
        <v>55</v>
      </c>
      <c r="Z41" s="54" t="s">
        <v>69</v>
      </c>
      <c r="AA41" s="54" t="s">
        <v>97</v>
      </c>
      <c r="AB41" s="54" t="s">
        <v>258</v>
      </c>
    </row>
    <row r="42" spans="1:28" x14ac:dyDescent="0.15">
      <c r="A42" s="54" t="s">
        <v>34</v>
      </c>
      <c r="B42" s="53" t="s">
        <v>232</v>
      </c>
      <c r="C42" s="53">
        <v>2019</v>
      </c>
      <c r="D42" s="217" t="s">
        <v>168</v>
      </c>
      <c r="E42" s="36" t="s">
        <v>369</v>
      </c>
      <c r="F42" s="36" t="s">
        <v>368</v>
      </c>
      <c r="G42" s="54" t="s">
        <v>36</v>
      </c>
      <c r="H42" s="53" t="s">
        <v>160</v>
      </c>
      <c r="I42" s="54" t="s">
        <v>159</v>
      </c>
      <c r="J42" s="54" t="s">
        <v>38</v>
      </c>
      <c r="K42" s="54" t="s">
        <v>161</v>
      </c>
      <c r="L42" s="53">
        <v>2</v>
      </c>
      <c r="N42" s="53">
        <v>4</v>
      </c>
      <c r="O42" s="53">
        <v>0.7</v>
      </c>
      <c r="P42" s="53">
        <v>0.8</v>
      </c>
      <c r="Q42" s="97">
        <f t="shared" si="0"/>
        <v>0.75</v>
      </c>
      <c r="R42" s="53">
        <v>17.8</v>
      </c>
      <c r="S42" s="53">
        <v>116</v>
      </c>
      <c r="T42" s="16">
        <f t="shared" si="1"/>
        <v>30</v>
      </c>
      <c r="U42" s="53">
        <v>429</v>
      </c>
      <c r="V42" s="16">
        <f t="shared" si="2"/>
        <v>3217.5</v>
      </c>
      <c r="W42" s="53">
        <v>8</v>
      </c>
      <c r="X42" s="54" t="s">
        <v>46</v>
      </c>
      <c r="Y42" s="54" t="s">
        <v>55</v>
      </c>
      <c r="Z42" s="54" t="s">
        <v>69</v>
      </c>
      <c r="AA42" s="54" t="s">
        <v>97</v>
      </c>
      <c r="AB42" s="54" t="s">
        <v>258</v>
      </c>
    </row>
    <row r="43" spans="1:28" x14ac:dyDescent="0.15">
      <c r="A43" s="54" t="s">
        <v>34</v>
      </c>
      <c r="B43" s="53" t="s">
        <v>232</v>
      </c>
      <c r="C43" s="53">
        <v>2019</v>
      </c>
      <c r="D43" s="217" t="s">
        <v>168</v>
      </c>
      <c r="E43" s="36" t="s">
        <v>369</v>
      </c>
      <c r="F43" s="36" t="s">
        <v>368</v>
      </c>
      <c r="G43" s="54" t="s">
        <v>36</v>
      </c>
      <c r="H43" s="53" t="s">
        <v>160</v>
      </c>
      <c r="I43" s="54" t="s">
        <v>159</v>
      </c>
      <c r="J43" s="54" t="s">
        <v>38</v>
      </c>
      <c r="K43" s="54" t="s">
        <v>161</v>
      </c>
      <c r="L43" s="53">
        <v>3</v>
      </c>
      <c r="N43" s="53">
        <v>4</v>
      </c>
      <c r="O43" s="53">
        <v>0.65</v>
      </c>
      <c r="P43" s="53">
        <v>0.75</v>
      </c>
      <c r="Q43" s="97">
        <f t="shared" si="0"/>
        <v>0.7</v>
      </c>
      <c r="R43" s="53">
        <v>16.7</v>
      </c>
      <c r="S43" s="53">
        <v>109</v>
      </c>
      <c r="T43" s="16">
        <f t="shared" si="1"/>
        <v>33</v>
      </c>
      <c r="U43" s="53">
        <v>429</v>
      </c>
      <c r="V43" s="16">
        <f t="shared" si="2"/>
        <v>3539.25</v>
      </c>
      <c r="W43" s="53">
        <v>8</v>
      </c>
      <c r="X43" s="54" t="s">
        <v>46</v>
      </c>
      <c r="Y43" s="54" t="s">
        <v>55</v>
      </c>
      <c r="Z43" s="54" t="s">
        <v>69</v>
      </c>
      <c r="AA43" s="54" t="s">
        <v>97</v>
      </c>
      <c r="AB43" s="54" t="s">
        <v>258</v>
      </c>
    </row>
    <row r="44" spans="1:28" x14ac:dyDescent="0.15">
      <c r="A44" s="54" t="s">
        <v>34</v>
      </c>
      <c r="B44" s="53" t="s">
        <v>232</v>
      </c>
      <c r="C44" s="53">
        <v>2019</v>
      </c>
      <c r="D44" s="217" t="s">
        <v>168</v>
      </c>
      <c r="E44" s="36" t="s">
        <v>369</v>
      </c>
      <c r="F44" s="36" t="s">
        <v>368</v>
      </c>
      <c r="G44" s="54" t="s">
        <v>36</v>
      </c>
      <c r="H44" s="53" t="s">
        <v>160</v>
      </c>
      <c r="I44" s="54" t="s">
        <v>159</v>
      </c>
      <c r="J44" s="54" t="s">
        <v>38</v>
      </c>
      <c r="K44" s="54" t="s">
        <v>161</v>
      </c>
      <c r="L44" s="54">
        <v>1</v>
      </c>
      <c r="N44" s="53">
        <v>6</v>
      </c>
      <c r="O44" s="53">
        <v>0.7</v>
      </c>
      <c r="P44" s="53">
        <v>0.65</v>
      </c>
      <c r="Q44" s="97">
        <f t="shared" si="0"/>
        <v>0.67500000000000004</v>
      </c>
      <c r="R44" s="53">
        <v>17.899999999999999</v>
      </c>
      <c r="S44" s="53">
        <v>155</v>
      </c>
      <c r="T44" s="16">
        <f t="shared" si="1"/>
        <v>18</v>
      </c>
      <c r="U44" s="53">
        <v>842</v>
      </c>
      <c r="V44" s="16">
        <f t="shared" si="2"/>
        <v>2526</v>
      </c>
      <c r="W44" s="53">
        <v>8</v>
      </c>
      <c r="X44" s="54" t="s">
        <v>46</v>
      </c>
      <c r="Y44" s="54" t="s">
        <v>55</v>
      </c>
      <c r="Z44" s="54" t="s">
        <v>69</v>
      </c>
      <c r="AA44" s="54" t="s">
        <v>97</v>
      </c>
      <c r="AB44" s="54" t="s">
        <v>258</v>
      </c>
    </row>
    <row r="45" spans="1:28" x14ac:dyDescent="0.15">
      <c r="A45" s="54" t="s">
        <v>34</v>
      </c>
      <c r="B45" s="53" t="s">
        <v>232</v>
      </c>
      <c r="C45" s="53">
        <v>2019</v>
      </c>
      <c r="D45" s="217" t="s">
        <v>168</v>
      </c>
      <c r="E45" s="36" t="s">
        <v>369</v>
      </c>
      <c r="F45" s="36" t="s">
        <v>368</v>
      </c>
      <c r="G45" s="54" t="s">
        <v>36</v>
      </c>
      <c r="H45" s="53" t="s">
        <v>160</v>
      </c>
      <c r="I45" s="54" t="s">
        <v>159</v>
      </c>
      <c r="J45" s="54" t="s">
        <v>38</v>
      </c>
      <c r="K45" s="54" t="s">
        <v>161</v>
      </c>
      <c r="L45" s="53">
        <v>2</v>
      </c>
      <c r="N45" s="53">
        <v>6</v>
      </c>
      <c r="O45" s="53">
        <v>1.1000000000000001</v>
      </c>
      <c r="P45" s="53">
        <v>1</v>
      </c>
      <c r="Q45" s="97">
        <f t="shared" si="0"/>
        <v>1.05</v>
      </c>
      <c r="R45" s="53">
        <v>20.5</v>
      </c>
      <c r="S45" s="53">
        <v>171</v>
      </c>
      <c r="T45" s="16">
        <f t="shared" si="1"/>
        <v>18</v>
      </c>
      <c r="U45" s="53">
        <v>842</v>
      </c>
      <c r="V45" s="16">
        <f t="shared" si="2"/>
        <v>2526</v>
      </c>
      <c r="W45" s="53">
        <v>8</v>
      </c>
      <c r="X45" s="54" t="s">
        <v>46</v>
      </c>
      <c r="Y45" s="54" t="s">
        <v>55</v>
      </c>
      <c r="Z45" s="54" t="s">
        <v>69</v>
      </c>
      <c r="AA45" s="54" t="s">
        <v>97</v>
      </c>
      <c r="AB45" s="54" t="s">
        <v>258</v>
      </c>
    </row>
    <row r="46" spans="1:28" x14ac:dyDescent="0.15">
      <c r="A46" s="54" t="s">
        <v>34</v>
      </c>
      <c r="B46" s="53" t="s">
        <v>232</v>
      </c>
      <c r="C46" s="53">
        <v>2019</v>
      </c>
      <c r="D46" s="217" t="s">
        <v>168</v>
      </c>
      <c r="E46" s="36" t="s">
        <v>369</v>
      </c>
      <c r="F46" s="36" t="s">
        <v>368</v>
      </c>
      <c r="G46" s="54" t="s">
        <v>36</v>
      </c>
      <c r="H46" s="53" t="s">
        <v>160</v>
      </c>
      <c r="I46" s="54" t="s">
        <v>159</v>
      </c>
      <c r="J46" s="54" t="s">
        <v>38</v>
      </c>
      <c r="K46" s="54" t="s">
        <v>161</v>
      </c>
      <c r="L46" s="53">
        <v>3</v>
      </c>
      <c r="N46" s="53">
        <v>6</v>
      </c>
      <c r="O46" s="53">
        <v>1.85</v>
      </c>
      <c r="P46" s="53">
        <v>1.85</v>
      </c>
      <c r="Q46" s="97">
        <f t="shared" si="0"/>
        <v>1.85</v>
      </c>
      <c r="R46" s="53">
        <v>17.3</v>
      </c>
      <c r="S46" s="53">
        <v>164</v>
      </c>
      <c r="T46" s="16">
        <f t="shared" si="1"/>
        <v>18</v>
      </c>
      <c r="U46" s="53">
        <v>842</v>
      </c>
      <c r="V46" s="16">
        <f t="shared" si="2"/>
        <v>2526</v>
      </c>
      <c r="W46" s="53">
        <v>8</v>
      </c>
      <c r="X46" s="54" t="s">
        <v>46</v>
      </c>
      <c r="Y46" s="54" t="s">
        <v>55</v>
      </c>
      <c r="Z46" s="54" t="s">
        <v>69</v>
      </c>
      <c r="AA46" s="54" t="s">
        <v>97</v>
      </c>
      <c r="AB46" s="54" t="s">
        <v>258</v>
      </c>
    </row>
    <row r="47" spans="1:28" x14ac:dyDescent="0.15">
      <c r="A47" s="54" t="s">
        <v>34</v>
      </c>
      <c r="B47" s="53" t="s">
        <v>232</v>
      </c>
      <c r="C47" s="53">
        <v>2019</v>
      </c>
      <c r="D47" s="217" t="s">
        <v>168</v>
      </c>
      <c r="E47" s="36" t="s">
        <v>369</v>
      </c>
      <c r="F47" s="36" t="s">
        <v>368</v>
      </c>
      <c r="G47" s="54" t="s">
        <v>36</v>
      </c>
      <c r="H47" s="53" t="s">
        <v>165</v>
      </c>
      <c r="I47" s="54" t="s">
        <v>159</v>
      </c>
      <c r="J47" s="54" t="s">
        <v>38</v>
      </c>
      <c r="K47" s="54" t="s">
        <v>161</v>
      </c>
      <c r="L47" s="54">
        <v>1</v>
      </c>
      <c r="N47" s="53">
        <v>1</v>
      </c>
      <c r="O47" s="53">
        <v>1.05</v>
      </c>
      <c r="P47" s="53">
        <v>0.85</v>
      </c>
      <c r="Q47" s="97">
        <f t="shared" si="0"/>
        <v>0.95</v>
      </c>
      <c r="R47" s="53">
        <v>18.600000000000001</v>
      </c>
      <c r="S47" s="53">
        <v>129</v>
      </c>
      <c r="T47" s="16">
        <f t="shared" si="1"/>
        <v>30</v>
      </c>
      <c r="U47" s="53">
        <v>105</v>
      </c>
      <c r="V47" s="16">
        <f t="shared" si="2"/>
        <v>3150</v>
      </c>
      <c r="W47" s="53">
        <v>3</v>
      </c>
      <c r="X47" s="54" t="s">
        <v>46</v>
      </c>
      <c r="Y47" s="54" t="s">
        <v>55</v>
      </c>
      <c r="Z47" s="54" t="s">
        <v>69</v>
      </c>
      <c r="AA47" s="54" t="s">
        <v>97</v>
      </c>
      <c r="AB47" s="54" t="s">
        <v>258</v>
      </c>
    </row>
    <row r="48" spans="1:28" x14ac:dyDescent="0.15">
      <c r="A48" s="54" t="s">
        <v>34</v>
      </c>
      <c r="B48" s="53" t="s">
        <v>232</v>
      </c>
      <c r="C48" s="53">
        <v>2019</v>
      </c>
      <c r="D48" s="217" t="s">
        <v>168</v>
      </c>
      <c r="E48" s="36" t="s">
        <v>369</v>
      </c>
      <c r="F48" s="36" t="s">
        <v>368</v>
      </c>
      <c r="G48" s="54" t="s">
        <v>36</v>
      </c>
      <c r="H48" s="53" t="s">
        <v>165</v>
      </c>
      <c r="I48" s="54" t="s">
        <v>159</v>
      </c>
      <c r="J48" s="54" t="s">
        <v>38</v>
      </c>
      <c r="K48" s="54" t="s">
        <v>161</v>
      </c>
      <c r="L48" s="53">
        <v>2</v>
      </c>
      <c r="N48" s="53">
        <v>1</v>
      </c>
      <c r="O48" s="53">
        <v>1</v>
      </c>
      <c r="P48" s="53">
        <v>1.1499999999999999</v>
      </c>
      <c r="Q48" s="97">
        <f t="shared" si="0"/>
        <v>1.075</v>
      </c>
      <c r="R48" s="53">
        <v>16.899999999999999</v>
      </c>
      <c r="S48" s="53">
        <v>125</v>
      </c>
      <c r="T48" s="16">
        <f t="shared" si="1"/>
        <v>30</v>
      </c>
      <c r="U48" s="53">
        <v>105</v>
      </c>
      <c r="V48" s="16">
        <f t="shared" si="2"/>
        <v>3150</v>
      </c>
      <c r="W48" s="53">
        <v>3</v>
      </c>
      <c r="X48" s="54" t="s">
        <v>46</v>
      </c>
      <c r="Y48" s="54" t="s">
        <v>55</v>
      </c>
      <c r="Z48" s="54" t="s">
        <v>69</v>
      </c>
      <c r="AA48" s="54" t="s">
        <v>97</v>
      </c>
      <c r="AB48" s="54" t="s">
        <v>258</v>
      </c>
    </row>
    <row r="49" spans="1:28" x14ac:dyDescent="0.15">
      <c r="A49" s="54" t="s">
        <v>34</v>
      </c>
      <c r="B49" s="53" t="s">
        <v>232</v>
      </c>
      <c r="C49" s="53">
        <v>2019</v>
      </c>
      <c r="D49" s="217" t="s">
        <v>168</v>
      </c>
      <c r="E49" s="36" t="s">
        <v>369</v>
      </c>
      <c r="F49" s="36" t="s">
        <v>368</v>
      </c>
      <c r="G49" s="54" t="s">
        <v>36</v>
      </c>
      <c r="H49" s="53" t="s">
        <v>165</v>
      </c>
      <c r="I49" s="54" t="s">
        <v>159</v>
      </c>
      <c r="J49" s="54" t="s">
        <v>38</v>
      </c>
      <c r="K49" s="54" t="s">
        <v>161</v>
      </c>
      <c r="L49" s="53">
        <v>3</v>
      </c>
      <c r="N49" s="53">
        <v>1</v>
      </c>
      <c r="O49" s="53">
        <v>1.35</v>
      </c>
      <c r="P49" s="53">
        <v>1.65</v>
      </c>
      <c r="Q49" s="97">
        <f t="shared" si="0"/>
        <v>1.5</v>
      </c>
      <c r="R49" s="53">
        <v>18.899999999999999</v>
      </c>
      <c r="S49" s="53">
        <v>124</v>
      </c>
      <c r="T49" s="16">
        <f t="shared" si="1"/>
        <v>30</v>
      </c>
      <c r="U49" s="53">
        <v>105</v>
      </c>
      <c r="V49" s="16">
        <f t="shared" si="2"/>
        <v>3150</v>
      </c>
      <c r="W49" s="53">
        <v>3</v>
      </c>
      <c r="X49" s="54" t="s">
        <v>46</v>
      </c>
      <c r="Y49" s="54" t="s">
        <v>55</v>
      </c>
      <c r="Z49" s="54" t="s">
        <v>69</v>
      </c>
      <c r="AA49" s="54" t="s">
        <v>97</v>
      </c>
      <c r="AB49" s="54" t="s">
        <v>258</v>
      </c>
    </row>
    <row r="50" spans="1:28" x14ac:dyDescent="0.15">
      <c r="A50" s="54" t="s">
        <v>34</v>
      </c>
      <c r="B50" s="53" t="s">
        <v>232</v>
      </c>
      <c r="C50" s="53">
        <v>2019</v>
      </c>
      <c r="D50" s="217" t="s">
        <v>168</v>
      </c>
      <c r="E50" s="36" t="s">
        <v>369</v>
      </c>
      <c r="F50" s="36" t="s">
        <v>368</v>
      </c>
      <c r="G50" s="54" t="s">
        <v>36</v>
      </c>
      <c r="H50" s="53" t="s">
        <v>165</v>
      </c>
      <c r="I50" s="54" t="s">
        <v>159</v>
      </c>
      <c r="J50" s="54" t="s">
        <v>38</v>
      </c>
      <c r="K50" s="54" t="s">
        <v>161</v>
      </c>
      <c r="L50" s="54">
        <v>1</v>
      </c>
      <c r="N50" s="53">
        <v>6</v>
      </c>
      <c r="O50" s="53">
        <v>0.85</v>
      </c>
      <c r="P50" s="53">
        <v>0.95</v>
      </c>
      <c r="Q50" s="97">
        <f t="shared" si="0"/>
        <v>0.89999999999999991</v>
      </c>
      <c r="R50" s="53">
        <v>19.399999999999999</v>
      </c>
      <c r="S50" s="53">
        <v>81</v>
      </c>
      <c r="T50" s="16">
        <f t="shared" si="1"/>
        <v>39</v>
      </c>
      <c r="U50" s="53">
        <v>429</v>
      </c>
      <c r="V50" s="16">
        <f t="shared" si="2"/>
        <v>2788.5</v>
      </c>
      <c r="W50" s="53">
        <v>3</v>
      </c>
      <c r="X50" s="54" t="s">
        <v>46</v>
      </c>
      <c r="Y50" s="54" t="s">
        <v>55</v>
      </c>
      <c r="Z50" s="54" t="s">
        <v>69</v>
      </c>
      <c r="AA50" s="54" t="s">
        <v>97</v>
      </c>
      <c r="AB50" s="54" t="s">
        <v>258</v>
      </c>
    </row>
    <row r="51" spans="1:28" x14ac:dyDescent="0.15">
      <c r="A51" s="54" t="s">
        <v>34</v>
      </c>
      <c r="B51" s="53" t="s">
        <v>232</v>
      </c>
      <c r="C51" s="53">
        <v>2019</v>
      </c>
      <c r="D51" s="217" t="s">
        <v>168</v>
      </c>
      <c r="E51" s="36" t="s">
        <v>369</v>
      </c>
      <c r="F51" s="36" t="s">
        <v>368</v>
      </c>
      <c r="G51" s="54" t="s">
        <v>36</v>
      </c>
      <c r="H51" s="53" t="s">
        <v>165</v>
      </c>
      <c r="I51" s="54" t="s">
        <v>159</v>
      </c>
      <c r="J51" s="54" t="s">
        <v>38</v>
      </c>
      <c r="K51" s="54" t="s">
        <v>161</v>
      </c>
      <c r="L51" s="53">
        <v>2</v>
      </c>
      <c r="N51" s="53">
        <v>6</v>
      </c>
      <c r="O51" s="53">
        <v>0.9</v>
      </c>
      <c r="P51" s="53">
        <v>1.1499999999999999</v>
      </c>
      <c r="Q51" s="97">
        <f t="shared" si="0"/>
        <v>1.0249999999999999</v>
      </c>
      <c r="R51" s="53">
        <v>17.399999999999999</v>
      </c>
      <c r="S51" s="53">
        <v>90</v>
      </c>
      <c r="T51" s="16">
        <f t="shared" si="1"/>
        <v>36</v>
      </c>
      <c r="U51" s="53">
        <v>429</v>
      </c>
      <c r="V51" s="16">
        <f t="shared" si="2"/>
        <v>2574</v>
      </c>
      <c r="W51" s="53">
        <v>3</v>
      </c>
      <c r="X51" s="54" t="s">
        <v>46</v>
      </c>
      <c r="Y51" s="54" t="s">
        <v>55</v>
      </c>
      <c r="Z51" s="54" t="s">
        <v>69</v>
      </c>
      <c r="AA51" s="54" t="s">
        <v>97</v>
      </c>
      <c r="AB51" s="54" t="s">
        <v>258</v>
      </c>
    </row>
    <row r="52" spans="1:28" x14ac:dyDescent="0.15">
      <c r="A52" s="54" t="s">
        <v>34</v>
      </c>
      <c r="B52" s="53" t="s">
        <v>232</v>
      </c>
      <c r="C52" s="53">
        <v>2019</v>
      </c>
      <c r="D52" s="217" t="s">
        <v>168</v>
      </c>
      <c r="E52" s="36" t="s">
        <v>369</v>
      </c>
      <c r="F52" s="36" t="s">
        <v>368</v>
      </c>
      <c r="G52" s="54" t="s">
        <v>36</v>
      </c>
      <c r="H52" s="53" t="s">
        <v>165</v>
      </c>
      <c r="I52" s="54" t="s">
        <v>159</v>
      </c>
      <c r="J52" s="54" t="s">
        <v>38</v>
      </c>
      <c r="K52" s="54" t="s">
        <v>161</v>
      </c>
      <c r="L52" s="53">
        <v>3</v>
      </c>
      <c r="N52" s="53">
        <v>6</v>
      </c>
      <c r="O52" s="53">
        <v>1.05</v>
      </c>
      <c r="P52" s="53">
        <v>1.05</v>
      </c>
      <c r="Q52" s="97">
        <f t="shared" si="0"/>
        <v>1.05</v>
      </c>
      <c r="R52" s="53">
        <v>16.7</v>
      </c>
      <c r="S52" s="53">
        <v>90</v>
      </c>
      <c r="T52" s="16">
        <f t="shared" si="1"/>
        <v>36</v>
      </c>
      <c r="U52" s="53">
        <v>429</v>
      </c>
      <c r="V52" s="16">
        <f t="shared" si="2"/>
        <v>2574</v>
      </c>
      <c r="W52" s="53">
        <v>3</v>
      </c>
      <c r="X52" s="54" t="s">
        <v>46</v>
      </c>
      <c r="Y52" s="54" t="s">
        <v>55</v>
      </c>
      <c r="Z52" s="54" t="s">
        <v>69</v>
      </c>
      <c r="AA52" s="54" t="s">
        <v>97</v>
      </c>
      <c r="AB52" s="54" t="s">
        <v>258</v>
      </c>
    </row>
    <row r="53" spans="1:28" x14ac:dyDescent="0.15">
      <c r="A53" s="54" t="s">
        <v>34</v>
      </c>
      <c r="B53" s="53" t="s">
        <v>232</v>
      </c>
      <c r="C53" s="53">
        <v>2019</v>
      </c>
      <c r="D53" s="217" t="s">
        <v>168</v>
      </c>
      <c r="E53" s="36" t="s">
        <v>379</v>
      </c>
      <c r="F53" s="36" t="s">
        <v>380</v>
      </c>
      <c r="G53" s="54" t="s">
        <v>36</v>
      </c>
      <c r="H53" s="53" t="s">
        <v>165</v>
      </c>
      <c r="I53" s="54" t="s">
        <v>159</v>
      </c>
      <c r="J53" s="54" t="s">
        <v>38</v>
      </c>
      <c r="K53" s="54" t="s">
        <v>161</v>
      </c>
      <c r="L53" s="54">
        <v>1</v>
      </c>
      <c r="N53" s="53">
        <v>1</v>
      </c>
      <c r="O53" s="53">
        <v>0.85</v>
      </c>
      <c r="P53" s="53">
        <v>0.85</v>
      </c>
      <c r="Q53" s="97">
        <f t="shared" si="0"/>
        <v>0.85</v>
      </c>
      <c r="R53" s="53">
        <v>16.7</v>
      </c>
      <c r="S53" s="53">
        <v>117</v>
      </c>
      <c r="T53" s="16">
        <f t="shared" si="1"/>
        <v>30</v>
      </c>
      <c r="U53" s="53">
        <v>138</v>
      </c>
      <c r="V53" s="16">
        <f t="shared" si="2"/>
        <v>4140</v>
      </c>
      <c r="W53" s="53">
        <v>3</v>
      </c>
      <c r="X53" s="54" t="s">
        <v>46</v>
      </c>
      <c r="Y53" s="54" t="s">
        <v>55</v>
      </c>
      <c r="Z53" s="54" t="s">
        <v>69</v>
      </c>
      <c r="AA53" s="54" t="s">
        <v>86</v>
      </c>
      <c r="AB53" s="54" t="s">
        <v>258</v>
      </c>
    </row>
    <row r="54" spans="1:28" x14ac:dyDescent="0.15">
      <c r="A54" s="54" t="s">
        <v>34</v>
      </c>
      <c r="B54" s="53" t="s">
        <v>232</v>
      </c>
      <c r="C54" s="53">
        <v>2019</v>
      </c>
      <c r="D54" s="217" t="s">
        <v>168</v>
      </c>
      <c r="E54" s="36" t="s">
        <v>379</v>
      </c>
      <c r="F54" s="36" t="s">
        <v>380</v>
      </c>
      <c r="G54" s="54" t="s">
        <v>36</v>
      </c>
      <c r="H54" s="53" t="s">
        <v>165</v>
      </c>
      <c r="I54" s="54" t="s">
        <v>159</v>
      </c>
      <c r="J54" s="54" t="s">
        <v>38</v>
      </c>
      <c r="K54" s="54" t="s">
        <v>161</v>
      </c>
      <c r="L54" s="53">
        <v>2</v>
      </c>
      <c r="N54" s="53">
        <v>1</v>
      </c>
      <c r="O54" s="53">
        <v>0.8</v>
      </c>
      <c r="P54" s="53">
        <v>0.8</v>
      </c>
      <c r="Q54" s="97">
        <f t="shared" si="0"/>
        <v>0.8</v>
      </c>
      <c r="R54" s="53">
        <v>17.600000000000001</v>
      </c>
      <c r="S54" s="53">
        <v>119</v>
      </c>
      <c r="T54" s="16">
        <f t="shared" si="1"/>
        <v>30</v>
      </c>
      <c r="U54" s="53">
        <v>138</v>
      </c>
      <c r="V54" s="16">
        <f t="shared" si="2"/>
        <v>4140</v>
      </c>
      <c r="W54" s="53">
        <v>3</v>
      </c>
      <c r="X54" s="54" t="s">
        <v>46</v>
      </c>
      <c r="Y54" s="54" t="s">
        <v>55</v>
      </c>
      <c r="Z54" s="54" t="s">
        <v>69</v>
      </c>
      <c r="AA54" s="54" t="s">
        <v>86</v>
      </c>
      <c r="AB54" s="54" t="s">
        <v>258</v>
      </c>
    </row>
    <row r="55" spans="1:28" x14ac:dyDescent="0.15">
      <c r="A55" s="54" t="s">
        <v>34</v>
      </c>
      <c r="B55" s="53" t="s">
        <v>232</v>
      </c>
      <c r="C55" s="53">
        <v>2019</v>
      </c>
      <c r="D55" s="217" t="s">
        <v>168</v>
      </c>
      <c r="E55" s="36" t="s">
        <v>379</v>
      </c>
      <c r="F55" s="36" t="s">
        <v>380</v>
      </c>
      <c r="G55" s="54" t="s">
        <v>36</v>
      </c>
      <c r="H55" s="53" t="s">
        <v>165</v>
      </c>
      <c r="I55" s="54" t="s">
        <v>159</v>
      </c>
      <c r="J55" s="54" t="s">
        <v>38</v>
      </c>
      <c r="K55" s="54" t="s">
        <v>161</v>
      </c>
      <c r="L55" s="53">
        <v>3</v>
      </c>
      <c r="N55" s="53">
        <v>1</v>
      </c>
      <c r="O55" s="53">
        <v>0.7</v>
      </c>
      <c r="P55" s="53">
        <v>0.7</v>
      </c>
      <c r="Q55" s="97">
        <f t="shared" si="0"/>
        <v>0.7</v>
      </c>
      <c r="R55" s="53">
        <v>17.7</v>
      </c>
      <c r="S55" s="53">
        <v>116</v>
      </c>
      <c r="T55" s="16">
        <f t="shared" si="1"/>
        <v>30</v>
      </c>
      <c r="U55" s="53">
        <v>138</v>
      </c>
      <c r="V55" s="16">
        <f t="shared" si="2"/>
        <v>4140</v>
      </c>
      <c r="W55" s="53">
        <v>3</v>
      </c>
      <c r="X55" s="54" t="s">
        <v>46</v>
      </c>
      <c r="Y55" s="54" t="s">
        <v>55</v>
      </c>
      <c r="Z55" s="54" t="s">
        <v>69</v>
      </c>
      <c r="AA55" s="54" t="s">
        <v>86</v>
      </c>
      <c r="AB55" s="54" t="s">
        <v>258</v>
      </c>
    </row>
    <row r="56" spans="1:28" x14ac:dyDescent="0.15">
      <c r="A56" s="54" t="s">
        <v>34</v>
      </c>
      <c r="B56" s="53" t="s">
        <v>232</v>
      </c>
      <c r="C56" s="53">
        <v>2019</v>
      </c>
      <c r="D56" s="217" t="s">
        <v>168</v>
      </c>
      <c r="E56" s="36" t="s">
        <v>379</v>
      </c>
      <c r="F56" s="36" t="s">
        <v>380</v>
      </c>
      <c r="G56" s="54" t="s">
        <v>36</v>
      </c>
      <c r="H56" s="53" t="s">
        <v>165</v>
      </c>
      <c r="I56" s="54" t="s">
        <v>159</v>
      </c>
      <c r="J56" s="54" t="s">
        <v>38</v>
      </c>
      <c r="K56" s="54" t="s">
        <v>161</v>
      </c>
      <c r="L56" s="54">
        <v>1</v>
      </c>
      <c r="N56" s="53">
        <v>4</v>
      </c>
      <c r="O56" s="53">
        <v>0.65</v>
      </c>
      <c r="P56" s="53">
        <v>0.6</v>
      </c>
      <c r="Q56" s="97">
        <f t="shared" si="0"/>
        <v>0.625</v>
      </c>
      <c r="R56" s="53">
        <v>15.9</v>
      </c>
      <c r="S56" s="53">
        <v>84</v>
      </c>
      <c r="T56" s="16">
        <f t="shared" si="1"/>
        <v>36</v>
      </c>
      <c r="U56" s="53">
        <v>429</v>
      </c>
      <c r="V56" s="16">
        <f t="shared" si="2"/>
        <v>3861</v>
      </c>
      <c r="W56" s="53">
        <v>3</v>
      </c>
      <c r="X56" s="54" t="s">
        <v>46</v>
      </c>
      <c r="Y56" s="54" t="s">
        <v>55</v>
      </c>
      <c r="Z56" s="54" t="s">
        <v>69</v>
      </c>
      <c r="AA56" s="54" t="s">
        <v>86</v>
      </c>
      <c r="AB56" s="54" t="s">
        <v>258</v>
      </c>
    </row>
    <row r="57" spans="1:28" x14ac:dyDescent="0.15">
      <c r="A57" s="54" t="s">
        <v>34</v>
      </c>
      <c r="B57" s="53" t="s">
        <v>232</v>
      </c>
      <c r="C57" s="53">
        <v>2019</v>
      </c>
      <c r="D57" s="217" t="s">
        <v>168</v>
      </c>
      <c r="E57" s="36" t="s">
        <v>379</v>
      </c>
      <c r="F57" s="36" t="s">
        <v>380</v>
      </c>
      <c r="G57" s="54" t="s">
        <v>36</v>
      </c>
      <c r="H57" s="53" t="s">
        <v>165</v>
      </c>
      <c r="I57" s="54" t="s">
        <v>159</v>
      </c>
      <c r="J57" s="54" t="s">
        <v>38</v>
      </c>
      <c r="K57" s="54" t="s">
        <v>161</v>
      </c>
      <c r="L57" s="53">
        <v>2</v>
      </c>
      <c r="N57" s="53">
        <v>4</v>
      </c>
      <c r="O57" s="53">
        <v>0.65</v>
      </c>
      <c r="P57" s="53">
        <v>0.6</v>
      </c>
      <c r="Q57" s="97">
        <f t="shared" si="0"/>
        <v>0.625</v>
      </c>
      <c r="R57" s="53">
        <v>17.100000000000001</v>
      </c>
      <c r="S57" s="53">
        <v>86</v>
      </c>
      <c r="T57" s="16">
        <f t="shared" si="1"/>
        <v>36</v>
      </c>
      <c r="U57" s="53">
        <v>429</v>
      </c>
      <c r="V57" s="16">
        <f t="shared" si="2"/>
        <v>3861</v>
      </c>
      <c r="W57" s="53">
        <v>3</v>
      </c>
      <c r="X57" s="54" t="s">
        <v>46</v>
      </c>
      <c r="Y57" s="54" t="s">
        <v>55</v>
      </c>
      <c r="Z57" s="54" t="s">
        <v>69</v>
      </c>
      <c r="AA57" s="54" t="s">
        <v>86</v>
      </c>
      <c r="AB57" s="54" t="s">
        <v>258</v>
      </c>
    </row>
    <row r="58" spans="1:28" x14ac:dyDescent="0.15">
      <c r="A58" s="54" t="s">
        <v>34</v>
      </c>
      <c r="B58" s="53" t="s">
        <v>232</v>
      </c>
      <c r="C58" s="53">
        <v>2019</v>
      </c>
      <c r="D58" s="217" t="s">
        <v>168</v>
      </c>
      <c r="E58" s="36" t="s">
        <v>379</v>
      </c>
      <c r="F58" s="36" t="s">
        <v>380</v>
      </c>
      <c r="G58" s="54" t="s">
        <v>36</v>
      </c>
      <c r="H58" s="53" t="s">
        <v>165</v>
      </c>
      <c r="I58" s="54" t="s">
        <v>159</v>
      </c>
      <c r="J58" s="54" t="s">
        <v>38</v>
      </c>
      <c r="K58" s="54" t="s">
        <v>161</v>
      </c>
      <c r="L58" s="53">
        <v>3</v>
      </c>
      <c r="N58" s="53">
        <v>4</v>
      </c>
      <c r="O58" s="53">
        <v>0.65</v>
      </c>
      <c r="P58" s="53">
        <v>0.75</v>
      </c>
      <c r="Q58" s="97">
        <f t="shared" si="0"/>
        <v>0.7</v>
      </c>
      <c r="R58" s="53">
        <v>18.100000000000001</v>
      </c>
      <c r="S58" s="53">
        <v>86</v>
      </c>
      <c r="T58" s="16">
        <f t="shared" si="1"/>
        <v>36</v>
      </c>
      <c r="U58" s="53">
        <v>429</v>
      </c>
      <c r="V58" s="16">
        <f t="shared" si="2"/>
        <v>3861</v>
      </c>
      <c r="W58" s="53">
        <v>3</v>
      </c>
      <c r="X58" s="54" t="s">
        <v>46</v>
      </c>
      <c r="Y58" s="54" t="s">
        <v>55</v>
      </c>
      <c r="Z58" s="54" t="s">
        <v>69</v>
      </c>
      <c r="AA58" s="54" t="s">
        <v>86</v>
      </c>
      <c r="AB58" s="54" t="s">
        <v>258</v>
      </c>
    </row>
    <row r="59" spans="1:28" x14ac:dyDescent="0.15">
      <c r="A59" s="54" t="s">
        <v>34</v>
      </c>
      <c r="B59" s="53" t="s">
        <v>232</v>
      </c>
      <c r="C59" s="53">
        <v>2019</v>
      </c>
      <c r="D59" s="217" t="s">
        <v>168</v>
      </c>
      <c r="E59" s="36" t="s">
        <v>379</v>
      </c>
      <c r="F59" s="36" t="s">
        <v>380</v>
      </c>
      <c r="G59" s="54" t="s">
        <v>36</v>
      </c>
      <c r="H59" s="53" t="s">
        <v>160</v>
      </c>
      <c r="I59" s="54" t="s">
        <v>159</v>
      </c>
      <c r="J59" s="54" t="s">
        <v>38</v>
      </c>
      <c r="K59" s="54" t="s">
        <v>161</v>
      </c>
      <c r="L59" s="54">
        <v>1</v>
      </c>
      <c r="N59" s="53">
        <v>1</v>
      </c>
      <c r="O59" s="53">
        <v>0.6</v>
      </c>
      <c r="P59" s="53">
        <v>0.6</v>
      </c>
      <c r="Q59" s="97">
        <f t="shared" si="0"/>
        <v>0.6</v>
      </c>
      <c r="R59" s="53">
        <v>19.2</v>
      </c>
      <c r="S59" s="53">
        <v>119</v>
      </c>
      <c r="T59" s="16">
        <f t="shared" si="1"/>
        <v>30</v>
      </c>
      <c r="U59" s="53">
        <v>108</v>
      </c>
      <c r="V59" s="16">
        <f t="shared" si="2"/>
        <v>3240</v>
      </c>
      <c r="W59" s="53">
        <v>15</v>
      </c>
      <c r="X59" s="54" t="s">
        <v>46</v>
      </c>
      <c r="Y59" s="54" t="s">
        <v>55</v>
      </c>
      <c r="Z59" s="54" t="s">
        <v>69</v>
      </c>
      <c r="AA59" s="54" t="s">
        <v>86</v>
      </c>
      <c r="AB59" s="54" t="s">
        <v>258</v>
      </c>
    </row>
    <row r="60" spans="1:28" x14ac:dyDescent="0.15">
      <c r="A60" s="54" t="s">
        <v>34</v>
      </c>
      <c r="B60" s="53" t="s">
        <v>232</v>
      </c>
      <c r="C60" s="53">
        <v>2019</v>
      </c>
      <c r="D60" s="217" t="s">
        <v>168</v>
      </c>
      <c r="E60" s="36" t="s">
        <v>379</v>
      </c>
      <c r="F60" s="36" t="s">
        <v>380</v>
      </c>
      <c r="G60" s="54" t="s">
        <v>36</v>
      </c>
      <c r="H60" s="53" t="s">
        <v>160</v>
      </c>
      <c r="I60" s="54" t="s">
        <v>159</v>
      </c>
      <c r="J60" s="54" t="s">
        <v>38</v>
      </c>
      <c r="K60" s="54" t="s">
        <v>161</v>
      </c>
      <c r="L60" s="53">
        <v>2</v>
      </c>
      <c r="N60" s="53">
        <v>1</v>
      </c>
      <c r="O60" s="53">
        <v>0.6</v>
      </c>
      <c r="P60" s="53">
        <v>0.75</v>
      </c>
      <c r="Q60" s="97">
        <f t="shared" si="0"/>
        <v>0.67500000000000004</v>
      </c>
      <c r="R60" s="53">
        <v>20</v>
      </c>
      <c r="S60" s="53">
        <v>117</v>
      </c>
      <c r="T60" s="16">
        <f t="shared" si="1"/>
        <v>30</v>
      </c>
      <c r="U60" s="53">
        <v>108</v>
      </c>
      <c r="V60" s="16">
        <f t="shared" si="2"/>
        <v>3240</v>
      </c>
      <c r="W60" s="53">
        <v>15</v>
      </c>
      <c r="X60" s="54" t="s">
        <v>46</v>
      </c>
      <c r="Y60" s="54" t="s">
        <v>55</v>
      </c>
      <c r="Z60" s="54" t="s">
        <v>69</v>
      </c>
      <c r="AA60" s="54" t="s">
        <v>86</v>
      </c>
      <c r="AB60" s="54" t="s">
        <v>258</v>
      </c>
    </row>
    <row r="61" spans="1:28" x14ac:dyDescent="0.15">
      <c r="A61" s="54" t="s">
        <v>34</v>
      </c>
      <c r="B61" s="53" t="s">
        <v>232</v>
      </c>
      <c r="C61" s="53">
        <v>2019</v>
      </c>
      <c r="D61" s="217" t="s">
        <v>168</v>
      </c>
      <c r="E61" s="36" t="s">
        <v>379</v>
      </c>
      <c r="F61" s="36" t="s">
        <v>380</v>
      </c>
      <c r="G61" s="54" t="s">
        <v>36</v>
      </c>
      <c r="H61" s="53" t="s">
        <v>160</v>
      </c>
      <c r="I61" s="54" t="s">
        <v>159</v>
      </c>
      <c r="J61" s="54" t="s">
        <v>38</v>
      </c>
      <c r="K61" s="54" t="s">
        <v>161</v>
      </c>
      <c r="L61" s="53">
        <v>3</v>
      </c>
      <c r="N61" s="53">
        <v>1</v>
      </c>
      <c r="O61" s="53">
        <v>0.6</v>
      </c>
      <c r="P61" s="53">
        <v>0.7</v>
      </c>
      <c r="Q61" s="97">
        <f t="shared" si="0"/>
        <v>0.64999999999999991</v>
      </c>
      <c r="R61" s="53">
        <v>18.899999999999999</v>
      </c>
      <c r="S61" s="53">
        <v>107</v>
      </c>
      <c r="T61" s="16">
        <f t="shared" si="1"/>
        <v>33</v>
      </c>
      <c r="U61" s="53">
        <v>108</v>
      </c>
      <c r="V61" s="16">
        <f t="shared" si="2"/>
        <v>3564</v>
      </c>
      <c r="W61" s="53">
        <v>15</v>
      </c>
      <c r="X61" s="54" t="s">
        <v>46</v>
      </c>
      <c r="Y61" s="54" t="s">
        <v>55</v>
      </c>
      <c r="Z61" s="54" t="s">
        <v>69</v>
      </c>
      <c r="AA61" s="54" t="s">
        <v>86</v>
      </c>
      <c r="AB61" s="54" t="s">
        <v>258</v>
      </c>
    </row>
    <row r="62" spans="1:28" x14ac:dyDescent="0.15">
      <c r="A62" s="54" t="s">
        <v>34</v>
      </c>
      <c r="B62" s="53" t="s">
        <v>232</v>
      </c>
      <c r="C62" s="53">
        <v>2019</v>
      </c>
      <c r="D62" s="217" t="s">
        <v>168</v>
      </c>
      <c r="E62" s="36" t="s">
        <v>379</v>
      </c>
      <c r="F62" s="36" t="s">
        <v>380</v>
      </c>
      <c r="G62" s="54" t="s">
        <v>36</v>
      </c>
      <c r="H62" s="53" t="s">
        <v>160</v>
      </c>
      <c r="I62" s="54" t="s">
        <v>159</v>
      </c>
      <c r="J62" s="54" t="s">
        <v>38</v>
      </c>
      <c r="K62" s="54" t="s">
        <v>161</v>
      </c>
      <c r="L62" s="54">
        <v>1</v>
      </c>
      <c r="N62" s="53">
        <v>4</v>
      </c>
      <c r="O62" s="53">
        <v>0.75</v>
      </c>
      <c r="P62" s="53">
        <v>1</v>
      </c>
      <c r="Q62" s="97">
        <f t="shared" si="0"/>
        <v>0.875</v>
      </c>
      <c r="R62" s="53">
        <v>18.100000000000001</v>
      </c>
      <c r="S62" s="53">
        <v>99</v>
      </c>
      <c r="T62" s="16">
        <f t="shared" si="1"/>
        <v>33</v>
      </c>
      <c r="U62" s="53">
        <v>537</v>
      </c>
      <c r="V62" s="16">
        <f t="shared" si="2"/>
        <v>4430.25</v>
      </c>
      <c r="W62" s="53">
        <v>15</v>
      </c>
      <c r="X62" s="54" t="s">
        <v>46</v>
      </c>
      <c r="Y62" s="54" t="s">
        <v>55</v>
      </c>
      <c r="Z62" s="54" t="s">
        <v>69</v>
      </c>
      <c r="AA62" s="54" t="s">
        <v>86</v>
      </c>
      <c r="AB62" s="54" t="s">
        <v>258</v>
      </c>
    </row>
    <row r="63" spans="1:28" x14ac:dyDescent="0.15">
      <c r="A63" s="54" t="s">
        <v>34</v>
      </c>
      <c r="B63" s="53" t="s">
        <v>232</v>
      </c>
      <c r="C63" s="53">
        <v>2019</v>
      </c>
      <c r="D63" s="217" t="s">
        <v>168</v>
      </c>
      <c r="E63" s="36" t="s">
        <v>379</v>
      </c>
      <c r="F63" s="36" t="s">
        <v>380</v>
      </c>
      <c r="G63" s="54" t="s">
        <v>36</v>
      </c>
      <c r="H63" s="53" t="s">
        <v>160</v>
      </c>
      <c r="I63" s="54" t="s">
        <v>159</v>
      </c>
      <c r="J63" s="54" t="s">
        <v>38</v>
      </c>
      <c r="K63" s="54" t="s">
        <v>161</v>
      </c>
      <c r="L63" s="53">
        <v>2</v>
      </c>
      <c r="N63" s="53">
        <v>4</v>
      </c>
      <c r="O63" s="53">
        <v>0.9</v>
      </c>
      <c r="P63" s="53">
        <v>1.1499999999999999</v>
      </c>
      <c r="Q63" s="97">
        <f t="shared" si="0"/>
        <v>1.0249999999999999</v>
      </c>
      <c r="R63" s="53">
        <v>17.399999999999999</v>
      </c>
      <c r="S63" s="53">
        <v>107</v>
      </c>
      <c r="T63" s="16">
        <f t="shared" si="1"/>
        <v>33</v>
      </c>
      <c r="U63" s="53">
        <v>537</v>
      </c>
      <c r="V63" s="16">
        <f t="shared" si="2"/>
        <v>4430.25</v>
      </c>
      <c r="W63" s="53">
        <v>15</v>
      </c>
      <c r="X63" s="54" t="s">
        <v>46</v>
      </c>
      <c r="Y63" s="54" t="s">
        <v>55</v>
      </c>
      <c r="Z63" s="54" t="s">
        <v>69</v>
      </c>
      <c r="AA63" s="54" t="s">
        <v>86</v>
      </c>
      <c r="AB63" s="54" t="s">
        <v>258</v>
      </c>
    </row>
    <row r="64" spans="1:28" x14ac:dyDescent="0.15">
      <c r="A64" s="54" t="s">
        <v>34</v>
      </c>
      <c r="B64" s="53" t="s">
        <v>232</v>
      </c>
      <c r="C64" s="53">
        <v>2019</v>
      </c>
      <c r="D64" s="217" t="s">
        <v>168</v>
      </c>
      <c r="E64" s="36" t="s">
        <v>379</v>
      </c>
      <c r="F64" s="36" t="s">
        <v>380</v>
      </c>
      <c r="G64" s="54" t="s">
        <v>36</v>
      </c>
      <c r="H64" s="53" t="s">
        <v>160</v>
      </c>
      <c r="I64" s="54" t="s">
        <v>159</v>
      </c>
      <c r="J64" s="54" t="s">
        <v>38</v>
      </c>
      <c r="K64" s="54" t="s">
        <v>161</v>
      </c>
      <c r="L64" s="53">
        <v>3</v>
      </c>
      <c r="N64" s="53">
        <v>4</v>
      </c>
      <c r="O64" s="53">
        <v>0.75</v>
      </c>
      <c r="P64" s="53">
        <v>0.65</v>
      </c>
      <c r="Q64" s="97">
        <f t="shared" si="0"/>
        <v>0.7</v>
      </c>
      <c r="R64" s="53">
        <v>18.899999999999999</v>
      </c>
      <c r="S64" s="53">
        <v>96</v>
      </c>
      <c r="T64" s="16">
        <f t="shared" si="1"/>
        <v>36</v>
      </c>
      <c r="U64" s="53">
        <v>537</v>
      </c>
      <c r="V64" s="16">
        <f t="shared" si="2"/>
        <v>4833</v>
      </c>
      <c r="W64" s="53">
        <v>15</v>
      </c>
      <c r="X64" s="54" t="s">
        <v>46</v>
      </c>
      <c r="Y64" s="54" t="s">
        <v>55</v>
      </c>
      <c r="Z64" s="54" t="s">
        <v>69</v>
      </c>
      <c r="AA64" s="54" t="s">
        <v>86</v>
      </c>
      <c r="AB64" s="54" t="s">
        <v>258</v>
      </c>
    </row>
    <row r="65" spans="1:28" x14ac:dyDescent="0.15">
      <c r="A65" s="54" t="s">
        <v>34</v>
      </c>
      <c r="B65" s="53" t="s">
        <v>232</v>
      </c>
      <c r="C65" s="53">
        <v>2019</v>
      </c>
      <c r="D65" s="217" t="s">
        <v>168</v>
      </c>
      <c r="E65" s="36" t="s">
        <v>379</v>
      </c>
      <c r="F65" s="36" t="s">
        <v>380</v>
      </c>
      <c r="G65" s="54" t="s">
        <v>36</v>
      </c>
      <c r="H65" s="53" t="s">
        <v>160</v>
      </c>
      <c r="I65" s="54" t="s">
        <v>159</v>
      </c>
      <c r="J65" s="54" t="s">
        <v>38</v>
      </c>
      <c r="K65" s="54" t="s">
        <v>161</v>
      </c>
      <c r="L65" s="54">
        <v>1</v>
      </c>
      <c r="N65" s="53">
        <v>8</v>
      </c>
      <c r="O65" s="53">
        <v>0.65</v>
      </c>
      <c r="P65" s="53">
        <v>0.55000000000000004</v>
      </c>
      <c r="Q65" s="97">
        <f t="shared" si="0"/>
        <v>0.60000000000000009</v>
      </c>
      <c r="R65" s="53">
        <v>17.7</v>
      </c>
      <c r="S65" s="53">
        <v>98</v>
      </c>
      <c r="T65" s="16">
        <f t="shared" si="1"/>
        <v>36</v>
      </c>
      <c r="U65" s="53">
        <v>1058</v>
      </c>
      <c r="V65" s="16">
        <f t="shared" si="2"/>
        <v>4761</v>
      </c>
      <c r="W65" s="53">
        <v>15</v>
      </c>
      <c r="X65" s="54" t="s">
        <v>46</v>
      </c>
      <c r="Y65" s="54" t="s">
        <v>55</v>
      </c>
      <c r="Z65" s="54" t="s">
        <v>69</v>
      </c>
      <c r="AA65" s="54" t="s">
        <v>86</v>
      </c>
      <c r="AB65" s="54" t="s">
        <v>258</v>
      </c>
    </row>
    <row r="66" spans="1:28" x14ac:dyDescent="0.15">
      <c r="A66" s="54" t="s">
        <v>34</v>
      </c>
      <c r="B66" s="53" t="s">
        <v>232</v>
      </c>
      <c r="C66" s="53">
        <v>2019</v>
      </c>
      <c r="D66" s="217" t="s">
        <v>168</v>
      </c>
      <c r="E66" s="36" t="s">
        <v>379</v>
      </c>
      <c r="F66" s="36" t="s">
        <v>380</v>
      </c>
      <c r="G66" s="54" t="s">
        <v>36</v>
      </c>
      <c r="H66" s="53" t="s">
        <v>160</v>
      </c>
      <c r="I66" s="54" t="s">
        <v>159</v>
      </c>
      <c r="J66" s="54" t="s">
        <v>38</v>
      </c>
      <c r="K66" s="54" t="s">
        <v>161</v>
      </c>
      <c r="L66" s="53">
        <v>2</v>
      </c>
      <c r="N66" s="53">
        <v>8</v>
      </c>
      <c r="O66" s="53">
        <v>0.65</v>
      </c>
      <c r="P66" s="53">
        <v>0.75</v>
      </c>
      <c r="Q66" s="97">
        <f t="shared" si="0"/>
        <v>0.7</v>
      </c>
      <c r="R66" s="53">
        <v>16.100000000000001</v>
      </c>
      <c r="S66" s="53">
        <v>97</v>
      </c>
      <c r="T66" s="16">
        <f t="shared" si="1"/>
        <v>36</v>
      </c>
      <c r="U66" s="53">
        <v>1058</v>
      </c>
      <c r="V66" s="16">
        <f t="shared" si="2"/>
        <v>4761</v>
      </c>
      <c r="W66" s="53">
        <v>15</v>
      </c>
      <c r="X66" s="54" t="s">
        <v>46</v>
      </c>
      <c r="Y66" s="54" t="s">
        <v>55</v>
      </c>
      <c r="Z66" s="54" t="s">
        <v>69</v>
      </c>
      <c r="AA66" s="54" t="s">
        <v>86</v>
      </c>
      <c r="AB66" s="54" t="s">
        <v>258</v>
      </c>
    </row>
    <row r="67" spans="1:28" x14ac:dyDescent="0.15">
      <c r="A67" s="54" t="s">
        <v>34</v>
      </c>
      <c r="B67" s="53" t="s">
        <v>232</v>
      </c>
      <c r="C67" s="53">
        <v>2019</v>
      </c>
      <c r="D67" s="217" t="s">
        <v>168</v>
      </c>
      <c r="E67" s="36" t="s">
        <v>379</v>
      </c>
      <c r="F67" s="36" t="s">
        <v>380</v>
      </c>
      <c r="G67" s="54" t="s">
        <v>36</v>
      </c>
      <c r="H67" s="53" t="s">
        <v>160</v>
      </c>
      <c r="I67" s="54" t="s">
        <v>159</v>
      </c>
      <c r="J67" s="54" t="s">
        <v>38</v>
      </c>
      <c r="K67" s="54" t="s">
        <v>161</v>
      </c>
      <c r="L67" s="53">
        <v>3</v>
      </c>
      <c r="N67" s="53">
        <v>8</v>
      </c>
      <c r="O67" s="53">
        <v>0.65</v>
      </c>
      <c r="P67" s="53">
        <v>0.55000000000000004</v>
      </c>
      <c r="Q67" s="97">
        <f t="shared" si="0"/>
        <v>0.60000000000000009</v>
      </c>
      <c r="R67" s="53">
        <v>17.5</v>
      </c>
      <c r="S67" s="53">
        <v>100</v>
      </c>
      <c r="T67" s="16">
        <f t="shared" si="1"/>
        <v>33</v>
      </c>
      <c r="U67" s="53">
        <v>1058</v>
      </c>
      <c r="V67" s="16">
        <f t="shared" si="2"/>
        <v>4364.25</v>
      </c>
      <c r="W67" s="53">
        <v>15</v>
      </c>
      <c r="X67" s="54" t="s">
        <v>46</v>
      </c>
      <c r="Y67" s="54" t="s">
        <v>55</v>
      </c>
      <c r="Z67" s="54" t="s">
        <v>69</v>
      </c>
      <c r="AA67" s="54" t="s">
        <v>86</v>
      </c>
      <c r="AB67" s="54" t="s">
        <v>258</v>
      </c>
    </row>
    <row r="68" spans="1:28" x14ac:dyDescent="0.15">
      <c r="A68" s="54" t="s">
        <v>34</v>
      </c>
      <c r="B68" s="53" t="s">
        <v>232</v>
      </c>
      <c r="C68" s="53">
        <v>2019</v>
      </c>
      <c r="D68" s="217" t="s">
        <v>168</v>
      </c>
      <c r="E68" s="36" t="s">
        <v>358</v>
      </c>
      <c r="F68" s="36" t="s">
        <v>368</v>
      </c>
      <c r="G68" s="54" t="s">
        <v>36</v>
      </c>
      <c r="H68" s="53" t="s">
        <v>160</v>
      </c>
      <c r="I68" s="54" t="s">
        <v>159</v>
      </c>
      <c r="J68" s="54" t="s">
        <v>38</v>
      </c>
      <c r="K68" s="54" t="s">
        <v>161</v>
      </c>
      <c r="L68" s="54">
        <v>1</v>
      </c>
      <c r="N68" s="53">
        <v>1</v>
      </c>
      <c r="O68" s="53">
        <v>0.6</v>
      </c>
      <c r="P68" s="53">
        <v>0.55000000000000004</v>
      </c>
      <c r="Q68" s="97">
        <f t="shared" si="0"/>
        <v>0.57499999999999996</v>
      </c>
      <c r="R68" s="53">
        <v>17.5</v>
      </c>
      <c r="S68" s="53">
        <v>107</v>
      </c>
      <c r="T68" s="16">
        <f t="shared" si="1"/>
        <v>33</v>
      </c>
      <c r="U68" s="53">
        <v>101</v>
      </c>
      <c r="V68" s="16">
        <f t="shared" si="2"/>
        <v>3333</v>
      </c>
      <c r="W68" s="53">
        <v>6</v>
      </c>
      <c r="X68" s="54" t="s">
        <v>46</v>
      </c>
      <c r="Y68" s="54" t="s">
        <v>55</v>
      </c>
      <c r="Z68" s="54" t="s">
        <v>69</v>
      </c>
      <c r="AA68" s="54" t="s">
        <v>47</v>
      </c>
      <c r="AB68" s="54" t="s">
        <v>258</v>
      </c>
    </row>
    <row r="69" spans="1:28" x14ac:dyDescent="0.15">
      <c r="A69" s="54" t="s">
        <v>34</v>
      </c>
      <c r="B69" s="53" t="s">
        <v>232</v>
      </c>
      <c r="C69" s="53">
        <v>2019</v>
      </c>
      <c r="D69" s="217" t="s">
        <v>168</v>
      </c>
      <c r="E69" s="36" t="s">
        <v>358</v>
      </c>
      <c r="F69" s="36" t="s">
        <v>368</v>
      </c>
      <c r="G69" s="54" t="s">
        <v>36</v>
      </c>
      <c r="H69" s="53" t="s">
        <v>160</v>
      </c>
      <c r="I69" s="54" t="s">
        <v>159</v>
      </c>
      <c r="J69" s="54" t="s">
        <v>38</v>
      </c>
      <c r="K69" s="54" t="s">
        <v>161</v>
      </c>
      <c r="L69" s="53">
        <v>2</v>
      </c>
      <c r="N69" s="53">
        <v>1</v>
      </c>
      <c r="O69" s="53">
        <v>0.7</v>
      </c>
      <c r="P69" s="53">
        <v>0.55000000000000004</v>
      </c>
      <c r="Q69" s="97">
        <f t="shared" si="0"/>
        <v>0.625</v>
      </c>
      <c r="R69" s="53">
        <v>19.399999999999999</v>
      </c>
      <c r="S69" s="53">
        <v>108</v>
      </c>
      <c r="T69" s="16">
        <f t="shared" si="1"/>
        <v>33</v>
      </c>
      <c r="U69" s="53">
        <v>101</v>
      </c>
      <c r="V69" s="16">
        <f t="shared" si="2"/>
        <v>3333</v>
      </c>
      <c r="W69" s="53">
        <v>6</v>
      </c>
      <c r="X69" s="54" t="s">
        <v>46</v>
      </c>
      <c r="Y69" s="54" t="s">
        <v>55</v>
      </c>
      <c r="Z69" s="54" t="s">
        <v>69</v>
      </c>
      <c r="AA69" s="54" t="s">
        <v>47</v>
      </c>
      <c r="AB69" s="54" t="s">
        <v>258</v>
      </c>
    </row>
    <row r="70" spans="1:28" x14ac:dyDescent="0.15">
      <c r="A70" s="54" t="s">
        <v>34</v>
      </c>
      <c r="B70" s="53" t="s">
        <v>232</v>
      </c>
      <c r="C70" s="53">
        <v>2019</v>
      </c>
      <c r="D70" s="217" t="s">
        <v>168</v>
      </c>
      <c r="E70" s="36" t="s">
        <v>358</v>
      </c>
      <c r="F70" s="36" t="s">
        <v>368</v>
      </c>
      <c r="G70" s="54" t="s">
        <v>36</v>
      </c>
      <c r="H70" s="53" t="s">
        <v>160</v>
      </c>
      <c r="I70" s="54" t="s">
        <v>159</v>
      </c>
      <c r="J70" s="54" t="s">
        <v>38</v>
      </c>
      <c r="K70" s="54" t="s">
        <v>161</v>
      </c>
      <c r="L70" s="53">
        <v>3</v>
      </c>
      <c r="N70" s="53">
        <v>1</v>
      </c>
      <c r="O70" s="53">
        <v>0.65</v>
      </c>
      <c r="P70" s="53">
        <v>0.55000000000000004</v>
      </c>
      <c r="Q70" s="97">
        <f t="shared" si="0"/>
        <v>0.60000000000000009</v>
      </c>
      <c r="R70" s="53">
        <v>20.6</v>
      </c>
      <c r="S70" s="53">
        <v>108</v>
      </c>
      <c r="T70" s="16">
        <f t="shared" si="1"/>
        <v>33</v>
      </c>
      <c r="U70" s="53">
        <v>101</v>
      </c>
      <c r="V70" s="16">
        <f t="shared" si="2"/>
        <v>3333</v>
      </c>
      <c r="W70" s="53">
        <v>6</v>
      </c>
      <c r="X70" s="54" t="s">
        <v>46</v>
      </c>
      <c r="Y70" s="54" t="s">
        <v>55</v>
      </c>
      <c r="Z70" s="54" t="s">
        <v>69</v>
      </c>
      <c r="AA70" s="54" t="s">
        <v>47</v>
      </c>
      <c r="AB70" s="54" t="s">
        <v>258</v>
      </c>
    </row>
    <row r="71" spans="1:28" x14ac:dyDescent="0.15">
      <c r="A71" s="54" t="s">
        <v>34</v>
      </c>
      <c r="B71" s="53" t="s">
        <v>232</v>
      </c>
      <c r="C71" s="53">
        <v>2019</v>
      </c>
      <c r="D71" s="217" t="s">
        <v>168</v>
      </c>
      <c r="E71" s="36" t="s">
        <v>358</v>
      </c>
      <c r="F71" s="36" t="s">
        <v>368</v>
      </c>
      <c r="G71" s="54" t="s">
        <v>36</v>
      </c>
      <c r="H71" s="53" t="s">
        <v>165</v>
      </c>
      <c r="I71" s="54" t="s">
        <v>159</v>
      </c>
      <c r="J71" s="54" t="s">
        <v>38</v>
      </c>
      <c r="K71" s="54" t="s">
        <v>161</v>
      </c>
      <c r="L71" s="54">
        <v>1</v>
      </c>
      <c r="N71" s="53">
        <v>1</v>
      </c>
      <c r="O71" s="53">
        <v>1</v>
      </c>
      <c r="P71" s="53">
        <v>1.35</v>
      </c>
      <c r="Q71" s="97">
        <f t="shared" si="0"/>
        <v>1.175</v>
      </c>
      <c r="R71" s="53">
        <v>17.2</v>
      </c>
      <c r="S71" s="53">
        <v>133</v>
      </c>
      <c r="T71" s="16">
        <f t="shared" si="1"/>
        <v>30</v>
      </c>
      <c r="U71" s="53">
        <v>101</v>
      </c>
      <c r="V71" s="16">
        <f t="shared" si="2"/>
        <v>3030</v>
      </c>
      <c r="W71" s="53">
        <v>3</v>
      </c>
      <c r="X71" s="54" t="s">
        <v>46</v>
      </c>
      <c r="Y71" s="54" t="s">
        <v>55</v>
      </c>
      <c r="Z71" s="54" t="s">
        <v>69</v>
      </c>
      <c r="AA71" s="54" t="s">
        <v>47</v>
      </c>
      <c r="AB71" s="54" t="s">
        <v>258</v>
      </c>
    </row>
    <row r="72" spans="1:28" x14ac:dyDescent="0.15">
      <c r="A72" s="54" t="s">
        <v>34</v>
      </c>
      <c r="B72" s="53" t="s">
        <v>232</v>
      </c>
      <c r="C72" s="53">
        <v>2019</v>
      </c>
      <c r="D72" s="217" t="s">
        <v>168</v>
      </c>
      <c r="E72" s="36" t="s">
        <v>358</v>
      </c>
      <c r="F72" s="36" t="s">
        <v>368</v>
      </c>
      <c r="G72" s="54" t="s">
        <v>36</v>
      </c>
      <c r="H72" s="53" t="s">
        <v>165</v>
      </c>
      <c r="I72" s="54" t="s">
        <v>159</v>
      </c>
      <c r="J72" s="54" t="s">
        <v>38</v>
      </c>
      <c r="K72" s="54" t="s">
        <v>161</v>
      </c>
      <c r="L72" s="53">
        <v>2</v>
      </c>
      <c r="N72" s="53">
        <v>1</v>
      </c>
      <c r="O72" s="53">
        <v>0.6</v>
      </c>
      <c r="P72" s="53">
        <v>0.6</v>
      </c>
      <c r="Q72" s="97">
        <f t="shared" si="0"/>
        <v>0.6</v>
      </c>
      <c r="R72" s="53">
        <v>17.899999999999999</v>
      </c>
      <c r="S72" s="53">
        <v>136</v>
      </c>
      <c r="T72" s="16">
        <f t="shared" si="1"/>
        <v>30</v>
      </c>
      <c r="U72" s="53">
        <v>101</v>
      </c>
      <c r="V72" s="16">
        <f t="shared" si="2"/>
        <v>3030</v>
      </c>
      <c r="W72" s="53">
        <v>3</v>
      </c>
      <c r="X72" s="54" t="s">
        <v>46</v>
      </c>
      <c r="Y72" s="54" t="s">
        <v>55</v>
      </c>
      <c r="Z72" s="54" t="s">
        <v>69</v>
      </c>
      <c r="AA72" s="54" t="s">
        <v>47</v>
      </c>
      <c r="AB72" s="54" t="s">
        <v>258</v>
      </c>
    </row>
    <row r="73" spans="1:28" x14ac:dyDescent="0.15">
      <c r="A73" s="54" t="s">
        <v>34</v>
      </c>
      <c r="B73" s="53" t="s">
        <v>232</v>
      </c>
      <c r="C73" s="53">
        <v>2019</v>
      </c>
      <c r="D73" s="217" t="s">
        <v>168</v>
      </c>
      <c r="E73" s="36" t="s">
        <v>358</v>
      </c>
      <c r="F73" s="36" t="s">
        <v>368</v>
      </c>
      <c r="G73" s="54" t="s">
        <v>36</v>
      </c>
      <c r="H73" s="53" t="s">
        <v>165</v>
      </c>
      <c r="I73" s="54" t="s">
        <v>159</v>
      </c>
      <c r="J73" s="54" t="s">
        <v>38</v>
      </c>
      <c r="K73" s="54" t="s">
        <v>161</v>
      </c>
      <c r="L73" s="53">
        <v>3</v>
      </c>
      <c r="N73" s="53">
        <v>1</v>
      </c>
      <c r="O73" s="53">
        <v>0.7</v>
      </c>
      <c r="P73" s="53">
        <v>0.85</v>
      </c>
      <c r="Q73" s="97">
        <f t="shared" si="0"/>
        <v>0.77499999999999991</v>
      </c>
      <c r="R73" s="53">
        <v>17.100000000000001</v>
      </c>
      <c r="S73" s="53">
        <v>130</v>
      </c>
      <c r="T73" s="16">
        <f t="shared" si="1"/>
        <v>30</v>
      </c>
      <c r="U73" s="53">
        <v>101</v>
      </c>
      <c r="V73" s="16">
        <f t="shared" si="2"/>
        <v>3030</v>
      </c>
      <c r="W73" s="53">
        <v>3</v>
      </c>
      <c r="X73" s="54" t="s">
        <v>46</v>
      </c>
      <c r="Y73" s="54" t="s">
        <v>55</v>
      </c>
      <c r="Z73" s="54" t="s">
        <v>69</v>
      </c>
      <c r="AA73" s="54" t="s">
        <v>47</v>
      </c>
      <c r="AB73" s="54" t="s">
        <v>258</v>
      </c>
    </row>
    <row r="74" spans="1:28" x14ac:dyDescent="0.15">
      <c r="A74" s="54" t="s">
        <v>34</v>
      </c>
      <c r="B74" s="53" t="s">
        <v>232</v>
      </c>
      <c r="C74" s="53">
        <v>2019</v>
      </c>
      <c r="D74" s="217" t="s">
        <v>168</v>
      </c>
      <c r="E74" s="36" t="s">
        <v>358</v>
      </c>
      <c r="F74" s="36" t="s">
        <v>368</v>
      </c>
      <c r="G74" s="54" t="s">
        <v>36</v>
      </c>
      <c r="H74" s="53" t="s">
        <v>165</v>
      </c>
      <c r="I74" s="54" t="s">
        <v>159</v>
      </c>
      <c r="J74" s="54" t="s">
        <v>38</v>
      </c>
      <c r="K74" s="54" t="s">
        <v>161</v>
      </c>
      <c r="L74" s="54">
        <v>1</v>
      </c>
      <c r="N74" s="53">
        <v>5</v>
      </c>
      <c r="O74" s="53">
        <v>0.55000000000000004</v>
      </c>
      <c r="P74" s="53">
        <v>0.5</v>
      </c>
      <c r="Q74" s="97">
        <f t="shared" si="0"/>
        <v>0.52500000000000002</v>
      </c>
      <c r="R74" s="53">
        <v>16.600000000000001</v>
      </c>
      <c r="S74" s="53">
        <v>85</v>
      </c>
      <c r="T74" s="16">
        <f t="shared" si="1"/>
        <v>36</v>
      </c>
      <c r="U74" s="53">
        <v>429</v>
      </c>
      <c r="V74" s="16">
        <f t="shared" si="2"/>
        <v>3088.7999999999997</v>
      </c>
      <c r="W74" s="53">
        <v>3</v>
      </c>
      <c r="X74" s="54" t="s">
        <v>46</v>
      </c>
      <c r="Y74" s="54" t="s">
        <v>55</v>
      </c>
      <c r="Z74" s="54" t="s">
        <v>69</v>
      </c>
      <c r="AA74" s="54" t="s">
        <v>47</v>
      </c>
      <c r="AB74" s="54" t="s">
        <v>258</v>
      </c>
    </row>
    <row r="75" spans="1:28" x14ac:dyDescent="0.15">
      <c r="A75" s="54" t="s">
        <v>34</v>
      </c>
      <c r="B75" s="53" t="s">
        <v>232</v>
      </c>
      <c r="C75" s="53">
        <v>2019</v>
      </c>
      <c r="D75" s="217" t="s">
        <v>168</v>
      </c>
      <c r="E75" s="36" t="s">
        <v>358</v>
      </c>
      <c r="F75" s="36" t="s">
        <v>368</v>
      </c>
      <c r="G75" s="54" t="s">
        <v>36</v>
      </c>
      <c r="H75" s="53" t="s">
        <v>165</v>
      </c>
      <c r="I75" s="54" t="s">
        <v>159</v>
      </c>
      <c r="J75" s="54" t="s">
        <v>38</v>
      </c>
      <c r="K75" s="54" t="s">
        <v>161</v>
      </c>
      <c r="L75" s="53">
        <v>2</v>
      </c>
      <c r="N75" s="53">
        <v>5</v>
      </c>
      <c r="O75" s="53">
        <v>0.2</v>
      </c>
      <c r="P75" s="53">
        <v>0.2</v>
      </c>
      <c r="Q75" s="97">
        <f t="shared" si="0"/>
        <v>0.2</v>
      </c>
      <c r="R75" s="53">
        <v>14.5</v>
      </c>
      <c r="S75" s="53">
        <v>89</v>
      </c>
      <c r="T75" s="16">
        <f t="shared" si="1"/>
        <v>36</v>
      </c>
      <c r="U75" s="53">
        <v>429</v>
      </c>
      <c r="V75" s="16">
        <f t="shared" si="2"/>
        <v>3088.7999999999997</v>
      </c>
      <c r="W75" s="53">
        <v>3</v>
      </c>
      <c r="X75" s="54" t="s">
        <v>46</v>
      </c>
      <c r="Y75" s="54" t="s">
        <v>55</v>
      </c>
      <c r="Z75" s="54" t="s">
        <v>69</v>
      </c>
      <c r="AA75" s="54" t="s">
        <v>47</v>
      </c>
      <c r="AB75" s="54" t="s">
        <v>258</v>
      </c>
    </row>
    <row r="76" spans="1:28" x14ac:dyDescent="0.15">
      <c r="A76" s="54" t="s">
        <v>34</v>
      </c>
      <c r="B76" s="53" t="s">
        <v>232</v>
      </c>
      <c r="C76" s="53">
        <v>2019</v>
      </c>
      <c r="D76" s="217" t="s">
        <v>168</v>
      </c>
      <c r="E76" s="36" t="s">
        <v>358</v>
      </c>
      <c r="F76" s="36" t="s">
        <v>368</v>
      </c>
      <c r="G76" s="54" t="s">
        <v>36</v>
      </c>
      <c r="H76" s="53" t="s">
        <v>165</v>
      </c>
      <c r="I76" s="54" t="s">
        <v>159</v>
      </c>
      <c r="J76" s="54" t="s">
        <v>38</v>
      </c>
      <c r="K76" s="54" t="s">
        <v>161</v>
      </c>
      <c r="L76" s="53">
        <v>3</v>
      </c>
      <c r="N76" s="53">
        <v>5</v>
      </c>
      <c r="O76" s="53">
        <v>0.2</v>
      </c>
      <c r="P76" s="53">
        <v>0.2</v>
      </c>
      <c r="Q76" s="97">
        <f t="shared" si="0"/>
        <v>0.2</v>
      </c>
      <c r="R76" s="53">
        <v>17</v>
      </c>
      <c r="S76" s="53">
        <v>89</v>
      </c>
      <c r="T76" s="16">
        <f t="shared" si="1"/>
        <v>36</v>
      </c>
      <c r="U76" s="53">
        <v>429</v>
      </c>
      <c r="V76" s="16">
        <f t="shared" si="2"/>
        <v>3088.7999999999997</v>
      </c>
      <c r="W76" s="53">
        <v>3</v>
      </c>
      <c r="X76" s="54" t="s">
        <v>46</v>
      </c>
      <c r="Y76" s="54" t="s">
        <v>55</v>
      </c>
      <c r="Z76" s="54" t="s">
        <v>69</v>
      </c>
      <c r="AA76" s="54" t="s">
        <v>47</v>
      </c>
      <c r="AB76" s="54" t="s">
        <v>258</v>
      </c>
    </row>
    <row r="77" spans="1:28" x14ac:dyDescent="0.15">
      <c r="A77" s="54" t="s">
        <v>34</v>
      </c>
      <c r="B77" s="53" t="s">
        <v>232</v>
      </c>
      <c r="C77" s="53">
        <v>2019</v>
      </c>
      <c r="D77" s="217" t="s">
        <v>168</v>
      </c>
      <c r="E77" s="36" t="s">
        <v>358</v>
      </c>
      <c r="F77" s="36" t="s">
        <v>368</v>
      </c>
      <c r="G77" s="54" t="s">
        <v>36</v>
      </c>
      <c r="H77" s="53" t="s">
        <v>127</v>
      </c>
      <c r="I77" s="54" t="s">
        <v>159</v>
      </c>
      <c r="J77" s="54" t="s">
        <v>80</v>
      </c>
      <c r="K77" s="54" t="s">
        <v>45</v>
      </c>
      <c r="L77" s="54">
        <v>1</v>
      </c>
      <c r="N77" s="53">
        <v>5</v>
      </c>
      <c r="O77" s="53">
        <v>0.6</v>
      </c>
      <c r="P77" s="53">
        <v>0.5</v>
      </c>
      <c r="Q77" s="97">
        <f t="shared" si="0"/>
        <v>0.55000000000000004</v>
      </c>
      <c r="R77" s="53">
        <v>16.5</v>
      </c>
      <c r="S77" s="53">
        <v>96</v>
      </c>
      <c r="T77" s="16">
        <f t="shared" si="1"/>
        <v>36</v>
      </c>
      <c r="U77" s="53">
        <v>429</v>
      </c>
      <c r="V77" s="16">
        <f t="shared" si="2"/>
        <v>3088.7999999999997</v>
      </c>
      <c r="W77" s="53">
        <v>1</v>
      </c>
      <c r="X77" s="54" t="s">
        <v>46</v>
      </c>
      <c r="Y77" s="54" t="s">
        <v>55</v>
      </c>
      <c r="Z77" s="54" t="s">
        <v>69</v>
      </c>
      <c r="AA77" s="54" t="s">
        <v>47</v>
      </c>
      <c r="AB77" s="54" t="s">
        <v>258</v>
      </c>
    </row>
    <row r="78" spans="1:28" x14ac:dyDescent="0.15">
      <c r="A78" s="54" t="s">
        <v>34</v>
      </c>
      <c r="B78" s="53" t="s">
        <v>232</v>
      </c>
      <c r="C78" s="53">
        <v>2019</v>
      </c>
      <c r="D78" s="217" t="s">
        <v>168</v>
      </c>
      <c r="E78" s="36" t="s">
        <v>358</v>
      </c>
      <c r="F78" s="36" t="s">
        <v>368</v>
      </c>
      <c r="G78" s="54" t="s">
        <v>36</v>
      </c>
      <c r="H78" s="53" t="s">
        <v>127</v>
      </c>
      <c r="I78" s="54" t="s">
        <v>159</v>
      </c>
      <c r="J78" s="54" t="s">
        <v>80</v>
      </c>
      <c r="K78" s="54" t="s">
        <v>45</v>
      </c>
      <c r="L78" s="53">
        <v>2</v>
      </c>
      <c r="N78" s="53">
        <v>5</v>
      </c>
      <c r="O78" s="53">
        <v>0.55000000000000004</v>
      </c>
      <c r="P78" s="53">
        <v>0.45</v>
      </c>
      <c r="Q78" s="97">
        <f t="shared" si="0"/>
        <v>0.5</v>
      </c>
      <c r="R78" s="53">
        <v>13.7</v>
      </c>
      <c r="S78" s="53">
        <v>101</v>
      </c>
      <c r="T78" s="16">
        <f t="shared" si="1"/>
        <v>33</v>
      </c>
      <c r="U78" s="53">
        <v>429</v>
      </c>
      <c r="V78" s="16">
        <f t="shared" si="2"/>
        <v>2831.4</v>
      </c>
      <c r="W78" s="53">
        <v>1</v>
      </c>
      <c r="X78" s="54" t="s">
        <v>46</v>
      </c>
      <c r="Y78" s="54" t="s">
        <v>55</v>
      </c>
      <c r="Z78" s="54" t="s">
        <v>69</v>
      </c>
      <c r="AA78" s="54" t="s">
        <v>47</v>
      </c>
      <c r="AB78" s="54" t="s">
        <v>258</v>
      </c>
    </row>
    <row r="79" spans="1:28" x14ac:dyDescent="0.15">
      <c r="A79" s="54" t="s">
        <v>34</v>
      </c>
      <c r="B79" s="53" t="s">
        <v>232</v>
      </c>
      <c r="C79" s="53">
        <v>2019</v>
      </c>
      <c r="D79" s="217" t="s">
        <v>168</v>
      </c>
      <c r="E79" s="36" t="s">
        <v>358</v>
      </c>
      <c r="F79" s="36" t="s">
        <v>368</v>
      </c>
      <c r="G79" s="54" t="s">
        <v>36</v>
      </c>
      <c r="H79" s="53" t="s">
        <v>127</v>
      </c>
      <c r="I79" s="54" t="s">
        <v>159</v>
      </c>
      <c r="J79" s="54" t="s">
        <v>80</v>
      </c>
      <c r="K79" s="54" t="s">
        <v>45</v>
      </c>
      <c r="L79" s="53">
        <v>3</v>
      </c>
      <c r="N79" s="53">
        <v>5</v>
      </c>
      <c r="O79" s="53">
        <v>0.5</v>
      </c>
      <c r="P79" s="53">
        <v>0.45</v>
      </c>
      <c r="Q79" s="97">
        <f t="shared" si="0"/>
        <v>0.47499999999999998</v>
      </c>
      <c r="R79" s="53">
        <v>16.5</v>
      </c>
      <c r="S79" s="53">
        <v>98</v>
      </c>
      <c r="T79" s="16">
        <f t="shared" si="1"/>
        <v>36</v>
      </c>
      <c r="U79" s="53">
        <v>429</v>
      </c>
      <c r="V79" s="16">
        <f t="shared" si="2"/>
        <v>3088.7999999999997</v>
      </c>
      <c r="W79" s="53">
        <v>1</v>
      </c>
      <c r="X79" s="54" t="s">
        <v>46</v>
      </c>
      <c r="Y79" s="54" t="s">
        <v>55</v>
      </c>
      <c r="Z79" s="54" t="s">
        <v>69</v>
      </c>
      <c r="AA79" s="54" t="s">
        <v>47</v>
      </c>
      <c r="AB79" s="54" t="s">
        <v>258</v>
      </c>
    </row>
    <row r="80" spans="1:28" x14ac:dyDescent="0.15">
      <c r="A80" s="54" t="s">
        <v>34</v>
      </c>
      <c r="B80" s="53" t="s">
        <v>232</v>
      </c>
      <c r="C80" s="53">
        <v>2019</v>
      </c>
      <c r="D80" s="217" t="s">
        <v>168</v>
      </c>
      <c r="E80" s="36" t="s">
        <v>358</v>
      </c>
      <c r="F80" s="36" t="s">
        <v>368</v>
      </c>
      <c r="G80" s="54" t="s">
        <v>36</v>
      </c>
      <c r="H80" s="53" t="s">
        <v>128</v>
      </c>
      <c r="I80" s="54" t="s">
        <v>159</v>
      </c>
      <c r="J80" s="54" t="s">
        <v>80</v>
      </c>
      <c r="K80" s="54" t="s">
        <v>45</v>
      </c>
      <c r="L80" s="54">
        <v>1</v>
      </c>
      <c r="N80" s="53">
        <v>4</v>
      </c>
      <c r="O80" s="53">
        <v>0.5</v>
      </c>
      <c r="P80" s="53">
        <v>0.55000000000000004</v>
      </c>
      <c r="Q80" s="97">
        <f t="shared" si="0"/>
        <v>0.52500000000000002</v>
      </c>
      <c r="R80" s="53">
        <v>17.399999999999999</v>
      </c>
      <c r="S80" s="53">
        <v>109</v>
      </c>
      <c r="T80" s="16">
        <f t="shared" si="1"/>
        <v>33</v>
      </c>
      <c r="U80" s="53">
        <v>429</v>
      </c>
      <c r="V80" s="16">
        <f t="shared" si="2"/>
        <v>3539.25</v>
      </c>
      <c r="W80" s="53">
        <v>1</v>
      </c>
      <c r="X80" s="54" t="s">
        <v>46</v>
      </c>
      <c r="Y80" s="54" t="s">
        <v>55</v>
      </c>
      <c r="Z80" s="54" t="s">
        <v>69</v>
      </c>
      <c r="AA80" s="54" t="s">
        <v>47</v>
      </c>
      <c r="AB80" s="54" t="s">
        <v>258</v>
      </c>
    </row>
    <row r="81" spans="1:28" x14ac:dyDescent="0.15">
      <c r="A81" s="54" t="s">
        <v>34</v>
      </c>
      <c r="B81" s="53" t="s">
        <v>232</v>
      </c>
      <c r="C81" s="53">
        <v>2019</v>
      </c>
      <c r="D81" s="217" t="s">
        <v>168</v>
      </c>
      <c r="E81" s="36" t="s">
        <v>358</v>
      </c>
      <c r="F81" s="36" t="s">
        <v>368</v>
      </c>
      <c r="G81" s="54" t="s">
        <v>36</v>
      </c>
      <c r="H81" s="53" t="s">
        <v>128</v>
      </c>
      <c r="I81" s="54" t="s">
        <v>159</v>
      </c>
      <c r="J81" s="54" t="s">
        <v>80</v>
      </c>
      <c r="K81" s="54" t="s">
        <v>45</v>
      </c>
      <c r="L81" s="53">
        <v>2</v>
      </c>
      <c r="N81" s="53">
        <v>4</v>
      </c>
      <c r="O81" s="53">
        <v>0.5</v>
      </c>
      <c r="P81" s="53">
        <v>0.5</v>
      </c>
      <c r="Q81" s="97">
        <f t="shared" si="0"/>
        <v>0.5</v>
      </c>
      <c r="R81" s="53">
        <v>17.100000000000001</v>
      </c>
      <c r="S81" s="53">
        <v>107</v>
      </c>
      <c r="T81" s="16">
        <f t="shared" si="1"/>
        <v>33</v>
      </c>
      <c r="U81" s="53">
        <v>429</v>
      </c>
      <c r="V81" s="16">
        <f t="shared" si="2"/>
        <v>3539.25</v>
      </c>
      <c r="W81" s="53">
        <v>1</v>
      </c>
      <c r="X81" s="54" t="s">
        <v>46</v>
      </c>
      <c r="Y81" s="54" t="s">
        <v>55</v>
      </c>
      <c r="Z81" s="54" t="s">
        <v>69</v>
      </c>
      <c r="AA81" s="54" t="s">
        <v>47</v>
      </c>
      <c r="AB81" s="54" t="s">
        <v>258</v>
      </c>
    </row>
    <row r="82" spans="1:28" x14ac:dyDescent="0.15">
      <c r="A82" s="54" t="s">
        <v>34</v>
      </c>
      <c r="B82" s="53" t="s">
        <v>232</v>
      </c>
      <c r="C82" s="53">
        <v>2019</v>
      </c>
      <c r="D82" s="217" t="s">
        <v>168</v>
      </c>
      <c r="E82" s="36" t="s">
        <v>358</v>
      </c>
      <c r="F82" s="36" t="s">
        <v>368</v>
      </c>
      <c r="G82" s="54" t="s">
        <v>36</v>
      </c>
      <c r="H82" s="53" t="s">
        <v>128</v>
      </c>
      <c r="I82" s="54" t="s">
        <v>159</v>
      </c>
      <c r="J82" s="54" t="s">
        <v>80</v>
      </c>
      <c r="K82" s="54" t="s">
        <v>45</v>
      </c>
      <c r="L82" s="53">
        <v>3</v>
      </c>
      <c r="N82" s="53">
        <v>4</v>
      </c>
      <c r="O82" s="53">
        <v>0.65</v>
      </c>
      <c r="P82" s="53">
        <v>0.55000000000000004</v>
      </c>
      <c r="Q82" s="97">
        <f t="shared" si="0"/>
        <v>0.60000000000000009</v>
      </c>
      <c r="R82" s="53">
        <v>17.7</v>
      </c>
      <c r="S82" s="53">
        <v>108</v>
      </c>
      <c r="T82" s="16">
        <f t="shared" si="1"/>
        <v>33</v>
      </c>
      <c r="U82" s="53">
        <v>429</v>
      </c>
      <c r="V82" s="16">
        <f t="shared" si="2"/>
        <v>3539.25</v>
      </c>
      <c r="W82" s="53">
        <v>1</v>
      </c>
      <c r="X82" s="54" t="s">
        <v>46</v>
      </c>
      <c r="Y82" s="54" t="s">
        <v>55</v>
      </c>
      <c r="Z82" s="54" t="s">
        <v>69</v>
      </c>
      <c r="AA82" s="54" t="s">
        <v>47</v>
      </c>
      <c r="AB82" s="54" t="s">
        <v>258</v>
      </c>
    </row>
    <row r="83" spans="1:28" x14ac:dyDescent="0.15">
      <c r="A83" s="54" t="s">
        <v>34</v>
      </c>
      <c r="B83" s="53" t="s">
        <v>232</v>
      </c>
      <c r="C83" s="53">
        <v>2019</v>
      </c>
      <c r="D83" s="217" t="s">
        <v>168</v>
      </c>
      <c r="E83" s="36" t="s">
        <v>374</v>
      </c>
      <c r="F83" s="36" t="s">
        <v>375</v>
      </c>
      <c r="G83" s="54" t="s">
        <v>36</v>
      </c>
      <c r="H83" s="53" t="s">
        <v>160</v>
      </c>
      <c r="I83" s="54" t="s">
        <v>159</v>
      </c>
      <c r="J83" s="54" t="s">
        <v>38</v>
      </c>
      <c r="K83" s="54" t="s">
        <v>161</v>
      </c>
      <c r="L83" s="54">
        <v>1</v>
      </c>
      <c r="N83" s="53">
        <v>1</v>
      </c>
      <c r="O83" s="53">
        <v>1</v>
      </c>
      <c r="P83" s="53">
        <v>0.65</v>
      </c>
      <c r="Q83" s="97">
        <f t="shared" ref="Q83:Q118" si="5">IF(OR(O83="",P83=""),"",AVERAGE(O83,P83))</f>
        <v>0.82499999999999996</v>
      </c>
      <c r="R83" s="53">
        <v>17.5</v>
      </c>
      <c r="S83" s="53">
        <v>13</v>
      </c>
      <c r="T83" s="16">
        <f t="shared" ref="T83:T118" si="6">IF(H83="","",IF(OR(H83="GREEN",H83="GK"),IF(S83&gt;=$AX$2,VLOOKUP(S83,$AX$2:$AY$9,2,1),""),IF(S83&gt;=$AZ$2,VLOOKUP(S83,$AZ$2:$BA$9,2,1),"")))</f>
        <v>50</v>
      </c>
      <c r="U83" s="53">
        <v>149</v>
      </c>
      <c r="V83" s="16">
        <f t="shared" ref="V83:V118" si="7">IF(OR(N83="",U83="",T83=""),"",U83/N83*T83)</f>
        <v>7450</v>
      </c>
      <c r="W83" s="53">
        <v>7</v>
      </c>
      <c r="X83" s="54" t="s">
        <v>46</v>
      </c>
      <c r="Y83" s="54" t="s">
        <v>69</v>
      </c>
      <c r="Z83" s="54" t="s">
        <v>55</v>
      </c>
      <c r="AA83" s="54" t="s">
        <v>47</v>
      </c>
      <c r="AB83" s="54" t="s">
        <v>258</v>
      </c>
    </row>
    <row r="84" spans="1:28" x14ac:dyDescent="0.15">
      <c r="A84" s="54" t="s">
        <v>34</v>
      </c>
      <c r="B84" s="53" t="s">
        <v>232</v>
      </c>
      <c r="C84" s="53">
        <v>2019</v>
      </c>
      <c r="D84" s="217" t="s">
        <v>168</v>
      </c>
      <c r="E84" s="36" t="s">
        <v>374</v>
      </c>
      <c r="F84" s="36" t="s">
        <v>375</v>
      </c>
      <c r="G84" s="54" t="s">
        <v>36</v>
      </c>
      <c r="H84" s="53" t="s">
        <v>160</v>
      </c>
      <c r="I84" s="54" t="s">
        <v>159</v>
      </c>
      <c r="J84" s="54" t="s">
        <v>38</v>
      </c>
      <c r="K84" s="54" t="s">
        <v>161</v>
      </c>
      <c r="L84" s="53">
        <v>2</v>
      </c>
      <c r="N84" s="53">
        <v>1</v>
      </c>
      <c r="O84" s="53">
        <v>0.2</v>
      </c>
      <c r="P84" s="53">
        <v>0.2</v>
      </c>
      <c r="Q84" s="97">
        <f t="shared" si="5"/>
        <v>0.2</v>
      </c>
      <c r="R84" s="53">
        <v>20.3</v>
      </c>
      <c r="S84" s="53">
        <v>128</v>
      </c>
      <c r="T84" s="16">
        <f t="shared" si="6"/>
        <v>30</v>
      </c>
      <c r="U84" s="53">
        <v>149</v>
      </c>
      <c r="V84" s="16">
        <f t="shared" si="7"/>
        <v>4470</v>
      </c>
      <c r="W84" s="53">
        <v>7</v>
      </c>
      <c r="X84" s="54" t="s">
        <v>46</v>
      </c>
      <c r="Y84" s="54" t="s">
        <v>69</v>
      </c>
      <c r="Z84" s="54" t="s">
        <v>55</v>
      </c>
      <c r="AA84" s="54" t="s">
        <v>47</v>
      </c>
      <c r="AB84" s="54" t="s">
        <v>258</v>
      </c>
    </row>
    <row r="85" spans="1:28" x14ac:dyDescent="0.15">
      <c r="A85" s="54" t="s">
        <v>34</v>
      </c>
      <c r="B85" s="53" t="s">
        <v>232</v>
      </c>
      <c r="C85" s="53">
        <v>2019</v>
      </c>
      <c r="D85" s="217" t="s">
        <v>168</v>
      </c>
      <c r="E85" s="36" t="s">
        <v>374</v>
      </c>
      <c r="F85" s="36" t="s">
        <v>375</v>
      </c>
      <c r="G85" s="54" t="s">
        <v>36</v>
      </c>
      <c r="H85" s="53" t="s">
        <v>160</v>
      </c>
      <c r="I85" s="54" t="s">
        <v>159</v>
      </c>
      <c r="J85" s="54" t="s">
        <v>38</v>
      </c>
      <c r="K85" s="54" t="s">
        <v>161</v>
      </c>
      <c r="L85" s="53">
        <v>3</v>
      </c>
      <c r="N85" s="53">
        <v>1</v>
      </c>
      <c r="O85" s="53">
        <v>0.5</v>
      </c>
      <c r="P85" s="53">
        <v>0.45</v>
      </c>
      <c r="Q85" s="97">
        <f t="shared" si="5"/>
        <v>0.47499999999999998</v>
      </c>
      <c r="R85" s="53">
        <v>18.8</v>
      </c>
      <c r="S85" s="53">
        <v>129</v>
      </c>
      <c r="T85" s="16">
        <f t="shared" si="6"/>
        <v>30</v>
      </c>
      <c r="U85" s="53">
        <v>149</v>
      </c>
      <c r="V85" s="16">
        <f t="shared" si="7"/>
        <v>4470</v>
      </c>
      <c r="W85" s="53">
        <v>7</v>
      </c>
      <c r="X85" s="54" t="s">
        <v>46</v>
      </c>
      <c r="Y85" s="54" t="s">
        <v>69</v>
      </c>
      <c r="Z85" s="54" t="s">
        <v>55</v>
      </c>
      <c r="AA85" s="54" t="s">
        <v>47</v>
      </c>
      <c r="AB85" s="54" t="s">
        <v>258</v>
      </c>
    </row>
    <row r="86" spans="1:28" x14ac:dyDescent="0.15">
      <c r="A86" s="54" t="s">
        <v>34</v>
      </c>
      <c r="B86" s="53" t="s">
        <v>232</v>
      </c>
      <c r="C86" s="53">
        <v>2019</v>
      </c>
      <c r="D86" s="217" t="s">
        <v>168</v>
      </c>
      <c r="E86" s="36" t="s">
        <v>374</v>
      </c>
      <c r="F86" s="36" t="s">
        <v>375</v>
      </c>
      <c r="G86" s="54" t="s">
        <v>36</v>
      </c>
      <c r="H86" s="53" t="s">
        <v>160</v>
      </c>
      <c r="I86" s="54" t="s">
        <v>159</v>
      </c>
      <c r="J86" s="54" t="s">
        <v>38</v>
      </c>
      <c r="K86" s="54" t="s">
        <v>161</v>
      </c>
      <c r="L86" s="54">
        <v>1</v>
      </c>
      <c r="N86" s="53">
        <v>8</v>
      </c>
      <c r="O86" s="53">
        <v>0.7</v>
      </c>
      <c r="P86" s="53">
        <v>0.6</v>
      </c>
      <c r="Q86" s="97">
        <f t="shared" si="5"/>
        <v>0.64999999999999991</v>
      </c>
      <c r="R86" s="53">
        <v>19</v>
      </c>
      <c r="S86" s="53">
        <v>100</v>
      </c>
      <c r="T86" s="16">
        <f t="shared" si="6"/>
        <v>33</v>
      </c>
      <c r="U86" s="53">
        <v>753</v>
      </c>
      <c r="V86" s="16">
        <f t="shared" si="7"/>
        <v>3106.125</v>
      </c>
      <c r="W86" s="53">
        <v>7</v>
      </c>
      <c r="X86" s="54" t="s">
        <v>46</v>
      </c>
      <c r="Y86" s="54" t="s">
        <v>69</v>
      </c>
      <c r="Z86" s="54" t="s">
        <v>55</v>
      </c>
      <c r="AA86" s="54" t="s">
        <v>47</v>
      </c>
      <c r="AB86" s="54" t="s">
        <v>258</v>
      </c>
    </row>
    <row r="87" spans="1:28" x14ac:dyDescent="0.15">
      <c r="A87" s="54" t="s">
        <v>34</v>
      </c>
      <c r="B87" s="53" t="s">
        <v>232</v>
      </c>
      <c r="C87" s="53">
        <v>2019</v>
      </c>
      <c r="D87" s="217" t="s">
        <v>168</v>
      </c>
      <c r="E87" s="36" t="s">
        <v>374</v>
      </c>
      <c r="F87" s="36" t="s">
        <v>375</v>
      </c>
      <c r="G87" s="54" t="s">
        <v>36</v>
      </c>
      <c r="H87" s="53" t="s">
        <v>160</v>
      </c>
      <c r="I87" s="54" t="s">
        <v>159</v>
      </c>
      <c r="J87" s="54" t="s">
        <v>38</v>
      </c>
      <c r="K87" s="54" t="s">
        <v>161</v>
      </c>
      <c r="L87" s="53">
        <v>2</v>
      </c>
      <c r="N87" s="53">
        <v>8</v>
      </c>
      <c r="O87" s="53">
        <v>0.6</v>
      </c>
      <c r="P87" s="53">
        <v>0.6</v>
      </c>
      <c r="Q87" s="97">
        <f t="shared" si="5"/>
        <v>0.6</v>
      </c>
      <c r="R87" s="53">
        <v>20</v>
      </c>
      <c r="S87" s="53">
        <v>101</v>
      </c>
      <c r="T87" s="16">
        <f t="shared" si="6"/>
        <v>33</v>
      </c>
      <c r="U87" s="53">
        <v>753</v>
      </c>
      <c r="V87" s="16">
        <f t="shared" si="7"/>
        <v>3106.125</v>
      </c>
      <c r="W87" s="53">
        <v>7</v>
      </c>
      <c r="X87" s="54" t="s">
        <v>46</v>
      </c>
      <c r="Y87" s="54" t="s">
        <v>69</v>
      </c>
      <c r="Z87" s="54" t="s">
        <v>55</v>
      </c>
      <c r="AA87" s="54" t="s">
        <v>47</v>
      </c>
      <c r="AB87" s="54" t="s">
        <v>258</v>
      </c>
    </row>
    <row r="88" spans="1:28" x14ac:dyDescent="0.15">
      <c r="A88" s="54" t="s">
        <v>34</v>
      </c>
      <c r="B88" s="53" t="s">
        <v>232</v>
      </c>
      <c r="C88" s="53">
        <v>2019</v>
      </c>
      <c r="D88" s="217" t="s">
        <v>168</v>
      </c>
      <c r="E88" s="36" t="s">
        <v>374</v>
      </c>
      <c r="F88" s="36" t="s">
        <v>375</v>
      </c>
      <c r="G88" s="54" t="s">
        <v>36</v>
      </c>
      <c r="H88" s="53" t="s">
        <v>160</v>
      </c>
      <c r="I88" s="54" t="s">
        <v>159</v>
      </c>
      <c r="J88" s="54" t="s">
        <v>38</v>
      </c>
      <c r="K88" s="54" t="s">
        <v>161</v>
      </c>
      <c r="L88" s="53">
        <v>3</v>
      </c>
      <c r="N88" s="53">
        <v>8</v>
      </c>
      <c r="O88" s="53">
        <v>0.95</v>
      </c>
      <c r="P88" s="53">
        <v>0.8</v>
      </c>
      <c r="Q88" s="97">
        <f t="shared" si="5"/>
        <v>0.875</v>
      </c>
      <c r="R88" s="53">
        <v>17.100000000000001</v>
      </c>
      <c r="S88" s="53">
        <v>103</v>
      </c>
      <c r="T88" s="16">
        <f t="shared" si="6"/>
        <v>33</v>
      </c>
      <c r="U88" s="53">
        <v>753</v>
      </c>
      <c r="V88" s="16">
        <f t="shared" si="7"/>
        <v>3106.125</v>
      </c>
      <c r="W88" s="53">
        <v>7</v>
      </c>
      <c r="X88" s="54" t="s">
        <v>46</v>
      </c>
      <c r="Y88" s="54" t="s">
        <v>69</v>
      </c>
      <c r="Z88" s="54" t="s">
        <v>55</v>
      </c>
      <c r="AA88" s="54" t="s">
        <v>47</v>
      </c>
      <c r="AB88" s="54" t="s">
        <v>258</v>
      </c>
    </row>
    <row r="89" spans="1:28" x14ac:dyDescent="0.15">
      <c r="A89" s="54" t="s">
        <v>34</v>
      </c>
      <c r="B89" s="53" t="s">
        <v>232</v>
      </c>
      <c r="C89" s="53">
        <v>2019</v>
      </c>
      <c r="D89" s="217" t="s">
        <v>168</v>
      </c>
      <c r="E89" s="36" t="s">
        <v>374</v>
      </c>
      <c r="F89" s="36" t="s">
        <v>375</v>
      </c>
      <c r="G89" s="54" t="s">
        <v>36</v>
      </c>
      <c r="H89" s="53" t="s">
        <v>165</v>
      </c>
      <c r="I89" s="54" t="s">
        <v>159</v>
      </c>
      <c r="J89" s="54" t="s">
        <v>38</v>
      </c>
      <c r="K89" s="54" t="s">
        <v>161</v>
      </c>
      <c r="L89" s="54">
        <v>1</v>
      </c>
      <c r="N89" s="53">
        <v>1</v>
      </c>
      <c r="O89" s="53">
        <v>0.6</v>
      </c>
      <c r="P89" s="53">
        <v>0.65</v>
      </c>
      <c r="Q89" s="97">
        <f t="shared" si="5"/>
        <v>0.625</v>
      </c>
      <c r="R89" s="53">
        <v>17.399999999999999</v>
      </c>
      <c r="S89" s="53">
        <v>131</v>
      </c>
      <c r="T89" s="16">
        <f t="shared" si="6"/>
        <v>30</v>
      </c>
      <c r="U89" s="53">
        <v>127</v>
      </c>
      <c r="V89" s="16">
        <f t="shared" si="7"/>
        <v>3810</v>
      </c>
      <c r="W89" s="53">
        <v>5</v>
      </c>
      <c r="X89" s="54" t="s">
        <v>46</v>
      </c>
      <c r="Y89" s="54" t="s">
        <v>69</v>
      </c>
      <c r="Z89" s="54" t="s">
        <v>55</v>
      </c>
      <c r="AA89" s="54" t="s">
        <v>47</v>
      </c>
      <c r="AB89" s="54" t="s">
        <v>258</v>
      </c>
    </row>
    <row r="90" spans="1:28" x14ac:dyDescent="0.15">
      <c r="A90" s="54" t="s">
        <v>34</v>
      </c>
      <c r="B90" s="53" t="s">
        <v>232</v>
      </c>
      <c r="C90" s="53">
        <v>2019</v>
      </c>
      <c r="D90" s="217" t="s">
        <v>168</v>
      </c>
      <c r="E90" s="36" t="s">
        <v>374</v>
      </c>
      <c r="F90" s="36" t="s">
        <v>375</v>
      </c>
      <c r="G90" s="54" t="s">
        <v>36</v>
      </c>
      <c r="H90" s="53" t="s">
        <v>165</v>
      </c>
      <c r="I90" s="54" t="s">
        <v>159</v>
      </c>
      <c r="J90" s="54" t="s">
        <v>38</v>
      </c>
      <c r="K90" s="54" t="s">
        <v>161</v>
      </c>
      <c r="L90" s="53">
        <v>2</v>
      </c>
      <c r="N90" s="53">
        <v>1</v>
      </c>
      <c r="O90" s="53">
        <v>0.6</v>
      </c>
      <c r="P90" s="53">
        <v>0.7</v>
      </c>
      <c r="Q90" s="97">
        <f t="shared" si="5"/>
        <v>0.64999999999999991</v>
      </c>
      <c r="R90" s="53">
        <v>17.7</v>
      </c>
      <c r="S90" s="53">
        <v>140</v>
      </c>
      <c r="T90" s="16">
        <f t="shared" si="6"/>
        <v>30</v>
      </c>
      <c r="U90" s="53">
        <v>127</v>
      </c>
      <c r="V90" s="16">
        <f t="shared" si="7"/>
        <v>3810</v>
      </c>
      <c r="W90" s="53">
        <v>5</v>
      </c>
      <c r="X90" s="54" t="s">
        <v>46</v>
      </c>
      <c r="Y90" s="54" t="s">
        <v>69</v>
      </c>
      <c r="Z90" s="54" t="s">
        <v>55</v>
      </c>
      <c r="AA90" s="54" t="s">
        <v>47</v>
      </c>
      <c r="AB90" s="54" t="s">
        <v>258</v>
      </c>
    </row>
    <row r="91" spans="1:28" x14ac:dyDescent="0.15">
      <c r="A91" s="54" t="s">
        <v>34</v>
      </c>
      <c r="B91" s="53" t="s">
        <v>232</v>
      </c>
      <c r="C91" s="53">
        <v>2019</v>
      </c>
      <c r="D91" s="217" t="s">
        <v>168</v>
      </c>
      <c r="E91" s="36" t="s">
        <v>374</v>
      </c>
      <c r="F91" s="36" t="s">
        <v>375</v>
      </c>
      <c r="G91" s="54" t="s">
        <v>36</v>
      </c>
      <c r="H91" s="53" t="s">
        <v>165</v>
      </c>
      <c r="I91" s="54" t="s">
        <v>159</v>
      </c>
      <c r="J91" s="54" t="s">
        <v>38</v>
      </c>
      <c r="K91" s="54" t="s">
        <v>161</v>
      </c>
      <c r="L91" s="53">
        <v>3</v>
      </c>
      <c r="N91" s="53">
        <v>1</v>
      </c>
      <c r="O91" s="53">
        <v>0.75</v>
      </c>
      <c r="P91" s="53">
        <v>0.75</v>
      </c>
      <c r="Q91" s="97">
        <f t="shared" si="5"/>
        <v>0.75</v>
      </c>
      <c r="R91" s="53">
        <v>18.2</v>
      </c>
      <c r="S91" s="53">
        <v>137</v>
      </c>
      <c r="T91" s="16">
        <f t="shared" si="6"/>
        <v>30</v>
      </c>
      <c r="U91" s="53">
        <v>127</v>
      </c>
      <c r="V91" s="16">
        <f t="shared" si="7"/>
        <v>3810</v>
      </c>
      <c r="W91" s="53">
        <v>5</v>
      </c>
      <c r="X91" s="54" t="s">
        <v>46</v>
      </c>
      <c r="Y91" s="54" t="s">
        <v>69</v>
      </c>
      <c r="Z91" s="54" t="s">
        <v>55</v>
      </c>
      <c r="AA91" s="54" t="s">
        <v>47</v>
      </c>
      <c r="AB91" s="54" t="s">
        <v>258</v>
      </c>
    </row>
    <row r="92" spans="1:28" x14ac:dyDescent="0.15">
      <c r="A92" s="54" t="s">
        <v>34</v>
      </c>
      <c r="B92" s="53" t="s">
        <v>232</v>
      </c>
      <c r="C92" s="53">
        <v>2019</v>
      </c>
      <c r="D92" s="217" t="s">
        <v>168</v>
      </c>
      <c r="E92" s="36" t="s">
        <v>374</v>
      </c>
      <c r="F92" s="36" t="s">
        <v>375</v>
      </c>
      <c r="G92" s="54" t="s">
        <v>36</v>
      </c>
      <c r="H92" s="53" t="s">
        <v>165</v>
      </c>
      <c r="I92" s="54" t="s">
        <v>159</v>
      </c>
      <c r="J92" s="54" t="s">
        <v>38</v>
      </c>
      <c r="K92" s="54" t="s">
        <v>161</v>
      </c>
      <c r="L92" s="54">
        <v>1</v>
      </c>
      <c r="N92" s="53">
        <v>4</v>
      </c>
      <c r="O92" s="53">
        <v>0.7</v>
      </c>
      <c r="P92" s="53">
        <v>0.85</v>
      </c>
      <c r="Q92" s="97">
        <f t="shared" si="5"/>
        <v>0.77499999999999991</v>
      </c>
      <c r="R92" s="53">
        <v>16.5</v>
      </c>
      <c r="S92" s="53">
        <v>84</v>
      </c>
      <c r="T92" s="16">
        <f t="shared" si="6"/>
        <v>36</v>
      </c>
      <c r="U92" s="53">
        <v>429</v>
      </c>
      <c r="V92" s="16">
        <f t="shared" si="7"/>
        <v>3861</v>
      </c>
      <c r="W92" s="53">
        <v>5</v>
      </c>
      <c r="X92" s="54" t="s">
        <v>46</v>
      </c>
      <c r="Y92" s="54" t="s">
        <v>69</v>
      </c>
      <c r="Z92" s="54" t="s">
        <v>55</v>
      </c>
      <c r="AA92" s="54" t="s">
        <v>47</v>
      </c>
      <c r="AB92" s="54" t="s">
        <v>258</v>
      </c>
    </row>
    <row r="93" spans="1:28" x14ac:dyDescent="0.15">
      <c r="A93" s="54" t="s">
        <v>34</v>
      </c>
      <c r="B93" s="53" t="s">
        <v>232</v>
      </c>
      <c r="C93" s="53">
        <v>2019</v>
      </c>
      <c r="D93" s="217" t="s">
        <v>168</v>
      </c>
      <c r="E93" s="36" t="s">
        <v>374</v>
      </c>
      <c r="F93" s="36" t="s">
        <v>375</v>
      </c>
      <c r="G93" s="54" t="s">
        <v>36</v>
      </c>
      <c r="H93" s="53" t="s">
        <v>165</v>
      </c>
      <c r="I93" s="54" t="s">
        <v>159</v>
      </c>
      <c r="J93" s="54" t="s">
        <v>38</v>
      </c>
      <c r="K93" s="54" t="s">
        <v>161</v>
      </c>
      <c r="L93" s="53">
        <v>2</v>
      </c>
      <c r="N93" s="53">
        <v>4</v>
      </c>
      <c r="O93" s="53">
        <v>0.7</v>
      </c>
      <c r="P93" s="53">
        <v>0.7</v>
      </c>
      <c r="Q93" s="97">
        <f t="shared" si="5"/>
        <v>0.7</v>
      </c>
      <c r="R93" s="53">
        <v>15.8</v>
      </c>
      <c r="S93" s="53">
        <v>87</v>
      </c>
      <c r="T93" s="16">
        <f t="shared" si="6"/>
        <v>36</v>
      </c>
      <c r="U93" s="53">
        <v>429</v>
      </c>
      <c r="V93" s="16">
        <f t="shared" si="7"/>
        <v>3861</v>
      </c>
      <c r="W93" s="53">
        <v>5</v>
      </c>
      <c r="X93" s="54" t="s">
        <v>46</v>
      </c>
      <c r="Y93" s="54" t="s">
        <v>69</v>
      </c>
      <c r="Z93" s="54" t="s">
        <v>55</v>
      </c>
      <c r="AA93" s="54" t="s">
        <v>47</v>
      </c>
      <c r="AB93" s="54" t="s">
        <v>258</v>
      </c>
    </row>
    <row r="94" spans="1:28" x14ac:dyDescent="0.15">
      <c r="A94" s="54" t="s">
        <v>34</v>
      </c>
      <c r="B94" s="53" t="s">
        <v>232</v>
      </c>
      <c r="C94" s="53">
        <v>2019</v>
      </c>
      <c r="D94" s="217" t="s">
        <v>168</v>
      </c>
      <c r="E94" s="36" t="s">
        <v>374</v>
      </c>
      <c r="F94" s="36" t="s">
        <v>375</v>
      </c>
      <c r="G94" s="54" t="s">
        <v>36</v>
      </c>
      <c r="H94" s="53" t="s">
        <v>165</v>
      </c>
      <c r="I94" s="54" t="s">
        <v>159</v>
      </c>
      <c r="J94" s="54" t="s">
        <v>38</v>
      </c>
      <c r="K94" s="54" t="s">
        <v>161</v>
      </c>
      <c r="L94" s="53">
        <v>3</v>
      </c>
      <c r="N94" s="53">
        <v>4</v>
      </c>
      <c r="O94" s="53">
        <v>0.95</v>
      </c>
      <c r="P94" s="53">
        <v>1.1000000000000001</v>
      </c>
      <c r="Q94" s="97">
        <f t="shared" si="5"/>
        <v>1.0249999999999999</v>
      </c>
      <c r="R94" s="53">
        <v>14.8</v>
      </c>
      <c r="S94" s="53">
        <v>88</v>
      </c>
      <c r="T94" s="16">
        <f t="shared" si="6"/>
        <v>36</v>
      </c>
      <c r="U94" s="53">
        <v>429</v>
      </c>
      <c r="V94" s="16">
        <f t="shared" si="7"/>
        <v>3861</v>
      </c>
      <c r="W94" s="53">
        <v>5</v>
      </c>
      <c r="X94" s="54" t="s">
        <v>46</v>
      </c>
      <c r="Y94" s="54" t="s">
        <v>69</v>
      </c>
      <c r="Z94" s="54" t="s">
        <v>55</v>
      </c>
      <c r="AA94" s="54" t="s">
        <v>47</v>
      </c>
      <c r="AB94" s="54" t="s">
        <v>258</v>
      </c>
    </row>
    <row r="95" spans="1:28" x14ac:dyDescent="0.15">
      <c r="A95" s="54" t="s">
        <v>34</v>
      </c>
      <c r="B95" s="53" t="s">
        <v>232</v>
      </c>
      <c r="C95" s="53">
        <v>2019</v>
      </c>
      <c r="D95" s="217" t="s">
        <v>168</v>
      </c>
      <c r="E95" s="36" t="s">
        <v>376</v>
      </c>
      <c r="F95" s="36" t="s">
        <v>377</v>
      </c>
      <c r="G95" s="54" t="s">
        <v>36</v>
      </c>
      <c r="H95" s="53" t="s">
        <v>160</v>
      </c>
      <c r="I95" s="54" t="s">
        <v>159</v>
      </c>
      <c r="J95" s="54" t="s">
        <v>38</v>
      </c>
      <c r="K95" s="54" t="s">
        <v>161</v>
      </c>
      <c r="L95" s="54">
        <v>1</v>
      </c>
      <c r="N95" s="53">
        <v>1</v>
      </c>
      <c r="O95" s="53">
        <v>0.6</v>
      </c>
      <c r="P95" s="53">
        <v>0.65</v>
      </c>
      <c r="Q95" s="97">
        <f t="shared" si="5"/>
        <v>0.625</v>
      </c>
      <c r="R95" s="53">
        <v>17.100000000000001</v>
      </c>
      <c r="S95" s="53">
        <v>105</v>
      </c>
      <c r="T95" s="16">
        <f t="shared" si="6"/>
        <v>33</v>
      </c>
      <c r="U95" s="53">
        <v>149</v>
      </c>
      <c r="V95" s="16">
        <f t="shared" si="7"/>
        <v>4917</v>
      </c>
      <c r="W95" s="53">
        <v>8</v>
      </c>
      <c r="X95" s="54" t="s">
        <v>46</v>
      </c>
      <c r="Y95" s="54" t="s">
        <v>55</v>
      </c>
      <c r="Z95" s="54" t="s">
        <v>47</v>
      </c>
      <c r="AA95" s="54" t="s">
        <v>69</v>
      </c>
      <c r="AB95" s="54" t="s">
        <v>258</v>
      </c>
    </row>
    <row r="96" spans="1:28" x14ac:dyDescent="0.15">
      <c r="A96" s="54" t="s">
        <v>34</v>
      </c>
      <c r="B96" s="53" t="s">
        <v>232</v>
      </c>
      <c r="C96" s="53">
        <v>2019</v>
      </c>
      <c r="D96" s="217" t="s">
        <v>168</v>
      </c>
      <c r="E96" s="36" t="s">
        <v>376</v>
      </c>
      <c r="F96" s="36" t="s">
        <v>377</v>
      </c>
      <c r="G96" s="54" t="s">
        <v>36</v>
      </c>
      <c r="H96" s="53" t="s">
        <v>160</v>
      </c>
      <c r="I96" s="54" t="s">
        <v>159</v>
      </c>
      <c r="J96" s="54" t="s">
        <v>38</v>
      </c>
      <c r="K96" s="54" t="s">
        <v>161</v>
      </c>
      <c r="L96" s="53">
        <v>2</v>
      </c>
      <c r="N96" s="53">
        <v>1</v>
      </c>
      <c r="O96" s="53">
        <v>0.6</v>
      </c>
      <c r="P96" s="53">
        <v>0.6</v>
      </c>
      <c r="Q96" s="97">
        <f t="shared" si="5"/>
        <v>0.6</v>
      </c>
      <c r="R96" s="53">
        <v>20.100000000000001</v>
      </c>
      <c r="S96" s="53">
        <v>114</v>
      </c>
      <c r="T96" s="16">
        <f t="shared" si="6"/>
        <v>30</v>
      </c>
      <c r="U96" s="53">
        <v>149</v>
      </c>
      <c r="V96" s="16">
        <f t="shared" si="7"/>
        <v>4470</v>
      </c>
      <c r="W96" s="53">
        <v>8</v>
      </c>
      <c r="X96" s="54" t="s">
        <v>46</v>
      </c>
      <c r="Y96" s="54" t="s">
        <v>55</v>
      </c>
      <c r="Z96" s="54" t="s">
        <v>47</v>
      </c>
      <c r="AA96" s="54" t="s">
        <v>69</v>
      </c>
      <c r="AB96" s="54" t="s">
        <v>258</v>
      </c>
    </row>
    <row r="97" spans="1:28" x14ac:dyDescent="0.15">
      <c r="A97" s="54" t="s">
        <v>34</v>
      </c>
      <c r="B97" s="53" t="s">
        <v>232</v>
      </c>
      <c r="C97" s="53">
        <v>2019</v>
      </c>
      <c r="D97" s="217" t="s">
        <v>168</v>
      </c>
      <c r="E97" s="36" t="s">
        <v>376</v>
      </c>
      <c r="F97" s="36" t="s">
        <v>377</v>
      </c>
      <c r="G97" s="54" t="s">
        <v>36</v>
      </c>
      <c r="H97" s="53" t="s">
        <v>160</v>
      </c>
      <c r="I97" s="54" t="s">
        <v>159</v>
      </c>
      <c r="J97" s="54" t="s">
        <v>38</v>
      </c>
      <c r="K97" s="54" t="s">
        <v>161</v>
      </c>
      <c r="L97" s="53">
        <v>3</v>
      </c>
      <c r="N97" s="53">
        <v>1</v>
      </c>
      <c r="O97" s="53">
        <v>0.55000000000000004</v>
      </c>
      <c r="P97" s="53">
        <v>0.75</v>
      </c>
      <c r="Q97" s="97">
        <f t="shared" si="5"/>
        <v>0.65</v>
      </c>
      <c r="R97" s="53">
        <v>20.100000000000001</v>
      </c>
      <c r="S97" s="53">
        <v>113</v>
      </c>
      <c r="T97" s="16">
        <f t="shared" si="6"/>
        <v>30</v>
      </c>
      <c r="U97" s="53">
        <v>149</v>
      </c>
      <c r="V97" s="16">
        <f t="shared" si="7"/>
        <v>4470</v>
      </c>
      <c r="W97" s="53">
        <v>8</v>
      </c>
      <c r="X97" s="54" t="s">
        <v>46</v>
      </c>
      <c r="Y97" s="54" t="s">
        <v>55</v>
      </c>
      <c r="Z97" s="54" t="s">
        <v>47</v>
      </c>
      <c r="AA97" s="54" t="s">
        <v>69</v>
      </c>
      <c r="AB97" s="54" t="s">
        <v>258</v>
      </c>
    </row>
    <row r="98" spans="1:28" x14ac:dyDescent="0.15">
      <c r="A98" s="54" t="s">
        <v>34</v>
      </c>
      <c r="B98" s="53" t="s">
        <v>232</v>
      </c>
      <c r="C98" s="53">
        <v>2019</v>
      </c>
      <c r="D98" s="217" t="s">
        <v>168</v>
      </c>
      <c r="E98" s="36" t="s">
        <v>376</v>
      </c>
      <c r="F98" s="36" t="s">
        <v>377</v>
      </c>
      <c r="G98" s="54" t="s">
        <v>36</v>
      </c>
      <c r="H98" s="53" t="s">
        <v>160</v>
      </c>
      <c r="I98" s="54" t="s">
        <v>159</v>
      </c>
      <c r="J98" s="54" t="s">
        <v>38</v>
      </c>
      <c r="K98" s="54" t="s">
        <v>161</v>
      </c>
      <c r="L98" s="54">
        <v>1</v>
      </c>
      <c r="N98" s="53">
        <v>8</v>
      </c>
      <c r="O98" s="53">
        <v>0.65</v>
      </c>
      <c r="P98" s="53">
        <v>0.6</v>
      </c>
      <c r="Q98" s="97">
        <f t="shared" si="5"/>
        <v>0.625</v>
      </c>
      <c r="R98" s="53">
        <v>19.3</v>
      </c>
      <c r="S98" s="53">
        <v>102</v>
      </c>
      <c r="T98" s="16">
        <f t="shared" si="6"/>
        <v>33</v>
      </c>
      <c r="U98" s="53">
        <v>753</v>
      </c>
      <c r="V98" s="16">
        <f t="shared" si="7"/>
        <v>3106.125</v>
      </c>
      <c r="W98" s="53">
        <v>8</v>
      </c>
      <c r="X98" s="54" t="s">
        <v>46</v>
      </c>
      <c r="Y98" s="54" t="s">
        <v>55</v>
      </c>
      <c r="Z98" s="54" t="s">
        <v>47</v>
      </c>
      <c r="AA98" s="54" t="s">
        <v>69</v>
      </c>
      <c r="AB98" s="54" t="s">
        <v>258</v>
      </c>
    </row>
    <row r="99" spans="1:28" x14ac:dyDescent="0.15">
      <c r="A99" s="54" t="s">
        <v>34</v>
      </c>
      <c r="B99" s="53" t="s">
        <v>232</v>
      </c>
      <c r="C99" s="53">
        <v>2019</v>
      </c>
      <c r="D99" s="217" t="s">
        <v>168</v>
      </c>
      <c r="E99" s="36" t="s">
        <v>376</v>
      </c>
      <c r="F99" s="36" t="s">
        <v>377</v>
      </c>
      <c r="G99" s="54" t="s">
        <v>36</v>
      </c>
      <c r="H99" s="53" t="s">
        <v>160</v>
      </c>
      <c r="I99" s="54" t="s">
        <v>159</v>
      </c>
      <c r="J99" s="54" t="s">
        <v>38</v>
      </c>
      <c r="K99" s="54" t="s">
        <v>161</v>
      </c>
      <c r="L99" s="53">
        <v>2</v>
      </c>
      <c r="N99" s="53">
        <v>8</v>
      </c>
      <c r="O99" s="53">
        <v>0.5</v>
      </c>
      <c r="P99" s="53">
        <v>0.55000000000000004</v>
      </c>
      <c r="Q99" s="97">
        <f t="shared" si="5"/>
        <v>0.52500000000000002</v>
      </c>
      <c r="R99" s="53">
        <v>18.899999999999999</v>
      </c>
      <c r="S99" s="53">
        <v>96</v>
      </c>
      <c r="T99" s="16">
        <f t="shared" si="6"/>
        <v>36</v>
      </c>
      <c r="U99" s="53">
        <v>753</v>
      </c>
      <c r="V99" s="16">
        <f t="shared" si="7"/>
        <v>3388.5</v>
      </c>
      <c r="W99" s="53">
        <v>8</v>
      </c>
      <c r="X99" s="54" t="s">
        <v>46</v>
      </c>
      <c r="Y99" s="54" t="s">
        <v>55</v>
      </c>
      <c r="Z99" s="54" t="s">
        <v>47</v>
      </c>
      <c r="AA99" s="54" t="s">
        <v>69</v>
      </c>
      <c r="AB99" s="54" t="s">
        <v>258</v>
      </c>
    </row>
    <row r="100" spans="1:28" x14ac:dyDescent="0.15">
      <c r="A100" s="54" t="s">
        <v>34</v>
      </c>
      <c r="B100" s="53" t="s">
        <v>232</v>
      </c>
      <c r="C100" s="53">
        <v>2019</v>
      </c>
      <c r="D100" s="217" t="s">
        <v>168</v>
      </c>
      <c r="E100" s="36" t="s">
        <v>376</v>
      </c>
      <c r="F100" s="36" t="s">
        <v>377</v>
      </c>
      <c r="G100" s="54" t="s">
        <v>36</v>
      </c>
      <c r="H100" s="53" t="s">
        <v>160</v>
      </c>
      <c r="I100" s="54" t="s">
        <v>159</v>
      </c>
      <c r="J100" s="54" t="s">
        <v>38</v>
      </c>
      <c r="K100" s="54" t="s">
        <v>161</v>
      </c>
      <c r="L100" s="53">
        <v>3</v>
      </c>
      <c r="N100" s="53">
        <v>8</v>
      </c>
      <c r="O100" s="53">
        <v>0.65</v>
      </c>
      <c r="P100" s="53">
        <v>0.7</v>
      </c>
      <c r="Q100" s="97">
        <f t="shared" si="5"/>
        <v>0.67500000000000004</v>
      </c>
      <c r="R100" s="53">
        <v>18.5</v>
      </c>
      <c r="S100" s="53">
        <v>98</v>
      </c>
      <c r="T100" s="16">
        <f t="shared" si="6"/>
        <v>36</v>
      </c>
      <c r="U100" s="53">
        <v>753</v>
      </c>
      <c r="V100" s="16">
        <f t="shared" si="7"/>
        <v>3388.5</v>
      </c>
      <c r="W100" s="53">
        <v>8</v>
      </c>
      <c r="X100" s="54" t="s">
        <v>46</v>
      </c>
      <c r="Y100" s="54" t="s">
        <v>55</v>
      </c>
      <c r="Z100" s="54" t="s">
        <v>47</v>
      </c>
      <c r="AA100" s="54" t="s">
        <v>69</v>
      </c>
      <c r="AB100" s="54" t="s">
        <v>258</v>
      </c>
    </row>
    <row r="101" spans="1:28" x14ac:dyDescent="0.15">
      <c r="A101" s="54" t="s">
        <v>34</v>
      </c>
      <c r="B101" s="53" t="s">
        <v>232</v>
      </c>
      <c r="C101" s="53">
        <v>2019</v>
      </c>
      <c r="D101" s="217" t="s">
        <v>168</v>
      </c>
      <c r="E101" s="36" t="s">
        <v>376</v>
      </c>
      <c r="F101" s="36" t="s">
        <v>377</v>
      </c>
      <c r="G101" s="54" t="s">
        <v>36</v>
      </c>
      <c r="H101" s="53" t="s">
        <v>165</v>
      </c>
      <c r="I101" s="54" t="s">
        <v>159</v>
      </c>
      <c r="J101" s="54" t="s">
        <v>38</v>
      </c>
      <c r="K101" s="54" t="s">
        <v>161</v>
      </c>
      <c r="L101" s="54">
        <v>1</v>
      </c>
      <c r="N101" s="53">
        <v>1</v>
      </c>
      <c r="O101" s="53">
        <v>0.55000000000000004</v>
      </c>
      <c r="P101" s="53">
        <v>0.45</v>
      </c>
      <c r="Q101" s="97">
        <f t="shared" si="5"/>
        <v>0.5</v>
      </c>
      <c r="R101" s="53">
        <v>14.7</v>
      </c>
      <c r="S101" s="53">
        <v>113</v>
      </c>
      <c r="T101" s="16">
        <f t="shared" si="6"/>
        <v>30</v>
      </c>
      <c r="U101" s="53">
        <v>149</v>
      </c>
      <c r="V101" s="16">
        <f t="shared" si="7"/>
        <v>4470</v>
      </c>
      <c r="W101" s="53">
        <v>7</v>
      </c>
      <c r="X101" s="54" t="s">
        <v>46</v>
      </c>
      <c r="Y101" s="54" t="s">
        <v>55</v>
      </c>
      <c r="Z101" s="54" t="s">
        <v>47</v>
      </c>
      <c r="AA101" s="54" t="s">
        <v>69</v>
      </c>
      <c r="AB101" s="54" t="s">
        <v>258</v>
      </c>
    </row>
    <row r="102" spans="1:28" x14ac:dyDescent="0.15">
      <c r="A102" s="54" t="s">
        <v>34</v>
      </c>
      <c r="B102" s="53" t="s">
        <v>232</v>
      </c>
      <c r="C102" s="53">
        <v>2019</v>
      </c>
      <c r="D102" s="217" t="s">
        <v>168</v>
      </c>
      <c r="E102" s="36" t="s">
        <v>376</v>
      </c>
      <c r="F102" s="36" t="s">
        <v>377</v>
      </c>
      <c r="G102" s="54" t="s">
        <v>36</v>
      </c>
      <c r="H102" s="53" t="s">
        <v>165</v>
      </c>
      <c r="I102" s="54" t="s">
        <v>159</v>
      </c>
      <c r="J102" s="54" t="s">
        <v>38</v>
      </c>
      <c r="K102" s="54" t="s">
        <v>161</v>
      </c>
      <c r="L102" s="53">
        <v>2</v>
      </c>
      <c r="N102" s="53">
        <v>1</v>
      </c>
      <c r="O102" s="53">
        <v>0.6</v>
      </c>
      <c r="P102" s="53">
        <v>0.6</v>
      </c>
      <c r="Q102" s="97">
        <f t="shared" si="5"/>
        <v>0.6</v>
      </c>
      <c r="R102" s="53">
        <v>17.100000000000001</v>
      </c>
      <c r="S102" s="53">
        <v>114</v>
      </c>
      <c r="T102" s="16">
        <f t="shared" si="6"/>
        <v>30</v>
      </c>
      <c r="U102" s="53">
        <v>149</v>
      </c>
      <c r="V102" s="16">
        <f t="shared" si="7"/>
        <v>4470</v>
      </c>
      <c r="W102" s="53">
        <v>7</v>
      </c>
      <c r="X102" s="54" t="s">
        <v>46</v>
      </c>
      <c r="Y102" s="54" t="s">
        <v>55</v>
      </c>
      <c r="Z102" s="54" t="s">
        <v>47</v>
      </c>
      <c r="AA102" s="54" t="s">
        <v>69</v>
      </c>
      <c r="AB102" s="54" t="s">
        <v>258</v>
      </c>
    </row>
    <row r="103" spans="1:28" x14ac:dyDescent="0.15">
      <c r="A103" s="54" t="s">
        <v>34</v>
      </c>
      <c r="B103" s="53" t="s">
        <v>232</v>
      </c>
      <c r="C103" s="53">
        <v>2019</v>
      </c>
      <c r="D103" s="217" t="s">
        <v>168</v>
      </c>
      <c r="E103" s="36" t="s">
        <v>376</v>
      </c>
      <c r="F103" s="36" t="s">
        <v>377</v>
      </c>
      <c r="G103" s="54" t="s">
        <v>36</v>
      </c>
      <c r="H103" s="53" t="s">
        <v>165</v>
      </c>
      <c r="I103" s="54" t="s">
        <v>159</v>
      </c>
      <c r="J103" s="54" t="s">
        <v>38</v>
      </c>
      <c r="K103" s="54" t="s">
        <v>161</v>
      </c>
      <c r="L103" s="53">
        <v>3</v>
      </c>
      <c r="N103" s="53">
        <v>1</v>
      </c>
      <c r="O103" s="53">
        <v>0.6</v>
      </c>
      <c r="P103" s="53">
        <v>0.55000000000000004</v>
      </c>
      <c r="Q103" s="97">
        <f t="shared" si="5"/>
        <v>0.57499999999999996</v>
      </c>
      <c r="R103" s="53">
        <v>16.399999999999999</v>
      </c>
      <c r="S103" s="53">
        <v>114</v>
      </c>
      <c r="T103" s="16">
        <f t="shared" si="6"/>
        <v>30</v>
      </c>
      <c r="U103" s="53">
        <v>149</v>
      </c>
      <c r="V103" s="16">
        <f t="shared" si="7"/>
        <v>4470</v>
      </c>
      <c r="W103" s="53">
        <v>7</v>
      </c>
      <c r="X103" s="54" t="s">
        <v>46</v>
      </c>
      <c r="Y103" s="54" t="s">
        <v>55</v>
      </c>
      <c r="Z103" s="54" t="s">
        <v>47</v>
      </c>
      <c r="AA103" s="54" t="s">
        <v>69</v>
      </c>
      <c r="AB103" s="54" t="s">
        <v>258</v>
      </c>
    </row>
    <row r="104" spans="1:28" x14ac:dyDescent="0.15">
      <c r="A104" s="54" t="s">
        <v>34</v>
      </c>
      <c r="B104" s="53" t="s">
        <v>232</v>
      </c>
      <c r="C104" s="53">
        <v>2019</v>
      </c>
      <c r="D104" s="217" t="s">
        <v>168</v>
      </c>
      <c r="E104" s="36" t="s">
        <v>376</v>
      </c>
      <c r="F104" s="36" t="s">
        <v>377</v>
      </c>
      <c r="G104" s="54" t="s">
        <v>36</v>
      </c>
      <c r="H104" s="53" t="s">
        <v>165</v>
      </c>
      <c r="I104" s="54" t="s">
        <v>159</v>
      </c>
      <c r="J104" s="54" t="s">
        <v>38</v>
      </c>
      <c r="K104" s="54" t="s">
        <v>161</v>
      </c>
      <c r="L104" s="54">
        <v>1</v>
      </c>
      <c r="N104" s="53">
        <v>5</v>
      </c>
      <c r="O104" s="53">
        <v>0.65</v>
      </c>
      <c r="P104" s="53">
        <v>0.2</v>
      </c>
      <c r="Q104" s="97">
        <f t="shared" si="5"/>
        <v>0.42500000000000004</v>
      </c>
      <c r="R104" s="53">
        <v>17</v>
      </c>
      <c r="S104" s="53">
        <v>86</v>
      </c>
      <c r="T104" s="16">
        <f t="shared" si="6"/>
        <v>36</v>
      </c>
      <c r="U104" s="53">
        <v>429</v>
      </c>
      <c r="V104" s="16">
        <f t="shared" si="7"/>
        <v>3088.7999999999997</v>
      </c>
      <c r="W104" s="53">
        <v>7</v>
      </c>
      <c r="X104" s="54" t="s">
        <v>46</v>
      </c>
      <c r="Y104" s="54" t="s">
        <v>55</v>
      </c>
      <c r="Z104" s="54" t="s">
        <v>47</v>
      </c>
      <c r="AA104" s="54" t="s">
        <v>69</v>
      </c>
      <c r="AB104" s="54" t="s">
        <v>258</v>
      </c>
    </row>
    <row r="105" spans="1:28" x14ac:dyDescent="0.15">
      <c r="A105" s="54" t="s">
        <v>34</v>
      </c>
      <c r="B105" s="53" t="s">
        <v>232</v>
      </c>
      <c r="C105" s="53">
        <v>2019</v>
      </c>
      <c r="D105" s="217" t="s">
        <v>168</v>
      </c>
      <c r="E105" s="36" t="s">
        <v>376</v>
      </c>
      <c r="F105" s="36" t="s">
        <v>377</v>
      </c>
      <c r="G105" s="54" t="s">
        <v>36</v>
      </c>
      <c r="H105" s="53" t="s">
        <v>165</v>
      </c>
      <c r="I105" s="54" t="s">
        <v>159</v>
      </c>
      <c r="J105" s="54" t="s">
        <v>38</v>
      </c>
      <c r="K105" s="54" t="s">
        <v>161</v>
      </c>
      <c r="L105" s="53">
        <v>2</v>
      </c>
      <c r="N105" s="53">
        <v>5</v>
      </c>
      <c r="O105" s="53">
        <v>0.6</v>
      </c>
      <c r="P105" s="53">
        <v>0.85</v>
      </c>
      <c r="Q105" s="97">
        <f t="shared" si="5"/>
        <v>0.72499999999999998</v>
      </c>
      <c r="R105" s="53">
        <v>14.4</v>
      </c>
      <c r="S105" s="53">
        <v>93</v>
      </c>
      <c r="T105" s="16">
        <f t="shared" si="6"/>
        <v>36</v>
      </c>
      <c r="U105" s="53">
        <v>429</v>
      </c>
      <c r="V105" s="16">
        <f t="shared" si="7"/>
        <v>3088.7999999999997</v>
      </c>
      <c r="W105" s="53">
        <v>7</v>
      </c>
      <c r="X105" s="54" t="s">
        <v>46</v>
      </c>
      <c r="Y105" s="54" t="s">
        <v>55</v>
      </c>
      <c r="Z105" s="54" t="s">
        <v>47</v>
      </c>
      <c r="AA105" s="54" t="s">
        <v>69</v>
      </c>
      <c r="AB105" s="54" t="s">
        <v>258</v>
      </c>
    </row>
    <row r="106" spans="1:28" x14ac:dyDescent="0.15">
      <c r="A106" s="54" t="s">
        <v>34</v>
      </c>
      <c r="B106" s="53" t="s">
        <v>232</v>
      </c>
      <c r="C106" s="53">
        <v>2019</v>
      </c>
      <c r="D106" s="217" t="s">
        <v>168</v>
      </c>
      <c r="E106" s="36" t="s">
        <v>376</v>
      </c>
      <c r="F106" s="36" t="s">
        <v>377</v>
      </c>
      <c r="G106" s="54" t="s">
        <v>36</v>
      </c>
      <c r="H106" s="53" t="s">
        <v>165</v>
      </c>
      <c r="I106" s="54" t="s">
        <v>159</v>
      </c>
      <c r="J106" s="54" t="s">
        <v>38</v>
      </c>
      <c r="K106" s="54" t="s">
        <v>161</v>
      </c>
      <c r="L106" s="53">
        <v>3</v>
      </c>
      <c r="N106" s="53">
        <v>5</v>
      </c>
      <c r="O106" s="53">
        <v>0.2</v>
      </c>
      <c r="P106" s="53">
        <v>0.2</v>
      </c>
      <c r="Q106" s="97">
        <f t="shared" si="5"/>
        <v>0.2</v>
      </c>
      <c r="R106" s="53">
        <v>16.600000000000001</v>
      </c>
      <c r="S106" s="53">
        <v>85</v>
      </c>
      <c r="T106" s="16">
        <f t="shared" si="6"/>
        <v>36</v>
      </c>
      <c r="U106" s="53">
        <v>429</v>
      </c>
      <c r="V106" s="16">
        <f t="shared" si="7"/>
        <v>3088.7999999999997</v>
      </c>
      <c r="W106" s="53">
        <v>7</v>
      </c>
      <c r="X106" s="54" t="s">
        <v>46</v>
      </c>
      <c r="Y106" s="54" t="s">
        <v>55</v>
      </c>
      <c r="Z106" s="54" t="s">
        <v>47</v>
      </c>
      <c r="AA106" s="54" t="s">
        <v>69</v>
      </c>
      <c r="AB106" s="54" t="s">
        <v>258</v>
      </c>
    </row>
    <row r="107" spans="1:28" x14ac:dyDescent="0.15">
      <c r="A107" s="54" t="s">
        <v>34</v>
      </c>
      <c r="B107" s="53" t="s">
        <v>232</v>
      </c>
      <c r="C107" s="53">
        <v>2019</v>
      </c>
      <c r="D107" s="217" t="s">
        <v>168</v>
      </c>
      <c r="E107" s="36" t="s">
        <v>267</v>
      </c>
      <c r="F107" s="36" t="s">
        <v>378</v>
      </c>
      <c r="G107" s="54" t="s">
        <v>36</v>
      </c>
      <c r="H107" s="53" t="s">
        <v>160</v>
      </c>
      <c r="I107" s="54" t="s">
        <v>159</v>
      </c>
      <c r="J107" s="54" t="s">
        <v>38</v>
      </c>
      <c r="K107" s="54" t="s">
        <v>161</v>
      </c>
      <c r="L107" s="54">
        <v>1</v>
      </c>
      <c r="N107" s="53">
        <v>1</v>
      </c>
      <c r="O107" s="53">
        <v>0.6</v>
      </c>
      <c r="P107" s="53">
        <v>0.6</v>
      </c>
      <c r="Q107" s="97">
        <f t="shared" si="5"/>
        <v>0.6</v>
      </c>
      <c r="R107" s="53">
        <v>18.2</v>
      </c>
      <c r="S107" s="53">
        <v>124</v>
      </c>
      <c r="T107" s="16">
        <f t="shared" si="6"/>
        <v>30</v>
      </c>
      <c r="U107" s="53">
        <v>138</v>
      </c>
      <c r="V107" s="16">
        <f t="shared" si="7"/>
        <v>4140</v>
      </c>
      <c r="W107" s="53">
        <v>6</v>
      </c>
      <c r="X107" s="54" t="s">
        <v>46</v>
      </c>
      <c r="Y107" s="54" t="s">
        <v>55</v>
      </c>
      <c r="Z107" s="54" t="s">
        <v>47</v>
      </c>
      <c r="AA107" s="54" t="s">
        <v>90</v>
      </c>
      <c r="AB107" s="54" t="s">
        <v>258</v>
      </c>
    </row>
    <row r="108" spans="1:28" x14ac:dyDescent="0.15">
      <c r="A108" s="54" t="s">
        <v>34</v>
      </c>
      <c r="B108" s="53" t="s">
        <v>232</v>
      </c>
      <c r="C108" s="53">
        <v>2019</v>
      </c>
      <c r="D108" s="217" t="s">
        <v>168</v>
      </c>
      <c r="E108" s="36" t="s">
        <v>267</v>
      </c>
      <c r="F108" s="36" t="s">
        <v>378</v>
      </c>
      <c r="G108" s="54" t="s">
        <v>36</v>
      </c>
      <c r="H108" s="53" t="s">
        <v>160</v>
      </c>
      <c r="I108" s="54" t="s">
        <v>159</v>
      </c>
      <c r="J108" s="54" t="s">
        <v>38</v>
      </c>
      <c r="K108" s="54" t="s">
        <v>161</v>
      </c>
      <c r="L108" s="53">
        <v>2</v>
      </c>
      <c r="N108" s="53">
        <v>1</v>
      </c>
      <c r="O108" s="53">
        <v>0.5</v>
      </c>
      <c r="P108" s="53">
        <v>0.6</v>
      </c>
      <c r="Q108" s="97">
        <f t="shared" si="5"/>
        <v>0.55000000000000004</v>
      </c>
      <c r="R108" s="53">
        <v>19</v>
      </c>
      <c r="S108" s="53">
        <v>132</v>
      </c>
      <c r="T108" s="16">
        <f t="shared" si="6"/>
        <v>30</v>
      </c>
      <c r="U108" s="53">
        <v>138</v>
      </c>
      <c r="V108" s="16">
        <f t="shared" si="7"/>
        <v>4140</v>
      </c>
      <c r="W108" s="53">
        <v>6</v>
      </c>
      <c r="X108" s="54" t="s">
        <v>46</v>
      </c>
      <c r="Y108" s="54" t="s">
        <v>55</v>
      </c>
      <c r="Z108" s="54" t="s">
        <v>47</v>
      </c>
      <c r="AA108" s="54" t="s">
        <v>90</v>
      </c>
      <c r="AB108" s="54" t="s">
        <v>258</v>
      </c>
    </row>
    <row r="109" spans="1:28" x14ac:dyDescent="0.15">
      <c r="A109" s="54" t="s">
        <v>34</v>
      </c>
      <c r="B109" s="53" t="s">
        <v>232</v>
      </c>
      <c r="C109" s="53">
        <v>2019</v>
      </c>
      <c r="D109" s="217" t="s">
        <v>168</v>
      </c>
      <c r="E109" s="36" t="s">
        <v>267</v>
      </c>
      <c r="F109" s="36" t="s">
        <v>378</v>
      </c>
      <c r="G109" s="54" t="s">
        <v>36</v>
      </c>
      <c r="H109" s="53" t="s">
        <v>160</v>
      </c>
      <c r="I109" s="54" t="s">
        <v>159</v>
      </c>
      <c r="J109" s="54" t="s">
        <v>38</v>
      </c>
      <c r="K109" s="54" t="s">
        <v>161</v>
      </c>
      <c r="L109" s="53">
        <v>3</v>
      </c>
      <c r="N109" s="53">
        <v>1</v>
      </c>
      <c r="O109" s="53">
        <v>0.8</v>
      </c>
      <c r="P109" s="53">
        <v>0.75</v>
      </c>
      <c r="Q109" s="97">
        <f t="shared" si="5"/>
        <v>0.77500000000000002</v>
      </c>
      <c r="R109" s="53">
        <v>18.5</v>
      </c>
      <c r="S109" s="53">
        <v>123</v>
      </c>
      <c r="T109" s="16">
        <f t="shared" si="6"/>
        <v>30</v>
      </c>
      <c r="U109" s="53">
        <v>138</v>
      </c>
      <c r="V109" s="16">
        <f t="shared" si="7"/>
        <v>4140</v>
      </c>
      <c r="W109" s="53">
        <v>6</v>
      </c>
      <c r="X109" s="54" t="s">
        <v>46</v>
      </c>
      <c r="Y109" s="54" t="s">
        <v>55</v>
      </c>
      <c r="Z109" s="54" t="s">
        <v>47</v>
      </c>
      <c r="AA109" s="54" t="s">
        <v>90</v>
      </c>
      <c r="AB109" s="54" t="s">
        <v>258</v>
      </c>
    </row>
    <row r="110" spans="1:28" x14ac:dyDescent="0.15">
      <c r="A110" s="54" t="s">
        <v>34</v>
      </c>
      <c r="B110" s="53" t="s">
        <v>232</v>
      </c>
      <c r="C110" s="53">
        <v>2019</v>
      </c>
      <c r="D110" s="217" t="s">
        <v>168</v>
      </c>
      <c r="E110" s="36" t="s">
        <v>267</v>
      </c>
      <c r="F110" s="36" t="s">
        <v>378</v>
      </c>
      <c r="G110" s="54" t="s">
        <v>36</v>
      </c>
      <c r="H110" s="53" t="s">
        <v>160</v>
      </c>
      <c r="I110" s="54" t="s">
        <v>159</v>
      </c>
      <c r="J110" s="54" t="s">
        <v>38</v>
      </c>
      <c r="K110" s="54" t="s">
        <v>161</v>
      </c>
      <c r="L110" s="54">
        <v>1</v>
      </c>
      <c r="N110" s="53">
        <v>6</v>
      </c>
      <c r="O110" s="53">
        <v>0.75</v>
      </c>
      <c r="P110" s="53">
        <v>0.9</v>
      </c>
      <c r="Q110" s="97">
        <f t="shared" si="5"/>
        <v>0.82499999999999996</v>
      </c>
      <c r="R110" s="53">
        <v>20.100000000000001</v>
      </c>
      <c r="S110" s="53">
        <v>99</v>
      </c>
      <c r="T110" s="16">
        <f t="shared" si="6"/>
        <v>33</v>
      </c>
      <c r="U110" s="53">
        <v>626</v>
      </c>
      <c r="V110" s="16">
        <f t="shared" si="7"/>
        <v>3443</v>
      </c>
      <c r="W110" s="53">
        <v>6</v>
      </c>
      <c r="X110" s="54" t="s">
        <v>46</v>
      </c>
      <c r="Y110" s="54" t="s">
        <v>55</v>
      </c>
      <c r="Z110" s="54" t="s">
        <v>47</v>
      </c>
      <c r="AA110" s="54" t="s">
        <v>90</v>
      </c>
      <c r="AB110" s="54" t="s">
        <v>258</v>
      </c>
    </row>
    <row r="111" spans="1:28" x14ac:dyDescent="0.15">
      <c r="A111" s="54" t="s">
        <v>34</v>
      </c>
      <c r="B111" s="53" t="s">
        <v>232</v>
      </c>
      <c r="C111" s="53">
        <v>2019</v>
      </c>
      <c r="D111" s="217" t="s">
        <v>168</v>
      </c>
      <c r="E111" s="36" t="s">
        <v>267</v>
      </c>
      <c r="F111" s="36" t="s">
        <v>378</v>
      </c>
      <c r="G111" s="54" t="s">
        <v>36</v>
      </c>
      <c r="H111" s="53" t="s">
        <v>160</v>
      </c>
      <c r="I111" s="54" t="s">
        <v>159</v>
      </c>
      <c r="J111" s="54" t="s">
        <v>38</v>
      </c>
      <c r="K111" s="54" t="s">
        <v>161</v>
      </c>
      <c r="L111" s="53">
        <v>2</v>
      </c>
      <c r="N111" s="53">
        <v>6</v>
      </c>
      <c r="O111" s="53">
        <v>0.65</v>
      </c>
      <c r="P111" s="53">
        <v>0.7</v>
      </c>
      <c r="Q111" s="97">
        <f t="shared" si="5"/>
        <v>0.67500000000000004</v>
      </c>
      <c r="R111" s="53">
        <v>19.600000000000001</v>
      </c>
      <c r="S111" s="53">
        <v>96</v>
      </c>
      <c r="T111" s="16">
        <f t="shared" si="6"/>
        <v>36</v>
      </c>
      <c r="U111" s="53">
        <v>626</v>
      </c>
      <c r="V111" s="16">
        <f t="shared" si="7"/>
        <v>3756</v>
      </c>
      <c r="W111" s="53">
        <v>6</v>
      </c>
      <c r="X111" s="54" t="s">
        <v>46</v>
      </c>
      <c r="Y111" s="54" t="s">
        <v>55</v>
      </c>
      <c r="Z111" s="54" t="s">
        <v>47</v>
      </c>
      <c r="AA111" s="54" t="s">
        <v>90</v>
      </c>
      <c r="AB111" s="54" t="s">
        <v>258</v>
      </c>
    </row>
    <row r="112" spans="1:28" x14ac:dyDescent="0.15">
      <c r="A112" s="54" t="s">
        <v>34</v>
      </c>
      <c r="B112" s="53" t="s">
        <v>232</v>
      </c>
      <c r="C112" s="53">
        <v>2019</v>
      </c>
      <c r="D112" s="217" t="s">
        <v>168</v>
      </c>
      <c r="E112" s="36" t="s">
        <v>267</v>
      </c>
      <c r="F112" s="36" t="s">
        <v>378</v>
      </c>
      <c r="G112" s="54" t="s">
        <v>36</v>
      </c>
      <c r="H112" s="53" t="s">
        <v>160</v>
      </c>
      <c r="I112" s="54" t="s">
        <v>159</v>
      </c>
      <c r="J112" s="54" t="s">
        <v>38</v>
      </c>
      <c r="K112" s="54" t="s">
        <v>161</v>
      </c>
      <c r="L112" s="53">
        <v>3</v>
      </c>
      <c r="N112" s="53">
        <v>6</v>
      </c>
      <c r="O112" s="53">
        <v>0.75</v>
      </c>
      <c r="P112" s="53">
        <v>0.7</v>
      </c>
      <c r="Q112" s="97">
        <f t="shared" si="5"/>
        <v>0.72499999999999998</v>
      </c>
      <c r="R112" s="53">
        <v>20</v>
      </c>
      <c r="S112" s="53">
        <v>105</v>
      </c>
      <c r="T112" s="16">
        <f t="shared" si="6"/>
        <v>33</v>
      </c>
      <c r="U112" s="53">
        <v>626</v>
      </c>
      <c r="V112" s="16">
        <f t="shared" si="7"/>
        <v>3443</v>
      </c>
      <c r="W112" s="53">
        <v>6</v>
      </c>
      <c r="X112" s="54" t="s">
        <v>46</v>
      </c>
      <c r="Y112" s="54" t="s">
        <v>55</v>
      </c>
      <c r="Z112" s="54" t="s">
        <v>47</v>
      </c>
      <c r="AA112" s="54" t="s">
        <v>90</v>
      </c>
      <c r="AB112" s="54" t="s">
        <v>258</v>
      </c>
    </row>
    <row r="113" spans="1:28" x14ac:dyDescent="0.15">
      <c r="A113" s="54" t="s">
        <v>34</v>
      </c>
      <c r="B113" s="53" t="s">
        <v>232</v>
      </c>
      <c r="C113" s="53">
        <v>2019</v>
      </c>
      <c r="D113" s="217" t="s">
        <v>168</v>
      </c>
      <c r="E113" s="36" t="s">
        <v>267</v>
      </c>
      <c r="F113" s="36" t="s">
        <v>378</v>
      </c>
      <c r="G113" s="54" t="s">
        <v>36</v>
      </c>
      <c r="H113" s="53" t="s">
        <v>165</v>
      </c>
      <c r="I113" s="54" t="s">
        <v>159</v>
      </c>
      <c r="J113" s="54" t="s">
        <v>38</v>
      </c>
      <c r="K113" s="54" t="s">
        <v>161</v>
      </c>
      <c r="L113" s="54">
        <v>1</v>
      </c>
      <c r="N113" s="53">
        <v>1</v>
      </c>
      <c r="O113" s="53">
        <v>0.2</v>
      </c>
      <c r="P113" s="53">
        <v>0.2</v>
      </c>
      <c r="Q113" s="97">
        <f t="shared" si="5"/>
        <v>0.2</v>
      </c>
      <c r="R113" s="53">
        <v>17.899999999999999</v>
      </c>
      <c r="S113" s="53">
        <v>117</v>
      </c>
      <c r="T113" s="16">
        <f t="shared" si="6"/>
        <v>30</v>
      </c>
      <c r="U113" s="53">
        <v>138</v>
      </c>
      <c r="V113" s="16">
        <f t="shared" si="7"/>
        <v>4140</v>
      </c>
      <c r="W113" s="53">
        <v>3</v>
      </c>
      <c r="X113" s="54" t="s">
        <v>46</v>
      </c>
      <c r="Y113" s="54" t="s">
        <v>55</v>
      </c>
      <c r="Z113" s="54" t="s">
        <v>47</v>
      </c>
      <c r="AA113" s="54" t="s">
        <v>90</v>
      </c>
      <c r="AB113" s="54" t="s">
        <v>258</v>
      </c>
    </row>
    <row r="114" spans="1:28" x14ac:dyDescent="0.15">
      <c r="A114" s="54" t="s">
        <v>34</v>
      </c>
      <c r="B114" s="53" t="s">
        <v>232</v>
      </c>
      <c r="C114" s="53">
        <v>2019</v>
      </c>
      <c r="D114" s="217" t="s">
        <v>168</v>
      </c>
      <c r="E114" s="36" t="s">
        <v>267</v>
      </c>
      <c r="F114" s="36" t="s">
        <v>378</v>
      </c>
      <c r="G114" s="54" t="s">
        <v>36</v>
      </c>
      <c r="H114" s="53" t="s">
        <v>165</v>
      </c>
      <c r="I114" s="54" t="s">
        <v>159</v>
      </c>
      <c r="J114" s="54" t="s">
        <v>38</v>
      </c>
      <c r="K114" s="54" t="s">
        <v>161</v>
      </c>
      <c r="L114" s="53">
        <v>2</v>
      </c>
      <c r="N114" s="53">
        <v>1</v>
      </c>
      <c r="O114" s="53">
        <v>0.6</v>
      </c>
      <c r="P114" s="53">
        <v>0.6</v>
      </c>
      <c r="Q114" s="97">
        <f t="shared" si="5"/>
        <v>0.6</v>
      </c>
      <c r="R114" s="53">
        <v>17.600000000000001</v>
      </c>
      <c r="S114" s="53">
        <v>120</v>
      </c>
      <c r="T114" s="16">
        <f t="shared" si="6"/>
        <v>30</v>
      </c>
      <c r="U114" s="53">
        <v>138</v>
      </c>
      <c r="V114" s="16">
        <f t="shared" si="7"/>
        <v>4140</v>
      </c>
      <c r="W114" s="53">
        <v>3</v>
      </c>
      <c r="X114" s="54" t="s">
        <v>46</v>
      </c>
      <c r="Y114" s="54" t="s">
        <v>55</v>
      </c>
      <c r="Z114" s="54" t="s">
        <v>47</v>
      </c>
      <c r="AA114" s="54" t="s">
        <v>90</v>
      </c>
      <c r="AB114" s="54" t="s">
        <v>258</v>
      </c>
    </row>
    <row r="115" spans="1:28" x14ac:dyDescent="0.15">
      <c r="A115" s="54" t="s">
        <v>34</v>
      </c>
      <c r="B115" s="53" t="s">
        <v>232</v>
      </c>
      <c r="C115" s="53">
        <v>2019</v>
      </c>
      <c r="D115" s="217" t="s">
        <v>168</v>
      </c>
      <c r="E115" s="36" t="s">
        <v>267</v>
      </c>
      <c r="F115" s="36" t="s">
        <v>378</v>
      </c>
      <c r="G115" s="54" t="s">
        <v>36</v>
      </c>
      <c r="H115" s="53" t="s">
        <v>165</v>
      </c>
      <c r="I115" s="54" t="s">
        <v>159</v>
      </c>
      <c r="J115" s="54" t="s">
        <v>38</v>
      </c>
      <c r="K115" s="54" t="s">
        <v>161</v>
      </c>
      <c r="L115" s="53">
        <v>3</v>
      </c>
      <c r="N115" s="53">
        <v>1</v>
      </c>
      <c r="O115" s="53">
        <v>0.5</v>
      </c>
      <c r="P115" s="53">
        <v>0.5</v>
      </c>
      <c r="Q115" s="97">
        <f t="shared" si="5"/>
        <v>0.5</v>
      </c>
      <c r="R115" s="53">
        <v>17.600000000000001</v>
      </c>
      <c r="S115" s="53">
        <v>114</v>
      </c>
      <c r="T115" s="16">
        <f t="shared" si="6"/>
        <v>30</v>
      </c>
      <c r="U115" s="53">
        <v>138</v>
      </c>
      <c r="V115" s="16">
        <f t="shared" si="7"/>
        <v>4140</v>
      </c>
      <c r="W115" s="53">
        <v>3</v>
      </c>
      <c r="X115" s="54" t="s">
        <v>46</v>
      </c>
      <c r="Y115" s="54" t="s">
        <v>55</v>
      </c>
      <c r="Z115" s="54" t="s">
        <v>47</v>
      </c>
      <c r="AA115" s="54" t="s">
        <v>90</v>
      </c>
      <c r="AB115" s="54" t="s">
        <v>258</v>
      </c>
    </row>
    <row r="116" spans="1:28" x14ac:dyDescent="0.15">
      <c r="A116" s="54" t="s">
        <v>34</v>
      </c>
      <c r="B116" s="53" t="s">
        <v>232</v>
      </c>
      <c r="C116" s="53">
        <v>2019</v>
      </c>
      <c r="D116" s="217" t="s">
        <v>168</v>
      </c>
      <c r="E116" s="36" t="s">
        <v>267</v>
      </c>
      <c r="F116" s="36" t="s">
        <v>378</v>
      </c>
      <c r="G116" s="54" t="s">
        <v>36</v>
      </c>
      <c r="H116" s="53" t="s">
        <v>164</v>
      </c>
      <c r="I116" s="54" t="s">
        <v>159</v>
      </c>
      <c r="J116" s="54" t="s">
        <v>38</v>
      </c>
      <c r="K116" s="54" t="s">
        <v>161</v>
      </c>
      <c r="L116" s="54">
        <v>1</v>
      </c>
      <c r="N116" s="53">
        <v>10</v>
      </c>
      <c r="O116" s="53">
        <v>0.65</v>
      </c>
      <c r="P116" s="53">
        <v>0.5</v>
      </c>
      <c r="Q116" s="97">
        <f t="shared" si="5"/>
        <v>0.57499999999999996</v>
      </c>
      <c r="R116" s="53">
        <v>17.2</v>
      </c>
      <c r="S116" s="53">
        <v>82</v>
      </c>
      <c r="T116" s="16">
        <f t="shared" si="6"/>
        <v>39</v>
      </c>
      <c r="U116" s="53">
        <v>540</v>
      </c>
      <c r="V116" s="16">
        <f t="shared" si="7"/>
        <v>2106</v>
      </c>
      <c r="W116" s="53">
        <v>2</v>
      </c>
      <c r="X116" s="54" t="s">
        <v>46</v>
      </c>
      <c r="Y116" s="54" t="s">
        <v>55</v>
      </c>
      <c r="Z116" s="54" t="s">
        <v>47</v>
      </c>
      <c r="AA116" s="54" t="s">
        <v>90</v>
      </c>
      <c r="AB116" s="54" t="s">
        <v>258</v>
      </c>
    </row>
    <row r="117" spans="1:28" x14ac:dyDescent="0.15">
      <c r="A117" s="54" t="s">
        <v>34</v>
      </c>
      <c r="B117" s="53" t="s">
        <v>232</v>
      </c>
      <c r="C117" s="53">
        <v>2019</v>
      </c>
      <c r="D117" s="217" t="s">
        <v>168</v>
      </c>
      <c r="E117" s="36" t="s">
        <v>267</v>
      </c>
      <c r="F117" s="36" t="s">
        <v>378</v>
      </c>
      <c r="G117" s="54" t="s">
        <v>36</v>
      </c>
      <c r="H117" s="53" t="s">
        <v>164</v>
      </c>
      <c r="I117" s="54" t="s">
        <v>159</v>
      </c>
      <c r="J117" s="54" t="s">
        <v>38</v>
      </c>
      <c r="K117" s="54" t="s">
        <v>161</v>
      </c>
      <c r="L117" s="53">
        <v>2</v>
      </c>
      <c r="N117" s="53">
        <v>10</v>
      </c>
      <c r="O117" s="53">
        <v>0.65</v>
      </c>
      <c r="P117" s="53">
        <v>0.6</v>
      </c>
      <c r="Q117" s="97">
        <f t="shared" si="5"/>
        <v>0.625</v>
      </c>
      <c r="R117" s="53">
        <v>17.399999999999999</v>
      </c>
      <c r="S117" s="53">
        <v>74</v>
      </c>
      <c r="T117" s="16">
        <f t="shared" si="6"/>
        <v>42</v>
      </c>
      <c r="U117" s="53">
        <v>540</v>
      </c>
      <c r="V117" s="16">
        <f t="shared" si="7"/>
        <v>2268</v>
      </c>
      <c r="W117" s="53">
        <v>2</v>
      </c>
      <c r="X117" s="54" t="s">
        <v>46</v>
      </c>
      <c r="Y117" s="54" t="s">
        <v>55</v>
      </c>
      <c r="Z117" s="54" t="s">
        <v>47</v>
      </c>
      <c r="AA117" s="54" t="s">
        <v>90</v>
      </c>
      <c r="AB117" s="54" t="s">
        <v>258</v>
      </c>
    </row>
    <row r="118" spans="1:28" x14ac:dyDescent="0.15">
      <c r="A118" s="54" t="s">
        <v>34</v>
      </c>
      <c r="B118" s="53" t="s">
        <v>232</v>
      </c>
      <c r="C118" s="53">
        <v>2019</v>
      </c>
      <c r="D118" s="217" t="s">
        <v>168</v>
      </c>
      <c r="E118" s="36" t="s">
        <v>267</v>
      </c>
      <c r="F118" s="36" t="s">
        <v>378</v>
      </c>
      <c r="G118" s="54" t="s">
        <v>36</v>
      </c>
      <c r="H118" s="53" t="s">
        <v>164</v>
      </c>
      <c r="I118" s="54" t="s">
        <v>159</v>
      </c>
      <c r="J118" s="54" t="s">
        <v>38</v>
      </c>
      <c r="K118" s="54" t="s">
        <v>161</v>
      </c>
      <c r="L118" s="53">
        <v>3</v>
      </c>
      <c r="N118" s="53">
        <v>10</v>
      </c>
      <c r="O118" s="53">
        <v>0.8</v>
      </c>
      <c r="P118" s="53">
        <v>0.85</v>
      </c>
      <c r="Q118" s="97">
        <f t="shared" si="5"/>
        <v>0.82499999999999996</v>
      </c>
      <c r="R118" s="53">
        <v>19</v>
      </c>
      <c r="S118" s="53">
        <v>73</v>
      </c>
      <c r="T118" s="16">
        <f t="shared" si="6"/>
        <v>42</v>
      </c>
      <c r="U118" s="53">
        <v>540</v>
      </c>
      <c r="V118" s="16">
        <f t="shared" si="7"/>
        <v>2268</v>
      </c>
      <c r="W118" s="53">
        <v>2</v>
      </c>
      <c r="X118" s="54" t="s">
        <v>46</v>
      </c>
      <c r="Y118" s="54" t="s">
        <v>55</v>
      </c>
      <c r="Z118" s="54" t="s">
        <v>47</v>
      </c>
      <c r="AA118" s="54" t="s">
        <v>90</v>
      </c>
      <c r="AB118" s="54" t="s">
        <v>258</v>
      </c>
    </row>
    <row r="119" spans="1:28" x14ac:dyDescent="0.15">
      <c r="K119" s="54"/>
    </row>
    <row r="120" spans="1:28" x14ac:dyDescent="0.15">
      <c r="K120" s="54"/>
    </row>
    <row r="121" spans="1:28" x14ac:dyDescent="0.15">
      <c r="K121" s="54"/>
    </row>
    <row r="122" spans="1:28" x14ac:dyDescent="0.15">
      <c r="K122" s="54"/>
    </row>
    <row r="123" spans="1:28" x14ac:dyDescent="0.15">
      <c r="K123" s="54"/>
    </row>
    <row r="124" spans="1:28" x14ac:dyDescent="0.15">
      <c r="K124" s="54"/>
    </row>
    <row r="125" spans="1:28" x14ac:dyDescent="0.15">
      <c r="K125" s="54"/>
    </row>
    <row r="126" spans="1:28" x14ac:dyDescent="0.15">
      <c r="K126" s="54"/>
    </row>
    <row r="127" spans="1:28" x14ac:dyDescent="0.15">
      <c r="K127" s="54"/>
    </row>
    <row r="128" spans="1:28" x14ac:dyDescent="0.15">
      <c r="K128" s="54"/>
    </row>
    <row r="129" spans="11:11" x14ac:dyDescent="0.15">
      <c r="K129" s="54"/>
    </row>
    <row r="130" spans="11:11" x14ac:dyDescent="0.15">
      <c r="K130" s="54"/>
    </row>
    <row r="131" spans="11:11" x14ac:dyDescent="0.15">
      <c r="K131" s="54"/>
    </row>
    <row r="132" spans="11:11" x14ac:dyDescent="0.15">
      <c r="K132" s="54"/>
    </row>
    <row r="133" spans="11:11" x14ac:dyDescent="0.15">
      <c r="K133" s="54"/>
    </row>
    <row r="134" spans="11:11" x14ac:dyDescent="0.15">
      <c r="K134" s="54"/>
    </row>
    <row r="135" spans="11:11" x14ac:dyDescent="0.15">
      <c r="K135" s="54"/>
    </row>
    <row r="136" spans="11:11" x14ac:dyDescent="0.15">
      <c r="K136" s="54"/>
    </row>
    <row r="137" spans="11:11" x14ac:dyDescent="0.15">
      <c r="K137" s="54"/>
    </row>
    <row r="138" spans="11:11" x14ac:dyDescent="0.15">
      <c r="K138" s="54"/>
    </row>
    <row r="139" spans="11:11" x14ac:dyDescent="0.15">
      <c r="K139" s="54"/>
    </row>
    <row r="140" spans="11:11" x14ac:dyDescent="0.15">
      <c r="K140" s="54"/>
    </row>
    <row r="141" spans="11:11" x14ac:dyDescent="0.15">
      <c r="K141" s="54"/>
    </row>
    <row r="142" spans="11:11" x14ac:dyDescent="0.15">
      <c r="K142" s="54"/>
    </row>
    <row r="143" spans="11:11" x14ac:dyDescent="0.15">
      <c r="K143" s="54"/>
    </row>
    <row r="144" spans="11:11" x14ac:dyDescent="0.15">
      <c r="K144" s="54"/>
    </row>
    <row r="145" spans="11:11" x14ac:dyDescent="0.15">
      <c r="K145" s="54"/>
    </row>
    <row r="146" spans="11:11" x14ac:dyDescent="0.15">
      <c r="K146" s="54"/>
    </row>
    <row r="147" spans="11:11" x14ac:dyDescent="0.15">
      <c r="K147" s="54"/>
    </row>
    <row r="148" spans="11:11" x14ac:dyDescent="0.15">
      <c r="K148" s="54"/>
    </row>
    <row r="149" spans="11:11" x14ac:dyDescent="0.15">
      <c r="K149" s="54"/>
    </row>
    <row r="150" spans="11:11" x14ac:dyDescent="0.15">
      <c r="K150" s="54"/>
    </row>
    <row r="151" spans="11:11" x14ac:dyDescent="0.15">
      <c r="K151" s="54"/>
    </row>
    <row r="152" spans="11:11" x14ac:dyDescent="0.15">
      <c r="K152" s="54"/>
    </row>
    <row r="153" spans="11:11" x14ac:dyDescent="0.15">
      <c r="K153" s="54"/>
    </row>
    <row r="154" spans="11:11" x14ac:dyDescent="0.15">
      <c r="K154" s="54"/>
    </row>
    <row r="155" spans="11:11" x14ac:dyDescent="0.15">
      <c r="K155" s="54"/>
    </row>
    <row r="156" spans="11:11" x14ac:dyDescent="0.15">
      <c r="K156" s="54"/>
    </row>
    <row r="157" spans="11:11" x14ac:dyDescent="0.15">
      <c r="K157" s="54"/>
    </row>
    <row r="158" spans="11:11" x14ac:dyDescent="0.15">
      <c r="K158" s="54"/>
    </row>
    <row r="159" spans="11:11" x14ac:dyDescent="0.15">
      <c r="K159" s="54"/>
    </row>
    <row r="160" spans="11:11" x14ac:dyDescent="0.15">
      <c r="K160" s="54"/>
    </row>
    <row r="161" spans="11:11" x14ac:dyDescent="0.15">
      <c r="K161" s="54"/>
    </row>
    <row r="162" spans="11:11" x14ac:dyDescent="0.15">
      <c r="K162" s="54"/>
    </row>
    <row r="163" spans="11:11" x14ac:dyDescent="0.15">
      <c r="K163" s="54"/>
    </row>
    <row r="164" spans="11:11" x14ac:dyDescent="0.15">
      <c r="K164" s="54"/>
    </row>
    <row r="165" spans="11:11" x14ac:dyDescent="0.15">
      <c r="K165" s="54"/>
    </row>
    <row r="166" spans="11:11" x14ac:dyDescent="0.15">
      <c r="K166" s="54"/>
    </row>
    <row r="167" spans="11:11" x14ac:dyDescent="0.15">
      <c r="K167" s="54"/>
    </row>
    <row r="168" spans="11:11" x14ac:dyDescent="0.15">
      <c r="K168" s="54"/>
    </row>
    <row r="169" spans="11:11" x14ac:dyDescent="0.15">
      <c r="K169" s="54"/>
    </row>
    <row r="170" spans="11:11" x14ac:dyDescent="0.15">
      <c r="K170" s="54"/>
    </row>
    <row r="171" spans="11:11" x14ac:dyDescent="0.15">
      <c r="K171" s="54"/>
    </row>
    <row r="172" spans="11:11" x14ac:dyDescent="0.15">
      <c r="K172" s="54"/>
    </row>
    <row r="173" spans="11:11" x14ac:dyDescent="0.15">
      <c r="K173" s="54"/>
    </row>
    <row r="174" spans="11:11" x14ac:dyDescent="0.15">
      <c r="K174" s="54"/>
    </row>
    <row r="175" spans="11:11" x14ac:dyDescent="0.15">
      <c r="K175" s="54"/>
    </row>
    <row r="176" spans="11:11" x14ac:dyDescent="0.15">
      <c r="K176" s="54"/>
    </row>
    <row r="177" spans="11:11" x14ac:dyDescent="0.15">
      <c r="K177" s="54"/>
    </row>
    <row r="178" spans="11:11" x14ac:dyDescent="0.15">
      <c r="K178" s="54"/>
    </row>
    <row r="179" spans="11:11" x14ac:dyDescent="0.15">
      <c r="K179" s="54"/>
    </row>
    <row r="180" spans="11:11" x14ac:dyDescent="0.15">
      <c r="K180" s="54"/>
    </row>
    <row r="181" spans="11:11" x14ac:dyDescent="0.15">
      <c r="K181" s="54"/>
    </row>
    <row r="182" spans="11:11" x14ac:dyDescent="0.15">
      <c r="K182" s="54"/>
    </row>
    <row r="183" spans="11:11" x14ac:dyDescent="0.15">
      <c r="K183" s="54"/>
    </row>
    <row r="184" spans="11:11" x14ac:dyDescent="0.15">
      <c r="K184" s="54"/>
    </row>
    <row r="185" spans="11:11" x14ac:dyDescent="0.15">
      <c r="K185" s="54"/>
    </row>
    <row r="186" spans="11:11" x14ac:dyDescent="0.15">
      <c r="K186" s="54"/>
    </row>
    <row r="187" spans="11:11" x14ac:dyDescent="0.15">
      <c r="K187" s="54"/>
    </row>
    <row r="188" spans="11:11" x14ac:dyDescent="0.15">
      <c r="K188" s="54"/>
    </row>
    <row r="189" spans="11:11" x14ac:dyDescent="0.15">
      <c r="K189" s="54"/>
    </row>
    <row r="190" spans="11:11" x14ac:dyDescent="0.15">
      <c r="K190" s="54"/>
    </row>
    <row r="191" spans="11:11" x14ac:dyDescent="0.15">
      <c r="K191" s="54"/>
    </row>
    <row r="192" spans="11:11" x14ac:dyDescent="0.15">
      <c r="K192" s="54"/>
    </row>
    <row r="193" spans="11:11" x14ac:dyDescent="0.15">
      <c r="K193" s="54"/>
    </row>
    <row r="194" spans="11:11" x14ac:dyDescent="0.15">
      <c r="K194" s="54"/>
    </row>
    <row r="195" spans="11:11" x14ac:dyDescent="0.15">
      <c r="K195" s="54"/>
    </row>
    <row r="196" spans="11:11" x14ac:dyDescent="0.15">
      <c r="K196" s="54"/>
    </row>
    <row r="197" spans="11:11" x14ac:dyDescent="0.15">
      <c r="K197" s="54"/>
    </row>
    <row r="198" spans="11:11" x14ac:dyDescent="0.15">
      <c r="K198" s="54"/>
    </row>
    <row r="199" spans="11:11" x14ac:dyDescent="0.15">
      <c r="K199" s="54"/>
    </row>
    <row r="200" spans="11:11" x14ac:dyDescent="0.15">
      <c r="K200" s="54"/>
    </row>
    <row r="201" spans="11:11" x14ac:dyDescent="0.15">
      <c r="K201" s="54"/>
    </row>
    <row r="202" spans="11:11" x14ac:dyDescent="0.15">
      <c r="K202" s="54"/>
    </row>
    <row r="203" spans="11:11" x14ac:dyDescent="0.15">
      <c r="K203" s="54"/>
    </row>
    <row r="204" spans="11:11" x14ac:dyDescent="0.15">
      <c r="K204" s="54"/>
    </row>
    <row r="205" spans="11:11" x14ac:dyDescent="0.15">
      <c r="K205" s="54"/>
    </row>
    <row r="206" spans="11:11" x14ac:dyDescent="0.15">
      <c r="K206" s="54"/>
    </row>
    <row r="207" spans="11:11" x14ac:dyDescent="0.15">
      <c r="K207" s="54"/>
    </row>
    <row r="208" spans="11:11" x14ac:dyDescent="0.15">
      <c r="K208" s="54"/>
    </row>
    <row r="209" spans="11:11" x14ac:dyDescent="0.15">
      <c r="K209" s="54"/>
    </row>
    <row r="210" spans="11:11" x14ac:dyDescent="0.15">
      <c r="K210" s="54"/>
    </row>
    <row r="211" spans="11:11" x14ac:dyDescent="0.15">
      <c r="K211" s="54"/>
    </row>
    <row r="212" spans="11:11" x14ac:dyDescent="0.15">
      <c r="K212" s="54"/>
    </row>
    <row r="213" spans="11:11" x14ac:dyDescent="0.15">
      <c r="K213" s="54"/>
    </row>
    <row r="214" spans="11:11" x14ac:dyDescent="0.15">
      <c r="K214" s="54"/>
    </row>
    <row r="215" spans="11:11" x14ac:dyDescent="0.15">
      <c r="K215" s="54"/>
    </row>
    <row r="216" spans="11:11" x14ac:dyDescent="0.15">
      <c r="K216" s="54"/>
    </row>
    <row r="217" spans="11:11" x14ac:dyDescent="0.15">
      <c r="K217" s="54"/>
    </row>
    <row r="218" spans="11:11" x14ac:dyDescent="0.15">
      <c r="K218" s="54"/>
    </row>
    <row r="219" spans="11:11" x14ac:dyDescent="0.15">
      <c r="K219" s="54"/>
    </row>
    <row r="220" spans="11:11" x14ac:dyDescent="0.15">
      <c r="K220" s="54"/>
    </row>
    <row r="221" spans="11:11" x14ac:dyDescent="0.15">
      <c r="K221" s="54"/>
    </row>
    <row r="222" spans="11:11" x14ac:dyDescent="0.15">
      <c r="K222" s="54"/>
    </row>
    <row r="223" spans="11:11" x14ac:dyDescent="0.15">
      <c r="K223" s="54"/>
    </row>
    <row r="224" spans="11:11" x14ac:dyDescent="0.15">
      <c r="K224" s="54"/>
    </row>
    <row r="225" spans="11:11" x14ac:dyDescent="0.15">
      <c r="K225" s="54"/>
    </row>
    <row r="226" spans="11:11" x14ac:dyDescent="0.15">
      <c r="K226" s="54"/>
    </row>
    <row r="227" spans="11:11" x14ac:dyDescent="0.15">
      <c r="K227" s="54"/>
    </row>
    <row r="228" spans="11:11" x14ac:dyDescent="0.15">
      <c r="K228" s="54"/>
    </row>
    <row r="229" spans="11:11" x14ac:dyDescent="0.15">
      <c r="K229" s="54"/>
    </row>
    <row r="230" spans="11:11" x14ac:dyDescent="0.15">
      <c r="K230" s="54"/>
    </row>
    <row r="231" spans="11:11" x14ac:dyDescent="0.15">
      <c r="K231" s="54"/>
    </row>
    <row r="232" spans="11:11" x14ac:dyDescent="0.15">
      <c r="K232" s="54"/>
    </row>
    <row r="233" spans="11:11" x14ac:dyDescent="0.15">
      <c r="K233" s="54"/>
    </row>
    <row r="234" spans="11:11" x14ac:dyDescent="0.15">
      <c r="K234" s="54"/>
    </row>
    <row r="235" spans="11:11" x14ac:dyDescent="0.15">
      <c r="K235" s="54"/>
    </row>
    <row r="236" spans="11:11" x14ac:dyDescent="0.15">
      <c r="K236" s="54"/>
    </row>
    <row r="237" spans="11:11" x14ac:dyDescent="0.15">
      <c r="K237" s="54"/>
    </row>
    <row r="238" spans="11:11" x14ac:dyDescent="0.15">
      <c r="K238" s="54"/>
    </row>
    <row r="239" spans="11:11" x14ac:dyDescent="0.15">
      <c r="K239" s="54"/>
    </row>
    <row r="240" spans="11:11" x14ac:dyDescent="0.15">
      <c r="K240" s="54"/>
    </row>
    <row r="241" spans="11:11" x14ac:dyDescent="0.15">
      <c r="K241" s="54"/>
    </row>
    <row r="242" spans="11:11" x14ac:dyDescent="0.15">
      <c r="K242" s="54"/>
    </row>
    <row r="243" spans="11:11" x14ac:dyDescent="0.15">
      <c r="K243" s="54"/>
    </row>
    <row r="244" spans="11:11" x14ac:dyDescent="0.15">
      <c r="K244" s="54"/>
    </row>
    <row r="245" spans="11:11" x14ac:dyDescent="0.15">
      <c r="K245" s="54"/>
    </row>
    <row r="246" spans="11:11" x14ac:dyDescent="0.15">
      <c r="K246" s="54"/>
    </row>
    <row r="247" spans="11:11" x14ac:dyDescent="0.15">
      <c r="K247" s="54"/>
    </row>
    <row r="248" spans="11:11" x14ac:dyDescent="0.15">
      <c r="K248" s="54"/>
    </row>
    <row r="249" spans="11:11" x14ac:dyDescent="0.15">
      <c r="K249" s="54"/>
    </row>
    <row r="250" spans="11:11" x14ac:dyDescent="0.15">
      <c r="K250" s="54"/>
    </row>
    <row r="251" spans="11:11" x14ac:dyDescent="0.15">
      <c r="K251" s="54"/>
    </row>
    <row r="252" spans="11:11" x14ac:dyDescent="0.15">
      <c r="K252" s="54"/>
    </row>
    <row r="253" spans="11:11" x14ac:dyDescent="0.15">
      <c r="K253" s="54"/>
    </row>
    <row r="254" spans="11:11" x14ac:dyDescent="0.15">
      <c r="K254" s="54"/>
    </row>
    <row r="255" spans="11:11" x14ac:dyDescent="0.15">
      <c r="K255" s="54"/>
    </row>
    <row r="256" spans="11:11" x14ac:dyDescent="0.15">
      <c r="K256" s="54"/>
    </row>
    <row r="257" spans="11:11" x14ac:dyDescent="0.15">
      <c r="K257" s="54"/>
    </row>
    <row r="258" spans="11:11" x14ac:dyDescent="0.15">
      <c r="K258" s="54"/>
    </row>
    <row r="259" spans="11:11" x14ac:dyDescent="0.15">
      <c r="K259" s="54"/>
    </row>
    <row r="260" spans="11:11" x14ac:dyDescent="0.15">
      <c r="K260" s="54"/>
    </row>
    <row r="261" spans="11:11" x14ac:dyDescent="0.15">
      <c r="K261" s="54"/>
    </row>
    <row r="262" spans="11:11" x14ac:dyDescent="0.15">
      <c r="K262" s="54"/>
    </row>
    <row r="263" spans="11:11" x14ac:dyDescent="0.15">
      <c r="K263" s="54"/>
    </row>
    <row r="264" spans="11:11" x14ac:dyDescent="0.15">
      <c r="K264" s="54"/>
    </row>
    <row r="265" spans="11:11" x14ac:dyDescent="0.15">
      <c r="K265" s="54"/>
    </row>
    <row r="266" spans="11:11" x14ac:dyDescent="0.15">
      <c r="K266" s="54"/>
    </row>
    <row r="267" spans="11:11" x14ac:dyDescent="0.15">
      <c r="K267" s="54"/>
    </row>
    <row r="268" spans="11:11" x14ac:dyDescent="0.15">
      <c r="K268" s="54"/>
    </row>
    <row r="269" spans="11:11" x14ac:dyDescent="0.15">
      <c r="K269" s="54"/>
    </row>
    <row r="270" spans="11:11" x14ac:dyDescent="0.15">
      <c r="K270" s="54"/>
    </row>
    <row r="271" spans="11:11" x14ac:dyDescent="0.15">
      <c r="K271" s="54"/>
    </row>
    <row r="272" spans="11:11" x14ac:dyDescent="0.15">
      <c r="K272" s="54"/>
    </row>
    <row r="273" spans="11:11" x14ac:dyDescent="0.15">
      <c r="K273" s="54"/>
    </row>
    <row r="274" spans="11:11" x14ac:dyDescent="0.15">
      <c r="K274" s="54"/>
    </row>
    <row r="275" spans="11:11" x14ac:dyDescent="0.15">
      <c r="K275" s="54"/>
    </row>
    <row r="276" spans="11:11" x14ac:dyDescent="0.15">
      <c r="K276" s="54"/>
    </row>
    <row r="277" spans="11:11" x14ac:dyDescent="0.15">
      <c r="K277" s="54"/>
    </row>
    <row r="278" spans="11:11" x14ac:dyDescent="0.15">
      <c r="K278" s="54"/>
    </row>
    <row r="279" spans="11:11" x14ac:dyDescent="0.15">
      <c r="K279" s="54"/>
    </row>
    <row r="280" spans="11:11" x14ac:dyDescent="0.15">
      <c r="K280" s="54"/>
    </row>
    <row r="281" spans="11:11" x14ac:dyDescent="0.15">
      <c r="K281" s="54"/>
    </row>
    <row r="282" spans="11:11" x14ac:dyDescent="0.15">
      <c r="K282" s="54"/>
    </row>
    <row r="283" spans="11:11" x14ac:dyDescent="0.15">
      <c r="K283" s="54"/>
    </row>
    <row r="284" spans="11:11" x14ac:dyDescent="0.15">
      <c r="K284" s="54"/>
    </row>
    <row r="285" spans="11:11" x14ac:dyDescent="0.15">
      <c r="K285" s="54"/>
    </row>
    <row r="286" spans="11:11" x14ac:dyDescent="0.15">
      <c r="K286" s="54"/>
    </row>
    <row r="287" spans="11:11" x14ac:dyDescent="0.15">
      <c r="K287" s="54"/>
    </row>
    <row r="288" spans="11:11" x14ac:dyDescent="0.15">
      <c r="K288" s="54"/>
    </row>
    <row r="289" spans="11:11" x14ac:dyDescent="0.15">
      <c r="K289" s="54"/>
    </row>
    <row r="290" spans="11:11" x14ac:dyDescent="0.15">
      <c r="K290" s="54"/>
    </row>
    <row r="291" spans="11:11" x14ac:dyDescent="0.15">
      <c r="K291" s="54"/>
    </row>
    <row r="292" spans="11:11" x14ac:dyDescent="0.15">
      <c r="K292" s="54"/>
    </row>
    <row r="293" spans="11:11" x14ac:dyDescent="0.15">
      <c r="K293" s="54"/>
    </row>
    <row r="294" spans="11:11" x14ac:dyDescent="0.15">
      <c r="K294" s="54"/>
    </row>
    <row r="295" spans="11:11" x14ac:dyDescent="0.15">
      <c r="K295" s="54"/>
    </row>
    <row r="296" spans="11:11" x14ac:dyDescent="0.15">
      <c r="K296" s="54"/>
    </row>
    <row r="297" spans="11:11" x14ac:dyDescent="0.15">
      <c r="K297" s="54"/>
    </row>
    <row r="298" spans="11:11" x14ac:dyDescent="0.15">
      <c r="K298" s="54"/>
    </row>
    <row r="299" spans="11:11" x14ac:dyDescent="0.15">
      <c r="K299" s="54"/>
    </row>
    <row r="300" spans="11:11" x14ac:dyDescent="0.15">
      <c r="K300" s="54"/>
    </row>
    <row r="301" spans="11:11" x14ac:dyDescent="0.15">
      <c r="K301" s="54"/>
    </row>
    <row r="302" spans="11:11" x14ac:dyDescent="0.15">
      <c r="K302" s="54"/>
    </row>
    <row r="303" spans="11:11" x14ac:dyDescent="0.15">
      <c r="K303" s="54"/>
    </row>
    <row r="304" spans="11:11" x14ac:dyDescent="0.15">
      <c r="K304" s="54"/>
    </row>
    <row r="305" spans="11:11" x14ac:dyDescent="0.15">
      <c r="K305" s="54"/>
    </row>
    <row r="306" spans="11:11" x14ac:dyDescent="0.15">
      <c r="K306" s="54"/>
    </row>
    <row r="307" spans="11:11" x14ac:dyDescent="0.15">
      <c r="K307" s="54"/>
    </row>
    <row r="308" spans="11:11" x14ac:dyDescent="0.15">
      <c r="K308" s="54"/>
    </row>
    <row r="309" spans="11:11" x14ac:dyDescent="0.15">
      <c r="K309" s="54"/>
    </row>
    <row r="310" spans="11:11" x14ac:dyDescent="0.15">
      <c r="K310" s="54"/>
    </row>
    <row r="311" spans="11:11" x14ac:dyDescent="0.15">
      <c r="K311" s="54"/>
    </row>
    <row r="312" spans="11:11" x14ac:dyDescent="0.15">
      <c r="K312" s="54"/>
    </row>
    <row r="313" spans="11:11" x14ac:dyDescent="0.15">
      <c r="K313" s="54"/>
    </row>
    <row r="314" spans="11:11" x14ac:dyDescent="0.15">
      <c r="K314" s="54"/>
    </row>
    <row r="315" spans="11:11" x14ac:dyDescent="0.15">
      <c r="K315" s="54"/>
    </row>
    <row r="316" spans="11:11" x14ac:dyDescent="0.15">
      <c r="K316" s="54"/>
    </row>
    <row r="317" spans="11:11" x14ac:dyDescent="0.15">
      <c r="K317" s="54"/>
    </row>
    <row r="318" spans="11:11" x14ac:dyDescent="0.15">
      <c r="K318" s="54"/>
    </row>
    <row r="319" spans="11:11" x14ac:dyDescent="0.15">
      <c r="K319" s="54"/>
    </row>
    <row r="320" spans="11:11" x14ac:dyDescent="0.15">
      <c r="K320" s="54"/>
    </row>
    <row r="321" spans="11:11" x14ac:dyDescent="0.15">
      <c r="K321" s="54"/>
    </row>
    <row r="322" spans="11:11" x14ac:dyDescent="0.15">
      <c r="K322" s="54"/>
    </row>
    <row r="323" spans="11:11" x14ac:dyDescent="0.15">
      <c r="K323" s="54"/>
    </row>
    <row r="324" spans="11:11" x14ac:dyDescent="0.15">
      <c r="K324" s="54"/>
    </row>
    <row r="325" spans="11:11" x14ac:dyDescent="0.15">
      <c r="K325" s="54"/>
    </row>
    <row r="326" spans="11:11" x14ac:dyDescent="0.15">
      <c r="K326" s="54"/>
    </row>
    <row r="327" spans="11:11" x14ac:dyDescent="0.15">
      <c r="K327" s="54"/>
    </row>
    <row r="328" spans="11:11" x14ac:dyDescent="0.15">
      <c r="K328" s="54"/>
    </row>
    <row r="329" spans="11:11" x14ac:dyDescent="0.15">
      <c r="K329" s="54"/>
    </row>
    <row r="330" spans="11:11" x14ac:dyDescent="0.15">
      <c r="K330" s="54"/>
    </row>
    <row r="331" spans="11:11" x14ac:dyDescent="0.15">
      <c r="K331" s="54"/>
    </row>
    <row r="332" spans="11:11" x14ac:dyDescent="0.15">
      <c r="K332" s="54"/>
    </row>
    <row r="333" spans="11:11" x14ac:dyDescent="0.15">
      <c r="K333" s="54"/>
    </row>
    <row r="334" spans="11:11" x14ac:dyDescent="0.15">
      <c r="K334" s="54"/>
    </row>
    <row r="335" spans="11:11" x14ac:dyDescent="0.15">
      <c r="K335" s="54"/>
    </row>
    <row r="336" spans="11:11" x14ac:dyDescent="0.15">
      <c r="K336" s="54"/>
    </row>
    <row r="337" spans="11:11" x14ac:dyDescent="0.15">
      <c r="K337" s="54"/>
    </row>
    <row r="338" spans="11:11" x14ac:dyDescent="0.15">
      <c r="K338" s="54"/>
    </row>
    <row r="339" spans="11:11" x14ac:dyDescent="0.15">
      <c r="K339" s="54"/>
    </row>
    <row r="340" spans="11:11" x14ac:dyDescent="0.15">
      <c r="K340" s="54"/>
    </row>
    <row r="341" spans="11:11" x14ac:dyDescent="0.15">
      <c r="K341" s="54"/>
    </row>
    <row r="342" spans="11:11" x14ac:dyDescent="0.15">
      <c r="K342" s="54"/>
    </row>
    <row r="343" spans="11:11" x14ac:dyDescent="0.15">
      <c r="K343" s="54"/>
    </row>
    <row r="344" spans="11:11" x14ac:dyDescent="0.15">
      <c r="K344" s="54"/>
    </row>
    <row r="345" spans="11:11" x14ac:dyDescent="0.15">
      <c r="K345" s="54"/>
    </row>
    <row r="346" spans="11:11" x14ac:dyDescent="0.15">
      <c r="K346" s="54"/>
    </row>
    <row r="347" spans="11:11" x14ac:dyDescent="0.15">
      <c r="K347" s="54"/>
    </row>
    <row r="348" spans="11:11" x14ac:dyDescent="0.15">
      <c r="K348" s="54"/>
    </row>
    <row r="349" spans="11:11" x14ac:dyDescent="0.15">
      <c r="K349" s="54"/>
    </row>
    <row r="350" spans="11:11" x14ac:dyDescent="0.15">
      <c r="K350" s="54"/>
    </row>
    <row r="351" spans="11:11" x14ac:dyDescent="0.15">
      <c r="K351" s="54"/>
    </row>
    <row r="352" spans="11:11" x14ac:dyDescent="0.15">
      <c r="K352" s="54"/>
    </row>
    <row r="353" spans="11:11" x14ac:dyDescent="0.15">
      <c r="K353" s="54"/>
    </row>
    <row r="354" spans="11:11" x14ac:dyDescent="0.15">
      <c r="K354" s="54"/>
    </row>
    <row r="355" spans="11:11" x14ac:dyDescent="0.15">
      <c r="K355" s="54"/>
    </row>
    <row r="356" spans="11:11" x14ac:dyDescent="0.15">
      <c r="K356" s="54"/>
    </row>
    <row r="357" spans="11:11" x14ac:dyDescent="0.15">
      <c r="K357" s="54"/>
    </row>
    <row r="358" spans="11:11" x14ac:dyDescent="0.15">
      <c r="K358" s="54"/>
    </row>
    <row r="359" spans="11:11" x14ac:dyDescent="0.15">
      <c r="K359" s="54"/>
    </row>
    <row r="360" spans="11:11" x14ac:dyDescent="0.15">
      <c r="K360" s="54"/>
    </row>
    <row r="361" spans="11:11" x14ac:dyDescent="0.15">
      <c r="K361" s="54"/>
    </row>
    <row r="362" spans="11:11" x14ac:dyDescent="0.15">
      <c r="K362" s="54"/>
    </row>
    <row r="363" spans="11:11" x14ac:dyDescent="0.15">
      <c r="K363" s="54"/>
    </row>
    <row r="364" spans="11:11" x14ac:dyDescent="0.15">
      <c r="K364" s="54"/>
    </row>
    <row r="365" spans="11:11" x14ac:dyDescent="0.15">
      <c r="K365" s="54"/>
    </row>
    <row r="366" spans="11:11" x14ac:dyDescent="0.15">
      <c r="K366" s="54"/>
    </row>
    <row r="367" spans="11:11" x14ac:dyDescent="0.15">
      <c r="K367" s="54"/>
    </row>
    <row r="368" spans="11:11" x14ac:dyDescent="0.15">
      <c r="K368" s="54"/>
    </row>
    <row r="369" spans="11:11" x14ac:dyDescent="0.15">
      <c r="K369" s="54"/>
    </row>
    <row r="370" spans="11:11" x14ac:dyDescent="0.15">
      <c r="K370" s="54"/>
    </row>
    <row r="371" spans="11:11" x14ac:dyDescent="0.15">
      <c r="K371" s="54"/>
    </row>
    <row r="372" spans="11:11" x14ac:dyDescent="0.15">
      <c r="K372" s="54"/>
    </row>
    <row r="373" spans="11:11" x14ac:dyDescent="0.15">
      <c r="K373" s="54"/>
    </row>
    <row r="374" spans="11:11" x14ac:dyDescent="0.15">
      <c r="K374" s="54"/>
    </row>
    <row r="375" spans="11:11" x14ac:dyDescent="0.15">
      <c r="K375" s="54"/>
    </row>
    <row r="376" spans="11:11" x14ac:dyDescent="0.15">
      <c r="K376" s="54"/>
    </row>
    <row r="377" spans="11:11" x14ac:dyDescent="0.15">
      <c r="K377" s="54"/>
    </row>
    <row r="378" spans="11:11" x14ac:dyDescent="0.15">
      <c r="K378" s="54"/>
    </row>
    <row r="379" spans="11:11" x14ac:dyDescent="0.15">
      <c r="K379" s="54"/>
    </row>
    <row r="380" spans="11:11" x14ac:dyDescent="0.15">
      <c r="K380" s="54"/>
    </row>
    <row r="381" spans="11:11" x14ac:dyDescent="0.15">
      <c r="K381" s="54"/>
    </row>
    <row r="382" spans="11:11" x14ac:dyDescent="0.15">
      <c r="K382" s="54"/>
    </row>
    <row r="383" spans="11:11" x14ac:dyDescent="0.15">
      <c r="K383" s="54"/>
    </row>
    <row r="384" spans="11:11" x14ac:dyDescent="0.15">
      <c r="K384" s="54"/>
    </row>
    <row r="385" spans="11:11" x14ac:dyDescent="0.15">
      <c r="K385" s="54"/>
    </row>
    <row r="386" spans="11:11" x14ac:dyDescent="0.15">
      <c r="K386" s="54"/>
    </row>
    <row r="387" spans="11:11" x14ac:dyDescent="0.15">
      <c r="K387" s="54"/>
    </row>
    <row r="388" spans="11:11" x14ac:dyDescent="0.15">
      <c r="K388" s="54"/>
    </row>
    <row r="389" spans="11:11" x14ac:dyDescent="0.15">
      <c r="K389" s="54"/>
    </row>
    <row r="390" spans="11:11" x14ac:dyDescent="0.15">
      <c r="K390" s="54"/>
    </row>
    <row r="391" spans="11:11" x14ac:dyDescent="0.15">
      <c r="K391" s="54"/>
    </row>
    <row r="392" spans="11:11" x14ac:dyDescent="0.15">
      <c r="K392" s="54"/>
    </row>
    <row r="393" spans="11:11" x14ac:dyDescent="0.15">
      <c r="K393" s="54"/>
    </row>
    <row r="394" spans="11:11" x14ac:dyDescent="0.15">
      <c r="K394" s="54"/>
    </row>
    <row r="395" spans="11:11" x14ac:dyDescent="0.15">
      <c r="K395" s="54"/>
    </row>
    <row r="396" spans="11:11" x14ac:dyDescent="0.15">
      <c r="K396" s="54"/>
    </row>
    <row r="397" spans="11:11" x14ac:dyDescent="0.15">
      <c r="K397" s="54"/>
    </row>
    <row r="398" spans="11:11" x14ac:dyDescent="0.15">
      <c r="K398" s="54"/>
    </row>
    <row r="399" spans="11:11" x14ac:dyDescent="0.15">
      <c r="K399" s="54"/>
    </row>
    <row r="400" spans="11:11" x14ac:dyDescent="0.15">
      <c r="K400" s="54"/>
    </row>
    <row r="401" spans="11:11" x14ac:dyDescent="0.15">
      <c r="K401" s="54"/>
    </row>
    <row r="402" spans="11:11" x14ac:dyDescent="0.15">
      <c r="K402" s="54"/>
    </row>
    <row r="403" spans="11:11" x14ac:dyDescent="0.15">
      <c r="K403" s="54"/>
    </row>
    <row r="404" spans="11:11" x14ac:dyDescent="0.15">
      <c r="K404" s="54"/>
    </row>
    <row r="405" spans="11:11" x14ac:dyDescent="0.15">
      <c r="K405" s="54"/>
    </row>
    <row r="406" spans="11:11" x14ac:dyDescent="0.15">
      <c r="K406" s="54"/>
    </row>
    <row r="407" spans="11:11" x14ac:dyDescent="0.15">
      <c r="K407" s="54"/>
    </row>
    <row r="408" spans="11:11" x14ac:dyDescent="0.15">
      <c r="K408" s="54"/>
    </row>
    <row r="409" spans="11:11" x14ac:dyDescent="0.15">
      <c r="K409" s="54"/>
    </row>
    <row r="410" spans="11:11" x14ac:dyDescent="0.15">
      <c r="K410" s="54"/>
    </row>
    <row r="411" spans="11:11" x14ac:dyDescent="0.15">
      <c r="K411" s="54"/>
    </row>
    <row r="412" spans="11:11" x14ac:dyDescent="0.15">
      <c r="K412" s="54"/>
    </row>
    <row r="413" spans="11:11" x14ac:dyDescent="0.15">
      <c r="K413" s="54"/>
    </row>
    <row r="414" spans="11:11" x14ac:dyDescent="0.15">
      <c r="K414" s="54"/>
    </row>
    <row r="415" spans="11:11" x14ac:dyDescent="0.15">
      <c r="K415" s="54"/>
    </row>
    <row r="416" spans="11:11" x14ac:dyDescent="0.15">
      <c r="K416" s="54"/>
    </row>
    <row r="417" spans="11:11" x14ac:dyDescent="0.15">
      <c r="K417" s="54"/>
    </row>
    <row r="418" spans="11:11" x14ac:dyDescent="0.15">
      <c r="K418" s="54"/>
    </row>
    <row r="419" spans="11:11" x14ac:dyDescent="0.15">
      <c r="K419" s="54"/>
    </row>
    <row r="420" spans="11:11" x14ac:dyDescent="0.15">
      <c r="K420" s="54"/>
    </row>
    <row r="421" spans="11:11" x14ac:dyDescent="0.15">
      <c r="K421" s="54"/>
    </row>
    <row r="422" spans="11:11" x14ac:dyDescent="0.15">
      <c r="K422" s="54"/>
    </row>
    <row r="423" spans="11:11" x14ac:dyDescent="0.15">
      <c r="K423" s="54"/>
    </row>
    <row r="424" spans="11:11" x14ac:dyDescent="0.15">
      <c r="K424" s="54"/>
    </row>
    <row r="425" spans="11:11" x14ac:dyDescent="0.15">
      <c r="K425" s="54"/>
    </row>
    <row r="426" spans="11:11" x14ac:dyDescent="0.15">
      <c r="K426" s="54"/>
    </row>
    <row r="427" spans="11:11" x14ac:dyDescent="0.15">
      <c r="K427" s="54"/>
    </row>
    <row r="428" spans="11:11" x14ac:dyDescent="0.15">
      <c r="K428" s="54"/>
    </row>
    <row r="429" spans="11:11" x14ac:dyDescent="0.15">
      <c r="K429" s="54"/>
    </row>
    <row r="430" spans="11:11" x14ac:dyDescent="0.15">
      <c r="K430" s="54"/>
    </row>
    <row r="431" spans="11:11" x14ac:dyDescent="0.15">
      <c r="K431" s="54"/>
    </row>
    <row r="432" spans="11:11" x14ac:dyDescent="0.15">
      <c r="K432" s="54"/>
    </row>
    <row r="433" spans="11:11" x14ac:dyDescent="0.15">
      <c r="K433" s="54"/>
    </row>
    <row r="434" spans="11:11" x14ac:dyDescent="0.15">
      <c r="K434" s="54"/>
    </row>
    <row r="435" spans="11:11" x14ac:dyDescent="0.15">
      <c r="K435" s="54"/>
    </row>
    <row r="436" spans="11:11" x14ac:dyDescent="0.15">
      <c r="K436" s="54"/>
    </row>
    <row r="437" spans="11:11" x14ac:dyDescent="0.15">
      <c r="K437" s="54"/>
    </row>
    <row r="438" spans="11:11" x14ac:dyDescent="0.15">
      <c r="K438" s="54"/>
    </row>
    <row r="439" spans="11:11" x14ac:dyDescent="0.15">
      <c r="K439" s="54"/>
    </row>
    <row r="440" spans="11:11" x14ac:dyDescent="0.15">
      <c r="K440" s="54"/>
    </row>
    <row r="441" spans="11:11" x14ac:dyDescent="0.15">
      <c r="K441" s="54"/>
    </row>
    <row r="442" spans="11:11" x14ac:dyDescent="0.15">
      <c r="K442" s="54"/>
    </row>
    <row r="443" spans="11:11" x14ac:dyDescent="0.15">
      <c r="K443" s="54"/>
    </row>
    <row r="444" spans="11:11" x14ac:dyDescent="0.15">
      <c r="K444" s="54"/>
    </row>
    <row r="445" spans="11:11" x14ac:dyDescent="0.15">
      <c r="K445" s="54"/>
    </row>
    <row r="446" spans="11:11" x14ac:dyDescent="0.15">
      <c r="K446" s="54"/>
    </row>
    <row r="447" spans="11:11" x14ac:dyDescent="0.15">
      <c r="K447" s="54"/>
    </row>
    <row r="448" spans="11:11" x14ac:dyDescent="0.15">
      <c r="K448" s="54"/>
    </row>
    <row r="449" spans="11:11" x14ac:dyDescent="0.15">
      <c r="K449" s="54"/>
    </row>
    <row r="450" spans="11:11" x14ac:dyDescent="0.15">
      <c r="K450" s="54"/>
    </row>
    <row r="451" spans="11:11" x14ac:dyDescent="0.15">
      <c r="K451" s="54"/>
    </row>
    <row r="452" spans="11:11" x14ac:dyDescent="0.15">
      <c r="K452" s="54"/>
    </row>
    <row r="453" spans="11:11" x14ac:dyDescent="0.15">
      <c r="K453" s="54"/>
    </row>
    <row r="454" spans="11:11" x14ac:dyDescent="0.15">
      <c r="K454" s="54"/>
    </row>
    <row r="455" spans="11:11" x14ac:dyDescent="0.15">
      <c r="K455" s="54"/>
    </row>
    <row r="456" spans="11:11" x14ac:dyDescent="0.15">
      <c r="K456" s="54"/>
    </row>
    <row r="457" spans="11:11" x14ac:dyDescent="0.15">
      <c r="K457" s="54"/>
    </row>
    <row r="458" spans="11:11" x14ac:dyDescent="0.15">
      <c r="K458" s="54"/>
    </row>
    <row r="459" spans="11:11" x14ac:dyDescent="0.15">
      <c r="K459" s="54"/>
    </row>
    <row r="460" spans="11:11" x14ac:dyDescent="0.15">
      <c r="K460" s="54"/>
    </row>
    <row r="461" spans="11:11" x14ac:dyDescent="0.15">
      <c r="K461" s="54"/>
    </row>
    <row r="462" spans="11:11" x14ac:dyDescent="0.15">
      <c r="K462" s="54"/>
    </row>
    <row r="463" spans="11:11" x14ac:dyDescent="0.15">
      <c r="K463" s="54"/>
    </row>
    <row r="464" spans="11:11" x14ac:dyDescent="0.15">
      <c r="K464" s="54"/>
    </row>
    <row r="465" spans="11:11" x14ac:dyDescent="0.15">
      <c r="K465" s="54"/>
    </row>
    <row r="466" spans="11:11" x14ac:dyDescent="0.15">
      <c r="K466" s="54"/>
    </row>
    <row r="467" spans="11:11" x14ac:dyDescent="0.15">
      <c r="K467" s="54"/>
    </row>
    <row r="468" spans="11:11" x14ac:dyDescent="0.15">
      <c r="K468" s="54"/>
    </row>
    <row r="469" spans="11:11" x14ac:dyDescent="0.15">
      <c r="K469" s="54"/>
    </row>
    <row r="470" spans="11:11" x14ac:dyDescent="0.15">
      <c r="K470" s="54"/>
    </row>
    <row r="471" spans="11:11" x14ac:dyDescent="0.15">
      <c r="K471" s="54"/>
    </row>
    <row r="472" spans="11:11" x14ac:dyDescent="0.15">
      <c r="K472" s="54"/>
    </row>
    <row r="473" spans="11:11" x14ac:dyDescent="0.15">
      <c r="K473" s="54"/>
    </row>
    <row r="474" spans="11:11" x14ac:dyDescent="0.15">
      <c r="K474" s="54"/>
    </row>
    <row r="475" spans="11:11" x14ac:dyDescent="0.15">
      <c r="K475" s="54"/>
    </row>
    <row r="476" spans="11:11" x14ac:dyDescent="0.15">
      <c r="K476" s="54"/>
    </row>
    <row r="477" spans="11:11" x14ac:dyDescent="0.15">
      <c r="K477" s="54"/>
    </row>
    <row r="478" spans="11:11" x14ac:dyDescent="0.15">
      <c r="K478" s="54"/>
    </row>
    <row r="479" spans="11:11" x14ac:dyDescent="0.15">
      <c r="K479" s="54"/>
    </row>
    <row r="480" spans="11:11" x14ac:dyDescent="0.15">
      <c r="K480" s="54"/>
    </row>
    <row r="481" spans="11:11" x14ac:dyDescent="0.15">
      <c r="K481" s="54"/>
    </row>
    <row r="482" spans="11:11" x14ac:dyDescent="0.15">
      <c r="K482" s="54"/>
    </row>
    <row r="483" spans="11:11" x14ac:dyDescent="0.15">
      <c r="K483" s="54"/>
    </row>
    <row r="484" spans="11:11" x14ac:dyDescent="0.15">
      <c r="K484" s="54"/>
    </row>
    <row r="485" spans="11:11" x14ac:dyDescent="0.15">
      <c r="K485" s="54"/>
    </row>
    <row r="486" spans="11:11" x14ac:dyDescent="0.15">
      <c r="K486" s="54"/>
    </row>
    <row r="487" spans="11:11" x14ac:dyDescent="0.15">
      <c r="K487" s="54"/>
    </row>
    <row r="488" spans="11:11" x14ac:dyDescent="0.15">
      <c r="K488" s="54"/>
    </row>
    <row r="489" spans="11:11" x14ac:dyDescent="0.15">
      <c r="K489" s="54"/>
    </row>
    <row r="490" spans="11:11" x14ac:dyDescent="0.15">
      <c r="K490" s="54"/>
    </row>
    <row r="491" spans="11:11" x14ac:dyDescent="0.15">
      <c r="K491" s="54"/>
    </row>
    <row r="492" spans="11:11" x14ac:dyDescent="0.15">
      <c r="K492" s="54"/>
    </row>
    <row r="493" spans="11:11" x14ac:dyDescent="0.15">
      <c r="K493" s="54"/>
    </row>
    <row r="494" spans="11:11" x14ac:dyDescent="0.15">
      <c r="K494" s="54"/>
    </row>
    <row r="495" spans="11:11" x14ac:dyDescent="0.15">
      <c r="K495" s="54"/>
    </row>
    <row r="496" spans="11:11" x14ac:dyDescent="0.15">
      <c r="K496" s="54"/>
    </row>
    <row r="497" spans="11:11" x14ac:dyDescent="0.15">
      <c r="K497" s="54"/>
    </row>
    <row r="498" spans="11:11" x14ac:dyDescent="0.15">
      <c r="K498" s="54"/>
    </row>
    <row r="499" spans="11:11" x14ac:dyDescent="0.15">
      <c r="K499" s="54"/>
    </row>
    <row r="500" spans="11:11" x14ac:dyDescent="0.15">
      <c r="K500" s="54"/>
    </row>
    <row r="501" spans="11:11" x14ac:dyDescent="0.15">
      <c r="K501" s="54"/>
    </row>
    <row r="502" spans="11:11" x14ac:dyDescent="0.15">
      <c r="K502" s="54"/>
    </row>
    <row r="503" spans="11:11" x14ac:dyDescent="0.15">
      <c r="K503" s="54"/>
    </row>
    <row r="504" spans="11:11" x14ac:dyDescent="0.15">
      <c r="K504" s="54"/>
    </row>
    <row r="505" spans="11:11" x14ac:dyDescent="0.15">
      <c r="K505" s="54"/>
    </row>
    <row r="506" spans="11:11" x14ac:dyDescent="0.15">
      <c r="K506" s="54"/>
    </row>
    <row r="507" spans="11:11" x14ac:dyDescent="0.15">
      <c r="K507" s="54"/>
    </row>
    <row r="508" spans="11:11" x14ac:dyDescent="0.15">
      <c r="K508" s="54"/>
    </row>
    <row r="509" spans="11:11" x14ac:dyDescent="0.15">
      <c r="K509" s="54"/>
    </row>
    <row r="510" spans="11:11" x14ac:dyDescent="0.15">
      <c r="K510" s="54"/>
    </row>
    <row r="511" spans="11:11" x14ac:dyDescent="0.15">
      <c r="K511" s="54"/>
    </row>
    <row r="512" spans="11:11" x14ac:dyDescent="0.15">
      <c r="K512" s="54"/>
    </row>
    <row r="513" spans="11:11" x14ac:dyDescent="0.15">
      <c r="K513" s="54"/>
    </row>
    <row r="514" spans="11:11" x14ac:dyDescent="0.15">
      <c r="K514" s="54"/>
    </row>
    <row r="515" spans="11:11" x14ac:dyDescent="0.15">
      <c r="K515" s="54"/>
    </row>
    <row r="516" spans="11:11" x14ac:dyDescent="0.15">
      <c r="K516" s="54"/>
    </row>
    <row r="517" spans="11:11" x14ac:dyDescent="0.15">
      <c r="K517" s="54"/>
    </row>
    <row r="518" spans="11:11" x14ac:dyDescent="0.15">
      <c r="K518" s="54"/>
    </row>
    <row r="519" spans="11:11" x14ac:dyDescent="0.15">
      <c r="K519" s="54"/>
    </row>
    <row r="520" spans="11:11" x14ac:dyDescent="0.15">
      <c r="K520" s="54"/>
    </row>
    <row r="521" spans="11:11" x14ac:dyDescent="0.15">
      <c r="K521" s="54"/>
    </row>
    <row r="522" spans="11:11" x14ac:dyDescent="0.15">
      <c r="K522" s="54"/>
    </row>
    <row r="523" spans="11:11" x14ac:dyDescent="0.15">
      <c r="K523" s="54"/>
    </row>
    <row r="524" spans="11:11" x14ac:dyDescent="0.15">
      <c r="K524" s="54"/>
    </row>
    <row r="525" spans="11:11" x14ac:dyDescent="0.15">
      <c r="K525" s="54"/>
    </row>
    <row r="526" spans="11:11" x14ac:dyDescent="0.15">
      <c r="K526" s="54"/>
    </row>
    <row r="527" spans="11:11" x14ac:dyDescent="0.15">
      <c r="K527" s="54"/>
    </row>
    <row r="528" spans="11:11" x14ac:dyDescent="0.15">
      <c r="K528" s="54"/>
    </row>
    <row r="529" spans="11:11" x14ac:dyDescent="0.15">
      <c r="K529" s="54"/>
    </row>
    <row r="530" spans="11:11" x14ac:dyDescent="0.15">
      <c r="K530" s="54"/>
    </row>
    <row r="531" spans="11:11" x14ac:dyDescent="0.15">
      <c r="K531" s="54"/>
    </row>
    <row r="532" spans="11:11" x14ac:dyDescent="0.15">
      <c r="K532" s="54"/>
    </row>
    <row r="533" spans="11:11" x14ac:dyDescent="0.15">
      <c r="K533" s="54"/>
    </row>
    <row r="534" spans="11:11" x14ac:dyDescent="0.15">
      <c r="K534" s="54"/>
    </row>
    <row r="535" spans="11:11" x14ac:dyDescent="0.15">
      <c r="K535" s="54"/>
    </row>
    <row r="536" spans="11:11" x14ac:dyDescent="0.15">
      <c r="K536" s="54"/>
    </row>
    <row r="537" spans="11:11" x14ac:dyDescent="0.15">
      <c r="K537" s="54"/>
    </row>
    <row r="538" spans="11:11" x14ac:dyDescent="0.15">
      <c r="K538" s="54"/>
    </row>
    <row r="539" spans="11:11" x14ac:dyDescent="0.15">
      <c r="K539" s="54"/>
    </row>
    <row r="540" spans="11:11" x14ac:dyDescent="0.15">
      <c r="K540" s="54"/>
    </row>
    <row r="541" spans="11:11" x14ac:dyDescent="0.15">
      <c r="K541" s="54"/>
    </row>
    <row r="542" spans="11:11" x14ac:dyDescent="0.15">
      <c r="K542" s="54"/>
    </row>
    <row r="543" spans="11:11" x14ac:dyDescent="0.15">
      <c r="K543" s="54"/>
    </row>
    <row r="544" spans="11:11" x14ac:dyDescent="0.15">
      <c r="K544" s="54"/>
    </row>
    <row r="545" spans="11:11" x14ac:dyDescent="0.15">
      <c r="K545" s="54"/>
    </row>
    <row r="546" spans="11:11" x14ac:dyDescent="0.15">
      <c r="K546" s="54"/>
    </row>
    <row r="547" spans="11:11" x14ac:dyDescent="0.15">
      <c r="K547" s="54"/>
    </row>
    <row r="548" spans="11:11" x14ac:dyDescent="0.15">
      <c r="K548" s="54"/>
    </row>
    <row r="549" spans="11:11" x14ac:dyDescent="0.15">
      <c r="K549" s="54"/>
    </row>
    <row r="550" spans="11:11" x14ac:dyDescent="0.15">
      <c r="K550" s="54"/>
    </row>
    <row r="551" spans="11:11" x14ac:dyDescent="0.15">
      <c r="K551" s="54"/>
    </row>
    <row r="552" spans="11:11" x14ac:dyDescent="0.15">
      <c r="K552" s="54"/>
    </row>
    <row r="553" spans="11:11" x14ac:dyDescent="0.15">
      <c r="K553" s="54"/>
    </row>
    <row r="554" spans="11:11" x14ac:dyDescent="0.15">
      <c r="K554" s="54"/>
    </row>
    <row r="555" spans="11:11" x14ac:dyDescent="0.15">
      <c r="K555" s="54"/>
    </row>
    <row r="556" spans="11:11" x14ac:dyDescent="0.15">
      <c r="K556" s="54"/>
    </row>
    <row r="557" spans="11:11" x14ac:dyDescent="0.15">
      <c r="K557" s="54"/>
    </row>
    <row r="558" spans="11:11" x14ac:dyDescent="0.15">
      <c r="K558" s="54"/>
    </row>
    <row r="559" spans="11:11" x14ac:dyDescent="0.15">
      <c r="K559" s="54"/>
    </row>
    <row r="560" spans="11:11" x14ac:dyDescent="0.15">
      <c r="K560" s="54"/>
    </row>
    <row r="561" spans="11:11" x14ac:dyDescent="0.15">
      <c r="K561" s="54"/>
    </row>
    <row r="562" spans="11:11" x14ac:dyDescent="0.15">
      <c r="K562" s="54"/>
    </row>
    <row r="563" spans="11:11" x14ac:dyDescent="0.15">
      <c r="K563" s="54"/>
    </row>
    <row r="564" spans="11:11" x14ac:dyDescent="0.15">
      <c r="K564" s="54"/>
    </row>
    <row r="565" spans="11:11" x14ac:dyDescent="0.15">
      <c r="K565" s="54"/>
    </row>
    <row r="566" spans="11:11" x14ac:dyDescent="0.15">
      <c r="K566" s="54"/>
    </row>
    <row r="567" spans="11:11" x14ac:dyDescent="0.15">
      <c r="K567" s="54"/>
    </row>
    <row r="568" spans="11:11" x14ac:dyDescent="0.15">
      <c r="K568" s="54"/>
    </row>
    <row r="569" spans="11:11" x14ac:dyDescent="0.15">
      <c r="K569" s="54"/>
    </row>
    <row r="570" spans="11:11" x14ac:dyDescent="0.15">
      <c r="K570" s="54"/>
    </row>
    <row r="571" spans="11:11" x14ac:dyDescent="0.15">
      <c r="K571" s="54"/>
    </row>
    <row r="572" spans="11:11" x14ac:dyDescent="0.15">
      <c r="K572" s="54"/>
    </row>
    <row r="573" spans="11:11" x14ac:dyDescent="0.15">
      <c r="K573" s="54"/>
    </row>
    <row r="574" spans="11:11" x14ac:dyDescent="0.15">
      <c r="K574" s="54"/>
    </row>
    <row r="575" spans="11:11" x14ac:dyDescent="0.15">
      <c r="K575" s="54"/>
    </row>
    <row r="576" spans="11:11" x14ac:dyDescent="0.15">
      <c r="K576" s="54"/>
    </row>
    <row r="577" spans="11:11" x14ac:dyDescent="0.15">
      <c r="K577" s="54"/>
    </row>
    <row r="578" spans="11:11" x14ac:dyDescent="0.15">
      <c r="K578" s="54"/>
    </row>
    <row r="579" spans="11:11" x14ac:dyDescent="0.15">
      <c r="K579" s="54"/>
    </row>
    <row r="580" spans="11:11" x14ac:dyDescent="0.15">
      <c r="K580" s="54"/>
    </row>
    <row r="581" spans="11:11" x14ac:dyDescent="0.15">
      <c r="K581" s="54"/>
    </row>
    <row r="582" spans="11:11" x14ac:dyDescent="0.15">
      <c r="K582" s="54"/>
    </row>
    <row r="583" spans="11:11" x14ac:dyDescent="0.15">
      <c r="K583" s="54"/>
    </row>
    <row r="584" spans="11:11" x14ac:dyDescent="0.15">
      <c r="K584" s="54"/>
    </row>
    <row r="585" spans="11:11" x14ac:dyDescent="0.15">
      <c r="K585" s="54"/>
    </row>
    <row r="586" spans="11:11" x14ac:dyDescent="0.15">
      <c r="K586" s="54"/>
    </row>
    <row r="587" spans="11:11" x14ac:dyDescent="0.15">
      <c r="K587" s="54"/>
    </row>
    <row r="588" spans="11:11" x14ac:dyDescent="0.15">
      <c r="K588" s="54"/>
    </row>
    <row r="589" spans="11:11" x14ac:dyDescent="0.15">
      <c r="K589" s="54"/>
    </row>
    <row r="590" spans="11:11" x14ac:dyDescent="0.15">
      <c r="K590" s="54"/>
    </row>
    <row r="591" spans="11:11" x14ac:dyDescent="0.15">
      <c r="K591" s="54"/>
    </row>
    <row r="592" spans="11:11" x14ac:dyDescent="0.15">
      <c r="K592" s="54"/>
    </row>
    <row r="593" spans="11:11" x14ac:dyDescent="0.15">
      <c r="K593" s="54"/>
    </row>
    <row r="594" spans="11:11" x14ac:dyDescent="0.15">
      <c r="K594" s="54"/>
    </row>
    <row r="595" spans="11:11" x14ac:dyDescent="0.15">
      <c r="K595" s="54"/>
    </row>
    <row r="596" spans="11:11" x14ac:dyDescent="0.15">
      <c r="K596" s="54"/>
    </row>
    <row r="597" spans="11:11" x14ac:dyDescent="0.15">
      <c r="K597" s="54"/>
    </row>
    <row r="598" spans="11:11" x14ac:dyDescent="0.15">
      <c r="K598" s="54"/>
    </row>
    <row r="599" spans="11:11" x14ac:dyDescent="0.15">
      <c r="K599" s="54"/>
    </row>
    <row r="600" spans="11:11" x14ac:dyDescent="0.15">
      <c r="K600" s="54"/>
    </row>
    <row r="601" spans="11:11" x14ac:dyDescent="0.15">
      <c r="K601" s="54"/>
    </row>
    <row r="602" spans="11:11" x14ac:dyDescent="0.15">
      <c r="K602" s="54"/>
    </row>
    <row r="603" spans="11:11" x14ac:dyDescent="0.15">
      <c r="K603" s="54"/>
    </row>
    <row r="604" spans="11:11" x14ac:dyDescent="0.15">
      <c r="K604" s="54"/>
    </row>
    <row r="605" spans="11:11" x14ac:dyDescent="0.15">
      <c r="K605" s="54"/>
    </row>
    <row r="606" spans="11:11" x14ac:dyDescent="0.15">
      <c r="K606" s="54"/>
    </row>
    <row r="607" spans="11:11" x14ac:dyDescent="0.15">
      <c r="K607" s="54"/>
    </row>
    <row r="608" spans="11:11" x14ac:dyDescent="0.15">
      <c r="K608" s="54"/>
    </row>
    <row r="609" spans="11:11" x14ac:dyDescent="0.15">
      <c r="K609" s="54"/>
    </row>
    <row r="610" spans="11:11" x14ac:dyDescent="0.15">
      <c r="K610" s="54"/>
    </row>
    <row r="611" spans="11:11" x14ac:dyDescent="0.15">
      <c r="K611" s="54"/>
    </row>
    <row r="612" spans="11:11" x14ac:dyDescent="0.15">
      <c r="K612" s="54"/>
    </row>
    <row r="613" spans="11:11" x14ac:dyDescent="0.15">
      <c r="K613" s="54"/>
    </row>
    <row r="614" spans="11:11" x14ac:dyDescent="0.15">
      <c r="K614" s="54"/>
    </row>
    <row r="615" spans="11:11" x14ac:dyDescent="0.15">
      <c r="K615" s="54"/>
    </row>
    <row r="616" spans="11:11" x14ac:dyDescent="0.15">
      <c r="K616" s="54"/>
    </row>
    <row r="617" spans="11:11" x14ac:dyDescent="0.15">
      <c r="K617" s="54"/>
    </row>
    <row r="618" spans="11:11" x14ac:dyDescent="0.15">
      <c r="K618" s="54"/>
    </row>
    <row r="619" spans="11:11" x14ac:dyDescent="0.15">
      <c r="K619" s="54"/>
    </row>
    <row r="620" spans="11:11" x14ac:dyDescent="0.15">
      <c r="K620" s="54"/>
    </row>
    <row r="621" spans="11:11" x14ac:dyDescent="0.15">
      <c r="K621" s="54"/>
    </row>
    <row r="622" spans="11:11" x14ac:dyDescent="0.15">
      <c r="K622" s="54"/>
    </row>
    <row r="623" spans="11:11" x14ac:dyDescent="0.15">
      <c r="K623" s="54"/>
    </row>
    <row r="624" spans="11:11" x14ac:dyDescent="0.15">
      <c r="K624" s="54"/>
    </row>
    <row r="625" spans="11:11" x14ac:dyDescent="0.15">
      <c r="K625" s="54"/>
    </row>
    <row r="626" spans="11:11" x14ac:dyDescent="0.15">
      <c r="K626" s="54"/>
    </row>
    <row r="627" spans="11:11" x14ac:dyDescent="0.15">
      <c r="K627" s="54"/>
    </row>
    <row r="628" spans="11:11" x14ac:dyDescent="0.15">
      <c r="K628" s="54"/>
    </row>
    <row r="629" spans="11:11" x14ac:dyDescent="0.15">
      <c r="K629" s="54"/>
    </row>
    <row r="630" spans="11:11" x14ac:dyDescent="0.15">
      <c r="K630" s="54"/>
    </row>
    <row r="631" spans="11:11" x14ac:dyDescent="0.15">
      <c r="K631" s="54"/>
    </row>
    <row r="632" spans="11:11" x14ac:dyDescent="0.15">
      <c r="K632" s="54"/>
    </row>
    <row r="633" spans="11:11" x14ac:dyDescent="0.15">
      <c r="K633" s="54"/>
    </row>
    <row r="634" spans="11:11" x14ac:dyDescent="0.15">
      <c r="K634" s="54"/>
    </row>
    <row r="635" spans="11:11" x14ac:dyDescent="0.15">
      <c r="K635" s="54"/>
    </row>
    <row r="636" spans="11:11" x14ac:dyDescent="0.15">
      <c r="K636" s="54"/>
    </row>
    <row r="637" spans="11:11" x14ac:dyDescent="0.15">
      <c r="K637" s="54"/>
    </row>
    <row r="638" spans="11:11" x14ac:dyDescent="0.15">
      <c r="K638" s="54"/>
    </row>
    <row r="639" spans="11:11" x14ac:dyDescent="0.15">
      <c r="K639" s="54"/>
    </row>
    <row r="640" spans="11:11" x14ac:dyDescent="0.15">
      <c r="K640" s="54"/>
    </row>
    <row r="641" spans="11:11" x14ac:dyDescent="0.15">
      <c r="K641" s="54"/>
    </row>
    <row r="642" spans="11:11" x14ac:dyDescent="0.15">
      <c r="K642" s="54"/>
    </row>
    <row r="643" spans="11:11" x14ac:dyDescent="0.15">
      <c r="K643" s="54"/>
    </row>
    <row r="644" spans="11:11" x14ac:dyDescent="0.15">
      <c r="K644" s="54"/>
    </row>
    <row r="645" spans="11:11" x14ac:dyDescent="0.15">
      <c r="K645" s="54"/>
    </row>
    <row r="646" spans="11:11" x14ac:dyDescent="0.15">
      <c r="K646" s="54"/>
    </row>
    <row r="647" spans="11:11" x14ac:dyDescent="0.15">
      <c r="K647" s="54"/>
    </row>
    <row r="648" spans="11:11" x14ac:dyDescent="0.15">
      <c r="K648" s="54"/>
    </row>
    <row r="649" spans="11:11" x14ac:dyDescent="0.15">
      <c r="K649" s="54"/>
    </row>
    <row r="650" spans="11:11" x14ac:dyDescent="0.15">
      <c r="K650" s="54"/>
    </row>
    <row r="651" spans="11:11" x14ac:dyDescent="0.15">
      <c r="K651" s="54"/>
    </row>
    <row r="652" spans="11:11" x14ac:dyDescent="0.15">
      <c r="K652" s="54"/>
    </row>
    <row r="653" spans="11:11" x14ac:dyDescent="0.15">
      <c r="K653" s="54"/>
    </row>
    <row r="654" spans="11:11" x14ac:dyDescent="0.15">
      <c r="K654" s="54"/>
    </row>
    <row r="655" spans="11:11" x14ac:dyDescent="0.15">
      <c r="K655" s="54"/>
    </row>
    <row r="656" spans="11:11" x14ac:dyDescent="0.15">
      <c r="K656" s="54"/>
    </row>
    <row r="657" spans="11:11" x14ac:dyDescent="0.15">
      <c r="K657" s="54"/>
    </row>
    <row r="658" spans="11:11" x14ac:dyDescent="0.15">
      <c r="K658" s="54"/>
    </row>
    <row r="659" spans="11:11" x14ac:dyDescent="0.15">
      <c r="K659" s="54"/>
    </row>
    <row r="660" spans="11:11" x14ac:dyDescent="0.15">
      <c r="K660" s="54"/>
    </row>
    <row r="661" spans="11:11" x14ac:dyDescent="0.15">
      <c r="K661" s="54"/>
    </row>
    <row r="662" spans="11:11" x14ac:dyDescent="0.15">
      <c r="K662" s="54"/>
    </row>
    <row r="663" spans="11:11" x14ac:dyDescent="0.15">
      <c r="K663" s="54"/>
    </row>
    <row r="664" spans="11:11" x14ac:dyDescent="0.15">
      <c r="K664" s="54"/>
    </row>
    <row r="665" spans="11:11" x14ac:dyDescent="0.15">
      <c r="K665" s="54"/>
    </row>
    <row r="666" spans="11:11" x14ac:dyDescent="0.15">
      <c r="K666" s="54"/>
    </row>
    <row r="667" spans="11:11" x14ac:dyDescent="0.15">
      <c r="K667" s="54"/>
    </row>
    <row r="668" spans="11:11" x14ac:dyDescent="0.15">
      <c r="K668" s="54"/>
    </row>
    <row r="669" spans="11:11" x14ac:dyDescent="0.15">
      <c r="K669" s="54"/>
    </row>
    <row r="670" spans="11:11" x14ac:dyDescent="0.15">
      <c r="K670" s="54"/>
    </row>
    <row r="671" spans="11:11" x14ac:dyDescent="0.15">
      <c r="K671" s="54"/>
    </row>
    <row r="672" spans="11:11" x14ac:dyDescent="0.15">
      <c r="K672" s="54"/>
    </row>
    <row r="673" spans="11:11" x14ac:dyDescent="0.15">
      <c r="K673" s="54"/>
    </row>
    <row r="674" spans="11:11" x14ac:dyDescent="0.15">
      <c r="K674" s="54"/>
    </row>
    <row r="675" spans="11:11" x14ac:dyDescent="0.15">
      <c r="K675" s="54"/>
    </row>
    <row r="676" spans="11:11" x14ac:dyDescent="0.15">
      <c r="K676" s="54"/>
    </row>
    <row r="677" spans="11:11" x14ac:dyDescent="0.15">
      <c r="K677" s="54"/>
    </row>
    <row r="678" spans="11:11" x14ac:dyDescent="0.15">
      <c r="K678" s="54"/>
    </row>
    <row r="679" spans="11:11" x14ac:dyDescent="0.15">
      <c r="K679" s="54"/>
    </row>
    <row r="680" spans="11:11" x14ac:dyDescent="0.15">
      <c r="K680" s="54"/>
    </row>
    <row r="681" spans="11:11" x14ac:dyDescent="0.15">
      <c r="K681" s="54"/>
    </row>
    <row r="682" spans="11:11" x14ac:dyDescent="0.15">
      <c r="K682" s="54"/>
    </row>
    <row r="683" spans="11:11" x14ac:dyDescent="0.15">
      <c r="K683" s="54"/>
    </row>
    <row r="684" spans="11:11" x14ac:dyDescent="0.15">
      <c r="K684" s="54"/>
    </row>
    <row r="685" spans="11:11" x14ac:dyDescent="0.15">
      <c r="K685" s="54"/>
    </row>
    <row r="686" spans="11:11" x14ac:dyDescent="0.15">
      <c r="K686" s="54"/>
    </row>
    <row r="687" spans="11:11" x14ac:dyDescent="0.15">
      <c r="K687" s="54"/>
    </row>
    <row r="688" spans="11:11" x14ac:dyDescent="0.15">
      <c r="K688" s="54"/>
    </row>
    <row r="689" spans="11:11" x14ac:dyDescent="0.15">
      <c r="K689" s="54"/>
    </row>
    <row r="690" spans="11:11" x14ac:dyDescent="0.15">
      <c r="K690" s="54"/>
    </row>
    <row r="691" spans="11:11" x14ac:dyDescent="0.15">
      <c r="K691" s="54"/>
    </row>
    <row r="692" spans="11:11" x14ac:dyDescent="0.15">
      <c r="K692" s="54"/>
    </row>
    <row r="693" spans="11:11" x14ac:dyDescent="0.15">
      <c r="K693" s="54"/>
    </row>
    <row r="694" spans="11:11" x14ac:dyDescent="0.15">
      <c r="K694" s="54"/>
    </row>
    <row r="695" spans="11:11" x14ac:dyDescent="0.15">
      <c r="K695" s="54"/>
    </row>
    <row r="696" spans="11:11" x14ac:dyDescent="0.15">
      <c r="K696" s="54"/>
    </row>
    <row r="697" spans="11:11" x14ac:dyDescent="0.15">
      <c r="K697" s="54"/>
    </row>
    <row r="698" spans="11:11" x14ac:dyDescent="0.15">
      <c r="K698" s="54"/>
    </row>
    <row r="699" spans="11:11" x14ac:dyDescent="0.15">
      <c r="K699" s="54"/>
    </row>
    <row r="700" spans="11:11" x14ac:dyDescent="0.15">
      <c r="K700" s="54"/>
    </row>
    <row r="701" spans="11:11" x14ac:dyDescent="0.15">
      <c r="K701" s="54"/>
    </row>
    <row r="702" spans="11:11" x14ac:dyDescent="0.15">
      <c r="K702" s="54"/>
    </row>
    <row r="703" spans="11:11" x14ac:dyDescent="0.15">
      <c r="K703" s="54"/>
    </row>
    <row r="704" spans="11:11" x14ac:dyDescent="0.15">
      <c r="K704" s="54"/>
    </row>
    <row r="705" spans="11:11" x14ac:dyDescent="0.15">
      <c r="K705" s="54"/>
    </row>
    <row r="706" spans="11:11" x14ac:dyDescent="0.15">
      <c r="K706" s="54"/>
    </row>
    <row r="707" spans="11:11" x14ac:dyDescent="0.15">
      <c r="K707" s="54"/>
    </row>
    <row r="708" spans="11:11" x14ac:dyDescent="0.15">
      <c r="K708" s="54"/>
    </row>
    <row r="709" spans="11:11" x14ac:dyDescent="0.15">
      <c r="K709" s="54"/>
    </row>
    <row r="710" spans="11:11" x14ac:dyDescent="0.15">
      <c r="K710" s="54"/>
    </row>
    <row r="711" spans="11:11" x14ac:dyDescent="0.15">
      <c r="K711" s="54"/>
    </row>
    <row r="712" spans="11:11" x14ac:dyDescent="0.15">
      <c r="K712" s="54"/>
    </row>
    <row r="713" spans="11:11" x14ac:dyDescent="0.15">
      <c r="K713" s="54"/>
    </row>
    <row r="714" spans="11:11" x14ac:dyDescent="0.15">
      <c r="K714" s="54"/>
    </row>
    <row r="715" spans="11:11" x14ac:dyDescent="0.15">
      <c r="K715" s="54"/>
    </row>
    <row r="716" spans="11:11" x14ac:dyDescent="0.15">
      <c r="K716" s="54"/>
    </row>
    <row r="717" spans="11:11" x14ac:dyDescent="0.15">
      <c r="K717" s="54"/>
    </row>
    <row r="718" spans="11:11" x14ac:dyDescent="0.15">
      <c r="K718" s="54"/>
    </row>
    <row r="719" spans="11:11" x14ac:dyDescent="0.15">
      <c r="K719" s="54"/>
    </row>
    <row r="720" spans="11:11" x14ac:dyDescent="0.15">
      <c r="K720" s="54"/>
    </row>
    <row r="721" spans="11:11" x14ac:dyDescent="0.15">
      <c r="K721" s="54"/>
    </row>
    <row r="722" spans="11:11" x14ac:dyDescent="0.15">
      <c r="K722" s="54"/>
    </row>
    <row r="723" spans="11:11" x14ac:dyDescent="0.15">
      <c r="K723" s="54"/>
    </row>
    <row r="724" spans="11:11" x14ac:dyDescent="0.15">
      <c r="K724" s="54"/>
    </row>
    <row r="725" spans="11:11" x14ac:dyDescent="0.15">
      <c r="K725" s="54"/>
    </row>
    <row r="726" spans="11:11" x14ac:dyDescent="0.15">
      <c r="K726" s="54"/>
    </row>
    <row r="727" spans="11:11" x14ac:dyDescent="0.15">
      <c r="K727" s="54"/>
    </row>
    <row r="728" spans="11:11" x14ac:dyDescent="0.15">
      <c r="K728" s="54"/>
    </row>
    <row r="729" spans="11:11" x14ac:dyDescent="0.15">
      <c r="K729" s="54"/>
    </row>
    <row r="730" spans="11:11" x14ac:dyDescent="0.15">
      <c r="K730" s="54"/>
    </row>
    <row r="731" spans="11:11" x14ac:dyDescent="0.15">
      <c r="K731" s="54"/>
    </row>
    <row r="732" spans="11:11" x14ac:dyDescent="0.15">
      <c r="K732" s="54"/>
    </row>
    <row r="733" spans="11:11" x14ac:dyDescent="0.15">
      <c r="K733" s="54"/>
    </row>
    <row r="734" spans="11:11" x14ac:dyDescent="0.15">
      <c r="K734" s="54"/>
    </row>
    <row r="735" spans="11:11" x14ac:dyDescent="0.15">
      <c r="K735" s="54"/>
    </row>
    <row r="736" spans="11:11" x14ac:dyDescent="0.15">
      <c r="K736" s="54"/>
    </row>
    <row r="737" spans="11:11" x14ac:dyDescent="0.15">
      <c r="K737" s="54"/>
    </row>
    <row r="738" spans="11:11" x14ac:dyDescent="0.15">
      <c r="K738" s="54"/>
    </row>
    <row r="739" spans="11:11" x14ac:dyDescent="0.15">
      <c r="K739" s="54"/>
    </row>
    <row r="740" spans="11:11" x14ac:dyDescent="0.15">
      <c r="K740" s="54"/>
    </row>
    <row r="741" spans="11:11" x14ac:dyDescent="0.15">
      <c r="K741" s="54"/>
    </row>
    <row r="742" spans="11:11" x14ac:dyDescent="0.15">
      <c r="K742" s="54"/>
    </row>
    <row r="743" spans="11:11" x14ac:dyDescent="0.15">
      <c r="K743" s="54"/>
    </row>
    <row r="744" spans="11:11" x14ac:dyDescent="0.15">
      <c r="K744" s="54"/>
    </row>
  </sheetData>
  <autoFilter ref="A1:BA82" xr:uid="{00000000-0009-0000-0000-000000000000}"/>
  <phoneticPr fontId="3"/>
  <dataValidations count="12">
    <dataValidation type="list" allowBlank="1" showInputMessage="1" showErrorMessage="1" sqref="K2:K744" xr:uid="{B4A2760C-5495-4322-A5C2-7684EFE21AB8}">
      <formula1>$AR$2:$AR$23</formula1>
    </dataValidation>
    <dataValidation type="list" allowBlank="1" showInputMessage="1" showErrorMessage="1" sqref="A2:A431" xr:uid="{89D539CB-51F0-4BBE-86A1-8873F75F7556}">
      <formula1>$AE$2:$AE$19</formula1>
    </dataValidation>
    <dataValidation type="list" allowBlank="1" showInputMessage="1" showErrorMessage="1" sqref="Y2:AA432" xr:uid="{695B16CB-4783-4F8E-93B1-2AB0A624BE4E}">
      <formula1>$AV$2:$AV$21</formula1>
    </dataValidation>
    <dataValidation type="list" allowBlank="1" showInputMessage="1" showErrorMessage="1" sqref="H2:H432" xr:uid="{F161EB6A-B359-47DC-AB5F-0DA707E127C5}">
      <formula1>$AL$2:$AL$8</formula1>
    </dataValidation>
    <dataValidation type="list" allowBlank="1" showInputMessage="1" showErrorMessage="1" sqref="X2:X432" xr:uid="{FEBAF9FD-DA0C-4726-A32A-6381E20168C4}">
      <formula1>$AT$2:$AT$3</formula1>
    </dataValidation>
    <dataValidation type="list" allowBlank="1" showInputMessage="1" showErrorMessage="1" sqref="G2:G432" xr:uid="{B783D471-D75C-4777-B15B-122786B7BD6B}">
      <formula1>$AJ$2:$AJ$4</formula1>
    </dataValidation>
    <dataValidation type="list" allowBlank="1" showInputMessage="1" showErrorMessage="1" sqref="I2:I432" xr:uid="{E258C38F-730F-43DE-9FCD-B725651F16EF}">
      <formula1>$AN$5:$AN$6</formula1>
    </dataValidation>
    <dataValidation type="list" allowBlank="1" showInputMessage="1" showErrorMessage="1" sqref="J2:J432" xr:uid="{9B179DF9-6252-441D-B9F4-454FE42AD3B4}">
      <formula1>$AP$2:$AP$24</formula1>
    </dataValidation>
    <dataValidation type="list" allowBlank="1" showInputMessage="1" showErrorMessage="1" sqref="F2:F432" xr:uid="{C286D7A8-874F-461B-B1FB-63317BBD380E}">
      <formula1>$AH$2:$AH$11</formula1>
    </dataValidation>
    <dataValidation type="list" allowBlank="1" showInputMessage="1" showErrorMessage="1" sqref="E2:E432" xr:uid="{4DA6C256-DFB4-4A9B-B750-577421B50C3B}">
      <formula1>$AG$2:$AG$11</formula1>
    </dataValidation>
    <dataValidation type="decimal" allowBlank="1" showInputMessage="1" showErrorMessage="1" error="硬度を正しく入力して下さい。" sqref="O2:P49 O59:P432" xr:uid="{6CD1915F-93BF-49F2-BFE3-095D1F13E720}">
      <formula1>0</formula1>
      <formula2>7</formula2>
    </dataValidation>
    <dataValidation operator="equal" allowBlank="1" showInputMessage="1" showErrorMessage="1" sqref="B2:B118" xr:uid="{26C1FEAE-FE47-4AD0-A6EF-CCA4539CD087}"/>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3C236B0-CA75-400B-BE1A-CFA798F883E7}"/>
</file>

<file path=customXml/itemProps2.xml><?xml version="1.0" encoding="utf-8"?>
<ds:datastoreItem xmlns:ds="http://schemas.openxmlformats.org/officeDocument/2006/customXml" ds:itemID="{ECFCBD22-217B-43A4-99A6-D32300A769F5}"/>
</file>

<file path=customXml/itemProps3.xml><?xml version="1.0" encoding="utf-8"?>
<ds:datastoreItem xmlns:ds="http://schemas.openxmlformats.org/officeDocument/2006/customXml" ds:itemID="{357AA2E9-E9A4-4FDD-8CD6-97C8A19F1C6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2019-05-27T01:56:13Z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