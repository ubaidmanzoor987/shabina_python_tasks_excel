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130"/>
  <workbookPr defaultThemeVersion="124226"/>
  <mc:AlternateContent xmlns:mc="http://schemas.openxmlformats.org/markup-compatibility/2006">
    <mc:Choice Requires="x15">
      <x15ac:absPath xmlns:x15ac="http://schemas.microsoft.com/office/spreadsheetml/2010/11/ac" url="\\192.168.11.200\000_全国共有\2-Zespri\品質調査\2019\45週\"/>
    </mc:Choice>
  </mc:AlternateContent>
  <xr:revisionPtr revIDLastSave="0" documentId="13_ncr:1_{C89C72DE-B959-4CD7-BDFD-3AB7CA9CDA3B}" xr6:coauthVersionLast="45" xr6:coauthVersionMax="45"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externalReferences>
    <externalReference r:id="rId9"/>
  </externalReferences>
  <definedNames>
    <definedName name="_xlnm._FilterDatabase" localSheetId="5" hidden="1">fukuoka!$A$1:$BA$142</definedName>
    <definedName name="_xlnm._FilterDatabase" localSheetId="4" hidden="1">hiroshima!$A$1:$BA$1</definedName>
    <definedName name="_xlnm._FilterDatabase" localSheetId="1" hidden="1">miyagi!$A$1:$BA$317</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'tokyo-west(kato)'!$A$1:$BA$149</definedName>
    <definedName name="aaa" localSheetId="0">#REF!</definedName>
    <definedName name="aaa" localSheetId="7">#REF!</definedName>
    <definedName name="aaa">#REF!</definedName>
    <definedName name="Brand" localSheetId="0">#REF!</definedName>
    <definedName name="Brand" localSheetId="7">#REF!</definedName>
    <definedName name="Brand">#REF!</definedName>
    <definedName name="District" localSheetId="0">#REF!</definedName>
    <definedName name="District" localSheetId="7">#REF!</definedName>
    <definedName name="District">#REF!</definedName>
    <definedName name="Fruit" localSheetId="0">#REF!</definedName>
    <definedName name="Fruit" localSheetId="7">#REF!</definedName>
    <definedName name="Fruit">#REF!</definedName>
    <definedName name="GoldSIZE" localSheetId="0">#REF!</definedName>
    <definedName name="GoldSIZE" localSheetId="7">#REF!</definedName>
    <definedName name="GoldSIZE">#REF!</definedName>
    <definedName name="GreenSIZE" localSheetId="0">#REF!</definedName>
    <definedName name="GreenSIZE" localSheetId="7">#REF!</definedName>
    <definedName name="GreenSIZE">#REF!</definedName>
    <definedName name="GrowingMethod" localSheetId="0">#REF!</definedName>
    <definedName name="GrowingMethod" localSheetId="7">#REF!</definedName>
    <definedName name="GrowingMethod">#REF!</definedName>
    <definedName name="hiroshima" localSheetId="7">#REF!</definedName>
    <definedName name="hiroshima">#REF!</definedName>
    <definedName name="kk" localSheetId="7">#REF!</definedName>
    <definedName name="kk">#REF!</definedName>
    <definedName name="ｌｌｌｌｌ" localSheetId="7">#REF!</definedName>
    <definedName name="ｌｌｌｌｌ">#REF!</definedName>
    <definedName name="miyagi" localSheetId="7">#REF!</definedName>
    <definedName name="miyagi">#REF!</definedName>
    <definedName name="miyagi2" localSheetId="7">#REF!</definedName>
    <definedName name="miyagi2">#REF!</definedName>
    <definedName name="Origin" localSheetId="0">#REF!</definedName>
    <definedName name="Origin" localSheetId="7">#REF!</definedName>
    <definedName name="Origin">#REF!</definedName>
    <definedName name="Shelf" localSheetId="0">#REF!</definedName>
    <definedName name="Shelf" localSheetId="7">#REF!</definedName>
    <definedName name="Shelf">#REF!</definedName>
    <definedName name="Shop" localSheetId="0">#REF!</definedName>
    <definedName name="Shop" localSheetId="7">#REF!</definedName>
    <definedName name="Shop">#REF!</definedName>
    <definedName name="ShopName1" localSheetId="0">#REF!</definedName>
    <definedName name="ShopName1" localSheetId="7">#REF!</definedName>
    <definedName name="ShopName1">#REF!</definedName>
    <definedName name="ShopName2" localSheetId="0">#REF!</definedName>
    <definedName name="ShopName2" localSheetId="7">#REF!</definedName>
    <definedName name="ShopName2">#REF!</definedName>
    <definedName name="Variety" localSheetId="0">#REF!</definedName>
    <definedName name="Variety" localSheetId="7">#REF!</definedName>
    <definedName name="Variety">#REF!</definedName>
    <definedName name="yaginuma" localSheetId="7">#REF!</definedName>
    <definedName name="yaginuma">#REF!</definedName>
    <definedName name="検索店舗名" localSheetId="0">#REF!</definedName>
    <definedName name="検索店舗名" localSheetId="7">#REF!</definedName>
    <definedName name="検索店舗名">#REF!</definedName>
    <definedName name="栽培方法" localSheetId="7">#REF!</definedName>
    <definedName name="栽培方法">#REF!</definedName>
    <definedName name="販売ユニット個数" localSheetId="0">#REF!</definedName>
    <definedName name="販売ユニット個数" localSheetId="7">#REF!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67" i="24" l="1"/>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42" i="22" l="1"/>
  <c r="T142" i="22"/>
  <c r="Q142" i="22"/>
  <c r="V141" i="22"/>
  <c r="T141" i="22"/>
  <c r="Q141" i="22"/>
  <c r="V140" i="22"/>
  <c r="T140" i="22"/>
  <c r="Q140" i="22"/>
  <c r="V139" i="22"/>
  <c r="T139" i="22"/>
  <c r="Q139" i="22"/>
  <c r="V138" i="22"/>
  <c r="T138" i="22"/>
  <c r="Q138" i="22"/>
  <c r="V137" i="22"/>
  <c r="T137" i="22"/>
  <c r="Q137" i="22"/>
  <c r="V136" i="22"/>
  <c r="T136" i="22"/>
  <c r="Q136" i="22"/>
  <c r="V135" i="22"/>
  <c r="T135" i="22"/>
  <c r="Q135" i="22"/>
  <c r="V134" i="22"/>
  <c r="T134" i="22"/>
  <c r="Q134" i="22"/>
  <c r="V133" i="22"/>
  <c r="T133" i="22"/>
  <c r="Q133" i="22"/>
  <c r="V132" i="22"/>
  <c r="T132" i="22"/>
  <c r="Q132" i="22"/>
  <c r="V131" i="22"/>
  <c r="T131" i="22"/>
  <c r="Q131" i="22"/>
  <c r="V130" i="22"/>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93" i="22"/>
  <c r="T93" i="22"/>
  <c r="Q93" i="22"/>
  <c r="V92" i="22"/>
  <c r="T92" i="22"/>
  <c r="Q92" i="22"/>
  <c r="V91" i="22"/>
  <c r="T91" i="22"/>
  <c r="Q91" i="22"/>
  <c r="V64" i="22"/>
  <c r="T64" i="22"/>
  <c r="Q64" i="22"/>
  <c r="V63" i="22"/>
  <c r="T63" i="22"/>
  <c r="Q63" i="22"/>
  <c r="V62" i="22"/>
  <c r="T62" i="22"/>
  <c r="Q62" i="22"/>
  <c r="V61" i="22"/>
  <c r="T61" i="22"/>
  <c r="Q61" i="22"/>
  <c r="V60" i="22"/>
  <c r="T60" i="22"/>
  <c r="Q60" i="22"/>
  <c r="V59" i="22"/>
  <c r="T59" i="22"/>
  <c r="Q59" i="22"/>
  <c r="V58" i="22"/>
  <c r="T58" i="22"/>
  <c r="Q58" i="22"/>
  <c r="V57" i="22"/>
  <c r="T57" i="22"/>
  <c r="Q57" i="22"/>
  <c r="V56" i="22"/>
  <c r="T56" i="22"/>
  <c r="Q56" i="22"/>
  <c r="V55" i="22"/>
  <c r="T55" i="22"/>
  <c r="Q55" i="22"/>
  <c r="V54" i="22"/>
  <c r="T54" i="22"/>
  <c r="Q54" i="22"/>
  <c r="V53" i="22"/>
  <c r="T53" i="22"/>
  <c r="Q53" i="22"/>
  <c r="V52" i="22"/>
  <c r="T52" i="22"/>
  <c r="Q52" i="22"/>
  <c r="V51" i="22"/>
  <c r="T51" i="22"/>
  <c r="Q51" i="22"/>
  <c r="V50" i="22"/>
  <c r="T50" i="22"/>
  <c r="Q5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82" i="21" l="1"/>
  <c r="V82" i="21" s="1"/>
  <c r="Q82" i="21"/>
  <c r="T81" i="21"/>
  <c r="V81" i="21" s="1"/>
  <c r="Q81" i="21"/>
  <c r="T80" i="21"/>
  <c r="V80" i="21" s="1"/>
  <c r="Q80" i="21"/>
  <c r="T76" i="21"/>
  <c r="V76" i="21" s="1"/>
  <c r="Q76" i="21"/>
  <c r="T75" i="21"/>
  <c r="V75" i="21" s="1"/>
  <c r="Q75" i="21"/>
  <c r="T74" i="21"/>
  <c r="V74" i="21" s="1"/>
  <c r="Q74" i="21"/>
  <c r="T73" i="21"/>
  <c r="V73" i="21" s="1"/>
  <c r="Q73" i="21"/>
  <c r="T72" i="21"/>
  <c r="V72" i="21" s="1"/>
  <c r="Q72" i="21"/>
  <c r="T71" i="21"/>
  <c r="V71" i="21" s="1"/>
  <c r="Q71" i="21"/>
  <c r="T70" i="21"/>
  <c r="V70" i="21" s="1"/>
  <c r="Q70" i="21"/>
  <c r="T69" i="21"/>
  <c r="V69" i="21" s="1"/>
  <c r="Q69" i="21"/>
  <c r="T68" i="21"/>
  <c r="V68" i="21" s="1"/>
  <c r="Q68"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17" i="18" l="1"/>
  <c r="T316" i="18"/>
  <c r="T315" i="18"/>
  <c r="T314" i="18"/>
  <c r="T313" i="18"/>
  <c r="T312" i="18"/>
  <c r="T311" i="18"/>
  <c r="T310" i="18"/>
  <c r="T309" i="18"/>
  <c r="T308" i="18"/>
  <c r="T307" i="18"/>
  <c r="T306" i="18"/>
  <c r="T305" i="18"/>
  <c r="T304" i="18"/>
  <c r="T303" i="18"/>
  <c r="T302" i="18"/>
  <c r="T301" i="18"/>
  <c r="T300" i="18"/>
  <c r="T299" i="18"/>
  <c r="T298" i="18"/>
  <c r="T297" i="18"/>
  <c r="V297" i="18" s="1"/>
  <c r="T296" i="18"/>
  <c r="V296" i="18" s="1"/>
  <c r="T295" i="18"/>
  <c r="V295" i="18" s="1"/>
  <c r="T294" i="18"/>
  <c r="V294" i="18" s="1"/>
  <c r="T293" i="18"/>
  <c r="V293" i="18" s="1"/>
  <c r="T292" i="18"/>
  <c r="V292" i="18" s="1"/>
  <c r="T291" i="18"/>
  <c r="V291" i="18" s="1"/>
  <c r="T290" i="18"/>
  <c r="V290" i="18" s="1"/>
  <c r="T289" i="18"/>
  <c r="V289" i="18" s="1"/>
  <c r="Q289" i="18"/>
  <c r="V288" i="18"/>
  <c r="T288" i="18"/>
  <c r="Q288" i="18"/>
  <c r="T287" i="18"/>
  <c r="V287" i="18" s="1"/>
  <c r="Q287" i="18"/>
  <c r="V286" i="18"/>
  <c r="T286" i="18"/>
  <c r="Q286" i="18"/>
  <c r="T285" i="18"/>
  <c r="V285" i="18" s="1"/>
  <c r="Q285" i="18"/>
  <c r="V284" i="18"/>
  <c r="T284" i="18"/>
  <c r="Q284" i="18"/>
  <c r="T283" i="18"/>
  <c r="V283" i="18" s="1"/>
  <c r="Q283" i="18"/>
  <c r="V282" i="18"/>
  <c r="T282" i="18"/>
  <c r="Q282" i="18"/>
  <c r="T281" i="18"/>
  <c r="V281" i="18" s="1"/>
  <c r="Q281" i="18"/>
  <c r="V280" i="18"/>
  <c r="T280" i="18"/>
  <c r="Q280" i="18"/>
  <c r="T279" i="18"/>
  <c r="V279" i="18" s="1"/>
  <c r="Q279" i="18"/>
  <c r="V278" i="18"/>
  <c r="T278" i="18"/>
  <c r="Q278" i="18"/>
  <c r="T277" i="18"/>
  <c r="V277" i="18" s="1"/>
  <c r="Q277" i="18"/>
  <c r="V276" i="18"/>
  <c r="T276" i="18"/>
  <c r="Q276" i="18"/>
  <c r="T275" i="18"/>
  <c r="V275" i="18" s="1"/>
  <c r="Q275" i="18"/>
  <c r="V274" i="18"/>
  <c r="T274" i="18"/>
  <c r="Q274" i="18"/>
  <c r="T273" i="18"/>
  <c r="V273" i="18" s="1"/>
  <c r="Q273" i="18"/>
  <c r="V272" i="18"/>
  <c r="T272" i="18"/>
  <c r="Q272" i="18"/>
  <c r="T271" i="18"/>
  <c r="V271" i="18" s="1"/>
  <c r="Q271" i="18"/>
  <c r="V270" i="18"/>
  <c r="T270" i="18"/>
  <c r="Q270" i="18"/>
  <c r="T269" i="18"/>
  <c r="V269" i="18" s="1"/>
  <c r="Q269" i="18"/>
  <c r="V268" i="18"/>
  <c r="T268" i="18"/>
  <c r="Q268" i="18"/>
  <c r="T267" i="18"/>
  <c r="V267" i="18" s="1"/>
  <c r="Q267" i="18"/>
  <c r="V266" i="18"/>
  <c r="T266" i="18"/>
  <c r="Q266" i="18"/>
  <c r="T265" i="18"/>
  <c r="V265" i="18" s="1"/>
  <c r="Q265" i="18"/>
  <c r="V264" i="18"/>
  <c r="T264" i="18"/>
  <c r="Q264" i="18"/>
  <c r="T263" i="18"/>
  <c r="V263" i="18" s="1"/>
  <c r="Q263" i="18"/>
  <c r="V262" i="18"/>
  <c r="T262" i="18"/>
  <c r="Q262" i="18"/>
  <c r="T261" i="18"/>
  <c r="V261" i="18" s="1"/>
  <c r="Q261" i="18"/>
  <c r="V260" i="18"/>
  <c r="T260" i="18"/>
  <c r="Q260" i="18"/>
  <c r="T259" i="18"/>
  <c r="V259" i="18" s="1"/>
  <c r="Q259" i="18"/>
  <c r="V258" i="18"/>
  <c r="T258" i="18"/>
  <c r="Q258" i="18"/>
  <c r="T257" i="18"/>
  <c r="V257" i="18" s="1"/>
  <c r="Q257" i="18"/>
  <c r="V256" i="18"/>
  <c r="T256" i="18"/>
  <c r="Q256" i="18"/>
  <c r="T255" i="18"/>
  <c r="V255" i="18" s="1"/>
  <c r="Q255" i="18"/>
  <c r="V254" i="18"/>
  <c r="T254" i="18"/>
  <c r="Q254" i="18"/>
  <c r="T253" i="18"/>
  <c r="V253" i="18" s="1"/>
  <c r="Q253" i="18"/>
  <c r="V252" i="18"/>
  <c r="T252" i="18"/>
  <c r="Q252" i="18"/>
  <c r="T251" i="18"/>
  <c r="V251" i="18" s="1"/>
  <c r="Q251" i="18"/>
  <c r="V250" i="18"/>
  <c r="T250" i="18"/>
  <c r="Q250" i="18"/>
  <c r="T249" i="18"/>
  <c r="V249" i="18" s="1"/>
  <c r="Q249" i="18"/>
  <c r="V248" i="18"/>
  <c r="T248" i="18"/>
  <c r="Q248" i="18"/>
  <c r="T247" i="18"/>
  <c r="V247" i="18" s="1"/>
  <c r="Q247" i="18"/>
  <c r="V246" i="18"/>
  <c r="T246" i="18"/>
  <c r="Q246" i="18"/>
  <c r="T245" i="18"/>
  <c r="V245" i="18" s="1"/>
  <c r="Q245" i="18"/>
  <c r="V244" i="18"/>
  <c r="T244" i="18"/>
  <c r="Q244" i="18"/>
  <c r="T243" i="18"/>
  <c r="V243" i="18" s="1"/>
  <c r="Q243" i="18"/>
  <c r="V242" i="18"/>
  <c r="T242" i="18"/>
  <c r="Q242" i="18"/>
  <c r="T241" i="18"/>
  <c r="V241" i="18" s="1"/>
  <c r="Q241" i="18"/>
  <c r="V240" i="18"/>
  <c r="T240" i="18"/>
  <c r="Q240" i="18"/>
  <c r="T239" i="18"/>
  <c r="V239" i="18" s="1"/>
  <c r="Q239" i="18"/>
  <c r="V238" i="18"/>
  <c r="T238" i="18"/>
  <c r="Q238" i="18"/>
  <c r="T237" i="18"/>
  <c r="V237" i="18" s="1"/>
  <c r="Q237" i="18"/>
  <c r="V236" i="18"/>
  <c r="T236" i="18"/>
  <c r="Q236" i="18"/>
  <c r="T235" i="18"/>
  <c r="V235" i="18" s="1"/>
  <c r="Q235" i="18"/>
  <c r="V234" i="18"/>
  <c r="T234" i="18"/>
  <c r="Q234" i="18"/>
  <c r="T233" i="18"/>
  <c r="V233" i="18" s="1"/>
  <c r="Q233" i="18"/>
  <c r="V232" i="18"/>
  <c r="T232" i="18"/>
  <c r="Q232" i="18"/>
  <c r="T231" i="18"/>
  <c r="V231" i="18" s="1"/>
  <c r="Q231" i="18"/>
  <c r="V230" i="18"/>
  <c r="T230" i="18"/>
  <c r="Q230" i="18"/>
  <c r="T229" i="18"/>
  <c r="V229" i="18" s="1"/>
  <c r="Q229" i="18"/>
  <c r="V228" i="18"/>
  <c r="T228" i="18"/>
  <c r="Q228" i="18"/>
  <c r="T227" i="18"/>
  <c r="V227" i="18" s="1"/>
  <c r="Q227" i="18"/>
  <c r="V226" i="18"/>
  <c r="T226" i="18"/>
  <c r="Q226" i="18"/>
  <c r="T225" i="18"/>
  <c r="V225" i="18" s="1"/>
  <c r="Q225" i="18"/>
  <c r="V224" i="18"/>
  <c r="T224" i="18"/>
  <c r="Q224" i="18"/>
  <c r="T223" i="18"/>
  <c r="V223" i="18" s="1"/>
  <c r="Q223" i="18"/>
  <c r="V222" i="18"/>
  <c r="T222" i="18"/>
  <c r="Q222" i="18"/>
  <c r="T221" i="18"/>
  <c r="V221" i="18" s="1"/>
  <c r="Q221" i="18"/>
  <c r="V220" i="18"/>
  <c r="T220" i="18"/>
  <c r="Q220" i="18"/>
  <c r="T219" i="18"/>
  <c r="V219" i="18" s="1"/>
  <c r="Q219" i="18"/>
  <c r="V218" i="18"/>
  <c r="T218" i="18"/>
  <c r="Q218" i="18"/>
  <c r="T217" i="18"/>
  <c r="V217" i="18" s="1"/>
  <c r="Q217" i="18"/>
  <c r="V216" i="18"/>
  <c r="T216" i="18"/>
  <c r="Q216" i="18"/>
  <c r="T215" i="18"/>
  <c r="V215" i="18" s="1"/>
  <c r="Q215" i="18"/>
  <c r="V214" i="18"/>
  <c r="T214" i="18"/>
  <c r="Q214" i="18"/>
  <c r="T213" i="18"/>
  <c r="V213" i="18" s="1"/>
  <c r="Q213" i="18"/>
  <c r="V212" i="18"/>
  <c r="T212" i="18"/>
  <c r="Q212" i="18"/>
  <c r="T211" i="18"/>
  <c r="V211" i="18" s="1"/>
  <c r="Q211" i="18"/>
  <c r="V210" i="18"/>
  <c r="T210" i="18"/>
  <c r="Q210" i="18"/>
  <c r="T209" i="18"/>
  <c r="V209" i="18" s="1"/>
  <c r="Q209" i="18"/>
  <c r="V208" i="18"/>
  <c r="T208" i="18"/>
  <c r="Q208" i="18"/>
  <c r="T207" i="18"/>
  <c r="V207" i="18" s="1"/>
  <c r="Q207" i="18"/>
  <c r="V206" i="18"/>
  <c r="T206" i="18"/>
  <c r="Q206" i="18"/>
  <c r="T205" i="18"/>
  <c r="V205" i="18" s="1"/>
  <c r="Q205" i="18"/>
  <c r="V204" i="18"/>
  <c r="T204" i="18"/>
  <c r="Q204" i="18"/>
  <c r="T203" i="18"/>
  <c r="V203" i="18" s="1"/>
  <c r="Q203" i="18"/>
  <c r="V202" i="18"/>
  <c r="T202" i="18"/>
  <c r="Q202" i="18"/>
  <c r="T201" i="18"/>
  <c r="V201" i="18" s="1"/>
  <c r="Q201" i="18"/>
  <c r="V200" i="18"/>
  <c r="T200" i="18"/>
  <c r="Q200" i="18"/>
  <c r="T199" i="18"/>
  <c r="V199" i="18" s="1"/>
  <c r="Q199" i="18"/>
  <c r="V198" i="18"/>
  <c r="T198" i="18"/>
  <c r="Q198" i="18"/>
  <c r="T197" i="18"/>
  <c r="V197" i="18" s="1"/>
  <c r="Q197" i="18"/>
  <c r="V196" i="18"/>
  <c r="T196" i="18"/>
  <c r="Q196" i="18"/>
  <c r="T195" i="18"/>
  <c r="V195" i="18" s="1"/>
  <c r="Q195" i="18"/>
  <c r="V194" i="18"/>
  <c r="T194" i="18"/>
  <c r="Q194" i="18"/>
  <c r="T193" i="18"/>
  <c r="V193" i="18" s="1"/>
  <c r="Q193" i="18"/>
  <c r="V192" i="18"/>
  <c r="T192" i="18"/>
  <c r="Q192" i="18"/>
  <c r="T191" i="18"/>
  <c r="V191" i="18" s="1"/>
  <c r="Q191" i="18"/>
  <c r="V190" i="18"/>
  <c r="T190" i="18"/>
  <c r="Q190" i="18"/>
  <c r="T189" i="18"/>
  <c r="V189" i="18" s="1"/>
  <c r="Q189" i="18"/>
  <c r="V188" i="18"/>
  <c r="T188" i="18"/>
  <c r="Q188" i="18"/>
  <c r="T187" i="18"/>
  <c r="V187" i="18" s="1"/>
  <c r="Q187" i="18"/>
  <c r="V186" i="18"/>
  <c r="T186" i="18"/>
  <c r="Q186" i="18"/>
  <c r="T185" i="18"/>
  <c r="V185" i="18" s="1"/>
  <c r="Q185" i="18"/>
  <c r="V184" i="18"/>
  <c r="T184" i="18"/>
  <c r="Q184" i="18"/>
  <c r="T183" i="18"/>
  <c r="V183" i="18" s="1"/>
  <c r="Q183" i="18"/>
  <c r="V182" i="18"/>
  <c r="T182" i="18"/>
  <c r="Q182" i="18"/>
  <c r="T181" i="18"/>
  <c r="V181" i="18" s="1"/>
  <c r="Q181" i="18"/>
  <c r="V180" i="18"/>
  <c r="T180" i="18"/>
  <c r="Q180" i="18"/>
  <c r="T179" i="18"/>
  <c r="V179" i="18" s="1"/>
  <c r="Q179" i="18"/>
  <c r="V178" i="18"/>
  <c r="T178" i="18"/>
  <c r="Q178" i="18"/>
  <c r="T177" i="18"/>
  <c r="V177" i="18" s="1"/>
  <c r="Q177" i="18"/>
  <c r="V176" i="18"/>
  <c r="T176" i="18"/>
  <c r="Q176" i="18"/>
  <c r="T175" i="18"/>
  <c r="V175" i="18" s="1"/>
  <c r="Q175" i="18"/>
  <c r="V174" i="18"/>
  <c r="T174" i="18"/>
  <c r="Q174" i="18"/>
  <c r="T173" i="18"/>
  <c r="V173" i="18" s="1"/>
  <c r="Q173" i="18"/>
  <c r="V172" i="18"/>
  <c r="T172" i="18"/>
  <c r="Q172" i="18"/>
  <c r="T171" i="18"/>
  <c r="V171" i="18" s="1"/>
  <c r="Q171" i="18"/>
  <c r="V170" i="18"/>
  <c r="T170" i="18"/>
  <c r="Q170" i="18"/>
  <c r="T169" i="18"/>
  <c r="V169" i="18" s="1"/>
  <c r="Q169" i="18"/>
  <c r="V168" i="18"/>
  <c r="T168" i="18"/>
  <c r="Q168" i="18"/>
  <c r="T167" i="18"/>
  <c r="V167" i="18" s="1"/>
  <c r="Q167" i="18"/>
  <c r="V166" i="18"/>
  <c r="T166" i="18"/>
  <c r="Q166" i="18"/>
  <c r="T165" i="18"/>
  <c r="V165" i="18" s="1"/>
  <c r="Q165" i="18"/>
  <c r="V164" i="18"/>
  <c r="T164" i="18"/>
  <c r="Q164" i="18"/>
  <c r="T163" i="18"/>
  <c r="V163" i="18" s="1"/>
  <c r="Q163" i="18"/>
  <c r="V162" i="18"/>
  <c r="T162" i="18"/>
  <c r="Q162" i="18"/>
  <c r="T161" i="18"/>
  <c r="V161" i="18" s="1"/>
  <c r="Q161" i="18"/>
  <c r="V160" i="18"/>
  <c r="T160" i="18"/>
  <c r="Q160" i="18"/>
  <c r="T159" i="18"/>
  <c r="V159" i="18" s="1"/>
  <c r="Q159" i="18"/>
  <c r="V158" i="18"/>
  <c r="T158" i="18"/>
  <c r="Q158" i="18"/>
  <c r="T157" i="18"/>
  <c r="V157" i="18" s="1"/>
  <c r="Q157" i="18"/>
  <c r="V156" i="18"/>
  <c r="T156" i="18"/>
  <c r="Q156" i="18"/>
  <c r="T155" i="18"/>
  <c r="V155" i="18" s="1"/>
  <c r="Q155" i="18"/>
  <c r="V154" i="18"/>
  <c r="T154" i="18"/>
  <c r="Q154" i="18"/>
  <c r="T153" i="18"/>
  <c r="V153" i="18" s="1"/>
  <c r="Q153" i="18"/>
  <c r="V152" i="18"/>
  <c r="T152" i="18"/>
  <c r="Q152" i="18"/>
  <c r="T151" i="18"/>
  <c r="V151" i="18" s="1"/>
  <c r="Q151" i="18"/>
  <c r="V150" i="18"/>
  <c r="T150" i="18"/>
  <c r="Q150" i="18"/>
  <c r="T149" i="18"/>
  <c r="V149" i="18" s="1"/>
  <c r="Q149" i="18"/>
  <c r="V148" i="18"/>
  <c r="T148" i="18"/>
  <c r="Q148" i="18"/>
  <c r="T147" i="18"/>
  <c r="V147" i="18" s="1"/>
  <c r="Q147" i="18"/>
  <c r="V146" i="18"/>
  <c r="T146" i="18"/>
  <c r="Q146" i="18"/>
  <c r="T145" i="18"/>
  <c r="V145" i="18" s="1"/>
  <c r="Q145" i="18"/>
  <c r="V144" i="18"/>
  <c r="T144" i="18"/>
  <c r="Q144" i="18"/>
  <c r="T143" i="18"/>
  <c r="V143" i="18" s="1"/>
  <c r="Q143" i="18"/>
  <c r="V142" i="18"/>
  <c r="T142" i="18"/>
  <c r="Q142" i="18"/>
  <c r="T141" i="18"/>
  <c r="V141" i="18" s="1"/>
  <c r="Q141" i="18"/>
  <c r="V140" i="18"/>
  <c r="T140" i="18"/>
  <c r="Q140" i="18"/>
  <c r="T139" i="18"/>
  <c r="V139" i="18" s="1"/>
  <c r="Q139" i="18"/>
  <c r="V138" i="18"/>
  <c r="T138" i="18"/>
  <c r="Q138" i="18"/>
  <c r="T137" i="18"/>
  <c r="V137" i="18" s="1"/>
  <c r="Q137" i="18"/>
  <c r="V136" i="18"/>
  <c r="T136" i="18"/>
  <c r="Q136" i="18"/>
  <c r="T135" i="18"/>
  <c r="V135" i="18" s="1"/>
  <c r="Q135" i="18"/>
  <c r="V134" i="18"/>
  <c r="T134" i="18"/>
  <c r="Q134" i="18"/>
  <c r="T133" i="18"/>
  <c r="V133" i="18" s="1"/>
  <c r="Q133" i="18"/>
  <c r="V132" i="18"/>
  <c r="T132" i="18"/>
  <c r="Q132" i="18"/>
  <c r="T131" i="18"/>
  <c r="V131" i="18" s="1"/>
  <c r="Q131" i="18"/>
  <c r="V130" i="18"/>
  <c r="T130" i="18"/>
  <c r="Q130" i="18"/>
  <c r="T129" i="18"/>
  <c r="V129" i="18" s="1"/>
  <c r="Q129" i="18"/>
  <c r="V128" i="18"/>
  <c r="T128" i="18"/>
  <c r="Q128" i="18"/>
  <c r="T127" i="18"/>
  <c r="V127" i="18" s="1"/>
  <c r="Q127" i="18"/>
  <c r="V126" i="18"/>
  <c r="T126" i="18"/>
  <c r="Q126" i="18"/>
  <c r="T125" i="18"/>
  <c r="V125" i="18" s="1"/>
  <c r="Q125" i="18"/>
  <c r="V124" i="18"/>
  <c r="T124" i="18"/>
  <c r="Q124" i="18"/>
  <c r="T123" i="18"/>
  <c r="V123" i="18" s="1"/>
  <c r="Q123" i="18"/>
  <c r="V122" i="18"/>
  <c r="T122" i="18"/>
  <c r="Q122" i="18"/>
  <c r="T121" i="18"/>
  <c r="V121" i="18" s="1"/>
  <c r="Q121" i="18"/>
  <c r="V120" i="18"/>
  <c r="T120" i="18"/>
  <c r="Q120" i="18"/>
  <c r="T119" i="18"/>
  <c r="V119" i="18" s="1"/>
  <c r="Q119" i="18"/>
  <c r="V118" i="18"/>
  <c r="T118" i="18"/>
  <c r="Q118" i="18"/>
  <c r="T117" i="18"/>
  <c r="V117" i="18" s="1"/>
  <c r="Q117" i="18"/>
  <c r="V116" i="18"/>
  <c r="T116" i="18"/>
  <c r="Q116" i="18"/>
  <c r="T115" i="18"/>
  <c r="V115" i="18" s="1"/>
  <c r="Q115" i="18"/>
  <c r="V114" i="18"/>
  <c r="T114" i="18"/>
  <c r="Q114" i="18"/>
  <c r="T113" i="18"/>
  <c r="V113" i="18" s="1"/>
  <c r="Q113" i="18"/>
  <c r="V112" i="18"/>
  <c r="T112" i="18"/>
  <c r="Q112" i="18"/>
  <c r="T111" i="18"/>
  <c r="V111" i="18" s="1"/>
  <c r="Q111" i="18"/>
  <c r="V110" i="18"/>
  <c r="T110" i="18"/>
  <c r="Q110" i="18"/>
  <c r="T109" i="18"/>
  <c r="V109" i="18" s="1"/>
  <c r="Q109" i="18"/>
  <c r="V108" i="18"/>
  <c r="T108" i="18"/>
  <c r="Q108" i="18"/>
  <c r="T107" i="18"/>
  <c r="V107" i="18" s="1"/>
  <c r="Q107" i="18"/>
  <c r="V106" i="18"/>
  <c r="T106" i="18"/>
  <c r="Q106" i="18"/>
  <c r="T105" i="18"/>
  <c r="V105" i="18" s="1"/>
  <c r="Q105" i="18"/>
  <c r="V104" i="18"/>
  <c r="T104" i="18"/>
  <c r="Q104" i="18"/>
  <c r="T103" i="18"/>
  <c r="V103" i="18" s="1"/>
  <c r="Q103" i="18"/>
  <c r="V102" i="18"/>
  <c r="T102" i="18"/>
  <c r="Q102" i="18"/>
  <c r="T101" i="18"/>
  <c r="V101" i="18" s="1"/>
  <c r="Q101" i="18"/>
  <c r="V100" i="18"/>
  <c r="T100" i="18"/>
  <c r="Q100" i="18"/>
  <c r="T99" i="18"/>
  <c r="V99" i="18" s="1"/>
  <c r="Q99" i="18"/>
  <c r="V98" i="18"/>
  <c r="T98" i="18"/>
  <c r="Q98" i="18"/>
  <c r="T97" i="18"/>
  <c r="V97" i="18" s="1"/>
  <c r="Q97" i="18"/>
  <c r="T96" i="18"/>
  <c r="V96" i="18" s="1"/>
  <c r="Q96" i="18"/>
  <c r="T95" i="18"/>
  <c r="V95" i="18" s="1"/>
  <c r="Q95" i="18"/>
  <c r="T94" i="18"/>
  <c r="V94" i="18" s="1"/>
  <c r="Q94" i="18"/>
  <c r="T93" i="18"/>
  <c r="V93" i="18" s="1"/>
  <c r="Q93" i="18"/>
  <c r="T92" i="18"/>
  <c r="V92" i="18" s="1"/>
  <c r="Q92" i="18"/>
  <c r="T91" i="18"/>
  <c r="V91" i="18" s="1"/>
  <c r="Q91" i="18"/>
  <c r="T90" i="18"/>
  <c r="V90" i="18" s="1"/>
  <c r="Q90" i="18"/>
  <c r="T89" i="18"/>
  <c r="V89" i="18" s="1"/>
  <c r="Q89" i="18"/>
  <c r="T88" i="18"/>
  <c r="V88" i="18" s="1"/>
  <c r="Q88" i="18"/>
  <c r="T87" i="18"/>
  <c r="V87" i="18" s="1"/>
  <c r="Q87" i="18"/>
  <c r="T86" i="18"/>
  <c r="V86" i="18" s="1"/>
  <c r="Q86" i="18"/>
  <c r="T85" i="18"/>
  <c r="V85" i="18" s="1"/>
  <c r="Q85" i="18"/>
  <c r="T84" i="18"/>
  <c r="V84" i="18" s="1"/>
  <c r="Q84" i="18"/>
  <c r="T83" i="18"/>
  <c r="V83" i="18" s="1"/>
  <c r="Q83" i="18"/>
  <c r="T82" i="18"/>
  <c r="V82" i="18" s="1"/>
  <c r="Q82" i="18"/>
  <c r="T81" i="18"/>
  <c r="V81" i="18" s="1"/>
  <c r="Q81" i="18"/>
  <c r="T80" i="18"/>
  <c r="V80" i="18" s="1"/>
  <c r="Q80" i="18"/>
  <c r="T79" i="18"/>
  <c r="V79" i="18" s="1"/>
  <c r="Q79" i="18"/>
  <c r="T78" i="18"/>
  <c r="V78" i="18" s="1"/>
  <c r="Q78" i="18"/>
  <c r="T77" i="18"/>
  <c r="V77" i="18" s="1"/>
  <c r="Q77" i="18"/>
  <c r="T76" i="18"/>
  <c r="Q76" i="18"/>
  <c r="T75" i="18"/>
  <c r="Q75" i="18"/>
  <c r="T74" i="18"/>
  <c r="Q74" i="18"/>
  <c r="T73" i="18"/>
  <c r="Q73" i="18"/>
  <c r="T72" i="18"/>
  <c r="Q72" i="18"/>
  <c r="T71" i="18"/>
  <c r="Q71" i="18"/>
  <c r="T70" i="18"/>
  <c r="Q70" i="18"/>
  <c r="T69" i="18"/>
  <c r="Q69" i="18"/>
  <c r="T68" i="18"/>
  <c r="Q68" i="18"/>
  <c r="T67" i="18"/>
  <c r="V67" i="18" s="1"/>
  <c r="Q67" i="18"/>
  <c r="T66" i="18"/>
  <c r="V66" i="18" s="1"/>
  <c r="Q66" i="18"/>
  <c r="T65" i="18"/>
  <c r="V65" i="18" s="1"/>
  <c r="Q65" i="18"/>
  <c r="T64" i="18"/>
  <c r="V64" i="18" s="1"/>
  <c r="Q64" i="18"/>
  <c r="T63" i="18"/>
  <c r="V63" i="18" s="1"/>
  <c r="Q63" i="18"/>
  <c r="T62" i="18"/>
  <c r="V62" i="18" s="1"/>
  <c r="Q62" i="18"/>
  <c r="T61" i="18"/>
  <c r="V61" i="18" s="1"/>
  <c r="Q61" i="18"/>
  <c r="T60" i="18"/>
  <c r="V60" i="18" s="1"/>
  <c r="Q60" i="18"/>
  <c r="T59" i="18"/>
  <c r="V59" i="18" s="1"/>
  <c r="Q59" i="18"/>
  <c r="T58" i="18"/>
  <c r="V58" i="18" s="1"/>
  <c r="Q58" i="18"/>
  <c r="T57" i="18"/>
  <c r="V57" i="18" s="1"/>
  <c r="Q57" i="18"/>
  <c r="T56" i="18"/>
  <c r="V56" i="18" s="1"/>
  <c r="Q56" i="18"/>
  <c r="T55" i="18"/>
  <c r="V55" i="18" s="1"/>
  <c r="Q55" i="18"/>
  <c r="T54" i="18"/>
  <c r="V54" i="18" s="1"/>
  <c r="Q54" i="18"/>
  <c r="T53" i="18"/>
  <c r="V53" i="18" s="1"/>
  <c r="Q53" i="18"/>
  <c r="T52" i="18"/>
  <c r="V52" i="18" s="1"/>
  <c r="Q52" i="18"/>
  <c r="T51" i="18"/>
  <c r="V51" i="18" s="1"/>
  <c r="Q51" i="18"/>
  <c r="T50" i="18"/>
  <c r="V50" i="18" s="1"/>
  <c r="Q50" i="18"/>
  <c r="T49" i="18"/>
  <c r="V49" i="18" s="1"/>
  <c r="Q49" i="18"/>
  <c r="T48" i="18"/>
  <c r="V48" i="18" s="1"/>
  <c r="Q48" i="18"/>
  <c r="T47" i="18"/>
  <c r="V47" i="18" s="1"/>
  <c r="Q47" i="18"/>
  <c r="T46" i="18"/>
  <c r="V46" i="18" s="1"/>
  <c r="Q46" i="18"/>
  <c r="T45" i="18"/>
  <c r="V45" i="18" s="1"/>
  <c r="Q45" i="18"/>
  <c r="T44" i="18"/>
  <c r="V44" i="18" s="1"/>
  <c r="Q44" i="18"/>
  <c r="T43" i="18"/>
  <c r="V43" i="18" s="1"/>
  <c r="V42" i="18"/>
  <c r="T42" i="18"/>
  <c r="V41" i="18"/>
  <c r="T41" i="18"/>
  <c r="T40" i="18"/>
  <c r="V40" i="18" s="1"/>
  <c r="V39" i="18"/>
  <c r="T39" i="18"/>
  <c r="V38" i="18"/>
  <c r="T38" i="18"/>
  <c r="T37" i="18"/>
  <c r="V37" i="18" s="1"/>
  <c r="V36" i="18"/>
  <c r="T36" i="18"/>
  <c r="V35" i="18"/>
  <c r="T35" i="18"/>
  <c r="T34" i="18"/>
  <c r="V34" i="18" s="1"/>
  <c r="V33" i="18"/>
  <c r="T33" i="18"/>
  <c r="V32" i="18"/>
  <c r="T32" i="18"/>
  <c r="T31" i="18"/>
  <c r="V31" i="18" s="1"/>
  <c r="V30" i="18"/>
  <c r="T30" i="18"/>
  <c r="V29" i="18"/>
  <c r="T29" i="18"/>
  <c r="T28" i="18"/>
  <c r="V28" i="18" s="1"/>
  <c r="V27" i="18"/>
  <c r="T27" i="18"/>
  <c r="V26" i="18"/>
  <c r="T26" i="18"/>
  <c r="T25" i="18"/>
  <c r="V25" i="18" s="1"/>
  <c r="V24" i="18"/>
  <c r="T24" i="18"/>
  <c r="V23" i="18"/>
  <c r="T23" i="18"/>
  <c r="T22" i="18"/>
  <c r="V22" i="18" s="1"/>
  <c r="V21" i="18"/>
  <c r="T21" i="18"/>
  <c r="V20" i="18"/>
  <c r="T20" i="18"/>
  <c r="T19" i="18"/>
  <c r="V19" i="18" s="1"/>
  <c r="V18" i="18"/>
  <c r="T18" i="18"/>
  <c r="V17" i="18"/>
  <c r="T17" i="18"/>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s="1"/>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<sst xmlns="http://schemas.openxmlformats.org/spreadsheetml/2006/main" count="8792" uniqueCount="390">
  <si>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</si>
  <si>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</si>
  <si>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</si>
  <si>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</si>
  <si>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</si>
  <si>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</si>
  <si>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</si>
  <si>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</si>
  <si>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</si>
  <si>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</si>
  <si>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</si>
  <si>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</si>
  <si>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</si>
  <si>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</si>
  <si>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</si>
  <si>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</si>
  <si>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</si>
  <si>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</si>
  <si>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</si>
  <si>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</si>
  <si>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</si>
  <si>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</si>
  <si>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</si>
  <si>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</si>
  <si>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</si>
  <si>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</si>
  <si>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</si>
  <si>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</si>
  <si>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</si>
  <si>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</si>
  <si>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</si>
  <si>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</si>
  <si>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</si>
  <si>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</si>
  <si>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</si>
  <si>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</si>
  <si>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</si>
  <si>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</si>
  <si>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</si>
  <si>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</si>
  <si>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</si>
  <si>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</si>
  <si>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</si>
  <si>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</si>
  <si>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</si>
  <si>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</si>
  <si>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</si>
  <si>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</si>
  <si>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</si>
  <si>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</si>
  <si>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</si>
  <si>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</si>
  <si>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</si>
  <si>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</si>
  <si>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</si>
  <si>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</si>
  <si>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</si>
  <si>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</si>
  <si>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</si>
  <si>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</si>
  <si>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</si>
  <si>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</si>
  <si>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</si>
  <si>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</si>
  <si>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</si>
  <si>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</si>
  <si>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</si>
  <si>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</si>
  <si>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</si>
  <si>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</si>
  <si>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</si>
  <si>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</si>
  <si>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</si>
  <si>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</si>
  <si>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</si>
  <si>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</si>
  <si>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</si>
  <si>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</si>
  <si>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</si>
  <si>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</si>
  <si>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</si>
  <si>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</si>
  <si>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</si>
  <si>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</si>
  <si>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</si>
  <si>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</si>
  <si>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</si>
  <si>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</si>
  <si>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</si>
  <si>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</si>
  <si>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</si>
  <si>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</si>
  <si>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</si>
  <si>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</si>
  <si>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</si>
  <si>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</si>
  <si>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</si>
  <si>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</si>
  <si>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</si>
  <si>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</si>
  <si>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</si>
  <si>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</si>
  <si>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</si>
  <si>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</si>
  <si>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</si>
  <si>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</si>
  <si>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</si>
  <si>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</si>
  <si>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</si>
  <si>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</si>
  <si>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</si>
  <si>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</si>
  <si>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</si>
  <si>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</si>
  <si>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</si>
  <si>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</si>
  <si>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</si>
  <si>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</si>
  <si>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</si>
  <si>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</si>
  <si>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</si>
  <si>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</si>
  <si>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</si>
  <si>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</si>
  <si>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</si>
  <si>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</si>
  <si>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</si>
  <si>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</si>
  <si>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</si>
  <si>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</si>
  <si>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</si>
  <si>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</si>
  <si>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</si>
  <si>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</si>
  <si>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</si>
  <si>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</si>
  <si>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</si>
  <si>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</si>
  <si>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</si>
  <si>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</si>
  <si>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</si>
  <si>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</si>
  <si>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</si>
  <si>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</si>
  <si>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</si>
  <si>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</si>
  <si>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</si>
  <si>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</si>
  <si>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</si>
  <si>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</si>
  <si>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</si>
  <si>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</si>
  <si>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</si>
  <si>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</si>
  <si>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</si>
  <si>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</si>
  <si>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</si>
  <si>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</si>
  <si>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</si>
  <si>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</si>
  <si>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</si>
  <si>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</si>
  <si>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</si>
  <si>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</si>
  <si>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</si>
  <si>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OB</t>
  </si>
  <si>
    <t>06.11.2019</t>
  </si>
  <si>
    <t>06.11.2019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</si>
  <si>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</si>
  <si>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</si>
  <si>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</si>
  <si>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</si>
  <si>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</si>
  <si>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</si>
  <si>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</si>
  <si>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</si>
  <si>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</si>
  <si>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</si>
  <si>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</si>
  <si>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</si>
  <si>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</si>
  <si>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</si>
  <si>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</si>
  <si>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</si>
  <si>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04.11.2019</t>
    <phoneticPr fontId="16"/>
  </si>
  <si>
    <t>利府店</t>
  </si>
  <si>
    <t>その他グリーン</t>
  </si>
  <si>
    <t>みやぎ生協</t>
  </si>
  <si>
    <t>その他ゴールド</t>
  </si>
  <si>
    <t>04.11.2019</t>
  </si>
  <si>
    <t>杉の入店</t>
  </si>
  <si>
    <t>その他レッド</t>
  </si>
  <si>
    <t>減農薬栽培</t>
  </si>
  <si>
    <t>D'lish</t>
  </si>
  <si>
    <t>中国</t>
  </si>
  <si>
    <t>ウジエ</t>
  </si>
  <si>
    <t>Del Monte</t>
  </si>
  <si>
    <t>塩釜店</t>
  </si>
  <si>
    <t>GK</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</si>
  <si>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</si>
  <si>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</si>
  <si>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</si>
  <si>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</si>
  <si>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</si>
  <si>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</si>
  <si>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</si>
  <si>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</si>
  <si>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</si>
  <si>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</si>
  <si>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</si>
  <si>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</si>
  <si>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</si>
  <si>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</si>
  <si>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</si>
  <si>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</si>
  <si>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</si>
  <si>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</si>
  <si>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</si>
  <si>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</si>
  <si>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</si>
  <si>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</si>
  <si>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</si>
  <si>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</si>
  <si>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</si>
  <si>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</si>
  <si>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</si>
  <si>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</si>
  <si>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</si>
  <si>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</si>
  <si>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</si>
  <si>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</si>
  <si>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</si>
  <si>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</si>
  <si>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　</t>
    <phoneticPr fontId="16"/>
  </si>
  <si>
    <t>JP</t>
    <phoneticPr fontId="3"/>
  </si>
  <si>
    <t>08.11.2019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</si>
  <si>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</si>
  <si>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</si>
  <si>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</si>
  <si>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</si>
  <si>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</si>
  <si>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</si>
  <si>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</si>
  <si>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</si>
  <si>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</si>
  <si>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アオキスーパー</t>
  </si>
  <si>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</si>
  <si>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</si>
  <si>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</si>
  <si>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</si>
  <si>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</si>
  <si>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</si>
  <si>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長久手店</t>
  </si>
  <si>
    <t>カネトク</t>
    <phoneticPr fontId="4"/>
  </si>
  <si>
    <t>ピアゴ</t>
  </si>
  <si>
    <t>長久手南店</t>
  </si>
  <si>
    <t>カネスエ</t>
  </si>
  <si>
    <t>ラフランス</t>
    <phoneticPr fontId="4"/>
  </si>
  <si>
    <t>カネトク</t>
  </si>
  <si>
    <t>フェルナ</t>
  </si>
  <si>
    <t>アピタ</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</si>
  <si>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</si>
  <si>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</si>
  <si>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08.11.2019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</si>
  <si>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</si>
  <si>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</si>
  <si>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</si>
  <si>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</si>
  <si>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</si>
  <si>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</si>
  <si>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</si>
  <si>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</si>
  <si>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</si>
  <si>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</si>
  <si>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</si>
  <si>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</si>
  <si>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</si>
  <si>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</si>
  <si>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</si>
  <si>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</si>
  <si>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</si>
  <si>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</si>
  <si>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</si>
  <si>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</si>
  <si>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</si>
  <si>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07.11.2019</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</si>
  <si>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</si>
  <si>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</si>
  <si>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</si>
  <si>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</si>
  <si>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</si>
  <si>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</si>
  <si>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</si>
  <si>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</si>
  <si>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</si>
  <si>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</si>
  <si>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</si>
  <si>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</si>
  <si>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みかん</t>
    <phoneticPr fontId="4"/>
  </si>
  <si>
    <t>マンゴー</t>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</si>
  <si>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</si>
  <si>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</si>
  <si>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</si>
  <si>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</si>
  <si>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</si>
  <si>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</si>
  <si>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</si>
  <si>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</si>
  <si>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</si>
  <si>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</si>
  <si>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</si>
  <si>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</si>
  <si>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</si>
  <si>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りんご</t>
    <phoneticPr fontId="3"/>
  </si>
  <si>
    <t>販売
ユニット
個数</t>
    <phoneticPr fontId="4"/>
  </si>
  <si>
    <t>U/P JPY</t>
    <phoneticPr fontId="4"/>
  </si>
  <si>
    <t>マルショク</t>
    <phoneticPr fontId="3"/>
  </si>
  <si>
    <t>野間大池</t>
    <rPh sb="0" eb="2">
      <t>ノマ</t>
    </rPh>
    <rPh sb="2" eb="4">
      <t>オオイケ</t>
    </rPh>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</si>
  <si>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</si>
  <si>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</si>
  <si>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</si>
  <si>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</si>
  <si>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</si>
  <si>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</si>
  <si>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</si>
  <si>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</si>
  <si>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</si>
  <si>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</si>
  <si>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JA全農ふくれん</t>
    <rPh sb="2" eb="4">
      <t>ゼンノウ</t>
    </rPh>
    <phoneticPr fontId="3"/>
  </si>
  <si>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</si>
  <si>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</si>
  <si>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</si>
  <si>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</si>
  <si>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</si>
  <si>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</si>
  <si>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</si>
  <si>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</si>
  <si>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</si>
  <si>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</si>
  <si>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</si>
  <si>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</si>
  <si>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</si>
  <si>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柿</t>
    <rPh sb="0" eb="1">
      <t>カキ</t>
    </rPh>
    <phoneticPr fontId="3"/>
  </si>
  <si>
    <t>ニューヨークストア</t>
  </si>
  <si>
    <t>住吉</t>
    <rPh sb="0" eb="2">
      <t>スミヨシ</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</si>
  <si>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</si>
  <si>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</si>
  <si>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</si>
  <si>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</si>
  <si>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</si>
  <si>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</si>
  <si>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</si>
  <si>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</si>
  <si>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</si>
  <si>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</si>
  <si>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</si>
  <si>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</si>
  <si>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店舗名</t>
    <phoneticPr fontId="3"/>
  </si>
  <si>
    <t>サミット</t>
  </si>
  <si>
    <t>久が原食品館</t>
  </si>
  <si>
    <t>07.11.2019</t>
  </si>
  <si>
    <t>東急ストア</t>
  </si>
  <si>
    <t>蒲田</t>
  </si>
  <si>
    <t>マルエツ</t>
  </si>
  <si>
    <t>大森西</t>
  </si>
  <si>
    <t>大森</t>
  </si>
  <si>
    <t>カドヤ</t>
  </si>
  <si>
    <t>大井町</t>
  </si>
  <si>
    <t>品川シーサイド</t>
  </si>
  <si>
    <t>大崎ニューシティ</t>
  </si>
  <si>
    <t>２番人気
果実</t>
    <phoneticPr fontId="3"/>
  </si>
  <si>
    <t>04.11.2019</t>
    <phoneticPr fontId="3"/>
  </si>
  <si>
    <t>ビッグ・エー</t>
  </si>
  <si>
    <t>江戸川本一色店</t>
  </si>
  <si>
    <t>松江店</t>
  </si>
  <si>
    <t>マックスバリュエクスプレス</t>
  </si>
  <si>
    <t>松島店</t>
    <rPh sb="1" eb="2">
      <t>シマ</t>
    </rPh>
    <phoneticPr fontId="3"/>
  </si>
  <si>
    <t>ヤマイチ</t>
  </si>
  <si>
    <t>中央店</t>
    <rPh sb="0" eb="2">
      <t>チュウオウ</t>
    </rPh>
    <phoneticPr fontId="3"/>
  </si>
  <si>
    <t>東武ストア</t>
  </si>
  <si>
    <t>新小岩店</t>
  </si>
  <si>
    <t>コモディイイダ</t>
  </si>
  <si>
    <t>西瑞江店</t>
  </si>
  <si>
    <t>いなげや</t>
  </si>
  <si>
    <t>江戸川春江店</t>
  </si>
  <si>
    <t>鹿骨店</t>
  </si>
  <si>
    <t>サミットストア</t>
  </si>
  <si>
    <t>江戸川区役所前店</t>
    <rPh sb="0" eb="6">
      <t>エドガワクヤクショ</t>
    </rPh>
    <rPh sb="6" eb="7">
      <t>マエ</t>
    </rPh>
    <rPh sb="7" eb="8">
      <t>ミセ</t>
    </rPh>
    <phoneticPr fontId="3"/>
  </si>
  <si>
    <t>江戸川中央店</t>
  </si>
  <si>
    <t>いなげや</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</si>
</sst>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1"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1"/>
      <color theme="1"/>
      <name val="ＭＳ Ｐゴシック"/>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10">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xf numFmtId="0" fontId="17" fillId="0" borderId="0">
      <alignment vertical="center"/>
    </xf>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8" fillId="0" borderId="22" xfId="9" applyFont="1" applyBorder="1" applyAlignment="1">
      <alignment horizontal="center" vertical="center"/>
    </xf>
    <xf numFmtId="0" fontId="18" fillId="0" borderId="23" xfId="9"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8" fillId="0" borderId="12" xfId="9" applyFont="1" applyBorder="1" applyAlignment="1">
      <alignment horizontal="center" vertical="center"/>
    </xf>
    <xf numFmtId="178" fontId="1" fillId="3" borderId="0" xfId="1" applyNumberFormat="1" applyFill="1"/>
    <xf numFmtId="0" fontId="1" fillId="0" borderId="18" xfId="1" applyBorder="1"/>
    <xf numFmtId="0" fontId="15" fillId="0" borderId="0" xfId="1" applyFont="1"/>
    <xf numFmtId="178" fontId="1" fillId="2" borderId="0" xfId="1" applyNumberFormat="1" applyFill="1"/>
    <xf numFmtId="0" fontId="15" fillId="0" borderId="0" xfId="9"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9" fillId="0" borderId="0" xfId="1" applyNumberFormat="1" applyFont="1"/>
    <xf numFmtId="0" fontId="1" fillId="0" borderId="12" xfId="1" applyBorder="1" applyAlignment="1">
      <alignment shrinkToFit="1"/>
    </xf>
    <xf numFmtId="0" fontId="19"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2" xfId="1" applyFont="1" applyBorder="1"/>
    <xf numFmtId="0" fontId="0" fillId="0" borderId="16" xfId="1" applyFont="1" applyBorder="1"/>
    <xf numFmtId="0" fontId="0" fillId="0" borderId="17" xfId="1" applyFont="1" applyBorder="1"/>
    <xf numFmtId="14" fontId="19" fillId="0" borderId="0" xfId="1" applyNumberFormat="1" applyFont="1" applyAlignment="1">
      <alignment horizontal="center"/>
    </xf>
    <xf numFmtId="0" fontId="20"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10">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 name="標準 6" xfId="9" xr:uid="{96A99CF6-75A7-483E-BCC6-AE23221DB9D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tokyo-west(%20konishi)_4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onishi)"/>
      <sheetName val="Sheet1"/>
      <sheetName val="Sheet2"/>
    </sheetNames>
    <sheetDataSet>
      <sheetData sheetId="0"/>
      <sheetData sheetId="1" refreshError="1"/>
      <sheetData sheetId="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K58" sqref="K58"/>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167</v>
      </c>
      <c r="E2" s="15" t="s">
        <v>141</v>
      </c>
      <c r="F2" s="15" t="s">
        <v>149</v>
      </c>
      <c r="G2" s="15" t="s">
        <v>36</v>
      </c>
      <c r="H2" s="15" t="s">
        <v>164</v>
      </c>
      <c r="I2" s="15" t="s">
        <v>159</v>
      </c>
      <c r="J2" s="15" t="s">
        <v>38</v>
      </c>
      <c r="K2" s="7" t="s">
        <v>161</v>
      </c>
      <c r="L2" s="7">
        <v>1</v>
      </c>
      <c r="N2" s="47">
        <v>1</v>
      </c>
      <c r="O2" s="15">
        <v>0.65</v>
      </c>
      <c r="P2" s="15">
        <v>0.7</v>
      </c>
      <c r="Q2" s="51">
        <f t="shared" ref="Q2:Q65" si="0">IF(OR(O2="",P2=""),"",AVERAGE(O2,P2))</f>
        <v>0.67500000000000004</v>
      </c>
      <c r="R2" s="15">
        <v>12.1</v>
      </c>
      <c r="S2" s="15">
        <v>93</v>
      </c>
      <c r="T2" s="38">
        <f t="shared" ref="T2:T59" si="1">IF(H2="","",IF(OR(H2="GREEN",H2="GK"),IF(S2&gt;=$AX$2,VLOOKUP(S2,$AX$2:$AY$12,2,1),""),IF(S2&gt;=$AZ$2,VLOOKUP(S2,$AZ$2:$BA$12,2,1),"")))</f>
        <v>36</v>
      </c>
      <c r="U2" s="15">
        <v>48</v>
      </c>
      <c r="V2" s="38">
        <f t="shared" ref="V2:V65" si="2">IF(OR(N2="",U2="",T2=""),"",U2/N2*T2)</f>
        <v>1728</v>
      </c>
      <c r="W2" s="15">
        <v>7</v>
      </c>
      <c r="X2" s="15" t="s">
        <v>39</v>
      </c>
      <c r="Y2" s="15" t="s">
        <v>50</v>
      </c>
      <c r="Z2" s="15" t="s">
        <v>84</v>
      </c>
      <c r="AA2" s="15" t="s">
        <v>90</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166</v>
      </c>
      <c r="E3" s="15" t="s">
        <v>141</v>
      </c>
      <c r="F3" s="7" t="s">
        <v>149</v>
      </c>
      <c r="G3" s="7" t="s">
        <v>36</v>
      </c>
      <c r="H3" s="15" t="s">
        <v>164</v>
      </c>
      <c r="I3" s="7" t="s">
        <v>159</v>
      </c>
      <c r="J3" s="15" t="s">
        <v>38</v>
      </c>
      <c r="K3" s="7" t="s">
        <v>161</v>
      </c>
      <c r="L3" s="7">
        <v>2</v>
      </c>
      <c r="N3" s="7">
        <v>1</v>
      </c>
      <c r="O3" s="34">
        <v>0.75</v>
      </c>
      <c r="P3" s="7">
        <v>0.6</v>
      </c>
      <c r="Q3" s="52">
        <f t="shared" si="0"/>
        <v>0.67500000000000004</v>
      </c>
      <c r="R3" s="7">
        <v>13.7</v>
      </c>
      <c r="S3" s="7">
        <v>92</v>
      </c>
      <c r="T3" s="16">
        <f t="shared" si="1"/>
        <v>36</v>
      </c>
      <c r="U3" s="15">
        <v>48</v>
      </c>
      <c r="V3" s="16">
        <f t="shared" si="2"/>
        <v>1728</v>
      </c>
      <c r="W3" s="15">
        <v>7</v>
      </c>
      <c r="X3" s="15" t="s">
        <v>39</v>
      </c>
      <c r="Y3" s="15" t="s">
        <v>50</v>
      </c>
      <c r="Z3" s="15" t="s">
        <v>84</v>
      </c>
      <c r="AA3" s="15" t="s">
        <v>90</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166</v>
      </c>
      <c r="E4" s="15" t="s">
        <v>141</v>
      </c>
      <c r="F4" s="7" t="s">
        <v>149</v>
      </c>
      <c r="G4" s="7" t="s">
        <v>36</v>
      </c>
      <c r="H4" s="15" t="s">
        <v>164</v>
      </c>
      <c r="I4" s="7" t="s">
        <v>159</v>
      </c>
      <c r="J4" s="15" t="s">
        <v>38</v>
      </c>
      <c r="K4" s="7" t="s">
        <v>161</v>
      </c>
      <c r="L4" s="7">
        <v>3</v>
      </c>
      <c r="N4" s="7">
        <v>1</v>
      </c>
      <c r="O4" s="7">
        <v>0.6</v>
      </c>
      <c r="P4" s="7">
        <v>0.75</v>
      </c>
      <c r="Q4" s="52">
        <f t="shared" si="0"/>
        <v>0.67500000000000004</v>
      </c>
      <c r="R4" s="7">
        <v>11.8</v>
      </c>
      <c r="S4" s="7">
        <v>87</v>
      </c>
      <c r="T4" s="16">
        <f t="shared" si="1"/>
        <v>36</v>
      </c>
      <c r="U4" s="15">
        <v>48</v>
      </c>
      <c r="V4" s="16">
        <f t="shared" si="2"/>
        <v>1728</v>
      </c>
      <c r="W4" s="15">
        <v>7</v>
      </c>
      <c r="X4" s="54" t="s">
        <v>39</v>
      </c>
      <c r="Y4" s="54" t="s">
        <v>50</v>
      </c>
      <c r="Z4" s="54" t="s">
        <v>84</v>
      </c>
      <c r="AA4" s="54" t="s">
        <v>90</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166</v>
      </c>
      <c r="E5" s="15" t="s">
        <v>133</v>
      </c>
      <c r="F5" s="15" t="s">
        <v>150</v>
      </c>
      <c r="G5" s="7" t="s">
        <v>36</v>
      </c>
      <c r="H5" s="54" t="s">
        <v>164</v>
      </c>
      <c r="I5" s="7" t="s">
        <v>159</v>
      </c>
      <c r="J5" s="15" t="s">
        <v>38</v>
      </c>
      <c r="K5" s="7" t="s">
        <v>161</v>
      </c>
      <c r="L5" s="7">
        <v>1</v>
      </c>
      <c r="N5" s="53">
        <v>1</v>
      </c>
      <c r="O5" s="7">
        <v>0.75</v>
      </c>
      <c r="P5" s="7">
        <v>0.75</v>
      </c>
      <c r="Q5" s="52">
        <f t="shared" si="0"/>
        <v>0.75</v>
      </c>
      <c r="R5" s="7">
        <v>13.6</v>
      </c>
      <c r="S5" s="7">
        <v>118</v>
      </c>
      <c r="T5" s="16">
        <f t="shared" si="1"/>
        <v>30</v>
      </c>
      <c r="U5" s="15">
        <v>98</v>
      </c>
      <c r="V5" s="16">
        <f t="shared" si="2"/>
        <v>2940</v>
      </c>
      <c r="W5" s="15">
        <v>14</v>
      </c>
      <c r="X5" s="54" t="s">
        <v>46</v>
      </c>
      <c r="Y5" s="54" t="s">
        <v>84</v>
      </c>
      <c r="Z5" s="54" t="s">
        <v>90</v>
      </c>
      <c r="AA5" s="54" t="s">
        <v>78</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166</v>
      </c>
      <c r="E6" s="15" t="s">
        <v>133</v>
      </c>
      <c r="F6" s="7" t="s">
        <v>150</v>
      </c>
      <c r="G6" s="7" t="s">
        <v>36</v>
      </c>
      <c r="H6" s="54" t="s">
        <v>164</v>
      </c>
      <c r="I6" s="53" t="s">
        <v>159</v>
      </c>
      <c r="J6" s="15" t="s">
        <v>38</v>
      </c>
      <c r="K6" s="7" t="s">
        <v>161</v>
      </c>
      <c r="L6" s="7">
        <v>2</v>
      </c>
      <c r="N6" s="53">
        <v>1</v>
      </c>
      <c r="O6" s="7">
        <v>0.5</v>
      </c>
      <c r="P6" s="7">
        <v>0.5</v>
      </c>
      <c r="Q6" s="52">
        <f t="shared" si="0"/>
        <v>0.5</v>
      </c>
      <c r="R6" s="7">
        <v>14.5</v>
      </c>
      <c r="S6" s="7">
        <v>125</v>
      </c>
      <c r="T6" s="16">
        <f t="shared" si="1"/>
        <v>27</v>
      </c>
      <c r="U6" s="15">
        <v>98</v>
      </c>
      <c r="V6" s="16">
        <f t="shared" si="2"/>
        <v>2646</v>
      </c>
      <c r="W6" s="15">
        <v>14</v>
      </c>
      <c r="X6" s="54" t="s">
        <v>46</v>
      </c>
      <c r="Y6" s="54" t="s">
        <v>84</v>
      </c>
      <c r="Z6" s="54" t="s">
        <v>90</v>
      </c>
      <c r="AA6" s="54" t="s">
        <v>78</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166</v>
      </c>
      <c r="E7" s="15" t="s">
        <v>133</v>
      </c>
      <c r="F7" s="7" t="s">
        <v>150</v>
      </c>
      <c r="G7" s="7" t="s">
        <v>36</v>
      </c>
      <c r="H7" s="54" t="s">
        <v>164</v>
      </c>
      <c r="I7" s="53" t="s">
        <v>159</v>
      </c>
      <c r="J7" s="15" t="s">
        <v>38</v>
      </c>
      <c r="K7" s="7" t="s">
        <v>161</v>
      </c>
      <c r="L7" s="7">
        <v>3</v>
      </c>
      <c r="N7" s="53">
        <v>1</v>
      </c>
      <c r="O7" s="7">
        <v>0.5</v>
      </c>
      <c r="P7" s="7">
        <v>0.5</v>
      </c>
      <c r="Q7" s="52">
        <f t="shared" si="0"/>
        <v>0.5</v>
      </c>
      <c r="R7" s="34">
        <v>14.8</v>
      </c>
      <c r="S7" s="7">
        <v>120</v>
      </c>
      <c r="T7" s="16">
        <f t="shared" si="1"/>
        <v>30</v>
      </c>
      <c r="U7" s="15">
        <v>98</v>
      </c>
      <c r="V7" s="16">
        <f t="shared" si="2"/>
        <v>2940</v>
      </c>
      <c r="W7" s="15">
        <v>14</v>
      </c>
      <c r="X7" s="54" t="s">
        <v>46</v>
      </c>
      <c r="Y7" s="54" t="s">
        <v>84</v>
      </c>
      <c r="Z7" s="54" t="s">
        <v>90</v>
      </c>
      <c r="AA7" s="54" t="s">
        <v>78</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166</v>
      </c>
      <c r="E8" s="15" t="s">
        <v>133</v>
      </c>
      <c r="F8" s="7" t="s">
        <v>150</v>
      </c>
      <c r="G8" s="7" t="s">
        <v>36</v>
      </c>
      <c r="H8" s="15" t="s">
        <v>128</v>
      </c>
      <c r="I8" s="7" t="s">
        <v>159</v>
      </c>
      <c r="J8" s="15" t="s">
        <v>80</v>
      </c>
      <c r="K8" s="7" t="s">
        <v>45</v>
      </c>
      <c r="L8" s="7">
        <v>1</v>
      </c>
      <c r="N8" s="53">
        <v>1</v>
      </c>
      <c r="O8" s="7">
        <v>0.75</v>
      </c>
      <c r="P8" s="7">
        <v>0.7</v>
      </c>
      <c r="Q8" s="52">
        <f t="shared" si="0"/>
        <v>0.72499999999999998</v>
      </c>
      <c r="R8" s="34">
        <v>17.600000000000001</v>
      </c>
      <c r="S8" s="7">
        <v>125</v>
      </c>
      <c r="T8" s="16">
        <f t="shared" si="1"/>
        <v>27</v>
      </c>
      <c r="U8" s="15">
        <v>98</v>
      </c>
      <c r="V8" s="16">
        <f t="shared" si="2"/>
        <v>2646</v>
      </c>
      <c r="W8" s="15">
        <v>2</v>
      </c>
      <c r="X8" s="54" t="s">
        <v>46</v>
      </c>
      <c r="Y8" s="54" t="s">
        <v>84</v>
      </c>
      <c r="Z8" s="54" t="s">
        <v>90</v>
      </c>
      <c r="AA8" s="54" t="s">
        <v>78</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166</v>
      </c>
      <c r="E9" s="15" t="s">
        <v>133</v>
      </c>
      <c r="F9" s="7" t="s">
        <v>150</v>
      </c>
      <c r="G9" s="7" t="s">
        <v>36</v>
      </c>
      <c r="H9" s="54" t="s">
        <v>128</v>
      </c>
      <c r="I9" s="53" t="s">
        <v>159</v>
      </c>
      <c r="J9" s="54" t="s">
        <v>80</v>
      </c>
      <c r="K9" s="53" t="s">
        <v>45</v>
      </c>
      <c r="L9" s="7">
        <v>2</v>
      </c>
      <c r="N9" s="7">
        <v>1</v>
      </c>
      <c r="O9" s="7">
        <v>1</v>
      </c>
      <c r="P9" s="7">
        <v>1.05</v>
      </c>
      <c r="Q9" s="52">
        <f t="shared" si="0"/>
        <v>1.0249999999999999</v>
      </c>
      <c r="R9" s="7">
        <v>13.6</v>
      </c>
      <c r="S9" s="7">
        <v>126</v>
      </c>
      <c r="T9" s="16">
        <f t="shared" si="1"/>
        <v>27</v>
      </c>
      <c r="U9" s="15">
        <v>98</v>
      </c>
      <c r="V9" s="16">
        <f t="shared" si="2"/>
        <v>2646</v>
      </c>
      <c r="W9" s="15">
        <v>2</v>
      </c>
      <c r="X9" s="54" t="s">
        <v>46</v>
      </c>
      <c r="Y9" s="54" t="s">
        <v>84</v>
      </c>
      <c r="Z9" s="54" t="s">
        <v>90</v>
      </c>
      <c r="AA9" s="54" t="s">
        <v>78</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166</v>
      </c>
      <c r="E10" s="15" t="s">
        <v>133</v>
      </c>
      <c r="F10" s="7" t="s">
        <v>150</v>
      </c>
      <c r="G10" s="7" t="s">
        <v>36</v>
      </c>
      <c r="H10" s="54" t="s">
        <v>128</v>
      </c>
      <c r="I10" s="53" t="s">
        <v>159</v>
      </c>
      <c r="J10" s="54" t="s">
        <v>80</v>
      </c>
      <c r="K10" s="53" t="s">
        <v>45</v>
      </c>
      <c r="L10" s="7">
        <v>3</v>
      </c>
      <c r="N10" s="7">
        <v>1</v>
      </c>
      <c r="O10" s="7">
        <v>0.85</v>
      </c>
      <c r="P10" s="7">
        <v>1</v>
      </c>
      <c r="Q10" s="52">
        <f t="shared" si="0"/>
        <v>0.92500000000000004</v>
      </c>
      <c r="R10" s="7">
        <v>13.5</v>
      </c>
      <c r="S10" s="7">
        <v>124</v>
      </c>
      <c r="T10" s="16">
        <f t="shared" si="1"/>
        <v>27</v>
      </c>
      <c r="U10" s="15">
        <v>98</v>
      </c>
      <c r="V10" s="16">
        <f t="shared" si="2"/>
        <v>2646</v>
      </c>
      <c r="W10" s="15">
        <v>2</v>
      </c>
      <c r="X10" s="54" t="s">
        <v>46</v>
      </c>
      <c r="Y10" s="54" t="s">
        <v>84</v>
      </c>
      <c r="Z10" s="54" t="s">
        <v>90</v>
      </c>
      <c r="AA10" s="54" t="s">
        <v>78</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166</v>
      </c>
      <c r="E11" s="15" t="s">
        <v>142</v>
      </c>
      <c r="F11" s="7" t="s">
        <v>151</v>
      </c>
      <c r="G11" s="7" t="s">
        <v>36</v>
      </c>
      <c r="H11" s="15" t="s">
        <v>164</v>
      </c>
      <c r="I11" s="7" t="s">
        <v>159</v>
      </c>
      <c r="J11" s="15" t="s">
        <v>38</v>
      </c>
      <c r="K11" s="7" t="s">
        <v>161</v>
      </c>
      <c r="L11" s="7">
        <v>1</v>
      </c>
      <c r="N11" s="7">
        <v>1</v>
      </c>
      <c r="O11" s="7">
        <v>0.5</v>
      </c>
      <c r="P11" s="7">
        <v>0.5</v>
      </c>
      <c r="Q11" s="52">
        <f t="shared" si="0"/>
        <v>0.5</v>
      </c>
      <c r="R11" s="7">
        <v>13.6</v>
      </c>
      <c r="S11" s="7">
        <v>126</v>
      </c>
      <c r="T11" s="16">
        <f t="shared" si="1"/>
        <v>27</v>
      </c>
      <c r="U11" s="7">
        <v>138</v>
      </c>
      <c r="V11" s="16">
        <f t="shared" si="2"/>
        <v>3726</v>
      </c>
      <c r="W11" s="7">
        <v>3</v>
      </c>
      <c r="X11" s="54" t="s">
        <v>46</v>
      </c>
      <c r="Y11" s="54" t="s">
        <v>90</v>
      </c>
      <c r="Z11" s="54" t="s">
        <v>84</v>
      </c>
      <c r="AA11" s="54" t="s">
        <v>69</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166</v>
      </c>
      <c r="E12" s="15" t="s">
        <v>142</v>
      </c>
      <c r="F12" s="7" t="s">
        <v>151</v>
      </c>
      <c r="G12" s="7" t="s">
        <v>36</v>
      </c>
      <c r="H12" s="54" t="s">
        <v>164</v>
      </c>
      <c r="I12" s="53" t="s">
        <v>159</v>
      </c>
      <c r="J12" s="15" t="s">
        <v>38</v>
      </c>
      <c r="K12" s="7" t="s">
        <v>161</v>
      </c>
      <c r="L12" s="7">
        <v>2</v>
      </c>
      <c r="N12" s="7">
        <v>1</v>
      </c>
      <c r="O12" s="7">
        <v>0.5</v>
      </c>
      <c r="P12" s="7">
        <v>0.55000000000000004</v>
      </c>
      <c r="Q12" s="52">
        <f t="shared" si="0"/>
        <v>0.52500000000000002</v>
      </c>
      <c r="R12" s="34">
        <v>15.9</v>
      </c>
      <c r="S12" s="7">
        <v>124</v>
      </c>
      <c r="T12" s="16">
        <f t="shared" si="1"/>
        <v>27</v>
      </c>
      <c r="U12" s="7">
        <v>138</v>
      </c>
      <c r="V12" s="16">
        <f t="shared" si="2"/>
        <v>3726</v>
      </c>
      <c r="W12" s="7">
        <v>3</v>
      </c>
      <c r="X12" s="54" t="s">
        <v>46</v>
      </c>
      <c r="Y12" s="54" t="s">
        <v>90</v>
      </c>
      <c r="Z12" s="54" t="s">
        <v>84</v>
      </c>
      <c r="AA12" s="54" t="s">
        <v>69</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166</v>
      </c>
      <c r="E13" s="15" t="s">
        <v>142</v>
      </c>
      <c r="F13" s="7" t="s">
        <v>151</v>
      </c>
      <c r="G13" s="7" t="s">
        <v>36</v>
      </c>
      <c r="H13" s="54" t="s">
        <v>164</v>
      </c>
      <c r="I13" s="53" t="s">
        <v>159</v>
      </c>
      <c r="J13" s="15" t="s">
        <v>38</v>
      </c>
      <c r="K13" s="7" t="s">
        <v>161</v>
      </c>
      <c r="L13" s="7">
        <v>3</v>
      </c>
      <c r="N13" s="7">
        <v>1</v>
      </c>
      <c r="O13" s="7">
        <v>0.85</v>
      </c>
      <c r="P13" s="7">
        <v>0.75</v>
      </c>
      <c r="Q13" s="52">
        <f t="shared" si="0"/>
        <v>0.8</v>
      </c>
      <c r="R13" s="7">
        <v>13.8</v>
      </c>
      <c r="S13" s="7">
        <v>118</v>
      </c>
      <c r="T13" s="16">
        <f t="shared" si="1"/>
        <v>30</v>
      </c>
      <c r="U13" s="7">
        <v>138</v>
      </c>
      <c r="V13" s="16">
        <f t="shared" si="2"/>
        <v>4140</v>
      </c>
      <c r="W13" s="7">
        <v>3</v>
      </c>
      <c r="X13" s="54" t="s">
        <v>46</v>
      </c>
      <c r="Y13" s="54" t="s">
        <v>90</v>
      </c>
      <c r="Z13" s="54" t="s">
        <v>84</v>
      </c>
      <c r="AA13" s="54" t="s">
        <v>69</v>
      </c>
      <c r="AB13" s="39" t="s">
        <v>158</v>
      </c>
      <c r="AE13" s="22" t="s">
        <v>73</v>
      </c>
      <c r="AG13" s="23"/>
      <c r="AH13" s="23"/>
      <c r="AP13" s="23" t="s">
        <v>71</v>
      </c>
      <c r="AR13" s="30" t="s">
        <v>103</v>
      </c>
      <c r="AV13" s="23" t="s">
        <v>75</v>
      </c>
    </row>
    <row r="14" spans="1:53" x14ac:dyDescent="0.15">
      <c r="A14" s="15" t="s">
        <v>156</v>
      </c>
      <c r="B14" s="15" t="s">
        <v>157</v>
      </c>
      <c r="C14" s="15">
        <v>2019</v>
      </c>
      <c r="D14" s="37" t="s">
        <v>166</v>
      </c>
      <c r="E14" s="15" t="s">
        <v>142</v>
      </c>
      <c r="F14" s="7" t="s">
        <v>151</v>
      </c>
      <c r="G14" s="7" t="s">
        <v>36</v>
      </c>
      <c r="H14" s="15" t="s">
        <v>160</v>
      </c>
      <c r="I14" s="7" t="s">
        <v>159</v>
      </c>
      <c r="J14" s="15" t="s">
        <v>38</v>
      </c>
      <c r="K14" s="7" t="s">
        <v>161</v>
      </c>
      <c r="L14" s="7">
        <v>1</v>
      </c>
      <c r="N14" s="53">
        <v>1</v>
      </c>
      <c r="O14" s="7">
        <v>0.5</v>
      </c>
      <c r="P14" s="7">
        <v>0.5</v>
      </c>
      <c r="Q14" s="52">
        <f t="shared" si="0"/>
        <v>0.5</v>
      </c>
      <c r="R14" s="7">
        <v>20</v>
      </c>
      <c r="S14" s="7">
        <v>123</v>
      </c>
      <c r="T14" s="16">
        <f t="shared" si="1"/>
        <v>27</v>
      </c>
      <c r="U14" s="7">
        <v>158</v>
      </c>
      <c r="V14" s="16">
        <f t="shared" si="2"/>
        <v>4266</v>
      </c>
      <c r="W14" s="7">
        <v>2</v>
      </c>
      <c r="X14" s="54" t="s">
        <v>46</v>
      </c>
      <c r="Y14" s="54" t="s">
        <v>90</v>
      </c>
      <c r="Z14" s="54" t="s">
        <v>84</v>
      </c>
      <c r="AA14" s="54" t="s">
        <v>69</v>
      </c>
      <c r="AB14" s="39" t="s">
        <v>158</v>
      </c>
      <c r="AE14" s="22" t="s">
        <v>76</v>
      </c>
      <c r="AG14" s="23"/>
      <c r="AH14" s="23"/>
      <c r="AP14" s="23" t="s">
        <v>74</v>
      </c>
      <c r="AR14" s="30" t="s">
        <v>125</v>
      </c>
      <c r="AV14" s="23" t="s">
        <v>78</v>
      </c>
    </row>
    <row r="15" spans="1:53" x14ac:dyDescent="0.15">
      <c r="A15" s="15" t="s">
        <v>156</v>
      </c>
      <c r="B15" s="15" t="s">
        <v>157</v>
      </c>
      <c r="C15" s="15">
        <v>2019</v>
      </c>
      <c r="D15" s="37" t="s">
        <v>166</v>
      </c>
      <c r="E15" s="15" t="s">
        <v>142</v>
      </c>
      <c r="F15" s="7" t="s">
        <v>151</v>
      </c>
      <c r="G15" s="7" t="s">
        <v>36</v>
      </c>
      <c r="H15" s="15" t="s">
        <v>160</v>
      </c>
      <c r="I15" s="7" t="s">
        <v>159</v>
      </c>
      <c r="J15" s="15" t="s">
        <v>38</v>
      </c>
      <c r="K15" s="7" t="s">
        <v>161</v>
      </c>
      <c r="L15" s="7">
        <v>2</v>
      </c>
      <c r="N15" s="53">
        <v>1</v>
      </c>
      <c r="O15" s="7">
        <v>0.5</v>
      </c>
      <c r="P15" s="7">
        <v>0.5</v>
      </c>
      <c r="Q15" s="52">
        <f t="shared" si="0"/>
        <v>0.5</v>
      </c>
      <c r="R15" s="7">
        <v>19.399999999999999</v>
      </c>
      <c r="S15" s="7">
        <v>116</v>
      </c>
      <c r="T15" s="16">
        <f t="shared" si="1"/>
        <v>30</v>
      </c>
      <c r="U15" s="7">
        <v>158</v>
      </c>
      <c r="V15" s="16">
        <f t="shared" si="2"/>
        <v>4740</v>
      </c>
      <c r="W15" s="7">
        <v>2</v>
      </c>
      <c r="X15" s="54" t="s">
        <v>46</v>
      </c>
      <c r="Y15" s="54" t="s">
        <v>90</v>
      </c>
      <c r="Z15" s="54" t="s">
        <v>84</v>
      </c>
      <c r="AA15" s="54" t="s">
        <v>69</v>
      </c>
      <c r="AB15" s="39" t="s">
        <v>158</v>
      </c>
      <c r="AE15" s="22" t="s">
        <v>79</v>
      </c>
      <c r="AG15" s="23"/>
      <c r="AH15" s="23"/>
      <c r="AP15" s="23" t="s">
        <v>77</v>
      </c>
      <c r="AR15" s="30" t="s">
        <v>94</v>
      </c>
      <c r="AV15" s="23" t="s">
        <v>107</v>
      </c>
    </row>
    <row r="16" spans="1:53" x14ac:dyDescent="0.15">
      <c r="A16" s="15" t="s">
        <v>156</v>
      </c>
      <c r="B16" s="15" t="s">
        <v>157</v>
      </c>
      <c r="C16" s="15">
        <v>2019</v>
      </c>
      <c r="D16" s="37" t="s">
        <v>166</v>
      </c>
      <c r="E16" s="15" t="s">
        <v>142</v>
      </c>
      <c r="F16" s="7" t="s">
        <v>151</v>
      </c>
      <c r="G16" s="7" t="s">
        <v>36</v>
      </c>
      <c r="H16" s="15" t="s">
        <v>160</v>
      </c>
      <c r="I16" s="7" t="s">
        <v>159</v>
      </c>
      <c r="J16" s="15" t="s">
        <v>38</v>
      </c>
      <c r="K16" s="7" t="s">
        <v>161</v>
      </c>
      <c r="L16" s="7">
        <v>3</v>
      </c>
      <c r="N16" s="53">
        <v>1</v>
      </c>
      <c r="O16" s="7">
        <v>0.5</v>
      </c>
      <c r="P16" s="7">
        <v>0.5</v>
      </c>
      <c r="Q16" s="52">
        <f t="shared" si="0"/>
        <v>0.5</v>
      </c>
      <c r="R16" s="7">
        <v>13.5</v>
      </c>
      <c r="S16" s="7">
        <v>124</v>
      </c>
      <c r="T16" s="16">
        <f t="shared" si="1"/>
        <v>27</v>
      </c>
      <c r="U16" s="7">
        <v>158</v>
      </c>
      <c r="V16" s="16">
        <f t="shared" si="2"/>
        <v>4266</v>
      </c>
      <c r="W16" s="7">
        <v>2</v>
      </c>
      <c r="X16" s="54" t="s">
        <v>46</v>
      </c>
      <c r="Y16" s="54" t="s">
        <v>90</v>
      </c>
      <c r="Z16" s="54" t="s">
        <v>84</v>
      </c>
      <c r="AA16" s="54" t="s">
        <v>69</v>
      </c>
      <c r="AB16" s="39" t="s">
        <v>158</v>
      </c>
      <c r="AE16" s="22" t="s">
        <v>82</v>
      </c>
      <c r="AG16" s="28"/>
      <c r="AH16" s="28"/>
      <c r="AP16" s="23" t="s">
        <v>80</v>
      </c>
      <c r="AR16" s="41" t="s">
        <v>63</v>
      </c>
      <c r="AV16" s="23" t="s">
        <v>84</v>
      </c>
    </row>
    <row r="17" spans="1:48" x14ac:dyDescent="0.15">
      <c r="A17" s="15" t="s">
        <v>156</v>
      </c>
      <c r="B17" s="15" t="s">
        <v>157</v>
      </c>
      <c r="C17" s="15">
        <v>2019</v>
      </c>
      <c r="D17" s="37" t="s">
        <v>166</v>
      </c>
      <c r="E17" s="15" t="s">
        <v>143</v>
      </c>
      <c r="F17" s="7" t="s">
        <v>152</v>
      </c>
      <c r="G17" s="7" t="s">
        <v>36</v>
      </c>
      <c r="H17" s="15" t="s">
        <v>164</v>
      </c>
      <c r="I17" s="7" t="s">
        <v>159</v>
      </c>
      <c r="J17" s="15" t="s">
        <v>38</v>
      </c>
      <c r="K17" s="7" t="s">
        <v>161</v>
      </c>
      <c r="L17" s="7">
        <v>1</v>
      </c>
      <c r="N17" s="7">
        <v>1</v>
      </c>
      <c r="O17" s="7">
        <v>1.2</v>
      </c>
      <c r="P17" s="7">
        <v>1.35</v>
      </c>
      <c r="Q17" s="52">
        <f t="shared" si="0"/>
        <v>1.2749999999999999</v>
      </c>
      <c r="R17" s="7">
        <v>12.6</v>
      </c>
      <c r="S17" s="7">
        <v>89</v>
      </c>
      <c r="T17" s="16">
        <f t="shared" si="1"/>
        <v>36</v>
      </c>
      <c r="U17" s="7">
        <v>48</v>
      </c>
      <c r="V17" s="16">
        <f t="shared" si="2"/>
        <v>1728</v>
      </c>
      <c r="W17" s="7">
        <v>2</v>
      </c>
      <c r="X17" s="54" t="s">
        <v>39</v>
      </c>
      <c r="Y17" s="54" t="s">
        <v>50</v>
      </c>
      <c r="Z17" s="54" t="s">
        <v>90</v>
      </c>
      <c r="AA17" s="54" t="s">
        <v>84</v>
      </c>
      <c r="AB17" s="39" t="s">
        <v>158</v>
      </c>
      <c r="AE17" s="22" t="s">
        <v>85</v>
      </c>
      <c r="AP17" s="43" t="s">
        <v>110</v>
      </c>
      <c r="AR17" s="41" t="s">
        <v>96</v>
      </c>
      <c r="AV17" s="23" t="s">
        <v>86</v>
      </c>
    </row>
    <row r="18" spans="1:48" x14ac:dyDescent="0.15">
      <c r="A18" s="15" t="s">
        <v>156</v>
      </c>
      <c r="B18" s="15" t="s">
        <v>157</v>
      </c>
      <c r="C18" s="15">
        <v>2019</v>
      </c>
      <c r="D18" s="37" t="s">
        <v>166</v>
      </c>
      <c r="E18" s="15" t="s">
        <v>143</v>
      </c>
      <c r="F18" s="7" t="s">
        <v>152</v>
      </c>
      <c r="G18" s="7" t="s">
        <v>36</v>
      </c>
      <c r="H18" s="15" t="s">
        <v>164</v>
      </c>
      <c r="I18" s="7" t="s">
        <v>159</v>
      </c>
      <c r="J18" s="15" t="s">
        <v>38</v>
      </c>
      <c r="K18" s="7" t="s">
        <v>161</v>
      </c>
      <c r="L18" s="7">
        <v>2</v>
      </c>
      <c r="N18" s="7">
        <v>1</v>
      </c>
      <c r="O18" s="7">
        <v>1.4</v>
      </c>
      <c r="P18" s="7">
        <v>1.25</v>
      </c>
      <c r="Q18" s="52">
        <f t="shared" si="0"/>
        <v>1.325</v>
      </c>
      <c r="R18" s="7">
        <v>12.6</v>
      </c>
      <c r="S18" s="7">
        <v>91</v>
      </c>
      <c r="T18" s="16">
        <f t="shared" si="1"/>
        <v>36</v>
      </c>
      <c r="U18" s="7">
        <v>48</v>
      </c>
      <c r="V18" s="16">
        <f t="shared" si="2"/>
        <v>1728</v>
      </c>
      <c r="W18" s="7">
        <v>2</v>
      </c>
      <c r="X18" s="54" t="s">
        <v>39</v>
      </c>
      <c r="Y18" s="54" t="s">
        <v>50</v>
      </c>
      <c r="Z18" s="54" t="s">
        <v>90</v>
      </c>
      <c r="AA18" s="54" t="s">
        <v>84</v>
      </c>
      <c r="AB18" s="39" t="s">
        <v>158</v>
      </c>
      <c r="AE18" s="22" t="s">
        <v>87</v>
      </c>
      <c r="AP18" s="43" t="s">
        <v>111</v>
      </c>
      <c r="AR18" s="41" t="s">
        <v>101</v>
      </c>
      <c r="AV18" s="23" t="s">
        <v>88</v>
      </c>
    </row>
    <row r="19" spans="1:48" x14ac:dyDescent="0.15">
      <c r="A19" s="15" t="s">
        <v>156</v>
      </c>
      <c r="B19" s="15" t="s">
        <v>157</v>
      </c>
      <c r="C19" s="15">
        <v>2019</v>
      </c>
      <c r="D19" s="37" t="s">
        <v>166</v>
      </c>
      <c r="E19" s="15" t="s">
        <v>143</v>
      </c>
      <c r="F19" s="7" t="s">
        <v>152</v>
      </c>
      <c r="G19" s="7" t="s">
        <v>36</v>
      </c>
      <c r="H19" s="15" t="s">
        <v>164</v>
      </c>
      <c r="I19" s="7" t="s">
        <v>159</v>
      </c>
      <c r="J19" s="15" t="s">
        <v>38</v>
      </c>
      <c r="K19" s="7" t="s">
        <v>161</v>
      </c>
      <c r="L19" s="7">
        <v>3</v>
      </c>
      <c r="N19" s="7">
        <v>1</v>
      </c>
      <c r="O19" s="7">
        <v>1.25</v>
      </c>
      <c r="P19" s="7">
        <v>1.3</v>
      </c>
      <c r="Q19" s="52">
        <f t="shared" si="0"/>
        <v>1.2749999999999999</v>
      </c>
      <c r="R19" s="7">
        <v>13.2</v>
      </c>
      <c r="S19" s="7">
        <v>92</v>
      </c>
      <c r="T19" s="16">
        <f t="shared" si="1"/>
        <v>36</v>
      </c>
      <c r="U19" s="7">
        <v>48</v>
      </c>
      <c r="V19" s="16">
        <f t="shared" si="2"/>
        <v>1728</v>
      </c>
      <c r="W19" s="7">
        <v>2</v>
      </c>
      <c r="X19" s="54" t="s">
        <v>39</v>
      </c>
      <c r="Y19" s="54" t="s">
        <v>50</v>
      </c>
      <c r="Z19" s="54" t="s">
        <v>90</v>
      </c>
      <c r="AA19" s="54" t="s">
        <v>84</v>
      </c>
      <c r="AB19" s="39" t="s">
        <v>158</v>
      </c>
      <c r="AE19" s="35" t="s">
        <v>89</v>
      </c>
      <c r="AP19" s="43" t="s">
        <v>112</v>
      </c>
      <c r="AR19" s="30" t="s">
        <v>126</v>
      </c>
      <c r="AV19" s="23" t="s">
        <v>90</v>
      </c>
    </row>
    <row r="20" spans="1:48" x14ac:dyDescent="0.15">
      <c r="A20" s="15" t="s">
        <v>156</v>
      </c>
      <c r="B20" s="15" t="s">
        <v>157</v>
      </c>
      <c r="C20" s="15">
        <v>2019</v>
      </c>
      <c r="D20" s="37" t="s">
        <v>166</v>
      </c>
      <c r="E20" s="15" t="s">
        <v>131</v>
      </c>
      <c r="F20" s="7" t="s">
        <v>144</v>
      </c>
      <c r="G20" s="7" t="s">
        <v>36</v>
      </c>
      <c r="H20" s="15" t="s">
        <v>164</v>
      </c>
      <c r="I20" s="7" t="s">
        <v>159</v>
      </c>
      <c r="J20" s="15" t="s">
        <v>38</v>
      </c>
      <c r="K20" s="7" t="s">
        <v>161</v>
      </c>
      <c r="L20" s="7">
        <v>1</v>
      </c>
      <c r="N20" s="7">
        <v>1</v>
      </c>
      <c r="O20" s="7">
        <v>0.5</v>
      </c>
      <c r="P20" s="34">
        <v>0.5</v>
      </c>
      <c r="Q20" s="52">
        <f t="shared" si="0"/>
        <v>0.5</v>
      </c>
      <c r="R20" s="7">
        <v>13.6</v>
      </c>
      <c r="S20" s="7">
        <v>117</v>
      </c>
      <c r="T20" s="16">
        <f t="shared" si="1"/>
        <v>30</v>
      </c>
      <c r="U20" s="7">
        <v>138</v>
      </c>
      <c r="V20" s="16">
        <f t="shared" si="2"/>
        <v>4140</v>
      </c>
      <c r="W20" s="7">
        <v>3</v>
      </c>
      <c r="X20" s="15" t="s">
        <v>46</v>
      </c>
      <c r="Y20" s="54" t="s">
        <v>50</v>
      </c>
      <c r="Z20" s="54" t="s">
        <v>84</v>
      </c>
      <c r="AA20" s="54" t="s">
        <v>78</v>
      </c>
      <c r="AB20" s="39" t="s">
        <v>158</v>
      </c>
      <c r="AE20" s="22"/>
      <c r="AP20" s="43" t="s">
        <v>113</v>
      </c>
      <c r="AR20" s="41" t="s">
        <v>105</v>
      </c>
      <c r="AV20" s="27" t="s">
        <v>135</v>
      </c>
    </row>
    <row r="21" spans="1:48" x14ac:dyDescent="0.15">
      <c r="A21" s="15" t="s">
        <v>156</v>
      </c>
      <c r="B21" s="15" t="s">
        <v>157</v>
      </c>
      <c r="C21" s="15">
        <v>2019</v>
      </c>
      <c r="D21" s="37" t="s">
        <v>166</v>
      </c>
      <c r="E21" s="15" t="s">
        <v>131</v>
      </c>
      <c r="F21" s="7" t="s">
        <v>144</v>
      </c>
      <c r="G21" s="7" t="s">
        <v>36</v>
      </c>
      <c r="H21" s="15" t="s">
        <v>164</v>
      </c>
      <c r="I21" s="7" t="s">
        <v>159</v>
      </c>
      <c r="J21" s="15" t="s">
        <v>38</v>
      </c>
      <c r="K21" s="7" t="s">
        <v>161</v>
      </c>
      <c r="L21" s="7">
        <v>2</v>
      </c>
      <c r="N21" s="7">
        <v>1</v>
      </c>
      <c r="O21" s="7">
        <v>0.5</v>
      </c>
      <c r="P21" s="7">
        <v>0.5</v>
      </c>
      <c r="Q21" s="52">
        <f t="shared" si="0"/>
        <v>0.5</v>
      </c>
      <c r="R21" s="7">
        <v>14.6</v>
      </c>
      <c r="S21" s="7">
        <v>122</v>
      </c>
      <c r="T21" s="16">
        <f t="shared" si="1"/>
        <v>27</v>
      </c>
      <c r="U21" s="7">
        <v>138</v>
      </c>
      <c r="V21" s="16">
        <f t="shared" si="2"/>
        <v>3726</v>
      </c>
      <c r="W21" s="7">
        <v>3</v>
      </c>
      <c r="X21" s="54" t="s">
        <v>46</v>
      </c>
      <c r="Y21" s="54" t="s">
        <v>50</v>
      </c>
      <c r="Z21" s="54" t="s">
        <v>84</v>
      </c>
      <c r="AA21" s="54" t="s">
        <v>78</v>
      </c>
      <c r="AB21" s="39" t="s">
        <v>158</v>
      </c>
      <c r="AE21" s="22"/>
      <c r="AP21" s="43" t="s">
        <v>114</v>
      </c>
      <c r="AR21" s="41" t="s">
        <v>68</v>
      </c>
      <c r="AV21" s="27" t="s">
        <v>136</v>
      </c>
    </row>
    <row r="22" spans="1:48" x14ac:dyDescent="0.15">
      <c r="A22" s="15" t="s">
        <v>156</v>
      </c>
      <c r="B22" s="15" t="s">
        <v>157</v>
      </c>
      <c r="C22" s="15">
        <v>2019</v>
      </c>
      <c r="D22" s="37" t="s">
        <v>166</v>
      </c>
      <c r="E22" s="15" t="s">
        <v>131</v>
      </c>
      <c r="F22" s="7" t="s">
        <v>144</v>
      </c>
      <c r="G22" s="7" t="s">
        <v>36</v>
      </c>
      <c r="H22" s="15" t="s">
        <v>164</v>
      </c>
      <c r="I22" s="7" t="s">
        <v>159</v>
      </c>
      <c r="J22" s="15" t="s">
        <v>38</v>
      </c>
      <c r="K22" s="7" t="s">
        <v>161</v>
      </c>
      <c r="L22" s="7">
        <v>3</v>
      </c>
      <c r="N22" s="7">
        <v>1</v>
      </c>
      <c r="O22" s="34">
        <v>0.5</v>
      </c>
      <c r="P22" s="7">
        <v>0.5</v>
      </c>
      <c r="Q22" s="52">
        <f t="shared" si="0"/>
        <v>0.5</v>
      </c>
      <c r="R22" s="7">
        <v>13.2</v>
      </c>
      <c r="S22" s="7">
        <v>120</v>
      </c>
      <c r="T22" s="16">
        <f t="shared" si="1"/>
        <v>30</v>
      </c>
      <c r="U22" s="7">
        <v>138</v>
      </c>
      <c r="V22" s="16">
        <f t="shared" si="2"/>
        <v>4140</v>
      </c>
      <c r="W22" s="7">
        <v>3</v>
      </c>
      <c r="X22" s="54" t="s">
        <v>46</v>
      </c>
      <c r="Y22" s="54" t="s">
        <v>50</v>
      </c>
      <c r="Z22" s="54" t="s">
        <v>84</v>
      </c>
      <c r="AA22" s="54" t="s">
        <v>78</v>
      </c>
      <c r="AB22" s="39" t="s">
        <v>158</v>
      </c>
      <c r="AE22" s="35"/>
      <c r="AP22" s="43" t="s">
        <v>115</v>
      </c>
      <c r="AR22" s="41" t="s">
        <v>83</v>
      </c>
      <c r="AV22" s="27"/>
    </row>
    <row r="23" spans="1:48" x14ac:dyDescent="0.15">
      <c r="A23" s="15" t="s">
        <v>156</v>
      </c>
      <c r="B23" s="15" t="s">
        <v>157</v>
      </c>
      <c r="C23" s="15">
        <v>2019</v>
      </c>
      <c r="D23" s="37" t="s">
        <v>166</v>
      </c>
      <c r="E23" s="7" t="s">
        <v>131</v>
      </c>
      <c r="F23" s="7" t="s">
        <v>144</v>
      </c>
      <c r="G23" s="7" t="s">
        <v>36</v>
      </c>
      <c r="H23" s="15" t="s">
        <v>164</v>
      </c>
      <c r="I23" s="7" t="s">
        <v>165</v>
      </c>
      <c r="J23" s="15" t="s">
        <v>38</v>
      </c>
      <c r="K23" s="7" t="s">
        <v>161</v>
      </c>
      <c r="L23" s="7">
        <v>1</v>
      </c>
      <c r="N23" s="7">
        <v>4</v>
      </c>
      <c r="O23" s="34">
        <v>0.5</v>
      </c>
      <c r="P23" s="7">
        <v>0.5</v>
      </c>
      <c r="Q23" s="52">
        <f t="shared" si="0"/>
        <v>0.5</v>
      </c>
      <c r="R23" s="7">
        <v>11.9</v>
      </c>
      <c r="S23" s="7">
        <v>89</v>
      </c>
      <c r="T23" s="16">
        <f t="shared" si="1"/>
        <v>36</v>
      </c>
      <c r="U23" s="7">
        <v>430</v>
      </c>
      <c r="V23" s="16">
        <f t="shared" si="2"/>
        <v>3870</v>
      </c>
      <c r="W23" s="7">
        <v>2</v>
      </c>
      <c r="X23" s="54" t="s">
        <v>46</v>
      </c>
      <c r="Y23" s="54" t="s">
        <v>50</v>
      </c>
      <c r="Z23" s="54" t="s">
        <v>84</v>
      </c>
      <c r="AA23" s="54" t="s">
        <v>78</v>
      </c>
      <c r="AB23" s="39" t="s">
        <v>158</v>
      </c>
      <c r="AE23" s="22"/>
      <c r="AP23" s="43" t="s">
        <v>137</v>
      </c>
      <c r="AR23" s="41" t="s">
        <v>61</v>
      </c>
      <c r="AV23" s="27"/>
    </row>
    <row r="24" spans="1:48" x14ac:dyDescent="0.15">
      <c r="A24" s="15" t="s">
        <v>156</v>
      </c>
      <c r="B24" s="15" t="s">
        <v>157</v>
      </c>
      <c r="C24" s="15">
        <v>2019</v>
      </c>
      <c r="D24" s="37" t="s">
        <v>166</v>
      </c>
      <c r="E24" s="7" t="s">
        <v>131</v>
      </c>
      <c r="F24" s="7" t="s">
        <v>144</v>
      </c>
      <c r="G24" s="7" t="s">
        <v>36</v>
      </c>
      <c r="H24" s="15" t="s">
        <v>164</v>
      </c>
      <c r="I24" s="7" t="s">
        <v>165</v>
      </c>
      <c r="J24" s="15" t="s">
        <v>38</v>
      </c>
      <c r="K24" s="7" t="s">
        <v>161</v>
      </c>
      <c r="L24" s="7">
        <v>2</v>
      </c>
      <c r="N24" s="7">
        <v>4</v>
      </c>
      <c r="O24" s="7">
        <v>0.8</v>
      </c>
      <c r="P24" s="7">
        <v>0.9</v>
      </c>
      <c r="Q24" s="52">
        <f t="shared" si="0"/>
        <v>0.85000000000000009</v>
      </c>
      <c r="R24" s="7">
        <v>13.5</v>
      </c>
      <c r="S24" s="7">
        <v>94</v>
      </c>
      <c r="T24" s="16">
        <f t="shared" si="1"/>
        <v>36</v>
      </c>
      <c r="U24" s="7">
        <v>430</v>
      </c>
      <c r="V24" s="16">
        <f t="shared" si="2"/>
        <v>3870</v>
      </c>
      <c r="W24" s="7">
        <v>2</v>
      </c>
      <c r="X24" s="54" t="s">
        <v>46</v>
      </c>
      <c r="Y24" s="54" t="s">
        <v>50</v>
      </c>
      <c r="Z24" s="54" t="s">
        <v>84</v>
      </c>
      <c r="AA24" s="54" t="s">
        <v>78</v>
      </c>
      <c r="AB24" s="39" t="s">
        <v>158</v>
      </c>
      <c r="AE24" s="22"/>
      <c r="AP24" s="43" t="s">
        <v>138</v>
      </c>
      <c r="AR24" s="41" t="s">
        <v>91</v>
      </c>
      <c r="AV24" s="27"/>
    </row>
    <row r="25" spans="1:48" x14ac:dyDescent="0.15">
      <c r="A25" s="15" t="s">
        <v>156</v>
      </c>
      <c r="B25" s="15" t="s">
        <v>157</v>
      </c>
      <c r="C25" s="15">
        <v>2019</v>
      </c>
      <c r="D25" s="37" t="s">
        <v>166</v>
      </c>
      <c r="E25" s="7" t="s">
        <v>131</v>
      </c>
      <c r="F25" s="7" t="s">
        <v>144</v>
      </c>
      <c r="G25" s="7" t="s">
        <v>36</v>
      </c>
      <c r="H25" s="15" t="s">
        <v>164</v>
      </c>
      <c r="I25" s="7" t="s">
        <v>165</v>
      </c>
      <c r="J25" s="15" t="s">
        <v>38</v>
      </c>
      <c r="K25" s="7" t="s">
        <v>161</v>
      </c>
      <c r="L25" s="7">
        <v>3</v>
      </c>
      <c r="N25" s="7">
        <v>4</v>
      </c>
      <c r="O25" s="7">
        <v>0.7</v>
      </c>
      <c r="P25" s="7">
        <v>0.85</v>
      </c>
      <c r="Q25" s="52">
        <f t="shared" si="0"/>
        <v>0.77499999999999991</v>
      </c>
      <c r="R25" s="7">
        <v>13.8</v>
      </c>
      <c r="S25" s="7">
        <v>94</v>
      </c>
      <c r="T25" s="16">
        <f t="shared" si="1"/>
        <v>36</v>
      </c>
      <c r="U25" s="7">
        <v>430</v>
      </c>
      <c r="V25" s="16">
        <f t="shared" si="2"/>
        <v>3870</v>
      </c>
      <c r="W25" s="7">
        <v>2</v>
      </c>
      <c r="X25" s="54" t="s">
        <v>46</v>
      </c>
      <c r="Y25" s="54" t="s">
        <v>50</v>
      </c>
      <c r="Z25" s="54" t="s">
        <v>84</v>
      </c>
      <c r="AA25" s="54" t="s">
        <v>78</v>
      </c>
      <c r="AB25" s="39" t="s">
        <v>158</v>
      </c>
      <c r="AE25" s="35"/>
      <c r="AP25" s="43" t="s">
        <v>116</v>
      </c>
      <c r="AR25" s="42" t="s">
        <v>92</v>
      </c>
      <c r="AV25" s="27"/>
    </row>
    <row r="26" spans="1:48" x14ac:dyDescent="0.15">
      <c r="A26" s="15" t="s">
        <v>156</v>
      </c>
      <c r="B26" s="15" t="s">
        <v>157</v>
      </c>
      <c r="C26" s="15">
        <v>2019</v>
      </c>
      <c r="D26" s="37" t="s">
        <v>166</v>
      </c>
      <c r="E26" s="7" t="s">
        <v>131</v>
      </c>
      <c r="F26" s="7" t="s">
        <v>144</v>
      </c>
      <c r="G26" s="7" t="s">
        <v>36</v>
      </c>
      <c r="H26" s="15" t="s">
        <v>160</v>
      </c>
      <c r="I26" s="7" t="s">
        <v>159</v>
      </c>
      <c r="J26" s="15" t="s">
        <v>38</v>
      </c>
      <c r="K26" s="7" t="s">
        <v>161</v>
      </c>
      <c r="L26" s="7">
        <v>1</v>
      </c>
      <c r="N26" s="53">
        <v>1</v>
      </c>
      <c r="O26" s="7">
        <v>0.5</v>
      </c>
      <c r="P26" s="7">
        <v>0.5</v>
      </c>
      <c r="Q26" s="52">
        <f t="shared" si="0"/>
        <v>0.5</v>
      </c>
      <c r="R26" s="7">
        <v>15.9</v>
      </c>
      <c r="S26" s="7">
        <v>122</v>
      </c>
      <c r="T26" s="16">
        <f t="shared" si="1"/>
        <v>27</v>
      </c>
      <c r="U26" s="7">
        <v>149</v>
      </c>
      <c r="V26" s="16">
        <f t="shared" si="2"/>
        <v>4023</v>
      </c>
      <c r="W26" s="7">
        <v>5</v>
      </c>
      <c r="X26" s="54" t="s">
        <v>46</v>
      </c>
      <c r="Y26" s="54" t="s">
        <v>50</v>
      </c>
      <c r="Z26" s="54" t="s">
        <v>84</v>
      </c>
      <c r="AA26" s="54" t="s">
        <v>78</v>
      </c>
      <c r="AB26" s="39" t="s">
        <v>158</v>
      </c>
      <c r="AE26" s="35"/>
      <c r="AP26" s="43" t="s">
        <v>117</v>
      </c>
      <c r="AR26" s="23" t="s">
        <v>153</v>
      </c>
      <c r="AV26" s="28"/>
    </row>
    <row r="27" spans="1:48" x14ac:dyDescent="0.15">
      <c r="A27" s="15" t="s">
        <v>156</v>
      </c>
      <c r="B27" s="15" t="s">
        <v>157</v>
      </c>
      <c r="C27" s="15">
        <v>2019</v>
      </c>
      <c r="D27" s="37" t="s">
        <v>166</v>
      </c>
      <c r="E27" s="7" t="s">
        <v>131</v>
      </c>
      <c r="F27" s="7" t="s">
        <v>144</v>
      </c>
      <c r="G27" s="7" t="s">
        <v>36</v>
      </c>
      <c r="H27" s="54" t="s">
        <v>160</v>
      </c>
      <c r="I27" s="7" t="s">
        <v>159</v>
      </c>
      <c r="J27" s="15" t="s">
        <v>38</v>
      </c>
      <c r="K27" s="7" t="s">
        <v>161</v>
      </c>
      <c r="L27" s="7">
        <v>2</v>
      </c>
      <c r="N27" s="53">
        <v>1</v>
      </c>
      <c r="O27" s="7">
        <v>0.5</v>
      </c>
      <c r="P27" s="7">
        <v>0.5</v>
      </c>
      <c r="Q27" s="52">
        <f t="shared" si="0"/>
        <v>0.5</v>
      </c>
      <c r="R27" s="7">
        <v>13.5</v>
      </c>
      <c r="S27" s="7">
        <v>124</v>
      </c>
      <c r="T27" s="16">
        <f t="shared" si="1"/>
        <v>27</v>
      </c>
      <c r="U27" s="7">
        <v>149</v>
      </c>
      <c r="V27" s="16">
        <f t="shared" si="2"/>
        <v>4023</v>
      </c>
      <c r="W27" s="7">
        <v>5</v>
      </c>
      <c r="X27" s="54" t="s">
        <v>46</v>
      </c>
      <c r="Y27" s="54" t="s">
        <v>50</v>
      </c>
      <c r="Z27" s="54" t="s">
        <v>84</v>
      </c>
      <c r="AA27" s="54" t="s">
        <v>78</v>
      </c>
      <c r="AB27" s="39" t="s">
        <v>158</v>
      </c>
      <c r="AE27" s="28"/>
      <c r="AP27" s="43" t="s">
        <v>118</v>
      </c>
      <c r="AR27" s="23"/>
    </row>
    <row r="28" spans="1:48" x14ac:dyDescent="0.15">
      <c r="A28" s="15" t="s">
        <v>156</v>
      </c>
      <c r="B28" s="15" t="s">
        <v>157</v>
      </c>
      <c r="C28" s="15">
        <v>2019</v>
      </c>
      <c r="D28" s="37" t="s">
        <v>166</v>
      </c>
      <c r="E28" s="7" t="s">
        <v>131</v>
      </c>
      <c r="F28" s="7" t="s">
        <v>144</v>
      </c>
      <c r="G28" s="7" t="s">
        <v>36</v>
      </c>
      <c r="H28" s="54" t="s">
        <v>160</v>
      </c>
      <c r="I28" s="7" t="s">
        <v>159</v>
      </c>
      <c r="J28" s="15" t="s">
        <v>38</v>
      </c>
      <c r="K28" s="7" t="s">
        <v>161</v>
      </c>
      <c r="L28" s="7">
        <v>3</v>
      </c>
      <c r="N28" s="53">
        <v>1</v>
      </c>
      <c r="O28" s="7">
        <v>0.5</v>
      </c>
      <c r="P28" s="7">
        <v>0.5</v>
      </c>
      <c r="Q28" s="52">
        <f t="shared" si="0"/>
        <v>0.5</v>
      </c>
      <c r="R28" s="7">
        <v>12.8</v>
      </c>
      <c r="S28" s="7">
        <v>123</v>
      </c>
      <c r="T28" s="16">
        <f t="shared" si="1"/>
        <v>27</v>
      </c>
      <c r="U28" s="7">
        <v>149</v>
      </c>
      <c r="V28" s="16">
        <f t="shared" si="2"/>
        <v>4023</v>
      </c>
      <c r="W28" s="7">
        <v>5</v>
      </c>
      <c r="X28" s="54" t="s">
        <v>46</v>
      </c>
      <c r="Y28" s="54" t="s">
        <v>50</v>
      </c>
      <c r="Z28" s="54" t="s">
        <v>84</v>
      </c>
      <c r="AA28" s="54" t="s">
        <v>78</v>
      </c>
      <c r="AB28" s="39" t="s">
        <v>158</v>
      </c>
      <c r="AP28" s="27"/>
      <c r="AR28" s="23"/>
    </row>
    <row r="29" spans="1:48" x14ac:dyDescent="0.15">
      <c r="A29" s="15" t="s">
        <v>156</v>
      </c>
      <c r="B29" s="15" t="s">
        <v>157</v>
      </c>
      <c r="C29" s="15">
        <v>2019</v>
      </c>
      <c r="D29" s="37" t="s">
        <v>166</v>
      </c>
      <c r="E29" s="7" t="s">
        <v>139</v>
      </c>
      <c r="F29" s="7" t="s">
        <v>145</v>
      </c>
      <c r="G29" s="7" t="s">
        <v>36</v>
      </c>
      <c r="H29" s="54" t="s">
        <v>164</v>
      </c>
      <c r="I29" s="7" t="s">
        <v>159</v>
      </c>
      <c r="J29" s="15" t="s">
        <v>38</v>
      </c>
      <c r="K29" s="7" t="s">
        <v>161</v>
      </c>
      <c r="L29" s="7">
        <v>1</v>
      </c>
      <c r="N29" s="53">
        <v>1</v>
      </c>
      <c r="O29" s="7">
        <v>0.8</v>
      </c>
      <c r="P29" s="7">
        <v>0.9</v>
      </c>
      <c r="Q29" s="52">
        <f t="shared" si="0"/>
        <v>0.85000000000000009</v>
      </c>
      <c r="R29" s="7">
        <v>12.8</v>
      </c>
      <c r="S29" s="7">
        <v>107</v>
      </c>
      <c r="T29" s="16">
        <f t="shared" si="1"/>
        <v>33</v>
      </c>
      <c r="U29" s="7">
        <v>108</v>
      </c>
      <c r="V29" s="16">
        <f t="shared" si="2"/>
        <v>3564</v>
      </c>
      <c r="W29" s="7">
        <v>5</v>
      </c>
      <c r="X29" s="54" t="s">
        <v>46</v>
      </c>
      <c r="Y29" s="54" t="s">
        <v>50</v>
      </c>
      <c r="Z29" s="54" t="s">
        <v>84</v>
      </c>
      <c r="AA29" s="54" t="s">
        <v>78</v>
      </c>
      <c r="AB29" s="39" t="s">
        <v>158</v>
      </c>
      <c r="AP29" s="27"/>
      <c r="AR29" s="27"/>
      <c r="AV29" s="28"/>
    </row>
    <row r="30" spans="1:48" x14ac:dyDescent="0.15">
      <c r="A30" s="15" t="s">
        <v>156</v>
      </c>
      <c r="B30" s="15" t="s">
        <v>157</v>
      </c>
      <c r="C30" s="15">
        <v>2019</v>
      </c>
      <c r="D30" s="37" t="s">
        <v>166</v>
      </c>
      <c r="E30" s="7" t="s">
        <v>139</v>
      </c>
      <c r="F30" s="7" t="s">
        <v>145</v>
      </c>
      <c r="G30" s="7" t="s">
        <v>36</v>
      </c>
      <c r="H30" s="54" t="s">
        <v>164</v>
      </c>
      <c r="I30" s="53" t="s">
        <v>159</v>
      </c>
      <c r="J30" s="15" t="s">
        <v>38</v>
      </c>
      <c r="K30" s="7" t="s">
        <v>161</v>
      </c>
      <c r="L30" s="7">
        <v>2</v>
      </c>
      <c r="N30" s="7">
        <v>1</v>
      </c>
      <c r="O30" s="7">
        <v>0.9</v>
      </c>
      <c r="P30" s="7">
        <v>1</v>
      </c>
      <c r="Q30" s="52">
        <f t="shared" si="0"/>
        <v>0.95</v>
      </c>
      <c r="R30" s="7">
        <v>13.6</v>
      </c>
      <c r="S30" s="7">
        <v>110</v>
      </c>
      <c r="T30" s="16">
        <f t="shared" si="1"/>
        <v>33</v>
      </c>
      <c r="U30" s="7">
        <v>108</v>
      </c>
      <c r="V30" s="16">
        <f t="shared" si="2"/>
        <v>3564</v>
      </c>
      <c r="W30" s="7">
        <v>5</v>
      </c>
      <c r="X30" s="54" t="s">
        <v>46</v>
      </c>
      <c r="Y30" s="54" t="s">
        <v>50</v>
      </c>
      <c r="Z30" s="54" t="s">
        <v>84</v>
      </c>
      <c r="AA30" s="54" t="s">
        <v>78</v>
      </c>
      <c r="AB30" s="39" t="s">
        <v>158</v>
      </c>
      <c r="AP30" s="27"/>
      <c r="AR30" s="27"/>
    </row>
    <row r="31" spans="1:48" x14ac:dyDescent="0.15">
      <c r="A31" s="15" t="s">
        <v>156</v>
      </c>
      <c r="B31" s="15" t="s">
        <v>157</v>
      </c>
      <c r="C31" s="15">
        <v>2019</v>
      </c>
      <c r="D31" s="37" t="s">
        <v>166</v>
      </c>
      <c r="E31" s="7" t="s">
        <v>139</v>
      </c>
      <c r="F31" s="7" t="s">
        <v>145</v>
      </c>
      <c r="G31" s="7" t="s">
        <v>36</v>
      </c>
      <c r="H31" s="54" t="s">
        <v>164</v>
      </c>
      <c r="I31" s="53" t="s">
        <v>159</v>
      </c>
      <c r="J31" s="15" t="s">
        <v>38</v>
      </c>
      <c r="K31" s="7" t="s">
        <v>161</v>
      </c>
      <c r="L31" s="7">
        <v>3</v>
      </c>
      <c r="N31" s="7">
        <v>1</v>
      </c>
      <c r="O31" s="7">
        <v>1</v>
      </c>
      <c r="P31" s="7">
        <v>0.95</v>
      </c>
      <c r="Q31" s="52">
        <f t="shared" si="0"/>
        <v>0.97499999999999998</v>
      </c>
      <c r="R31" s="7">
        <v>12.6</v>
      </c>
      <c r="S31" s="7">
        <v>106</v>
      </c>
      <c r="T31" s="16">
        <f t="shared" si="1"/>
        <v>33</v>
      </c>
      <c r="U31" s="7">
        <v>108</v>
      </c>
      <c r="V31" s="16">
        <f t="shared" si="2"/>
        <v>3564</v>
      </c>
      <c r="W31" s="7">
        <v>5</v>
      </c>
      <c r="X31" s="54" t="s">
        <v>46</v>
      </c>
      <c r="Y31" s="54" t="s">
        <v>50</v>
      </c>
      <c r="Z31" s="54" t="s">
        <v>84</v>
      </c>
      <c r="AA31" s="54" t="s">
        <v>78</v>
      </c>
      <c r="AB31" s="39" t="s">
        <v>158</v>
      </c>
      <c r="AP31" s="27"/>
      <c r="AR31" s="27"/>
    </row>
    <row r="32" spans="1:48" x14ac:dyDescent="0.15">
      <c r="A32" s="15" t="s">
        <v>156</v>
      </c>
      <c r="B32" s="15" t="s">
        <v>157</v>
      </c>
      <c r="C32" s="15">
        <v>2019</v>
      </c>
      <c r="D32" s="37" t="s">
        <v>166</v>
      </c>
      <c r="E32" s="7" t="s">
        <v>139</v>
      </c>
      <c r="F32" s="7" t="s">
        <v>145</v>
      </c>
      <c r="G32" s="7" t="s">
        <v>36</v>
      </c>
      <c r="H32" s="15" t="s">
        <v>160</v>
      </c>
      <c r="I32" s="7" t="s">
        <v>159</v>
      </c>
      <c r="J32" s="15" t="s">
        <v>38</v>
      </c>
      <c r="K32" s="7" t="s">
        <v>161</v>
      </c>
      <c r="L32" s="7">
        <v>1</v>
      </c>
      <c r="N32" s="7">
        <v>1</v>
      </c>
      <c r="O32" s="7">
        <v>0.5</v>
      </c>
      <c r="P32" s="7">
        <v>0.5</v>
      </c>
      <c r="Q32" s="52">
        <f t="shared" si="0"/>
        <v>0.5</v>
      </c>
      <c r="R32" s="7">
        <v>13.4</v>
      </c>
      <c r="S32" s="7">
        <v>100</v>
      </c>
      <c r="T32" s="16">
        <f t="shared" si="1"/>
        <v>33</v>
      </c>
      <c r="U32" s="7">
        <v>108</v>
      </c>
      <c r="V32" s="16">
        <f t="shared" si="2"/>
        <v>3564</v>
      </c>
      <c r="W32" s="7">
        <v>5</v>
      </c>
      <c r="X32" s="54" t="s">
        <v>46</v>
      </c>
      <c r="Y32" s="54" t="s">
        <v>50</v>
      </c>
      <c r="Z32" s="54" t="s">
        <v>84</v>
      </c>
      <c r="AA32" s="54" t="s">
        <v>78</v>
      </c>
      <c r="AB32" s="39" t="s">
        <v>158</v>
      </c>
      <c r="AP32" s="28"/>
      <c r="AR32" s="28"/>
    </row>
    <row r="33" spans="1:44" x14ac:dyDescent="0.15">
      <c r="A33" s="15" t="s">
        <v>156</v>
      </c>
      <c r="B33" s="15" t="s">
        <v>157</v>
      </c>
      <c r="C33" s="15">
        <v>2019</v>
      </c>
      <c r="D33" s="37" t="s">
        <v>166</v>
      </c>
      <c r="E33" s="7" t="s">
        <v>139</v>
      </c>
      <c r="F33" s="7" t="s">
        <v>145</v>
      </c>
      <c r="G33" s="7" t="s">
        <v>36</v>
      </c>
      <c r="H33" s="15" t="s">
        <v>160</v>
      </c>
      <c r="I33" s="53" t="s">
        <v>159</v>
      </c>
      <c r="J33" s="15" t="s">
        <v>38</v>
      </c>
      <c r="K33" s="7" t="s">
        <v>161</v>
      </c>
      <c r="L33" s="7">
        <v>2</v>
      </c>
      <c r="N33" s="7">
        <v>1</v>
      </c>
      <c r="O33" s="7">
        <v>0.5</v>
      </c>
      <c r="P33" s="7">
        <v>0.5</v>
      </c>
      <c r="Q33" s="52">
        <f t="shared" si="0"/>
        <v>0.5</v>
      </c>
      <c r="R33" s="7">
        <v>12.8</v>
      </c>
      <c r="S33" s="7">
        <v>94</v>
      </c>
      <c r="T33" s="16">
        <f t="shared" si="1"/>
        <v>36</v>
      </c>
      <c r="U33" s="7">
        <v>108</v>
      </c>
      <c r="V33" s="16">
        <f t="shared" si="2"/>
        <v>3888</v>
      </c>
      <c r="W33" s="7">
        <v>5</v>
      </c>
      <c r="X33" s="15" t="s">
        <v>46</v>
      </c>
      <c r="Y33" s="54" t="s">
        <v>50</v>
      </c>
      <c r="Z33" s="54" t="s">
        <v>84</v>
      </c>
      <c r="AA33" s="54" t="s">
        <v>78</v>
      </c>
      <c r="AB33" s="39" t="s">
        <v>158</v>
      </c>
    </row>
    <row r="34" spans="1:44" x14ac:dyDescent="0.15">
      <c r="A34" s="15" t="s">
        <v>156</v>
      </c>
      <c r="B34" s="15" t="s">
        <v>157</v>
      </c>
      <c r="C34" s="15">
        <v>2019</v>
      </c>
      <c r="D34" s="37" t="s">
        <v>166</v>
      </c>
      <c r="E34" s="7" t="s">
        <v>139</v>
      </c>
      <c r="F34" s="7" t="s">
        <v>145</v>
      </c>
      <c r="G34" s="7" t="s">
        <v>36</v>
      </c>
      <c r="H34" s="15" t="s">
        <v>160</v>
      </c>
      <c r="I34" s="53" t="s">
        <v>159</v>
      </c>
      <c r="J34" s="15" t="s">
        <v>38</v>
      </c>
      <c r="K34" s="7" t="s">
        <v>161</v>
      </c>
      <c r="L34" s="7">
        <v>3</v>
      </c>
      <c r="N34" s="7">
        <v>1</v>
      </c>
      <c r="O34" s="7">
        <v>0.5</v>
      </c>
      <c r="P34" s="7">
        <v>0.5</v>
      </c>
      <c r="Q34" s="52">
        <f t="shared" si="0"/>
        <v>0.5</v>
      </c>
      <c r="R34" s="7">
        <v>15.6</v>
      </c>
      <c r="S34" s="7">
        <v>106</v>
      </c>
      <c r="T34" s="16">
        <f t="shared" si="1"/>
        <v>33</v>
      </c>
      <c r="U34" s="7">
        <v>108</v>
      </c>
      <c r="V34" s="16">
        <f t="shared" si="2"/>
        <v>3564</v>
      </c>
      <c r="W34" s="7">
        <v>5</v>
      </c>
      <c r="X34" s="15" t="s">
        <v>46</v>
      </c>
      <c r="Y34" s="54" t="s">
        <v>50</v>
      </c>
      <c r="Z34" s="54" t="s">
        <v>84</v>
      </c>
      <c r="AA34" s="54" t="s">
        <v>78</v>
      </c>
      <c r="AB34" s="39" t="s">
        <v>158</v>
      </c>
    </row>
    <row r="35" spans="1:44" x14ac:dyDescent="0.15">
      <c r="A35" s="15" t="s">
        <v>156</v>
      </c>
      <c r="B35" s="15" t="s">
        <v>157</v>
      </c>
      <c r="C35" s="15">
        <v>2019</v>
      </c>
      <c r="D35" s="37" t="s">
        <v>166</v>
      </c>
      <c r="E35" s="7" t="s">
        <v>162</v>
      </c>
      <c r="F35" s="7" t="s">
        <v>163</v>
      </c>
      <c r="G35" s="7" t="s">
        <v>36</v>
      </c>
      <c r="H35" s="15" t="s">
        <v>164</v>
      </c>
      <c r="I35" s="7" t="s">
        <v>159</v>
      </c>
      <c r="J35" s="15" t="s">
        <v>38</v>
      </c>
      <c r="K35" s="7" t="s">
        <v>161</v>
      </c>
      <c r="L35" s="7">
        <v>1</v>
      </c>
      <c r="N35" s="7">
        <v>1</v>
      </c>
      <c r="O35" s="7">
        <v>1.1499999999999999</v>
      </c>
      <c r="P35" s="7">
        <v>1.2</v>
      </c>
      <c r="Q35" s="52">
        <f t="shared" si="0"/>
        <v>1.1749999999999998</v>
      </c>
      <c r="R35" s="7">
        <v>12.8</v>
      </c>
      <c r="S35" s="7">
        <v>122</v>
      </c>
      <c r="T35" s="16">
        <f t="shared" si="1"/>
        <v>27</v>
      </c>
      <c r="U35" s="7">
        <v>98</v>
      </c>
      <c r="V35" s="16">
        <f t="shared" si="2"/>
        <v>2646</v>
      </c>
      <c r="W35" s="7">
        <v>3</v>
      </c>
      <c r="X35" s="15" t="s">
        <v>39</v>
      </c>
      <c r="Y35" s="54" t="s">
        <v>84</v>
      </c>
      <c r="Z35" s="54" t="s">
        <v>50</v>
      </c>
      <c r="AA35" s="54" t="s">
        <v>90</v>
      </c>
      <c r="AB35" s="39" t="s">
        <v>158</v>
      </c>
      <c r="AP35" s="28"/>
      <c r="AR35" s="28"/>
    </row>
    <row r="36" spans="1:44" x14ac:dyDescent="0.15">
      <c r="A36" s="15" t="s">
        <v>156</v>
      </c>
      <c r="B36" s="15" t="s">
        <v>157</v>
      </c>
      <c r="C36" s="15">
        <v>2019</v>
      </c>
      <c r="D36" s="37" t="s">
        <v>166</v>
      </c>
      <c r="E36" s="7" t="s">
        <v>162</v>
      </c>
      <c r="F36" s="7" t="s">
        <v>163</v>
      </c>
      <c r="G36" s="7" t="s">
        <v>36</v>
      </c>
      <c r="H36" s="54" t="s">
        <v>164</v>
      </c>
      <c r="I36" s="7" t="s">
        <v>159</v>
      </c>
      <c r="J36" s="15" t="s">
        <v>38</v>
      </c>
      <c r="K36" s="7" t="s">
        <v>161</v>
      </c>
      <c r="L36" s="7">
        <v>2</v>
      </c>
      <c r="N36" s="7">
        <v>1</v>
      </c>
      <c r="O36" s="7">
        <v>1.45</v>
      </c>
      <c r="P36" s="7">
        <v>1.3</v>
      </c>
      <c r="Q36" s="52">
        <f t="shared" si="0"/>
        <v>1.375</v>
      </c>
      <c r="R36" s="7">
        <v>12.6</v>
      </c>
      <c r="S36" s="7">
        <v>126</v>
      </c>
      <c r="T36" s="16">
        <f t="shared" si="1"/>
        <v>27</v>
      </c>
      <c r="U36" s="7">
        <v>98</v>
      </c>
      <c r="V36" s="16">
        <f t="shared" si="2"/>
        <v>2646</v>
      </c>
      <c r="W36" s="7">
        <v>3</v>
      </c>
      <c r="X36" s="54" t="s">
        <v>39</v>
      </c>
      <c r="Y36" s="54" t="s">
        <v>84</v>
      </c>
      <c r="Z36" s="54" t="s">
        <v>50</v>
      </c>
      <c r="AA36" s="54" t="s">
        <v>90</v>
      </c>
      <c r="AB36" s="39" t="s">
        <v>158</v>
      </c>
    </row>
    <row r="37" spans="1:44" x14ac:dyDescent="0.15">
      <c r="A37" s="15" t="s">
        <v>156</v>
      </c>
      <c r="B37" s="15" t="s">
        <v>157</v>
      </c>
      <c r="C37" s="15">
        <v>2019</v>
      </c>
      <c r="D37" s="37" t="s">
        <v>166</v>
      </c>
      <c r="E37" s="7" t="s">
        <v>162</v>
      </c>
      <c r="F37" s="7" t="s">
        <v>163</v>
      </c>
      <c r="G37" s="7" t="s">
        <v>36</v>
      </c>
      <c r="H37" s="54" t="s">
        <v>164</v>
      </c>
      <c r="I37" s="7" t="s">
        <v>159</v>
      </c>
      <c r="J37" s="15" t="s">
        <v>38</v>
      </c>
      <c r="K37" s="7" t="s">
        <v>161</v>
      </c>
      <c r="L37" s="7">
        <v>3</v>
      </c>
      <c r="N37" s="7">
        <v>1</v>
      </c>
      <c r="O37" s="34">
        <v>1.2</v>
      </c>
      <c r="P37" s="34">
        <v>1.35</v>
      </c>
      <c r="Q37" s="52">
        <f t="shared" si="0"/>
        <v>1.2749999999999999</v>
      </c>
      <c r="R37" s="7">
        <v>12.4</v>
      </c>
      <c r="S37" s="7">
        <v>124</v>
      </c>
      <c r="T37" s="16">
        <f t="shared" si="1"/>
        <v>27</v>
      </c>
      <c r="U37" s="7">
        <v>98</v>
      </c>
      <c r="V37" s="16">
        <f t="shared" si="2"/>
        <v>2646</v>
      </c>
      <c r="W37" s="7">
        <v>3</v>
      </c>
      <c r="X37" s="54" t="s">
        <v>39</v>
      </c>
      <c r="Y37" s="54" t="s">
        <v>84</v>
      </c>
      <c r="Z37" s="54" t="s">
        <v>50</v>
      </c>
      <c r="AA37" s="54" t="s">
        <v>90</v>
      </c>
      <c r="AB37" s="39" t="s">
        <v>158</v>
      </c>
    </row>
    <row r="38" spans="1:44" x14ac:dyDescent="0.15">
      <c r="A38" s="15" t="s">
        <v>156</v>
      </c>
      <c r="B38" s="15" t="s">
        <v>157</v>
      </c>
      <c r="C38" s="15">
        <v>2019</v>
      </c>
      <c r="D38" s="37" t="s">
        <v>166</v>
      </c>
      <c r="E38" s="7" t="s">
        <v>162</v>
      </c>
      <c r="F38" s="7" t="s">
        <v>163</v>
      </c>
      <c r="G38" s="7" t="s">
        <v>36</v>
      </c>
      <c r="H38" s="15" t="s">
        <v>160</v>
      </c>
      <c r="I38" s="7" t="s">
        <v>159</v>
      </c>
      <c r="J38" s="15" t="s">
        <v>38</v>
      </c>
      <c r="K38" s="7" t="s">
        <v>161</v>
      </c>
      <c r="L38" s="7">
        <v>1</v>
      </c>
      <c r="N38" s="53">
        <v>1</v>
      </c>
      <c r="O38" s="34">
        <v>0.5</v>
      </c>
      <c r="P38" s="34">
        <v>0.5</v>
      </c>
      <c r="Q38" s="52">
        <f t="shared" si="0"/>
        <v>0.5</v>
      </c>
      <c r="R38" s="7">
        <v>19.2</v>
      </c>
      <c r="S38" s="7">
        <v>132</v>
      </c>
      <c r="T38" s="16">
        <f t="shared" si="1"/>
        <v>25</v>
      </c>
      <c r="U38" s="7">
        <v>128</v>
      </c>
      <c r="V38" s="16">
        <f t="shared" si="2"/>
        <v>3200</v>
      </c>
      <c r="W38" s="7">
        <v>2</v>
      </c>
      <c r="X38" s="54" t="s">
        <v>39</v>
      </c>
      <c r="Y38" s="54" t="s">
        <v>84</v>
      </c>
      <c r="Z38" s="54" t="s">
        <v>50</v>
      </c>
      <c r="AA38" s="54" t="s">
        <v>90</v>
      </c>
      <c r="AB38" s="39" t="s">
        <v>158</v>
      </c>
    </row>
    <row r="39" spans="1:44" x14ac:dyDescent="0.15">
      <c r="A39" s="15" t="s">
        <v>156</v>
      </c>
      <c r="B39" s="15" t="s">
        <v>157</v>
      </c>
      <c r="C39" s="15">
        <v>2019</v>
      </c>
      <c r="D39" s="37" t="s">
        <v>166</v>
      </c>
      <c r="E39" s="7" t="s">
        <v>162</v>
      </c>
      <c r="F39" s="7" t="s">
        <v>163</v>
      </c>
      <c r="G39" s="7" t="s">
        <v>36</v>
      </c>
      <c r="H39" s="54" t="s">
        <v>160</v>
      </c>
      <c r="I39" s="7" t="s">
        <v>159</v>
      </c>
      <c r="J39" s="15" t="s">
        <v>38</v>
      </c>
      <c r="K39" s="7" t="s">
        <v>161</v>
      </c>
      <c r="L39" s="7">
        <v>2</v>
      </c>
      <c r="N39" s="53">
        <v>1</v>
      </c>
      <c r="O39" s="7">
        <v>0.9</v>
      </c>
      <c r="P39" s="7">
        <v>0.95</v>
      </c>
      <c r="Q39" s="52">
        <f t="shared" si="0"/>
        <v>0.92500000000000004</v>
      </c>
      <c r="R39" s="34">
        <v>13.4</v>
      </c>
      <c r="S39" s="7">
        <v>128</v>
      </c>
      <c r="T39" s="16">
        <f t="shared" si="1"/>
        <v>27</v>
      </c>
      <c r="U39" s="7">
        <v>128</v>
      </c>
      <c r="V39" s="16">
        <f t="shared" si="2"/>
        <v>3456</v>
      </c>
      <c r="W39" s="7">
        <v>2</v>
      </c>
      <c r="X39" s="54" t="s">
        <v>39</v>
      </c>
      <c r="Y39" s="54" t="s">
        <v>84</v>
      </c>
      <c r="Z39" s="54" t="s">
        <v>50</v>
      </c>
      <c r="AA39" s="54" t="s">
        <v>90</v>
      </c>
      <c r="AB39" s="39" t="s">
        <v>158</v>
      </c>
    </row>
    <row r="40" spans="1:44" x14ac:dyDescent="0.15">
      <c r="A40" s="15" t="s">
        <v>156</v>
      </c>
      <c r="B40" s="15" t="s">
        <v>157</v>
      </c>
      <c r="C40" s="15">
        <v>2019</v>
      </c>
      <c r="D40" s="37" t="s">
        <v>166</v>
      </c>
      <c r="E40" s="7" t="s">
        <v>162</v>
      </c>
      <c r="F40" s="7" t="s">
        <v>163</v>
      </c>
      <c r="G40" s="7" t="s">
        <v>36</v>
      </c>
      <c r="H40" s="54" t="s">
        <v>160</v>
      </c>
      <c r="I40" s="7" t="s">
        <v>159</v>
      </c>
      <c r="J40" s="15" t="s">
        <v>38</v>
      </c>
      <c r="K40" s="7" t="s">
        <v>161</v>
      </c>
      <c r="L40" s="7">
        <v>3</v>
      </c>
      <c r="N40" s="53">
        <v>1</v>
      </c>
      <c r="O40" s="7">
        <v>1.05</v>
      </c>
      <c r="P40" s="7">
        <v>0.9</v>
      </c>
      <c r="Q40" s="52">
        <f t="shared" si="0"/>
        <v>0.97500000000000009</v>
      </c>
      <c r="R40" s="7">
        <v>12.3</v>
      </c>
      <c r="S40" s="7">
        <v>125</v>
      </c>
      <c r="T40" s="16">
        <f t="shared" si="1"/>
        <v>27</v>
      </c>
      <c r="U40" s="7">
        <v>128</v>
      </c>
      <c r="V40" s="16">
        <f t="shared" si="2"/>
        <v>3456</v>
      </c>
      <c r="W40" s="7">
        <v>2</v>
      </c>
      <c r="X40" s="54" t="s">
        <v>39</v>
      </c>
      <c r="Y40" s="54" t="s">
        <v>84</v>
      </c>
      <c r="Z40" s="54" t="s">
        <v>50</v>
      </c>
      <c r="AA40" s="54" t="s">
        <v>90</v>
      </c>
      <c r="AB40" s="39" t="s">
        <v>158</v>
      </c>
    </row>
    <row r="41" spans="1:44" ht="12.75" customHeight="1" x14ac:dyDescent="0.15">
      <c r="A41" s="15" t="s">
        <v>156</v>
      </c>
      <c r="B41" s="15" t="s">
        <v>157</v>
      </c>
      <c r="C41" s="15">
        <v>2019</v>
      </c>
      <c r="D41" s="37" t="s">
        <v>166</v>
      </c>
      <c r="E41" s="7" t="s">
        <v>130</v>
      </c>
      <c r="F41" s="7" t="s">
        <v>146</v>
      </c>
      <c r="G41" s="7" t="s">
        <v>36</v>
      </c>
      <c r="H41" s="15" t="s">
        <v>164</v>
      </c>
      <c r="I41" s="7" t="s">
        <v>159</v>
      </c>
      <c r="J41" s="15" t="s">
        <v>38</v>
      </c>
      <c r="K41" s="7" t="s">
        <v>161</v>
      </c>
      <c r="L41" s="7">
        <v>1</v>
      </c>
      <c r="N41" s="7">
        <v>1</v>
      </c>
      <c r="O41" s="7">
        <v>0.5</v>
      </c>
      <c r="P41" s="7">
        <v>0.5</v>
      </c>
      <c r="Q41" s="52">
        <f t="shared" si="0"/>
        <v>0.5</v>
      </c>
      <c r="R41" s="7">
        <v>13.5</v>
      </c>
      <c r="S41" s="7">
        <v>91</v>
      </c>
      <c r="T41" s="16">
        <f t="shared" si="1"/>
        <v>36</v>
      </c>
      <c r="U41" s="7">
        <v>48</v>
      </c>
      <c r="V41" s="16">
        <f t="shared" si="2"/>
        <v>1728</v>
      </c>
      <c r="W41" s="7">
        <v>6</v>
      </c>
      <c r="X41" s="54" t="s">
        <v>46</v>
      </c>
      <c r="Y41" s="54" t="s">
        <v>50</v>
      </c>
      <c r="Z41" s="54" t="s">
        <v>78</v>
      </c>
      <c r="AA41" s="54" t="s">
        <v>90</v>
      </c>
      <c r="AB41" s="39" t="s">
        <v>158</v>
      </c>
    </row>
    <row r="42" spans="1:44" x14ac:dyDescent="0.15">
      <c r="A42" s="15" t="s">
        <v>156</v>
      </c>
      <c r="B42" s="15" t="s">
        <v>157</v>
      </c>
      <c r="C42" s="15">
        <v>2019</v>
      </c>
      <c r="D42" s="37" t="s">
        <v>166</v>
      </c>
      <c r="E42" s="7" t="s">
        <v>130</v>
      </c>
      <c r="F42" s="7" t="s">
        <v>146</v>
      </c>
      <c r="G42" s="7" t="s">
        <v>36</v>
      </c>
      <c r="H42" s="54" t="s">
        <v>164</v>
      </c>
      <c r="I42" s="7" t="s">
        <v>159</v>
      </c>
      <c r="J42" s="15" t="s">
        <v>38</v>
      </c>
      <c r="K42" s="7" t="s">
        <v>161</v>
      </c>
      <c r="L42" s="7">
        <v>2</v>
      </c>
      <c r="N42" s="7">
        <v>1</v>
      </c>
      <c r="O42" s="7">
        <v>0.65</v>
      </c>
      <c r="P42" s="7">
        <v>0.5</v>
      </c>
      <c r="Q42" s="52">
        <f t="shared" si="0"/>
        <v>0.57499999999999996</v>
      </c>
      <c r="R42" s="7">
        <v>13.4</v>
      </c>
      <c r="S42" s="7">
        <v>90</v>
      </c>
      <c r="T42" s="16">
        <f t="shared" si="1"/>
        <v>36</v>
      </c>
      <c r="U42" s="7">
        <v>48</v>
      </c>
      <c r="V42" s="16">
        <f t="shared" si="2"/>
        <v>1728</v>
      </c>
      <c r="W42" s="7">
        <v>6</v>
      </c>
      <c r="X42" s="54" t="s">
        <v>46</v>
      </c>
      <c r="Y42" s="54" t="s">
        <v>50</v>
      </c>
      <c r="Z42" s="54" t="s">
        <v>78</v>
      </c>
      <c r="AA42" s="54" t="s">
        <v>90</v>
      </c>
      <c r="AB42" s="39" t="s">
        <v>158</v>
      </c>
    </row>
    <row r="43" spans="1:44" x14ac:dyDescent="0.15">
      <c r="A43" s="15" t="s">
        <v>156</v>
      </c>
      <c r="B43" s="15" t="s">
        <v>157</v>
      </c>
      <c r="C43" s="15">
        <v>2019</v>
      </c>
      <c r="D43" s="37" t="s">
        <v>166</v>
      </c>
      <c r="E43" s="7" t="s">
        <v>130</v>
      </c>
      <c r="F43" s="7" t="s">
        <v>146</v>
      </c>
      <c r="G43" s="7" t="s">
        <v>36</v>
      </c>
      <c r="H43" s="54" t="s">
        <v>164</v>
      </c>
      <c r="I43" s="7" t="s">
        <v>159</v>
      </c>
      <c r="J43" s="15" t="s">
        <v>38</v>
      </c>
      <c r="K43" s="7" t="s">
        <v>161</v>
      </c>
      <c r="L43" s="7">
        <v>3</v>
      </c>
      <c r="N43" s="7">
        <v>1</v>
      </c>
      <c r="O43" s="7">
        <v>0.75</v>
      </c>
      <c r="P43" s="7">
        <v>0.6</v>
      </c>
      <c r="Q43" s="52">
        <f t="shared" si="0"/>
        <v>0.67500000000000004</v>
      </c>
      <c r="R43" s="7">
        <v>13.5</v>
      </c>
      <c r="S43" s="7">
        <v>84</v>
      </c>
      <c r="T43" s="16">
        <f t="shared" si="1"/>
        <v>36</v>
      </c>
      <c r="U43" s="7">
        <v>48</v>
      </c>
      <c r="V43" s="16">
        <f t="shared" si="2"/>
        <v>1728</v>
      </c>
      <c r="W43" s="7">
        <v>6</v>
      </c>
      <c r="X43" s="54" t="s">
        <v>46</v>
      </c>
      <c r="Y43" s="54" t="s">
        <v>50</v>
      </c>
      <c r="Z43" s="54" t="s">
        <v>78</v>
      </c>
      <c r="AA43" s="54" t="s">
        <v>90</v>
      </c>
      <c r="AB43" s="39" t="s">
        <v>158</v>
      </c>
    </row>
    <row r="44" spans="1:44" x14ac:dyDescent="0.15">
      <c r="A44" s="15" t="s">
        <v>156</v>
      </c>
      <c r="B44" s="15" t="s">
        <v>157</v>
      </c>
      <c r="C44" s="15">
        <v>2019</v>
      </c>
      <c r="D44" s="37" t="s">
        <v>166</v>
      </c>
      <c r="E44" s="7" t="s">
        <v>132</v>
      </c>
      <c r="F44" s="7" t="s">
        <v>147</v>
      </c>
      <c r="G44" s="7" t="s">
        <v>36</v>
      </c>
      <c r="H44" s="15" t="s">
        <v>164</v>
      </c>
      <c r="I44" s="7" t="s">
        <v>159</v>
      </c>
      <c r="J44" s="15" t="s">
        <v>38</v>
      </c>
      <c r="K44" s="7" t="s">
        <v>161</v>
      </c>
      <c r="L44" s="7">
        <v>1</v>
      </c>
      <c r="N44" s="7">
        <v>1</v>
      </c>
      <c r="O44" s="7">
        <v>0.5</v>
      </c>
      <c r="P44" s="7">
        <v>0.5</v>
      </c>
      <c r="Q44" s="52">
        <f t="shared" si="0"/>
        <v>0.5</v>
      </c>
      <c r="R44" s="7">
        <v>12.8</v>
      </c>
      <c r="S44" s="7">
        <v>120</v>
      </c>
      <c r="T44" s="16">
        <f t="shared" si="1"/>
        <v>30</v>
      </c>
      <c r="U44" s="7">
        <v>138</v>
      </c>
      <c r="V44" s="16">
        <f t="shared" si="2"/>
        <v>4140</v>
      </c>
      <c r="W44" s="7">
        <v>3</v>
      </c>
      <c r="X44" s="54" t="s">
        <v>46</v>
      </c>
      <c r="Y44" s="54" t="s">
        <v>84</v>
      </c>
      <c r="Z44" s="54" t="s">
        <v>50</v>
      </c>
      <c r="AA44" s="54" t="s">
        <v>90</v>
      </c>
      <c r="AB44" s="39" t="s">
        <v>158</v>
      </c>
    </row>
    <row r="45" spans="1:44" x14ac:dyDescent="0.15">
      <c r="A45" s="15" t="s">
        <v>156</v>
      </c>
      <c r="B45" s="15" t="s">
        <v>157</v>
      </c>
      <c r="C45" s="15">
        <v>2019</v>
      </c>
      <c r="D45" s="37" t="s">
        <v>166</v>
      </c>
      <c r="E45" s="7" t="s">
        <v>132</v>
      </c>
      <c r="F45" s="7" t="s">
        <v>147</v>
      </c>
      <c r="G45" s="7" t="s">
        <v>36</v>
      </c>
      <c r="H45" s="15" t="s">
        <v>164</v>
      </c>
      <c r="I45" s="7" t="s">
        <v>159</v>
      </c>
      <c r="J45" s="15" t="s">
        <v>38</v>
      </c>
      <c r="K45" s="7" t="s">
        <v>161</v>
      </c>
      <c r="L45" s="7">
        <v>2</v>
      </c>
      <c r="N45" s="7">
        <v>1</v>
      </c>
      <c r="O45" s="7">
        <v>0.5</v>
      </c>
      <c r="P45" s="7">
        <v>0.6</v>
      </c>
      <c r="Q45" s="52">
        <f t="shared" si="0"/>
        <v>0.55000000000000004</v>
      </c>
      <c r="R45" s="7">
        <v>13.6</v>
      </c>
      <c r="S45" s="7">
        <v>121</v>
      </c>
      <c r="T45" s="16">
        <f t="shared" si="1"/>
        <v>27</v>
      </c>
      <c r="U45" s="7">
        <v>138</v>
      </c>
      <c r="V45" s="16">
        <f t="shared" si="2"/>
        <v>3726</v>
      </c>
      <c r="W45" s="7">
        <v>3</v>
      </c>
      <c r="X45" s="54" t="s">
        <v>46</v>
      </c>
      <c r="Y45" s="54" t="s">
        <v>84</v>
      </c>
      <c r="Z45" s="54" t="s">
        <v>50</v>
      </c>
      <c r="AA45" s="54" t="s">
        <v>90</v>
      </c>
      <c r="AB45" s="39" t="s">
        <v>158</v>
      </c>
    </row>
    <row r="46" spans="1:44" x14ac:dyDescent="0.15">
      <c r="A46" s="15" t="s">
        <v>156</v>
      </c>
      <c r="B46" s="15" t="s">
        <v>157</v>
      </c>
      <c r="C46" s="15">
        <v>2019</v>
      </c>
      <c r="D46" s="37" t="s">
        <v>166</v>
      </c>
      <c r="E46" s="7" t="s">
        <v>132</v>
      </c>
      <c r="F46" s="7" t="s">
        <v>147</v>
      </c>
      <c r="G46" s="7" t="s">
        <v>36</v>
      </c>
      <c r="H46" s="15" t="s">
        <v>164</v>
      </c>
      <c r="I46" s="7" t="s">
        <v>159</v>
      </c>
      <c r="J46" s="15" t="s">
        <v>38</v>
      </c>
      <c r="K46" s="7" t="s">
        <v>161</v>
      </c>
      <c r="L46" s="7">
        <v>3</v>
      </c>
      <c r="N46" s="7">
        <v>1</v>
      </c>
      <c r="O46" s="7">
        <v>0.55000000000000004</v>
      </c>
      <c r="P46" s="34">
        <v>0.65</v>
      </c>
      <c r="Q46" s="52">
        <f t="shared" si="0"/>
        <v>0.60000000000000009</v>
      </c>
      <c r="R46" s="7">
        <v>13.8</v>
      </c>
      <c r="S46" s="7">
        <v>118</v>
      </c>
      <c r="T46" s="16">
        <f t="shared" si="1"/>
        <v>30</v>
      </c>
      <c r="U46" s="7">
        <v>138</v>
      </c>
      <c r="V46" s="16">
        <f t="shared" si="2"/>
        <v>4140</v>
      </c>
      <c r="W46" s="7">
        <v>3</v>
      </c>
      <c r="X46" s="54" t="s">
        <v>46</v>
      </c>
      <c r="Y46" s="54" t="s">
        <v>84</v>
      </c>
      <c r="Z46" s="54" t="s">
        <v>50</v>
      </c>
      <c r="AA46" s="54" t="s">
        <v>90</v>
      </c>
      <c r="AB46" s="39" t="s">
        <v>158</v>
      </c>
    </row>
    <row r="47" spans="1:44" x14ac:dyDescent="0.15">
      <c r="A47" s="15" t="s">
        <v>156</v>
      </c>
      <c r="B47" s="15" t="s">
        <v>157</v>
      </c>
      <c r="C47" s="15">
        <v>2019</v>
      </c>
      <c r="D47" s="37" t="s">
        <v>166</v>
      </c>
      <c r="E47" s="7" t="s">
        <v>132</v>
      </c>
      <c r="F47" s="7" t="s">
        <v>147</v>
      </c>
      <c r="G47" s="7" t="s">
        <v>36</v>
      </c>
      <c r="H47" s="15" t="s">
        <v>160</v>
      </c>
      <c r="I47" s="7" t="s">
        <v>159</v>
      </c>
      <c r="J47" s="15" t="s">
        <v>38</v>
      </c>
      <c r="K47" s="7" t="s">
        <v>161</v>
      </c>
      <c r="L47" s="7">
        <v>1</v>
      </c>
      <c r="N47" s="7">
        <v>1</v>
      </c>
      <c r="O47" s="7">
        <v>0.5</v>
      </c>
      <c r="P47" s="7">
        <v>0.5</v>
      </c>
      <c r="Q47" s="52">
        <f t="shared" si="0"/>
        <v>0.5</v>
      </c>
      <c r="R47" s="7">
        <v>13.6</v>
      </c>
      <c r="S47" s="7">
        <v>126</v>
      </c>
      <c r="T47" s="16">
        <f t="shared" si="1"/>
        <v>27</v>
      </c>
      <c r="U47" s="7">
        <v>138</v>
      </c>
      <c r="V47" s="16">
        <f t="shared" si="2"/>
        <v>3726</v>
      </c>
      <c r="W47" s="7">
        <v>3</v>
      </c>
      <c r="X47" s="15" t="s">
        <v>46</v>
      </c>
      <c r="Y47" s="54" t="s">
        <v>84</v>
      </c>
      <c r="Z47" s="54" t="s">
        <v>50</v>
      </c>
      <c r="AA47" s="54" t="s">
        <v>90</v>
      </c>
      <c r="AB47" s="39" t="s">
        <v>158</v>
      </c>
    </row>
    <row r="48" spans="1:44" x14ac:dyDescent="0.15">
      <c r="A48" s="15" t="s">
        <v>156</v>
      </c>
      <c r="B48" s="15" t="s">
        <v>157</v>
      </c>
      <c r="C48" s="15">
        <v>2019</v>
      </c>
      <c r="D48" s="37" t="s">
        <v>166</v>
      </c>
      <c r="E48" s="7" t="s">
        <v>132</v>
      </c>
      <c r="F48" s="7" t="s">
        <v>147</v>
      </c>
      <c r="G48" s="7" t="s">
        <v>36</v>
      </c>
      <c r="H48" s="15" t="s">
        <v>160</v>
      </c>
      <c r="I48" s="7" t="s">
        <v>159</v>
      </c>
      <c r="J48" s="15" t="s">
        <v>38</v>
      </c>
      <c r="K48" s="7" t="s">
        <v>161</v>
      </c>
      <c r="L48" s="7">
        <v>2</v>
      </c>
      <c r="N48" s="7">
        <v>1</v>
      </c>
      <c r="O48" s="7">
        <v>0.6</v>
      </c>
      <c r="P48" s="7">
        <v>0.65</v>
      </c>
      <c r="Q48" s="52">
        <f t="shared" si="0"/>
        <v>0.625</v>
      </c>
      <c r="R48" s="7">
        <v>14.4</v>
      </c>
      <c r="S48" s="7">
        <v>134</v>
      </c>
      <c r="T48" s="16">
        <f t="shared" si="1"/>
        <v>25</v>
      </c>
      <c r="U48" s="7">
        <v>138</v>
      </c>
      <c r="V48" s="16">
        <f t="shared" si="2"/>
        <v>3450</v>
      </c>
      <c r="W48" s="7">
        <v>3</v>
      </c>
      <c r="X48" s="15" t="s">
        <v>46</v>
      </c>
      <c r="Y48" s="54" t="s">
        <v>84</v>
      </c>
      <c r="Z48" s="54" t="s">
        <v>50</v>
      </c>
      <c r="AA48" s="54" t="s">
        <v>90</v>
      </c>
      <c r="AB48" s="39" t="s">
        <v>158</v>
      </c>
    </row>
    <row r="49" spans="1:29" x14ac:dyDescent="0.15">
      <c r="A49" s="15" t="s">
        <v>156</v>
      </c>
      <c r="B49" s="15" t="s">
        <v>157</v>
      </c>
      <c r="C49" s="15">
        <v>2019</v>
      </c>
      <c r="D49" s="37" t="s">
        <v>166</v>
      </c>
      <c r="E49" s="7" t="s">
        <v>132</v>
      </c>
      <c r="F49" s="7" t="s">
        <v>147</v>
      </c>
      <c r="G49" s="7" t="s">
        <v>36</v>
      </c>
      <c r="H49" s="15" t="s">
        <v>160</v>
      </c>
      <c r="I49" s="7" t="s">
        <v>159</v>
      </c>
      <c r="J49" s="15" t="s">
        <v>38</v>
      </c>
      <c r="K49" s="7" t="s">
        <v>161</v>
      </c>
      <c r="L49" s="7">
        <v>3</v>
      </c>
      <c r="N49" s="7">
        <v>1</v>
      </c>
      <c r="O49" s="7">
        <v>0.8</v>
      </c>
      <c r="P49" s="34">
        <v>0.7</v>
      </c>
      <c r="Q49" s="52">
        <f t="shared" si="0"/>
        <v>0.75</v>
      </c>
      <c r="R49" s="7">
        <v>15.3</v>
      </c>
      <c r="S49" s="7">
        <v>127</v>
      </c>
      <c r="T49" s="16">
        <f t="shared" si="1"/>
        <v>27</v>
      </c>
      <c r="U49" s="7">
        <v>138</v>
      </c>
      <c r="V49" s="16">
        <f t="shared" si="2"/>
        <v>3726</v>
      </c>
      <c r="W49" s="7">
        <v>3</v>
      </c>
      <c r="X49" s="15" t="s">
        <v>46</v>
      </c>
      <c r="Y49" s="54" t="s">
        <v>84</v>
      </c>
      <c r="Z49" s="54" t="s">
        <v>50</v>
      </c>
      <c r="AA49" s="54" t="s">
        <v>90</v>
      </c>
      <c r="AB49" s="39" t="s">
        <v>158</v>
      </c>
    </row>
    <row r="50" spans="1:29" x14ac:dyDescent="0.15">
      <c r="A50" s="15" t="s">
        <v>156</v>
      </c>
      <c r="B50" s="15" t="s">
        <v>157</v>
      </c>
      <c r="C50" s="15">
        <v>2019</v>
      </c>
      <c r="D50" s="37" t="s">
        <v>166</v>
      </c>
      <c r="E50" s="7" t="s">
        <v>140</v>
      </c>
      <c r="F50" s="7" t="s">
        <v>148</v>
      </c>
      <c r="G50" s="7" t="s">
        <v>36</v>
      </c>
      <c r="H50" s="15" t="s">
        <v>164</v>
      </c>
      <c r="I50" s="7" t="s">
        <v>159</v>
      </c>
      <c r="J50" s="15" t="s">
        <v>38</v>
      </c>
      <c r="K50" s="7" t="s">
        <v>161</v>
      </c>
      <c r="L50" s="7">
        <v>1</v>
      </c>
      <c r="N50" s="7">
        <v>1</v>
      </c>
      <c r="O50" s="7">
        <v>0.95</v>
      </c>
      <c r="P50" s="7">
        <v>1</v>
      </c>
      <c r="Q50" s="52">
        <f t="shared" si="0"/>
        <v>0.97499999999999998</v>
      </c>
      <c r="R50" s="7">
        <v>12.1</v>
      </c>
      <c r="S50" s="7">
        <v>126</v>
      </c>
      <c r="T50" s="16">
        <f t="shared" si="1"/>
        <v>27</v>
      </c>
      <c r="U50" s="7">
        <v>105</v>
      </c>
      <c r="V50" s="16">
        <f t="shared" si="2"/>
        <v>2835</v>
      </c>
      <c r="W50" s="7">
        <v>12</v>
      </c>
      <c r="X50" s="15" t="s">
        <v>46</v>
      </c>
      <c r="Y50" s="54" t="s">
        <v>90</v>
      </c>
      <c r="Z50" s="54" t="s">
        <v>84</v>
      </c>
      <c r="AA50" s="54" t="s">
        <v>69</v>
      </c>
      <c r="AB50" s="39" t="s">
        <v>158</v>
      </c>
    </row>
    <row r="51" spans="1:29" x14ac:dyDescent="0.15">
      <c r="A51" s="15" t="s">
        <v>156</v>
      </c>
      <c r="B51" s="15" t="s">
        <v>157</v>
      </c>
      <c r="C51" s="15">
        <v>2019</v>
      </c>
      <c r="D51" s="37" t="s">
        <v>166</v>
      </c>
      <c r="E51" s="7" t="s">
        <v>140</v>
      </c>
      <c r="F51" s="7" t="s">
        <v>148</v>
      </c>
      <c r="G51" s="7" t="s">
        <v>36</v>
      </c>
      <c r="H51" s="15" t="s">
        <v>164</v>
      </c>
      <c r="I51" s="7" t="s">
        <v>159</v>
      </c>
      <c r="J51" s="15" t="s">
        <v>38</v>
      </c>
      <c r="K51" s="7" t="s">
        <v>161</v>
      </c>
      <c r="L51" s="7">
        <v>2</v>
      </c>
      <c r="N51" s="7">
        <v>1</v>
      </c>
      <c r="O51" s="7">
        <v>1</v>
      </c>
      <c r="P51" s="7">
        <v>1</v>
      </c>
      <c r="Q51" s="52">
        <f t="shared" si="0"/>
        <v>1</v>
      </c>
      <c r="R51" s="7">
        <v>13</v>
      </c>
      <c r="S51" s="7">
        <v>121</v>
      </c>
      <c r="T51" s="16">
        <f t="shared" si="1"/>
        <v>27</v>
      </c>
      <c r="U51" s="7">
        <v>105</v>
      </c>
      <c r="V51" s="16">
        <f t="shared" si="2"/>
        <v>2835</v>
      </c>
      <c r="W51" s="7">
        <v>12</v>
      </c>
      <c r="X51" s="15" t="s">
        <v>46</v>
      </c>
      <c r="Y51" s="54" t="s">
        <v>90</v>
      </c>
      <c r="Z51" s="54" t="s">
        <v>84</v>
      </c>
      <c r="AA51" s="54" t="s">
        <v>69</v>
      </c>
      <c r="AB51" s="39" t="s">
        <v>158</v>
      </c>
    </row>
    <row r="52" spans="1:29" x14ac:dyDescent="0.15">
      <c r="A52" s="15" t="s">
        <v>156</v>
      </c>
      <c r="B52" s="15" t="s">
        <v>157</v>
      </c>
      <c r="C52" s="15">
        <v>2019</v>
      </c>
      <c r="D52" s="37" t="s">
        <v>166</v>
      </c>
      <c r="E52" s="7" t="s">
        <v>140</v>
      </c>
      <c r="F52" s="7" t="s">
        <v>148</v>
      </c>
      <c r="G52" s="7" t="s">
        <v>36</v>
      </c>
      <c r="H52" s="15" t="s">
        <v>164</v>
      </c>
      <c r="I52" s="7" t="s">
        <v>159</v>
      </c>
      <c r="J52" s="15" t="s">
        <v>38</v>
      </c>
      <c r="K52" s="7" t="s">
        <v>161</v>
      </c>
      <c r="L52" s="7">
        <v>3</v>
      </c>
      <c r="N52" s="7">
        <v>1</v>
      </c>
      <c r="O52" s="7">
        <v>1.05</v>
      </c>
      <c r="P52" s="7">
        <v>1.05</v>
      </c>
      <c r="Q52" s="52">
        <f t="shared" si="0"/>
        <v>1.05</v>
      </c>
      <c r="R52" s="7">
        <v>12.7</v>
      </c>
      <c r="S52" s="7">
        <v>123</v>
      </c>
      <c r="T52" s="16">
        <f t="shared" si="1"/>
        <v>27</v>
      </c>
      <c r="U52" s="7">
        <v>105</v>
      </c>
      <c r="V52" s="16">
        <f t="shared" si="2"/>
        <v>2835</v>
      </c>
      <c r="W52" s="7">
        <v>12</v>
      </c>
      <c r="X52" s="15" t="s">
        <v>46</v>
      </c>
      <c r="Y52" s="54" t="s">
        <v>90</v>
      </c>
      <c r="Z52" s="54" t="s">
        <v>84</v>
      </c>
      <c r="AA52" s="54" t="s">
        <v>69</v>
      </c>
      <c r="AB52" s="39" t="s">
        <v>158</v>
      </c>
    </row>
    <row r="53" spans="1:29" x14ac:dyDescent="0.15">
      <c r="A53" s="15" t="s">
        <v>156</v>
      </c>
      <c r="B53" s="15" t="s">
        <v>157</v>
      </c>
      <c r="C53" s="15">
        <v>2019</v>
      </c>
      <c r="D53" s="37" t="s">
        <v>166</v>
      </c>
      <c r="E53" s="7" t="s">
        <v>140</v>
      </c>
      <c r="F53" s="7" t="s">
        <v>148</v>
      </c>
      <c r="G53" s="7" t="s">
        <v>36</v>
      </c>
      <c r="H53" s="15" t="s">
        <v>160</v>
      </c>
      <c r="I53" s="7" t="s">
        <v>159</v>
      </c>
      <c r="J53" s="15" t="s">
        <v>38</v>
      </c>
      <c r="K53" s="7" t="s">
        <v>161</v>
      </c>
      <c r="L53" s="7">
        <v>1</v>
      </c>
      <c r="N53" s="7">
        <v>6</v>
      </c>
      <c r="O53" s="7">
        <v>0.6</v>
      </c>
      <c r="P53" s="7">
        <v>0.5</v>
      </c>
      <c r="Q53" s="52">
        <f t="shared" si="0"/>
        <v>0.55000000000000004</v>
      </c>
      <c r="R53" s="7">
        <v>14.9</v>
      </c>
      <c r="S53" s="7">
        <v>93</v>
      </c>
      <c r="T53" s="16">
        <f t="shared" si="1"/>
        <v>36</v>
      </c>
      <c r="U53" s="7">
        <v>626</v>
      </c>
      <c r="V53" s="16">
        <f t="shared" si="2"/>
        <v>3756</v>
      </c>
      <c r="W53" s="7">
        <v>2</v>
      </c>
      <c r="X53" s="15" t="s">
        <v>46</v>
      </c>
      <c r="Y53" s="54" t="s">
        <v>90</v>
      </c>
      <c r="Z53" s="54" t="s">
        <v>84</v>
      </c>
      <c r="AA53" s="54" t="s">
        <v>69</v>
      </c>
      <c r="AB53" s="39" t="s">
        <v>158</v>
      </c>
      <c r="AC53" s="36"/>
    </row>
    <row r="54" spans="1:29" x14ac:dyDescent="0.15">
      <c r="A54" s="15" t="s">
        <v>156</v>
      </c>
      <c r="B54" s="15" t="s">
        <v>157</v>
      </c>
      <c r="C54" s="15">
        <v>2019</v>
      </c>
      <c r="D54" s="37" t="s">
        <v>166</v>
      </c>
      <c r="E54" s="7" t="s">
        <v>140</v>
      </c>
      <c r="F54" s="7" t="s">
        <v>148</v>
      </c>
      <c r="G54" s="7" t="s">
        <v>36</v>
      </c>
      <c r="H54" s="15" t="s">
        <v>160</v>
      </c>
      <c r="I54" s="7" t="s">
        <v>159</v>
      </c>
      <c r="J54" s="15" t="s">
        <v>38</v>
      </c>
      <c r="K54" s="7" t="s">
        <v>161</v>
      </c>
      <c r="L54" s="7">
        <v>2</v>
      </c>
      <c r="N54" s="7">
        <v>6</v>
      </c>
      <c r="O54" s="7">
        <v>0.5</v>
      </c>
      <c r="P54" s="7">
        <v>0.5</v>
      </c>
      <c r="Q54" s="52">
        <f t="shared" si="0"/>
        <v>0.5</v>
      </c>
      <c r="R54" s="7">
        <v>15</v>
      </c>
      <c r="S54" s="7">
        <v>101</v>
      </c>
      <c r="T54" s="16">
        <f t="shared" si="1"/>
        <v>33</v>
      </c>
      <c r="U54" s="7">
        <v>626</v>
      </c>
      <c r="V54" s="16">
        <f t="shared" si="2"/>
        <v>3443</v>
      </c>
      <c r="W54" s="7">
        <v>2</v>
      </c>
      <c r="X54" s="15" t="s">
        <v>46</v>
      </c>
      <c r="Y54" s="54" t="s">
        <v>90</v>
      </c>
      <c r="Z54" s="54" t="s">
        <v>84</v>
      </c>
      <c r="AA54" s="54" t="s">
        <v>69</v>
      </c>
      <c r="AB54" s="39" t="s">
        <v>158</v>
      </c>
      <c r="AC54" s="36"/>
    </row>
    <row r="55" spans="1:29" x14ac:dyDescent="0.15">
      <c r="A55" s="15" t="s">
        <v>156</v>
      </c>
      <c r="B55" s="15" t="s">
        <v>157</v>
      </c>
      <c r="C55" s="15">
        <v>2019</v>
      </c>
      <c r="D55" s="37" t="s">
        <v>166</v>
      </c>
      <c r="E55" s="7" t="s">
        <v>140</v>
      </c>
      <c r="F55" s="7" t="s">
        <v>148</v>
      </c>
      <c r="G55" s="7" t="s">
        <v>36</v>
      </c>
      <c r="H55" s="15" t="s">
        <v>160</v>
      </c>
      <c r="I55" s="7" t="s">
        <v>159</v>
      </c>
      <c r="J55" s="15" t="s">
        <v>38</v>
      </c>
      <c r="K55" s="7" t="s">
        <v>161</v>
      </c>
      <c r="L55" s="7">
        <v>3</v>
      </c>
      <c r="N55" s="7">
        <v>6</v>
      </c>
      <c r="O55" s="7">
        <v>0.6</v>
      </c>
      <c r="P55" s="7">
        <v>0.6</v>
      </c>
      <c r="Q55" s="52">
        <f t="shared" si="0"/>
        <v>0.6</v>
      </c>
      <c r="R55" s="7">
        <v>14.8</v>
      </c>
      <c r="S55" s="7">
        <v>91</v>
      </c>
      <c r="T55" s="16">
        <f t="shared" si="1"/>
        <v>36</v>
      </c>
      <c r="U55" s="7">
        <v>626</v>
      </c>
      <c r="V55" s="16">
        <f t="shared" si="2"/>
        <v>3756</v>
      </c>
      <c r="W55" s="7">
        <v>2</v>
      </c>
      <c r="X55" s="15" t="s">
        <v>46</v>
      </c>
      <c r="Y55" s="54" t="s">
        <v>90</v>
      </c>
      <c r="Z55" s="54" t="s">
        <v>84</v>
      </c>
      <c r="AA55" s="54" t="s">
        <v>69</v>
      </c>
      <c r="AB55" s="39" t="s">
        <v>158</v>
      </c>
      <c r="AC55" s="36"/>
    </row>
    <row r="56" spans="1:29" x14ac:dyDescent="0.15">
      <c r="A56" s="15"/>
      <c r="B56" s="15"/>
      <c r="C56" s="15"/>
      <c r="D56" s="37"/>
      <c r="H56" s="15"/>
      <c r="J56" s="15"/>
      <c r="Q56" s="52" t="str">
        <f t="shared" si="0"/>
        <v/>
      </c>
      <c r="T56" s="16" t="str">
        <f t="shared" si="1"/>
        <v/>
      </c>
      <c r="V56" s="16" t="str">
        <f t="shared" si="2"/>
        <v/>
      </c>
      <c r="X56" s="15"/>
      <c r="Y56" s="54"/>
      <c r="Z56" s="54"/>
      <c r="AA56" s="54"/>
      <c r="AB56" s="39"/>
    </row>
    <row r="57" spans="1:29" x14ac:dyDescent="0.15">
      <c r="A57" s="15"/>
      <c r="B57" s="15"/>
      <c r="C57" s="15"/>
      <c r="D57" s="37"/>
      <c r="H57" s="54"/>
      <c r="J57" s="15"/>
      <c r="Q57" s="52" t="str">
        <f t="shared" si="0"/>
        <v/>
      </c>
      <c r="T57" s="16" t="str">
        <f t="shared" si="1"/>
        <v/>
      </c>
      <c r="V57" s="16" t="str">
        <f t="shared" si="2"/>
        <v/>
      </c>
      <c r="X57" s="15"/>
      <c r="Y57" s="54"/>
      <c r="Z57" s="54"/>
      <c r="AA57" s="54"/>
      <c r="AB57" s="39"/>
    </row>
    <row r="58" spans="1:29" x14ac:dyDescent="0.15">
      <c r="A58" s="15"/>
      <c r="B58" s="15"/>
      <c r="C58" s="15"/>
      <c r="D58" s="37"/>
      <c r="H58" s="54"/>
      <c r="J58" s="15"/>
      <c r="Q58" s="52" t="str">
        <f t="shared" si="0"/>
        <v/>
      </c>
      <c r="T58" s="16" t="str">
        <f t="shared" si="1"/>
        <v/>
      </c>
      <c r="V58" s="16" t="str">
        <f t="shared" si="2"/>
        <v/>
      </c>
      <c r="X58" s="15"/>
      <c r="Y58" s="54"/>
      <c r="Z58" s="54"/>
      <c r="AA58" s="54"/>
      <c r="AB58" s="39"/>
    </row>
    <row r="59" spans="1:29" x14ac:dyDescent="0.15">
      <c r="A59" s="15"/>
      <c r="B59" s="15"/>
      <c r="C59" s="15"/>
      <c r="D59" s="37"/>
      <c r="H59" s="15"/>
      <c r="J59" s="15"/>
      <c r="Q59" s="52" t="str">
        <f t="shared" si="0"/>
        <v/>
      </c>
      <c r="T59" s="16" t="str">
        <f t="shared" si="1"/>
        <v/>
      </c>
      <c r="V59" s="16" t="str">
        <f t="shared" si="2"/>
        <v/>
      </c>
      <c r="X59" s="54"/>
      <c r="Y59" s="54"/>
      <c r="Z59" s="54"/>
      <c r="AA59" s="54"/>
      <c r="AB59" s="39"/>
    </row>
    <row r="60" spans="1:29" x14ac:dyDescent="0.15">
      <c r="A60" s="15"/>
      <c r="B60" s="15"/>
      <c r="C60" s="15"/>
      <c r="D60" s="37"/>
      <c r="H60" s="15"/>
      <c r="J60" s="15"/>
      <c r="Q60" s="52" t="str">
        <f t="shared" si="0"/>
        <v/>
      </c>
      <c r="T60" s="16" t="str">
        <f>IF(H60="","",IF(OR(H60="GREEN",H60="GK"),IF(S60&gt;=$AX$2,VLOOKUP(S60,$AX$2:$AY$12,2,1),""),IF(S60&gt;=$AZ$2,VLOOKUP(S60,$AZ$2:$BA$12,2,1),"")))</f>
        <v/>
      </c>
      <c r="V60" s="16" t="str">
        <f t="shared" si="2"/>
        <v/>
      </c>
      <c r="X60" s="54"/>
      <c r="Y60" s="54"/>
      <c r="Z60" s="54"/>
      <c r="AA60" s="54"/>
      <c r="AB60" s="39"/>
    </row>
    <row r="61" spans="1:29" x14ac:dyDescent="0.15">
      <c r="A61" s="15"/>
      <c r="B61" s="15"/>
      <c r="C61" s="15"/>
      <c r="D61" s="37"/>
      <c r="H61" s="15"/>
      <c r="J61" s="15"/>
      <c r="N61" s="53"/>
      <c r="Q61" s="52" t="str">
        <f t="shared" si="0"/>
        <v/>
      </c>
      <c r="T61" s="16" t="str">
        <f>IF(H61="","",IF(OR(H61="GREEN",H61="GK"),IF(S61&gt;=$AX$2,VLOOKUP(S61,$AX$2:$AY$12,2,1),""),IF(S61&gt;=$AZ$2,VLOOKUP(S61,$AZ$2:$BA$12,2,1),"")))</f>
        <v/>
      </c>
      <c r="V61" s="16" t="str">
        <f t="shared" si="2"/>
        <v/>
      </c>
      <c r="X61" s="54"/>
      <c r="Y61" s="54"/>
      <c r="Z61" s="54"/>
      <c r="AA61" s="54"/>
      <c r="AB61" s="39"/>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L65" s="53"/>
      <c r="N65" s="53"/>
      <c r="Q65" s="52" t="str">
        <f t="shared" si="0"/>
        <v/>
      </c>
      <c r="T65" s="16" t="str">
        <f t="shared" si="3"/>
        <v/>
      </c>
      <c r="V65" s="16" t="str">
        <f t="shared" si="2"/>
        <v/>
      </c>
      <c r="X65" s="54"/>
      <c r="Y65" s="54"/>
      <c r="Z65" s="54"/>
      <c r="AA65" s="54"/>
      <c r="AB65" s="39"/>
    </row>
    <row r="66" spans="1:28" x14ac:dyDescent="0.15">
      <c r="A66" s="15"/>
      <c r="B66" s="15"/>
      <c r="C66" s="15"/>
      <c r="D66" s="37"/>
      <c r="H66" s="54"/>
      <c r="I66" s="53"/>
      <c r="J66" s="54"/>
      <c r="K66" s="53"/>
      <c r="L66" s="53"/>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54"/>
      <c r="I67" s="53"/>
      <c r="J67" s="54"/>
      <c r="K67" s="53"/>
      <c r="L67" s="53"/>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1EFD0-808A-4239-86AA-36C02249610C}">
  <dimension ref="A1:BA317"/>
  <sheetViews>
    <sheetView zoomScale="70" zoomScaleNormal="70" workbookViewId="0">
      <selection activeCell="AC27" sqref="AC27"/>
    </sheetView>
  </sheetViews>
  <sheetFormatPr defaultColWidth="9" defaultRowHeight="13.5" x14ac:dyDescent="0.15"/>
  <cols>
    <col min="1" max="3" width="9" style="53"/>
    <col min="4" max="4" width="11" style="53" customWidth="1"/>
    <col min="5" max="5" width="10.875" style="53" customWidth="1"/>
    <col min="6" max="9" width="9" style="53"/>
    <col min="10" max="10" width="9" style="53" customWidth="1"/>
    <col min="11"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168</v>
      </c>
      <c r="C1" s="55" t="s">
        <v>169</v>
      </c>
      <c r="D1" s="56" t="s">
        <v>3</v>
      </c>
      <c r="E1" s="45" t="s">
        <v>4</v>
      </c>
      <c r="F1" s="45" t="s">
        <v>5</v>
      </c>
      <c r="G1" s="45" t="s">
        <v>6</v>
      </c>
      <c r="H1" s="45" t="s">
        <v>7</v>
      </c>
      <c r="I1" s="45" t="s">
        <v>8</v>
      </c>
      <c r="J1" s="45" t="s">
        <v>9</v>
      </c>
      <c r="K1" s="45" t="s">
        <v>10</v>
      </c>
      <c r="L1" s="56" t="s">
        <v>170</v>
      </c>
      <c r="M1" s="56" t="s">
        <v>171</v>
      </c>
      <c r="N1" s="56" t="s">
        <v>13</v>
      </c>
      <c r="O1" s="56" t="s">
        <v>172</v>
      </c>
      <c r="P1" s="56" t="s">
        <v>173</v>
      </c>
      <c r="Q1" s="57" t="s">
        <v>174</v>
      </c>
      <c r="R1" s="56" t="s">
        <v>175</v>
      </c>
      <c r="S1" s="56" t="s">
        <v>176</v>
      </c>
      <c r="T1" s="57" t="s">
        <v>19</v>
      </c>
      <c r="U1" s="58" t="s">
        <v>108</v>
      </c>
      <c r="V1" s="59" t="s">
        <v>20</v>
      </c>
      <c r="W1" s="56" t="s">
        <v>177</v>
      </c>
      <c r="X1" s="45" t="s">
        <v>22</v>
      </c>
      <c r="Y1" s="45" t="s">
        <v>23</v>
      </c>
      <c r="Z1" s="45" t="s">
        <v>24</v>
      </c>
      <c r="AA1" s="45" t="s">
        <v>25</v>
      </c>
      <c r="AB1" s="46" t="s">
        <v>178</v>
      </c>
      <c r="AE1" s="60" t="s">
        <v>0</v>
      </c>
      <c r="AF1" s="61"/>
      <c r="AG1" s="60" t="s">
        <v>4</v>
      </c>
      <c r="AH1" s="60" t="s">
        <v>5</v>
      </c>
      <c r="AI1" s="61"/>
      <c r="AJ1" s="60" t="s">
        <v>6</v>
      </c>
      <c r="AK1" s="61"/>
      <c r="AL1" s="10" t="s">
        <v>7</v>
      </c>
      <c r="AM1" s="61"/>
      <c r="AN1" s="10" t="s">
        <v>8</v>
      </c>
      <c r="AO1" s="61"/>
      <c r="AP1" s="10" t="s">
        <v>27</v>
      </c>
      <c r="AQ1" s="61"/>
      <c r="AR1" s="10" t="s">
        <v>10</v>
      </c>
      <c r="AS1" s="61"/>
      <c r="AT1" s="11" t="s">
        <v>179</v>
      </c>
      <c r="AU1" s="61"/>
      <c r="AV1" s="10" t="s">
        <v>29</v>
      </c>
      <c r="AX1" s="12" t="s">
        <v>180</v>
      </c>
      <c r="AY1" s="13" t="s">
        <v>181</v>
      </c>
      <c r="AZ1" s="13" t="s">
        <v>182</v>
      </c>
      <c r="BA1" s="14" t="s">
        <v>183</v>
      </c>
    </row>
    <row r="2" spans="1:53" x14ac:dyDescent="0.15">
      <c r="A2" s="53" t="s">
        <v>41</v>
      </c>
      <c r="B2" s="53" t="s">
        <v>157</v>
      </c>
      <c r="C2" s="62">
        <v>2019</v>
      </c>
      <c r="D2" s="63" t="s">
        <v>184</v>
      </c>
      <c r="E2" s="53" t="s">
        <v>133</v>
      </c>
      <c r="F2" s="53" t="s">
        <v>185</v>
      </c>
      <c r="G2" s="53" t="s">
        <v>42</v>
      </c>
      <c r="H2" s="53" t="s">
        <v>164</v>
      </c>
      <c r="I2" s="53" t="s">
        <v>159</v>
      </c>
      <c r="J2" s="53" t="s">
        <v>38</v>
      </c>
      <c r="K2" s="53" t="s">
        <v>161</v>
      </c>
      <c r="L2" s="53">
        <v>1</v>
      </c>
      <c r="N2" s="53">
        <v>1</v>
      </c>
      <c r="O2" s="53">
        <v>1.3</v>
      </c>
      <c r="P2" s="53">
        <v>1.5</v>
      </c>
      <c r="Q2" s="16">
        <f t="shared" ref="Q2:Q16" si="0">IF(OR(O2="",P2=""),"",AVERAGE(O2,P2))</f>
        <v>1.4</v>
      </c>
      <c r="R2" s="53">
        <v>13.2</v>
      </c>
      <c r="S2" s="53">
        <v>134</v>
      </c>
      <c r="T2" s="16">
        <f t="shared" ref="T2:T65" si="1">IF(H2="","",IF(OR(H2="GREEN",H2="GK"),IF(S2&gt;=$AX$2,VLOOKUP(S2,$AX$2:$AY$10,2,1),""),IF(S2&gt;=$AZ$2,VLOOKUP(S2,$AZ$2:$BA$10,2,1),"")))</f>
        <v>25</v>
      </c>
      <c r="U2" s="53">
        <v>105</v>
      </c>
      <c r="V2" s="16">
        <f t="shared" ref="V2:V65" si="2">IF(OR(N2="",U2="",T2=""),"",U2/N2*T2)</f>
        <v>2625</v>
      </c>
      <c r="W2" s="53">
        <v>2</v>
      </c>
      <c r="X2" s="53" t="s">
        <v>46</v>
      </c>
      <c r="Y2" s="53" t="s">
        <v>84</v>
      </c>
      <c r="Z2" s="53" t="s">
        <v>90</v>
      </c>
      <c r="AA2" s="53" t="s">
        <v>69</v>
      </c>
      <c r="AB2" s="53" t="s">
        <v>158</v>
      </c>
      <c r="AE2" s="64" t="s">
        <v>35</v>
      </c>
      <c r="AG2" s="65" t="s">
        <v>133</v>
      </c>
      <c r="AH2" s="66" t="s">
        <v>185</v>
      </c>
      <c r="AJ2" s="67" t="s">
        <v>36</v>
      </c>
      <c r="AL2" s="67" t="s">
        <v>186</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184</v>
      </c>
      <c r="E3" s="53" t="s">
        <v>133</v>
      </c>
      <c r="F3" s="53" t="s">
        <v>185</v>
      </c>
      <c r="G3" s="53" t="s">
        <v>42</v>
      </c>
      <c r="H3" s="53" t="s">
        <v>164</v>
      </c>
      <c r="I3" s="53" t="s">
        <v>159</v>
      </c>
      <c r="J3" s="53" t="s">
        <v>38</v>
      </c>
      <c r="K3" s="53" t="s">
        <v>161</v>
      </c>
      <c r="L3" s="53">
        <v>2</v>
      </c>
      <c r="N3" s="53">
        <v>1</v>
      </c>
      <c r="O3" s="53">
        <v>0.95</v>
      </c>
      <c r="P3" s="53">
        <v>1</v>
      </c>
      <c r="Q3" s="16">
        <f t="shared" si="0"/>
        <v>0.97499999999999998</v>
      </c>
      <c r="R3" s="53">
        <v>13.3</v>
      </c>
      <c r="S3" s="53">
        <v>133</v>
      </c>
      <c r="T3" s="16">
        <f t="shared" si="1"/>
        <v>25</v>
      </c>
      <c r="U3" s="53">
        <v>105</v>
      </c>
      <c r="V3" s="16">
        <f t="shared" si="2"/>
        <v>2625</v>
      </c>
      <c r="W3" s="53">
        <v>2</v>
      </c>
      <c r="X3" s="53" t="s">
        <v>46</v>
      </c>
      <c r="Y3" s="53" t="s">
        <v>84</v>
      </c>
      <c r="Z3" s="53" t="s">
        <v>90</v>
      </c>
      <c r="AA3" s="53" t="s">
        <v>69</v>
      </c>
      <c r="AB3" s="53" t="s">
        <v>158</v>
      </c>
      <c r="AE3" s="22" t="s">
        <v>41</v>
      </c>
      <c r="AG3" s="71" t="s">
        <v>187</v>
      </c>
      <c r="AH3" s="71" t="s">
        <v>185</v>
      </c>
      <c r="AJ3" s="23" t="s">
        <v>42</v>
      </c>
      <c r="AL3" s="23" t="s">
        <v>188</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189</v>
      </c>
      <c r="E4" s="53" t="s">
        <v>133</v>
      </c>
      <c r="F4" s="53" t="s">
        <v>185</v>
      </c>
      <c r="G4" s="53" t="s">
        <v>42</v>
      </c>
      <c r="H4" s="53" t="s">
        <v>164</v>
      </c>
      <c r="I4" s="53" t="s">
        <v>159</v>
      </c>
      <c r="J4" s="53" t="s">
        <v>38</v>
      </c>
      <c r="K4" s="53" t="s">
        <v>161</v>
      </c>
      <c r="L4" s="53">
        <v>3</v>
      </c>
      <c r="N4" s="53">
        <v>1</v>
      </c>
      <c r="O4" s="53">
        <v>1</v>
      </c>
      <c r="P4" s="53">
        <v>1.2</v>
      </c>
      <c r="Q4" s="16">
        <f t="shared" si="0"/>
        <v>1.1000000000000001</v>
      </c>
      <c r="R4" s="53">
        <v>11.2</v>
      </c>
      <c r="S4" s="53">
        <v>129</v>
      </c>
      <c r="T4" s="16">
        <f t="shared" si="1"/>
        <v>25</v>
      </c>
      <c r="U4" s="53">
        <v>105</v>
      </c>
      <c r="V4" s="16">
        <f t="shared" si="2"/>
        <v>2625</v>
      </c>
      <c r="W4" s="53">
        <v>2</v>
      </c>
      <c r="X4" s="53" t="s">
        <v>46</v>
      </c>
      <c r="Y4" s="53" t="s">
        <v>84</v>
      </c>
      <c r="Z4" s="53" t="s">
        <v>90</v>
      </c>
      <c r="AA4" s="53" t="s">
        <v>69</v>
      </c>
      <c r="AB4" s="53" t="s">
        <v>158</v>
      </c>
      <c r="AE4" s="22" t="s">
        <v>34</v>
      </c>
      <c r="AG4" s="71" t="s">
        <v>187</v>
      </c>
      <c r="AH4" s="71" t="s">
        <v>190</v>
      </c>
      <c r="AJ4" s="27" t="s">
        <v>48</v>
      </c>
      <c r="AL4" s="27" t="s">
        <v>191</v>
      </c>
      <c r="AN4" s="28" t="s">
        <v>192</v>
      </c>
      <c r="AP4" s="23" t="s">
        <v>193</v>
      </c>
      <c r="AR4" s="23" t="s">
        <v>194</v>
      </c>
      <c r="AT4" s="28"/>
      <c r="AV4" s="23" t="s">
        <v>50</v>
      </c>
      <c r="AX4" s="24">
        <v>75</v>
      </c>
      <c r="AY4" s="25">
        <v>42</v>
      </c>
      <c r="AZ4" s="25">
        <v>76</v>
      </c>
      <c r="BA4" s="26">
        <v>39</v>
      </c>
    </row>
    <row r="5" spans="1:53" ht="13.5" customHeight="1" x14ac:dyDescent="0.15">
      <c r="A5" s="53" t="s">
        <v>41</v>
      </c>
      <c r="B5" s="53" t="s">
        <v>157</v>
      </c>
      <c r="C5" s="62">
        <v>2019</v>
      </c>
      <c r="D5" s="63" t="s">
        <v>189</v>
      </c>
      <c r="E5" s="53" t="s">
        <v>133</v>
      </c>
      <c r="F5" s="53" t="s">
        <v>185</v>
      </c>
      <c r="G5" s="53" t="s">
        <v>42</v>
      </c>
      <c r="H5" s="53" t="s">
        <v>164</v>
      </c>
      <c r="I5" s="53" t="s">
        <v>159</v>
      </c>
      <c r="J5" s="53" t="s">
        <v>38</v>
      </c>
      <c r="K5" s="53" t="s">
        <v>161</v>
      </c>
      <c r="L5" s="53">
        <v>1</v>
      </c>
      <c r="N5" s="53">
        <v>6</v>
      </c>
      <c r="O5" s="53">
        <v>1.05</v>
      </c>
      <c r="P5" s="53">
        <v>0.95</v>
      </c>
      <c r="Q5" s="72">
        <f t="shared" si="0"/>
        <v>1</v>
      </c>
      <c r="R5" s="53">
        <v>11.8</v>
      </c>
      <c r="S5" s="53">
        <v>120</v>
      </c>
      <c r="T5" s="16">
        <f t="shared" si="1"/>
        <v>30</v>
      </c>
      <c r="U5" s="53">
        <v>646</v>
      </c>
      <c r="V5" s="16">
        <f t="shared" si="2"/>
        <v>3230</v>
      </c>
      <c r="W5" s="53">
        <v>1</v>
      </c>
      <c r="X5" s="53" t="s">
        <v>46</v>
      </c>
      <c r="Y5" s="53" t="s">
        <v>84</v>
      </c>
      <c r="Z5" s="53" t="s">
        <v>90</v>
      </c>
      <c r="AA5" s="53" t="s">
        <v>69</v>
      </c>
      <c r="AB5" s="53" t="s">
        <v>158</v>
      </c>
      <c r="AE5" s="22" t="s">
        <v>51</v>
      </c>
      <c r="AG5" s="71" t="s">
        <v>195</v>
      </c>
      <c r="AH5" s="71" t="s">
        <v>185</v>
      </c>
      <c r="AJ5" s="28"/>
      <c r="AL5" s="73" t="s">
        <v>164</v>
      </c>
      <c r="AN5" s="73" t="s">
        <v>159</v>
      </c>
      <c r="AP5" s="23" t="s">
        <v>196</v>
      </c>
      <c r="AR5" s="23" t="s">
        <v>54</v>
      </c>
      <c r="AV5" s="23" t="s">
        <v>55</v>
      </c>
      <c r="AX5" s="24">
        <v>84</v>
      </c>
      <c r="AY5" s="25">
        <v>39</v>
      </c>
      <c r="AZ5" s="25">
        <v>84</v>
      </c>
      <c r="BA5" s="26">
        <v>36</v>
      </c>
    </row>
    <row r="6" spans="1:53" x14ac:dyDescent="0.15">
      <c r="A6" s="53" t="s">
        <v>41</v>
      </c>
      <c r="B6" s="53" t="s">
        <v>157</v>
      </c>
      <c r="C6" s="62">
        <v>2019</v>
      </c>
      <c r="D6" s="63" t="s">
        <v>189</v>
      </c>
      <c r="E6" s="53" t="s">
        <v>133</v>
      </c>
      <c r="F6" s="53" t="s">
        <v>185</v>
      </c>
      <c r="G6" s="53" t="s">
        <v>42</v>
      </c>
      <c r="H6" s="53" t="s">
        <v>164</v>
      </c>
      <c r="I6" s="53" t="s">
        <v>159</v>
      </c>
      <c r="J6" s="53" t="s">
        <v>38</v>
      </c>
      <c r="K6" s="53" t="s">
        <v>161</v>
      </c>
      <c r="L6" s="53">
        <v>2</v>
      </c>
      <c r="N6" s="53">
        <v>6</v>
      </c>
      <c r="O6" s="53">
        <v>0.95</v>
      </c>
      <c r="P6" s="53">
        <v>0.8</v>
      </c>
      <c r="Q6" s="72">
        <f t="shared" si="0"/>
        <v>0.875</v>
      </c>
      <c r="R6" s="53">
        <v>12.7</v>
      </c>
      <c r="S6" s="53">
        <v>118</v>
      </c>
      <c r="T6" s="16">
        <f t="shared" si="1"/>
        <v>30</v>
      </c>
      <c r="U6" s="53">
        <v>646</v>
      </c>
      <c r="V6" s="16">
        <f t="shared" si="2"/>
        <v>3230</v>
      </c>
      <c r="W6" s="53">
        <v>1</v>
      </c>
      <c r="X6" s="53" t="s">
        <v>46</v>
      </c>
      <c r="Y6" s="53" t="s">
        <v>84</v>
      </c>
      <c r="Z6" s="53" t="s">
        <v>90</v>
      </c>
      <c r="AA6" s="53" t="s">
        <v>69</v>
      </c>
      <c r="AB6" s="53" t="s">
        <v>158</v>
      </c>
      <c r="AE6" s="22" t="s">
        <v>56</v>
      </c>
      <c r="AG6" s="71" t="s">
        <v>195</v>
      </c>
      <c r="AH6" s="71" t="s">
        <v>197</v>
      </c>
      <c r="AL6" s="73" t="s">
        <v>198</v>
      </c>
      <c r="AN6" s="73" t="s">
        <v>165</v>
      </c>
      <c r="AP6" s="23" t="s">
        <v>53</v>
      </c>
      <c r="AR6" s="23" t="s">
        <v>59</v>
      </c>
      <c r="AV6" s="23" t="s">
        <v>60</v>
      </c>
      <c r="AX6" s="24">
        <v>97</v>
      </c>
      <c r="AY6" s="25">
        <v>36</v>
      </c>
      <c r="AZ6" s="25">
        <v>99</v>
      </c>
      <c r="BA6" s="26">
        <v>33</v>
      </c>
    </row>
    <row r="7" spans="1:53" x14ac:dyDescent="0.15">
      <c r="A7" s="53" t="s">
        <v>41</v>
      </c>
      <c r="B7" s="53" t="s">
        <v>157</v>
      </c>
      <c r="C7" s="62">
        <v>2019</v>
      </c>
      <c r="D7" s="63" t="s">
        <v>189</v>
      </c>
      <c r="E7" s="53" t="s">
        <v>133</v>
      </c>
      <c r="F7" s="53" t="s">
        <v>185</v>
      </c>
      <c r="G7" s="53" t="s">
        <v>42</v>
      </c>
      <c r="H7" s="53" t="s">
        <v>164</v>
      </c>
      <c r="I7" s="53" t="s">
        <v>159</v>
      </c>
      <c r="J7" s="53" t="s">
        <v>38</v>
      </c>
      <c r="K7" s="53" t="s">
        <v>161</v>
      </c>
      <c r="L7" s="53">
        <v>3</v>
      </c>
      <c r="N7" s="53">
        <v>6</v>
      </c>
      <c r="O7" s="53">
        <v>0.85</v>
      </c>
      <c r="P7" s="53">
        <v>1</v>
      </c>
      <c r="Q7" s="72">
        <f t="shared" si="0"/>
        <v>0.92500000000000004</v>
      </c>
      <c r="R7" s="53">
        <v>12.4</v>
      </c>
      <c r="S7" s="53">
        <v>115</v>
      </c>
      <c r="T7" s="16">
        <f t="shared" si="1"/>
        <v>30</v>
      </c>
      <c r="U7" s="53">
        <v>646</v>
      </c>
      <c r="V7" s="16">
        <f t="shared" si="2"/>
        <v>3230</v>
      </c>
      <c r="W7" s="53">
        <v>1</v>
      </c>
      <c r="X7" s="53" t="s">
        <v>46</v>
      </c>
      <c r="Y7" s="53" t="s">
        <v>84</v>
      </c>
      <c r="Z7" s="53" t="s">
        <v>90</v>
      </c>
      <c r="AA7" s="53" t="s">
        <v>69</v>
      </c>
      <c r="AB7" s="53" t="s">
        <v>158</v>
      </c>
      <c r="AE7" s="22" t="s">
        <v>61</v>
      </c>
      <c r="AG7" s="71" t="s">
        <v>199</v>
      </c>
      <c r="AH7" s="71" t="s">
        <v>197</v>
      </c>
      <c r="AL7" s="74" t="s">
        <v>200</v>
      </c>
      <c r="AP7" s="23" t="s">
        <v>58</v>
      </c>
      <c r="AR7" s="23" t="s">
        <v>201</v>
      </c>
      <c r="AV7" s="23" t="s">
        <v>64</v>
      </c>
      <c r="AX7" s="24">
        <v>109</v>
      </c>
      <c r="AY7" s="25">
        <v>33</v>
      </c>
      <c r="AZ7" s="25">
        <v>113</v>
      </c>
      <c r="BA7" s="26">
        <v>30</v>
      </c>
    </row>
    <row r="8" spans="1:53" x14ac:dyDescent="0.15">
      <c r="A8" s="53" t="s">
        <v>41</v>
      </c>
      <c r="B8" s="53" t="s">
        <v>157</v>
      </c>
      <c r="C8" s="62">
        <v>2019</v>
      </c>
      <c r="D8" s="63" t="s">
        <v>189</v>
      </c>
      <c r="E8" s="53" t="s">
        <v>133</v>
      </c>
      <c r="F8" s="53" t="s">
        <v>185</v>
      </c>
      <c r="G8" s="53" t="s">
        <v>42</v>
      </c>
      <c r="H8" s="53" t="s">
        <v>188</v>
      </c>
      <c r="I8" s="53" t="s">
        <v>159</v>
      </c>
      <c r="J8" s="53" t="s">
        <v>80</v>
      </c>
      <c r="K8" s="53" t="s">
        <v>45</v>
      </c>
      <c r="L8" s="53">
        <v>1</v>
      </c>
      <c r="N8" s="53">
        <v>6</v>
      </c>
      <c r="O8" s="53">
        <v>0.8</v>
      </c>
      <c r="P8" s="53">
        <v>0.8</v>
      </c>
      <c r="Q8" s="75">
        <f t="shared" si="0"/>
        <v>0.8</v>
      </c>
      <c r="R8" s="53">
        <v>13.8</v>
      </c>
      <c r="S8" s="53">
        <v>124</v>
      </c>
      <c r="T8" s="16">
        <f t="shared" si="1"/>
        <v>27</v>
      </c>
      <c r="U8" s="53">
        <v>754</v>
      </c>
      <c r="V8" s="16">
        <f t="shared" si="2"/>
        <v>3393</v>
      </c>
      <c r="W8" s="53">
        <v>2</v>
      </c>
      <c r="X8" s="53" t="s">
        <v>46</v>
      </c>
      <c r="Y8" s="53" t="s">
        <v>84</v>
      </c>
      <c r="Z8" s="53" t="s">
        <v>90</v>
      </c>
      <c r="AA8" s="53" t="s">
        <v>69</v>
      </c>
      <c r="AB8" s="53" t="s">
        <v>158</v>
      </c>
      <c r="AE8" s="22" t="s">
        <v>59</v>
      </c>
      <c r="AG8" s="71" t="s">
        <v>202</v>
      </c>
      <c r="AH8" s="71" t="s">
        <v>203</v>
      </c>
      <c r="AL8" s="74" t="s">
        <v>160</v>
      </c>
      <c r="AP8" s="23" t="s">
        <v>62</v>
      </c>
      <c r="AR8" s="23" t="s">
        <v>81</v>
      </c>
      <c r="AV8" s="23" t="s">
        <v>97</v>
      </c>
      <c r="AX8" s="24">
        <v>119</v>
      </c>
      <c r="AY8" s="25">
        <v>30</v>
      </c>
      <c r="AZ8" s="25">
        <v>121</v>
      </c>
      <c r="BA8" s="26">
        <v>27</v>
      </c>
    </row>
    <row r="9" spans="1:53" x14ac:dyDescent="0.15">
      <c r="A9" s="53" t="s">
        <v>41</v>
      </c>
      <c r="B9" s="53" t="s">
        <v>157</v>
      </c>
      <c r="C9" s="62">
        <v>2019</v>
      </c>
      <c r="D9" s="63" t="s">
        <v>189</v>
      </c>
      <c r="E9" s="53" t="s">
        <v>133</v>
      </c>
      <c r="F9" s="53" t="s">
        <v>185</v>
      </c>
      <c r="G9" s="53" t="s">
        <v>42</v>
      </c>
      <c r="H9" s="53" t="s">
        <v>188</v>
      </c>
      <c r="I9" s="53" t="s">
        <v>159</v>
      </c>
      <c r="J9" s="53" t="s">
        <v>80</v>
      </c>
      <c r="K9" s="53" t="s">
        <v>45</v>
      </c>
      <c r="L9" s="53">
        <v>2</v>
      </c>
      <c r="M9" s="76"/>
      <c r="N9" s="53">
        <v>6</v>
      </c>
      <c r="O9" s="53">
        <v>0.85</v>
      </c>
      <c r="P9" s="53">
        <v>0.8</v>
      </c>
      <c r="Q9" s="75">
        <f t="shared" si="0"/>
        <v>0.82499999999999996</v>
      </c>
      <c r="R9" s="53">
        <v>13.5</v>
      </c>
      <c r="S9" s="53">
        <v>125</v>
      </c>
      <c r="T9" s="16">
        <f t="shared" si="1"/>
        <v>27</v>
      </c>
      <c r="U9" s="53">
        <v>754</v>
      </c>
      <c r="V9" s="16">
        <f t="shared" si="2"/>
        <v>3393</v>
      </c>
      <c r="W9" s="53">
        <v>2</v>
      </c>
      <c r="X9" s="53" t="s">
        <v>46</v>
      </c>
      <c r="Y9" s="53" t="s">
        <v>84</v>
      </c>
      <c r="Z9" s="53" t="s">
        <v>90</v>
      </c>
      <c r="AA9" s="53" t="s">
        <v>69</v>
      </c>
      <c r="AB9" s="53" t="s">
        <v>158</v>
      </c>
      <c r="AE9" s="22" t="s">
        <v>204</v>
      </c>
      <c r="AG9" s="71" t="s">
        <v>205</v>
      </c>
      <c r="AH9" s="71" t="s">
        <v>206</v>
      </c>
      <c r="AL9" s="73"/>
      <c r="AP9" s="23" t="s">
        <v>95</v>
      </c>
      <c r="AR9" s="23" t="s">
        <v>207</v>
      </c>
      <c r="AV9" s="23" t="s">
        <v>102</v>
      </c>
      <c r="AX9" s="24">
        <v>128</v>
      </c>
      <c r="AY9" s="25">
        <v>27</v>
      </c>
      <c r="AZ9" s="25">
        <v>129</v>
      </c>
      <c r="BA9" s="26">
        <v>25</v>
      </c>
    </row>
    <row r="10" spans="1:53" x14ac:dyDescent="0.15">
      <c r="A10" s="53" t="s">
        <v>41</v>
      </c>
      <c r="B10" s="53" t="s">
        <v>157</v>
      </c>
      <c r="C10" s="62">
        <v>2019</v>
      </c>
      <c r="D10" s="63" t="s">
        <v>189</v>
      </c>
      <c r="E10" s="53" t="s">
        <v>133</v>
      </c>
      <c r="F10" s="53" t="s">
        <v>185</v>
      </c>
      <c r="G10" s="53" t="s">
        <v>42</v>
      </c>
      <c r="H10" s="53" t="s">
        <v>188</v>
      </c>
      <c r="I10" s="53" t="s">
        <v>159</v>
      </c>
      <c r="J10" s="53" t="s">
        <v>80</v>
      </c>
      <c r="K10" s="53" t="s">
        <v>45</v>
      </c>
      <c r="L10" s="53">
        <v>3</v>
      </c>
      <c r="M10" s="76"/>
      <c r="N10" s="53">
        <v>6</v>
      </c>
      <c r="O10" s="53">
        <v>0.7</v>
      </c>
      <c r="P10" s="53">
        <v>0.85</v>
      </c>
      <c r="Q10" s="75">
        <f t="shared" si="0"/>
        <v>0.77499999999999991</v>
      </c>
      <c r="R10" s="53">
        <v>14.5</v>
      </c>
      <c r="S10" s="53">
        <v>125</v>
      </c>
      <c r="T10" s="16">
        <f t="shared" si="1"/>
        <v>27</v>
      </c>
      <c r="U10" s="53">
        <v>754</v>
      </c>
      <c r="V10" s="16">
        <f t="shared" si="2"/>
        <v>3393</v>
      </c>
      <c r="W10" s="53">
        <v>2</v>
      </c>
      <c r="X10" s="53" t="s">
        <v>46</v>
      </c>
      <c r="Y10" s="53" t="s">
        <v>84</v>
      </c>
      <c r="Z10" s="53" t="s">
        <v>90</v>
      </c>
      <c r="AA10" s="53" t="s">
        <v>69</v>
      </c>
      <c r="AB10" s="53" t="s">
        <v>158</v>
      </c>
      <c r="AE10" s="22" t="s">
        <v>208</v>
      </c>
      <c r="AG10" s="71" t="s">
        <v>202</v>
      </c>
      <c r="AH10" s="71" t="s">
        <v>209</v>
      </c>
      <c r="AL10" s="74"/>
      <c r="AP10" s="23" t="s">
        <v>100</v>
      </c>
      <c r="AR10" s="23" t="s">
        <v>210</v>
      </c>
      <c r="AV10" s="23" t="s">
        <v>106</v>
      </c>
      <c r="AX10" s="24">
        <v>138</v>
      </c>
      <c r="AY10" s="25">
        <v>25</v>
      </c>
      <c r="AZ10" s="25">
        <v>138</v>
      </c>
      <c r="BA10" s="26">
        <v>22</v>
      </c>
    </row>
    <row r="11" spans="1:53" x14ac:dyDescent="0.15">
      <c r="A11" s="53" t="s">
        <v>41</v>
      </c>
      <c r="B11" s="53" t="s">
        <v>157</v>
      </c>
      <c r="C11" s="62">
        <v>2019</v>
      </c>
      <c r="D11" s="63" t="s">
        <v>189</v>
      </c>
      <c r="E11" s="53" t="s">
        <v>133</v>
      </c>
      <c r="F11" s="53" t="s">
        <v>185</v>
      </c>
      <c r="G11" s="53" t="s">
        <v>42</v>
      </c>
      <c r="H11" s="53" t="s">
        <v>160</v>
      </c>
      <c r="I11" s="53" t="s">
        <v>159</v>
      </c>
      <c r="J11" s="53" t="s">
        <v>38</v>
      </c>
      <c r="K11" s="53" t="s">
        <v>161</v>
      </c>
      <c r="L11" s="53">
        <v>1</v>
      </c>
      <c r="M11" s="76"/>
      <c r="N11" s="53">
        <v>1</v>
      </c>
      <c r="O11" s="53">
        <v>0.35</v>
      </c>
      <c r="P11" s="53">
        <v>0.4</v>
      </c>
      <c r="Q11" s="72">
        <f t="shared" si="0"/>
        <v>0.375</v>
      </c>
      <c r="R11" s="53">
        <v>15</v>
      </c>
      <c r="S11" s="53">
        <v>131</v>
      </c>
      <c r="T11" s="16">
        <f t="shared" si="1"/>
        <v>25</v>
      </c>
      <c r="U11" s="53">
        <v>149</v>
      </c>
      <c r="V11" s="16">
        <f t="shared" si="2"/>
        <v>3725</v>
      </c>
      <c r="W11" s="53">
        <v>1</v>
      </c>
      <c r="X11" s="53" t="s">
        <v>46</v>
      </c>
      <c r="Y11" s="53" t="s">
        <v>84</v>
      </c>
      <c r="Z11" s="53" t="s">
        <v>90</v>
      </c>
      <c r="AA11" s="53" t="s">
        <v>69</v>
      </c>
      <c r="AB11" s="53" t="s">
        <v>158</v>
      </c>
      <c r="AE11" s="22" t="s">
        <v>68</v>
      </c>
      <c r="AG11" s="71" t="s">
        <v>211</v>
      </c>
      <c r="AH11" s="71" t="s">
        <v>212</v>
      </c>
      <c r="AL11" s="74"/>
      <c r="AP11" s="23" t="s">
        <v>104</v>
      </c>
      <c r="AR11" s="23" t="s">
        <v>213</v>
      </c>
      <c r="AV11" s="23" t="s">
        <v>69</v>
      </c>
      <c r="AX11" s="24">
        <v>151</v>
      </c>
      <c r="AY11" s="25">
        <v>22</v>
      </c>
      <c r="AZ11" s="25">
        <v>152</v>
      </c>
      <c r="BA11" s="26">
        <v>18</v>
      </c>
    </row>
    <row r="12" spans="1:53" x14ac:dyDescent="0.15">
      <c r="A12" s="53" t="s">
        <v>41</v>
      </c>
      <c r="B12" s="53" t="s">
        <v>157</v>
      </c>
      <c r="C12" s="62">
        <v>2019</v>
      </c>
      <c r="D12" s="63" t="s">
        <v>189</v>
      </c>
      <c r="E12" s="53" t="s">
        <v>133</v>
      </c>
      <c r="F12" s="53" t="s">
        <v>185</v>
      </c>
      <c r="G12" s="53" t="s">
        <v>42</v>
      </c>
      <c r="H12" s="53" t="s">
        <v>160</v>
      </c>
      <c r="I12" s="53" t="s">
        <v>159</v>
      </c>
      <c r="J12" s="53" t="s">
        <v>38</v>
      </c>
      <c r="K12" s="53" t="s">
        <v>161</v>
      </c>
      <c r="L12" s="53">
        <v>2</v>
      </c>
      <c r="M12" s="76"/>
      <c r="N12" s="53">
        <v>1</v>
      </c>
      <c r="O12" s="53">
        <v>0.4</v>
      </c>
      <c r="P12" s="53">
        <v>0.45</v>
      </c>
      <c r="Q12" s="72">
        <f t="shared" si="0"/>
        <v>0.42500000000000004</v>
      </c>
      <c r="R12" s="53">
        <v>14.2</v>
      </c>
      <c r="S12" s="53">
        <v>130</v>
      </c>
      <c r="T12" s="16">
        <f t="shared" si="1"/>
        <v>25</v>
      </c>
      <c r="U12" s="53">
        <v>149</v>
      </c>
      <c r="V12" s="16">
        <f t="shared" si="2"/>
        <v>3725</v>
      </c>
      <c r="W12" s="53">
        <v>1</v>
      </c>
      <c r="X12" s="53" t="s">
        <v>46</v>
      </c>
      <c r="Y12" s="53" t="s">
        <v>84</v>
      </c>
      <c r="Z12" s="53" t="s">
        <v>90</v>
      </c>
      <c r="AA12" s="53" t="s">
        <v>69</v>
      </c>
      <c r="AB12" s="53" t="s">
        <v>158</v>
      </c>
      <c r="AE12" s="22" t="s">
        <v>214</v>
      </c>
      <c r="AG12" s="22"/>
      <c r="AH12" s="22"/>
      <c r="AL12" s="74"/>
      <c r="AP12" s="23" t="s">
        <v>67</v>
      </c>
      <c r="AR12" s="23" t="s">
        <v>215</v>
      </c>
      <c r="AV12" s="23" t="s">
        <v>72</v>
      </c>
      <c r="AX12" s="31">
        <v>180</v>
      </c>
      <c r="AY12" s="32">
        <v>18</v>
      </c>
      <c r="AZ12" s="32">
        <v>181</v>
      </c>
      <c r="BA12" s="33">
        <v>16</v>
      </c>
    </row>
    <row r="13" spans="1:53" x14ac:dyDescent="0.15">
      <c r="A13" s="53" t="s">
        <v>41</v>
      </c>
      <c r="B13" s="53" t="s">
        <v>157</v>
      </c>
      <c r="C13" s="62">
        <v>2019</v>
      </c>
      <c r="D13" s="63" t="s">
        <v>189</v>
      </c>
      <c r="E13" s="53" t="s">
        <v>133</v>
      </c>
      <c r="F13" s="53" t="s">
        <v>185</v>
      </c>
      <c r="G13" s="53" t="s">
        <v>42</v>
      </c>
      <c r="H13" s="53" t="s">
        <v>160</v>
      </c>
      <c r="I13" s="53" t="s">
        <v>159</v>
      </c>
      <c r="J13" s="53" t="s">
        <v>38</v>
      </c>
      <c r="K13" s="53" t="s">
        <v>161</v>
      </c>
      <c r="L13" s="53">
        <v>3</v>
      </c>
      <c r="M13" s="76"/>
      <c r="N13" s="53">
        <v>1</v>
      </c>
      <c r="O13" s="53">
        <v>0.35</v>
      </c>
      <c r="P13" s="53">
        <v>0.4</v>
      </c>
      <c r="Q13" s="72">
        <f t="shared" si="0"/>
        <v>0.375</v>
      </c>
      <c r="R13" s="53">
        <v>13.5</v>
      </c>
      <c r="S13" s="53">
        <v>134</v>
      </c>
      <c r="T13" s="16">
        <f t="shared" si="1"/>
        <v>25</v>
      </c>
      <c r="U13" s="53">
        <v>149</v>
      </c>
      <c r="V13" s="16">
        <f t="shared" si="2"/>
        <v>3725</v>
      </c>
      <c r="W13" s="53">
        <v>1</v>
      </c>
      <c r="X13" s="53" t="s">
        <v>46</v>
      </c>
      <c r="Y13" s="53" t="s">
        <v>84</v>
      </c>
      <c r="Z13" s="53" t="s">
        <v>90</v>
      </c>
      <c r="AA13" s="53" t="s">
        <v>69</v>
      </c>
      <c r="AB13" s="53" t="s">
        <v>158</v>
      </c>
      <c r="AE13" s="22" t="s">
        <v>216</v>
      </c>
      <c r="AG13" s="23"/>
      <c r="AH13" s="23"/>
      <c r="AP13" s="23" t="s">
        <v>71</v>
      </c>
      <c r="AR13" s="23" t="s">
        <v>208</v>
      </c>
      <c r="AV13" s="23" t="s">
        <v>75</v>
      </c>
    </row>
    <row r="14" spans="1:53" x14ac:dyDescent="0.15">
      <c r="A14" s="53" t="s">
        <v>41</v>
      </c>
      <c r="B14" s="53" t="s">
        <v>157</v>
      </c>
      <c r="C14" s="62">
        <v>2019</v>
      </c>
      <c r="D14" s="63" t="s">
        <v>189</v>
      </c>
      <c r="E14" s="53" t="s">
        <v>133</v>
      </c>
      <c r="F14" s="53" t="s">
        <v>185</v>
      </c>
      <c r="G14" s="53" t="s">
        <v>42</v>
      </c>
      <c r="H14" s="53" t="s">
        <v>160</v>
      </c>
      <c r="I14" s="53" t="s">
        <v>159</v>
      </c>
      <c r="J14" s="53" t="s">
        <v>38</v>
      </c>
      <c r="K14" s="53" t="s">
        <v>161</v>
      </c>
      <c r="L14" s="53">
        <v>1</v>
      </c>
      <c r="M14" s="76"/>
      <c r="N14" s="53">
        <v>6</v>
      </c>
      <c r="O14" s="53">
        <v>0.25</v>
      </c>
      <c r="P14" s="53">
        <v>0.25</v>
      </c>
      <c r="Q14" s="72">
        <f t="shared" si="0"/>
        <v>0.25</v>
      </c>
      <c r="R14" s="53">
        <v>16.5</v>
      </c>
      <c r="S14" s="53">
        <v>120</v>
      </c>
      <c r="T14" s="16">
        <f t="shared" si="1"/>
        <v>30</v>
      </c>
      <c r="U14" s="53">
        <v>754</v>
      </c>
      <c r="V14" s="16">
        <f t="shared" si="2"/>
        <v>3770</v>
      </c>
      <c r="W14" s="53">
        <v>1</v>
      </c>
      <c r="X14" s="53" t="s">
        <v>46</v>
      </c>
      <c r="Y14" s="53" t="s">
        <v>84</v>
      </c>
      <c r="Z14" s="53" t="s">
        <v>90</v>
      </c>
      <c r="AA14" s="53" t="s">
        <v>69</v>
      </c>
      <c r="AB14" s="53" t="s">
        <v>158</v>
      </c>
      <c r="AE14" s="22" t="s">
        <v>96</v>
      </c>
      <c r="AG14" s="23"/>
      <c r="AH14" s="23"/>
      <c r="AP14" s="23" t="s">
        <v>74</v>
      </c>
      <c r="AR14" s="23" t="s">
        <v>217</v>
      </c>
      <c r="AV14" s="23" t="s">
        <v>78</v>
      </c>
    </row>
    <row r="15" spans="1:53" x14ac:dyDescent="0.15">
      <c r="A15" s="53" t="s">
        <v>41</v>
      </c>
      <c r="B15" s="53" t="s">
        <v>157</v>
      </c>
      <c r="C15" s="62">
        <v>2019</v>
      </c>
      <c r="D15" s="63" t="s">
        <v>189</v>
      </c>
      <c r="E15" s="53" t="s">
        <v>133</v>
      </c>
      <c r="F15" s="53" t="s">
        <v>185</v>
      </c>
      <c r="G15" s="53" t="s">
        <v>42</v>
      </c>
      <c r="H15" s="53" t="s">
        <v>160</v>
      </c>
      <c r="I15" s="53" t="s">
        <v>159</v>
      </c>
      <c r="J15" s="53" t="s">
        <v>38</v>
      </c>
      <c r="K15" s="53" t="s">
        <v>161</v>
      </c>
      <c r="L15" s="53">
        <v>2</v>
      </c>
      <c r="M15" s="76"/>
      <c r="N15" s="53">
        <v>6</v>
      </c>
      <c r="O15" s="53">
        <v>0.3</v>
      </c>
      <c r="P15" s="53">
        <v>0.3</v>
      </c>
      <c r="Q15" s="72">
        <f t="shared" si="0"/>
        <v>0.3</v>
      </c>
      <c r="R15" s="53">
        <v>15.1</v>
      </c>
      <c r="S15" s="53">
        <v>120</v>
      </c>
      <c r="T15" s="16">
        <f t="shared" si="1"/>
        <v>30</v>
      </c>
      <c r="U15" s="53">
        <v>754</v>
      </c>
      <c r="V15" s="16">
        <f t="shared" si="2"/>
        <v>3770</v>
      </c>
      <c r="W15" s="53">
        <v>1</v>
      </c>
      <c r="X15" s="53" t="s">
        <v>46</v>
      </c>
      <c r="Y15" s="53" t="s">
        <v>84</v>
      </c>
      <c r="Z15" s="53" t="s">
        <v>90</v>
      </c>
      <c r="AA15" s="53" t="s">
        <v>69</v>
      </c>
      <c r="AB15" s="53" t="s">
        <v>158</v>
      </c>
      <c r="AE15" s="22" t="s">
        <v>218</v>
      </c>
      <c r="AG15" s="23"/>
      <c r="AH15" s="23"/>
      <c r="AP15" s="23" t="s">
        <v>77</v>
      </c>
      <c r="AR15" s="23" t="s">
        <v>80</v>
      </c>
      <c r="AV15" s="23" t="s">
        <v>107</v>
      </c>
    </row>
    <row r="16" spans="1:53" x14ac:dyDescent="0.15">
      <c r="A16" s="53" t="s">
        <v>41</v>
      </c>
      <c r="B16" s="53" t="s">
        <v>157</v>
      </c>
      <c r="C16" s="62">
        <v>2019</v>
      </c>
      <c r="D16" s="63" t="s">
        <v>189</v>
      </c>
      <c r="E16" s="53" t="s">
        <v>133</v>
      </c>
      <c r="F16" s="53" t="s">
        <v>185</v>
      </c>
      <c r="G16" s="53" t="s">
        <v>42</v>
      </c>
      <c r="H16" s="53" t="s">
        <v>160</v>
      </c>
      <c r="I16" s="53" t="s">
        <v>159</v>
      </c>
      <c r="J16" s="53" t="s">
        <v>38</v>
      </c>
      <c r="K16" s="53" t="s">
        <v>161</v>
      </c>
      <c r="L16" s="53">
        <v>3</v>
      </c>
      <c r="M16" s="76"/>
      <c r="N16" s="53">
        <v>6</v>
      </c>
      <c r="O16" s="53">
        <v>0.3</v>
      </c>
      <c r="P16" s="53">
        <v>0.25</v>
      </c>
      <c r="Q16" s="72">
        <f t="shared" si="0"/>
        <v>0.27500000000000002</v>
      </c>
      <c r="R16" s="53">
        <v>16.399999999999999</v>
      </c>
      <c r="S16" s="53">
        <v>120</v>
      </c>
      <c r="T16" s="16">
        <f t="shared" si="1"/>
        <v>30</v>
      </c>
      <c r="U16" s="53">
        <v>754</v>
      </c>
      <c r="V16" s="16">
        <f t="shared" si="2"/>
        <v>3770</v>
      </c>
      <c r="W16" s="53">
        <v>1</v>
      </c>
      <c r="X16" s="53" t="s">
        <v>46</v>
      </c>
      <c r="Y16" s="53" t="s">
        <v>84</v>
      </c>
      <c r="Z16" s="53" t="s">
        <v>90</v>
      </c>
      <c r="AA16" s="53" t="s">
        <v>69</v>
      </c>
      <c r="AB16" s="53" t="s">
        <v>158</v>
      </c>
      <c r="AE16" s="22" t="s">
        <v>219</v>
      </c>
      <c r="AG16" s="28"/>
      <c r="AH16" s="28"/>
      <c r="AP16" s="23" t="s">
        <v>80</v>
      </c>
      <c r="AR16" s="23" t="s">
        <v>63</v>
      </c>
      <c r="AV16" s="23" t="s">
        <v>84</v>
      </c>
    </row>
    <row r="17" spans="1:48" x14ac:dyDescent="0.15">
      <c r="A17" s="53" t="s">
        <v>41</v>
      </c>
      <c r="B17" s="53" t="s">
        <v>157</v>
      </c>
      <c r="C17" s="62">
        <v>2019</v>
      </c>
      <c r="D17" s="63" t="s">
        <v>189</v>
      </c>
      <c r="E17" s="53" t="s">
        <v>133</v>
      </c>
      <c r="F17" s="53" t="s">
        <v>185</v>
      </c>
      <c r="G17" s="53" t="s">
        <v>42</v>
      </c>
      <c r="H17" s="53" t="s">
        <v>191</v>
      </c>
      <c r="I17" s="53" t="s">
        <v>159</v>
      </c>
      <c r="J17" s="53" t="s">
        <v>80</v>
      </c>
      <c r="K17" s="53" t="s">
        <v>59</v>
      </c>
      <c r="L17" s="53">
        <v>1</v>
      </c>
      <c r="M17" s="76"/>
      <c r="N17" s="53">
        <v>5</v>
      </c>
      <c r="O17" s="53">
        <v>0.25</v>
      </c>
      <c r="P17" s="53">
        <v>0.3</v>
      </c>
      <c r="Q17" s="75">
        <v>1.05</v>
      </c>
      <c r="R17" s="53">
        <v>16</v>
      </c>
      <c r="S17" s="53">
        <v>65</v>
      </c>
      <c r="T17" s="16">
        <f t="shared" si="1"/>
        <v>50</v>
      </c>
      <c r="U17" s="53">
        <v>538</v>
      </c>
      <c r="V17" s="16">
        <f t="shared" si="2"/>
        <v>5380</v>
      </c>
      <c r="W17" s="53">
        <v>1</v>
      </c>
      <c r="X17" s="53" t="s">
        <v>46</v>
      </c>
      <c r="Y17" s="53" t="s">
        <v>84</v>
      </c>
      <c r="Z17" s="53" t="s">
        <v>90</v>
      </c>
      <c r="AA17" s="53" t="s">
        <v>69</v>
      </c>
      <c r="AB17" s="53" t="s">
        <v>158</v>
      </c>
      <c r="AE17" s="22" t="s">
        <v>220</v>
      </c>
      <c r="AP17" s="27" t="s">
        <v>221</v>
      </c>
      <c r="AR17" s="23" t="s">
        <v>96</v>
      </c>
      <c r="AV17" s="23" t="s">
        <v>86</v>
      </c>
    </row>
    <row r="18" spans="1:48" x14ac:dyDescent="0.15">
      <c r="A18" s="53" t="s">
        <v>41</v>
      </c>
      <c r="B18" s="53" t="s">
        <v>157</v>
      </c>
      <c r="C18" s="62">
        <v>2019</v>
      </c>
      <c r="D18" s="63" t="s">
        <v>189</v>
      </c>
      <c r="E18" s="53" t="s">
        <v>133</v>
      </c>
      <c r="F18" s="53" t="s">
        <v>185</v>
      </c>
      <c r="G18" s="53" t="s">
        <v>42</v>
      </c>
      <c r="H18" s="53" t="s">
        <v>191</v>
      </c>
      <c r="I18" s="53" t="s">
        <v>159</v>
      </c>
      <c r="J18" s="53" t="s">
        <v>80</v>
      </c>
      <c r="K18" s="53" t="s">
        <v>59</v>
      </c>
      <c r="L18" s="53">
        <v>2</v>
      </c>
      <c r="M18" s="76"/>
      <c r="N18" s="53">
        <v>5</v>
      </c>
      <c r="O18" s="53">
        <v>0.3</v>
      </c>
      <c r="P18" s="53">
        <v>0.3</v>
      </c>
      <c r="Q18" s="75">
        <v>1.25</v>
      </c>
      <c r="R18" s="53">
        <v>12.9</v>
      </c>
      <c r="S18" s="53">
        <v>70</v>
      </c>
      <c r="T18" s="16">
        <f t="shared" si="1"/>
        <v>50</v>
      </c>
      <c r="U18" s="53">
        <v>538</v>
      </c>
      <c r="V18" s="16">
        <f t="shared" si="2"/>
        <v>5380</v>
      </c>
      <c r="W18" s="53">
        <v>1</v>
      </c>
      <c r="X18" s="53" t="s">
        <v>46</v>
      </c>
      <c r="Y18" s="53" t="s">
        <v>84</v>
      </c>
      <c r="Z18" s="53" t="s">
        <v>90</v>
      </c>
      <c r="AA18" s="53" t="s">
        <v>69</v>
      </c>
      <c r="AB18" s="53" t="s">
        <v>158</v>
      </c>
      <c r="AE18" s="22" t="s">
        <v>213</v>
      </c>
      <c r="AP18" s="27" t="s">
        <v>222</v>
      </c>
      <c r="AR18" s="23" t="s">
        <v>101</v>
      </c>
      <c r="AV18" s="23" t="s">
        <v>88</v>
      </c>
    </row>
    <row r="19" spans="1:48" x14ac:dyDescent="0.15">
      <c r="A19" s="53" t="s">
        <v>41</v>
      </c>
      <c r="B19" s="53" t="s">
        <v>157</v>
      </c>
      <c r="C19" s="62">
        <v>2019</v>
      </c>
      <c r="D19" s="63" t="s">
        <v>189</v>
      </c>
      <c r="E19" s="53" t="s">
        <v>133</v>
      </c>
      <c r="F19" s="53" t="s">
        <v>185</v>
      </c>
      <c r="G19" s="53" t="s">
        <v>42</v>
      </c>
      <c r="H19" s="53" t="s">
        <v>191</v>
      </c>
      <c r="I19" s="53" t="s">
        <v>159</v>
      </c>
      <c r="J19" s="53" t="s">
        <v>80</v>
      </c>
      <c r="K19" s="53" t="s">
        <v>59</v>
      </c>
      <c r="L19" s="53">
        <v>3</v>
      </c>
      <c r="M19" s="76"/>
      <c r="N19" s="53">
        <v>5</v>
      </c>
      <c r="O19" s="53">
        <v>0.35</v>
      </c>
      <c r="P19" s="53">
        <v>0.3</v>
      </c>
      <c r="Q19" s="75">
        <v>0.83</v>
      </c>
      <c r="R19" s="53">
        <v>17.399999999999999</v>
      </c>
      <c r="S19" s="53">
        <v>62</v>
      </c>
      <c r="T19" s="16">
        <f t="shared" si="1"/>
        <v>50</v>
      </c>
      <c r="U19" s="53">
        <v>538</v>
      </c>
      <c r="V19" s="16">
        <f t="shared" si="2"/>
        <v>5380</v>
      </c>
      <c r="W19" s="53">
        <v>1</v>
      </c>
      <c r="X19" s="53" t="s">
        <v>46</v>
      </c>
      <c r="Y19" s="53" t="s">
        <v>84</v>
      </c>
      <c r="Z19" s="53" t="s">
        <v>90</v>
      </c>
      <c r="AA19" s="53" t="s">
        <v>69</v>
      </c>
      <c r="AB19" s="53" t="s">
        <v>158</v>
      </c>
      <c r="AE19" s="35" t="s">
        <v>207</v>
      </c>
      <c r="AP19" s="27" t="s">
        <v>223</v>
      </c>
      <c r="AR19" s="23" t="s">
        <v>224</v>
      </c>
      <c r="AV19" s="23" t="s">
        <v>90</v>
      </c>
    </row>
    <row r="20" spans="1:48" x14ac:dyDescent="0.15">
      <c r="A20" s="53" t="s">
        <v>41</v>
      </c>
      <c r="B20" s="53" t="s">
        <v>157</v>
      </c>
      <c r="C20" s="62">
        <v>2019</v>
      </c>
      <c r="D20" s="63" t="s">
        <v>189</v>
      </c>
      <c r="E20" s="53" t="s">
        <v>133</v>
      </c>
      <c r="F20" s="53" t="s">
        <v>185</v>
      </c>
      <c r="G20" s="53" t="s">
        <v>42</v>
      </c>
      <c r="H20" s="53" t="s">
        <v>164</v>
      </c>
      <c r="I20" s="53" t="s">
        <v>159</v>
      </c>
      <c r="J20" s="53" t="s">
        <v>38</v>
      </c>
      <c r="K20" s="53" t="s">
        <v>161</v>
      </c>
      <c r="L20" s="53">
        <v>1</v>
      </c>
      <c r="M20" s="76"/>
      <c r="N20" s="53">
        <v>10</v>
      </c>
      <c r="O20" s="53">
        <v>0.5</v>
      </c>
      <c r="P20" s="53">
        <v>0.7</v>
      </c>
      <c r="Q20" s="75">
        <v>0.6</v>
      </c>
      <c r="R20" s="53">
        <v>15.8</v>
      </c>
      <c r="S20" s="53">
        <v>115</v>
      </c>
      <c r="T20" s="16">
        <f t="shared" si="1"/>
        <v>30</v>
      </c>
      <c r="U20" s="53">
        <v>950</v>
      </c>
      <c r="V20" s="16">
        <f t="shared" si="2"/>
        <v>2850</v>
      </c>
      <c r="W20" s="53">
        <v>2</v>
      </c>
      <c r="X20" s="53" t="s">
        <v>46</v>
      </c>
      <c r="Y20" s="53" t="s">
        <v>84</v>
      </c>
      <c r="Z20" s="53" t="s">
        <v>90</v>
      </c>
      <c r="AA20" s="53" t="s">
        <v>69</v>
      </c>
      <c r="AB20" s="53" t="s">
        <v>158</v>
      </c>
      <c r="AE20" s="35"/>
      <c r="AP20" s="27" t="s">
        <v>225</v>
      </c>
      <c r="AR20" s="23" t="s">
        <v>105</v>
      </c>
      <c r="AV20" s="27" t="s">
        <v>226</v>
      </c>
    </row>
    <row r="21" spans="1:48" x14ac:dyDescent="0.15">
      <c r="A21" s="53" t="s">
        <v>41</v>
      </c>
      <c r="B21" s="53" t="s">
        <v>157</v>
      </c>
      <c r="C21" s="62">
        <v>2019</v>
      </c>
      <c r="D21" s="63" t="s">
        <v>189</v>
      </c>
      <c r="E21" s="53" t="s">
        <v>133</v>
      </c>
      <c r="F21" s="53" t="s">
        <v>185</v>
      </c>
      <c r="G21" s="53" t="s">
        <v>42</v>
      </c>
      <c r="H21" s="53" t="s">
        <v>164</v>
      </c>
      <c r="I21" s="53" t="s">
        <v>159</v>
      </c>
      <c r="J21" s="53" t="s">
        <v>38</v>
      </c>
      <c r="K21" s="53" t="s">
        <v>161</v>
      </c>
      <c r="L21" s="53">
        <v>2</v>
      </c>
      <c r="M21" s="76"/>
      <c r="N21" s="53">
        <v>10</v>
      </c>
      <c r="O21" s="53">
        <v>0.4</v>
      </c>
      <c r="P21" s="53">
        <v>0.55000000000000004</v>
      </c>
      <c r="Q21" s="75">
        <v>0.7</v>
      </c>
      <c r="R21" s="53">
        <v>14.2</v>
      </c>
      <c r="S21" s="53">
        <v>115</v>
      </c>
      <c r="T21" s="16">
        <f t="shared" si="1"/>
        <v>30</v>
      </c>
      <c r="U21" s="53">
        <v>950</v>
      </c>
      <c r="V21" s="16">
        <f t="shared" si="2"/>
        <v>2850</v>
      </c>
      <c r="W21" s="53">
        <v>2</v>
      </c>
      <c r="X21" s="53" t="s">
        <v>46</v>
      </c>
      <c r="Y21" s="53" t="s">
        <v>84</v>
      </c>
      <c r="Z21" s="53" t="s">
        <v>90</v>
      </c>
      <c r="AA21" s="53" t="s">
        <v>69</v>
      </c>
      <c r="AB21" s="53" t="s">
        <v>158</v>
      </c>
      <c r="AE21" s="28"/>
      <c r="AP21" s="27" t="s">
        <v>227</v>
      </c>
      <c r="AR21" s="23" t="s">
        <v>68</v>
      </c>
      <c r="AV21" s="27" t="s">
        <v>228</v>
      </c>
    </row>
    <row r="22" spans="1:48" x14ac:dyDescent="0.15">
      <c r="A22" s="53" t="s">
        <v>41</v>
      </c>
      <c r="B22" s="53" t="s">
        <v>157</v>
      </c>
      <c r="C22" s="62">
        <v>2019</v>
      </c>
      <c r="D22" s="63" t="s">
        <v>189</v>
      </c>
      <c r="E22" s="53" t="s">
        <v>133</v>
      </c>
      <c r="F22" s="53" t="s">
        <v>185</v>
      </c>
      <c r="G22" s="53" t="s">
        <v>42</v>
      </c>
      <c r="H22" s="53" t="s">
        <v>164</v>
      </c>
      <c r="I22" s="53" t="s">
        <v>159</v>
      </c>
      <c r="J22" s="53" t="s">
        <v>38</v>
      </c>
      <c r="K22" s="53" t="s">
        <v>161</v>
      </c>
      <c r="L22" s="53">
        <v>3</v>
      </c>
      <c r="M22" s="76"/>
      <c r="N22" s="53">
        <v>10</v>
      </c>
      <c r="O22" s="53">
        <v>0.45</v>
      </c>
      <c r="P22" s="53">
        <v>0.6</v>
      </c>
      <c r="Q22" s="75">
        <v>0.48</v>
      </c>
      <c r="R22" s="53">
        <v>13.2</v>
      </c>
      <c r="S22" s="53">
        <v>117</v>
      </c>
      <c r="T22" s="16">
        <f t="shared" si="1"/>
        <v>30</v>
      </c>
      <c r="U22" s="53">
        <v>950</v>
      </c>
      <c r="V22" s="16">
        <f t="shared" si="2"/>
        <v>2850</v>
      </c>
      <c r="W22" s="53">
        <v>2</v>
      </c>
      <c r="X22" s="53" t="s">
        <v>46</v>
      </c>
      <c r="Y22" s="53" t="s">
        <v>84</v>
      </c>
      <c r="Z22" s="53" t="s">
        <v>90</v>
      </c>
      <c r="AA22" s="53" t="s">
        <v>69</v>
      </c>
      <c r="AB22" s="53" t="s">
        <v>158</v>
      </c>
      <c r="AP22" s="27" t="s">
        <v>229</v>
      </c>
      <c r="AR22" s="23" t="s">
        <v>83</v>
      </c>
      <c r="AV22" s="27"/>
    </row>
    <row r="23" spans="1:48" x14ac:dyDescent="0.15">
      <c r="A23" s="53" t="s">
        <v>41</v>
      </c>
      <c r="B23" s="53" t="s">
        <v>157</v>
      </c>
      <c r="C23" s="62">
        <v>2019</v>
      </c>
      <c r="D23" s="63" t="s">
        <v>189</v>
      </c>
      <c r="E23" s="53" t="s">
        <v>187</v>
      </c>
      <c r="F23" s="53" t="s">
        <v>185</v>
      </c>
      <c r="G23" s="53" t="s">
        <v>42</v>
      </c>
      <c r="H23" s="53" t="s">
        <v>188</v>
      </c>
      <c r="I23" s="53" t="s">
        <v>159</v>
      </c>
      <c r="J23" s="53" t="s">
        <v>80</v>
      </c>
      <c r="K23" s="53" t="s">
        <v>45</v>
      </c>
      <c r="L23" s="53">
        <v>1</v>
      </c>
      <c r="M23" s="76"/>
      <c r="N23" s="53">
        <v>6</v>
      </c>
      <c r="O23" s="53">
        <v>0.25</v>
      </c>
      <c r="P23" s="53">
        <v>0.3</v>
      </c>
      <c r="Q23" s="75">
        <v>0.55000000000000004</v>
      </c>
      <c r="R23" s="53">
        <v>16.2</v>
      </c>
      <c r="S23" s="53">
        <v>120</v>
      </c>
      <c r="T23" s="16">
        <f t="shared" si="1"/>
        <v>30</v>
      </c>
      <c r="U23" s="53">
        <v>429</v>
      </c>
      <c r="V23" s="16">
        <f t="shared" si="2"/>
        <v>2145</v>
      </c>
      <c r="W23" s="53">
        <v>2</v>
      </c>
      <c r="X23" s="53" t="s">
        <v>46</v>
      </c>
      <c r="Y23" s="53" t="s">
        <v>90</v>
      </c>
      <c r="Z23" s="53" t="s">
        <v>84</v>
      </c>
      <c r="AA23" s="53" t="s">
        <v>69</v>
      </c>
      <c r="AB23" s="53" t="s">
        <v>158</v>
      </c>
      <c r="AP23" s="27" t="s">
        <v>230</v>
      </c>
      <c r="AR23" s="28" t="s">
        <v>231</v>
      </c>
      <c r="AV23" s="28"/>
    </row>
    <row r="24" spans="1:48" x14ac:dyDescent="0.15">
      <c r="A24" s="53" t="s">
        <v>41</v>
      </c>
      <c r="B24" s="53" t="s">
        <v>157</v>
      </c>
      <c r="C24" s="62">
        <v>2019</v>
      </c>
      <c r="D24" s="63" t="s">
        <v>189</v>
      </c>
      <c r="E24" s="53" t="s">
        <v>187</v>
      </c>
      <c r="F24" s="53" t="s">
        <v>185</v>
      </c>
      <c r="G24" s="53" t="s">
        <v>42</v>
      </c>
      <c r="H24" s="53" t="s">
        <v>188</v>
      </c>
      <c r="I24" s="53" t="s">
        <v>159</v>
      </c>
      <c r="J24" s="53" t="s">
        <v>80</v>
      </c>
      <c r="K24" s="53" t="s">
        <v>45</v>
      </c>
      <c r="L24" s="53">
        <v>2</v>
      </c>
      <c r="M24" s="76"/>
      <c r="N24" s="53">
        <v>6</v>
      </c>
      <c r="O24" s="53">
        <v>0.3</v>
      </c>
      <c r="P24" s="53">
        <v>0.25</v>
      </c>
      <c r="Q24" s="75">
        <v>0.65</v>
      </c>
      <c r="R24" s="53">
        <v>13.7</v>
      </c>
      <c r="S24" s="53">
        <v>121</v>
      </c>
      <c r="T24" s="16">
        <f t="shared" si="1"/>
        <v>27</v>
      </c>
      <c r="U24" s="53">
        <v>429</v>
      </c>
      <c r="V24" s="16">
        <f t="shared" si="2"/>
        <v>1930.5</v>
      </c>
      <c r="W24" s="53">
        <v>2</v>
      </c>
      <c r="X24" s="53" t="s">
        <v>46</v>
      </c>
      <c r="Y24" s="53" t="s">
        <v>90</v>
      </c>
      <c r="Z24" s="53" t="s">
        <v>84</v>
      </c>
      <c r="AA24" s="53" t="s">
        <v>69</v>
      </c>
      <c r="AB24" s="53" t="s">
        <v>158</v>
      </c>
      <c r="AP24" s="27" t="s">
        <v>232</v>
      </c>
    </row>
    <row r="25" spans="1:48" x14ac:dyDescent="0.15">
      <c r="A25" s="53" t="s">
        <v>41</v>
      </c>
      <c r="B25" s="53" t="s">
        <v>157</v>
      </c>
      <c r="C25" s="62">
        <v>2019</v>
      </c>
      <c r="D25" s="63" t="s">
        <v>189</v>
      </c>
      <c r="E25" s="53" t="s">
        <v>187</v>
      </c>
      <c r="F25" s="53" t="s">
        <v>185</v>
      </c>
      <c r="G25" s="53" t="s">
        <v>42</v>
      </c>
      <c r="H25" s="53" t="s">
        <v>188</v>
      </c>
      <c r="I25" s="53" t="s">
        <v>159</v>
      </c>
      <c r="J25" s="53" t="s">
        <v>80</v>
      </c>
      <c r="K25" s="53" t="s">
        <v>45</v>
      </c>
      <c r="L25" s="53">
        <v>3</v>
      </c>
      <c r="M25" s="76"/>
      <c r="N25" s="53">
        <v>6</v>
      </c>
      <c r="O25" s="53">
        <v>0.25</v>
      </c>
      <c r="P25" s="53">
        <v>0.25</v>
      </c>
      <c r="Q25" s="75">
        <v>0.57999999999999996</v>
      </c>
      <c r="R25" s="53">
        <v>15.2</v>
      </c>
      <c r="S25" s="53">
        <v>124</v>
      </c>
      <c r="T25" s="16">
        <f t="shared" si="1"/>
        <v>27</v>
      </c>
      <c r="U25" s="53">
        <v>429</v>
      </c>
      <c r="V25" s="16">
        <f t="shared" si="2"/>
        <v>1930.5</v>
      </c>
      <c r="W25" s="53">
        <v>2</v>
      </c>
      <c r="X25" s="53" t="s">
        <v>46</v>
      </c>
      <c r="Y25" s="53" t="s">
        <v>90</v>
      </c>
      <c r="Z25" s="53" t="s">
        <v>84</v>
      </c>
      <c r="AA25" s="53" t="s">
        <v>69</v>
      </c>
      <c r="AB25" s="53" t="s">
        <v>158</v>
      </c>
    </row>
    <row r="26" spans="1:48" x14ac:dyDescent="0.15">
      <c r="A26" s="53" t="s">
        <v>41</v>
      </c>
      <c r="B26" s="53" t="s">
        <v>157</v>
      </c>
      <c r="C26" s="62">
        <v>2019</v>
      </c>
      <c r="D26" s="63" t="s">
        <v>189</v>
      </c>
      <c r="E26" s="53" t="s">
        <v>187</v>
      </c>
      <c r="F26" s="53" t="s">
        <v>185</v>
      </c>
      <c r="G26" s="53" t="s">
        <v>42</v>
      </c>
      <c r="H26" s="53" t="s">
        <v>164</v>
      </c>
      <c r="I26" s="53" t="s">
        <v>159</v>
      </c>
      <c r="J26" s="53" t="s">
        <v>38</v>
      </c>
      <c r="K26" s="53" t="s">
        <v>161</v>
      </c>
      <c r="L26" s="53">
        <v>1</v>
      </c>
      <c r="M26" s="76"/>
      <c r="N26" s="53">
        <v>1</v>
      </c>
      <c r="O26" s="53">
        <v>0.7</v>
      </c>
      <c r="P26" s="53">
        <v>0.5</v>
      </c>
      <c r="Q26" s="75">
        <v>0.63</v>
      </c>
      <c r="R26" s="53">
        <v>12.7</v>
      </c>
      <c r="S26" s="53">
        <v>129</v>
      </c>
      <c r="T26" s="16">
        <f t="shared" si="1"/>
        <v>25</v>
      </c>
      <c r="U26" s="53">
        <v>117</v>
      </c>
      <c r="V26" s="16">
        <f t="shared" si="2"/>
        <v>2925</v>
      </c>
      <c r="W26" s="53">
        <v>1</v>
      </c>
      <c r="X26" s="53" t="s">
        <v>46</v>
      </c>
      <c r="Y26" s="53" t="s">
        <v>90</v>
      </c>
      <c r="Z26" s="53" t="s">
        <v>84</v>
      </c>
      <c r="AA26" s="53" t="s">
        <v>69</v>
      </c>
      <c r="AB26" s="53" t="s">
        <v>158</v>
      </c>
    </row>
    <row r="27" spans="1:48" x14ac:dyDescent="0.15">
      <c r="A27" s="53" t="s">
        <v>41</v>
      </c>
      <c r="B27" s="53" t="s">
        <v>157</v>
      </c>
      <c r="C27" s="62">
        <v>2019</v>
      </c>
      <c r="D27" s="63" t="s">
        <v>189</v>
      </c>
      <c r="E27" s="53" t="s">
        <v>187</v>
      </c>
      <c r="F27" s="53" t="s">
        <v>185</v>
      </c>
      <c r="G27" s="53" t="s">
        <v>42</v>
      </c>
      <c r="H27" s="53" t="s">
        <v>164</v>
      </c>
      <c r="I27" s="53" t="s">
        <v>159</v>
      </c>
      <c r="J27" s="53" t="s">
        <v>38</v>
      </c>
      <c r="K27" s="53" t="s">
        <v>161</v>
      </c>
      <c r="L27" s="53">
        <v>2</v>
      </c>
      <c r="M27" s="76"/>
      <c r="N27" s="53">
        <v>1</v>
      </c>
      <c r="O27" s="53">
        <v>0.8</v>
      </c>
      <c r="P27" s="53">
        <v>0.8</v>
      </c>
      <c r="Q27" s="75">
        <v>0.78</v>
      </c>
      <c r="R27" s="53">
        <v>13.8</v>
      </c>
      <c r="S27" s="53">
        <v>130</v>
      </c>
      <c r="T27" s="16">
        <f t="shared" si="1"/>
        <v>25</v>
      </c>
      <c r="U27" s="53">
        <v>117</v>
      </c>
      <c r="V27" s="16">
        <f t="shared" si="2"/>
        <v>2925</v>
      </c>
      <c r="W27" s="53">
        <v>1</v>
      </c>
      <c r="X27" s="53" t="s">
        <v>46</v>
      </c>
      <c r="Y27" s="53" t="s">
        <v>90</v>
      </c>
      <c r="Z27" s="53" t="s">
        <v>84</v>
      </c>
      <c r="AA27" s="53" t="s">
        <v>69</v>
      </c>
      <c r="AB27" s="53" t="s">
        <v>158</v>
      </c>
    </row>
    <row r="28" spans="1:48" x14ac:dyDescent="0.15">
      <c r="A28" s="53" t="s">
        <v>41</v>
      </c>
      <c r="B28" s="53" t="s">
        <v>157</v>
      </c>
      <c r="C28" s="62">
        <v>2019</v>
      </c>
      <c r="D28" s="63" t="s">
        <v>189</v>
      </c>
      <c r="E28" s="53" t="s">
        <v>187</v>
      </c>
      <c r="F28" s="53" t="s">
        <v>185</v>
      </c>
      <c r="G28" s="53" t="s">
        <v>42</v>
      </c>
      <c r="H28" s="53" t="s">
        <v>164</v>
      </c>
      <c r="I28" s="53" t="s">
        <v>159</v>
      </c>
      <c r="J28" s="53" t="s">
        <v>38</v>
      </c>
      <c r="K28" s="53" t="s">
        <v>161</v>
      </c>
      <c r="L28" s="53">
        <v>3</v>
      </c>
      <c r="M28" s="76"/>
      <c r="N28" s="53">
        <v>1</v>
      </c>
      <c r="O28" s="53">
        <v>0.65</v>
      </c>
      <c r="P28" s="53">
        <v>0.85</v>
      </c>
      <c r="Q28" s="75">
        <v>0.65</v>
      </c>
      <c r="R28" s="53">
        <v>13.4</v>
      </c>
      <c r="S28" s="53">
        <v>131</v>
      </c>
      <c r="T28" s="16">
        <f t="shared" si="1"/>
        <v>25</v>
      </c>
      <c r="U28" s="53">
        <v>117</v>
      </c>
      <c r="V28" s="16">
        <f t="shared" si="2"/>
        <v>2925</v>
      </c>
      <c r="W28" s="53">
        <v>1</v>
      </c>
      <c r="X28" s="53" t="s">
        <v>46</v>
      </c>
      <c r="Y28" s="53" t="s">
        <v>90</v>
      </c>
      <c r="Z28" s="53" t="s">
        <v>84</v>
      </c>
      <c r="AA28" s="53" t="s">
        <v>69</v>
      </c>
      <c r="AB28" s="53" t="s">
        <v>158</v>
      </c>
    </row>
    <row r="29" spans="1:48" x14ac:dyDescent="0.15">
      <c r="A29" s="53" t="s">
        <v>41</v>
      </c>
      <c r="B29" s="53" t="s">
        <v>157</v>
      </c>
      <c r="C29" s="62">
        <v>2019</v>
      </c>
      <c r="D29" s="63" t="s">
        <v>189</v>
      </c>
      <c r="E29" s="53" t="s">
        <v>187</v>
      </c>
      <c r="F29" s="53" t="s">
        <v>185</v>
      </c>
      <c r="G29" s="53" t="s">
        <v>42</v>
      </c>
      <c r="H29" s="53" t="s">
        <v>164</v>
      </c>
      <c r="I29" s="53" t="s">
        <v>159</v>
      </c>
      <c r="J29" s="53" t="s">
        <v>38</v>
      </c>
      <c r="K29" s="53" t="s">
        <v>161</v>
      </c>
      <c r="L29" s="53">
        <v>1</v>
      </c>
      <c r="M29" s="76"/>
      <c r="N29" s="53">
        <v>5</v>
      </c>
      <c r="O29" s="53">
        <v>0.95</v>
      </c>
      <c r="P29" s="53">
        <v>1</v>
      </c>
      <c r="Q29" s="16">
        <v>0.38</v>
      </c>
      <c r="R29" s="53">
        <v>12.9</v>
      </c>
      <c r="S29" s="53">
        <v>115</v>
      </c>
      <c r="T29" s="16">
        <f t="shared" si="1"/>
        <v>30</v>
      </c>
      <c r="U29" s="53">
        <v>429</v>
      </c>
      <c r="V29" s="16">
        <f t="shared" si="2"/>
        <v>2574</v>
      </c>
      <c r="W29" s="53">
        <v>1</v>
      </c>
      <c r="X29" s="53" t="s">
        <v>39</v>
      </c>
      <c r="Y29" s="53" t="s">
        <v>90</v>
      </c>
      <c r="Z29" s="53" t="s">
        <v>84</v>
      </c>
      <c r="AA29" s="53" t="s">
        <v>69</v>
      </c>
      <c r="AB29" s="53" t="s">
        <v>158</v>
      </c>
    </row>
    <row r="30" spans="1:48" x14ac:dyDescent="0.15">
      <c r="A30" s="53" t="s">
        <v>41</v>
      </c>
      <c r="B30" s="53" t="s">
        <v>157</v>
      </c>
      <c r="C30" s="62">
        <v>2019</v>
      </c>
      <c r="D30" s="63" t="s">
        <v>189</v>
      </c>
      <c r="E30" s="53" t="s">
        <v>187</v>
      </c>
      <c r="F30" s="53" t="s">
        <v>185</v>
      </c>
      <c r="G30" s="53" t="s">
        <v>42</v>
      </c>
      <c r="H30" s="53" t="s">
        <v>164</v>
      </c>
      <c r="I30" s="53" t="s">
        <v>159</v>
      </c>
      <c r="J30" s="53" t="s">
        <v>38</v>
      </c>
      <c r="K30" s="53" t="s">
        <v>161</v>
      </c>
      <c r="L30" s="53">
        <v>2</v>
      </c>
      <c r="M30" s="76"/>
      <c r="N30" s="53">
        <v>5</v>
      </c>
      <c r="O30" s="53">
        <v>1</v>
      </c>
      <c r="P30" s="53">
        <v>0.85</v>
      </c>
      <c r="Q30" s="16">
        <v>0.83</v>
      </c>
      <c r="R30" s="53">
        <v>13.4</v>
      </c>
      <c r="S30" s="53">
        <v>120</v>
      </c>
      <c r="T30" s="16">
        <f t="shared" si="1"/>
        <v>30</v>
      </c>
      <c r="U30" s="53">
        <v>429</v>
      </c>
      <c r="V30" s="16">
        <f t="shared" si="2"/>
        <v>2574</v>
      </c>
      <c r="W30" s="53">
        <v>1</v>
      </c>
      <c r="X30" s="53" t="s">
        <v>39</v>
      </c>
      <c r="Y30" s="53" t="s">
        <v>90</v>
      </c>
      <c r="Z30" s="53" t="s">
        <v>84</v>
      </c>
      <c r="AA30" s="53" t="s">
        <v>69</v>
      </c>
      <c r="AB30" s="53" t="s">
        <v>158</v>
      </c>
    </row>
    <row r="31" spans="1:48" x14ac:dyDescent="0.15">
      <c r="A31" s="53" t="s">
        <v>41</v>
      </c>
      <c r="B31" s="53" t="s">
        <v>157</v>
      </c>
      <c r="C31" s="62">
        <v>2019</v>
      </c>
      <c r="D31" s="63" t="s">
        <v>189</v>
      </c>
      <c r="E31" s="53" t="s">
        <v>187</v>
      </c>
      <c r="F31" s="53" t="s">
        <v>185</v>
      </c>
      <c r="G31" s="53" t="s">
        <v>42</v>
      </c>
      <c r="H31" s="53" t="s">
        <v>164</v>
      </c>
      <c r="I31" s="53" t="s">
        <v>159</v>
      </c>
      <c r="J31" s="53" t="s">
        <v>38</v>
      </c>
      <c r="K31" s="53" t="s">
        <v>161</v>
      </c>
      <c r="L31" s="53">
        <v>3</v>
      </c>
      <c r="M31" s="76"/>
      <c r="N31" s="53">
        <v>5</v>
      </c>
      <c r="O31" s="53">
        <v>1.25</v>
      </c>
      <c r="P31" s="53">
        <v>1.4</v>
      </c>
      <c r="Q31" s="16">
        <v>0.5</v>
      </c>
      <c r="R31" s="53">
        <v>15.4</v>
      </c>
      <c r="S31" s="53">
        <v>117</v>
      </c>
      <c r="T31" s="16">
        <f t="shared" si="1"/>
        <v>30</v>
      </c>
      <c r="U31" s="53">
        <v>429</v>
      </c>
      <c r="V31" s="16">
        <f t="shared" si="2"/>
        <v>2574</v>
      </c>
      <c r="W31" s="53">
        <v>1</v>
      </c>
      <c r="X31" s="53" t="s">
        <v>39</v>
      </c>
      <c r="Y31" s="53" t="s">
        <v>90</v>
      </c>
      <c r="Z31" s="53" t="s">
        <v>84</v>
      </c>
      <c r="AA31" s="53" t="s">
        <v>69</v>
      </c>
      <c r="AB31" s="53" t="s">
        <v>158</v>
      </c>
    </row>
    <row r="32" spans="1:48" x14ac:dyDescent="0.15">
      <c r="A32" s="53" t="s">
        <v>41</v>
      </c>
      <c r="B32" s="53" t="s">
        <v>157</v>
      </c>
      <c r="C32" s="62">
        <v>2019</v>
      </c>
      <c r="D32" s="63" t="s">
        <v>189</v>
      </c>
      <c r="E32" s="53" t="s">
        <v>187</v>
      </c>
      <c r="F32" s="53" t="s">
        <v>185</v>
      </c>
      <c r="G32" s="53" t="s">
        <v>42</v>
      </c>
      <c r="H32" s="53" t="s">
        <v>164</v>
      </c>
      <c r="I32" s="53" t="s">
        <v>159</v>
      </c>
      <c r="J32" s="53" t="s">
        <v>38</v>
      </c>
      <c r="K32" s="53" t="s">
        <v>161</v>
      </c>
      <c r="L32" s="53">
        <v>1</v>
      </c>
      <c r="M32" s="76"/>
      <c r="N32" s="53">
        <v>6</v>
      </c>
      <c r="O32" s="53">
        <v>1</v>
      </c>
      <c r="P32" s="53">
        <v>1.1000000000000001</v>
      </c>
      <c r="Q32" s="16">
        <v>0.8</v>
      </c>
      <c r="R32" s="53">
        <v>11.8</v>
      </c>
      <c r="S32" s="53">
        <v>99</v>
      </c>
      <c r="T32" s="16">
        <f t="shared" si="1"/>
        <v>33</v>
      </c>
      <c r="U32" s="53">
        <v>429</v>
      </c>
      <c r="V32" s="16">
        <f t="shared" si="2"/>
        <v>2359.5</v>
      </c>
      <c r="W32" s="53">
        <v>1</v>
      </c>
      <c r="X32" s="53" t="s">
        <v>39</v>
      </c>
      <c r="Y32" s="53" t="s">
        <v>90</v>
      </c>
      <c r="Z32" s="53" t="s">
        <v>84</v>
      </c>
      <c r="AA32" s="53" t="s">
        <v>69</v>
      </c>
      <c r="AB32" s="53" t="s">
        <v>158</v>
      </c>
    </row>
    <row r="33" spans="1:28" x14ac:dyDescent="0.15">
      <c r="A33" s="53" t="s">
        <v>41</v>
      </c>
      <c r="B33" s="53" t="s">
        <v>157</v>
      </c>
      <c r="C33" s="62">
        <v>2019</v>
      </c>
      <c r="D33" s="63" t="s">
        <v>189</v>
      </c>
      <c r="E33" s="53" t="s">
        <v>187</v>
      </c>
      <c r="F33" s="53" t="s">
        <v>185</v>
      </c>
      <c r="G33" s="53" t="s">
        <v>42</v>
      </c>
      <c r="H33" s="53" t="s">
        <v>164</v>
      </c>
      <c r="I33" s="53" t="s">
        <v>159</v>
      </c>
      <c r="J33" s="53" t="s">
        <v>38</v>
      </c>
      <c r="K33" s="53" t="s">
        <v>161</v>
      </c>
      <c r="L33" s="53">
        <v>2</v>
      </c>
      <c r="M33" s="76"/>
      <c r="N33" s="53">
        <v>6</v>
      </c>
      <c r="O33" s="53">
        <v>0.95</v>
      </c>
      <c r="P33" s="53">
        <v>1</v>
      </c>
      <c r="Q33" s="16">
        <v>0.2</v>
      </c>
      <c r="R33" s="53">
        <v>10.5</v>
      </c>
      <c r="S33" s="53">
        <v>100</v>
      </c>
      <c r="T33" s="16">
        <f t="shared" si="1"/>
        <v>33</v>
      </c>
      <c r="U33" s="53">
        <v>429</v>
      </c>
      <c r="V33" s="16">
        <f t="shared" si="2"/>
        <v>2359.5</v>
      </c>
      <c r="W33" s="53">
        <v>1</v>
      </c>
      <c r="X33" s="53" t="s">
        <v>39</v>
      </c>
      <c r="Y33" s="53" t="s">
        <v>90</v>
      </c>
      <c r="Z33" s="53" t="s">
        <v>84</v>
      </c>
      <c r="AA33" s="53" t="s">
        <v>69</v>
      </c>
      <c r="AB33" s="53" t="s">
        <v>158</v>
      </c>
    </row>
    <row r="34" spans="1:28" x14ac:dyDescent="0.15">
      <c r="A34" s="53" t="s">
        <v>41</v>
      </c>
      <c r="B34" s="53" t="s">
        <v>157</v>
      </c>
      <c r="C34" s="62">
        <v>2019</v>
      </c>
      <c r="D34" s="63" t="s">
        <v>189</v>
      </c>
      <c r="E34" s="53" t="s">
        <v>187</v>
      </c>
      <c r="F34" s="53" t="s">
        <v>185</v>
      </c>
      <c r="G34" s="53" t="s">
        <v>42</v>
      </c>
      <c r="H34" s="53" t="s">
        <v>164</v>
      </c>
      <c r="I34" s="53" t="s">
        <v>159</v>
      </c>
      <c r="J34" s="53" t="s">
        <v>38</v>
      </c>
      <c r="K34" s="53" t="s">
        <v>161</v>
      </c>
      <c r="L34" s="53">
        <v>3</v>
      </c>
      <c r="M34" s="76"/>
      <c r="N34" s="53">
        <v>6</v>
      </c>
      <c r="O34" s="53">
        <v>1</v>
      </c>
      <c r="P34" s="53">
        <v>0.9</v>
      </c>
      <c r="Q34" s="16">
        <v>0.6</v>
      </c>
      <c r="R34" s="53">
        <v>10</v>
      </c>
      <c r="S34" s="53">
        <v>95</v>
      </c>
      <c r="T34" s="16">
        <f t="shared" si="1"/>
        <v>36</v>
      </c>
      <c r="U34" s="53">
        <v>429</v>
      </c>
      <c r="V34" s="16">
        <f t="shared" si="2"/>
        <v>2574</v>
      </c>
      <c r="W34" s="53">
        <v>1</v>
      </c>
      <c r="X34" s="53" t="s">
        <v>39</v>
      </c>
      <c r="Y34" s="53" t="s">
        <v>90</v>
      </c>
      <c r="Z34" s="53" t="s">
        <v>84</v>
      </c>
      <c r="AA34" s="53" t="s">
        <v>69</v>
      </c>
      <c r="AB34" s="53" t="s">
        <v>158</v>
      </c>
    </row>
    <row r="35" spans="1:28" x14ac:dyDescent="0.15">
      <c r="A35" s="53" t="s">
        <v>41</v>
      </c>
      <c r="B35" s="53" t="s">
        <v>157</v>
      </c>
      <c r="C35" s="62">
        <v>2019</v>
      </c>
      <c r="D35" s="63" t="s">
        <v>189</v>
      </c>
      <c r="E35" s="53" t="s">
        <v>187</v>
      </c>
      <c r="F35" s="53" t="s">
        <v>190</v>
      </c>
      <c r="G35" s="53" t="s">
        <v>42</v>
      </c>
      <c r="H35" s="53" t="s">
        <v>188</v>
      </c>
      <c r="I35" s="53" t="s">
        <v>159</v>
      </c>
      <c r="J35" s="53" t="s">
        <v>80</v>
      </c>
      <c r="K35" s="53" t="s">
        <v>45</v>
      </c>
      <c r="L35" s="53">
        <v>1</v>
      </c>
      <c r="M35" s="76"/>
      <c r="N35" s="53">
        <v>5</v>
      </c>
      <c r="O35" s="53">
        <v>0.35</v>
      </c>
      <c r="P35" s="53">
        <v>0.35</v>
      </c>
      <c r="Q35" s="16">
        <v>0.38</v>
      </c>
      <c r="R35" s="53">
        <v>12.6</v>
      </c>
      <c r="S35" s="53">
        <v>118</v>
      </c>
      <c r="T35" s="16">
        <f t="shared" si="1"/>
        <v>30</v>
      </c>
      <c r="U35" s="53">
        <v>429</v>
      </c>
      <c r="V35" s="16">
        <f t="shared" si="2"/>
        <v>2574</v>
      </c>
      <c r="W35" s="53">
        <v>1</v>
      </c>
      <c r="X35" s="53" t="s">
        <v>39</v>
      </c>
      <c r="Y35" s="53" t="s">
        <v>69</v>
      </c>
      <c r="Z35" s="53" t="s">
        <v>84</v>
      </c>
      <c r="AA35" s="53" t="s">
        <v>90</v>
      </c>
      <c r="AB35" s="53" t="s">
        <v>158</v>
      </c>
    </row>
    <row r="36" spans="1:28" x14ac:dyDescent="0.15">
      <c r="A36" s="53" t="s">
        <v>41</v>
      </c>
      <c r="B36" s="53" t="s">
        <v>157</v>
      </c>
      <c r="C36" s="62">
        <v>2019</v>
      </c>
      <c r="D36" s="63" t="s">
        <v>189</v>
      </c>
      <c r="E36" s="53" t="s">
        <v>187</v>
      </c>
      <c r="F36" s="53" t="s">
        <v>190</v>
      </c>
      <c r="G36" s="53" t="s">
        <v>42</v>
      </c>
      <c r="H36" s="53" t="s">
        <v>188</v>
      </c>
      <c r="I36" s="53" t="s">
        <v>159</v>
      </c>
      <c r="J36" s="53" t="s">
        <v>80</v>
      </c>
      <c r="K36" s="53" t="s">
        <v>45</v>
      </c>
      <c r="L36" s="53">
        <v>2</v>
      </c>
      <c r="M36" s="76"/>
      <c r="N36" s="53">
        <v>5</v>
      </c>
      <c r="O36" s="53">
        <v>0.4</v>
      </c>
      <c r="P36" s="53">
        <v>0.3</v>
      </c>
      <c r="Q36" s="16">
        <v>0.83</v>
      </c>
      <c r="R36" s="53">
        <v>13.4</v>
      </c>
      <c r="S36" s="53">
        <v>115</v>
      </c>
      <c r="T36" s="16">
        <f t="shared" si="1"/>
        <v>30</v>
      </c>
      <c r="U36" s="53">
        <v>429</v>
      </c>
      <c r="V36" s="16">
        <f t="shared" si="2"/>
        <v>2574</v>
      </c>
      <c r="W36" s="53">
        <v>1</v>
      </c>
      <c r="X36" s="53" t="s">
        <v>39</v>
      </c>
      <c r="Y36" s="53" t="s">
        <v>69</v>
      </c>
      <c r="Z36" s="53" t="s">
        <v>84</v>
      </c>
      <c r="AA36" s="53" t="s">
        <v>90</v>
      </c>
      <c r="AB36" s="53" t="s">
        <v>158</v>
      </c>
    </row>
    <row r="37" spans="1:28" x14ac:dyDescent="0.15">
      <c r="A37" s="53" t="s">
        <v>41</v>
      </c>
      <c r="B37" s="53" t="s">
        <v>157</v>
      </c>
      <c r="C37" s="62">
        <v>2019</v>
      </c>
      <c r="D37" s="63" t="s">
        <v>189</v>
      </c>
      <c r="E37" s="53" t="s">
        <v>187</v>
      </c>
      <c r="F37" s="53" t="s">
        <v>190</v>
      </c>
      <c r="G37" s="53" t="s">
        <v>42</v>
      </c>
      <c r="H37" s="53" t="s">
        <v>188</v>
      </c>
      <c r="I37" s="53" t="s">
        <v>159</v>
      </c>
      <c r="J37" s="53" t="s">
        <v>80</v>
      </c>
      <c r="K37" s="53" t="s">
        <v>45</v>
      </c>
      <c r="L37" s="53">
        <v>3</v>
      </c>
      <c r="M37" s="76"/>
      <c r="N37" s="53">
        <v>5</v>
      </c>
      <c r="O37" s="53">
        <v>0.35</v>
      </c>
      <c r="P37" s="53">
        <v>0.55000000000000004</v>
      </c>
      <c r="Q37" s="16">
        <v>0.5</v>
      </c>
      <c r="R37" s="53">
        <v>13</v>
      </c>
      <c r="S37" s="53">
        <v>115</v>
      </c>
      <c r="T37" s="16">
        <f t="shared" si="1"/>
        <v>30</v>
      </c>
      <c r="U37" s="53">
        <v>429</v>
      </c>
      <c r="V37" s="16">
        <f t="shared" si="2"/>
        <v>2574</v>
      </c>
      <c r="W37" s="53">
        <v>1</v>
      </c>
      <c r="X37" s="53" t="s">
        <v>39</v>
      </c>
      <c r="Y37" s="53" t="s">
        <v>69</v>
      </c>
      <c r="Z37" s="53" t="s">
        <v>84</v>
      </c>
      <c r="AA37" s="53" t="s">
        <v>90</v>
      </c>
      <c r="AB37" s="53" t="s">
        <v>158</v>
      </c>
    </row>
    <row r="38" spans="1:28" x14ac:dyDescent="0.15">
      <c r="A38" s="53" t="s">
        <v>41</v>
      </c>
      <c r="B38" s="53" t="s">
        <v>157</v>
      </c>
      <c r="C38" s="62">
        <v>2019</v>
      </c>
      <c r="D38" s="63" t="s">
        <v>189</v>
      </c>
      <c r="E38" s="53" t="s">
        <v>187</v>
      </c>
      <c r="F38" s="53" t="s">
        <v>190</v>
      </c>
      <c r="G38" s="53" t="s">
        <v>42</v>
      </c>
      <c r="H38" s="53" t="s">
        <v>164</v>
      </c>
      <c r="I38" s="53" t="s">
        <v>159</v>
      </c>
      <c r="J38" s="53" t="s">
        <v>38</v>
      </c>
      <c r="K38" s="53" t="s">
        <v>161</v>
      </c>
      <c r="L38" s="53">
        <v>1</v>
      </c>
      <c r="M38" s="76"/>
      <c r="N38" s="53">
        <v>1</v>
      </c>
      <c r="O38" s="53">
        <v>1</v>
      </c>
      <c r="P38" s="53">
        <v>0.95</v>
      </c>
      <c r="Q38" s="16">
        <v>2.4</v>
      </c>
      <c r="R38" s="53">
        <v>11.1</v>
      </c>
      <c r="S38" s="53">
        <v>128</v>
      </c>
      <c r="T38" s="16">
        <f t="shared" si="1"/>
        <v>27</v>
      </c>
      <c r="U38" s="53">
        <v>105</v>
      </c>
      <c r="V38" s="16">
        <f t="shared" si="2"/>
        <v>2835</v>
      </c>
      <c r="W38" s="53">
        <v>1</v>
      </c>
      <c r="X38" s="53" t="s">
        <v>39</v>
      </c>
      <c r="Y38" s="53" t="s">
        <v>69</v>
      </c>
      <c r="Z38" s="53" t="s">
        <v>84</v>
      </c>
      <c r="AA38" s="53" t="s">
        <v>90</v>
      </c>
      <c r="AB38" s="53" t="s">
        <v>158</v>
      </c>
    </row>
    <row r="39" spans="1:28" x14ac:dyDescent="0.15">
      <c r="A39" s="53" t="s">
        <v>41</v>
      </c>
      <c r="B39" s="53" t="s">
        <v>157</v>
      </c>
      <c r="C39" s="62">
        <v>2019</v>
      </c>
      <c r="D39" s="63" t="s">
        <v>189</v>
      </c>
      <c r="E39" s="53" t="s">
        <v>187</v>
      </c>
      <c r="F39" s="53" t="s">
        <v>190</v>
      </c>
      <c r="G39" s="53" t="s">
        <v>42</v>
      </c>
      <c r="H39" s="53" t="s">
        <v>164</v>
      </c>
      <c r="I39" s="53" t="s">
        <v>159</v>
      </c>
      <c r="J39" s="53" t="s">
        <v>38</v>
      </c>
      <c r="K39" s="53" t="s">
        <v>161</v>
      </c>
      <c r="L39" s="53">
        <v>2</v>
      </c>
      <c r="M39" s="76"/>
      <c r="N39" s="53">
        <v>1</v>
      </c>
      <c r="O39" s="53">
        <v>0.9</v>
      </c>
      <c r="P39" s="53">
        <v>0.9</v>
      </c>
      <c r="Q39" s="16">
        <v>1.73</v>
      </c>
      <c r="R39" s="53">
        <v>10.199999999999999</v>
      </c>
      <c r="S39" s="53">
        <v>125</v>
      </c>
      <c r="T39" s="16">
        <f t="shared" si="1"/>
        <v>27</v>
      </c>
      <c r="U39" s="53">
        <v>105</v>
      </c>
      <c r="V39" s="16">
        <f t="shared" si="2"/>
        <v>2835</v>
      </c>
      <c r="W39" s="53">
        <v>1</v>
      </c>
      <c r="X39" s="53" t="s">
        <v>39</v>
      </c>
      <c r="Y39" s="53" t="s">
        <v>69</v>
      </c>
      <c r="Z39" s="53" t="s">
        <v>84</v>
      </c>
      <c r="AA39" s="53" t="s">
        <v>90</v>
      </c>
      <c r="AB39" s="53" t="s">
        <v>158</v>
      </c>
    </row>
    <row r="40" spans="1:28" x14ac:dyDescent="0.15">
      <c r="A40" s="53" t="s">
        <v>41</v>
      </c>
      <c r="B40" s="53" t="s">
        <v>157</v>
      </c>
      <c r="C40" s="62">
        <v>2019</v>
      </c>
      <c r="D40" s="63" t="s">
        <v>189</v>
      </c>
      <c r="E40" s="53" t="s">
        <v>187</v>
      </c>
      <c r="F40" s="53" t="s">
        <v>190</v>
      </c>
      <c r="G40" s="53" t="s">
        <v>42</v>
      </c>
      <c r="H40" s="53" t="s">
        <v>164</v>
      </c>
      <c r="I40" s="53" t="s">
        <v>159</v>
      </c>
      <c r="J40" s="53" t="s">
        <v>38</v>
      </c>
      <c r="K40" s="53" t="s">
        <v>161</v>
      </c>
      <c r="L40" s="53">
        <v>3</v>
      </c>
      <c r="M40" s="76"/>
      <c r="N40" s="53">
        <v>1</v>
      </c>
      <c r="O40" s="53">
        <v>0.85</v>
      </c>
      <c r="P40" s="53">
        <v>1</v>
      </c>
      <c r="Q40" s="16">
        <v>1.88</v>
      </c>
      <c r="R40" s="53">
        <v>13.4</v>
      </c>
      <c r="S40" s="53">
        <v>127</v>
      </c>
      <c r="T40" s="16">
        <f t="shared" si="1"/>
        <v>27</v>
      </c>
      <c r="U40" s="53">
        <v>105</v>
      </c>
      <c r="V40" s="16">
        <f t="shared" si="2"/>
        <v>2835</v>
      </c>
      <c r="W40" s="53">
        <v>1</v>
      </c>
      <c r="X40" s="53" t="s">
        <v>39</v>
      </c>
      <c r="Y40" s="53" t="s">
        <v>69</v>
      </c>
      <c r="Z40" s="53" t="s">
        <v>84</v>
      </c>
      <c r="AA40" s="53" t="s">
        <v>90</v>
      </c>
      <c r="AB40" s="53" t="s">
        <v>158</v>
      </c>
    </row>
    <row r="41" spans="1:28" x14ac:dyDescent="0.15">
      <c r="A41" s="53" t="s">
        <v>41</v>
      </c>
      <c r="B41" s="53" t="s">
        <v>157</v>
      </c>
      <c r="C41" s="62">
        <v>2019</v>
      </c>
      <c r="D41" s="63" t="s">
        <v>189</v>
      </c>
      <c r="E41" s="53" t="s">
        <v>187</v>
      </c>
      <c r="F41" s="53" t="s">
        <v>190</v>
      </c>
      <c r="G41" s="53" t="s">
        <v>42</v>
      </c>
      <c r="H41" s="53" t="s">
        <v>164</v>
      </c>
      <c r="I41" s="53" t="s">
        <v>159</v>
      </c>
      <c r="J41" s="53" t="s">
        <v>38</v>
      </c>
      <c r="K41" s="53" t="s">
        <v>161</v>
      </c>
      <c r="L41" s="53">
        <v>1</v>
      </c>
      <c r="M41" s="76"/>
      <c r="N41" s="53">
        <v>5</v>
      </c>
      <c r="O41" s="53">
        <v>1.2</v>
      </c>
      <c r="P41" s="53">
        <v>1.2</v>
      </c>
      <c r="Q41" s="16">
        <v>1.1299999999999999</v>
      </c>
      <c r="R41" s="53">
        <v>15.2</v>
      </c>
      <c r="S41" s="53">
        <v>114</v>
      </c>
      <c r="T41" s="16">
        <f t="shared" si="1"/>
        <v>30</v>
      </c>
      <c r="U41" s="53">
        <v>429</v>
      </c>
      <c r="V41" s="16">
        <f t="shared" si="2"/>
        <v>2574</v>
      </c>
      <c r="W41" s="53">
        <v>1</v>
      </c>
      <c r="X41" s="53" t="s">
        <v>39</v>
      </c>
      <c r="Y41" s="53" t="s">
        <v>69</v>
      </c>
      <c r="Z41" s="53" t="s">
        <v>84</v>
      </c>
      <c r="AA41" s="53" t="s">
        <v>90</v>
      </c>
      <c r="AB41" s="53" t="s">
        <v>158</v>
      </c>
    </row>
    <row r="42" spans="1:28" x14ac:dyDescent="0.15">
      <c r="A42" s="53" t="s">
        <v>41</v>
      </c>
      <c r="B42" s="53" t="s">
        <v>157</v>
      </c>
      <c r="C42" s="62">
        <v>2019</v>
      </c>
      <c r="D42" s="63" t="s">
        <v>189</v>
      </c>
      <c r="E42" s="53" t="s">
        <v>187</v>
      </c>
      <c r="F42" s="53" t="s">
        <v>190</v>
      </c>
      <c r="G42" s="53" t="s">
        <v>42</v>
      </c>
      <c r="H42" s="53" t="s">
        <v>164</v>
      </c>
      <c r="I42" s="53" t="s">
        <v>159</v>
      </c>
      <c r="J42" s="53" t="s">
        <v>38</v>
      </c>
      <c r="K42" s="53" t="s">
        <v>161</v>
      </c>
      <c r="L42" s="53">
        <v>2</v>
      </c>
      <c r="M42" s="76"/>
      <c r="N42" s="53">
        <v>5</v>
      </c>
      <c r="O42" s="53">
        <v>1.3</v>
      </c>
      <c r="P42" s="53">
        <v>1.4</v>
      </c>
      <c r="Q42" s="16">
        <v>1.2</v>
      </c>
      <c r="R42" s="53">
        <v>13.1</v>
      </c>
      <c r="S42" s="53">
        <v>120</v>
      </c>
      <c r="T42" s="16">
        <f t="shared" si="1"/>
        <v>30</v>
      </c>
      <c r="U42" s="53">
        <v>429</v>
      </c>
      <c r="V42" s="16">
        <f t="shared" si="2"/>
        <v>2574</v>
      </c>
      <c r="W42" s="53">
        <v>1</v>
      </c>
      <c r="X42" s="53" t="s">
        <v>39</v>
      </c>
      <c r="Y42" s="53" t="s">
        <v>69</v>
      </c>
      <c r="Z42" s="53" t="s">
        <v>84</v>
      </c>
      <c r="AA42" s="53" t="s">
        <v>90</v>
      </c>
      <c r="AB42" s="53" t="s">
        <v>158</v>
      </c>
    </row>
    <row r="43" spans="1:28" x14ac:dyDescent="0.15">
      <c r="A43" s="53" t="s">
        <v>41</v>
      </c>
      <c r="B43" s="53" t="s">
        <v>157</v>
      </c>
      <c r="C43" s="62">
        <v>2019</v>
      </c>
      <c r="D43" s="63" t="s">
        <v>189</v>
      </c>
      <c r="E43" s="53" t="s">
        <v>187</v>
      </c>
      <c r="F43" s="53" t="s">
        <v>190</v>
      </c>
      <c r="G43" s="53" t="s">
        <v>42</v>
      </c>
      <c r="H43" s="53" t="s">
        <v>164</v>
      </c>
      <c r="I43" s="53" t="s">
        <v>159</v>
      </c>
      <c r="J43" s="53" t="s">
        <v>38</v>
      </c>
      <c r="K43" s="53" t="s">
        <v>161</v>
      </c>
      <c r="L43" s="53">
        <v>3</v>
      </c>
      <c r="M43" s="76"/>
      <c r="N43" s="53">
        <v>5</v>
      </c>
      <c r="O43" s="53">
        <v>1.1000000000000001</v>
      </c>
      <c r="P43" s="53">
        <v>1.3</v>
      </c>
      <c r="Q43" s="16">
        <v>1.1299999999999999</v>
      </c>
      <c r="R43" s="53">
        <v>13</v>
      </c>
      <c r="S43" s="53">
        <v>116</v>
      </c>
      <c r="T43" s="16">
        <f t="shared" si="1"/>
        <v>30</v>
      </c>
      <c r="U43" s="53">
        <v>429</v>
      </c>
      <c r="V43" s="16">
        <f t="shared" si="2"/>
        <v>2574</v>
      </c>
      <c r="W43" s="53">
        <v>1</v>
      </c>
      <c r="X43" s="53" t="s">
        <v>39</v>
      </c>
      <c r="Y43" s="53" t="s">
        <v>69</v>
      </c>
      <c r="Z43" s="53" t="s">
        <v>84</v>
      </c>
      <c r="AA43" s="53" t="s">
        <v>90</v>
      </c>
      <c r="AB43" s="53" t="s">
        <v>158</v>
      </c>
    </row>
    <row r="44" spans="1:28" x14ac:dyDescent="0.15">
      <c r="A44" s="53" t="s">
        <v>41</v>
      </c>
      <c r="B44" s="53" t="s">
        <v>157</v>
      </c>
      <c r="C44" s="62">
        <v>2019</v>
      </c>
      <c r="D44" s="63" t="s">
        <v>189</v>
      </c>
      <c r="E44" s="53" t="s">
        <v>195</v>
      </c>
      <c r="F44" s="53" t="s">
        <v>185</v>
      </c>
      <c r="G44" s="53" t="s">
        <v>42</v>
      </c>
      <c r="H44" s="53" t="s">
        <v>164</v>
      </c>
      <c r="I44" s="53" t="s">
        <v>159</v>
      </c>
      <c r="J44" s="53" t="s">
        <v>38</v>
      </c>
      <c r="K44" s="53" t="s">
        <v>161</v>
      </c>
      <c r="L44" s="53">
        <v>1</v>
      </c>
      <c r="N44" s="53">
        <v>1</v>
      </c>
      <c r="O44" s="53">
        <v>1.3</v>
      </c>
      <c r="P44" s="53">
        <v>1.45</v>
      </c>
      <c r="Q44" s="75">
        <f t="shared" ref="Q44:Q107" si="3">IF(OR(O44="",P44=""),"",AVERAGE(O44,P44))</f>
        <v>1.375</v>
      </c>
      <c r="R44" s="53">
        <v>11.2</v>
      </c>
      <c r="S44" s="53">
        <v>127</v>
      </c>
      <c r="T44" s="16">
        <f t="shared" si="1"/>
        <v>27</v>
      </c>
      <c r="U44" s="53">
        <v>108</v>
      </c>
      <c r="V44" s="16">
        <f t="shared" si="2"/>
        <v>2916</v>
      </c>
      <c r="W44" s="53">
        <v>2</v>
      </c>
      <c r="X44" s="53" t="s">
        <v>46</v>
      </c>
      <c r="Y44" s="53" t="s">
        <v>84</v>
      </c>
      <c r="Z44" s="53" t="s">
        <v>50</v>
      </c>
      <c r="AA44" s="53" t="s">
        <v>102</v>
      </c>
      <c r="AB44" s="53" t="s">
        <v>158</v>
      </c>
    </row>
    <row r="45" spans="1:28" x14ac:dyDescent="0.15">
      <c r="A45" s="53" t="s">
        <v>41</v>
      </c>
      <c r="B45" s="53" t="s">
        <v>157</v>
      </c>
      <c r="C45" s="62">
        <v>2019</v>
      </c>
      <c r="D45" s="63" t="s">
        <v>189</v>
      </c>
      <c r="E45" s="53" t="s">
        <v>195</v>
      </c>
      <c r="F45" s="53" t="s">
        <v>185</v>
      </c>
      <c r="G45" s="53" t="s">
        <v>42</v>
      </c>
      <c r="H45" s="53" t="s">
        <v>164</v>
      </c>
      <c r="I45" s="53" t="s">
        <v>159</v>
      </c>
      <c r="J45" s="53" t="s">
        <v>38</v>
      </c>
      <c r="K45" s="53" t="s">
        <v>161</v>
      </c>
      <c r="L45" s="53">
        <v>2</v>
      </c>
      <c r="M45" s="76"/>
      <c r="N45" s="53">
        <v>1</v>
      </c>
      <c r="O45" s="53">
        <v>1.5</v>
      </c>
      <c r="P45" s="53">
        <v>1.4</v>
      </c>
      <c r="Q45" s="75">
        <f t="shared" si="3"/>
        <v>1.45</v>
      </c>
      <c r="R45" s="53">
        <v>15.2</v>
      </c>
      <c r="S45" s="53">
        <v>125</v>
      </c>
      <c r="T45" s="16">
        <f t="shared" si="1"/>
        <v>27</v>
      </c>
      <c r="U45" s="53">
        <v>108</v>
      </c>
      <c r="V45" s="16">
        <f t="shared" si="2"/>
        <v>2916</v>
      </c>
      <c r="W45" s="53">
        <v>2</v>
      </c>
      <c r="X45" s="53" t="s">
        <v>46</v>
      </c>
      <c r="Y45" s="53" t="s">
        <v>84</v>
      </c>
      <c r="Z45" s="53" t="s">
        <v>50</v>
      </c>
      <c r="AA45" s="53" t="s">
        <v>102</v>
      </c>
      <c r="AB45" s="53" t="s">
        <v>158</v>
      </c>
    </row>
    <row r="46" spans="1:28" x14ac:dyDescent="0.15">
      <c r="A46" s="53" t="s">
        <v>41</v>
      </c>
      <c r="B46" s="53" t="s">
        <v>157</v>
      </c>
      <c r="C46" s="62">
        <v>2019</v>
      </c>
      <c r="D46" s="63" t="s">
        <v>189</v>
      </c>
      <c r="E46" s="53" t="s">
        <v>195</v>
      </c>
      <c r="F46" s="53" t="s">
        <v>185</v>
      </c>
      <c r="G46" s="53" t="s">
        <v>42</v>
      </c>
      <c r="H46" s="53" t="s">
        <v>164</v>
      </c>
      <c r="I46" s="53" t="s">
        <v>159</v>
      </c>
      <c r="J46" s="53" t="s">
        <v>38</v>
      </c>
      <c r="K46" s="53" t="s">
        <v>161</v>
      </c>
      <c r="L46" s="53">
        <v>3</v>
      </c>
      <c r="M46" s="76"/>
      <c r="N46" s="53">
        <v>1</v>
      </c>
      <c r="O46" s="53">
        <v>1.2</v>
      </c>
      <c r="P46" s="53">
        <v>1.4</v>
      </c>
      <c r="Q46" s="75">
        <f t="shared" si="3"/>
        <v>1.2999999999999998</v>
      </c>
      <c r="R46" s="53">
        <v>12.9</v>
      </c>
      <c r="S46" s="53">
        <v>125</v>
      </c>
      <c r="T46" s="16">
        <f t="shared" si="1"/>
        <v>27</v>
      </c>
      <c r="U46" s="53">
        <v>108</v>
      </c>
      <c r="V46" s="16">
        <f t="shared" si="2"/>
        <v>2916</v>
      </c>
      <c r="W46" s="53">
        <v>2</v>
      </c>
      <c r="X46" s="53" t="s">
        <v>46</v>
      </c>
      <c r="Y46" s="53" t="s">
        <v>84</v>
      </c>
      <c r="Z46" s="53" t="s">
        <v>50</v>
      </c>
      <c r="AA46" s="53" t="s">
        <v>102</v>
      </c>
      <c r="AB46" s="53" t="s">
        <v>158</v>
      </c>
    </row>
    <row r="47" spans="1:28" x14ac:dyDescent="0.15">
      <c r="A47" s="53" t="s">
        <v>41</v>
      </c>
      <c r="B47" s="53" t="s">
        <v>157</v>
      </c>
      <c r="C47" s="62">
        <v>2019</v>
      </c>
      <c r="D47" s="63" t="s">
        <v>189</v>
      </c>
      <c r="E47" s="53" t="s">
        <v>195</v>
      </c>
      <c r="F47" s="53" t="s">
        <v>185</v>
      </c>
      <c r="G47" s="53" t="s">
        <v>42</v>
      </c>
      <c r="H47" s="53" t="s">
        <v>164</v>
      </c>
      <c r="I47" s="53" t="s">
        <v>159</v>
      </c>
      <c r="J47" s="53" t="s">
        <v>38</v>
      </c>
      <c r="K47" s="53" t="s">
        <v>161</v>
      </c>
      <c r="L47" s="53">
        <v>1</v>
      </c>
      <c r="N47" s="53">
        <v>8</v>
      </c>
      <c r="O47" s="53">
        <v>0.65</v>
      </c>
      <c r="P47" s="53">
        <v>0.8</v>
      </c>
      <c r="Q47" s="75">
        <f t="shared" si="3"/>
        <v>0.72500000000000009</v>
      </c>
      <c r="R47" s="53">
        <v>10.4</v>
      </c>
      <c r="S47" s="53">
        <v>117</v>
      </c>
      <c r="T47" s="16">
        <f t="shared" si="1"/>
        <v>30</v>
      </c>
      <c r="U47" s="53">
        <v>594</v>
      </c>
      <c r="V47" s="16">
        <f t="shared" si="2"/>
        <v>2227.5</v>
      </c>
      <c r="W47" s="53">
        <v>2</v>
      </c>
      <c r="X47" s="53" t="s">
        <v>46</v>
      </c>
      <c r="Y47" s="53" t="s">
        <v>84</v>
      </c>
      <c r="Z47" s="53" t="s">
        <v>50</v>
      </c>
      <c r="AA47" s="53" t="s">
        <v>102</v>
      </c>
      <c r="AB47" s="53" t="s">
        <v>158</v>
      </c>
    </row>
    <row r="48" spans="1:28" x14ac:dyDescent="0.15">
      <c r="A48" s="53" t="s">
        <v>41</v>
      </c>
      <c r="B48" s="53" t="s">
        <v>157</v>
      </c>
      <c r="C48" s="62">
        <v>2019</v>
      </c>
      <c r="D48" s="63" t="s">
        <v>189</v>
      </c>
      <c r="E48" s="53" t="s">
        <v>195</v>
      </c>
      <c r="F48" s="53" t="s">
        <v>185</v>
      </c>
      <c r="G48" s="53" t="s">
        <v>42</v>
      </c>
      <c r="H48" s="53" t="s">
        <v>164</v>
      </c>
      <c r="I48" s="53" t="s">
        <v>159</v>
      </c>
      <c r="J48" s="53" t="s">
        <v>38</v>
      </c>
      <c r="K48" s="53" t="s">
        <v>161</v>
      </c>
      <c r="L48" s="53">
        <v>2</v>
      </c>
      <c r="M48" s="76"/>
      <c r="N48" s="53">
        <v>8</v>
      </c>
      <c r="O48" s="53">
        <v>0.5</v>
      </c>
      <c r="P48" s="53">
        <v>0.5</v>
      </c>
      <c r="Q48" s="75">
        <f t="shared" si="3"/>
        <v>0.5</v>
      </c>
      <c r="R48" s="53">
        <v>11</v>
      </c>
      <c r="S48" s="53">
        <v>120</v>
      </c>
      <c r="T48" s="16">
        <f t="shared" si="1"/>
        <v>30</v>
      </c>
      <c r="U48" s="53">
        <v>594</v>
      </c>
      <c r="V48" s="16">
        <f t="shared" si="2"/>
        <v>2227.5</v>
      </c>
      <c r="W48" s="53">
        <v>2</v>
      </c>
      <c r="X48" s="53" t="s">
        <v>46</v>
      </c>
      <c r="Y48" s="53" t="s">
        <v>84</v>
      </c>
      <c r="Z48" s="53" t="s">
        <v>50</v>
      </c>
      <c r="AA48" s="53" t="s">
        <v>102</v>
      </c>
      <c r="AB48" s="53" t="s">
        <v>158</v>
      </c>
    </row>
    <row r="49" spans="1:34" x14ac:dyDescent="0.15">
      <c r="A49" s="53" t="s">
        <v>41</v>
      </c>
      <c r="B49" s="53" t="s">
        <v>157</v>
      </c>
      <c r="C49" s="62">
        <v>2019</v>
      </c>
      <c r="D49" s="63" t="s">
        <v>189</v>
      </c>
      <c r="E49" s="53" t="s">
        <v>195</v>
      </c>
      <c r="F49" s="53" t="s">
        <v>185</v>
      </c>
      <c r="G49" s="53" t="s">
        <v>42</v>
      </c>
      <c r="H49" s="53" t="s">
        <v>164</v>
      </c>
      <c r="I49" s="53" t="s">
        <v>159</v>
      </c>
      <c r="J49" s="53" t="s">
        <v>38</v>
      </c>
      <c r="K49" s="53" t="s">
        <v>161</v>
      </c>
      <c r="L49" s="53">
        <v>3</v>
      </c>
      <c r="M49" s="76"/>
      <c r="N49" s="53">
        <v>8</v>
      </c>
      <c r="O49" s="53">
        <v>0.7</v>
      </c>
      <c r="P49" s="53">
        <v>0.55000000000000004</v>
      </c>
      <c r="Q49" s="75">
        <f t="shared" si="3"/>
        <v>0.625</v>
      </c>
      <c r="R49" s="53">
        <v>12.7</v>
      </c>
      <c r="S49" s="53">
        <v>114</v>
      </c>
      <c r="T49" s="16">
        <f t="shared" si="1"/>
        <v>30</v>
      </c>
      <c r="U49" s="53">
        <v>594</v>
      </c>
      <c r="V49" s="16">
        <f t="shared" si="2"/>
        <v>2227.5</v>
      </c>
      <c r="W49" s="53">
        <v>2</v>
      </c>
      <c r="X49" s="53" t="s">
        <v>46</v>
      </c>
      <c r="Y49" s="53" t="s">
        <v>84</v>
      </c>
      <c r="Z49" s="53" t="s">
        <v>50</v>
      </c>
      <c r="AA49" s="53" t="s">
        <v>102</v>
      </c>
      <c r="AB49" s="53" t="s">
        <v>158</v>
      </c>
    </row>
    <row r="50" spans="1:34" x14ac:dyDescent="0.15">
      <c r="A50" s="53" t="s">
        <v>41</v>
      </c>
      <c r="B50" s="53" t="s">
        <v>157</v>
      </c>
      <c r="C50" s="62">
        <v>2019</v>
      </c>
      <c r="D50" s="63" t="s">
        <v>189</v>
      </c>
      <c r="E50" s="53" t="s">
        <v>195</v>
      </c>
      <c r="F50" s="53" t="s">
        <v>197</v>
      </c>
      <c r="G50" s="53" t="s">
        <v>42</v>
      </c>
      <c r="H50" s="53" t="s">
        <v>164</v>
      </c>
      <c r="I50" s="53" t="s">
        <v>159</v>
      </c>
      <c r="J50" s="53" t="s">
        <v>38</v>
      </c>
      <c r="K50" s="53" t="s">
        <v>161</v>
      </c>
      <c r="L50" s="53">
        <v>1</v>
      </c>
      <c r="N50" s="53">
        <v>1</v>
      </c>
      <c r="O50" s="53">
        <v>1.5</v>
      </c>
      <c r="P50" s="53">
        <v>1.3</v>
      </c>
      <c r="Q50" s="75">
        <f t="shared" si="3"/>
        <v>1.4</v>
      </c>
      <c r="R50" s="53">
        <v>13.1</v>
      </c>
      <c r="S50" s="53">
        <v>123</v>
      </c>
      <c r="T50" s="16">
        <f t="shared" si="1"/>
        <v>27</v>
      </c>
      <c r="U50" s="53">
        <v>108</v>
      </c>
      <c r="V50" s="16">
        <f t="shared" si="2"/>
        <v>2916</v>
      </c>
      <c r="W50" s="53">
        <v>1</v>
      </c>
      <c r="X50" s="53" t="s">
        <v>46</v>
      </c>
      <c r="Y50" s="53" t="s">
        <v>90</v>
      </c>
      <c r="Z50" s="53" t="s">
        <v>78</v>
      </c>
      <c r="AA50" s="53" t="s">
        <v>69</v>
      </c>
      <c r="AB50" s="53" t="s">
        <v>158</v>
      </c>
    </row>
    <row r="51" spans="1:34" x14ac:dyDescent="0.15">
      <c r="A51" s="53" t="s">
        <v>41</v>
      </c>
      <c r="B51" s="53" t="s">
        <v>157</v>
      </c>
      <c r="C51" s="62">
        <v>2019</v>
      </c>
      <c r="D51" s="63" t="s">
        <v>189</v>
      </c>
      <c r="E51" s="53" t="s">
        <v>195</v>
      </c>
      <c r="F51" s="53" t="s">
        <v>197</v>
      </c>
      <c r="G51" s="53" t="s">
        <v>42</v>
      </c>
      <c r="H51" s="53" t="s">
        <v>164</v>
      </c>
      <c r="I51" s="53" t="s">
        <v>159</v>
      </c>
      <c r="J51" s="53" t="s">
        <v>38</v>
      </c>
      <c r="K51" s="53" t="s">
        <v>161</v>
      </c>
      <c r="L51" s="53">
        <v>2</v>
      </c>
      <c r="M51" s="76"/>
      <c r="N51" s="53">
        <v>1</v>
      </c>
      <c r="O51" s="53">
        <v>1.5</v>
      </c>
      <c r="P51" s="53">
        <v>1.6</v>
      </c>
      <c r="Q51" s="75">
        <f t="shared" si="3"/>
        <v>1.55</v>
      </c>
      <c r="R51" s="53">
        <v>11.4</v>
      </c>
      <c r="S51" s="53">
        <v>125</v>
      </c>
      <c r="T51" s="16">
        <f t="shared" si="1"/>
        <v>27</v>
      </c>
      <c r="U51" s="53">
        <v>108</v>
      </c>
      <c r="V51" s="16">
        <f t="shared" si="2"/>
        <v>2916</v>
      </c>
      <c r="W51" s="53">
        <v>1</v>
      </c>
      <c r="X51" s="53" t="s">
        <v>46</v>
      </c>
      <c r="Y51" s="53" t="s">
        <v>90</v>
      </c>
      <c r="Z51" s="53" t="s">
        <v>78</v>
      </c>
      <c r="AA51" s="53" t="s">
        <v>69</v>
      </c>
      <c r="AB51" s="53" t="s">
        <v>158</v>
      </c>
    </row>
    <row r="52" spans="1:34" x14ac:dyDescent="0.15">
      <c r="A52" s="53" t="s">
        <v>41</v>
      </c>
      <c r="B52" s="53" t="s">
        <v>157</v>
      </c>
      <c r="C52" s="62">
        <v>2019</v>
      </c>
      <c r="D52" s="63" t="s">
        <v>189</v>
      </c>
      <c r="E52" s="53" t="s">
        <v>195</v>
      </c>
      <c r="F52" s="53" t="s">
        <v>197</v>
      </c>
      <c r="G52" s="53" t="s">
        <v>42</v>
      </c>
      <c r="H52" s="53" t="s">
        <v>164</v>
      </c>
      <c r="I52" s="53" t="s">
        <v>159</v>
      </c>
      <c r="J52" s="53" t="s">
        <v>38</v>
      </c>
      <c r="K52" s="53" t="s">
        <v>161</v>
      </c>
      <c r="L52" s="53">
        <v>3</v>
      </c>
      <c r="M52" s="76"/>
      <c r="N52" s="53">
        <v>1</v>
      </c>
      <c r="O52" s="53">
        <v>1.2</v>
      </c>
      <c r="P52" s="53">
        <v>1.4</v>
      </c>
      <c r="Q52" s="75">
        <f t="shared" si="3"/>
        <v>1.2999999999999998</v>
      </c>
      <c r="R52" s="53">
        <v>14.1</v>
      </c>
      <c r="S52" s="53">
        <v>122</v>
      </c>
      <c r="T52" s="16">
        <f t="shared" si="1"/>
        <v>27</v>
      </c>
      <c r="U52" s="53">
        <v>108</v>
      </c>
      <c r="V52" s="16">
        <f t="shared" si="2"/>
        <v>2916</v>
      </c>
      <c r="W52" s="53">
        <v>1</v>
      </c>
      <c r="X52" s="53" t="s">
        <v>46</v>
      </c>
      <c r="Y52" s="53" t="s">
        <v>90</v>
      </c>
      <c r="Z52" s="53" t="s">
        <v>78</v>
      </c>
      <c r="AA52" s="53" t="s">
        <v>69</v>
      </c>
      <c r="AB52" s="53" t="s">
        <v>158</v>
      </c>
    </row>
    <row r="53" spans="1:34" x14ac:dyDescent="0.15">
      <c r="A53" s="53" t="s">
        <v>41</v>
      </c>
      <c r="B53" s="53" t="s">
        <v>157</v>
      </c>
      <c r="C53" s="62">
        <v>2019</v>
      </c>
      <c r="D53" s="63" t="s">
        <v>189</v>
      </c>
      <c r="E53" s="53" t="s">
        <v>195</v>
      </c>
      <c r="F53" s="53" t="s">
        <v>197</v>
      </c>
      <c r="G53" s="53" t="s">
        <v>42</v>
      </c>
      <c r="H53" s="53" t="s">
        <v>164</v>
      </c>
      <c r="I53" s="53" t="s">
        <v>159</v>
      </c>
      <c r="J53" s="53" t="s">
        <v>38</v>
      </c>
      <c r="K53" s="53" t="s">
        <v>161</v>
      </c>
      <c r="L53" s="53">
        <v>1</v>
      </c>
      <c r="N53" s="53">
        <v>4</v>
      </c>
      <c r="O53" s="53">
        <v>0.7</v>
      </c>
      <c r="P53" s="53">
        <v>0.8</v>
      </c>
      <c r="Q53" s="75">
        <f t="shared" si="3"/>
        <v>0.75</v>
      </c>
      <c r="R53" s="53">
        <v>12.5</v>
      </c>
      <c r="S53" s="53">
        <v>114</v>
      </c>
      <c r="T53" s="16">
        <f t="shared" si="1"/>
        <v>30</v>
      </c>
      <c r="U53" s="53">
        <v>429</v>
      </c>
      <c r="V53" s="16">
        <f t="shared" si="2"/>
        <v>3217.5</v>
      </c>
      <c r="W53" s="53">
        <v>1</v>
      </c>
      <c r="X53" s="53" t="s">
        <v>46</v>
      </c>
      <c r="Y53" s="53" t="s">
        <v>90</v>
      </c>
      <c r="Z53" s="53" t="s">
        <v>78</v>
      </c>
      <c r="AA53" s="53" t="s">
        <v>69</v>
      </c>
      <c r="AB53" s="53" t="s">
        <v>158</v>
      </c>
    </row>
    <row r="54" spans="1:34" x14ac:dyDescent="0.15">
      <c r="A54" s="53" t="s">
        <v>41</v>
      </c>
      <c r="B54" s="53" t="s">
        <v>157</v>
      </c>
      <c r="C54" s="62">
        <v>2019</v>
      </c>
      <c r="D54" s="63" t="s">
        <v>189</v>
      </c>
      <c r="E54" s="53" t="s">
        <v>195</v>
      </c>
      <c r="F54" s="53" t="s">
        <v>197</v>
      </c>
      <c r="G54" s="53" t="s">
        <v>42</v>
      </c>
      <c r="H54" s="53" t="s">
        <v>164</v>
      </c>
      <c r="I54" s="53" t="s">
        <v>159</v>
      </c>
      <c r="J54" s="53" t="s">
        <v>38</v>
      </c>
      <c r="K54" s="53" t="s">
        <v>161</v>
      </c>
      <c r="L54" s="53">
        <v>2</v>
      </c>
      <c r="M54" s="76"/>
      <c r="N54" s="53">
        <v>4</v>
      </c>
      <c r="O54" s="53">
        <v>0.65</v>
      </c>
      <c r="P54" s="53">
        <v>0.45</v>
      </c>
      <c r="Q54" s="75">
        <f t="shared" si="3"/>
        <v>0.55000000000000004</v>
      </c>
      <c r="R54" s="53">
        <v>13.2</v>
      </c>
      <c r="S54" s="53">
        <v>115</v>
      </c>
      <c r="T54" s="16">
        <f t="shared" si="1"/>
        <v>30</v>
      </c>
      <c r="U54" s="53">
        <v>429</v>
      </c>
      <c r="V54" s="16">
        <f t="shared" si="2"/>
        <v>3217.5</v>
      </c>
      <c r="W54" s="53">
        <v>1</v>
      </c>
      <c r="X54" s="53" t="s">
        <v>46</v>
      </c>
      <c r="Y54" s="53" t="s">
        <v>90</v>
      </c>
      <c r="Z54" s="53" t="s">
        <v>78</v>
      </c>
      <c r="AA54" s="53" t="s">
        <v>69</v>
      </c>
      <c r="AB54" s="53" t="s">
        <v>158</v>
      </c>
    </row>
    <row r="55" spans="1:34" x14ac:dyDescent="0.15">
      <c r="A55" s="53" t="s">
        <v>41</v>
      </c>
      <c r="B55" s="53" t="s">
        <v>157</v>
      </c>
      <c r="C55" s="62">
        <v>2019</v>
      </c>
      <c r="D55" s="63" t="s">
        <v>189</v>
      </c>
      <c r="E55" s="53" t="s">
        <v>195</v>
      </c>
      <c r="F55" s="53" t="s">
        <v>197</v>
      </c>
      <c r="G55" s="53" t="s">
        <v>42</v>
      </c>
      <c r="H55" s="53" t="s">
        <v>164</v>
      </c>
      <c r="I55" s="53" t="s">
        <v>159</v>
      </c>
      <c r="J55" s="53" t="s">
        <v>38</v>
      </c>
      <c r="K55" s="53" t="s">
        <v>161</v>
      </c>
      <c r="L55" s="53">
        <v>3</v>
      </c>
      <c r="M55" s="76"/>
      <c r="N55" s="53">
        <v>4</v>
      </c>
      <c r="O55" s="53">
        <v>0.5</v>
      </c>
      <c r="P55" s="53">
        <v>0.5</v>
      </c>
      <c r="Q55" s="75">
        <f t="shared" si="3"/>
        <v>0.5</v>
      </c>
      <c r="R55" s="53">
        <v>13.7</v>
      </c>
      <c r="S55" s="53">
        <v>120</v>
      </c>
      <c r="T55" s="16">
        <f t="shared" si="1"/>
        <v>30</v>
      </c>
      <c r="U55" s="53">
        <v>429</v>
      </c>
      <c r="V55" s="16">
        <f t="shared" si="2"/>
        <v>3217.5</v>
      </c>
      <c r="W55" s="53">
        <v>1</v>
      </c>
      <c r="X55" s="53" t="s">
        <v>46</v>
      </c>
      <c r="Y55" s="53" t="s">
        <v>90</v>
      </c>
      <c r="Z55" s="53" t="s">
        <v>78</v>
      </c>
      <c r="AA55" s="53" t="s">
        <v>69</v>
      </c>
      <c r="AB55" s="53" t="s">
        <v>158</v>
      </c>
    </row>
    <row r="56" spans="1:34" x14ac:dyDescent="0.15">
      <c r="A56" s="53" t="s">
        <v>41</v>
      </c>
      <c r="B56" s="53" t="s">
        <v>157</v>
      </c>
      <c r="C56" s="62">
        <v>2019</v>
      </c>
      <c r="D56" s="63" t="s">
        <v>189</v>
      </c>
      <c r="E56" s="53" t="s">
        <v>195</v>
      </c>
      <c r="F56" s="53" t="s">
        <v>197</v>
      </c>
      <c r="G56" s="53" t="s">
        <v>42</v>
      </c>
      <c r="H56" s="53" t="s">
        <v>164</v>
      </c>
      <c r="I56" s="53" t="s">
        <v>159</v>
      </c>
      <c r="J56" s="53" t="s">
        <v>38</v>
      </c>
      <c r="K56" s="53" t="s">
        <v>161</v>
      </c>
      <c r="L56" s="53">
        <v>1</v>
      </c>
      <c r="N56" s="53">
        <v>6</v>
      </c>
      <c r="O56" s="53">
        <v>0.7</v>
      </c>
      <c r="P56" s="53">
        <v>0.75</v>
      </c>
      <c r="Q56" s="75">
        <f t="shared" si="3"/>
        <v>0.72499999999999998</v>
      </c>
      <c r="R56" s="53">
        <v>13.5</v>
      </c>
      <c r="S56" s="53">
        <v>114</v>
      </c>
      <c r="T56" s="16">
        <f t="shared" si="1"/>
        <v>30</v>
      </c>
      <c r="U56" s="53">
        <v>626</v>
      </c>
      <c r="V56" s="16">
        <f t="shared" si="2"/>
        <v>3130</v>
      </c>
      <c r="W56" s="53">
        <v>2</v>
      </c>
      <c r="X56" s="53" t="s">
        <v>46</v>
      </c>
      <c r="Y56" s="53" t="s">
        <v>90</v>
      </c>
      <c r="Z56" s="53" t="s">
        <v>78</v>
      </c>
      <c r="AA56" s="53" t="s">
        <v>69</v>
      </c>
      <c r="AB56" s="53" t="s">
        <v>158</v>
      </c>
      <c r="AC56" s="76"/>
      <c r="AD56" s="76"/>
      <c r="AE56" s="76"/>
      <c r="AF56" s="76"/>
      <c r="AG56" s="76"/>
      <c r="AH56" s="76"/>
    </row>
    <row r="57" spans="1:34" x14ac:dyDescent="0.15">
      <c r="A57" s="53" t="s">
        <v>41</v>
      </c>
      <c r="B57" s="53" t="s">
        <v>157</v>
      </c>
      <c r="C57" s="62">
        <v>2019</v>
      </c>
      <c r="D57" s="63" t="s">
        <v>189</v>
      </c>
      <c r="E57" s="53" t="s">
        <v>195</v>
      </c>
      <c r="F57" s="53" t="s">
        <v>197</v>
      </c>
      <c r="G57" s="53" t="s">
        <v>42</v>
      </c>
      <c r="H57" s="53" t="s">
        <v>164</v>
      </c>
      <c r="I57" s="53" t="s">
        <v>159</v>
      </c>
      <c r="J57" s="53" t="s">
        <v>38</v>
      </c>
      <c r="K57" s="53" t="s">
        <v>161</v>
      </c>
      <c r="L57" s="53">
        <v>2</v>
      </c>
      <c r="M57" s="76"/>
      <c r="N57" s="53">
        <v>6</v>
      </c>
      <c r="O57" s="53">
        <v>0.65</v>
      </c>
      <c r="P57" s="53">
        <v>0.8</v>
      </c>
      <c r="Q57" s="75">
        <f t="shared" si="3"/>
        <v>0.72500000000000009</v>
      </c>
      <c r="R57" s="53">
        <v>14.1</v>
      </c>
      <c r="S57" s="53">
        <v>110</v>
      </c>
      <c r="T57" s="16">
        <f t="shared" si="1"/>
        <v>33</v>
      </c>
      <c r="U57" s="53">
        <v>626</v>
      </c>
      <c r="V57" s="16">
        <f t="shared" si="2"/>
        <v>3443</v>
      </c>
      <c r="W57" s="53">
        <v>2</v>
      </c>
      <c r="X57" s="53" t="s">
        <v>46</v>
      </c>
      <c r="Y57" s="53" t="s">
        <v>90</v>
      </c>
      <c r="Z57" s="53" t="s">
        <v>78</v>
      </c>
      <c r="AA57" s="53" t="s">
        <v>69</v>
      </c>
      <c r="AB57" s="53" t="s">
        <v>158</v>
      </c>
      <c r="AC57" s="76"/>
      <c r="AD57" s="76"/>
      <c r="AE57" s="76"/>
      <c r="AF57" s="76"/>
      <c r="AG57" s="76"/>
      <c r="AH57" s="76"/>
    </row>
    <row r="58" spans="1:34" x14ac:dyDescent="0.15">
      <c r="A58" s="53" t="s">
        <v>41</v>
      </c>
      <c r="B58" s="53" t="s">
        <v>157</v>
      </c>
      <c r="C58" s="62">
        <v>2019</v>
      </c>
      <c r="D58" s="63" t="s">
        <v>189</v>
      </c>
      <c r="E58" s="53" t="s">
        <v>195</v>
      </c>
      <c r="F58" s="53" t="s">
        <v>197</v>
      </c>
      <c r="G58" s="53" t="s">
        <v>42</v>
      </c>
      <c r="H58" s="53" t="s">
        <v>164</v>
      </c>
      <c r="I58" s="53" t="s">
        <v>159</v>
      </c>
      <c r="J58" s="53" t="s">
        <v>38</v>
      </c>
      <c r="K58" s="53" t="s">
        <v>161</v>
      </c>
      <c r="L58" s="53">
        <v>3</v>
      </c>
      <c r="M58" s="76"/>
      <c r="N58" s="53">
        <v>6</v>
      </c>
      <c r="O58" s="53">
        <v>0.9</v>
      </c>
      <c r="P58" s="53">
        <v>0.85</v>
      </c>
      <c r="Q58" s="75">
        <f t="shared" si="3"/>
        <v>0.875</v>
      </c>
      <c r="R58" s="53">
        <v>14.2</v>
      </c>
      <c r="S58" s="53">
        <v>110</v>
      </c>
      <c r="T58" s="16">
        <f t="shared" si="1"/>
        <v>33</v>
      </c>
      <c r="U58" s="53">
        <v>626</v>
      </c>
      <c r="V58" s="16">
        <f t="shared" si="2"/>
        <v>3443</v>
      </c>
      <c r="W58" s="53">
        <v>2</v>
      </c>
      <c r="X58" s="53" t="s">
        <v>46</v>
      </c>
      <c r="Y58" s="53" t="s">
        <v>90</v>
      </c>
      <c r="Z58" s="53" t="s">
        <v>78</v>
      </c>
      <c r="AA58" s="53" t="s">
        <v>69</v>
      </c>
      <c r="AB58" s="53" t="s">
        <v>158</v>
      </c>
      <c r="AC58" s="76"/>
      <c r="AD58" s="76"/>
      <c r="AE58" s="76"/>
      <c r="AF58" s="76"/>
      <c r="AG58" s="76"/>
      <c r="AH58" s="76"/>
    </row>
    <row r="59" spans="1:34" x14ac:dyDescent="0.15">
      <c r="A59" s="53" t="s">
        <v>41</v>
      </c>
      <c r="B59" s="53" t="s">
        <v>157</v>
      </c>
      <c r="C59" s="62">
        <v>2019</v>
      </c>
      <c r="D59" s="63" t="s">
        <v>189</v>
      </c>
      <c r="E59" s="53" t="s">
        <v>195</v>
      </c>
      <c r="F59" s="53" t="s">
        <v>197</v>
      </c>
      <c r="G59" s="53" t="s">
        <v>42</v>
      </c>
      <c r="H59" s="53" t="s">
        <v>160</v>
      </c>
      <c r="I59" s="53" t="s">
        <v>159</v>
      </c>
      <c r="J59" s="53" t="s">
        <v>38</v>
      </c>
      <c r="K59" s="53" t="s">
        <v>161</v>
      </c>
      <c r="L59" s="53">
        <v>1</v>
      </c>
      <c r="N59" s="53">
        <v>1</v>
      </c>
      <c r="O59" s="53">
        <v>0.35</v>
      </c>
      <c r="P59" s="53">
        <v>0.35</v>
      </c>
      <c r="Q59" s="75">
        <f t="shared" si="3"/>
        <v>0.35</v>
      </c>
      <c r="R59" s="53">
        <v>14.2</v>
      </c>
      <c r="S59" s="53">
        <v>121</v>
      </c>
      <c r="T59" s="16">
        <f t="shared" si="1"/>
        <v>27</v>
      </c>
      <c r="U59" s="53">
        <v>138</v>
      </c>
      <c r="V59" s="16">
        <f t="shared" si="2"/>
        <v>3726</v>
      </c>
      <c r="W59" s="53">
        <v>1</v>
      </c>
      <c r="X59" s="53" t="s">
        <v>46</v>
      </c>
      <c r="Y59" s="53" t="s">
        <v>90</v>
      </c>
      <c r="Z59" s="53" t="s">
        <v>78</v>
      </c>
      <c r="AA59" s="53" t="s">
        <v>69</v>
      </c>
      <c r="AB59" s="53" t="s">
        <v>158</v>
      </c>
      <c r="AC59" s="76"/>
      <c r="AD59" s="76"/>
      <c r="AE59" s="76"/>
      <c r="AF59" s="76"/>
      <c r="AG59" s="76"/>
      <c r="AH59" s="76"/>
    </row>
    <row r="60" spans="1:34" x14ac:dyDescent="0.15">
      <c r="A60" s="53" t="s">
        <v>41</v>
      </c>
      <c r="B60" s="53" t="s">
        <v>157</v>
      </c>
      <c r="C60" s="62">
        <v>2019</v>
      </c>
      <c r="D60" s="63" t="s">
        <v>189</v>
      </c>
      <c r="E60" s="53" t="s">
        <v>195</v>
      </c>
      <c r="F60" s="53" t="s">
        <v>197</v>
      </c>
      <c r="G60" s="53" t="s">
        <v>42</v>
      </c>
      <c r="H60" s="53" t="s">
        <v>160</v>
      </c>
      <c r="I60" s="53" t="s">
        <v>159</v>
      </c>
      <c r="J60" s="53" t="s">
        <v>38</v>
      </c>
      <c r="K60" s="53" t="s">
        <v>161</v>
      </c>
      <c r="L60" s="53">
        <v>2</v>
      </c>
      <c r="M60" s="76"/>
      <c r="N60" s="53">
        <v>1</v>
      </c>
      <c r="O60" s="53">
        <v>0.5</v>
      </c>
      <c r="P60" s="53">
        <v>0.4</v>
      </c>
      <c r="Q60" s="75">
        <f t="shared" si="3"/>
        <v>0.45</v>
      </c>
      <c r="R60" s="53">
        <v>13.5</v>
      </c>
      <c r="S60" s="53">
        <v>120</v>
      </c>
      <c r="T60" s="16">
        <f t="shared" si="1"/>
        <v>30</v>
      </c>
      <c r="U60" s="53">
        <v>138</v>
      </c>
      <c r="V60" s="16">
        <f t="shared" si="2"/>
        <v>4140</v>
      </c>
      <c r="W60" s="53">
        <v>1</v>
      </c>
      <c r="X60" s="53" t="s">
        <v>46</v>
      </c>
      <c r="Y60" s="53" t="s">
        <v>90</v>
      </c>
      <c r="Z60" s="53" t="s">
        <v>78</v>
      </c>
      <c r="AA60" s="53" t="s">
        <v>69</v>
      </c>
      <c r="AB60" s="53" t="s">
        <v>158</v>
      </c>
      <c r="AC60" s="76"/>
      <c r="AD60" s="76"/>
      <c r="AE60" s="76"/>
      <c r="AF60" s="76"/>
      <c r="AG60" s="76"/>
      <c r="AH60" s="76"/>
    </row>
    <row r="61" spans="1:34" x14ac:dyDescent="0.15">
      <c r="A61" s="53" t="s">
        <v>41</v>
      </c>
      <c r="B61" s="53" t="s">
        <v>157</v>
      </c>
      <c r="C61" s="62">
        <v>2019</v>
      </c>
      <c r="D61" s="63" t="s">
        <v>189</v>
      </c>
      <c r="E61" s="53" t="s">
        <v>195</v>
      </c>
      <c r="F61" s="53" t="s">
        <v>197</v>
      </c>
      <c r="G61" s="53" t="s">
        <v>42</v>
      </c>
      <c r="H61" s="53" t="s">
        <v>160</v>
      </c>
      <c r="I61" s="53" t="s">
        <v>159</v>
      </c>
      <c r="J61" s="53" t="s">
        <v>38</v>
      </c>
      <c r="K61" s="53" t="s">
        <v>161</v>
      </c>
      <c r="L61" s="53">
        <v>3</v>
      </c>
      <c r="M61" s="76"/>
      <c r="N61" s="53">
        <v>1</v>
      </c>
      <c r="O61" s="53">
        <v>0.45</v>
      </c>
      <c r="P61" s="53">
        <v>0.4</v>
      </c>
      <c r="Q61" s="75">
        <f t="shared" si="3"/>
        <v>0.42500000000000004</v>
      </c>
      <c r="R61" s="53">
        <v>15.1</v>
      </c>
      <c r="S61" s="53">
        <v>122</v>
      </c>
      <c r="T61" s="16">
        <f t="shared" si="1"/>
        <v>27</v>
      </c>
      <c r="U61" s="53">
        <v>138</v>
      </c>
      <c r="V61" s="16">
        <f t="shared" si="2"/>
        <v>3726</v>
      </c>
      <c r="W61" s="53">
        <v>1</v>
      </c>
      <c r="X61" s="53" t="s">
        <v>46</v>
      </c>
      <c r="Y61" s="53" t="s">
        <v>90</v>
      </c>
      <c r="Z61" s="53" t="s">
        <v>78</v>
      </c>
      <c r="AA61" s="53" t="s">
        <v>69</v>
      </c>
      <c r="AB61" s="53" t="s">
        <v>158</v>
      </c>
      <c r="AC61" s="76"/>
      <c r="AD61" s="76"/>
      <c r="AE61" s="76"/>
      <c r="AF61" s="76"/>
      <c r="AG61" s="76"/>
      <c r="AH61" s="76"/>
    </row>
    <row r="62" spans="1:34" x14ac:dyDescent="0.15">
      <c r="A62" s="53" t="s">
        <v>41</v>
      </c>
      <c r="B62" s="53" t="s">
        <v>157</v>
      </c>
      <c r="C62" s="62">
        <v>2019</v>
      </c>
      <c r="D62" s="63" t="s">
        <v>189</v>
      </c>
      <c r="E62" s="53" t="s">
        <v>199</v>
      </c>
      <c r="F62" s="53" t="s">
        <v>197</v>
      </c>
      <c r="G62" s="53" t="s">
        <v>42</v>
      </c>
      <c r="H62" s="53" t="s">
        <v>164</v>
      </c>
      <c r="I62" s="53" t="s">
        <v>159</v>
      </c>
      <c r="J62" s="53" t="s">
        <v>38</v>
      </c>
      <c r="K62" s="53" t="s">
        <v>161</v>
      </c>
      <c r="L62" s="53">
        <v>1</v>
      </c>
      <c r="N62" s="53">
        <v>1</v>
      </c>
      <c r="O62" s="53">
        <v>0.65</v>
      </c>
      <c r="P62" s="53">
        <v>0.85</v>
      </c>
      <c r="Q62" s="72">
        <f t="shared" si="3"/>
        <v>0.75</v>
      </c>
      <c r="R62" s="53">
        <v>9.8000000000000007</v>
      </c>
      <c r="S62" s="53">
        <v>122</v>
      </c>
      <c r="T62" s="16">
        <f t="shared" si="1"/>
        <v>27</v>
      </c>
      <c r="U62" s="53">
        <v>105</v>
      </c>
      <c r="V62" s="16">
        <f t="shared" si="2"/>
        <v>2835</v>
      </c>
      <c r="W62" s="53">
        <v>3</v>
      </c>
      <c r="X62" s="53" t="s">
        <v>46</v>
      </c>
      <c r="Y62" s="53" t="s">
        <v>84</v>
      </c>
      <c r="Z62" s="53" t="s">
        <v>90</v>
      </c>
      <c r="AA62" s="53" t="s">
        <v>69</v>
      </c>
      <c r="AB62" s="53" t="s">
        <v>158</v>
      </c>
      <c r="AC62" s="76"/>
      <c r="AD62" s="76"/>
      <c r="AE62" s="76"/>
      <c r="AF62" s="76"/>
      <c r="AG62" s="76"/>
      <c r="AH62" s="76"/>
    </row>
    <row r="63" spans="1:34" x14ac:dyDescent="0.15">
      <c r="A63" s="53" t="s">
        <v>41</v>
      </c>
      <c r="B63" s="53" t="s">
        <v>157</v>
      </c>
      <c r="C63" s="62">
        <v>2019</v>
      </c>
      <c r="D63" s="63" t="s">
        <v>189</v>
      </c>
      <c r="E63" s="53" t="s">
        <v>199</v>
      </c>
      <c r="F63" s="53" t="s">
        <v>197</v>
      </c>
      <c r="G63" s="53" t="s">
        <v>42</v>
      </c>
      <c r="H63" s="53" t="s">
        <v>164</v>
      </c>
      <c r="I63" s="53" t="s">
        <v>159</v>
      </c>
      <c r="J63" s="53" t="s">
        <v>38</v>
      </c>
      <c r="K63" s="53" t="s">
        <v>161</v>
      </c>
      <c r="L63" s="53">
        <v>2</v>
      </c>
      <c r="M63" s="76"/>
      <c r="N63" s="53">
        <v>1</v>
      </c>
      <c r="O63" s="53">
        <v>0.9</v>
      </c>
      <c r="P63" s="53">
        <v>0.9</v>
      </c>
      <c r="Q63" s="72">
        <f t="shared" si="3"/>
        <v>0.9</v>
      </c>
      <c r="R63" s="53">
        <v>11.4</v>
      </c>
      <c r="S63" s="53">
        <v>120</v>
      </c>
      <c r="T63" s="16">
        <f t="shared" si="1"/>
        <v>30</v>
      </c>
      <c r="U63" s="53">
        <v>105</v>
      </c>
      <c r="V63" s="16">
        <f t="shared" si="2"/>
        <v>3150</v>
      </c>
      <c r="W63" s="53">
        <v>3</v>
      </c>
      <c r="X63" s="53" t="s">
        <v>46</v>
      </c>
      <c r="Y63" s="53" t="s">
        <v>84</v>
      </c>
      <c r="Z63" s="53" t="s">
        <v>90</v>
      </c>
      <c r="AA63" s="53" t="s">
        <v>69</v>
      </c>
      <c r="AB63" s="53" t="s">
        <v>158</v>
      </c>
      <c r="AC63" s="76"/>
      <c r="AD63" s="76"/>
      <c r="AE63" s="76"/>
      <c r="AF63" s="76"/>
      <c r="AG63" s="76"/>
      <c r="AH63" s="76"/>
    </row>
    <row r="64" spans="1:34" x14ac:dyDescent="0.15">
      <c r="A64" s="53" t="s">
        <v>41</v>
      </c>
      <c r="B64" s="53" t="s">
        <v>157</v>
      </c>
      <c r="C64" s="62">
        <v>2019</v>
      </c>
      <c r="D64" s="63" t="s">
        <v>189</v>
      </c>
      <c r="E64" s="53" t="s">
        <v>199</v>
      </c>
      <c r="F64" s="53" t="s">
        <v>197</v>
      </c>
      <c r="G64" s="53" t="s">
        <v>42</v>
      </c>
      <c r="H64" s="53" t="s">
        <v>164</v>
      </c>
      <c r="I64" s="53" t="s">
        <v>159</v>
      </c>
      <c r="J64" s="53" t="s">
        <v>38</v>
      </c>
      <c r="K64" s="53" t="s">
        <v>161</v>
      </c>
      <c r="L64" s="53">
        <v>3</v>
      </c>
      <c r="M64" s="76"/>
      <c r="N64" s="53">
        <v>1</v>
      </c>
      <c r="O64" s="53">
        <v>0.8</v>
      </c>
      <c r="P64" s="53">
        <v>0.85</v>
      </c>
      <c r="Q64" s="72">
        <f t="shared" si="3"/>
        <v>0.82499999999999996</v>
      </c>
      <c r="R64" s="53">
        <v>12.1</v>
      </c>
      <c r="S64" s="53">
        <v>117</v>
      </c>
      <c r="T64" s="16">
        <f t="shared" si="1"/>
        <v>30</v>
      </c>
      <c r="U64" s="53">
        <v>105</v>
      </c>
      <c r="V64" s="16">
        <f t="shared" si="2"/>
        <v>3150</v>
      </c>
      <c r="W64" s="53">
        <v>3</v>
      </c>
      <c r="X64" s="53" t="s">
        <v>46</v>
      </c>
      <c r="Y64" s="53" t="s">
        <v>84</v>
      </c>
      <c r="Z64" s="53" t="s">
        <v>90</v>
      </c>
      <c r="AA64" s="53" t="s">
        <v>69</v>
      </c>
      <c r="AB64" s="53" t="s">
        <v>158</v>
      </c>
      <c r="AC64" s="76"/>
      <c r="AD64" s="76"/>
      <c r="AE64" s="76"/>
      <c r="AF64" s="76"/>
      <c r="AG64" s="76"/>
      <c r="AH64" s="76"/>
    </row>
    <row r="65" spans="1:34" x14ac:dyDescent="0.15">
      <c r="A65" s="53" t="s">
        <v>41</v>
      </c>
      <c r="B65" s="53" t="s">
        <v>157</v>
      </c>
      <c r="C65" s="62">
        <v>2019</v>
      </c>
      <c r="D65" s="63" t="s">
        <v>189</v>
      </c>
      <c r="E65" s="53" t="s">
        <v>199</v>
      </c>
      <c r="F65" s="53" t="s">
        <v>197</v>
      </c>
      <c r="G65" s="53" t="s">
        <v>42</v>
      </c>
      <c r="H65" s="53" t="s">
        <v>164</v>
      </c>
      <c r="I65" s="53" t="s">
        <v>159</v>
      </c>
      <c r="J65" s="53" t="s">
        <v>38</v>
      </c>
      <c r="K65" s="53" t="s">
        <v>161</v>
      </c>
      <c r="L65" s="53">
        <v>1</v>
      </c>
      <c r="N65" s="53">
        <v>6</v>
      </c>
      <c r="O65" s="53">
        <v>0.45</v>
      </c>
      <c r="P65" s="53">
        <v>0.5</v>
      </c>
      <c r="Q65" s="72">
        <f t="shared" si="3"/>
        <v>0.47499999999999998</v>
      </c>
      <c r="R65" s="53">
        <v>12.8</v>
      </c>
      <c r="S65" s="53">
        <v>100</v>
      </c>
      <c r="T65" s="16">
        <f t="shared" si="1"/>
        <v>33</v>
      </c>
      <c r="U65" s="53">
        <v>429</v>
      </c>
      <c r="V65" s="16">
        <f t="shared" si="2"/>
        <v>2359.5</v>
      </c>
      <c r="W65" s="53">
        <v>1</v>
      </c>
      <c r="X65" s="53" t="s">
        <v>46</v>
      </c>
      <c r="Y65" s="53" t="s">
        <v>84</v>
      </c>
      <c r="Z65" s="53" t="s">
        <v>90</v>
      </c>
      <c r="AA65" s="53" t="s">
        <v>69</v>
      </c>
      <c r="AB65" s="53" t="s">
        <v>158</v>
      </c>
      <c r="AC65" s="76"/>
      <c r="AD65" s="76"/>
      <c r="AE65" s="76"/>
      <c r="AF65" s="76"/>
      <c r="AG65" s="76"/>
      <c r="AH65" s="76"/>
    </row>
    <row r="66" spans="1:34" x14ac:dyDescent="0.15">
      <c r="A66" s="53" t="s">
        <v>41</v>
      </c>
      <c r="B66" s="53" t="s">
        <v>157</v>
      </c>
      <c r="C66" s="62">
        <v>2019</v>
      </c>
      <c r="D66" s="63" t="s">
        <v>189</v>
      </c>
      <c r="E66" s="53" t="s">
        <v>199</v>
      </c>
      <c r="F66" s="53" t="s">
        <v>197</v>
      </c>
      <c r="G66" s="53" t="s">
        <v>42</v>
      </c>
      <c r="H66" s="53" t="s">
        <v>164</v>
      </c>
      <c r="I66" s="53" t="s">
        <v>159</v>
      </c>
      <c r="J66" s="53" t="s">
        <v>38</v>
      </c>
      <c r="K66" s="53" t="s">
        <v>161</v>
      </c>
      <c r="L66" s="53">
        <v>2</v>
      </c>
      <c r="M66" s="76"/>
      <c r="N66" s="53">
        <v>6</v>
      </c>
      <c r="O66" s="53">
        <v>0.5</v>
      </c>
      <c r="P66" s="53">
        <v>0.45</v>
      </c>
      <c r="Q66" s="72">
        <f t="shared" si="3"/>
        <v>0.47499999999999998</v>
      </c>
      <c r="R66" s="53">
        <v>12</v>
      </c>
      <c r="S66" s="53">
        <v>101</v>
      </c>
      <c r="T66" s="16">
        <f t="shared" ref="T66:T129" si="4">IF(H66="","",IF(OR(H66="GREEN",H66="GK"),IF(S66&gt;=$AX$2,VLOOKUP(S66,$AX$2:$AY$10,2,1),""),IF(S66&gt;=$AZ$2,VLOOKUP(S66,$AZ$2:$BA$10,2,1),"")))</f>
        <v>33</v>
      </c>
      <c r="U66" s="53">
        <v>429</v>
      </c>
      <c r="V66" s="16">
        <f t="shared" ref="V66:V76" si="5">IF(OR(N66="",U66="",T66=""),"",U66/N66*T66)</f>
        <v>2359.5</v>
      </c>
      <c r="W66" s="53">
        <v>1</v>
      </c>
      <c r="X66" s="53" t="s">
        <v>46</v>
      </c>
      <c r="Y66" s="53" t="s">
        <v>84</v>
      </c>
      <c r="Z66" s="53" t="s">
        <v>90</v>
      </c>
      <c r="AA66" s="53" t="s">
        <v>69</v>
      </c>
      <c r="AB66" s="53" t="s">
        <v>158</v>
      </c>
      <c r="AC66" s="76"/>
      <c r="AD66" s="76"/>
      <c r="AE66" s="76"/>
      <c r="AF66" s="76"/>
      <c r="AG66" s="76"/>
      <c r="AH66" s="76"/>
    </row>
    <row r="67" spans="1:34" x14ac:dyDescent="0.15">
      <c r="A67" s="53" t="s">
        <v>41</v>
      </c>
      <c r="B67" s="53" t="s">
        <v>157</v>
      </c>
      <c r="C67" s="62">
        <v>2019</v>
      </c>
      <c r="D67" s="63" t="s">
        <v>189</v>
      </c>
      <c r="E67" s="53" t="s">
        <v>199</v>
      </c>
      <c r="F67" s="53" t="s">
        <v>197</v>
      </c>
      <c r="G67" s="53" t="s">
        <v>42</v>
      </c>
      <c r="H67" s="53" t="s">
        <v>164</v>
      </c>
      <c r="I67" s="53" t="s">
        <v>159</v>
      </c>
      <c r="J67" s="53" t="s">
        <v>38</v>
      </c>
      <c r="K67" s="53" t="s">
        <v>161</v>
      </c>
      <c r="L67" s="53">
        <v>3</v>
      </c>
      <c r="M67" s="76"/>
      <c r="N67" s="53">
        <v>6</v>
      </c>
      <c r="O67" s="53">
        <v>0.5</v>
      </c>
      <c r="P67" s="53">
        <v>0.4</v>
      </c>
      <c r="Q67" s="72">
        <f t="shared" si="3"/>
        <v>0.45</v>
      </c>
      <c r="R67" s="53">
        <v>13.4</v>
      </c>
      <c r="S67" s="53">
        <v>97</v>
      </c>
      <c r="T67" s="16">
        <f t="shared" si="4"/>
        <v>36</v>
      </c>
      <c r="U67" s="53">
        <v>429</v>
      </c>
      <c r="V67" s="16">
        <f t="shared" si="5"/>
        <v>2574</v>
      </c>
      <c r="W67" s="53">
        <v>1</v>
      </c>
      <c r="X67" s="53" t="s">
        <v>46</v>
      </c>
      <c r="Y67" s="53" t="s">
        <v>84</v>
      </c>
      <c r="Z67" s="53" t="s">
        <v>90</v>
      </c>
      <c r="AA67" s="53" t="s">
        <v>69</v>
      </c>
      <c r="AB67" s="53" t="s">
        <v>158</v>
      </c>
      <c r="AC67" s="76"/>
      <c r="AD67" s="76"/>
      <c r="AE67" s="76"/>
      <c r="AF67" s="76"/>
      <c r="AG67" s="76"/>
      <c r="AH67" s="76"/>
    </row>
    <row r="68" spans="1:34" x14ac:dyDescent="0.15">
      <c r="A68" s="53" t="s">
        <v>41</v>
      </c>
      <c r="B68" s="53" t="s">
        <v>157</v>
      </c>
      <c r="C68" s="62">
        <v>2019</v>
      </c>
      <c r="D68" s="63" t="s">
        <v>189</v>
      </c>
      <c r="E68" s="53" t="s">
        <v>202</v>
      </c>
      <c r="F68" s="53" t="s">
        <v>203</v>
      </c>
      <c r="G68" s="53" t="s">
        <v>42</v>
      </c>
      <c r="H68" s="53" t="s">
        <v>186</v>
      </c>
      <c r="I68" s="53" t="s">
        <v>159</v>
      </c>
      <c r="J68" s="53" t="s">
        <v>80</v>
      </c>
      <c r="K68" s="53" t="s">
        <v>45</v>
      </c>
      <c r="L68" s="53">
        <v>1</v>
      </c>
      <c r="N68" s="53">
        <v>5</v>
      </c>
      <c r="O68" s="53">
        <v>1.3</v>
      </c>
      <c r="P68" s="53">
        <v>1.5</v>
      </c>
      <c r="Q68" s="75">
        <f t="shared" si="3"/>
        <v>1.4</v>
      </c>
      <c r="R68" s="53">
        <v>12.1</v>
      </c>
      <c r="S68" s="53">
        <v>115</v>
      </c>
      <c r="T68" s="16">
        <f t="shared" si="4"/>
        <v>30</v>
      </c>
      <c r="U68" s="53">
        <v>322</v>
      </c>
      <c r="V68" s="16">
        <v>3726</v>
      </c>
      <c r="W68" s="53">
        <v>2</v>
      </c>
      <c r="X68" s="53" t="s">
        <v>46</v>
      </c>
      <c r="Y68" s="53" t="s">
        <v>84</v>
      </c>
      <c r="Z68" s="53" t="s">
        <v>90</v>
      </c>
      <c r="AA68" s="53" t="s">
        <v>50</v>
      </c>
      <c r="AB68" s="53" t="s">
        <v>158</v>
      </c>
      <c r="AC68" s="76"/>
      <c r="AD68" s="76"/>
      <c r="AE68" s="76"/>
      <c r="AF68" s="76"/>
      <c r="AG68" s="76"/>
      <c r="AH68" s="76"/>
    </row>
    <row r="69" spans="1:34" x14ac:dyDescent="0.15">
      <c r="A69" s="53" t="s">
        <v>41</v>
      </c>
      <c r="B69" s="53" t="s">
        <v>157</v>
      </c>
      <c r="C69" s="62">
        <v>2019</v>
      </c>
      <c r="D69" s="63" t="s">
        <v>189</v>
      </c>
      <c r="E69" s="53" t="s">
        <v>202</v>
      </c>
      <c r="F69" s="53" t="s">
        <v>203</v>
      </c>
      <c r="G69" s="53" t="s">
        <v>42</v>
      </c>
      <c r="H69" s="53" t="s">
        <v>186</v>
      </c>
      <c r="I69" s="53" t="s">
        <v>159</v>
      </c>
      <c r="J69" s="53" t="s">
        <v>80</v>
      </c>
      <c r="K69" s="53" t="s">
        <v>45</v>
      </c>
      <c r="L69" s="53">
        <v>2</v>
      </c>
      <c r="M69" s="76"/>
      <c r="N69" s="53">
        <v>5</v>
      </c>
      <c r="O69" s="53">
        <v>1.2</v>
      </c>
      <c r="P69" s="53">
        <v>1.25</v>
      </c>
      <c r="Q69" s="75">
        <f t="shared" si="3"/>
        <v>1.2250000000000001</v>
      </c>
      <c r="R69" s="53">
        <v>11</v>
      </c>
      <c r="S69" s="53">
        <v>118</v>
      </c>
      <c r="T69" s="16">
        <f t="shared" si="4"/>
        <v>30</v>
      </c>
      <c r="U69" s="53">
        <v>322</v>
      </c>
      <c r="V69" s="16">
        <v>3726</v>
      </c>
      <c r="W69" s="53">
        <v>2</v>
      </c>
      <c r="X69" s="53" t="s">
        <v>46</v>
      </c>
      <c r="Y69" s="53" t="s">
        <v>84</v>
      </c>
      <c r="Z69" s="53" t="s">
        <v>90</v>
      </c>
      <c r="AA69" s="53" t="s">
        <v>50</v>
      </c>
      <c r="AB69" s="53" t="s">
        <v>158</v>
      </c>
      <c r="AC69" s="76"/>
      <c r="AD69" s="76"/>
      <c r="AE69" s="76"/>
      <c r="AF69" s="76"/>
      <c r="AG69" s="76"/>
      <c r="AH69" s="76"/>
    </row>
    <row r="70" spans="1:34" x14ac:dyDescent="0.15">
      <c r="A70" s="53" t="s">
        <v>41</v>
      </c>
      <c r="B70" s="53" t="s">
        <v>157</v>
      </c>
      <c r="C70" s="62">
        <v>2019</v>
      </c>
      <c r="D70" s="63" t="s">
        <v>189</v>
      </c>
      <c r="E70" s="53" t="s">
        <v>202</v>
      </c>
      <c r="F70" s="53" t="s">
        <v>203</v>
      </c>
      <c r="G70" s="53" t="s">
        <v>42</v>
      </c>
      <c r="H70" s="53" t="s">
        <v>186</v>
      </c>
      <c r="I70" s="53" t="s">
        <v>159</v>
      </c>
      <c r="J70" s="53" t="s">
        <v>80</v>
      </c>
      <c r="K70" s="53" t="s">
        <v>45</v>
      </c>
      <c r="L70" s="53">
        <v>3</v>
      </c>
      <c r="M70" s="76"/>
      <c r="N70" s="53">
        <v>5</v>
      </c>
      <c r="O70" s="53">
        <v>1.3</v>
      </c>
      <c r="P70" s="53">
        <v>1.35</v>
      </c>
      <c r="Q70" s="75">
        <f t="shared" si="3"/>
        <v>1.3250000000000002</v>
      </c>
      <c r="R70" s="53">
        <v>13.5</v>
      </c>
      <c r="S70" s="53">
        <v>114</v>
      </c>
      <c r="T70" s="16">
        <f t="shared" si="4"/>
        <v>30</v>
      </c>
      <c r="U70" s="53">
        <v>322</v>
      </c>
      <c r="V70" s="16">
        <v>3726</v>
      </c>
      <c r="W70" s="53">
        <v>2</v>
      </c>
      <c r="X70" s="53" t="s">
        <v>46</v>
      </c>
      <c r="Y70" s="53" t="s">
        <v>84</v>
      </c>
      <c r="Z70" s="53" t="s">
        <v>90</v>
      </c>
      <c r="AA70" s="53" t="s">
        <v>50</v>
      </c>
      <c r="AB70" s="53" t="s">
        <v>158</v>
      </c>
      <c r="AC70" s="76"/>
      <c r="AD70" s="76"/>
      <c r="AE70" s="76"/>
      <c r="AF70" s="76"/>
      <c r="AG70" s="76"/>
      <c r="AH70" s="76"/>
    </row>
    <row r="71" spans="1:34" x14ac:dyDescent="0.15">
      <c r="A71" s="53" t="s">
        <v>41</v>
      </c>
      <c r="B71" s="53" t="s">
        <v>157</v>
      </c>
      <c r="C71" s="62">
        <v>2019</v>
      </c>
      <c r="D71" s="63" t="s">
        <v>189</v>
      </c>
      <c r="E71" s="53" t="s">
        <v>202</v>
      </c>
      <c r="F71" s="53" t="s">
        <v>203</v>
      </c>
      <c r="G71" s="53" t="s">
        <v>42</v>
      </c>
      <c r="H71" s="53" t="s">
        <v>164</v>
      </c>
      <c r="I71" s="53" t="s">
        <v>159</v>
      </c>
      <c r="J71" s="53" t="s">
        <v>38</v>
      </c>
      <c r="K71" s="53" t="s">
        <v>161</v>
      </c>
      <c r="L71" s="53">
        <v>1</v>
      </c>
      <c r="N71" s="53">
        <v>1</v>
      </c>
      <c r="O71" s="53">
        <v>0.9</v>
      </c>
      <c r="P71" s="53">
        <v>0.8</v>
      </c>
      <c r="Q71" s="75">
        <f t="shared" si="3"/>
        <v>0.85000000000000009</v>
      </c>
      <c r="R71" s="53">
        <v>13</v>
      </c>
      <c r="S71" s="53">
        <v>130</v>
      </c>
      <c r="T71" s="16">
        <f t="shared" si="4"/>
        <v>25</v>
      </c>
      <c r="U71" s="53">
        <v>138</v>
      </c>
      <c r="V71" s="38">
        <v>3146</v>
      </c>
      <c r="W71" s="53">
        <v>2</v>
      </c>
      <c r="X71" s="53" t="s">
        <v>46</v>
      </c>
      <c r="Y71" s="53" t="s">
        <v>84</v>
      </c>
      <c r="Z71" s="53" t="s">
        <v>90</v>
      </c>
      <c r="AA71" s="53" t="s">
        <v>50</v>
      </c>
      <c r="AB71" s="53" t="s">
        <v>158</v>
      </c>
      <c r="AC71" s="76"/>
      <c r="AD71" s="76"/>
      <c r="AE71" s="76"/>
      <c r="AF71" s="76"/>
      <c r="AG71" s="76"/>
      <c r="AH71" s="76"/>
    </row>
    <row r="72" spans="1:34" x14ac:dyDescent="0.15">
      <c r="A72" s="53" t="s">
        <v>41</v>
      </c>
      <c r="B72" s="53" t="s">
        <v>157</v>
      </c>
      <c r="C72" s="62">
        <v>2019</v>
      </c>
      <c r="D72" s="63" t="s">
        <v>189</v>
      </c>
      <c r="E72" s="53" t="s">
        <v>202</v>
      </c>
      <c r="F72" s="53" t="s">
        <v>203</v>
      </c>
      <c r="G72" s="53" t="s">
        <v>42</v>
      </c>
      <c r="H72" s="53" t="s">
        <v>164</v>
      </c>
      <c r="I72" s="53" t="s">
        <v>159</v>
      </c>
      <c r="J72" s="53" t="s">
        <v>38</v>
      </c>
      <c r="K72" s="53" t="s">
        <v>161</v>
      </c>
      <c r="L72" s="53">
        <v>2</v>
      </c>
      <c r="N72" s="53">
        <v>1</v>
      </c>
      <c r="O72" s="53">
        <v>0.85</v>
      </c>
      <c r="P72" s="53">
        <v>0.95</v>
      </c>
      <c r="Q72" s="75">
        <f t="shared" si="3"/>
        <v>0.89999999999999991</v>
      </c>
      <c r="R72" s="53">
        <v>12.8</v>
      </c>
      <c r="S72" s="53">
        <v>132</v>
      </c>
      <c r="T72" s="16">
        <f t="shared" si="4"/>
        <v>25</v>
      </c>
      <c r="U72" s="53">
        <v>138</v>
      </c>
      <c r="V72" s="38">
        <v>3146</v>
      </c>
      <c r="W72" s="53">
        <v>2</v>
      </c>
      <c r="X72" s="53" t="s">
        <v>46</v>
      </c>
      <c r="Y72" s="53" t="s">
        <v>84</v>
      </c>
      <c r="Z72" s="53" t="s">
        <v>90</v>
      </c>
      <c r="AA72" s="53" t="s">
        <v>50</v>
      </c>
      <c r="AB72" s="53" t="s">
        <v>158</v>
      </c>
      <c r="AC72" s="76"/>
      <c r="AD72" s="76"/>
      <c r="AE72" s="76"/>
      <c r="AF72" s="76"/>
      <c r="AG72" s="76"/>
      <c r="AH72" s="76"/>
    </row>
    <row r="73" spans="1:34" x14ac:dyDescent="0.15">
      <c r="A73" s="53" t="s">
        <v>41</v>
      </c>
      <c r="B73" s="53" t="s">
        <v>157</v>
      </c>
      <c r="C73" s="62">
        <v>2019</v>
      </c>
      <c r="D73" s="63" t="s">
        <v>189</v>
      </c>
      <c r="E73" s="53" t="s">
        <v>202</v>
      </c>
      <c r="F73" s="53" t="s">
        <v>203</v>
      </c>
      <c r="G73" s="53" t="s">
        <v>42</v>
      </c>
      <c r="H73" s="53" t="s">
        <v>164</v>
      </c>
      <c r="I73" s="53" t="s">
        <v>159</v>
      </c>
      <c r="J73" s="53" t="s">
        <v>38</v>
      </c>
      <c r="K73" s="53" t="s">
        <v>161</v>
      </c>
      <c r="L73" s="53">
        <v>3</v>
      </c>
      <c r="N73" s="53">
        <v>1</v>
      </c>
      <c r="O73" s="53">
        <v>0.9</v>
      </c>
      <c r="P73" s="53">
        <v>0.8</v>
      </c>
      <c r="Q73" s="75">
        <f t="shared" si="3"/>
        <v>0.85000000000000009</v>
      </c>
      <c r="R73" s="53">
        <v>12.4</v>
      </c>
      <c r="S73" s="53">
        <v>133</v>
      </c>
      <c r="T73" s="16">
        <f t="shared" si="4"/>
        <v>25</v>
      </c>
      <c r="U73" s="53">
        <v>138</v>
      </c>
      <c r="V73" s="38">
        <v>3146</v>
      </c>
      <c r="W73" s="53">
        <v>2</v>
      </c>
      <c r="X73" s="53" t="s">
        <v>46</v>
      </c>
      <c r="Y73" s="53" t="s">
        <v>84</v>
      </c>
      <c r="Z73" s="53" t="s">
        <v>90</v>
      </c>
      <c r="AA73" s="53" t="s">
        <v>50</v>
      </c>
      <c r="AB73" s="53" t="s">
        <v>158</v>
      </c>
      <c r="AC73" s="76"/>
      <c r="AD73" s="76"/>
      <c r="AE73" s="76"/>
      <c r="AF73" s="76"/>
      <c r="AG73" s="76"/>
      <c r="AH73" s="76"/>
    </row>
    <row r="74" spans="1:34" x14ac:dyDescent="0.15">
      <c r="A74" s="53" t="s">
        <v>41</v>
      </c>
      <c r="B74" s="53" t="s">
        <v>157</v>
      </c>
      <c r="C74" s="62">
        <v>2019</v>
      </c>
      <c r="D74" s="63" t="s">
        <v>189</v>
      </c>
      <c r="E74" s="53" t="s">
        <v>202</v>
      </c>
      <c r="F74" s="53" t="s">
        <v>203</v>
      </c>
      <c r="G74" s="53" t="s">
        <v>42</v>
      </c>
      <c r="H74" s="53" t="s">
        <v>164</v>
      </c>
      <c r="I74" s="53" t="s">
        <v>159</v>
      </c>
      <c r="J74" s="53" t="s">
        <v>38</v>
      </c>
      <c r="K74" s="53" t="s">
        <v>161</v>
      </c>
      <c r="L74" s="53">
        <v>1</v>
      </c>
      <c r="N74" s="53">
        <v>6</v>
      </c>
      <c r="O74" s="53">
        <v>0.7</v>
      </c>
      <c r="P74" s="53">
        <v>0.65</v>
      </c>
      <c r="Q74" s="75">
        <f t="shared" si="3"/>
        <v>0.67500000000000004</v>
      </c>
      <c r="R74" s="53">
        <v>14.2</v>
      </c>
      <c r="S74" s="53">
        <v>120</v>
      </c>
      <c r="T74" s="16">
        <f t="shared" si="4"/>
        <v>30</v>
      </c>
      <c r="U74" s="53">
        <v>538</v>
      </c>
      <c r="V74" s="38">
        <v>3670</v>
      </c>
      <c r="W74" s="53">
        <v>3</v>
      </c>
      <c r="X74" s="53" t="s">
        <v>46</v>
      </c>
      <c r="Y74" s="53" t="s">
        <v>84</v>
      </c>
      <c r="Z74" s="53" t="s">
        <v>90</v>
      </c>
      <c r="AA74" s="53" t="s">
        <v>50</v>
      </c>
      <c r="AB74" s="53" t="s">
        <v>158</v>
      </c>
      <c r="AC74" s="76"/>
      <c r="AD74" s="76"/>
      <c r="AE74" s="76"/>
      <c r="AF74" s="76"/>
      <c r="AG74" s="76"/>
      <c r="AH74" s="76"/>
    </row>
    <row r="75" spans="1:34" x14ac:dyDescent="0.15">
      <c r="A75" s="53" t="s">
        <v>41</v>
      </c>
      <c r="B75" s="53" t="s">
        <v>157</v>
      </c>
      <c r="C75" s="62">
        <v>2019</v>
      </c>
      <c r="D75" s="63" t="s">
        <v>189</v>
      </c>
      <c r="E75" s="53" t="s">
        <v>202</v>
      </c>
      <c r="F75" s="53" t="s">
        <v>203</v>
      </c>
      <c r="G75" s="53" t="s">
        <v>42</v>
      </c>
      <c r="H75" s="53" t="s">
        <v>164</v>
      </c>
      <c r="I75" s="53" t="s">
        <v>159</v>
      </c>
      <c r="J75" s="53" t="s">
        <v>38</v>
      </c>
      <c r="K75" s="53" t="s">
        <v>161</v>
      </c>
      <c r="L75" s="53">
        <v>2</v>
      </c>
      <c r="N75" s="53">
        <v>6</v>
      </c>
      <c r="O75" s="53">
        <v>0.7</v>
      </c>
      <c r="P75" s="53">
        <v>0.5</v>
      </c>
      <c r="Q75" s="75">
        <f t="shared" si="3"/>
        <v>0.6</v>
      </c>
      <c r="R75" s="53">
        <v>13.5</v>
      </c>
      <c r="S75" s="53">
        <v>114</v>
      </c>
      <c r="T75" s="16">
        <f t="shared" si="4"/>
        <v>30</v>
      </c>
      <c r="U75" s="53">
        <v>538</v>
      </c>
      <c r="V75" s="38">
        <v>3303</v>
      </c>
      <c r="W75" s="53">
        <v>3</v>
      </c>
      <c r="X75" s="53" t="s">
        <v>46</v>
      </c>
      <c r="Y75" s="53" t="s">
        <v>84</v>
      </c>
      <c r="Z75" s="53" t="s">
        <v>90</v>
      </c>
      <c r="AA75" s="53" t="s">
        <v>50</v>
      </c>
      <c r="AB75" s="53" t="s">
        <v>158</v>
      </c>
      <c r="AC75" s="76"/>
      <c r="AD75" s="76"/>
      <c r="AE75" s="76"/>
      <c r="AF75" s="76"/>
      <c r="AG75" s="76"/>
      <c r="AH75" s="76"/>
    </row>
    <row r="76" spans="1:34" x14ac:dyDescent="0.15">
      <c r="A76" s="53" t="s">
        <v>41</v>
      </c>
      <c r="B76" s="53" t="s">
        <v>157</v>
      </c>
      <c r="C76" s="62">
        <v>2019</v>
      </c>
      <c r="D76" s="63" t="s">
        <v>189</v>
      </c>
      <c r="E76" s="53" t="s">
        <v>202</v>
      </c>
      <c r="F76" s="53" t="s">
        <v>203</v>
      </c>
      <c r="G76" s="53" t="s">
        <v>42</v>
      </c>
      <c r="H76" s="53" t="s">
        <v>164</v>
      </c>
      <c r="I76" s="53" t="s">
        <v>159</v>
      </c>
      <c r="J76" s="53" t="s">
        <v>38</v>
      </c>
      <c r="K76" s="53" t="s">
        <v>161</v>
      </c>
      <c r="L76" s="53">
        <v>3</v>
      </c>
      <c r="N76" s="53">
        <v>6</v>
      </c>
      <c r="O76" s="53">
        <v>0.5</v>
      </c>
      <c r="P76" s="53">
        <v>0.65</v>
      </c>
      <c r="Q76" s="75">
        <f t="shared" si="3"/>
        <v>0.57499999999999996</v>
      </c>
      <c r="R76" s="53">
        <v>11.7</v>
      </c>
      <c r="S76" s="53">
        <v>115</v>
      </c>
      <c r="T76" s="16">
        <f t="shared" si="4"/>
        <v>30</v>
      </c>
      <c r="U76" s="53">
        <v>538</v>
      </c>
      <c r="V76" s="38">
        <v>3670</v>
      </c>
      <c r="W76" s="53">
        <v>3</v>
      </c>
      <c r="X76" s="53" t="s">
        <v>46</v>
      </c>
      <c r="Y76" s="53" t="s">
        <v>84</v>
      </c>
      <c r="Z76" s="53" t="s">
        <v>90</v>
      </c>
      <c r="AA76" s="53" t="s">
        <v>50</v>
      </c>
      <c r="AB76" s="53" t="s">
        <v>158</v>
      </c>
      <c r="AC76" s="76"/>
      <c r="AD76" s="76"/>
      <c r="AE76" s="76"/>
      <c r="AF76" s="76"/>
      <c r="AG76" s="76"/>
      <c r="AH76" s="76"/>
    </row>
    <row r="77" spans="1:34" x14ac:dyDescent="0.15">
      <c r="A77" s="53" t="s">
        <v>41</v>
      </c>
      <c r="B77" s="53" t="s">
        <v>157</v>
      </c>
      <c r="C77" s="62">
        <v>2019</v>
      </c>
      <c r="D77" s="63" t="s">
        <v>189</v>
      </c>
      <c r="E77" s="53" t="s">
        <v>202</v>
      </c>
      <c r="F77" s="53" t="s">
        <v>209</v>
      </c>
      <c r="G77" s="53" t="s">
        <v>42</v>
      </c>
      <c r="H77" s="53" t="s">
        <v>164</v>
      </c>
      <c r="I77" s="53" t="s">
        <v>159</v>
      </c>
      <c r="J77" s="53" t="s">
        <v>38</v>
      </c>
      <c r="K77" s="53" t="s">
        <v>161</v>
      </c>
      <c r="L77" s="53">
        <v>1</v>
      </c>
      <c r="N77" s="53">
        <v>1</v>
      </c>
      <c r="O77" s="53">
        <v>0.75</v>
      </c>
      <c r="P77" s="53">
        <v>0.7</v>
      </c>
      <c r="Q77" s="16">
        <f t="shared" si="3"/>
        <v>0.72499999999999998</v>
      </c>
      <c r="R77" s="53">
        <v>12.5</v>
      </c>
      <c r="S77" s="53">
        <v>132</v>
      </c>
      <c r="T77" s="16">
        <f t="shared" si="4"/>
        <v>25</v>
      </c>
      <c r="U77" s="53">
        <v>138</v>
      </c>
      <c r="V77" s="38">
        <f t="shared" ref="V77:V140" si="6">IF(OR(N77="",U77="",T77=""),"",U77/N77*T77)</f>
        <v>3450</v>
      </c>
      <c r="W77" s="53">
        <v>2</v>
      </c>
      <c r="X77" s="53" t="s">
        <v>46</v>
      </c>
      <c r="Y77" s="53" t="s">
        <v>69</v>
      </c>
      <c r="Z77" s="53" t="s">
        <v>90</v>
      </c>
      <c r="AA77" s="53" t="s">
        <v>50</v>
      </c>
      <c r="AB77" s="53" t="s">
        <v>158</v>
      </c>
      <c r="AC77" s="76"/>
      <c r="AD77" s="76"/>
      <c r="AE77" s="76"/>
      <c r="AF77" s="76"/>
      <c r="AG77" s="76"/>
      <c r="AH77" s="76"/>
    </row>
    <row r="78" spans="1:34" x14ac:dyDescent="0.15">
      <c r="A78" s="53" t="s">
        <v>41</v>
      </c>
      <c r="B78" s="53" t="s">
        <v>157</v>
      </c>
      <c r="C78" s="62">
        <v>2019</v>
      </c>
      <c r="D78" s="63" t="s">
        <v>189</v>
      </c>
      <c r="E78" s="53" t="s">
        <v>202</v>
      </c>
      <c r="F78" s="53" t="s">
        <v>209</v>
      </c>
      <c r="G78" s="53" t="s">
        <v>42</v>
      </c>
      <c r="H78" s="53" t="s">
        <v>164</v>
      </c>
      <c r="I78" s="53" t="s">
        <v>159</v>
      </c>
      <c r="J78" s="53" t="s">
        <v>38</v>
      </c>
      <c r="K78" s="53" t="s">
        <v>161</v>
      </c>
      <c r="L78" s="53">
        <v>2</v>
      </c>
      <c r="N78" s="53">
        <v>1</v>
      </c>
      <c r="O78" s="53">
        <v>0.95</v>
      </c>
      <c r="P78" s="53">
        <v>0.9</v>
      </c>
      <c r="Q78" s="16">
        <f t="shared" si="3"/>
        <v>0.92500000000000004</v>
      </c>
      <c r="R78" s="53">
        <v>13.4</v>
      </c>
      <c r="S78" s="53">
        <v>135</v>
      </c>
      <c r="T78" s="16">
        <f t="shared" si="4"/>
        <v>25</v>
      </c>
      <c r="U78" s="53">
        <v>138</v>
      </c>
      <c r="V78" s="38">
        <f t="shared" si="6"/>
        <v>3450</v>
      </c>
      <c r="W78" s="53">
        <v>2</v>
      </c>
      <c r="X78" s="53" t="s">
        <v>46</v>
      </c>
      <c r="Y78" s="53" t="s">
        <v>69</v>
      </c>
      <c r="Z78" s="53" t="s">
        <v>90</v>
      </c>
      <c r="AA78" s="53" t="s">
        <v>50</v>
      </c>
      <c r="AB78" s="53" t="s">
        <v>158</v>
      </c>
      <c r="AC78" s="76"/>
      <c r="AD78" s="76"/>
      <c r="AE78" s="76"/>
      <c r="AF78" s="76"/>
      <c r="AG78" s="76"/>
      <c r="AH78" s="76"/>
    </row>
    <row r="79" spans="1:34" x14ac:dyDescent="0.15">
      <c r="A79" s="53" t="s">
        <v>41</v>
      </c>
      <c r="B79" s="53" t="s">
        <v>157</v>
      </c>
      <c r="C79" s="62">
        <v>2019</v>
      </c>
      <c r="D79" s="63" t="s">
        <v>189</v>
      </c>
      <c r="E79" s="53" t="s">
        <v>202</v>
      </c>
      <c r="F79" s="53" t="s">
        <v>209</v>
      </c>
      <c r="G79" s="53" t="s">
        <v>42</v>
      </c>
      <c r="H79" s="53" t="s">
        <v>164</v>
      </c>
      <c r="I79" s="53" t="s">
        <v>159</v>
      </c>
      <c r="J79" s="53" t="s">
        <v>38</v>
      </c>
      <c r="K79" s="53" t="s">
        <v>161</v>
      </c>
      <c r="L79" s="53">
        <v>3</v>
      </c>
      <c r="N79" s="53">
        <v>1</v>
      </c>
      <c r="O79" s="53">
        <v>0.75</v>
      </c>
      <c r="P79" s="53">
        <v>0.8</v>
      </c>
      <c r="Q79" s="16">
        <f t="shared" si="3"/>
        <v>0.77500000000000002</v>
      </c>
      <c r="R79" s="53">
        <v>11.4</v>
      </c>
      <c r="S79" s="53">
        <v>130</v>
      </c>
      <c r="T79" s="16">
        <f t="shared" si="4"/>
        <v>25</v>
      </c>
      <c r="U79" s="53">
        <v>138</v>
      </c>
      <c r="V79" s="38">
        <f t="shared" si="6"/>
        <v>3450</v>
      </c>
      <c r="W79" s="53">
        <v>2</v>
      </c>
      <c r="X79" s="53" t="s">
        <v>46</v>
      </c>
      <c r="Y79" s="53" t="s">
        <v>69</v>
      </c>
      <c r="Z79" s="53" t="s">
        <v>90</v>
      </c>
      <c r="AA79" s="53" t="s">
        <v>50</v>
      </c>
      <c r="AB79" s="53" t="s">
        <v>158</v>
      </c>
      <c r="AC79" s="76"/>
      <c r="AD79" s="76"/>
      <c r="AE79" s="76"/>
      <c r="AF79" s="76"/>
      <c r="AG79" s="76"/>
      <c r="AH79" s="76"/>
    </row>
    <row r="80" spans="1:34" x14ac:dyDescent="0.15">
      <c r="A80" s="53" t="s">
        <v>41</v>
      </c>
      <c r="B80" s="53" t="s">
        <v>157</v>
      </c>
      <c r="C80" s="62">
        <v>2019</v>
      </c>
      <c r="D80" s="63" t="s">
        <v>189</v>
      </c>
      <c r="E80" s="53" t="s">
        <v>202</v>
      </c>
      <c r="F80" s="53" t="s">
        <v>209</v>
      </c>
      <c r="G80" s="53" t="s">
        <v>42</v>
      </c>
      <c r="H80" s="53" t="s">
        <v>164</v>
      </c>
      <c r="I80" s="53" t="s">
        <v>159</v>
      </c>
      <c r="J80" s="53" t="s">
        <v>38</v>
      </c>
      <c r="K80" s="53" t="s">
        <v>161</v>
      </c>
      <c r="L80" s="53">
        <v>1</v>
      </c>
      <c r="N80" s="53">
        <v>6</v>
      </c>
      <c r="O80" s="53">
        <v>0.8</v>
      </c>
      <c r="P80" s="53">
        <v>0.7</v>
      </c>
      <c r="Q80" s="16">
        <f t="shared" si="3"/>
        <v>0.75</v>
      </c>
      <c r="R80" s="53">
        <v>12</v>
      </c>
      <c r="S80" s="53">
        <v>120</v>
      </c>
      <c r="T80" s="16">
        <f t="shared" si="4"/>
        <v>30</v>
      </c>
      <c r="U80" s="53">
        <v>538</v>
      </c>
      <c r="V80" s="16">
        <f t="shared" si="6"/>
        <v>2690</v>
      </c>
      <c r="W80" s="53">
        <v>2</v>
      </c>
      <c r="X80" s="53" t="s">
        <v>46</v>
      </c>
      <c r="Y80" s="53" t="s">
        <v>69</v>
      </c>
      <c r="Z80" s="53" t="s">
        <v>90</v>
      </c>
      <c r="AA80" s="53" t="s">
        <v>50</v>
      </c>
      <c r="AB80" s="53" t="s">
        <v>158</v>
      </c>
      <c r="AC80" s="76"/>
      <c r="AD80" s="76"/>
      <c r="AE80" s="76"/>
      <c r="AF80" s="76"/>
      <c r="AG80" s="76"/>
      <c r="AH80" s="76"/>
    </row>
    <row r="81" spans="1:34" x14ac:dyDescent="0.15">
      <c r="A81" s="53" t="s">
        <v>41</v>
      </c>
      <c r="B81" s="53" t="s">
        <v>157</v>
      </c>
      <c r="C81" s="62">
        <v>2019</v>
      </c>
      <c r="D81" s="63" t="s">
        <v>189</v>
      </c>
      <c r="E81" s="53" t="s">
        <v>202</v>
      </c>
      <c r="F81" s="53" t="s">
        <v>209</v>
      </c>
      <c r="G81" s="53" t="s">
        <v>42</v>
      </c>
      <c r="H81" s="53" t="s">
        <v>164</v>
      </c>
      <c r="I81" s="53" t="s">
        <v>159</v>
      </c>
      <c r="J81" s="53" t="s">
        <v>38</v>
      </c>
      <c r="K81" s="53" t="s">
        <v>161</v>
      </c>
      <c r="L81" s="53">
        <v>2</v>
      </c>
      <c r="N81" s="53">
        <v>6</v>
      </c>
      <c r="O81" s="53">
        <v>0.9</v>
      </c>
      <c r="P81" s="53">
        <v>0.8</v>
      </c>
      <c r="Q81" s="16">
        <f t="shared" si="3"/>
        <v>0.85000000000000009</v>
      </c>
      <c r="R81" s="53">
        <v>11.8</v>
      </c>
      <c r="S81" s="53">
        <v>117</v>
      </c>
      <c r="T81" s="16">
        <f t="shared" si="4"/>
        <v>30</v>
      </c>
      <c r="U81" s="53">
        <v>538</v>
      </c>
      <c r="V81" s="16">
        <f t="shared" si="6"/>
        <v>2690</v>
      </c>
      <c r="W81" s="53">
        <v>2</v>
      </c>
      <c r="X81" s="53" t="s">
        <v>46</v>
      </c>
      <c r="Y81" s="53" t="s">
        <v>69</v>
      </c>
      <c r="Z81" s="53" t="s">
        <v>90</v>
      </c>
      <c r="AA81" s="53" t="s">
        <v>50</v>
      </c>
      <c r="AB81" s="53" t="s">
        <v>158</v>
      </c>
      <c r="AC81" s="76"/>
      <c r="AD81" s="76"/>
      <c r="AE81" s="76"/>
      <c r="AF81" s="76"/>
      <c r="AG81" s="76"/>
      <c r="AH81" s="76"/>
    </row>
    <row r="82" spans="1:34" x14ac:dyDescent="0.15">
      <c r="A82" s="53" t="s">
        <v>41</v>
      </c>
      <c r="B82" s="53" t="s">
        <v>157</v>
      </c>
      <c r="C82" s="62">
        <v>2019</v>
      </c>
      <c r="D82" s="63" t="s">
        <v>189</v>
      </c>
      <c r="E82" s="53" t="s">
        <v>202</v>
      </c>
      <c r="F82" s="53" t="s">
        <v>209</v>
      </c>
      <c r="G82" s="53" t="s">
        <v>42</v>
      </c>
      <c r="H82" s="53" t="s">
        <v>164</v>
      </c>
      <c r="I82" s="53" t="s">
        <v>159</v>
      </c>
      <c r="J82" s="53" t="s">
        <v>38</v>
      </c>
      <c r="K82" s="53" t="s">
        <v>161</v>
      </c>
      <c r="L82" s="53">
        <v>3</v>
      </c>
      <c r="N82" s="53">
        <v>6</v>
      </c>
      <c r="O82" s="53">
        <v>0.75</v>
      </c>
      <c r="P82" s="53">
        <v>0.6</v>
      </c>
      <c r="Q82" s="16">
        <f t="shared" si="3"/>
        <v>0.67500000000000004</v>
      </c>
      <c r="R82" s="53">
        <v>14.2</v>
      </c>
      <c r="S82" s="53">
        <v>117</v>
      </c>
      <c r="T82" s="16">
        <f t="shared" si="4"/>
        <v>30</v>
      </c>
      <c r="U82" s="53">
        <v>538</v>
      </c>
      <c r="V82" s="16">
        <f t="shared" si="6"/>
        <v>2690</v>
      </c>
      <c r="W82" s="53">
        <v>2</v>
      </c>
      <c r="X82" s="53" t="s">
        <v>46</v>
      </c>
      <c r="Y82" s="53" t="s">
        <v>69</v>
      </c>
      <c r="Z82" s="53" t="s">
        <v>90</v>
      </c>
      <c r="AA82" s="53" t="s">
        <v>50</v>
      </c>
      <c r="AB82" s="53" t="s">
        <v>158</v>
      </c>
      <c r="AC82" s="76"/>
      <c r="AD82" s="76"/>
      <c r="AE82" s="76"/>
      <c r="AF82" s="76"/>
      <c r="AG82" s="76"/>
      <c r="AH82" s="76"/>
    </row>
    <row r="83" spans="1:34" x14ac:dyDescent="0.15">
      <c r="A83" s="53" t="s">
        <v>41</v>
      </c>
      <c r="B83" s="53" t="s">
        <v>157</v>
      </c>
      <c r="C83" s="62">
        <v>2019</v>
      </c>
      <c r="D83" s="63" t="s">
        <v>189</v>
      </c>
      <c r="E83" s="53" t="s">
        <v>205</v>
      </c>
      <c r="F83" s="53" t="s">
        <v>206</v>
      </c>
      <c r="G83" s="53" t="s">
        <v>42</v>
      </c>
      <c r="H83" s="53" t="s">
        <v>164</v>
      </c>
      <c r="I83" s="53" t="s">
        <v>159</v>
      </c>
      <c r="J83" s="53" t="s">
        <v>38</v>
      </c>
      <c r="K83" s="53" t="s">
        <v>161</v>
      </c>
      <c r="L83" s="53">
        <v>1</v>
      </c>
      <c r="N83" s="53">
        <v>1</v>
      </c>
      <c r="O83" s="53">
        <v>1</v>
      </c>
      <c r="P83" s="53">
        <v>1.2</v>
      </c>
      <c r="Q83" s="75">
        <f t="shared" si="3"/>
        <v>1.1000000000000001</v>
      </c>
      <c r="R83" s="53">
        <v>11.2</v>
      </c>
      <c r="S83" s="53">
        <v>124</v>
      </c>
      <c r="T83" s="16">
        <f t="shared" si="4"/>
        <v>27</v>
      </c>
      <c r="U83" s="53">
        <v>84</v>
      </c>
      <c r="V83" s="16">
        <f t="shared" si="6"/>
        <v>2268</v>
      </c>
      <c r="W83" s="53">
        <v>1</v>
      </c>
      <c r="X83" s="53" t="s">
        <v>46</v>
      </c>
      <c r="Y83" s="53" t="s">
        <v>84</v>
      </c>
      <c r="Z83" s="53" t="s">
        <v>90</v>
      </c>
      <c r="AA83" s="53" t="s">
        <v>69</v>
      </c>
      <c r="AB83" s="53" t="s">
        <v>158</v>
      </c>
      <c r="AC83" s="76"/>
      <c r="AD83" s="76"/>
      <c r="AE83" s="76"/>
      <c r="AF83" s="76"/>
      <c r="AG83" s="76"/>
      <c r="AH83" s="76"/>
    </row>
    <row r="84" spans="1:34" x14ac:dyDescent="0.15">
      <c r="A84" s="53" t="s">
        <v>41</v>
      </c>
      <c r="B84" s="53" t="s">
        <v>157</v>
      </c>
      <c r="C84" s="62">
        <v>2019</v>
      </c>
      <c r="D84" s="63" t="s">
        <v>189</v>
      </c>
      <c r="E84" s="53" t="s">
        <v>205</v>
      </c>
      <c r="F84" s="53" t="s">
        <v>206</v>
      </c>
      <c r="G84" s="53" t="s">
        <v>42</v>
      </c>
      <c r="H84" s="53" t="s">
        <v>164</v>
      </c>
      <c r="I84" s="53" t="s">
        <v>159</v>
      </c>
      <c r="J84" s="53" t="s">
        <v>38</v>
      </c>
      <c r="K84" s="53" t="s">
        <v>161</v>
      </c>
      <c r="L84" s="53">
        <v>2</v>
      </c>
      <c r="N84" s="53">
        <v>1</v>
      </c>
      <c r="O84" s="53">
        <v>0.8</v>
      </c>
      <c r="P84" s="53">
        <v>0.85</v>
      </c>
      <c r="Q84" s="75">
        <f t="shared" si="3"/>
        <v>0.82499999999999996</v>
      </c>
      <c r="R84" s="53">
        <v>12.5</v>
      </c>
      <c r="S84" s="53">
        <v>126</v>
      </c>
      <c r="T84" s="16">
        <f t="shared" si="4"/>
        <v>27</v>
      </c>
      <c r="U84" s="53">
        <v>84</v>
      </c>
      <c r="V84" s="16">
        <f t="shared" si="6"/>
        <v>2268</v>
      </c>
      <c r="W84" s="53">
        <v>1</v>
      </c>
      <c r="X84" s="53" t="s">
        <v>46</v>
      </c>
      <c r="Y84" s="53" t="s">
        <v>84</v>
      </c>
      <c r="Z84" s="53" t="s">
        <v>90</v>
      </c>
      <c r="AA84" s="53" t="s">
        <v>69</v>
      </c>
      <c r="AB84" s="53" t="s">
        <v>158</v>
      </c>
      <c r="AC84" s="76"/>
      <c r="AD84" s="76"/>
      <c r="AE84" s="76"/>
      <c r="AF84" s="76"/>
      <c r="AG84" s="76"/>
      <c r="AH84" s="76"/>
    </row>
    <row r="85" spans="1:34" x14ac:dyDescent="0.15">
      <c r="A85" s="53" t="s">
        <v>41</v>
      </c>
      <c r="B85" s="53" t="s">
        <v>157</v>
      </c>
      <c r="C85" s="62">
        <v>2019</v>
      </c>
      <c r="D85" s="63" t="s">
        <v>189</v>
      </c>
      <c r="E85" s="53" t="s">
        <v>205</v>
      </c>
      <c r="F85" s="53" t="s">
        <v>206</v>
      </c>
      <c r="G85" s="53" t="s">
        <v>42</v>
      </c>
      <c r="H85" s="53" t="s">
        <v>164</v>
      </c>
      <c r="I85" s="53" t="s">
        <v>159</v>
      </c>
      <c r="J85" s="53" t="s">
        <v>38</v>
      </c>
      <c r="K85" s="53" t="s">
        <v>161</v>
      </c>
      <c r="L85" s="53">
        <v>3</v>
      </c>
      <c r="N85" s="53">
        <v>1</v>
      </c>
      <c r="O85" s="53">
        <v>0.95</v>
      </c>
      <c r="P85" s="53">
        <v>0.8</v>
      </c>
      <c r="Q85" s="75">
        <f t="shared" si="3"/>
        <v>0.875</v>
      </c>
      <c r="R85" s="53">
        <v>13</v>
      </c>
      <c r="S85" s="53">
        <v>123</v>
      </c>
      <c r="T85" s="16">
        <f t="shared" si="4"/>
        <v>27</v>
      </c>
      <c r="U85" s="53">
        <v>84</v>
      </c>
      <c r="V85" s="38">
        <f t="shared" si="6"/>
        <v>2268</v>
      </c>
      <c r="W85" s="53">
        <v>1</v>
      </c>
      <c r="X85" s="53" t="s">
        <v>46</v>
      </c>
      <c r="Y85" s="53" t="s">
        <v>84</v>
      </c>
      <c r="Z85" s="53" t="s">
        <v>90</v>
      </c>
      <c r="AA85" s="53" t="s">
        <v>69</v>
      </c>
      <c r="AB85" s="53" t="s">
        <v>158</v>
      </c>
      <c r="AC85" s="76"/>
      <c r="AD85" s="76"/>
      <c r="AE85" s="76"/>
      <c r="AF85" s="76"/>
      <c r="AG85" s="76"/>
      <c r="AH85" s="76"/>
    </row>
    <row r="86" spans="1:34" x14ac:dyDescent="0.15">
      <c r="A86" s="53" t="s">
        <v>41</v>
      </c>
      <c r="B86" s="53" t="s">
        <v>157</v>
      </c>
      <c r="C86" s="62">
        <v>2018</v>
      </c>
      <c r="D86" s="63" t="s">
        <v>189</v>
      </c>
      <c r="E86" s="53" t="s">
        <v>205</v>
      </c>
      <c r="F86" s="53" t="s">
        <v>206</v>
      </c>
      <c r="G86" s="53" t="s">
        <v>42</v>
      </c>
      <c r="H86" s="53" t="s">
        <v>164</v>
      </c>
      <c r="I86" s="53" t="s">
        <v>159</v>
      </c>
      <c r="J86" s="53" t="s">
        <v>38</v>
      </c>
      <c r="K86" s="53" t="s">
        <v>161</v>
      </c>
      <c r="L86" s="53">
        <v>1</v>
      </c>
      <c r="N86" s="53">
        <v>4</v>
      </c>
      <c r="O86" s="53">
        <v>0.65</v>
      </c>
      <c r="P86" s="53">
        <v>0.5</v>
      </c>
      <c r="Q86" s="75">
        <f t="shared" si="3"/>
        <v>0.57499999999999996</v>
      </c>
      <c r="R86" s="53">
        <v>12.4</v>
      </c>
      <c r="S86" s="53">
        <v>114</v>
      </c>
      <c r="T86" s="16">
        <f t="shared" si="4"/>
        <v>30</v>
      </c>
      <c r="U86" s="53">
        <v>321</v>
      </c>
      <c r="V86" s="16">
        <f t="shared" si="6"/>
        <v>2407.5</v>
      </c>
      <c r="W86" s="53">
        <v>2</v>
      </c>
      <c r="X86" s="53" t="s">
        <v>46</v>
      </c>
      <c r="Y86" s="53" t="s">
        <v>84</v>
      </c>
      <c r="Z86" s="53" t="s">
        <v>90</v>
      </c>
      <c r="AA86" s="53" t="s">
        <v>69</v>
      </c>
      <c r="AB86" s="53" t="s">
        <v>158</v>
      </c>
    </row>
    <row r="87" spans="1:34" x14ac:dyDescent="0.15">
      <c r="A87" s="53" t="s">
        <v>41</v>
      </c>
      <c r="B87" s="53" t="s">
        <v>157</v>
      </c>
      <c r="C87" s="62">
        <v>2018</v>
      </c>
      <c r="D87" s="63" t="s">
        <v>189</v>
      </c>
      <c r="E87" s="53" t="s">
        <v>205</v>
      </c>
      <c r="F87" s="53" t="s">
        <v>206</v>
      </c>
      <c r="G87" s="53" t="s">
        <v>42</v>
      </c>
      <c r="H87" s="53" t="s">
        <v>164</v>
      </c>
      <c r="I87" s="53" t="s">
        <v>159</v>
      </c>
      <c r="J87" s="53" t="s">
        <v>38</v>
      </c>
      <c r="K87" s="53" t="s">
        <v>161</v>
      </c>
      <c r="L87" s="53">
        <v>2</v>
      </c>
      <c r="N87" s="53">
        <v>4</v>
      </c>
      <c r="O87" s="53">
        <v>0.7</v>
      </c>
      <c r="P87" s="53">
        <v>0.65</v>
      </c>
      <c r="Q87" s="75">
        <f t="shared" si="3"/>
        <v>0.67500000000000004</v>
      </c>
      <c r="R87" s="53">
        <v>10.8</v>
      </c>
      <c r="S87" s="53">
        <v>115</v>
      </c>
      <c r="T87" s="16">
        <f t="shared" si="4"/>
        <v>30</v>
      </c>
      <c r="U87" s="53">
        <v>321</v>
      </c>
      <c r="V87" s="16">
        <f t="shared" si="6"/>
        <v>2407.5</v>
      </c>
      <c r="W87" s="53">
        <v>2</v>
      </c>
      <c r="X87" s="53" t="s">
        <v>46</v>
      </c>
      <c r="Y87" s="53" t="s">
        <v>84</v>
      </c>
      <c r="Z87" s="53" t="s">
        <v>90</v>
      </c>
      <c r="AA87" s="53" t="s">
        <v>69</v>
      </c>
      <c r="AB87" s="53" t="s">
        <v>158</v>
      </c>
    </row>
    <row r="88" spans="1:34" x14ac:dyDescent="0.15">
      <c r="A88" s="53" t="s">
        <v>41</v>
      </c>
      <c r="B88" s="53" t="s">
        <v>157</v>
      </c>
      <c r="C88" s="62">
        <v>2018</v>
      </c>
      <c r="D88" s="63" t="s">
        <v>189</v>
      </c>
      <c r="E88" s="53" t="s">
        <v>205</v>
      </c>
      <c r="F88" s="53" t="s">
        <v>206</v>
      </c>
      <c r="G88" s="53" t="s">
        <v>42</v>
      </c>
      <c r="H88" s="53" t="s">
        <v>164</v>
      </c>
      <c r="I88" s="53" t="s">
        <v>159</v>
      </c>
      <c r="J88" s="53" t="s">
        <v>38</v>
      </c>
      <c r="K88" s="53" t="s">
        <v>161</v>
      </c>
      <c r="L88" s="53">
        <v>3</v>
      </c>
      <c r="N88" s="53">
        <v>4</v>
      </c>
      <c r="O88" s="53">
        <v>0.65</v>
      </c>
      <c r="P88" s="53">
        <v>0.75</v>
      </c>
      <c r="Q88" s="75">
        <f t="shared" si="3"/>
        <v>0.7</v>
      </c>
      <c r="R88" s="53">
        <v>11.4</v>
      </c>
      <c r="S88" s="53">
        <v>117</v>
      </c>
      <c r="T88" s="16">
        <f t="shared" si="4"/>
        <v>30</v>
      </c>
      <c r="U88" s="53">
        <v>321</v>
      </c>
      <c r="V88" s="16">
        <f t="shared" si="6"/>
        <v>2407.5</v>
      </c>
      <c r="W88" s="53">
        <v>2</v>
      </c>
      <c r="X88" s="53" t="s">
        <v>46</v>
      </c>
      <c r="Y88" s="53" t="s">
        <v>84</v>
      </c>
      <c r="Z88" s="53" t="s">
        <v>90</v>
      </c>
      <c r="AA88" s="53" t="s">
        <v>69</v>
      </c>
      <c r="AB88" s="53" t="s">
        <v>158</v>
      </c>
    </row>
    <row r="89" spans="1:34" x14ac:dyDescent="0.15">
      <c r="A89" s="53" t="s">
        <v>41</v>
      </c>
      <c r="B89" s="53" t="s">
        <v>157</v>
      </c>
      <c r="C89" s="62">
        <v>2019</v>
      </c>
      <c r="D89" s="63" t="s">
        <v>189</v>
      </c>
      <c r="E89" s="53" t="s">
        <v>205</v>
      </c>
      <c r="F89" s="53" t="s">
        <v>206</v>
      </c>
      <c r="G89" s="53" t="s">
        <v>42</v>
      </c>
      <c r="H89" s="53" t="s">
        <v>160</v>
      </c>
      <c r="I89" s="53" t="s">
        <v>159</v>
      </c>
      <c r="J89" s="53" t="s">
        <v>38</v>
      </c>
      <c r="K89" s="53" t="s">
        <v>161</v>
      </c>
      <c r="L89" s="53">
        <v>1</v>
      </c>
      <c r="N89" s="53">
        <v>4</v>
      </c>
      <c r="O89" s="53">
        <v>0.35</v>
      </c>
      <c r="P89" s="53">
        <v>0.25</v>
      </c>
      <c r="Q89" s="75">
        <f t="shared" si="3"/>
        <v>0.3</v>
      </c>
      <c r="R89" s="53">
        <v>14.5</v>
      </c>
      <c r="S89" s="53">
        <v>114</v>
      </c>
      <c r="T89" s="16">
        <f t="shared" si="4"/>
        <v>30</v>
      </c>
      <c r="U89" s="53">
        <v>537</v>
      </c>
      <c r="V89" s="16">
        <f t="shared" si="6"/>
        <v>4027.5</v>
      </c>
      <c r="W89" s="53">
        <v>2</v>
      </c>
      <c r="X89" s="53" t="s">
        <v>46</v>
      </c>
      <c r="Y89" s="53" t="s">
        <v>84</v>
      </c>
      <c r="Z89" s="53" t="s">
        <v>90</v>
      </c>
      <c r="AA89" s="53" t="s">
        <v>69</v>
      </c>
      <c r="AB89" s="53" t="s">
        <v>158</v>
      </c>
      <c r="AC89" s="76"/>
      <c r="AD89" s="76"/>
      <c r="AE89" s="76"/>
      <c r="AF89" s="76"/>
      <c r="AG89" s="76"/>
      <c r="AH89" s="76"/>
    </row>
    <row r="90" spans="1:34" x14ac:dyDescent="0.15">
      <c r="A90" s="53" t="s">
        <v>41</v>
      </c>
      <c r="B90" s="53" t="s">
        <v>157</v>
      </c>
      <c r="C90" s="62">
        <v>2019</v>
      </c>
      <c r="D90" s="63" t="s">
        <v>189</v>
      </c>
      <c r="E90" s="53" t="s">
        <v>205</v>
      </c>
      <c r="F90" s="53" t="s">
        <v>206</v>
      </c>
      <c r="G90" s="53" t="s">
        <v>42</v>
      </c>
      <c r="H90" s="53" t="s">
        <v>160</v>
      </c>
      <c r="I90" s="53" t="s">
        <v>159</v>
      </c>
      <c r="J90" s="53" t="s">
        <v>38</v>
      </c>
      <c r="K90" s="53" t="s">
        <v>161</v>
      </c>
      <c r="L90" s="53">
        <v>2</v>
      </c>
      <c r="N90" s="53">
        <v>4</v>
      </c>
      <c r="O90" s="53">
        <v>0.25</v>
      </c>
      <c r="P90" s="53">
        <v>0.25</v>
      </c>
      <c r="Q90" s="75">
        <f t="shared" si="3"/>
        <v>0.25</v>
      </c>
      <c r="R90" s="53">
        <v>16.8</v>
      </c>
      <c r="S90" s="53">
        <v>115</v>
      </c>
      <c r="T90" s="16">
        <f t="shared" si="4"/>
        <v>30</v>
      </c>
      <c r="U90" s="53">
        <v>537</v>
      </c>
      <c r="V90" s="16">
        <f t="shared" si="6"/>
        <v>4027.5</v>
      </c>
      <c r="W90" s="53">
        <v>2</v>
      </c>
      <c r="X90" s="53" t="s">
        <v>46</v>
      </c>
      <c r="Y90" s="53" t="s">
        <v>84</v>
      </c>
      <c r="Z90" s="53" t="s">
        <v>90</v>
      </c>
      <c r="AA90" s="53" t="s">
        <v>69</v>
      </c>
      <c r="AB90" s="53" t="s">
        <v>158</v>
      </c>
      <c r="AC90" s="76"/>
      <c r="AD90" s="76"/>
      <c r="AE90" s="76"/>
      <c r="AF90" s="76"/>
      <c r="AG90" s="76"/>
      <c r="AH90" s="76"/>
    </row>
    <row r="91" spans="1:34" x14ac:dyDescent="0.15">
      <c r="A91" s="53" t="s">
        <v>41</v>
      </c>
      <c r="B91" s="53" t="s">
        <v>157</v>
      </c>
      <c r="C91" s="62">
        <v>2019</v>
      </c>
      <c r="D91" s="63" t="s">
        <v>189</v>
      </c>
      <c r="E91" s="53" t="s">
        <v>205</v>
      </c>
      <c r="F91" s="53" t="s">
        <v>206</v>
      </c>
      <c r="G91" s="53" t="s">
        <v>42</v>
      </c>
      <c r="H91" s="53" t="s">
        <v>160</v>
      </c>
      <c r="I91" s="53" t="s">
        <v>159</v>
      </c>
      <c r="J91" s="53" t="s">
        <v>38</v>
      </c>
      <c r="K91" s="53" t="s">
        <v>161</v>
      </c>
      <c r="L91" s="53">
        <v>3</v>
      </c>
      <c r="N91" s="53">
        <v>4</v>
      </c>
      <c r="O91" s="53">
        <v>0.25</v>
      </c>
      <c r="P91" s="53">
        <v>0.25</v>
      </c>
      <c r="Q91" s="75">
        <f t="shared" si="3"/>
        <v>0.25</v>
      </c>
      <c r="R91" s="53">
        <v>16.7</v>
      </c>
      <c r="S91" s="53">
        <v>118</v>
      </c>
      <c r="T91" s="16">
        <f t="shared" si="4"/>
        <v>30</v>
      </c>
      <c r="U91" s="53">
        <v>537</v>
      </c>
      <c r="V91" s="38">
        <f t="shared" si="6"/>
        <v>4027.5</v>
      </c>
      <c r="W91" s="53">
        <v>2</v>
      </c>
      <c r="X91" s="53" t="s">
        <v>46</v>
      </c>
      <c r="Y91" s="53" t="s">
        <v>84</v>
      </c>
      <c r="Z91" s="53" t="s">
        <v>90</v>
      </c>
      <c r="AA91" s="53" t="s">
        <v>69</v>
      </c>
      <c r="AB91" s="53" t="s">
        <v>158</v>
      </c>
      <c r="AC91" s="76"/>
      <c r="AD91" s="76"/>
      <c r="AE91" s="76"/>
      <c r="AF91" s="76"/>
      <c r="AG91" s="76"/>
      <c r="AH91" s="76"/>
    </row>
    <row r="92" spans="1:34" x14ac:dyDescent="0.15">
      <c r="A92" s="53" t="s">
        <v>41</v>
      </c>
      <c r="B92" s="53" t="s">
        <v>157</v>
      </c>
      <c r="C92" s="62">
        <v>2019</v>
      </c>
      <c r="D92" s="63" t="s">
        <v>189</v>
      </c>
      <c r="E92" s="53" t="s">
        <v>211</v>
      </c>
      <c r="F92" s="53" t="s">
        <v>212</v>
      </c>
      <c r="G92" s="53" t="s">
        <v>42</v>
      </c>
      <c r="H92" s="53" t="s">
        <v>164</v>
      </c>
      <c r="I92" s="53" t="s">
        <v>159</v>
      </c>
      <c r="J92" s="53" t="s">
        <v>38</v>
      </c>
      <c r="K92" s="53" t="s">
        <v>161</v>
      </c>
      <c r="L92" s="53">
        <v>1</v>
      </c>
      <c r="N92" s="53">
        <v>1</v>
      </c>
      <c r="O92" s="53">
        <v>0.9</v>
      </c>
      <c r="P92" s="74">
        <v>1.05</v>
      </c>
      <c r="Q92" s="16">
        <f t="shared" si="3"/>
        <v>0.97500000000000009</v>
      </c>
      <c r="R92" s="53">
        <v>10.8</v>
      </c>
      <c r="S92" s="53">
        <v>132</v>
      </c>
      <c r="T92" s="16">
        <f t="shared" si="4"/>
        <v>25</v>
      </c>
      <c r="U92" s="53">
        <v>105</v>
      </c>
      <c r="V92" s="38">
        <f t="shared" si="6"/>
        <v>2625</v>
      </c>
      <c r="W92" s="53">
        <v>6</v>
      </c>
      <c r="X92" s="53" t="s">
        <v>46</v>
      </c>
      <c r="Y92" s="53" t="s">
        <v>69</v>
      </c>
      <c r="Z92" s="53" t="s">
        <v>50</v>
      </c>
      <c r="AA92" s="53" t="s">
        <v>90</v>
      </c>
      <c r="AB92" s="53" t="s">
        <v>158</v>
      </c>
      <c r="AC92" s="76"/>
      <c r="AD92" s="76"/>
      <c r="AE92" s="76"/>
      <c r="AF92" s="76"/>
      <c r="AG92" s="76"/>
      <c r="AH92" s="76"/>
    </row>
    <row r="93" spans="1:34" x14ac:dyDescent="0.15">
      <c r="A93" s="53" t="s">
        <v>41</v>
      </c>
      <c r="B93" s="53" t="s">
        <v>157</v>
      </c>
      <c r="C93" s="62">
        <v>2019</v>
      </c>
      <c r="D93" s="63" t="s">
        <v>189</v>
      </c>
      <c r="E93" s="53" t="s">
        <v>211</v>
      </c>
      <c r="F93" s="53" t="s">
        <v>212</v>
      </c>
      <c r="G93" s="53" t="s">
        <v>42</v>
      </c>
      <c r="H93" s="53" t="s">
        <v>164</v>
      </c>
      <c r="I93" s="53" t="s">
        <v>159</v>
      </c>
      <c r="J93" s="53" t="s">
        <v>38</v>
      </c>
      <c r="K93" s="53" t="s">
        <v>161</v>
      </c>
      <c r="L93" s="53">
        <v>2</v>
      </c>
      <c r="N93" s="53">
        <v>1</v>
      </c>
      <c r="O93" s="53">
        <v>1</v>
      </c>
      <c r="P93" s="53">
        <v>1.2</v>
      </c>
      <c r="Q93" s="16">
        <f t="shared" si="3"/>
        <v>1.1000000000000001</v>
      </c>
      <c r="R93" s="53">
        <v>10.199999999999999</v>
      </c>
      <c r="S93" s="53">
        <v>132</v>
      </c>
      <c r="T93" s="16">
        <f t="shared" si="4"/>
        <v>25</v>
      </c>
      <c r="U93" s="53">
        <v>105</v>
      </c>
      <c r="V93" s="38">
        <f t="shared" si="6"/>
        <v>2625</v>
      </c>
      <c r="W93" s="53">
        <v>6</v>
      </c>
      <c r="X93" s="53" t="s">
        <v>46</v>
      </c>
      <c r="Y93" s="53" t="s">
        <v>69</v>
      </c>
      <c r="Z93" s="53" t="s">
        <v>50</v>
      </c>
      <c r="AA93" s="53" t="s">
        <v>90</v>
      </c>
      <c r="AB93" s="53" t="s">
        <v>158</v>
      </c>
      <c r="AC93" s="76"/>
      <c r="AD93" s="76"/>
      <c r="AE93" s="76"/>
      <c r="AF93" s="76"/>
      <c r="AG93" s="76"/>
      <c r="AH93" s="76"/>
    </row>
    <row r="94" spans="1:34" x14ac:dyDescent="0.15">
      <c r="A94" s="53" t="s">
        <v>41</v>
      </c>
      <c r="B94" s="53" t="s">
        <v>157</v>
      </c>
      <c r="C94" s="62">
        <v>2019</v>
      </c>
      <c r="D94" s="63" t="s">
        <v>189</v>
      </c>
      <c r="E94" s="53" t="s">
        <v>211</v>
      </c>
      <c r="F94" s="53" t="s">
        <v>212</v>
      </c>
      <c r="G94" s="53" t="s">
        <v>42</v>
      </c>
      <c r="H94" s="53" t="s">
        <v>164</v>
      </c>
      <c r="I94" s="53" t="s">
        <v>159</v>
      </c>
      <c r="J94" s="53" t="s">
        <v>38</v>
      </c>
      <c r="K94" s="53" t="s">
        <v>161</v>
      </c>
      <c r="L94" s="53">
        <v>3</v>
      </c>
      <c r="N94" s="53">
        <v>1</v>
      </c>
      <c r="O94" s="53">
        <v>0.85</v>
      </c>
      <c r="P94" s="53">
        <v>0.8</v>
      </c>
      <c r="Q94" s="16">
        <f t="shared" si="3"/>
        <v>0.82499999999999996</v>
      </c>
      <c r="R94" s="53">
        <v>13.2</v>
      </c>
      <c r="S94" s="53">
        <v>134</v>
      </c>
      <c r="T94" s="38">
        <f t="shared" si="4"/>
        <v>25</v>
      </c>
      <c r="U94" s="53">
        <v>105</v>
      </c>
      <c r="V94" s="38">
        <f t="shared" si="6"/>
        <v>2625</v>
      </c>
      <c r="W94" s="53">
        <v>6</v>
      </c>
      <c r="X94" s="53" t="s">
        <v>46</v>
      </c>
      <c r="Y94" s="53" t="s">
        <v>69</v>
      </c>
      <c r="Z94" s="53" t="s">
        <v>50</v>
      </c>
      <c r="AA94" s="53" t="s">
        <v>90</v>
      </c>
      <c r="AB94" s="53" t="s">
        <v>158</v>
      </c>
      <c r="AC94" s="76"/>
      <c r="AD94" s="76"/>
      <c r="AE94" s="76"/>
      <c r="AF94" s="76"/>
      <c r="AG94" s="76"/>
      <c r="AH94" s="76"/>
    </row>
    <row r="95" spans="1:34" x14ac:dyDescent="0.15">
      <c r="A95" s="53" t="s">
        <v>41</v>
      </c>
      <c r="B95" s="53" t="s">
        <v>157</v>
      </c>
      <c r="C95" s="62">
        <v>2019</v>
      </c>
      <c r="D95" s="63" t="s">
        <v>189</v>
      </c>
      <c r="E95" s="53" t="s">
        <v>211</v>
      </c>
      <c r="F95" s="53" t="s">
        <v>212</v>
      </c>
      <c r="G95" s="53" t="s">
        <v>42</v>
      </c>
      <c r="H95" s="53" t="s">
        <v>164</v>
      </c>
      <c r="I95" s="53" t="s">
        <v>159</v>
      </c>
      <c r="J95" s="53" t="s">
        <v>38</v>
      </c>
      <c r="K95" s="53" t="s">
        <v>161</v>
      </c>
      <c r="L95" s="53">
        <v>1</v>
      </c>
      <c r="N95" s="53">
        <v>4</v>
      </c>
      <c r="O95" s="53">
        <v>1.3</v>
      </c>
      <c r="P95" s="74">
        <v>1.1000000000000001</v>
      </c>
      <c r="Q95" s="16">
        <f t="shared" si="3"/>
        <v>1.2000000000000002</v>
      </c>
      <c r="R95" s="53">
        <v>12.6</v>
      </c>
      <c r="S95" s="53">
        <v>125</v>
      </c>
      <c r="T95" s="16">
        <f t="shared" si="4"/>
        <v>27</v>
      </c>
      <c r="U95" s="53">
        <v>407</v>
      </c>
      <c r="V95" s="38">
        <f t="shared" si="6"/>
        <v>2747.25</v>
      </c>
      <c r="W95" s="53">
        <v>2</v>
      </c>
      <c r="X95" s="53" t="s">
        <v>46</v>
      </c>
      <c r="Y95" s="53" t="s">
        <v>69</v>
      </c>
      <c r="Z95" s="53" t="s">
        <v>50</v>
      </c>
      <c r="AA95" s="53" t="s">
        <v>90</v>
      </c>
      <c r="AB95" s="53" t="s">
        <v>158</v>
      </c>
      <c r="AC95" s="76"/>
      <c r="AD95" s="76"/>
      <c r="AE95" s="76"/>
      <c r="AF95" s="76"/>
      <c r="AG95" s="76"/>
      <c r="AH95" s="76"/>
    </row>
    <row r="96" spans="1:34" x14ac:dyDescent="0.15">
      <c r="A96" s="53" t="s">
        <v>41</v>
      </c>
      <c r="B96" s="53" t="s">
        <v>157</v>
      </c>
      <c r="C96" s="62">
        <v>2019</v>
      </c>
      <c r="D96" s="63" t="s">
        <v>189</v>
      </c>
      <c r="E96" s="53" t="s">
        <v>211</v>
      </c>
      <c r="F96" s="53" t="s">
        <v>212</v>
      </c>
      <c r="G96" s="53" t="s">
        <v>42</v>
      </c>
      <c r="H96" s="53" t="s">
        <v>164</v>
      </c>
      <c r="I96" s="53" t="s">
        <v>159</v>
      </c>
      <c r="J96" s="53" t="s">
        <v>38</v>
      </c>
      <c r="K96" s="53" t="s">
        <v>161</v>
      </c>
      <c r="L96" s="53">
        <v>2</v>
      </c>
      <c r="N96" s="53">
        <v>4</v>
      </c>
      <c r="O96" s="53">
        <v>1.2</v>
      </c>
      <c r="P96" s="53">
        <v>1</v>
      </c>
      <c r="Q96" s="16">
        <f t="shared" si="3"/>
        <v>1.1000000000000001</v>
      </c>
      <c r="R96" s="53">
        <v>12.6</v>
      </c>
      <c r="S96" s="53">
        <v>123</v>
      </c>
      <c r="T96" s="16">
        <f t="shared" si="4"/>
        <v>27</v>
      </c>
      <c r="U96" s="53">
        <v>407</v>
      </c>
      <c r="V96" s="38">
        <f t="shared" si="6"/>
        <v>2747.25</v>
      </c>
      <c r="W96" s="53">
        <v>2</v>
      </c>
      <c r="X96" s="53" t="s">
        <v>46</v>
      </c>
      <c r="Y96" s="53" t="s">
        <v>69</v>
      </c>
      <c r="Z96" s="53" t="s">
        <v>50</v>
      </c>
      <c r="AA96" s="53" t="s">
        <v>90</v>
      </c>
      <c r="AB96" s="53" t="s">
        <v>158</v>
      </c>
      <c r="AC96" s="76"/>
      <c r="AD96" s="76"/>
      <c r="AE96" s="76"/>
      <c r="AF96" s="76"/>
      <c r="AG96" s="76"/>
      <c r="AH96" s="76"/>
    </row>
    <row r="97" spans="1:34" x14ac:dyDescent="0.15">
      <c r="A97" s="53" t="s">
        <v>41</v>
      </c>
      <c r="B97" s="53" t="s">
        <v>157</v>
      </c>
      <c r="C97" s="62">
        <v>2019</v>
      </c>
      <c r="D97" s="63" t="s">
        <v>189</v>
      </c>
      <c r="E97" s="53" t="s">
        <v>211</v>
      </c>
      <c r="F97" s="53" t="s">
        <v>212</v>
      </c>
      <c r="G97" s="53" t="s">
        <v>42</v>
      </c>
      <c r="H97" s="53" t="s">
        <v>164</v>
      </c>
      <c r="I97" s="53" t="s">
        <v>159</v>
      </c>
      <c r="J97" s="53" t="s">
        <v>38</v>
      </c>
      <c r="K97" s="53" t="s">
        <v>161</v>
      </c>
      <c r="L97" s="53">
        <v>3</v>
      </c>
      <c r="N97" s="53">
        <v>4</v>
      </c>
      <c r="O97" s="53">
        <v>1</v>
      </c>
      <c r="P97" s="53">
        <v>1</v>
      </c>
      <c r="Q97" s="16">
        <f t="shared" si="3"/>
        <v>1</v>
      </c>
      <c r="R97" s="53">
        <v>13.1</v>
      </c>
      <c r="S97" s="53">
        <v>122</v>
      </c>
      <c r="T97" s="38">
        <f t="shared" si="4"/>
        <v>27</v>
      </c>
      <c r="U97" s="53">
        <v>407</v>
      </c>
      <c r="V97" s="38">
        <f t="shared" si="6"/>
        <v>2747.25</v>
      </c>
      <c r="W97" s="53">
        <v>2</v>
      </c>
      <c r="X97" s="53" t="s">
        <v>46</v>
      </c>
      <c r="Y97" s="53" t="s">
        <v>69</v>
      </c>
      <c r="Z97" s="53" t="s">
        <v>50</v>
      </c>
      <c r="AA97" s="53" t="s">
        <v>90</v>
      </c>
      <c r="AB97" s="53" t="s">
        <v>158</v>
      </c>
      <c r="AC97" s="76"/>
      <c r="AD97" s="76"/>
      <c r="AE97" s="76"/>
      <c r="AF97" s="76"/>
      <c r="AG97" s="76"/>
      <c r="AH97" s="76"/>
    </row>
    <row r="98" spans="1:34" x14ac:dyDescent="0.15">
      <c r="N98" s="53" t="s">
        <v>233</v>
      </c>
      <c r="Q98" s="75" t="str">
        <f t="shared" si="3"/>
        <v/>
      </c>
      <c r="T98" s="16" t="str">
        <f t="shared" si="4"/>
        <v/>
      </c>
      <c r="V98" s="16" t="str">
        <f t="shared" si="6"/>
        <v/>
      </c>
    </row>
    <row r="99" spans="1:34" x14ac:dyDescent="0.15">
      <c r="Q99" s="75" t="str">
        <f t="shared" si="3"/>
        <v/>
      </c>
      <c r="T99" s="16" t="str">
        <f t="shared" si="4"/>
        <v/>
      </c>
      <c r="V99" s="16" t="str">
        <f t="shared" si="6"/>
        <v/>
      </c>
    </row>
    <row r="100" spans="1:34" x14ac:dyDescent="0.15">
      <c r="Q100" s="75" t="str">
        <f t="shared" si="3"/>
        <v/>
      </c>
      <c r="T100" s="16" t="str">
        <f t="shared" si="4"/>
        <v/>
      </c>
      <c r="V100" s="16" t="str">
        <f t="shared" si="6"/>
        <v/>
      </c>
    </row>
    <row r="101" spans="1:34" x14ac:dyDescent="0.15">
      <c r="Q101" s="75" t="str">
        <f t="shared" si="3"/>
        <v/>
      </c>
      <c r="T101" s="16" t="str">
        <f t="shared" si="4"/>
        <v/>
      </c>
      <c r="V101" s="16" t="str">
        <f t="shared" si="6"/>
        <v/>
      </c>
    </row>
    <row r="102" spans="1:34" x14ac:dyDescent="0.15">
      <c r="Q102" s="75" t="str">
        <f t="shared" si="3"/>
        <v/>
      </c>
      <c r="T102" s="16" t="str">
        <f t="shared" si="4"/>
        <v/>
      </c>
      <c r="V102" s="16" t="str">
        <f t="shared" si="6"/>
        <v/>
      </c>
    </row>
    <row r="103" spans="1:34" x14ac:dyDescent="0.15">
      <c r="Q103" s="75" t="str">
        <f t="shared" si="3"/>
        <v/>
      </c>
      <c r="T103" s="16" t="str">
        <f t="shared" si="4"/>
        <v/>
      </c>
      <c r="V103" s="16" t="str">
        <f t="shared" si="6"/>
        <v/>
      </c>
    </row>
    <row r="104" spans="1:34" x14ac:dyDescent="0.15">
      <c r="Q104" s="75" t="str">
        <f t="shared" si="3"/>
        <v/>
      </c>
      <c r="T104" s="16" t="str">
        <f t="shared" si="4"/>
        <v/>
      </c>
      <c r="V104" s="16" t="str">
        <f t="shared" si="6"/>
        <v/>
      </c>
    </row>
    <row r="105" spans="1:34" x14ac:dyDescent="0.15">
      <c r="Q105" s="75" t="str">
        <f t="shared" si="3"/>
        <v/>
      </c>
      <c r="T105" s="16" t="str">
        <f t="shared" si="4"/>
        <v/>
      </c>
      <c r="V105" s="16" t="str">
        <f t="shared" si="6"/>
        <v/>
      </c>
    </row>
    <row r="106" spans="1:34" x14ac:dyDescent="0.15">
      <c r="Q106" s="75" t="str">
        <f t="shared" si="3"/>
        <v/>
      </c>
      <c r="T106" s="16" t="str">
        <f t="shared" si="4"/>
        <v/>
      </c>
      <c r="V106" s="16" t="str">
        <f t="shared" si="6"/>
        <v/>
      </c>
    </row>
    <row r="107" spans="1:34" x14ac:dyDescent="0.15">
      <c r="Q107" s="75" t="str">
        <f t="shared" si="3"/>
        <v/>
      </c>
      <c r="T107" s="16" t="str">
        <f t="shared" si="4"/>
        <v/>
      </c>
      <c r="V107" s="16" t="str">
        <f t="shared" si="6"/>
        <v/>
      </c>
    </row>
    <row r="108" spans="1:34" x14ac:dyDescent="0.15">
      <c r="Q108" s="75" t="str">
        <f t="shared" ref="Q108:Q171" si="7">IF(OR(O108="",P108=""),"",AVERAGE(O108,P108))</f>
        <v/>
      </c>
      <c r="T108" s="16" t="str">
        <f t="shared" si="4"/>
        <v/>
      </c>
      <c r="V108" s="16" t="str">
        <f t="shared" si="6"/>
        <v/>
      </c>
    </row>
    <row r="109" spans="1:34" x14ac:dyDescent="0.15">
      <c r="Q109" s="75" t="str">
        <f t="shared" si="7"/>
        <v/>
      </c>
      <c r="T109" s="16" t="str">
        <f t="shared" si="4"/>
        <v/>
      </c>
      <c r="V109" s="16" t="str">
        <f t="shared" si="6"/>
        <v/>
      </c>
    </row>
    <row r="110" spans="1:34" x14ac:dyDescent="0.15">
      <c r="Q110" s="75" t="str">
        <f t="shared" si="7"/>
        <v/>
      </c>
      <c r="T110" s="16" t="str">
        <f t="shared" si="4"/>
        <v/>
      </c>
      <c r="V110" s="16" t="str">
        <f t="shared" si="6"/>
        <v/>
      </c>
    </row>
    <row r="111" spans="1:34" x14ac:dyDescent="0.15">
      <c r="Q111" s="75" t="str">
        <f t="shared" si="7"/>
        <v/>
      </c>
      <c r="T111" s="16" t="str">
        <f t="shared" si="4"/>
        <v/>
      </c>
      <c r="V111" s="16" t="str">
        <f t="shared" si="6"/>
        <v/>
      </c>
    </row>
    <row r="112" spans="1:34" x14ac:dyDescent="0.15">
      <c r="Q112" s="75" t="str">
        <f t="shared" si="7"/>
        <v/>
      </c>
      <c r="T112" s="16" t="str">
        <f t="shared" si="4"/>
        <v/>
      </c>
      <c r="V112" s="16" t="str">
        <f t="shared" si="6"/>
        <v/>
      </c>
    </row>
    <row r="113" spans="17:22" x14ac:dyDescent="0.15">
      <c r="Q113" s="75" t="str">
        <f t="shared" si="7"/>
        <v/>
      </c>
      <c r="T113" s="16" t="str">
        <f t="shared" si="4"/>
        <v/>
      </c>
      <c r="V113" s="16" t="str">
        <f t="shared" si="6"/>
        <v/>
      </c>
    </row>
    <row r="114" spans="17:22" x14ac:dyDescent="0.15">
      <c r="Q114" s="75" t="str">
        <f t="shared" si="7"/>
        <v/>
      </c>
      <c r="T114" s="16" t="str">
        <f t="shared" si="4"/>
        <v/>
      </c>
      <c r="V114" s="16" t="str">
        <f t="shared" si="6"/>
        <v/>
      </c>
    </row>
    <row r="115" spans="17:22" x14ac:dyDescent="0.15">
      <c r="Q115" s="75" t="str">
        <f t="shared" si="7"/>
        <v/>
      </c>
      <c r="T115" s="16" t="str">
        <f t="shared" si="4"/>
        <v/>
      </c>
      <c r="V115" s="16" t="str">
        <f t="shared" si="6"/>
        <v/>
      </c>
    </row>
    <row r="116" spans="17:22" x14ac:dyDescent="0.15">
      <c r="Q116" s="75" t="str">
        <f t="shared" si="7"/>
        <v/>
      </c>
      <c r="T116" s="16" t="str">
        <f t="shared" si="4"/>
        <v/>
      </c>
      <c r="V116" s="16" t="str">
        <f t="shared" si="6"/>
        <v/>
      </c>
    </row>
    <row r="117" spans="17:22" x14ac:dyDescent="0.15">
      <c r="Q117" s="75" t="str">
        <f t="shared" si="7"/>
        <v/>
      </c>
      <c r="T117" s="16" t="str">
        <f t="shared" si="4"/>
        <v/>
      </c>
      <c r="V117" s="16" t="str">
        <f t="shared" si="6"/>
        <v/>
      </c>
    </row>
    <row r="118" spans="17:22" x14ac:dyDescent="0.15">
      <c r="Q118" s="75" t="str">
        <f t="shared" si="7"/>
        <v/>
      </c>
      <c r="T118" s="16" t="str">
        <f t="shared" si="4"/>
        <v/>
      </c>
      <c r="V118" s="16" t="str">
        <f t="shared" si="6"/>
        <v/>
      </c>
    </row>
    <row r="119" spans="17:22" x14ac:dyDescent="0.15">
      <c r="Q119" s="75" t="str">
        <f t="shared" si="7"/>
        <v/>
      </c>
      <c r="T119" s="16" t="str">
        <f t="shared" si="4"/>
        <v/>
      </c>
      <c r="V119" s="16" t="str">
        <f t="shared" si="6"/>
        <v/>
      </c>
    </row>
    <row r="120" spans="17:22" x14ac:dyDescent="0.15">
      <c r="Q120" s="75" t="str">
        <f t="shared" si="7"/>
        <v/>
      </c>
      <c r="T120" s="16" t="str">
        <f t="shared" si="4"/>
        <v/>
      </c>
      <c r="V120" s="16" t="str">
        <f t="shared" si="6"/>
        <v/>
      </c>
    </row>
    <row r="121" spans="17:22" x14ac:dyDescent="0.15">
      <c r="Q121" s="75" t="str">
        <f t="shared" si="7"/>
        <v/>
      </c>
      <c r="T121" s="16" t="str">
        <f t="shared" si="4"/>
        <v/>
      </c>
      <c r="V121" s="16" t="str">
        <f t="shared" si="6"/>
        <v/>
      </c>
    </row>
    <row r="122" spans="17:22" x14ac:dyDescent="0.15">
      <c r="Q122" s="75" t="str">
        <f t="shared" si="7"/>
        <v/>
      </c>
      <c r="T122" s="16" t="str">
        <f t="shared" si="4"/>
        <v/>
      </c>
      <c r="V122" s="16" t="str">
        <f t="shared" si="6"/>
        <v/>
      </c>
    </row>
    <row r="123" spans="17:22" x14ac:dyDescent="0.15">
      <c r="Q123" s="75" t="str">
        <f t="shared" si="7"/>
        <v/>
      </c>
      <c r="T123" s="16" t="str">
        <f t="shared" si="4"/>
        <v/>
      </c>
      <c r="V123" s="16" t="str">
        <f t="shared" si="6"/>
        <v/>
      </c>
    </row>
    <row r="124" spans="17:22" x14ac:dyDescent="0.15">
      <c r="Q124" s="75" t="str">
        <f t="shared" si="7"/>
        <v/>
      </c>
      <c r="T124" s="16" t="str">
        <f t="shared" si="4"/>
        <v/>
      </c>
      <c r="V124" s="16" t="str">
        <f t="shared" si="6"/>
        <v/>
      </c>
    </row>
    <row r="125" spans="17:22" x14ac:dyDescent="0.15">
      <c r="Q125" s="75" t="str">
        <f t="shared" si="7"/>
        <v/>
      </c>
      <c r="T125" s="16" t="str">
        <f t="shared" si="4"/>
        <v/>
      </c>
      <c r="V125" s="16" t="str">
        <f t="shared" si="6"/>
        <v/>
      </c>
    </row>
    <row r="126" spans="17:22" x14ac:dyDescent="0.15">
      <c r="Q126" s="75" t="str">
        <f t="shared" si="7"/>
        <v/>
      </c>
      <c r="T126" s="16" t="str">
        <f t="shared" si="4"/>
        <v/>
      </c>
      <c r="V126" s="16" t="str">
        <f t="shared" si="6"/>
        <v/>
      </c>
    </row>
    <row r="127" spans="17:22" x14ac:dyDescent="0.15">
      <c r="Q127" s="75" t="str">
        <f t="shared" si="7"/>
        <v/>
      </c>
      <c r="T127" s="16" t="str">
        <f t="shared" si="4"/>
        <v/>
      </c>
      <c r="V127" s="16" t="str">
        <f t="shared" si="6"/>
        <v/>
      </c>
    </row>
    <row r="128" spans="17:22" x14ac:dyDescent="0.15">
      <c r="Q128" s="75" t="str">
        <f t="shared" si="7"/>
        <v/>
      </c>
      <c r="T128" s="16" t="str">
        <f t="shared" si="4"/>
        <v/>
      </c>
      <c r="V128" s="16" t="str">
        <f t="shared" si="6"/>
        <v/>
      </c>
    </row>
    <row r="129" spans="17:22" x14ac:dyDescent="0.15">
      <c r="Q129" s="75" t="str">
        <f t="shared" si="7"/>
        <v/>
      </c>
      <c r="T129" s="16" t="str">
        <f t="shared" si="4"/>
        <v/>
      </c>
      <c r="V129" s="16" t="str">
        <f t="shared" si="6"/>
        <v/>
      </c>
    </row>
    <row r="130" spans="17:22" x14ac:dyDescent="0.15">
      <c r="Q130" s="75" t="str">
        <f t="shared" si="7"/>
        <v/>
      </c>
      <c r="T130" s="16" t="str">
        <f t="shared" ref="T130:T193" si="8">IF(H130="","",IF(OR(H130="GREEN",H130="GK"),IF(S130&gt;=$AX$2,VLOOKUP(S130,$AX$2:$AY$10,2,1),""),IF(S130&gt;=$AZ$2,VLOOKUP(S130,$AZ$2:$BA$10,2,1),"")))</f>
        <v/>
      </c>
      <c r="V130" s="16" t="str">
        <f t="shared" si="6"/>
        <v/>
      </c>
    </row>
    <row r="131" spans="17:22" x14ac:dyDescent="0.15">
      <c r="Q131" s="75" t="str">
        <f t="shared" si="7"/>
        <v/>
      </c>
      <c r="T131" s="16" t="str">
        <f t="shared" si="8"/>
        <v/>
      </c>
      <c r="V131" s="16" t="str">
        <f t="shared" si="6"/>
        <v/>
      </c>
    </row>
    <row r="132" spans="17:22" x14ac:dyDescent="0.15">
      <c r="Q132" s="75" t="str">
        <f t="shared" si="7"/>
        <v/>
      </c>
      <c r="T132" s="16" t="str">
        <f t="shared" si="8"/>
        <v/>
      </c>
      <c r="V132" s="16" t="str">
        <f t="shared" si="6"/>
        <v/>
      </c>
    </row>
    <row r="133" spans="17:22" x14ac:dyDescent="0.15">
      <c r="Q133" s="75" t="str">
        <f t="shared" si="7"/>
        <v/>
      </c>
      <c r="T133" s="16" t="str">
        <f t="shared" si="8"/>
        <v/>
      </c>
      <c r="V133" s="16" t="str">
        <f t="shared" si="6"/>
        <v/>
      </c>
    </row>
    <row r="134" spans="17:22" x14ac:dyDescent="0.15">
      <c r="Q134" s="75" t="str">
        <f t="shared" si="7"/>
        <v/>
      </c>
      <c r="T134" s="16" t="str">
        <f t="shared" si="8"/>
        <v/>
      </c>
      <c r="V134" s="16" t="str">
        <f t="shared" si="6"/>
        <v/>
      </c>
    </row>
    <row r="135" spans="17:22" x14ac:dyDescent="0.15">
      <c r="Q135" s="75" t="str">
        <f t="shared" si="7"/>
        <v/>
      </c>
      <c r="T135" s="16" t="str">
        <f t="shared" si="8"/>
        <v/>
      </c>
      <c r="V135" s="16" t="str">
        <f t="shared" si="6"/>
        <v/>
      </c>
    </row>
    <row r="136" spans="17:22" x14ac:dyDescent="0.15">
      <c r="Q136" s="75" t="str">
        <f t="shared" si="7"/>
        <v/>
      </c>
      <c r="T136" s="16" t="str">
        <f t="shared" si="8"/>
        <v/>
      </c>
      <c r="V136" s="16" t="str">
        <f t="shared" si="6"/>
        <v/>
      </c>
    </row>
    <row r="137" spans="17:22" x14ac:dyDescent="0.15">
      <c r="Q137" s="75" t="str">
        <f t="shared" si="7"/>
        <v/>
      </c>
      <c r="T137" s="16" t="str">
        <f t="shared" si="8"/>
        <v/>
      </c>
      <c r="V137" s="16" t="str">
        <f t="shared" si="6"/>
        <v/>
      </c>
    </row>
    <row r="138" spans="17:22" x14ac:dyDescent="0.15">
      <c r="Q138" s="75" t="str">
        <f t="shared" si="7"/>
        <v/>
      </c>
      <c r="T138" s="16" t="str">
        <f t="shared" si="8"/>
        <v/>
      </c>
      <c r="V138" s="16" t="str">
        <f t="shared" si="6"/>
        <v/>
      </c>
    </row>
    <row r="139" spans="17:22" x14ac:dyDescent="0.15">
      <c r="Q139" s="75" t="str">
        <f t="shared" si="7"/>
        <v/>
      </c>
      <c r="T139" s="16" t="str">
        <f t="shared" si="8"/>
        <v/>
      </c>
      <c r="V139" s="16" t="str">
        <f t="shared" si="6"/>
        <v/>
      </c>
    </row>
    <row r="140" spans="17:22" x14ac:dyDescent="0.15">
      <c r="Q140" s="75" t="str">
        <f t="shared" si="7"/>
        <v/>
      </c>
      <c r="T140" s="16" t="str">
        <f t="shared" si="8"/>
        <v/>
      </c>
      <c r="V140" s="16" t="str">
        <f t="shared" si="6"/>
        <v/>
      </c>
    </row>
    <row r="141" spans="17:22" x14ac:dyDescent="0.15">
      <c r="Q141" s="75" t="str">
        <f t="shared" si="7"/>
        <v/>
      </c>
      <c r="T141" s="16" t="str">
        <f t="shared" si="8"/>
        <v/>
      </c>
      <c r="V141" s="16" t="str">
        <f t="shared" ref="V141:V204" si="9">IF(OR(N141="",U141="",T141=""),"",U141/N141*T141)</f>
        <v/>
      </c>
    </row>
    <row r="142" spans="17:22" x14ac:dyDescent="0.15">
      <c r="Q142" s="75" t="str">
        <f t="shared" si="7"/>
        <v/>
      </c>
      <c r="T142" s="16" t="str">
        <f t="shared" si="8"/>
        <v/>
      </c>
      <c r="V142" s="16" t="str">
        <f t="shared" si="9"/>
        <v/>
      </c>
    </row>
    <row r="143" spans="17:22" x14ac:dyDescent="0.15">
      <c r="Q143" s="75" t="str">
        <f t="shared" si="7"/>
        <v/>
      </c>
      <c r="T143" s="16" t="str">
        <f t="shared" si="8"/>
        <v/>
      </c>
      <c r="V143" s="16" t="str">
        <f t="shared" si="9"/>
        <v/>
      </c>
    </row>
    <row r="144" spans="17:22" x14ac:dyDescent="0.15">
      <c r="Q144" s="75" t="str">
        <f t="shared" si="7"/>
        <v/>
      </c>
      <c r="T144" s="16" t="str">
        <f t="shared" si="8"/>
        <v/>
      </c>
      <c r="V144" s="16" t="str">
        <f t="shared" si="9"/>
        <v/>
      </c>
    </row>
    <row r="145" spans="17:22" x14ac:dyDescent="0.15">
      <c r="Q145" s="75" t="str">
        <f t="shared" si="7"/>
        <v/>
      </c>
      <c r="T145" s="16" t="str">
        <f t="shared" si="8"/>
        <v/>
      </c>
      <c r="V145" s="16" t="str">
        <f t="shared" si="9"/>
        <v/>
      </c>
    </row>
    <row r="146" spans="17:22" x14ac:dyDescent="0.15">
      <c r="Q146" s="75" t="str">
        <f t="shared" si="7"/>
        <v/>
      </c>
      <c r="T146" s="16" t="str">
        <f t="shared" si="8"/>
        <v/>
      </c>
      <c r="V146" s="16" t="str">
        <f t="shared" si="9"/>
        <v/>
      </c>
    </row>
    <row r="147" spans="17:22" x14ac:dyDescent="0.15">
      <c r="Q147" s="75" t="str">
        <f t="shared" si="7"/>
        <v/>
      </c>
      <c r="T147" s="16" t="str">
        <f t="shared" si="8"/>
        <v/>
      </c>
      <c r="V147" s="16" t="str">
        <f t="shared" si="9"/>
        <v/>
      </c>
    </row>
    <row r="148" spans="17:22" x14ac:dyDescent="0.15">
      <c r="Q148" s="75" t="str">
        <f t="shared" si="7"/>
        <v/>
      </c>
      <c r="T148" s="16" t="str">
        <f t="shared" si="8"/>
        <v/>
      </c>
      <c r="V148" s="16" t="str">
        <f t="shared" si="9"/>
        <v/>
      </c>
    </row>
    <row r="149" spans="17:22" x14ac:dyDescent="0.15">
      <c r="Q149" s="75" t="str">
        <f t="shared" si="7"/>
        <v/>
      </c>
      <c r="T149" s="16" t="str">
        <f t="shared" si="8"/>
        <v/>
      </c>
      <c r="V149" s="16" t="str">
        <f t="shared" si="9"/>
        <v/>
      </c>
    </row>
    <row r="150" spans="17:22" x14ac:dyDescent="0.15">
      <c r="Q150" s="75" t="str">
        <f t="shared" si="7"/>
        <v/>
      </c>
      <c r="T150" s="16" t="str">
        <f t="shared" si="8"/>
        <v/>
      </c>
      <c r="V150" s="16" t="str">
        <f t="shared" si="9"/>
        <v/>
      </c>
    </row>
    <row r="151" spans="17:22" x14ac:dyDescent="0.15">
      <c r="Q151" s="75" t="str">
        <f t="shared" si="7"/>
        <v/>
      </c>
      <c r="T151" s="16" t="str">
        <f t="shared" si="8"/>
        <v/>
      </c>
      <c r="V151" s="16" t="str">
        <f t="shared" si="9"/>
        <v/>
      </c>
    </row>
    <row r="152" spans="17:22" x14ac:dyDescent="0.15">
      <c r="Q152" s="75" t="str">
        <f t="shared" si="7"/>
        <v/>
      </c>
      <c r="T152" s="16" t="str">
        <f t="shared" si="8"/>
        <v/>
      </c>
      <c r="V152" s="16" t="str">
        <f t="shared" si="9"/>
        <v/>
      </c>
    </row>
    <row r="153" spans="17:22" x14ac:dyDescent="0.15">
      <c r="Q153" s="75" t="str">
        <f t="shared" si="7"/>
        <v/>
      </c>
      <c r="T153" s="16" t="str">
        <f t="shared" si="8"/>
        <v/>
      </c>
      <c r="V153" s="16" t="str">
        <f t="shared" si="9"/>
        <v/>
      </c>
    </row>
    <row r="154" spans="17:22" x14ac:dyDescent="0.15">
      <c r="Q154" s="75" t="str">
        <f t="shared" si="7"/>
        <v/>
      </c>
      <c r="T154" s="16" t="str">
        <f t="shared" si="8"/>
        <v/>
      </c>
      <c r="V154" s="16" t="str">
        <f t="shared" si="9"/>
        <v/>
      </c>
    </row>
    <row r="155" spans="17:22" x14ac:dyDescent="0.15">
      <c r="Q155" s="75" t="str">
        <f t="shared" si="7"/>
        <v/>
      </c>
      <c r="T155" s="16" t="str">
        <f t="shared" si="8"/>
        <v/>
      </c>
      <c r="V155" s="16" t="str">
        <f t="shared" si="9"/>
        <v/>
      </c>
    </row>
    <row r="156" spans="17:22" x14ac:dyDescent="0.15">
      <c r="Q156" s="75" t="str">
        <f t="shared" si="7"/>
        <v/>
      </c>
      <c r="T156" s="16" t="str">
        <f t="shared" si="8"/>
        <v/>
      </c>
      <c r="V156" s="16" t="str">
        <f t="shared" si="9"/>
        <v/>
      </c>
    </row>
    <row r="157" spans="17:22" x14ac:dyDescent="0.15">
      <c r="Q157" s="75" t="str">
        <f t="shared" si="7"/>
        <v/>
      </c>
      <c r="T157" s="16" t="str">
        <f t="shared" si="8"/>
        <v/>
      </c>
      <c r="V157" s="16" t="str">
        <f t="shared" si="9"/>
        <v/>
      </c>
    </row>
    <row r="158" spans="17:22" x14ac:dyDescent="0.15">
      <c r="Q158" s="75" t="str">
        <f t="shared" si="7"/>
        <v/>
      </c>
      <c r="T158" s="16" t="str">
        <f t="shared" si="8"/>
        <v/>
      </c>
      <c r="V158" s="16" t="str">
        <f t="shared" si="9"/>
        <v/>
      </c>
    </row>
    <row r="159" spans="17:22" x14ac:dyDescent="0.15">
      <c r="Q159" s="75" t="str">
        <f t="shared" si="7"/>
        <v/>
      </c>
      <c r="T159" s="16" t="str">
        <f t="shared" si="8"/>
        <v/>
      </c>
      <c r="V159" s="16" t="str">
        <f t="shared" si="9"/>
        <v/>
      </c>
    </row>
    <row r="160" spans="17:22" x14ac:dyDescent="0.15">
      <c r="Q160" s="75" t="str">
        <f t="shared" si="7"/>
        <v/>
      </c>
      <c r="T160" s="16" t="str">
        <f t="shared" si="8"/>
        <v/>
      </c>
      <c r="V160" s="16" t="str">
        <f t="shared" si="9"/>
        <v/>
      </c>
    </row>
    <row r="161" spans="17:22" x14ac:dyDescent="0.15">
      <c r="Q161" s="75" t="str">
        <f t="shared" si="7"/>
        <v/>
      </c>
      <c r="T161" s="16" t="str">
        <f t="shared" si="8"/>
        <v/>
      </c>
      <c r="V161" s="16" t="str">
        <f t="shared" si="9"/>
        <v/>
      </c>
    </row>
    <row r="162" spans="17:22" x14ac:dyDescent="0.15">
      <c r="Q162" s="75" t="str">
        <f t="shared" si="7"/>
        <v/>
      </c>
      <c r="T162" s="16" t="str">
        <f t="shared" si="8"/>
        <v/>
      </c>
      <c r="V162" s="16" t="str">
        <f t="shared" si="9"/>
        <v/>
      </c>
    </row>
    <row r="163" spans="17:22" x14ac:dyDescent="0.15">
      <c r="Q163" s="75" t="str">
        <f t="shared" si="7"/>
        <v/>
      </c>
      <c r="T163" s="16" t="str">
        <f t="shared" si="8"/>
        <v/>
      </c>
      <c r="V163" s="16" t="str">
        <f t="shared" si="9"/>
        <v/>
      </c>
    </row>
    <row r="164" spans="17:22" x14ac:dyDescent="0.15">
      <c r="Q164" s="75" t="str">
        <f t="shared" si="7"/>
        <v/>
      </c>
      <c r="T164" s="16" t="str">
        <f t="shared" si="8"/>
        <v/>
      </c>
      <c r="V164" s="16" t="str">
        <f t="shared" si="9"/>
        <v/>
      </c>
    </row>
    <row r="165" spans="17:22" x14ac:dyDescent="0.15">
      <c r="Q165" s="75" t="str">
        <f t="shared" si="7"/>
        <v/>
      </c>
      <c r="T165" s="16" t="str">
        <f t="shared" si="8"/>
        <v/>
      </c>
      <c r="V165" s="16" t="str">
        <f t="shared" si="9"/>
        <v/>
      </c>
    </row>
    <row r="166" spans="17:22" x14ac:dyDescent="0.15">
      <c r="Q166" s="75" t="str">
        <f t="shared" si="7"/>
        <v/>
      </c>
      <c r="T166" s="16" t="str">
        <f t="shared" si="8"/>
        <v/>
      </c>
      <c r="V166" s="16" t="str">
        <f t="shared" si="9"/>
        <v/>
      </c>
    </row>
    <row r="167" spans="17:22" x14ac:dyDescent="0.15">
      <c r="Q167" s="75" t="str">
        <f t="shared" si="7"/>
        <v/>
      </c>
      <c r="T167" s="16" t="str">
        <f t="shared" si="8"/>
        <v/>
      </c>
      <c r="V167" s="16" t="str">
        <f t="shared" si="9"/>
        <v/>
      </c>
    </row>
    <row r="168" spans="17:22" x14ac:dyDescent="0.15">
      <c r="Q168" s="75" t="str">
        <f t="shared" si="7"/>
        <v/>
      </c>
      <c r="T168" s="16" t="str">
        <f t="shared" si="8"/>
        <v/>
      </c>
      <c r="V168" s="16" t="str">
        <f t="shared" si="9"/>
        <v/>
      </c>
    </row>
    <row r="169" spans="17:22" x14ac:dyDescent="0.15">
      <c r="Q169" s="75" t="str">
        <f t="shared" si="7"/>
        <v/>
      </c>
      <c r="T169" s="16" t="str">
        <f t="shared" si="8"/>
        <v/>
      </c>
      <c r="V169" s="16" t="str">
        <f t="shared" si="9"/>
        <v/>
      </c>
    </row>
    <row r="170" spans="17:22" x14ac:dyDescent="0.15">
      <c r="Q170" s="75" t="str">
        <f t="shared" si="7"/>
        <v/>
      </c>
      <c r="T170" s="16" t="str">
        <f t="shared" si="8"/>
        <v/>
      </c>
      <c r="V170" s="16" t="str">
        <f t="shared" si="9"/>
        <v/>
      </c>
    </row>
    <row r="171" spans="17:22" x14ac:dyDescent="0.15">
      <c r="Q171" s="75" t="str">
        <f t="shared" si="7"/>
        <v/>
      </c>
      <c r="T171" s="16" t="str">
        <f t="shared" si="8"/>
        <v/>
      </c>
      <c r="V171" s="16" t="str">
        <f t="shared" si="9"/>
        <v/>
      </c>
    </row>
    <row r="172" spans="17:22" x14ac:dyDescent="0.15">
      <c r="Q172" s="75" t="str">
        <f t="shared" ref="Q172:Q235" si="10">IF(OR(O172="",P172=""),"",AVERAGE(O172,P172))</f>
        <v/>
      </c>
      <c r="T172" s="16" t="str">
        <f t="shared" si="8"/>
        <v/>
      </c>
      <c r="V172" s="16" t="str">
        <f t="shared" si="9"/>
        <v/>
      </c>
    </row>
    <row r="173" spans="17:22" x14ac:dyDescent="0.15">
      <c r="Q173" s="75" t="str">
        <f t="shared" si="10"/>
        <v/>
      </c>
      <c r="T173" s="16" t="str">
        <f t="shared" si="8"/>
        <v/>
      </c>
      <c r="V173" s="16" t="str">
        <f t="shared" si="9"/>
        <v/>
      </c>
    </row>
    <row r="174" spans="17:22" x14ac:dyDescent="0.15">
      <c r="Q174" s="75" t="str">
        <f t="shared" si="10"/>
        <v/>
      </c>
      <c r="T174" s="16" t="str">
        <f t="shared" si="8"/>
        <v/>
      </c>
      <c r="V174" s="16" t="str">
        <f t="shared" si="9"/>
        <v/>
      </c>
    </row>
    <row r="175" spans="17:22" x14ac:dyDescent="0.15">
      <c r="Q175" s="75" t="str">
        <f t="shared" si="10"/>
        <v/>
      </c>
      <c r="T175" s="16" t="str">
        <f t="shared" si="8"/>
        <v/>
      </c>
      <c r="V175" s="16" t="str">
        <f t="shared" si="9"/>
        <v/>
      </c>
    </row>
    <row r="176" spans="17:22" x14ac:dyDescent="0.15">
      <c r="Q176" s="75" t="str">
        <f t="shared" si="10"/>
        <v/>
      </c>
      <c r="T176" s="16" t="str">
        <f t="shared" si="8"/>
        <v/>
      </c>
      <c r="V176" s="16" t="str">
        <f t="shared" si="9"/>
        <v/>
      </c>
    </row>
    <row r="177" spans="17:22" x14ac:dyDescent="0.15">
      <c r="Q177" s="75" t="str">
        <f t="shared" si="10"/>
        <v/>
      </c>
      <c r="T177" s="16" t="str">
        <f t="shared" si="8"/>
        <v/>
      </c>
      <c r="V177" s="16" t="str">
        <f t="shared" si="9"/>
        <v/>
      </c>
    </row>
    <row r="178" spans="17:22" x14ac:dyDescent="0.15">
      <c r="Q178" s="75" t="str">
        <f t="shared" si="10"/>
        <v/>
      </c>
      <c r="T178" s="16" t="str">
        <f t="shared" si="8"/>
        <v/>
      </c>
      <c r="V178" s="16" t="str">
        <f t="shared" si="9"/>
        <v/>
      </c>
    </row>
    <row r="179" spans="17:22" x14ac:dyDescent="0.15">
      <c r="Q179" s="75" t="str">
        <f t="shared" si="10"/>
        <v/>
      </c>
      <c r="T179" s="16" t="str">
        <f t="shared" si="8"/>
        <v/>
      </c>
      <c r="V179" s="16" t="str">
        <f t="shared" si="9"/>
        <v/>
      </c>
    </row>
    <row r="180" spans="17:22" x14ac:dyDescent="0.15">
      <c r="Q180" s="75" t="str">
        <f t="shared" si="10"/>
        <v/>
      </c>
      <c r="T180" s="16" t="str">
        <f t="shared" si="8"/>
        <v/>
      </c>
      <c r="V180" s="16" t="str">
        <f t="shared" si="9"/>
        <v/>
      </c>
    </row>
    <row r="181" spans="17:22" x14ac:dyDescent="0.15">
      <c r="Q181" s="75" t="str">
        <f t="shared" si="10"/>
        <v/>
      </c>
      <c r="T181" s="16" t="str">
        <f t="shared" si="8"/>
        <v/>
      </c>
      <c r="V181" s="16" t="str">
        <f t="shared" si="9"/>
        <v/>
      </c>
    </row>
    <row r="182" spans="17:22" x14ac:dyDescent="0.15">
      <c r="Q182" s="75" t="str">
        <f t="shared" si="10"/>
        <v/>
      </c>
      <c r="T182" s="16" t="str">
        <f t="shared" si="8"/>
        <v/>
      </c>
      <c r="V182" s="16" t="str">
        <f t="shared" si="9"/>
        <v/>
      </c>
    </row>
    <row r="183" spans="17:22" x14ac:dyDescent="0.15">
      <c r="Q183" s="75" t="str">
        <f t="shared" si="10"/>
        <v/>
      </c>
      <c r="T183" s="16" t="str">
        <f t="shared" si="8"/>
        <v/>
      </c>
      <c r="V183" s="16" t="str">
        <f t="shared" si="9"/>
        <v/>
      </c>
    </row>
    <row r="184" spans="17:22" x14ac:dyDescent="0.15">
      <c r="Q184" s="75" t="str">
        <f t="shared" si="10"/>
        <v/>
      </c>
      <c r="T184" s="16" t="str">
        <f t="shared" si="8"/>
        <v/>
      </c>
      <c r="V184" s="16" t="str">
        <f t="shared" si="9"/>
        <v/>
      </c>
    </row>
    <row r="185" spans="17:22" x14ac:dyDescent="0.15">
      <c r="Q185" s="75" t="str">
        <f t="shared" si="10"/>
        <v/>
      </c>
      <c r="T185" s="16" t="str">
        <f t="shared" si="8"/>
        <v/>
      </c>
      <c r="V185" s="16" t="str">
        <f t="shared" si="9"/>
        <v/>
      </c>
    </row>
    <row r="186" spans="17:22" x14ac:dyDescent="0.15">
      <c r="Q186" s="75" t="str">
        <f t="shared" si="10"/>
        <v/>
      </c>
      <c r="T186" s="16" t="str">
        <f t="shared" si="8"/>
        <v/>
      </c>
      <c r="V186" s="16" t="str">
        <f t="shared" si="9"/>
        <v/>
      </c>
    </row>
    <row r="187" spans="17:22" x14ac:dyDescent="0.15">
      <c r="Q187" s="75" t="str">
        <f t="shared" si="10"/>
        <v/>
      </c>
      <c r="T187" s="16" t="str">
        <f t="shared" si="8"/>
        <v/>
      </c>
      <c r="V187" s="16" t="str">
        <f t="shared" si="9"/>
        <v/>
      </c>
    </row>
    <row r="188" spans="17:22" x14ac:dyDescent="0.15">
      <c r="Q188" s="75" t="str">
        <f t="shared" si="10"/>
        <v/>
      </c>
      <c r="T188" s="16" t="str">
        <f t="shared" si="8"/>
        <v/>
      </c>
      <c r="V188" s="16" t="str">
        <f t="shared" si="9"/>
        <v/>
      </c>
    </row>
    <row r="189" spans="17:22" x14ac:dyDescent="0.15">
      <c r="Q189" s="75" t="str">
        <f t="shared" si="10"/>
        <v/>
      </c>
      <c r="T189" s="16" t="str">
        <f t="shared" si="8"/>
        <v/>
      </c>
      <c r="V189" s="16" t="str">
        <f t="shared" si="9"/>
        <v/>
      </c>
    </row>
    <row r="190" spans="17:22" x14ac:dyDescent="0.15">
      <c r="Q190" s="75" t="str">
        <f t="shared" si="10"/>
        <v/>
      </c>
      <c r="T190" s="16" t="str">
        <f t="shared" si="8"/>
        <v/>
      </c>
      <c r="V190" s="16" t="str">
        <f t="shared" si="9"/>
        <v/>
      </c>
    </row>
    <row r="191" spans="17:22" x14ac:dyDescent="0.15">
      <c r="Q191" s="75" t="str">
        <f t="shared" si="10"/>
        <v/>
      </c>
      <c r="T191" s="16" t="str">
        <f t="shared" si="8"/>
        <v/>
      </c>
      <c r="V191" s="16" t="str">
        <f t="shared" si="9"/>
        <v/>
      </c>
    </row>
    <row r="192" spans="17:22" x14ac:dyDescent="0.15">
      <c r="Q192" s="75" t="str">
        <f t="shared" si="10"/>
        <v/>
      </c>
      <c r="T192" s="16" t="str">
        <f t="shared" si="8"/>
        <v/>
      </c>
      <c r="V192" s="16" t="str">
        <f t="shared" si="9"/>
        <v/>
      </c>
    </row>
    <row r="193" spans="17:22" x14ac:dyDescent="0.15">
      <c r="Q193" s="75" t="str">
        <f t="shared" si="10"/>
        <v/>
      </c>
      <c r="T193" s="16" t="str">
        <f t="shared" si="8"/>
        <v/>
      </c>
      <c r="V193" s="16" t="str">
        <f t="shared" si="9"/>
        <v/>
      </c>
    </row>
    <row r="194" spans="17:22" x14ac:dyDescent="0.15">
      <c r="Q194" s="75" t="str">
        <f t="shared" si="10"/>
        <v/>
      </c>
      <c r="T194" s="16" t="str">
        <f t="shared" ref="T194:T257" si="11">IF(H194="","",IF(OR(H194="GREEN",H194="GK"),IF(S194&gt;=$AX$2,VLOOKUP(S194,$AX$2:$AY$10,2,1),""),IF(S194&gt;=$AZ$2,VLOOKUP(S194,$AZ$2:$BA$10,2,1),"")))</f>
        <v/>
      </c>
      <c r="V194" s="16" t="str">
        <f t="shared" si="9"/>
        <v/>
      </c>
    </row>
    <row r="195" spans="17:22" x14ac:dyDescent="0.15">
      <c r="Q195" s="75" t="str">
        <f t="shared" si="10"/>
        <v/>
      </c>
      <c r="T195" s="16" t="str">
        <f t="shared" si="11"/>
        <v/>
      </c>
      <c r="V195" s="16" t="str">
        <f t="shared" si="9"/>
        <v/>
      </c>
    </row>
    <row r="196" spans="17:22" x14ac:dyDescent="0.15">
      <c r="Q196" s="75" t="str">
        <f t="shared" si="10"/>
        <v/>
      </c>
      <c r="T196" s="16" t="str">
        <f t="shared" si="11"/>
        <v/>
      </c>
      <c r="V196" s="16" t="str">
        <f t="shared" si="9"/>
        <v/>
      </c>
    </row>
    <row r="197" spans="17:22" x14ac:dyDescent="0.15">
      <c r="Q197" s="75" t="str">
        <f t="shared" si="10"/>
        <v/>
      </c>
      <c r="T197" s="16" t="str">
        <f t="shared" si="11"/>
        <v/>
      </c>
      <c r="V197" s="16" t="str">
        <f t="shared" si="9"/>
        <v/>
      </c>
    </row>
    <row r="198" spans="17:22" x14ac:dyDescent="0.15">
      <c r="Q198" s="75" t="str">
        <f t="shared" si="10"/>
        <v/>
      </c>
      <c r="T198" s="16" t="str">
        <f t="shared" si="11"/>
        <v/>
      </c>
      <c r="V198" s="16" t="str">
        <f t="shared" si="9"/>
        <v/>
      </c>
    </row>
    <row r="199" spans="17:22" x14ac:dyDescent="0.15">
      <c r="Q199" s="75" t="str">
        <f t="shared" si="10"/>
        <v/>
      </c>
      <c r="T199" s="16" t="str">
        <f t="shared" si="11"/>
        <v/>
      </c>
      <c r="V199" s="16" t="str">
        <f t="shared" si="9"/>
        <v/>
      </c>
    </row>
    <row r="200" spans="17:22" x14ac:dyDescent="0.15">
      <c r="Q200" s="75" t="str">
        <f t="shared" si="10"/>
        <v/>
      </c>
      <c r="T200" s="16" t="str">
        <f t="shared" si="11"/>
        <v/>
      </c>
      <c r="V200" s="16" t="str">
        <f t="shared" si="9"/>
        <v/>
      </c>
    </row>
    <row r="201" spans="17:22" x14ac:dyDescent="0.15">
      <c r="Q201" s="75" t="str">
        <f t="shared" si="10"/>
        <v/>
      </c>
      <c r="T201" s="16" t="str">
        <f t="shared" si="11"/>
        <v/>
      </c>
      <c r="V201" s="16" t="str">
        <f t="shared" si="9"/>
        <v/>
      </c>
    </row>
    <row r="202" spans="17:22" x14ac:dyDescent="0.15">
      <c r="Q202" s="75" t="str">
        <f t="shared" si="10"/>
        <v/>
      </c>
      <c r="T202" s="16" t="str">
        <f t="shared" si="11"/>
        <v/>
      </c>
      <c r="V202" s="16" t="str">
        <f t="shared" si="9"/>
        <v/>
      </c>
    </row>
    <row r="203" spans="17:22" x14ac:dyDescent="0.15">
      <c r="Q203" s="75" t="str">
        <f t="shared" si="10"/>
        <v/>
      </c>
      <c r="T203" s="16" t="str">
        <f t="shared" si="11"/>
        <v/>
      </c>
      <c r="V203" s="16" t="str">
        <f t="shared" si="9"/>
        <v/>
      </c>
    </row>
    <row r="204" spans="17:22" x14ac:dyDescent="0.15">
      <c r="Q204" s="75" t="str">
        <f t="shared" si="10"/>
        <v/>
      </c>
      <c r="T204" s="16" t="str">
        <f t="shared" si="11"/>
        <v/>
      </c>
      <c r="V204" s="16" t="str">
        <f t="shared" si="9"/>
        <v/>
      </c>
    </row>
    <row r="205" spans="17:22" x14ac:dyDescent="0.15">
      <c r="Q205" s="75" t="str">
        <f t="shared" si="10"/>
        <v/>
      </c>
      <c r="T205" s="16" t="str">
        <f t="shared" si="11"/>
        <v/>
      </c>
      <c r="V205" s="16" t="str">
        <f t="shared" ref="V205:V268" si="12">IF(OR(N205="",U205="",T205=""),"",U205/N205*T205)</f>
        <v/>
      </c>
    </row>
    <row r="206" spans="17:22" x14ac:dyDescent="0.15">
      <c r="Q206" s="75" t="str">
        <f t="shared" si="10"/>
        <v/>
      </c>
      <c r="T206" s="16" t="str">
        <f t="shared" si="11"/>
        <v/>
      </c>
      <c r="V206" s="16" t="str">
        <f t="shared" si="12"/>
        <v/>
      </c>
    </row>
    <row r="207" spans="17:22" x14ac:dyDescent="0.15">
      <c r="Q207" s="75" t="str">
        <f t="shared" si="10"/>
        <v/>
      </c>
      <c r="T207" s="16" t="str">
        <f t="shared" si="11"/>
        <v/>
      </c>
      <c r="V207" s="16" t="str">
        <f t="shared" si="12"/>
        <v/>
      </c>
    </row>
    <row r="208" spans="17:22" x14ac:dyDescent="0.15">
      <c r="Q208" s="75" t="str">
        <f t="shared" si="10"/>
        <v/>
      </c>
      <c r="T208" s="16" t="str">
        <f t="shared" si="11"/>
        <v/>
      </c>
      <c r="V208" s="16" t="str">
        <f t="shared" si="12"/>
        <v/>
      </c>
    </row>
    <row r="209" spans="17:22" x14ac:dyDescent="0.15">
      <c r="Q209" s="75" t="str">
        <f t="shared" si="10"/>
        <v/>
      </c>
      <c r="T209" s="16" t="str">
        <f t="shared" si="11"/>
        <v/>
      </c>
      <c r="V209" s="16" t="str">
        <f t="shared" si="12"/>
        <v/>
      </c>
    </row>
    <row r="210" spans="17:22" x14ac:dyDescent="0.15">
      <c r="Q210" s="75" t="str">
        <f t="shared" si="10"/>
        <v/>
      </c>
      <c r="T210" s="16" t="str">
        <f t="shared" si="11"/>
        <v/>
      </c>
      <c r="V210" s="16" t="str">
        <f t="shared" si="12"/>
        <v/>
      </c>
    </row>
    <row r="211" spans="17:22" x14ac:dyDescent="0.15">
      <c r="Q211" s="75" t="str">
        <f t="shared" si="10"/>
        <v/>
      </c>
      <c r="T211" s="16" t="str">
        <f t="shared" si="11"/>
        <v/>
      </c>
      <c r="V211" s="16" t="str">
        <f t="shared" si="12"/>
        <v/>
      </c>
    </row>
    <row r="212" spans="17:22" x14ac:dyDescent="0.15">
      <c r="Q212" s="75" t="str">
        <f t="shared" si="10"/>
        <v/>
      </c>
      <c r="T212" s="16" t="str">
        <f t="shared" si="11"/>
        <v/>
      </c>
      <c r="V212" s="16" t="str">
        <f t="shared" si="12"/>
        <v/>
      </c>
    </row>
    <row r="213" spans="17:22" x14ac:dyDescent="0.15">
      <c r="Q213" s="75" t="str">
        <f t="shared" si="10"/>
        <v/>
      </c>
      <c r="T213" s="16" t="str">
        <f t="shared" si="11"/>
        <v/>
      </c>
      <c r="V213" s="16" t="str">
        <f t="shared" si="12"/>
        <v/>
      </c>
    </row>
    <row r="214" spans="17:22" x14ac:dyDescent="0.15">
      <c r="Q214" s="75" t="str">
        <f t="shared" si="10"/>
        <v/>
      </c>
      <c r="T214" s="16" t="str">
        <f t="shared" si="11"/>
        <v/>
      </c>
      <c r="V214" s="16" t="str">
        <f t="shared" si="12"/>
        <v/>
      </c>
    </row>
    <row r="215" spans="17:22" x14ac:dyDescent="0.15">
      <c r="Q215" s="75" t="str">
        <f t="shared" si="10"/>
        <v/>
      </c>
      <c r="T215" s="16" t="str">
        <f t="shared" si="11"/>
        <v/>
      </c>
      <c r="V215" s="16" t="str">
        <f t="shared" si="12"/>
        <v/>
      </c>
    </row>
    <row r="216" spans="17:22" x14ac:dyDescent="0.15">
      <c r="Q216" s="75" t="str">
        <f t="shared" si="10"/>
        <v/>
      </c>
      <c r="T216" s="16" t="str">
        <f t="shared" si="11"/>
        <v/>
      </c>
      <c r="V216" s="16" t="str">
        <f t="shared" si="12"/>
        <v/>
      </c>
    </row>
    <row r="217" spans="17:22" x14ac:dyDescent="0.15">
      <c r="Q217" s="75" t="str">
        <f t="shared" si="10"/>
        <v/>
      </c>
      <c r="T217" s="16" t="str">
        <f t="shared" si="11"/>
        <v/>
      </c>
      <c r="V217" s="16" t="str">
        <f t="shared" si="12"/>
        <v/>
      </c>
    </row>
    <row r="218" spans="17:22" x14ac:dyDescent="0.15">
      <c r="Q218" s="75" t="str">
        <f t="shared" si="10"/>
        <v/>
      </c>
      <c r="T218" s="16" t="str">
        <f t="shared" si="11"/>
        <v/>
      </c>
      <c r="V218" s="16" t="str">
        <f t="shared" si="12"/>
        <v/>
      </c>
    </row>
    <row r="219" spans="17:22" x14ac:dyDescent="0.15">
      <c r="Q219" s="75" t="str">
        <f t="shared" si="10"/>
        <v/>
      </c>
      <c r="T219" s="16" t="str">
        <f t="shared" si="11"/>
        <v/>
      </c>
      <c r="V219" s="16" t="str">
        <f t="shared" si="12"/>
        <v/>
      </c>
    </row>
    <row r="220" spans="17:22" x14ac:dyDescent="0.15">
      <c r="Q220" s="75" t="str">
        <f t="shared" si="10"/>
        <v/>
      </c>
      <c r="T220" s="16" t="str">
        <f t="shared" si="11"/>
        <v/>
      </c>
      <c r="V220" s="16" t="str">
        <f t="shared" si="12"/>
        <v/>
      </c>
    </row>
    <row r="221" spans="17:22" x14ac:dyDescent="0.15">
      <c r="Q221" s="75" t="str">
        <f t="shared" si="10"/>
        <v/>
      </c>
      <c r="T221" s="16" t="str">
        <f t="shared" si="11"/>
        <v/>
      </c>
      <c r="V221" s="16" t="str">
        <f t="shared" si="12"/>
        <v/>
      </c>
    </row>
    <row r="222" spans="17:22" x14ac:dyDescent="0.15">
      <c r="Q222" s="75" t="str">
        <f t="shared" si="10"/>
        <v/>
      </c>
      <c r="T222" s="16" t="str">
        <f t="shared" si="11"/>
        <v/>
      </c>
      <c r="V222" s="16" t="str">
        <f t="shared" si="12"/>
        <v/>
      </c>
    </row>
    <row r="223" spans="17:22" x14ac:dyDescent="0.15">
      <c r="Q223" s="75" t="str">
        <f t="shared" si="10"/>
        <v/>
      </c>
      <c r="T223" s="16" t="str">
        <f t="shared" si="11"/>
        <v/>
      </c>
      <c r="V223" s="16" t="str">
        <f t="shared" si="12"/>
        <v/>
      </c>
    </row>
    <row r="224" spans="17:22" x14ac:dyDescent="0.15">
      <c r="Q224" s="75" t="str">
        <f t="shared" si="10"/>
        <v/>
      </c>
      <c r="T224" s="16" t="str">
        <f t="shared" si="11"/>
        <v/>
      </c>
      <c r="V224" s="16" t="str">
        <f t="shared" si="12"/>
        <v/>
      </c>
    </row>
    <row r="225" spans="17:22" x14ac:dyDescent="0.15">
      <c r="Q225" s="75" t="str">
        <f t="shared" si="10"/>
        <v/>
      </c>
      <c r="T225" s="16" t="str">
        <f t="shared" si="11"/>
        <v/>
      </c>
      <c r="V225" s="16" t="str">
        <f t="shared" si="12"/>
        <v/>
      </c>
    </row>
    <row r="226" spans="17:22" x14ac:dyDescent="0.15">
      <c r="Q226" s="75" t="str">
        <f t="shared" si="10"/>
        <v/>
      </c>
      <c r="T226" s="16" t="str">
        <f t="shared" si="11"/>
        <v/>
      </c>
      <c r="V226" s="16" t="str">
        <f t="shared" si="12"/>
        <v/>
      </c>
    </row>
    <row r="227" spans="17:22" x14ac:dyDescent="0.15">
      <c r="Q227" s="75" t="str">
        <f t="shared" si="10"/>
        <v/>
      </c>
      <c r="T227" s="16" t="str">
        <f t="shared" si="11"/>
        <v/>
      </c>
      <c r="V227" s="16" t="str">
        <f t="shared" si="12"/>
        <v/>
      </c>
    </row>
    <row r="228" spans="17:22" x14ac:dyDescent="0.15">
      <c r="Q228" s="75" t="str">
        <f t="shared" si="10"/>
        <v/>
      </c>
      <c r="T228" s="16" t="str">
        <f t="shared" si="11"/>
        <v/>
      </c>
      <c r="V228" s="16" t="str">
        <f t="shared" si="12"/>
        <v/>
      </c>
    </row>
    <row r="229" spans="17:22" x14ac:dyDescent="0.15">
      <c r="Q229" s="75" t="str">
        <f t="shared" si="10"/>
        <v/>
      </c>
      <c r="T229" s="16" t="str">
        <f t="shared" si="11"/>
        <v/>
      </c>
      <c r="V229" s="16" t="str">
        <f t="shared" si="12"/>
        <v/>
      </c>
    </row>
    <row r="230" spans="17:22" x14ac:dyDescent="0.15">
      <c r="Q230" s="75" t="str">
        <f t="shared" si="10"/>
        <v/>
      </c>
      <c r="T230" s="16" t="str">
        <f t="shared" si="11"/>
        <v/>
      </c>
      <c r="V230" s="16" t="str">
        <f t="shared" si="12"/>
        <v/>
      </c>
    </row>
    <row r="231" spans="17:22" x14ac:dyDescent="0.15">
      <c r="Q231" s="75" t="str">
        <f t="shared" si="10"/>
        <v/>
      </c>
      <c r="T231" s="16" t="str">
        <f t="shared" si="11"/>
        <v/>
      </c>
      <c r="V231" s="16" t="str">
        <f t="shared" si="12"/>
        <v/>
      </c>
    </row>
    <row r="232" spans="17:22" x14ac:dyDescent="0.15">
      <c r="Q232" s="75" t="str">
        <f t="shared" si="10"/>
        <v/>
      </c>
      <c r="T232" s="16" t="str">
        <f t="shared" si="11"/>
        <v/>
      </c>
      <c r="V232" s="16" t="str">
        <f t="shared" si="12"/>
        <v/>
      </c>
    </row>
    <row r="233" spans="17:22" x14ac:dyDescent="0.15">
      <c r="Q233" s="75" t="str">
        <f t="shared" si="10"/>
        <v/>
      </c>
      <c r="T233" s="16" t="str">
        <f t="shared" si="11"/>
        <v/>
      </c>
      <c r="V233" s="16" t="str">
        <f t="shared" si="12"/>
        <v/>
      </c>
    </row>
    <row r="234" spans="17:22" x14ac:dyDescent="0.15">
      <c r="Q234" s="75" t="str">
        <f t="shared" si="10"/>
        <v/>
      </c>
      <c r="T234" s="16" t="str">
        <f t="shared" si="11"/>
        <v/>
      </c>
      <c r="V234" s="16" t="str">
        <f t="shared" si="12"/>
        <v/>
      </c>
    </row>
    <row r="235" spans="17:22" x14ac:dyDescent="0.15">
      <c r="Q235" s="75" t="str">
        <f t="shared" si="10"/>
        <v/>
      </c>
      <c r="T235" s="16" t="str">
        <f t="shared" si="11"/>
        <v/>
      </c>
      <c r="V235" s="16" t="str">
        <f t="shared" si="12"/>
        <v/>
      </c>
    </row>
    <row r="236" spans="17:22" x14ac:dyDescent="0.15">
      <c r="Q236" s="75" t="str">
        <f t="shared" ref="Q236:Q294" si="13">IF(OR(O236="",P236=""),"",AVERAGE(O236,P236))</f>
        <v/>
      </c>
      <c r="T236" s="16" t="str">
        <f t="shared" si="11"/>
        <v/>
      </c>
      <c r="V236" s="16" t="str">
        <f t="shared" si="12"/>
        <v/>
      </c>
    </row>
    <row r="237" spans="17:22" x14ac:dyDescent="0.15">
      <c r="Q237" s="75" t="str">
        <f t="shared" si="13"/>
        <v/>
      </c>
      <c r="T237" s="16" t="str">
        <f t="shared" si="11"/>
        <v/>
      </c>
      <c r="V237" s="16" t="str">
        <f t="shared" si="12"/>
        <v/>
      </c>
    </row>
    <row r="238" spans="17:22" x14ac:dyDescent="0.15">
      <c r="Q238" s="75" t="str">
        <f t="shared" si="13"/>
        <v/>
      </c>
      <c r="T238" s="16" t="str">
        <f t="shared" si="11"/>
        <v/>
      </c>
      <c r="V238" s="16" t="str">
        <f t="shared" si="12"/>
        <v/>
      </c>
    </row>
    <row r="239" spans="17:22" x14ac:dyDescent="0.15">
      <c r="Q239" s="75" t="str">
        <f t="shared" si="13"/>
        <v/>
      </c>
      <c r="T239" s="16" t="str">
        <f t="shared" si="11"/>
        <v/>
      </c>
      <c r="V239" s="16" t="str">
        <f t="shared" si="12"/>
        <v/>
      </c>
    </row>
    <row r="240" spans="17:22" x14ac:dyDescent="0.15">
      <c r="Q240" s="75" t="str">
        <f t="shared" si="13"/>
        <v/>
      </c>
      <c r="T240" s="16" t="str">
        <f t="shared" si="11"/>
        <v/>
      </c>
      <c r="V240" s="16" t="str">
        <f t="shared" si="12"/>
        <v/>
      </c>
    </row>
    <row r="241" spans="17:22" x14ac:dyDescent="0.15">
      <c r="Q241" s="75" t="str">
        <f t="shared" si="13"/>
        <v/>
      </c>
      <c r="T241" s="16" t="str">
        <f t="shared" si="11"/>
        <v/>
      </c>
      <c r="V241" s="16" t="str">
        <f t="shared" si="12"/>
        <v/>
      </c>
    </row>
    <row r="242" spans="17:22" x14ac:dyDescent="0.15">
      <c r="Q242" s="75" t="str">
        <f t="shared" si="13"/>
        <v/>
      </c>
      <c r="T242" s="16" t="str">
        <f t="shared" si="11"/>
        <v/>
      </c>
      <c r="V242" s="16" t="str">
        <f t="shared" si="12"/>
        <v/>
      </c>
    </row>
    <row r="243" spans="17:22" x14ac:dyDescent="0.15">
      <c r="Q243" s="75" t="str">
        <f t="shared" si="13"/>
        <v/>
      </c>
      <c r="T243" s="16" t="str">
        <f t="shared" si="11"/>
        <v/>
      </c>
      <c r="V243" s="16" t="str">
        <f t="shared" si="12"/>
        <v/>
      </c>
    </row>
    <row r="244" spans="17:22" x14ac:dyDescent="0.15">
      <c r="Q244" s="75" t="str">
        <f t="shared" si="13"/>
        <v/>
      </c>
      <c r="T244" s="16" t="str">
        <f t="shared" si="11"/>
        <v/>
      </c>
      <c r="V244" s="16" t="str">
        <f t="shared" si="12"/>
        <v/>
      </c>
    </row>
    <row r="245" spans="17:22" x14ac:dyDescent="0.15">
      <c r="Q245" s="75" t="str">
        <f t="shared" si="13"/>
        <v/>
      </c>
      <c r="T245" s="16" t="str">
        <f t="shared" si="11"/>
        <v/>
      </c>
      <c r="V245" s="16" t="str">
        <f t="shared" si="12"/>
        <v/>
      </c>
    </row>
    <row r="246" spans="17:22" x14ac:dyDescent="0.15">
      <c r="Q246" s="75" t="str">
        <f t="shared" si="13"/>
        <v/>
      </c>
      <c r="T246" s="16" t="str">
        <f t="shared" si="11"/>
        <v/>
      </c>
      <c r="V246" s="16" t="str">
        <f t="shared" si="12"/>
        <v/>
      </c>
    </row>
    <row r="247" spans="17:22" x14ac:dyDescent="0.15">
      <c r="Q247" s="75" t="str">
        <f t="shared" si="13"/>
        <v/>
      </c>
      <c r="T247" s="16" t="str">
        <f t="shared" si="11"/>
        <v/>
      </c>
      <c r="V247" s="16" t="str">
        <f t="shared" si="12"/>
        <v/>
      </c>
    </row>
    <row r="248" spans="17:22" x14ac:dyDescent="0.15">
      <c r="Q248" s="75" t="str">
        <f t="shared" si="13"/>
        <v/>
      </c>
      <c r="T248" s="16" t="str">
        <f t="shared" si="11"/>
        <v/>
      </c>
      <c r="V248" s="16" t="str">
        <f t="shared" si="12"/>
        <v/>
      </c>
    </row>
    <row r="249" spans="17:22" x14ac:dyDescent="0.15">
      <c r="Q249" s="75" t="str">
        <f t="shared" si="13"/>
        <v/>
      </c>
      <c r="T249" s="16" t="str">
        <f t="shared" si="11"/>
        <v/>
      </c>
      <c r="V249" s="16" t="str">
        <f t="shared" si="12"/>
        <v/>
      </c>
    </row>
    <row r="250" spans="17:22" x14ac:dyDescent="0.15">
      <c r="Q250" s="75" t="str">
        <f t="shared" si="13"/>
        <v/>
      </c>
      <c r="T250" s="16" t="str">
        <f t="shared" si="11"/>
        <v/>
      </c>
      <c r="V250" s="16" t="str">
        <f t="shared" si="12"/>
        <v/>
      </c>
    </row>
    <row r="251" spans="17:22" x14ac:dyDescent="0.15">
      <c r="Q251" s="75" t="str">
        <f t="shared" si="13"/>
        <v/>
      </c>
      <c r="T251" s="16" t="str">
        <f t="shared" si="11"/>
        <v/>
      </c>
      <c r="V251" s="16" t="str">
        <f t="shared" si="12"/>
        <v/>
      </c>
    </row>
    <row r="252" spans="17:22" x14ac:dyDescent="0.15">
      <c r="Q252" s="75" t="str">
        <f t="shared" si="13"/>
        <v/>
      </c>
      <c r="T252" s="16" t="str">
        <f t="shared" si="11"/>
        <v/>
      </c>
      <c r="V252" s="16" t="str">
        <f t="shared" si="12"/>
        <v/>
      </c>
    </row>
    <row r="253" spans="17:22" x14ac:dyDescent="0.15">
      <c r="Q253" s="75" t="str">
        <f t="shared" si="13"/>
        <v/>
      </c>
      <c r="T253" s="16" t="str">
        <f t="shared" si="11"/>
        <v/>
      </c>
      <c r="V253" s="16" t="str">
        <f t="shared" si="12"/>
        <v/>
      </c>
    </row>
    <row r="254" spans="17:22" x14ac:dyDescent="0.15">
      <c r="Q254" s="75" t="str">
        <f t="shared" si="13"/>
        <v/>
      </c>
      <c r="T254" s="16" t="str">
        <f t="shared" si="11"/>
        <v/>
      </c>
      <c r="V254" s="16" t="str">
        <f t="shared" si="12"/>
        <v/>
      </c>
    </row>
    <row r="255" spans="17:22" x14ac:dyDescent="0.15">
      <c r="Q255" s="75" t="str">
        <f t="shared" si="13"/>
        <v/>
      </c>
      <c r="T255" s="16" t="str">
        <f t="shared" si="11"/>
        <v/>
      </c>
      <c r="V255" s="16" t="str">
        <f t="shared" si="12"/>
        <v/>
      </c>
    </row>
    <row r="256" spans="17:22" x14ac:dyDescent="0.15">
      <c r="Q256" s="75" t="str">
        <f t="shared" si="13"/>
        <v/>
      </c>
      <c r="T256" s="16" t="str">
        <f t="shared" si="11"/>
        <v/>
      </c>
      <c r="V256" s="16" t="str">
        <f t="shared" si="12"/>
        <v/>
      </c>
    </row>
    <row r="257" spans="17:22" x14ac:dyDescent="0.15">
      <c r="Q257" s="75" t="str">
        <f t="shared" si="13"/>
        <v/>
      </c>
      <c r="T257" s="16" t="str">
        <f t="shared" si="11"/>
        <v/>
      </c>
      <c r="V257" s="16" t="str">
        <f t="shared" si="12"/>
        <v/>
      </c>
    </row>
    <row r="258" spans="17:22" x14ac:dyDescent="0.15">
      <c r="Q258" s="75" t="str">
        <f t="shared" si="13"/>
        <v/>
      </c>
      <c r="T258" s="16" t="str">
        <f t="shared" ref="T258:T317" si="14">IF(H258="","",IF(OR(H258="GREEN",H258="GK"),IF(S258&gt;=$AX$2,VLOOKUP(S258,$AX$2:$AY$10,2,1),""),IF(S258&gt;=$AZ$2,VLOOKUP(S258,$AZ$2:$BA$10,2,1),"")))</f>
        <v/>
      </c>
      <c r="V258" s="16" t="str">
        <f t="shared" si="12"/>
        <v/>
      </c>
    </row>
    <row r="259" spans="17:22" x14ac:dyDescent="0.15">
      <c r="Q259" s="75" t="str">
        <f t="shared" si="13"/>
        <v/>
      </c>
      <c r="T259" s="16" t="str">
        <f t="shared" si="14"/>
        <v/>
      </c>
      <c r="V259" s="16" t="str">
        <f t="shared" si="12"/>
        <v/>
      </c>
    </row>
    <row r="260" spans="17:22" x14ac:dyDescent="0.15">
      <c r="Q260" s="75" t="str">
        <f t="shared" si="13"/>
        <v/>
      </c>
      <c r="T260" s="16" t="str">
        <f t="shared" si="14"/>
        <v/>
      </c>
      <c r="V260" s="16" t="str">
        <f t="shared" si="12"/>
        <v/>
      </c>
    </row>
    <row r="261" spans="17:22" x14ac:dyDescent="0.15">
      <c r="Q261" s="75" t="str">
        <f t="shared" si="13"/>
        <v/>
      </c>
      <c r="T261" s="16" t="str">
        <f t="shared" si="14"/>
        <v/>
      </c>
      <c r="V261" s="16" t="str">
        <f t="shared" si="12"/>
        <v/>
      </c>
    </row>
    <row r="262" spans="17:22" x14ac:dyDescent="0.15">
      <c r="Q262" s="75" t="str">
        <f t="shared" si="13"/>
        <v/>
      </c>
      <c r="T262" s="16" t="str">
        <f t="shared" si="14"/>
        <v/>
      </c>
      <c r="V262" s="16" t="str">
        <f t="shared" si="12"/>
        <v/>
      </c>
    </row>
    <row r="263" spans="17:22" x14ac:dyDescent="0.15">
      <c r="Q263" s="75" t="str">
        <f t="shared" si="13"/>
        <v/>
      </c>
      <c r="T263" s="16" t="str">
        <f t="shared" si="14"/>
        <v/>
      </c>
      <c r="V263" s="16" t="str">
        <f t="shared" si="12"/>
        <v/>
      </c>
    </row>
    <row r="264" spans="17:22" x14ac:dyDescent="0.15">
      <c r="Q264" s="75" t="str">
        <f t="shared" si="13"/>
        <v/>
      </c>
      <c r="T264" s="16" t="str">
        <f t="shared" si="14"/>
        <v/>
      </c>
      <c r="V264" s="16" t="str">
        <f t="shared" si="12"/>
        <v/>
      </c>
    </row>
    <row r="265" spans="17:22" x14ac:dyDescent="0.15">
      <c r="Q265" s="75" t="str">
        <f t="shared" si="13"/>
        <v/>
      </c>
      <c r="T265" s="16" t="str">
        <f t="shared" si="14"/>
        <v/>
      </c>
      <c r="V265" s="16" t="str">
        <f t="shared" si="12"/>
        <v/>
      </c>
    </row>
    <row r="266" spans="17:22" x14ac:dyDescent="0.15">
      <c r="Q266" s="75" t="str">
        <f t="shared" si="13"/>
        <v/>
      </c>
      <c r="T266" s="16" t="str">
        <f t="shared" si="14"/>
        <v/>
      </c>
      <c r="V266" s="16" t="str">
        <f t="shared" si="12"/>
        <v/>
      </c>
    </row>
    <row r="267" spans="17:22" x14ac:dyDescent="0.15">
      <c r="Q267" s="75" t="str">
        <f t="shared" si="13"/>
        <v/>
      </c>
      <c r="T267" s="16" t="str">
        <f t="shared" si="14"/>
        <v/>
      </c>
      <c r="V267" s="16" t="str">
        <f t="shared" si="12"/>
        <v/>
      </c>
    </row>
    <row r="268" spans="17:22" x14ac:dyDescent="0.15">
      <c r="Q268" s="75" t="str">
        <f t="shared" si="13"/>
        <v/>
      </c>
      <c r="T268" s="16" t="str">
        <f t="shared" si="14"/>
        <v/>
      </c>
      <c r="V268" s="16" t="str">
        <f t="shared" si="12"/>
        <v/>
      </c>
    </row>
    <row r="269" spans="17:22" x14ac:dyDescent="0.15">
      <c r="Q269" s="75" t="str">
        <f t="shared" si="13"/>
        <v/>
      </c>
      <c r="T269" s="16" t="str">
        <f t="shared" si="14"/>
        <v/>
      </c>
      <c r="V269" s="16" t="str">
        <f t="shared" ref="V269:V332" si="15">IF(OR(N269="",U269="",T269=""),"",U269/N269*T269)</f>
        <v/>
      </c>
    </row>
    <row r="270" spans="17:22" x14ac:dyDescent="0.15">
      <c r="Q270" s="75" t="str">
        <f t="shared" si="13"/>
        <v/>
      </c>
      <c r="T270" s="16" t="str">
        <f t="shared" si="14"/>
        <v/>
      </c>
      <c r="V270" s="16" t="str">
        <f t="shared" si="15"/>
        <v/>
      </c>
    </row>
    <row r="271" spans="17:22" x14ac:dyDescent="0.15">
      <c r="Q271" s="75" t="str">
        <f t="shared" si="13"/>
        <v/>
      </c>
      <c r="T271" s="16" t="str">
        <f t="shared" si="14"/>
        <v/>
      </c>
      <c r="V271" s="16" t="str">
        <f t="shared" si="15"/>
        <v/>
      </c>
    </row>
    <row r="272" spans="17:22" x14ac:dyDescent="0.15">
      <c r="Q272" s="75" t="str">
        <f t="shared" si="13"/>
        <v/>
      </c>
      <c r="T272" s="16" t="str">
        <f t="shared" si="14"/>
        <v/>
      </c>
      <c r="V272" s="16" t="str">
        <f t="shared" si="15"/>
        <v/>
      </c>
    </row>
    <row r="273" spans="17:22" x14ac:dyDescent="0.15">
      <c r="Q273" s="75" t="str">
        <f t="shared" si="13"/>
        <v/>
      </c>
      <c r="T273" s="16" t="str">
        <f t="shared" si="14"/>
        <v/>
      </c>
      <c r="V273" s="16" t="str">
        <f t="shared" si="15"/>
        <v/>
      </c>
    </row>
    <row r="274" spans="17:22" x14ac:dyDescent="0.15">
      <c r="Q274" s="75" t="str">
        <f t="shared" si="13"/>
        <v/>
      </c>
      <c r="T274" s="16" t="str">
        <f t="shared" si="14"/>
        <v/>
      </c>
      <c r="V274" s="16" t="str">
        <f t="shared" si="15"/>
        <v/>
      </c>
    </row>
    <row r="275" spans="17:22" x14ac:dyDescent="0.15">
      <c r="Q275" s="75" t="str">
        <f t="shared" si="13"/>
        <v/>
      </c>
      <c r="T275" s="16" t="str">
        <f t="shared" si="14"/>
        <v/>
      </c>
      <c r="V275" s="16" t="str">
        <f t="shared" si="15"/>
        <v/>
      </c>
    </row>
    <row r="276" spans="17:22" x14ac:dyDescent="0.15">
      <c r="Q276" s="75" t="str">
        <f t="shared" si="13"/>
        <v/>
      </c>
      <c r="T276" s="16" t="str">
        <f t="shared" si="14"/>
        <v/>
      </c>
      <c r="V276" s="16" t="str">
        <f t="shared" si="15"/>
        <v/>
      </c>
    </row>
    <row r="277" spans="17:22" x14ac:dyDescent="0.15">
      <c r="Q277" s="75" t="str">
        <f t="shared" si="13"/>
        <v/>
      </c>
      <c r="T277" s="16" t="str">
        <f t="shared" si="14"/>
        <v/>
      </c>
      <c r="V277" s="16" t="str">
        <f t="shared" si="15"/>
        <v/>
      </c>
    </row>
    <row r="278" spans="17:22" x14ac:dyDescent="0.15">
      <c r="Q278" s="75" t="str">
        <f t="shared" si="13"/>
        <v/>
      </c>
      <c r="T278" s="16" t="str">
        <f t="shared" si="14"/>
        <v/>
      </c>
      <c r="V278" s="16" t="str">
        <f t="shared" si="15"/>
        <v/>
      </c>
    </row>
    <row r="279" spans="17:22" x14ac:dyDescent="0.15">
      <c r="Q279" s="75" t="str">
        <f t="shared" si="13"/>
        <v/>
      </c>
      <c r="T279" s="16" t="str">
        <f t="shared" si="14"/>
        <v/>
      </c>
      <c r="V279" s="16" t="str">
        <f t="shared" si="15"/>
        <v/>
      </c>
    </row>
    <row r="280" spans="17:22" x14ac:dyDescent="0.15">
      <c r="Q280" s="75" t="str">
        <f t="shared" si="13"/>
        <v/>
      </c>
      <c r="T280" s="16" t="str">
        <f t="shared" si="14"/>
        <v/>
      </c>
      <c r="V280" s="16" t="str">
        <f t="shared" si="15"/>
        <v/>
      </c>
    </row>
    <row r="281" spans="17:22" x14ac:dyDescent="0.15">
      <c r="Q281" s="75" t="str">
        <f t="shared" si="13"/>
        <v/>
      </c>
      <c r="T281" s="16" t="str">
        <f t="shared" si="14"/>
        <v/>
      </c>
      <c r="V281" s="16" t="str">
        <f t="shared" si="15"/>
        <v/>
      </c>
    </row>
    <row r="282" spans="17:22" x14ac:dyDescent="0.15">
      <c r="Q282" s="75" t="str">
        <f t="shared" si="13"/>
        <v/>
      </c>
      <c r="T282" s="16" t="str">
        <f t="shared" si="14"/>
        <v/>
      </c>
      <c r="V282" s="16" t="str">
        <f t="shared" si="15"/>
        <v/>
      </c>
    </row>
    <row r="283" spans="17:22" x14ac:dyDescent="0.15">
      <c r="Q283" s="75" t="str">
        <f t="shared" si="13"/>
        <v/>
      </c>
      <c r="T283" s="16" t="str">
        <f t="shared" si="14"/>
        <v/>
      </c>
      <c r="V283" s="16" t="str">
        <f t="shared" si="15"/>
        <v/>
      </c>
    </row>
    <row r="284" spans="17:22" x14ac:dyDescent="0.15">
      <c r="Q284" s="75" t="str">
        <f t="shared" si="13"/>
        <v/>
      </c>
      <c r="T284" s="16" t="str">
        <f t="shared" si="14"/>
        <v/>
      </c>
      <c r="V284" s="16" t="str">
        <f t="shared" si="15"/>
        <v/>
      </c>
    </row>
    <row r="285" spans="17:22" x14ac:dyDescent="0.15">
      <c r="Q285" s="75" t="str">
        <f t="shared" si="13"/>
        <v/>
      </c>
      <c r="T285" s="16" t="str">
        <f t="shared" si="14"/>
        <v/>
      </c>
      <c r="V285" s="16" t="str">
        <f t="shared" si="15"/>
        <v/>
      </c>
    </row>
    <row r="286" spans="17:22" x14ac:dyDescent="0.15">
      <c r="Q286" s="75" t="str">
        <f t="shared" si="13"/>
        <v/>
      </c>
      <c r="T286" s="16" t="str">
        <f t="shared" si="14"/>
        <v/>
      </c>
      <c r="V286" s="16" t="str">
        <f t="shared" si="15"/>
        <v/>
      </c>
    </row>
    <row r="287" spans="17:22" x14ac:dyDescent="0.15">
      <c r="Q287" s="75" t="str">
        <f t="shared" si="13"/>
        <v/>
      </c>
      <c r="T287" s="16" t="str">
        <f t="shared" si="14"/>
        <v/>
      </c>
      <c r="V287" s="16" t="str">
        <f t="shared" si="15"/>
        <v/>
      </c>
    </row>
    <row r="288" spans="17:22" x14ac:dyDescent="0.15">
      <c r="Q288" s="75" t="str">
        <f t="shared" si="13"/>
        <v/>
      </c>
      <c r="T288" s="16" t="str">
        <f t="shared" si="14"/>
        <v/>
      </c>
      <c r="V288" s="16" t="str">
        <f t="shared" si="15"/>
        <v/>
      </c>
    </row>
    <row r="289" spans="17:22" x14ac:dyDescent="0.15">
      <c r="Q289" s="75" t="str">
        <f t="shared" si="13"/>
        <v/>
      </c>
      <c r="T289" s="16" t="str">
        <f t="shared" si="14"/>
        <v/>
      </c>
      <c r="V289" s="16" t="str">
        <f t="shared" si="15"/>
        <v/>
      </c>
    </row>
    <row r="290" spans="17:22" x14ac:dyDescent="0.15">
      <c r="T290" s="16" t="str">
        <f t="shared" si="14"/>
        <v/>
      </c>
      <c r="V290" s="16" t="str">
        <f t="shared" si="15"/>
        <v/>
      </c>
    </row>
    <row r="291" spans="17:22" x14ac:dyDescent="0.15">
      <c r="T291" s="16" t="str">
        <f t="shared" si="14"/>
        <v/>
      </c>
      <c r="V291" s="16" t="str">
        <f t="shared" si="15"/>
        <v/>
      </c>
    </row>
    <row r="292" spans="17:22" x14ac:dyDescent="0.15">
      <c r="T292" s="16" t="str">
        <f t="shared" si="14"/>
        <v/>
      </c>
      <c r="V292" s="16" t="str">
        <f t="shared" si="15"/>
        <v/>
      </c>
    </row>
    <row r="293" spans="17:22" x14ac:dyDescent="0.15">
      <c r="T293" s="16" t="str">
        <f t="shared" si="14"/>
        <v/>
      </c>
      <c r="V293" s="16" t="str">
        <f t="shared" si="15"/>
        <v/>
      </c>
    </row>
    <row r="294" spans="17:22" x14ac:dyDescent="0.15">
      <c r="T294" s="16" t="str">
        <f t="shared" si="14"/>
        <v/>
      </c>
      <c r="V294" s="16" t="str">
        <f t="shared" si="15"/>
        <v/>
      </c>
    </row>
    <row r="295" spans="17:22" x14ac:dyDescent="0.15">
      <c r="T295" s="16" t="str">
        <f t="shared" si="14"/>
        <v/>
      </c>
      <c r="V295" s="16" t="str">
        <f t="shared" si="15"/>
        <v/>
      </c>
    </row>
    <row r="296" spans="17:22" x14ac:dyDescent="0.15">
      <c r="T296" s="16" t="str">
        <f t="shared" si="14"/>
        <v/>
      </c>
      <c r="V296" s="16" t="str">
        <f t="shared" si="15"/>
        <v/>
      </c>
    </row>
    <row r="297" spans="17:22" x14ac:dyDescent="0.15">
      <c r="T297" s="16" t="str">
        <f t="shared" si="14"/>
        <v/>
      </c>
      <c r="V297" s="16" t="str">
        <f t="shared" si="15"/>
        <v/>
      </c>
    </row>
    <row r="298" spans="17:22" x14ac:dyDescent="0.15">
      <c r="T298" s="16" t="str">
        <f t="shared" si="14"/>
        <v/>
      </c>
    </row>
    <row r="299" spans="17:22" x14ac:dyDescent="0.15">
      <c r="T299" s="16" t="str">
        <f t="shared" si="14"/>
        <v/>
      </c>
    </row>
    <row r="300" spans="17:22" x14ac:dyDescent="0.15">
      <c r="T300" s="16" t="str">
        <f t="shared" si="14"/>
        <v/>
      </c>
    </row>
    <row r="301" spans="17:22" x14ac:dyDescent="0.15">
      <c r="T301" s="16" t="str">
        <f t="shared" si="14"/>
        <v/>
      </c>
    </row>
    <row r="302" spans="17:22" x14ac:dyDescent="0.15">
      <c r="T302" s="16" t="str">
        <f t="shared" si="14"/>
        <v/>
      </c>
    </row>
    <row r="303" spans="17:22" x14ac:dyDescent="0.15">
      <c r="T303" s="16" t="str">
        <f t="shared" si="14"/>
        <v/>
      </c>
    </row>
    <row r="304" spans="17:22" x14ac:dyDescent="0.15">
      <c r="T304" s="16" t="str">
        <f t="shared" si="14"/>
        <v/>
      </c>
    </row>
    <row r="305" spans="20:20" x14ac:dyDescent="0.15">
      <c r="T305" s="16" t="str">
        <f t="shared" si="14"/>
        <v/>
      </c>
    </row>
    <row r="306" spans="20:20" x14ac:dyDescent="0.15">
      <c r="T306" s="16" t="str">
        <f t="shared" si="14"/>
        <v/>
      </c>
    </row>
    <row r="307" spans="20:20" x14ac:dyDescent="0.15">
      <c r="T307" s="16" t="str">
        <f t="shared" si="14"/>
        <v/>
      </c>
    </row>
    <row r="308" spans="20:20" x14ac:dyDescent="0.15">
      <c r="T308" s="16" t="str">
        <f t="shared" si="14"/>
        <v/>
      </c>
    </row>
    <row r="309" spans="20:20" x14ac:dyDescent="0.15">
      <c r="T309" s="16" t="str">
        <f t="shared" si="14"/>
        <v/>
      </c>
    </row>
    <row r="310" spans="20:20" x14ac:dyDescent="0.15">
      <c r="T310" s="16" t="str">
        <f t="shared" si="14"/>
        <v/>
      </c>
    </row>
    <row r="311" spans="20:20" x14ac:dyDescent="0.15">
      <c r="T311" s="16" t="str">
        <f t="shared" si="14"/>
        <v/>
      </c>
    </row>
    <row r="312" spans="20:20" x14ac:dyDescent="0.15">
      <c r="T312" s="16" t="str">
        <f t="shared" si="14"/>
        <v/>
      </c>
    </row>
    <row r="313" spans="20:20" x14ac:dyDescent="0.15">
      <c r="T313" s="16" t="str">
        <f t="shared" si="14"/>
        <v/>
      </c>
    </row>
    <row r="314" spans="20:20" x14ac:dyDescent="0.15">
      <c r="T314" s="16" t="str">
        <f t="shared" si="14"/>
        <v/>
      </c>
    </row>
    <row r="315" spans="20:20" x14ac:dyDescent="0.15">
      <c r="T315" s="16" t="str">
        <f t="shared" si="14"/>
        <v/>
      </c>
    </row>
    <row r="316" spans="20:20" x14ac:dyDescent="0.15">
      <c r="T316" s="16" t="str">
        <f t="shared" si="14"/>
        <v/>
      </c>
    </row>
    <row r="317" spans="20:20" x14ac:dyDescent="0.15">
      <c r="T317" s="16" t="str">
        <f t="shared" si="14"/>
        <v/>
      </c>
    </row>
  </sheetData>
  <autoFilter ref="A1:BA317" xr:uid="{00000000-0009-0000-0000-000001000000}"/>
  <phoneticPr fontId="3"/>
  <dataValidations count="14">
    <dataValidation type="list" allowBlank="1" showInputMessage="1" showErrorMessage="1" sqref="X2:X273" xr:uid="{E2A3403A-44F7-45B8-BDE1-F04E8F037366}">
      <formula1>$AT$2:$AT$3</formula1>
    </dataValidation>
    <dataValidation type="decimal" allowBlank="1" showInputMessage="1" showErrorMessage="1" error="硬度を正しく入力して下さい。" sqref="O2:P273" xr:uid="{F0EE41B7-F2F2-4A0F-A475-BE3B06EEC12A}">
      <formula1>0</formula1>
      <formula2>7</formula2>
    </dataValidation>
    <dataValidation type="list" allowBlank="1" showInputMessage="1" showErrorMessage="1" sqref="H2:H273" xr:uid="{3E099730-97C2-4904-8E32-353B3A3ED1F0}">
      <formula1>$AL$2:$AL$8</formula1>
    </dataValidation>
    <dataValidation type="list" allowBlank="1" showInputMessage="1" showErrorMessage="1" sqref="G2:G273" xr:uid="{A4321DB1-FB0E-4B01-AE1E-BBDDBB146256}">
      <formula1>$AJ$2:$AJ$4</formula1>
    </dataValidation>
    <dataValidation type="list" allowBlank="1" showInputMessage="1" showErrorMessage="1" sqref="I2:I273" xr:uid="{7A1E5E82-EB55-41B1-915B-B587C815F12C}">
      <formula1>$AN$5:$AN$6</formula1>
    </dataValidation>
    <dataValidation type="list" allowBlank="1" showInputMessage="1" showErrorMessage="1" sqref="E1:E65427" xr:uid="{20725D8D-527E-41EB-B5B6-5467F52051FF}">
      <formula1>$AG$2:$AG$11</formula1>
    </dataValidation>
    <dataValidation type="list" allowBlank="1" showInputMessage="1" showErrorMessage="1" sqref="J2:J273" xr:uid="{AEAD8D12-3275-48A0-B0E9-FA1D254B91F5}">
      <formula1>$AP$2:$AP$19</formula1>
    </dataValidation>
    <dataValidation type="list" allowBlank="1" showInputMessage="1" showErrorMessage="1" sqref="F1:F65427" xr:uid="{F5D2D4DE-EBA4-455E-91D9-01F88FB5A6C6}">
      <formula1>$AH$2:$AH$11</formula1>
    </dataValidation>
    <dataValidation type="list" allowBlank="1" showInputMessage="1" showErrorMessage="1" sqref="A2:A273" xr:uid="{4BF59BF2-73FE-493A-BD97-8DB33D81260C}">
      <formula1>$AE$2:$AE$16</formula1>
    </dataValidation>
    <dataValidation type="list" allowBlank="1" showInputMessage="1" showErrorMessage="1" sqref="Y2:AA97" xr:uid="{0BBE945B-6331-4495-BD54-832780E0D65D}">
      <formula1>$AV$2:$AV$23</formula1>
    </dataValidation>
    <dataValidation type="list" allowBlank="1" showInputMessage="1" showErrorMessage="1" sqref="K2:K97" xr:uid="{085C112D-4743-4ED8-AFA4-DF20265BEA6C}">
      <formula1>$AR$2:$AR$23</formula1>
    </dataValidation>
    <dataValidation allowBlank="1" showInputMessage="1" showErrorMessage="1" sqref="B2:B97" xr:uid="{815DF025-8267-428B-AAF7-DC39058E8AC1}"/>
    <dataValidation type="list" allowBlank="1" showInputMessage="1" showErrorMessage="1" sqref="Y98:AA273" xr:uid="{1790FEEA-3265-4096-B292-ABB0CB46E6D3}">
      <formula1>$AV$2:$AV$16</formula1>
    </dataValidation>
    <dataValidation type="list" allowBlank="1" showInputMessage="1" showErrorMessage="1" sqref="K98:K273" xr:uid="{5EB65F37-53AF-488B-BED9-0C7B19008492}">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67AF9-17AF-432E-90A1-E38728DAC2C0}">
  <dimension ref="A1:BA82"/>
  <sheetViews>
    <sheetView zoomScale="70" zoomScaleNormal="70" workbookViewId="0">
      <selection activeCell="AC30" sqref="AC30"/>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234</v>
      </c>
      <c r="C2" s="53">
        <v>2019</v>
      </c>
      <c r="D2" s="81" t="s">
        <v>235</v>
      </c>
      <c r="E2" s="53" t="s">
        <v>236</v>
      </c>
      <c r="F2" s="53" t="s">
        <v>237</v>
      </c>
      <c r="G2" s="53" t="s">
        <v>42</v>
      </c>
      <c r="H2" s="53" t="s">
        <v>164</v>
      </c>
      <c r="I2" s="53" t="s">
        <v>165</v>
      </c>
      <c r="J2" s="53" t="s">
        <v>38</v>
      </c>
      <c r="K2" s="53" t="s">
        <v>161</v>
      </c>
      <c r="L2" s="53">
        <v>1</v>
      </c>
      <c r="N2" s="53">
        <v>1</v>
      </c>
      <c r="O2" s="53">
        <v>0.7</v>
      </c>
      <c r="P2" s="53">
        <v>0.75</v>
      </c>
      <c r="Q2" s="75">
        <f t="shared" ref="Q2:Q55" si="0">IF(OR(O2="",P2=""),"",AVERAGE(O2,P2))</f>
        <v>0.72499999999999998</v>
      </c>
      <c r="R2" s="53">
        <v>14.4</v>
      </c>
      <c r="S2" s="53">
        <v>115</v>
      </c>
      <c r="T2" s="16">
        <f t="shared" ref="T2:T55" si="1">IF(H2="","",IF(OR(H2="GREEN",H2="GK"),IF(S2&gt;=$AX$2,VLOOKUP(S2,$AX$2:$AY$10,2,1),""),IF(S2&gt;=$AZ$2,VLOOKUP(S2,$AZ$2:$BA$10,2,1),"")))</f>
        <v>30</v>
      </c>
      <c r="U2" s="53">
        <v>161</v>
      </c>
      <c r="V2" s="16">
        <f t="shared" ref="V2:V55" si="2">IF(OR(N2="",U2="",T2=""),"",U2/N2*T2)</f>
        <v>4830</v>
      </c>
      <c r="W2" s="53">
        <v>2</v>
      </c>
      <c r="X2" s="53" t="s">
        <v>39</v>
      </c>
      <c r="Y2" s="53" t="s">
        <v>90</v>
      </c>
      <c r="Z2" s="53" t="s">
        <v>78</v>
      </c>
      <c r="AA2" s="53" t="s">
        <v>84</v>
      </c>
      <c r="AB2" s="53" t="s">
        <v>238</v>
      </c>
      <c r="AE2" s="64" t="s">
        <v>35</v>
      </c>
      <c r="AG2" s="23" t="s">
        <v>239</v>
      </c>
      <c r="AH2" s="82" t="s">
        <v>240</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234</v>
      </c>
      <c r="C3" s="53">
        <v>2019</v>
      </c>
      <c r="D3" s="81" t="s">
        <v>235</v>
      </c>
      <c r="E3" s="53" t="s">
        <v>236</v>
      </c>
      <c r="F3" s="53" t="s">
        <v>237</v>
      </c>
      <c r="G3" s="53" t="s">
        <v>42</v>
      </c>
      <c r="H3" s="53" t="s">
        <v>164</v>
      </c>
      <c r="I3" s="53" t="s">
        <v>165</v>
      </c>
      <c r="J3" s="53" t="s">
        <v>38</v>
      </c>
      <c r="K3" s="53" t="s">
        <v>161</v>
      </c>
      <c r="L3" s="53">
        <v>2</v>
      </c>
      <c r="N3" s="53">
        <v>1</v>
      </c>
      <c r="O3" s="53">
        <v>0.7</v>
      </c>
      <c r="P3" s="53">
        <v>0.8</v>
      </c>
      <c r="Q3" s="75">
        <f t="shared" si="0"/>
        <v>0.75</v>
      </c>
      <c r="R3" s="53">
        <v>15.7</v>
      </c>
      <c r="S3" s="53">
        <v>116</v>
      </c>
      <c r="T3" s="16">
        <f t="shared" si="1"/>
        <v>30</v>
      </c>
      <c r="U3" s="53">
        <v>161</v>
      </c>
      <c r="V3" s="16">
        <f t="shared" si="2"/>
        <v>4830</v>
      </c>
      <c r="W3" s="53">
        <v>2</v>
      </c>
      <c r="X3" s="53" t="s">
        <v>39</v>
      </c>
      <c r="Y3" s="53" t="s">
        <v>90</v>
      </c>
      <c r="Z3" s="53" t="s">
        <v>78</v>
      </c>
      <c r="AA3" s="53" t="s">
        <v>84</v>
      </c>
      <c r="AB3" s="53" t="s">
        <v>238</v>
      </c>
      <c r="AE3" s="22" t="s">
        <v>41</v>
      </c>
      <c r="AG3" s="23" t="s">
        <v>241</v>
      </c>
      <c r="AH3" s="82" t="s">
        <v>237</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234</v>
      </c>
      <c r="C4" s="53">
        <v>2019</v>
      </c>
      <c r="D4" s="81" t="s">
        <v>235</v>
      </c>
      <c r="E4" s="53" t="s">
        <v>236</v>
      </c>
      <c r="F4" s="53" t="s">
        <v>237</v>
      </c>
      <c r="G4" s="53" t="s">
        <v>42</v>
      </c>
      <c r="H4" s="53" t="s">
        <v>164</v>
      </c>
      <c r="I4" s="53" t="s">
        <v>165</v>
      </c>
      <c r="J4" s="53" t="s">
        <v>38</v>
      </c>
      <c r="K4" s="53" t="s">
        <v>161</v>
      </c>
      <c r="L4" s="53">
        <v>3</v>
      </c>
      <c r="N4" s="53">
        <v>1</v>
      </c>
      <c r="O4" s="53">
        <v>0.6</v>
      </c>
      <c r="P4" s="53">
        <v>0.6</v>
      </c>
      <c r="Q4" s="75">
        <f t="shared" si="0"/>
        <v>0.6</v>
      </c>
      <c r="R4" s="53">
        <v>14.2</v>
      </c>
      <c r="S4" s="53">
        <v>113</v>
      </c>
      <c r="T4" s="16">
        <f t="shared" si="1"/>
        <v>30</v>
      </c>
      <c r="U4" s="53">
        <v>161</v>
      </c>
      <c r="V4" s="16">
        <f t="shared" si="2"/>
        <v>4830</v>
      </c>
      <c r="W4" s="53">
        <v>2</v>
      </c>
      <c r="X4" s="53" t="s">
        <v>39</v>
      </c>
      <c r="Y4" s="53" t="s">
        <v>90</v>
      </c>
      <c r="Z4" s="53" t="s">
        <v>78</v>
      </c>
      <c r="AA4" s="53" t="s">
        <v>84</v>
      </c>
      <c r="AB4" s="53" t="s">
        <v>238</v>
      </c>
      <c r="AE4" s="22" t="s">
        <v>34</v>
      </c>
      <c r="AG4" s="23" t="s">
        <v>242</v>
      </c>
      <c r="AH4" s="82" t="s">
        <v>243</v>
      </c>
      <c r="AJ4" s="27" t="s">
        <v>48</v>
      </c>
      <c r="AL4" s="27" t="s">
        <v>244</v>
      </c>
      <c r="AN4" s="28" t="s">
        <v>49</v>
      </c>
      <c r="AP4" s="23" t="s">
        <v>93</v>
      </c>
      <c r="AR4" s="23" t="s">
        <v>121</v>
      </c>
      <c r="AT4" s="28"/>
      <c r="AV4" s="23" t="s">
        <v>50</v>
      </c>
      <c r="AX4" s="24">
        <v>75</v>
      </c>
      <c r="AY4" s="25">
        <v>42</v>
      </c>
      <c r="AZ4" s="25">
        <v>76</v>
      </c>
      <c r="BA4" s="26">
        <v>39</v>
      </c>
    </row>
    <row r="5" spans="1:53" x14ac:dyDescent="0.15">
      <c r="A5" s="53" t="s">
        <v>56</v>
      </c>
      <c r="B5" s="53" t="s">
        <v>234</v>
      </c>
      <c r="C5" s="53">
        <v>2019</v>
      </c>
      <c r="D5" s="81" t="s">
        <v>235</v>
      </c>
      <c r="E5" s="53" t="s">
        <v>245</v>
      </c>
      <c r="F5" s="53" t="s">
        <v>237</v>
      </c>
      <c r="G5" s="53" t="s">
        <v>42</v>
      </c>
      <c r="H5" s="53" t="s">
        <v>164</v>
      </c>
      <c r="I5" s="53" t="s">
        <v>159</v>
      </c>
      <c r="J5" s="53" t="s">
        <v>38</v>
      </c>
      <c r="K5" s="53" t="s">
        <v>161</v>
      </c>
      <c r="L5" s="53">
        <v>1</v>
      </c>
      <c r="N5" s="53">
        <v>1</v>
      </c>
      <c r="O5" s="53">
        <v>0.6</v>
      </c>
      <c r="P5" s="53">
        <v>0.55000000000000004</v>
      </c>
      <c r="Q5" s="75">
        <f t="shared" si="0"/>
        <v>0.57499999999999996</v>
      </c>
      <c r="R5" s="53">
        <v>15.4</v>
      </c>
      <c r="S5" s="53">
        <v>134</v>
      </c>
      <c r="T5" s="16">
        <f t="shared" si="1"/>
        <v>25</v>
      </c>
      <c r="U5" s="53">
        <v>106</v>
      </c>
      <c r="V5" s="16">
        <f t="shared" si="2"/>
        <v>2650</v>
      </c>
      <c r="W5" s="53">
        <v>5</v>
      </c>
      <c r="X5" s="53" t="s">
        <v>46</v>
      </c>
      <c r="Y5" s="53" t="s">
        <v>84</v>
      </c>
      <c r="Z5" s="53" t="s">
        <v>50</v>
      </c>
      <c r="AA5" s="53" t="s">
        <v>78</v>
      </c>
      <c r="AB5" s="53" t="s">
        <v>238</v>
      </c>
      <c r="AE5" s="22" t="s">
        <v>51</v>
      </c>
      <c r="AG5" s="23" t="s">
        <v>246</v>
      </c>
      <c r="AH5" s="82" t="s">
        <v>247</v>
      </c>
      <c r="AJ5" s="28"/>
      <c r="AL5" s="73" t="s">
        <v>66</v>
      </c>
      <c r="AN5" s="73" t="s">
        <v>52</v>
      </c>
      <c r="AP5" s="23" t="s">
        <v>248</v>
      </c>
      <c r="AR5" s="23" t="s">
        <v>54</v>
      </c>
      <c r="AV5" s="23" t="s">
        <v>55</v>
      </c>
      <c r="AX5" s="24">
        <v>84</v>
      </c>
      <c r="AY5" s="25">
        <v>39</v>
      </c>
      <c r="AZ5" s="25">
        <v>84</v>
      </c>
      <c r="BA5" s="26">
        <v>36</v>
      </c>
    </row>
    <row r="6" spans="1:53" x14ac:dyDescent="0.15">
      <c r="A6" s="53" t="s">
        <v>56</v>
      </c>
      <c r="B6" s="53" t="s">
        <v>234</v>
      </c>
      <c r="C6" s="53">
        <v>2019</v>
      </c>
      <c r="D6" s="81" t="s">
        <v>235</v>
      </c>
      <c r="E6" s="53" t="s">
        <v>245</v>
      </c>
      <c r="F6" s="53" t="s">
        <v>237</v>
      </c>
      <c r="G6" s="53" t="s">
        <v>42</v>
      </c>
      <c r="H6" s="53" t="s">
        <v>164</v>
      </c>
      <c r="I6" s="53" t="s">
        <v>159</v>
      </c>
      <c r="J6" s="53" t="s">
        <v>38</v>
      </c>
      <c r="K6" s="53" t="s">
        <v>161</v>
      </c>
      <c r="L6" s="53">
        <v>2</v>
      </c>
      <c r="N6" s="53">
        <v>1</v>
      </c>
      <c r="O6" s="53">
        <v>0.75</v>
      </c>
      <c r="P6" s="53">
        <v>0.8</v>
      </c>
      <c r="Q6" s="75">
        <f t="shared" si="0"/>
        <v>0.77500000000000002</v>
      </c>
      <c r="R6" s="53">
        <v>14.2</v>
      </c>
      <c r="S6" s="53">
        <v>121</v>
      </c>
      <c r="T6" s="16">
        <f t="shared" si="1"/>
        <v>27</v>
      </c>
      <c r="U6" s="53">
        <v>106</v>
      </c>
      <c r="V6" s="16">
        <f t="shared" si="2"/>
        <v>2862</v>
      </c>
      <c r="W6" s="53">
        <v>5</v>
      </c>
      <c r="X6" s="53" t="s">
        <v>46</v>
      </c>
      <c r="Y6" s="53" t="s">
        <v>84</v>
      </c>
      <c r="Z6" s="53" t="s">
        <v>50</v>
      </c>
      <c r="AA6" s="53" t="s">
        <v>78</v>
      </c>
      <c r="AB6" s="53" t="s">
        <v>238</v>
      </c>
      <c r="AE6" s="22" t="s">
        <v>56</v>
      </c>
      <c r="AG6" s="23" t="s">
        <v>249</v>
      </c>
      <c r="AH6" s="82" t="s">
        <v>247</v>
      </c>
      <c r="AL6" s="73" t="s">
        <v>99</v>
      </c>
      <c r="AN6" s="73" t="s">
        <v>57</v>
      </c>
      <c r="AP6" s="23" t="s">
        <v>53</v>
      </c>
      <c r="AR6" s="23" t="s">
        <v>59</v>
      </c>
      <c r="AV6" s="23" t="s">
        <v>60</v>
      </c>
      <c r="AX6" s="24">
        <v>97</v>
      </c>
      <c r="AY6" s="25">
        <v>36</v>
      </c>
      <c r="AZ6" s="25">
        <v>99</v>
      </c>
      <c r="BA6" s="26">
        <v>33</v>
      </c>
    </row>
    <row r="7" spans="1:53" x14ac:dyDescent="0.15">
      <c r="A7" s="53" t="s">
        <v>56</v>
      </c>
      <c r="B7" s="53" t="s">
        <v>234</v>
      </c>
      <c r="C7" s="53">
        <v>2019</v>
      </c>
      <c r="D7" s="81" t="s">
        <v>235</v>
      </c>
      <c r="E7" s="53" t="s">
        <v>245</v>
      </c>
      <c r="F7" s="53" t="s">
        <v>237</v>
      </c>
      <c r="G7" s="53" t="s">
        <v>42</v>
      </c>
      <c r="H7" s="53" t="s">
        <v>164</v>
      </c>
      <c r="I7" s="53" t="s">
        <v>159</v>
      </c>
      <c r="J7" s="53" t="s">
        <v>38</v>
      </c>
      <c r="K7" s="53" t="s">
        <v>161</v>
      </c>
      <c r="L7" s="53">
        <v>3</v>
      </c>
      <c r="N7" s="53">
        <v>1</v>
      </c>
      <c r="O7" s="53">
        <v>0.8</v>
      </c>
      <c r="P7" s="53">
        <v>0.8</v>
      </c>
      <c r="Q7" s="75">
        <f t="shared" si="0"/>
        <v>0.8</v>
      </c>
      <c r="R7" s="53">
        <v>14</v>
      </c>
      <c r="S7" s="53">
        <v>130</v>
      </c>
      <c r="T7" s="16">
        <f t="shared" si="1"/>
        <v>25</v>
      </c>
      <c r="U7" s="53">
        <v>106</v>
      </c>
      <c r="V7" s="16">
        <f t="shared" si="2"/>
        <v>2650</v>
      </c>
      <c r="W7" s="53">
        <v>5</v>
      </c>
      <c r="X7" s="53" t="s">
        <v>46</v>
      </c>
      <c r="Y7" s="53" t="s">
        <v>84</v>
      </c>
      <c r="Z7" s="53" t="s">
        <v>50</v>
      </c>
      <c r="AA7" s="53" t="s">
        <v>78</v>
      </c>
      <c r="AB7" s="53" t="s">
        <v>238</v>
      </c>
      <c r="AE7" s="22" t="s">
        <v>61</v>
      </c>
      <c r="AG7" s="23" t="s">
        <v>250</v>
      </c>
      <c r="AH7" s="82" t="s">
        <v>251</v>
      </c>
      <c r="AL7" s="83" t="s">
        <v>109</v>
      </c>
      <c r="AP7" s="23" t="s">
        <v>58</v>
      </c>
      <c r="AR7" s="23" t="s">
        <v>122</v>
      </c>
      <c r="AV7" s="23" t="s">
        <v>64</v>
      </c>
      <c r="AX7" s="24">
        <v>109</v>
      </c>
      <c r="AY7" s="25">
        <v>33</v>
      </c>
      <c r="AZ7" s="25">
        <v>113</v>
      </c>
      <c r="BA7" s="26">
        <v>30</v>
      </c>
    </row>
    <row r="8" spans="1:53" x14ac:dyDescent="0.15">
      <c r="A8" s="53" t="s">
        <v>56</v>
      </c>
      <c r="B8" s="53" t="s">
        <v>234</v>
      </c>
      <c r="C8" s="53">
        <v>2019</v>
      </c>
      <c r="D8" s="81" t="s">
        <v>235</v>
      </c>
      <c r="E8" s="53" t="s">
        <v>162</v>
      </c>
      <c r="F8" s="53" t="s">
        <v>252</v>
      </c>
      <c r="G8" s="53" t="s">
        <v>42</v>
      </c>
      <c r="H8" s="53" t="s">
        <v>164</v>
      </c>
      <c r="I8" s="53" t="s">
        <v>159</v>
      </c>
      <c r="J8" s="53" t="s">
        <v>38</v>
      </c>
      <c r="K8" s="53" t="s">
        <v>161</v>
      </c>
      <c r="L8" s="53">
        <v>1</v>
      </c>
      <c r="N8" s="53">
        <v>1</v>
      </c>
      <c r="O8" s="53">
        <v>0.65</v>
      </c>
      <c r="P8" s="53">
        <v>0.8</v>
      </c>
      <c r="Q8" s="75">
        <f t="shared" si="0"/>
        <v>0.72500000000000009</v>
      </c>
      <c r="R8" s="53">
        <v>15.1</v>
      </c>
      <c r="S8" s="53">
        <v>111</v>
      </c>
      <c r="T8" s="16">
        <f t="shared" si="1"/>
        <v>33</v>
      </c>
      <c r="U8" s="53">
        <v>106</v>
      </c>
      <c r="V8" s="16">
        <f t="shared" si="2"/>
        <v>3498</v>
      </c>
      <c r="W8" s="53">
        <v>2</v>
      </c>
      <c r="X8" s="53" t="s">
        <v>46</v>
      </c>
      <c r="Y8" s="53" t="s">
        <v>90</v>
      </c>
      <c r="Z8" s="53" t="s">
        <v>84</v>
      </c>
      <c r="AA8" s="53" t="s">
        <v>78</v>
      </c>
      <c r="AB8" s="53" t="s">
        <v>238</v>
      </c>
      <c r="AE8" s="22" t="s">
        <v>59</v>
      </c>
      <c r="AG8" s="23" t="s">
        <v>253</v>
      </c>
      <c r="AH8" s="82" t="s">
        <v>251</v>
      </c>
      <c r="AL8" s="83" t="s">
        <v>134</v>
      </c>
      <c r="AP8" s="23" t="s">
        <v>62</v>
      </c>
      <c r="AR8" s="23" t="s">
        <v>81</v>
      </c>
      <c r="AV8" s="23" t="s">
        <v>97</v>
      </c>
      <c r="AX8" s="24">
        <v>119</v>
      </c>
      <c r="AY8" s="25">
        <v>30</v>
      </c>
      <c r="AZ8" s="25">
        <v>121</v>
      </c>
      <c r="BA8" s="26">
        <v>27</v>
      </c>
    </row>
    <row r="9" spans="1:53" x14ac:dyDescent="0.15">
      <c r="A9" s="53" t="s">
        <v>56</v>
      </c>
      <c r="B9" s="53" t="s">
        <v>234</v>
      </c>
      <c r="C9" s="53">
        <v>2019</v>
      </c>
      <c r="D9" s="81" t="s">
        <v>235</v>
      </c>
      <c r="E9" s="53" t="s">
        <v>162</v>
      </c>
      <c r="F9" s="53" t="s">
        <v>252</v>
      </c>
      <c r="G9" s="53" t="s">
        <v>42</v>
      </c>
      <c r="H9" s="53" t="s">
        <v>164</v>
      </c>
      <c r="I9" s="53" t="s">
        <v>159</v>
      </c>
      <c r="J9" s="53" t="s">
        <v>38</v>
      </c>
      <c r="K9" s="53" t="s">
        <v>161</v>
      </c>
      <c r="L9" s="53">
        <v>2</v>
      </c>
      <c r="N9" s="53">
        <v>1</v>
      </c>
      <c r="O9" s="53">
        <v>0.7</v>
      </c>
      <c r="P9" s="53">
        <v>0.6</v>
      </c>
      <c r="Q9" s="75">
        <f t="shared" si="0"/>
        <v>0.64999999999999991</v>
      </c>
      <c r="R9" s="53">
        <v>13.8</v>
      </c>
      <c r="S9" s="53">
        <v>116</v>
      </c>
      <c r="T9" s="16">
        <f t="shared" si="1"/>
        <v>30</v>
      </c>
      <c r="U9" s="53">
        <v>106</v>
      </c>
      <c r="V9" s="16">
        <f t="shared" si="2"/>
        <v>3180</v>
      </c>
      <c r="W9" s="53">
        <v>2</v>
      </c>
      <c r="X9" s="53" t="s">
        <v>46</v>
      </c>
      <c r="Y9" s="53" t="s">
        <v>90</v>
      </c>
      <c r="Z9" s="53" t="s">
        <v>84</v>
      </c>
      <c r="AA9" s="53" t="s">
        <v>78</v>
      </c>
      <c r="AB9" s="53" t="s">
        <v>238</v>
      </c>
      <c r="AE9" s="22" t="s">
        <v>98</v>
      </c>
      <c r="AG9" s="23" t="s">
        <v>236</v>
      </c>
      <c r="AH9" s="23" t="s">
        <v>237</v>
      </c>
      <c r="AL9" s="73"/>
      <c r="AP9" s="23" t="s">
        <v>95</v>
      </c>
      <c r="AR9" s="23" t="s">
        <v>89</v>
      </c>
      <c r="AV9" s="23" t="s">
        <v>102</v>
      </c>
      <c r="AX9" s="24">
        <v>128</v>
      </c>
      <c r="AY9" s="25">
        <v>27</v>
      </c>
      <c r="AZ9" s="25">
        <v>129</v>
      </c>
      <c r="BA9" s="26">
        <v>25</v>
      </c>
    </row>
    <row r="10" spans="1:53" x14ac:dyDescent="0.15">
      <c r="A10" s="53" t="s">
        <v>56</v>
      </c>
      <c r="B10" s="53" t="s">
        <v>234</v>
      </c>
      <c r="C10" s="53">
        <v>2019</v>
      </c>
      <c r="D10" s="81" t="s">
        <v>235</v>
      </c>
      <c r="E10" s="53" t="s">
        <v>162</v>
      </c>
      <c r="F10" s="53" t="s">
        <v>252</v>
      </c>
      <c r="G10" s="53" t="s">
        <v>42</v>
      </c>
      <c r="H10" s="53" t="s">
        <v>164</v>
      </c>
      <c r="I10" s="53" t="s">
        <v>159</v>
      </c>
      <c r="J10" s="53" t="s">
        <v>38</v>
      </c>
      <c r="K10" s="53" t="s">
        <v>161</v>
      </c>
      <c r="L10" s="53">
        <v>3</v>
      </c>
      <c r="N10" s="53">
        <v>1</v>
      </c>
      <c r="O10" s="53">
        <v>0.6</v>
      </c>
      <c r="P10" s="53">
        <v>0.65</v>
      </c>
      <c r="Q10" s="75">
        <f t="shared" si="0"/>
        <v>0.625</v>
      </c>
      <c r="R10" s="53">
        <v>13.2</v>
      </c>
      <c r="S10" s="53">
        <v>113</v>
      </c>
      <c r="T10" s="16">
        <f t="shared" si="1"/>
        <v>30</v>
      </c>
      <c r="U10" s="53">
        <v>106</v>
      </c>
      <c r="V10" s="16">
        <f t="shared" si="2"/>
        <v>3180</v>
      </c>
      <c r="W10" s="53">
        <v>2</v>
      </c>
      <c r="X10" s="53" t="s">
        <v>46</v>
      </c>
      <c r="Y10" s="53" t="s">
        <v>90</v>
      </c>
      <c r="Z10" s="53" t="s">
        <v>84</v>
      </c>
      <c r="AA10" s="53" t="s">
        <v>78</v>
      </c>
      <c r="AB10" s="53" t="s">
        <v>238</v>
      </c>
      <c r="AE10" s="22" t="s">
        <v>103</v>
      </c>
      <c r="AG10" s="23" t="s">
        <v>250</v>
      </c>
      <c r="AH10" s="82" t="s">
        <v>247</v>
      </c>
      <c r="AL10" s="83"/>
      <c r="AP10" s="23" t="s">
        <v>100</v>
      </c>
      <c r="AR10" s="23" t="s">
        <v>123</v>
      </c>
      <c r="AV10" s="23" t="s">
        <v>106</v>
      </c>
      <c r="AX10" s="24">
        <v>138</v>
      </c>
      <c r="AY10" s="25">
        <v>25</v>
      </c>
      <c r="AZ10" s="25">
        <v>138</v>
      </c>
      <c r="BA10" s="26">
        <v>22</v>
      </c>
    </row>
    <row r="11" spans="1:53" x14ac:dyDescent="0.15">
      <c r="A11" s="53" t="s">
        <v>56</v>
      </c>
      <c r="B11" s="53" t="s">
        <v>234</v>
      </c>
      <c r="C11" s="53">
        <v>2019</v>
      </c>
      <c r="D11" s="81" t="s">
        <v>235</v>
      </c>
      <c r="E11" s="53" t="s">
        <v>162</v>
      </c>
      <c r="F11" s="53" t="s">
        <v>252</v>
      </c>
      <c r="G11" s="53" t="s">
        <v>42</v>
      </c>
      <c r="H11" s="53" t="s">
        <v>160</v>
      </c>
      <c r="I11" s="53" t="s">
        <v>159</v>
      </c>
      <c r="J11" s="53" t="s">
        <v>38</v>
      </c>
      <c r="K11" s="53" t="s">
        <v>161</v>
      </c>
      <c r="L11" s="53">
        <v>1</v>
      </c>
      <c r="N11" s="53">
        <v>4</v>
      </c>
      <c r="O11" s="53">
        <v>0.5</v>
      </c>
      <c r="P11" s="53">
        <v>0.5</v>
      </c>
      <c r="Q11" s="75">
        <f t="shared" si="0"/>
        <v>0.5</v>
      </c>
      <c r="R11" s="53">
        <v>16.2</v>
      </c>
      <c r="S11" s="53">
        <v>92</v>
      </c>
      <c r="T11" s="16">
        <f t="shared" si="1"/>
        <v>36</v>
      </c>
      <c r="U11" s="53">
        <v>538</v>
      </c>
      <c r="V11" s="16">
        <f t="shared" si="2"/>
        <v>4842</v>
      </c>
      <c r="W11" s="53">
        <v>2</v>
      </c>
      <c r="X11" s="53" t="s">
        <v>46</v>
      </c>
      <c r="Y11" s="53" t="s">
        <v>90</v>
      </c>
      <c r="Z11" s="53" t="s">
        <v>84</v>
      </c>
      <c r="AA11" s="53" t="s">
        <v>78</v>
      </c>
      <c r="AB11" s="53" t="s">
        <v>238</v>
      </c>
      <c r="AE11" s="22" t="s">
        <v>65</v>
      </c>
      <c r="AG11" s="23" t="s">
        <v>249</v>
      </c>
      <c r="AH11" s="82" t="s">
        <v>247</v>
      </c>
      <c r="AJ11" s="83"/>
      <c r="AP11" s="23" t="s">
        <v>104</v>
      </c>
      <c r="AR11" s="23" t="s">
        <v>87</v>
      </c>
      <c r="AV11" s="23" t="s">
        <v>69</v>
      </c>
    </row>
    <row r="12" spans="1:53" x14ac:dyDescent="0.15">
      <c r="A12" s="53" t="s">
        <v>56</v>
      </c>
      <c r="B12" s="53" t="s">
        <v>234</v>
      </c>
      <c r="C12" s="53">
        <v>2019</v>
      </c>
      <c r="D12" s="81" t="s">
        <v>235</v>
      </c>
      <c r="E12" s="53" t="s">
        <v>162</v>
      </c>
      <c r="F12" s="53" t="s">
        <v>252</v>
      </c>
      <c r="G12" s="53" t="s">
        <v>42</v>
      </c>
      <c r="H12" s="53" t="s">
        <v>160</v>
      </c>
      <c r="I12" s="53" t="s">
        <v>159</v>
      </c>
      <c r="J12" s="53" t="s">
        <v>38</v>
      </c>
      <c r="K12" s="53" t="s">
        <v>161</v>
      </c>
      <c r="L12" s="53">
        <v>2</v>
      </c>
      <c r="N12" s="53">
        <v>4</v>
      </c>
      <c r="O12" s="53">
        <v>0.5</v>
      </c>
      <c r="P12" s="53">
        <v>0.5</v>
      </c>
      <c r="Q12" s="75">
        <f t="shared" si="0"/>
        <v>0.5</v>
      </c>
      <c r="R12" s="53">
        <v>16.100000000000001</v>
      </c>
      <c r="S12" s="53">
        <v>104</v>
      </c>
      <c r="T12" s="16">
        <f t="shared" si="1"/>
        <v>33</v>
      </c>
      <c r="U12" s="53">
        <v>538</v>
      </c>
      <c r="V12" s="16">
        <f t="shared" si="2"/>
        <v>4438.5</v>
      </c>
      <c r="W12" s="53">
        <v>2</v>
      </c>
      <c r="X12" s="53" t="s">
        <v>46</v>
      </c>
      <c r="Y12" s="53" t="s">
        <v>90</v>
      </c>
      <c r="Z12" s="53" t="s">
        <v>84</v>
      </c>
      <c r="AA12" s="53" t="s">
        <v>78</v>
      </c>
      <c r="AB12" s="53" t="s">
        <v>238</v>
      </c>
      <c r="AE12" s="22" t="s">
        <v>70</v>
      </c>
      <c r="AG12" s="23" t="s">
        <v>241</v>
      </c>
      <c r="AH12" s="82" t="s">
        <v>247</v>
      </c>
      <c r="AJ12" s="83"/>
      <c r="AP12" s="23" t="s">
        <v>67</v>
      </c>
      <c r="AR12" s="23" t="s">
        <v>124</v>
      </c>
      <c r="AV12" s="23" t="s">
        <v>72</v>
      </c>
    </row>
    <row r="13" spans="1:53" x14ac:dyDescent="0.15">
      <c r="A13" s="53" t="s">
        <v>56</v>
      </c>
      <c r="B13" s="53" t="s">
        <v>234</v>
      </c>
      <c r="C13" s="53">
        <v>2019</v>
      </c>
      <c r="D13" s="81" t="s">
        <v>235</v>
      </c>
      <c r="E13" s="53" t="s">
        <v>162</v>
      </c>
      <c r="F13" s="53" t="s">
        <v>252</v>
      </c>
      <c r="G13" s="53" t="s">
        <v>42</v>
      </c>
      <c r="H13" s="53" t="s">
        <v>160</v>
      </c>
      <c r="I13" s="53" t="s">
        <v>159</v>
      </c>
      <c r="J13" s="53" t="s">
        <v>38</v>
      </c>
      <c r="K13" s="53" t="s">
        <v>161</v>
      </c>
      <c r="L13" s="53">
        <v>3</v>
      </c>
      <c r="N13" s="53">
        <v>4</v>
      </c>
      <c r="O13" s="53">
        <v>0.5</v>
      </c>
      <c r="P13" s="53">
        <v>0.5</v>
      </c>
      <c r="Q13" s="75">
        <f t="shared" si="0"/>
        <v>0.5</v>
      </c>
      <c r="R13" s="53">
        <v>17.8</v>
      </c>
      <c r="S13" s="53">
        <v>95</v>
      </c>
      <c r="T13" s="16">
        <f t="shared" si="1"/>
        <v>36</v>
      </c>
      <c r="U13" s="53">
        <v>538</v>
      </c>
      <c r="V13" s="16">
        <f t="shared" si="2"/>
        <v>4842</v>
      </c>
      <c r="W13" s="53">
        <v>2</v>
      </c>
      <c r="X13" s="53" t="s">
        <v>46</v>
      </c>
      <c r="Y13" s="53" t="s">
        <v>90</v>
      </c>
      <c r="Z13" s="53" t="s">
        <v>84</v>
      </c>
      <c r="AA13" s="53" t="s">
        <v>78</v>
      </c>
      <c r="AB13" s="53" t="s">
        <v>238</v>
      </c>
      <c r="AE13" s="22" t="s">
        <v>73</v>
      </c>
      <c r="AP13" s="23" t="s">
        <v>71</v>
      </c>
      <c r="AR13" s="23" t="s">
        <v>103</v>
      </c>
      <c r="AV13" s="23" t="s">
        <v>75</v>
      </c>
    </row>
    <row r="14" spans="1:53" x14ac:dyDescent="0.15">
      <c r="A14" s="53" t="s">
        <v>56</v>
      </c>
      <c r="B14" s="53" t="s">
        <v>234</v>
      </c>
      <c r="C14" s="53">
        <v>2019</v>
      </c>
      <c r="D14" s="81" t="s">
        <v>235</v>
      </c>
      <c r="E14" s="53" t="s">
        <v>254</v>
      </c>
      <c r="F14" s="53" t="s">
        <v>255</v>
      </c>
      <c r="G14" s="53" t="s">
        <v>42</v>
      </c>
      <c r="H14" s="53" t="s">
        <v>164</v>
      </c>
      <c r="I14" s="53" t="s">
        <v>159</v>
      </c>
      <c r="J14" s="53" t="s">
        <v>38</v>
      </c>
      <c r="K14" s="53" t="s">
        <v>161</v>
      </c>
      <c r="L14" s="53">
        <v>1</v>
      </c>
      <c r="N14" s="53">
        <v>5</v>
      </c>
      <c r="O14" s="53">
        <v>0.55000000000000004</v>
      </c>
      <c r="P14" s="53">
        <v>0.55000000000000004</v>
      </c>
      <c r="Q14" s="75">
        <f t="shared" si="0"/>
        <v>0.55000000000000004</v>
      </c>
      <c r="R14" s="53">
        <v>15.7</v>
      </c>
      <c r="S14" s="53">
        <v>86</v>
      </c>
      <c r="T14" s="16">
        <f t="shared" si="1"/>
        <v>36</v>
      </c>
      <c r="U14" s="53">
        <v>430</v>
      </c>
      <c r="V14" s="16">
        <f t="shared" si="2"/>
        <v>3096</v>
      </c>
      <c r="W14" s="53">
        <v>3</v>
      </c>
      <c r="X14" s="53" t="s">
        <v>46</v>
      </c>
      <c r="Y14" s="53" t="s">
        <v>84</v>
      </c>
      <c r="Z14" s="53" t="s">
        <v>50</v>
      </c>
      <c r="AA14" s="53" t="s">
        <v>78</v>
      </c>
      <c r="AB14" s="53" t="s">
        <v>238</v>
      </c>
      <c r="AE14" s="22" t="s">
        <v>76</v>
      </c>
      <c r="AP14" s="23" t="s">
        <v>74</v>
      </c>
      <c r="AR14" s="23" t="s">
        <v>125</v>
      </c>
      <c r="AV14" s="23" t="s">
        <v>78</v>
      </c>
    </row>
    <row r="15" spans="1:53" x14ac:dyDescent="0.15">
      <c r="A15" s="53" t="s">
        <v>56</v>
      </c>
      <c r="B15" s="53" t="s">
        <v>234</v>
      </c>
      <c r="C15" s="53">
        <v>2019</v>
      </c>
      <c r="D15" s="81" t="s">
        <v>235</v>
      </c>
      <c r="E15" s="53" t="s">
        <v>254</v>
      </c>
      <c r="F15" s="53" t="s">
        <v>255</v>
      </c>
      <c r="G15" s="53" t="s">
        <v>42</v>
      </c>
      <c r="H15" s="53" t="s">
        <v>164</v>
      </c>
      <c r="I15" s="53" t="s">
        <v>159</v>
      </c>
      <c r="J15" s="53" t="s">
        <v>38</v>
      </c>
      <c r="K15" s="53" t="s">
        <v>161</v>
      </c>
      <c r="L15" s="53">
        <v>2</v>
      </c>
      <c r="N15" s="53">
        <v>5</v>
      </c>
      <c r="O15" s="53">
        <v>0.5</v>
      </c>
      <c r="P15" s="53">
        <v>0.5</v>
      </c>
      <c r="Q15" s="75">
        <f t="shared" si="0"/>
        <v>0.5</v>
      </c>
      <c r="R15" s="53">
        <v>12.9</v>
      </c>
      <c r="S15" s="53">
        <v>91</v>
      </c>
      <c r="T15" s="16">
        <f t="shared" si="1"/>
        <v>36</v>
      </c>
      <c r="U15" s="53">
        <v>430</v>
      </c>
      <c r="V15" s="16">
        <f t="shared" si="2"/>
        <v>3096</v>
      </c>
      <c r="W15" s="53">
        <v>3</v>
      </c>
      <c r="X15" s="53" t="s">
        <v>46</v>
      </c>
      <c r="Y15" s="53" t="s">
        <v>84</v>
      </c>
      <c r="Z15" s="53" t="s">
        <v>50</v>
      </c>
      <c r="AA15" s="53" t="s">
        <v>78</v>
      </c>
      <c r="AB15" s="53" t="s">
        <v>238</v>
      </c>
      <c r="AE15" s="22" t="s">
        <v>79</v>
      </c>
      <c r="AP15" s="23" t="s">
        <v>77</v>
      </c>
      <c r="AR15" s="23" t="s">
        <v>94</v>
      </c>
      <c r="AV15" s="23" t="s">
        <v>107</v>
      </c>
    </row>
    <row r="16" spans="1:53" x14ac:dyDescent="0.15">
      <c r="A16" s="53" t="s">
        <v>56</v>
      </c>
      <c r="B16" s="53" t="s">
        <v>234</v>
      </c>
      <c r="C16" s="53">
        <v>2019</v>
      </c>
      <c r="D16" s="81" t="s">
        <v>235</v>
      </c>
      <c r="E16" s="53" t="s">
        <v>254</v>
      </c>
      <c r="F16" s="53" t="s">
        <v>255</v>
      </c>
      <c r="G16" s="53" t="s">
        <v>42</v>
      </c>
      <c r="H16" s="53" t="s">
        <v>164</v>
      </c>
      <c r="I16" s="53" t="s">
        <v>159</v>
      </c>
      <c r="J16" s="53" t="s">
        <v>38</v>
      </c>
      <c r="K16" s="53" t="s">
        <v>161</v>
      </c>
      <c r="L16" s="53">
        <v>3</v>
      </c>
      <c r="N16" s="53">
        <v>5</v>
      </c>
      <c r="O16" s="53">
        <v>0.5</v>
      </c>
      <c r="P16" s="53">
        <v>0.5</v>
      </c>
      <c r="Q16" s="75">
        <f t="shared" si="0"/>
        <v>0.5</v>
      </c>
      <c r="R16" s="53">
        <v>13.5</v>
      </c>
      <c r="S16" s="53">
        <v>91</v>
      </c>
      <c r="T16" s="16">
        <f t="shared" si="1"/>
        <v>36</v>
      </c>
      <c r="U16" s="53">
        <v>430</v>
      </c>
      <c r="V16" s="16">
        <f t="shared" si="2"/>
        <v>3096</v>
      </c>
      <c r="W16" s="53">
        <v>3</v>
      </c>
      <c r="X16" s="53" t="s">
        <v>46</v>
      </c>
      <c r="Y16" s="53" t="s">
        <v>84</v>
      </c>
      <c r="Z16" s="53" t="s">
        <v>50</v>
      </c>
      <c r="AA16" s="53" t="s">
        <v>78</v>
      </c>
      <c r="AB16" s="53" t="s">
        <v>238</v>
      </c>
      <c r="AE16" s="22" t="s">
        <v>82</v>
      </c>
      <c r="AP16" s="23" t="s">
        <v>80</v>
      </c>
      <c r="AR16" s="23" t="s">
        <v>63</v>
      </c>
      <c r="AV16" s="23" t="s">
        <v>84</v>
      </c>
    </row>
    <row r="17" spans="1:48" x14ac:dyDescent="0.15">
      <c r="A17" s="53" t="s">
        <v>56</v>
      </c>
      <c r="B17" s="53" t="s">
        <v>234</v>
      </c>
      <c r="C17" s="53">
        <v>2019</v>
      </c>
      <c r="D17" s="81" t="s">
        <v>235</v>
      </c>
      <c r="E17" s="53" t="s">
        <v>254</v>
      </c>
      <c r="F17" s="53" t="s">
        <v>255</v>
      </c>
      <c r="G17" s="53" t="s">
        <v>42</v>
      </c>
      <c r="H17" s="53" t="s">
        <v>160</v>
      </c>
      <c r="I17" s="53" t="s">
        <v>159</v>
      </c>
      <c r="J17" s="53" t="s">
        <v>38</v>
      </c>
      <c r="K17" s="53" t="s">
        <v>161</v>
      </c>
      <c r="L17" s="53">
        <v>1</v>
      </c>
      <c r="N17" s="53">
        <v>5</v>
      </c>
      <c r="O17" s="53">
        <v>0.6</v>
      </c>
      <c r="P17" s="53">
        <v>0.65</v>
      </c>
      <c r="Q17" s="75">
        <f t="shared" si="0"/>
        <v>0.625</v>
      </c>
      <c r="R17" s="53">
        <v>14.8</v>
      </c>
      <c r="S17" s="53">
        <v>123</v>
      </c>
      <c r="T17" s="16">
        <f t="shared" si="1"/>
        <v>27</v>
      </c>
      <c r="U17" s="53">
        <v>646</v>
      </c>
      <c r="V17" s="16">
        <f t="shared" si="2"/>
        <v>3488.3999999999996</v>
      </c>
      <c r="W17" s="53">
        <v>3</v>
      </c>
      <c r="X17" s="53" t="s">
        <v>46</v>
      </c>
      <c r="Y17" s="53" t="s">
        <v>84</v>
      </c>
      <c r="Z17" s="53" t="s">
        <v>50</v>
      </c>
      <c r="AA17" s="53" t="s">
        <v>78</v>
      </c>
      <c r="AB17" s="53" t="s">
        <v>238</v>
      </c>
      <c r="AE17" s="22" t="s">
        <v>85</v>
      </c>
      <c r="AP17" s="27" t="s">
        <v>110</v>
      </c>
      <c r="AR17" s="23" t="s">
        <v>96</v>
      </c>
      <c r="AV17" s="23" t="s">
        <v>86</v>
      </c>
    </row>
    <row r="18" spans="1:48" x14ac:dyDescent="0.15">
      <c r="A18" s="53" t="s">
        <v>56</v>
      </c>
      <c r="B18" s="53" t="s">
        <v>234</v>
      </c>
      <c r="C18" s="53">
        <v>2019</v>
      </c>
      <c r="D18" s="81" t="s">
        <v>235</v>
      </c>
      <c r="E18" s="53" t="s">
        <v>254</v>
      </c>
      <c r="F18" s="53" t="s">
        <v>255</v>
      </c>
      <c r="G18" s="53" t="s">
        <v>42</v>
      </c>
      <c r="H18" s="53" t="s">
        <v>160</v>
      </c>
      <c r="I18" s="53" t="s">
        <v>159</v>
      </c>
      <c r="J18" s="53" t="s">
        <v>38</v>
      </c>
      <c r="K18" s="53" t="s">
        <v>161</v>
      </c>
      <c r="L18" s="53">
        <v>2</v>
      </c>
      <c r="N18" s="53">
        <v>5</v>
      </c>
      <c r="O18" s="53">
        <v>0.6</v>
      </c>
      <c r="P18" s="53">
        <v>0.6</v>
      </c>
      <c r="Q18" s="75">
        <f t="shared" si="0"/>
        <v>0.6</v>
      </c>
      <c r="R18" s="53">
        <v>15.7</v>
      </c>
      <c r="S18" s="53">
        <v>125</v>
      </c>
      <c r="T18" s="16">
        <f t="shared" si="1"/>
        <v>27</v>
      </c>
      <c r="U18" s="53">
        <v>646</v>
      </c>
      <c r="V18" s="16">
        <f t="shared" si="2"/>
        <v>3488.3999999999996</v>
      </c>
      <c r="W18" s="53">
        <v>3</v>
      </c>
      <c r="X18" s="53" t="s">
        <v>46</v>
      </c>
      <c r="Y18" s="53" t="s">
        <v>84</v>
      </c>
      <c r="Z18" s="53" t="s">
        <v>50</v>
      </c>
      <c r="AA18" s="53" t="s">
        <v>78</v>
      </c>
      <c r="AB18" s="53" t="s">
        <v>238</v>
      </c>
      <c r="AE18" s="22" t="s">
        <v>87</v>
      </c>
      <c r="AP18" s="27" t="s">
        <v>111</v>
      </c>
      <c r="AR18" s="23" t="s">
        <v>101</v>
      </c>
      <c r="AV18" s="23" t="s">
        <v>88</v>
      </c>
    </row>
    <row r="19" spans="1:48" x14ac:dyDescent="0.15">
      <c r="A19" s="53" t="s">
        <v>56</v>
      </c>
      <c r="B19" s="53" t="s">
        <v>234</v>
      </c>
      <c r="C19" s="53">
        <v>2019</v>
      </c>
      <c r="D19" s="81" t="s">
        <v>235</v>
      </c>
      <c r="E19" s="53" t="s">
        <v>254</v>
      </c>
      <c r="F19" s="53" t="s">
        <v>255</v>
      </c>
      <c r="G19" s="53" t="s">
        <v>42</v>
      </c>
      <c r="H19" s="53" t="s">
        <v>160</v>
      </c>
      <c r="I19" s="53" t="s">
        <v>159</v>
      </c>
      <c r="J19" s="53" t="s">
        <v>38</v>
      </c>
      <c r="K19" s="53" t="s">
        <v>161</v>
      </c>
      <c r="L19" s="53">
        <v>3</v>
      </c>
      <c r="N19" s="53">
        <v>5</v>
      </c>
      <c r="O19" s="53">
        <v>0.6</v>
      </c>
      <c r="P19" s="53">
        <v>0.55000000000000004</v>
      </c>
      <c r="Q19" s="75">
        <f t="shared" si="0"/>
        <v>0.57499999999999996</v>
      </c>
      <c r="R19" s="53">
        <v>15.4</v>
      </c>
      <c r="S19" s="53">
        <v>110</v>
      </c>
      <c r="T19" s="16">
        <f t="shared" si="1"/>
        <v>33</v>
      </c>
      <c r="U19" s="53">
        <v>646</v>
      </c>
      <c r="V19" s="16">
        <f t="shared" si="2"/>
        <v>4263.5999999999995</v>
      </c>
      <c r="W19" s="53">
        <v>3</v>
      </c>
      <c r="X19" s="53" t="s">
        <v>46</v>
      </c>
      <c r="Y19" s="53" t="s">
        <v>84</v>
      </c>
      <c r="Z19" s="53" t="s">
        <v>50</v>
      </c>
      <c r="AA19" s="53" t="s">
        <v>78</v>
      </c>
      <c r="AB19" s="53" t="s">
        <v>238</v>
      </c>
      <c r="AE19" s="35" t="s">
        <v>89</v>
      </c>
      <c r="AP19" s="27" t="s">
        <v>112</v>
      </c>
      <c r="AR19" s="23" t="s">
        <v>126</v>
      </c>
      <c r="AV19" s="23" t="s">
        <v>90</v>
      </c>
    </row>
    <row r="20" spans="1:48" x14ac:dyDescent="0.15">
      <c r="A20" s="53" t="s">
        <v>56</v>
      </c>
      <c r="B20" s="53" t="s">
        <v>234</v>
      </c>
      <c r="C20" s="53">
        <v>2019</v>
      </c>
      <c r="D20" s="81" t="s">
        <v>235</v>
      </c>
      <c r="E20" s="53" t="s">
        <v>256</v>
      </c>
      <c r="F20" s="53" t="s">
        <v>252</v>
      </c>
      <c r="G20" s="53" t="s">
        <v>42</v>
      </c>
      <c r="H20" s="53" t="s">
        <v>164</v>
      </c>
      <c r="I20" s="53" t="s">
        <v>159</v>
      </c>
      <c r="J20" s="53" t="s">
        <v>38</v>
      </c>
      <c r="K20" s="53" t="s">
        <v>161</v>
      </c>
      <c r="L20" s="53">
        <v>1</v>
      </c>
      <c r="N20" s="53">
        <v>5</v>
      </c>
      <c r="O20" s="53">
        <v>1</v>
      </c>
      <c r="P20" s="53">
        <v>0.95</v>
      </c>
      <c r="Q20" s="16">
        <f t="shared" si="0"/>
        <v>0.97499999999999998</v>
      </c>
      <c r="R20" s="53">
        <v>12.5</v>
      </c>
      <c r="S20" s="53">
        <v>87</v>
      </c>
      <c r="T20" s="16">
        <f t="shared" si="1"/>
        <v>36</v>
      </c>
      <c r="U20" s="53">
        <v>364</v>
      </c>
      <c r="V20" s="16">
        <f t="shared" si="2"/>
        <v>2620.7999999999997</v>
      </c>
      <c r="W20" s="53">
        <v>15</v>
      </c>
      <c r="X20" s="53" t="s">
        <v>39</v>
      </c>
      <c r="Y20" s="53" t="s">
        <v>90</v>
      </c>
      <c r="Z20" s="53" t="s">
        <v>84</v>
      </c>
      <c r="AA20" s="53" t="s">
        <v>78</v>
      </c>
      <c r="AB20" s="53" t="s">
        <v>238</v>
      </c>
      <c r="AP20" s="27" t="s">
        <v>113</v>
      </c>
      <c r="AR20" s="23" t="s">
        <v>105</v>
      </c>
      <c r="AV20" s="27" t="s">
        <v>135</v>
      </c>
    </row>
    <row r="21" spans="1:48" x14ac:dyDescent="0.15">
      <c r="A21" s="53" t="s">
        <v>56</v>
      </c>
      <c r="B21" s="53" t="s">
        <v>234</v>
      </c>
      <c r="C21" s="53">
        <v>2019</v>
      </c>
      <c r="D21" s="81" t="s">
        <v>235</v>
      </c>
      <c r="E21" s="53" t="s">
        <v>256</v>
      </c>
      <c r="F21" s="53" t="s">
        <v>252</v>
      </c>
      <c r="G21" s="53" t="s">
        <v>42</v>
      </c>
      <c r="H21" s="53" t="s">
        <v>164</v>
      </c>
      <c r="I21" s="53" t="s">
        <v>159</v>
      </c>
      <c r="J21" s="53" t="s">
        <v>38</v>
      </c>
      <c r="K21" s="53" t="s">
        <v>161</v>
      </c>
      <c r="L21" s="53">
        <v>2</v>
      </c>
      <c r="N21" s="53">
        <v>5</v>
      </c>
      <c r="O21" s="53">
        <v>0.95</v>
      </c>
      <c r="P21" s="53">
        <v>0.9</v>
      </c>
      <c r="Q21" s="16">
        <f t="shared" si="0"/>
        <v>0.92500000000000004</v>
      </c>
      <c r="R21" s="53">
        <v>13.6</v>
      </c>
      <c r="S21" s="53">
        <v>82</v>
      </c>
      <c r="T21" s="16">
        <f t="shared" si="1"/>
        <v>39</v>
      </c>
      <c r="U21" s="53">
        <v>364</v>
      </c>
      <c r="V21" s="16">
        <f t="shared" si="2"/>
        <v>2839.2</v>
      </c>
      <c r="W21" s="53">
        <v>15</v>
      </c>
      <c r="X21" s="53" t="s">
        <v>39</v>
      </c>
      <c r="Y21" s="53" t="s">
        <v>90</v>
      </c>
      <c r="Z21" s="53" t="s">
        <v>84</v>
      </c>
      <c r="AA21" s="53" t="s">
        <v>78</v>
      </c>
      <c r="AB21" s="53" t="s">
        <v>238</v>
      </c>
      <c r="AP21" s="27" t="s">
        <v>114</v>
      </c>
      <c r="AR21" s="23" t="s">
        <v>68</v>
      </c>
      <c r="AV21" s="28" t="s">
        <v>257</v>
      </c>
    </row>
    <row r="22" spans="1:48" x14ac:dyDescent="0.15">
      <c r="A22" s="53" t="s">
        <v>56</v>
      </c>
      <c r="B22" s="53" t="s">
        <v>234</v>
      </c>
      <c r="C22" s="53">
        <v>2019</v>
      </c>
      <c r="D22" s="81" t="s">
        <v>235</v>
      </c>
      <c r="E22" s="53" t="s">
        <v>256</v>
      </c>
      <c r="F22" s="53" t="s">
        <v>252</v>
      </c>
      <c r="G22" s="53" t="s">
        <v>42</v>
      </c>
      <c r="H22" s="53" t="s">
        <v>164</v>
      </c>
      <c r="I22" s="53" t="s">
        <v>159</v>
      </c>
      <c r="J22" s="53" t="s">
        <v>38</v>
      </c>
      <c r="K22" s="53" t="s">
        <v>161</v>
      </c>
      <c r="L22" s="53">
        <v>3</v>
      </c>
      <c r="N22" s="53">
        <v>5</v>
      </c>
      <c r="O22" s="53">
        <v>0.75</v>
      </c>
      <c r="P22" s="53">
        <v>0.65</v>
      </c>
      <c r="Q22" s="16">
        <f t="shared" si="0"/>
        <v>0.7</v>
      </c>
      <c r="R22" s="53">
        <v>14.1</v>
      </c>
      <c r="S22" s="53">
        <v>83</v>
      </c>
      <c r="T22" s="16">
        <f t="shared" si="1"/>
        <v>39</v>
      </c>
      <c r="U22" s="53">
        <v>364</v>
      </c>
      <c r="V22" s="16">
        <f t="shared" si="2"/>
        <v>2839.2</v>
      </c>
      <c r="W22" s="53">
        <v>15</v>
      </c>
      <c r="X22" s="53" t="s">
        <v>39</v>
      </c>
      <c r="Y22" s="53" t="s">
        <v>90</v>
      </c>
      <c r="Z22" s="53" t="s">
        <v>84</v>
      </c>
      <c r="AA22" s="53" t="s">
        <v>78</v>
      </c>
      <c r="AB22" s="53" t="s">
        <v>238</v>
      </c>
      <c r="AP22" s="27" t="s">
        <v>115</v>
      </c>
      <c r="AR22" s="23" t="s">
        <v>83</v>
      </c>
    </row>
    <row r="23" spans="1:48" x14ac:dyDescent="0.15">
      <c r="A23" s="53" t="s">
        <v>56</v>
      </c>
      <c r="B23" s="53" t="s">
        <v>234</v>
      </c>
      <c r="C23" s="53">
        <v>2019</v>
      </c>
      <c r="D23" s="81" t="s">
        <v>235</v>
      </c>
      <c r="E23" s="53" t="s">
        <v>256</v>
      </c>
      <c r="F23" s="53" t="s">
        <v>252</v>
      </c>
      <c r="G23" s="53" t="s">
        <v>42</v>
      </c>
      <c r="H23" s="53" t="s">
        <v>160</v>
      </c>
      <c r="I23" s="53" t="s">
        <v>159</v>
      </c>
      <c r="J23" s="53" t="s">
        <v>38</v>
      </c>
      <c r="K23" s="53" t="s">
        <v>161</v>
      </c>
      <c r="L23" s="53">
        <v>1</v>
      </c>
      <c r="N23" s="53">
        <v>5</v>
      </c>
      <c r="O23" s="53">
        <v>0.7</v>
      </c>
      <c r="P23" s="53">
        <v>0.7</v>
      </c>
      <c r="Q23" s="16">
        <f t="shared" si="0"/>
        <v>0.7</v>
      </c>
      <c r="R23" s="53">
        <v>16.100000000000001</v>
      </c>
      <c r="S23" s="53">
        <v>83</v>
      </c>
      <c r="T23" s="16">
        <f t="shared" si="1"/>
        <v>39</v>
      </c>
      <c r="U23" s="53">
        <v>418</v>
      </c>
      <c r="V23" s="16">
        <f t="shared" si="2"/>
        <v>3260.3999999999996</v>
      </c>
      <c r="W23" s="53">
        <v>2</v>
      </c>
      <c r="X23" s="53" t="s">
        <v>39</v>
      </c>
      <c r="Y23" s="53" t="s">
        <v>90</v>
      </c>
      <c r="Z23" s="53" t="s">
        <v>84</v>
      </c>
      <c r="AA23" s="53" t="s">
        <v>78</v>
      </c>
      <c r="AB23" s="53" t="s">
        <v>238</v>
      </c>
      <c r="AP23" s="27" t="s">
        <v>137</v>
      </c>
      <c r="AR23" s="23" t="s">
        <v>61</v>
      </c>
    </row>
    <row r="24" spans="1:48" x14ac:dyDescent="0.15">
      <c r="A24" s="53" t="s">
        <v>56</v>
      </c>
      <c r="B24" s="53" t="s">
        <v>234</v>
      </c>
      <c r="C24" s="53">
        <v>2019</v>
      </c>
      <c r="D24" s="81" t="s">
        <v>235</v>
      </c>
      <c r="E24" s="53" t="s">
        <v>256</v>
      </c>
      <c r="F24" s="53" t="s">
        <v>252</v>
      </c>
      <c r="G24" s="53" t="s">
        <v>42</v>
      </c>
      <c r="H24" s="53" t="s">
        <v>160</v>
      </c>
      <c r="I24" s="53" t="s">
        <v>159</v>
      </c>
      <c r="J24" s="53" t="s">
        <v>38</v>
      </c>
      <c r="K24" s="53" t="s">
        <v>161</v>
      </c>
      <c r="L24" s="53">
        <v>2</v>
      </c>
      <c r="N24" s="53">
        <v>5</v>
      </c>
      <c r="O24" s="53">
        <v>0.7</v>
      </c>
      <c r="P24" s="53">
        <v>0.65</v>
      </c>
      <c r="Q24" s="16">
        <f t="shared" si="0"/>
        <v>0.67500000000000004</v>
      </c>
      <c r="R24" s="53">
        <v>16</v>
      </c>
      <c r="S24" s="53">
        <v>85</v>
      </c>
      <c r="T24" s="16">
        <f t="shared" si="1"/>
        <v>36</v>
      </c>
      <c r="U24" s="53">
        <v>418</v>
      </c>
      <c r="V24" s="16">
        <f t="shared" si="2"/>
        <v>3009.6</v>
      </c>
      <c r="W24" s="53">
        <v>2</v>
      </c>
      <c r="X24" s="53" t="s">
        <v>39</v>
      </c>
      <c r="Y24" s="53" t="s">
        <v>90</v>
      </c>
      <c r="Z24" s="53" t="s">
        <v>84</v>
      </c>
      <c r="AA24" s="53" t="s">
        <v>78</v>
      </c>
      <c r="AB24" s="53" t="s">
        <v>238</v>
      </c>
      <c r="AP24" s="27" t="s">
        <v>138</v>
      </c>
      <c r="AR24" s="23" t="s">
        <v>91</v>
      </c>
    </row>
    <row r="25" spans="1:48" x14ac:dyDescent="0.15">
      <c r="A25" s="53" t="s">
        <v>56</v>
      </c>
      <c r="B25" s="53" t="s">
        <v>234</v>
      </c>
      <c r="C25" s="53">
        <v>2019</v>
      </c>
      <c r="D25" s="81" t="s">
        <v>235</v>
      </c>
      <c r="E25" s="53" t="s">
        <v>256</v>
      </c>
      <c r="F25" s="53" t="s">
        <v>252</v>
      </c>
      <c r="G25" s="53" t="s">
        <v>42</v>
      </c>
      <c r="H25" s="53" t="s">
        <v>160</v>
      </c>
      <c r="I25" s="53" t="s">
        <v>159</v>
      </c>
      <c r="J25" s="53" t="s">
        <v>38</v>
      </c>
      <c r="K25" s="53" t="s">
        <v>161</v>
      </c>
      <c r="L25" s="53">
        <v>3</v>
      </c>
      <c r="N25" s="53">
        <v>5</v>
      </c>
      <c r="O25" s="53">
        <v>0.65</v>
      </c>
      <c r="P25" s="53">
        <v>0.65</v>
      </c>
      <c r="Q25" s="16">
        <f t="shared" si="0"/>
        <v>0.65</v>
      </c>
      <c r="R25" s="53">
        <v>15.2</v>
      </c>
      <c r="S25" s="53">
        <v>84</v>
      </c>
      <c r="T25" s="16">
        <f t="shared" si="1"/>
        <v>36</v>
      </c>
      <c r="U25" s="53">
        <v>418</v>
      </c>
      <c r="V25" s="16">
        <f t="shared" si="2"/>
        <v>3009.6</v>
      </c>
      <c r="W25" s="53">
        <v>2</v>
      </c>
      <c r="X25" s="53" t="s">
        <v>39</v>
      </c>
      <c r="Y25" s="53" t="s">
        <v>90</v>
      </c>
      <c r="Z25" s="53" t="s">
        <v>84</v>
      </c>
      <c r="AA25" s="53" t="s">
        <v>78</v>
      </c>
      <c r="AB25" s="53" t="s">
        <v>238</v>
      </c>
      <c r="AP25" s="27" t="s">
        <v>116</v>
      </c>
      <c r="AR25" s="27" t="s">
        <v>92</v>
      </c>
    </row>
    <row r="26" spans="1:48" x14ac:dyDescent="0.15">
      <c r="A26" s="53" t="s">
        <v>56</v>
      </c>
      <c r="B26" s="53" t="s">
        <v>234</v>
      </c>
      <c r="C26" s="53">
        <v>2019</v>
      </c>
      <c r="D26" s="81" t="s">
        <v>235</v>
      </c>
      <c r="E26" s="53" t="s">
        <v>162</v>
      </c>
      <c r="F26" s="53" t="s">
        <v>251</v>
      </c>
      <c r="G26" s="53" t="s">
        <v>42</v>
      </c>
      <c r="H26" s="53" t="s">
        <v>164</v>
      </c>
      <c r="I26" s="53" t="s">
        <v>159</v>
      </c>
      <c r="J26" s="53" t="s">
        <v>38</v>
      </c>
      <c r="K26" s="53" t="s">
        <v>161</v>
      </c>
      <c r="L26" s="53">
        <v>1</v>
      </c>
      <c r="N26" s="53">
        <v>5</v>
      </c>
      <c r="O26" s="53">
        <v>0.7</v>
      </c>
      <c r="P26" s="53">
        <v>0.75</v>
      </c>
      <c r="Q26" s="16">
        <f t="shared" si="0"/>
        <v>0.72499999999999998</v>
      </c>
      <c r="R26" s="53">
        <v>13.9</v>
      </c>
      <c r="S26" s="53">
        <v>91</v>
      </c>
      <c r="T26" s="16">
        <f t="shared" si="1"/>
        <v>36</v>
      </c>
      <c r="U26" s="53">
        <v>430</v>
      </c>
      <c r="V26" s="16">
        <f t="shared" si="2"/>
        <v>3096</v>
      </c>
      <c r="W26" s="53">
        <v>2</v>
      </c>
      <c r="X26" s="53" t="s">
        <v>46</v>
      </c>
      <c r="Y26" s="53" t="s">
        <v>90</v>
      </c>
      <c r="Z26" s="53" t="s">
        <v>84</v>
      </c>
      <c r="AA26" s="53" t="s">
        <v>78</v>
      </c>
      <c r="AB26" s="53" t="s">
        <v>238</v>
      </c>
      <c r="AP26" s="27" t="s">
        <v>117</v>
      </c>
      <c r="AR26" s="53" t="s">
        <v>153</v>
      </c>
    </row>
    <row r="27" spans="1:48" x14ac:dyDescent="0.15">
      <c r="A27" s="53" t="s">
        <v>56</v>
      </c>
      <c r="B27" s="53" t="s">
        <v>234</v>
      </c>
      <c r="C27" s="53">
        <v>2019</v>
      </c>
      <c r="D27" s="81" t="s">
        <v>235</v>
      </c>
      <c r="E27" s="53" t="s">
        <v>162</v>
      </c>
      <c r="F27" s="53" t="s">
        <v>251</v>
      </c>
      <c r="G27" s="53" t="s">
        <v>42</v>
      </c>
      <c r="H27" s="53" t="s">
        <v>164</v>
      </c>
      <c r="I27" s="53" t="s">
        <v>159</v>
      </c>
      <c r="J27" s="53" t="s">
        <v>38</v>
      </c>
      <c r="K27" s="53" t="s">
        <v>161</v>
      </c>
      <c r="L27" s="53">
        <v>2</v>
      </c>
      <c r="N27" s="53">
        <v>5</v>
      </c>
      <c r="O27" s="53">
        <v>0.7</v>
      </c>
      <c r="P27" s="53">
        <v>0.65</v>
      </c>
      <c r="Q27" s="16">
        <f t="shared" si="0"/>
        <v>0.67500000000000004</v>
      </c>
      <c r="R27" s="53">
        <v>14.4</v>
      </c>
      <c r="S27" s="53">
        <v>85</v>
      </c>
      <c r="T27" s="16">
        <f t="shared" si="1"/>
        <v>36</v>
      </c>
      <c r="U27" s="53">
        <v>430</v>
      </c>
      <c r="V27" s="16">
        <f t="shared" si="2"/>
        <v>3096</v>
      </c>
      <c r="W27" s="53">
        <v>2</v>
      </c>
      <c r="X27" s="53" t="s">
        <v>46</v>
      </c>
      <c r="Y27" s="53" t="s">
        <v>90</v>
      </c>
      <c r="Z27" s="53" t="s">
        <v>84</v>
      </c>
      <c r="AA27" s="53" t="s">
        <v>78</v>
      </c>
      <c r="AB27" s="53" t="s">
        <v>238</v>
      </c>
      <c r="AP27" s="27" t="s">
        <v>118</v>
      </c>
    </row>
    <row r="28" spans="1:48" x14ac:dyDescent="0.15">
      <c r="A28" s="53" t="s">
        <v>56</v>
      </c>
      <c r="B28" s="53" t="s">
        <v>234</v>
      </c>
      <c r="C28" s="53">
        <v>2019</v>
      </c>
      <c r="D28" s="81" t="s">
        <v>235</v>
      </c>
      <c r="E28" s="53" t="s">
        <v>162</v>
      </c>
      <c r="F28" s="53" t="s">
        <v>251</v>
      </c>
      <c r="G28" s="53" t="s">
        <v>42</v>
      </c>
      <c r="H28" s="53" t="s">
        <v>164</v>
      </c>
      <c r="I28" s="53" t="s">
        <v>159</v>
      </c>
      <c r="J28" s="53" t="s">
        <v>38</v>
      </c>
      <c r="K28" s="53" t="s">
        <v>161</v>
      </c>
      <c r="L28" s="53">
        <v>3</v>
      </c>
      <c r="N28" s="53">
        <v>5</v>
      </c>
      <c r="O28" s="53">
        <v>0.7</v>
      </c>
      <c r="P28" s="53">
        <v>0.6</v>
      </c>
      <c r="Q28" s="16">
        <f t="shared" si="0"/>
        <v>0.64999999999999991</v>
      </c>
      <c r="R28" s="53">
        <v>14.5</v>
      </c>
      <c r="S28" s="53">
        <v>90</v>
      </c>
      <c r="T28" s="16">
        <f t="shared" si="1"/>
        <v>36</v>
      </c>
      <c r="U28" s="53">
        <v>430</v>
      </c>
      <c r="V28" s="16">
        <f t="shared" si="2"/>
        <v>3096</v>
      </c>
      <c r="W28" s="53">
        <v>2</v>
      </c>
      <c r="X28" s="53" t="s">
        <v>46</v>
      </c>
      <c r="Y28" s="53" t="s">
        <v>90</v>
      </c>
      <c r="Z28" s="53" t="s">
        <v>84</v>
      </c>
      <c r="AA28" s="53" t="s">
        <v>78</v>
      </c>
      <c r="AB28" s="53" t="s">
        <v>238</v>
      </c>
    </row>
    <row r="29" spans="1:48" x14ac:dyDescent="0.15">
      <c r="A29" s="53" t="s">
        <v>56</v>
      </c>
      <c r="B29" s="53" t="s">
        <v>234</v>
      </c>
      <c r="C29" s="53">
        <v>2019</v>
      </c>
      <c r="D29" s="81" t="s">
        <v>235</v>
      </c>
      <c r="E29" s="53" t="s">
        <v>162</v>
      </c>
      <c r="F29" s="53" t="s">
        <v>251</v>
      </c>
      <c r="G29" s="53" t="s">
        <v>42</v>
      </c>
      <c r="H29" s="53" t="s">
        <v>160</v>
      </c>
      <c r="I29" s="53" t="s">
        <v>159</v>
      </c>
      <c r="J29" s="53" t="s">
        <v>38</v>
      </c>
      <c r="K29" s="53" t="s">
        <v>161</v>
      </c>
      <c r="L29" s="53">
        <v>1</v>
      </c>
      <c r="N29" s="53">
        <v>1</v>
      </c>
      <c r="O29" s="53">
        <v>0.65</v>
      </c>
      <c r="P29" s="53">
        <v>0.6</v>
      </c>
      <c r="Q29" s="16">
        <f t="shared" si="0"/>
        <v>0.625</v>
      </c>
      <c r="R29" s="53">
        <v>15.9</v>
      </c>
      <c r="S29" s="53">
        <v>94</v>
      </c>
      <c r="T29" s="16">
        <f t="shared" si="1"/>
        <v>36</v>
      </c>
      <c r="U29" s="53">
        <v>106</v>
      </c>
      <c r="V29" s="16">
        <f t="shared" si="2"/>
        <v>3816</v>
      </c>
      <c r="W29" s="53">
        <v>2</v>
      </c>
      <c r="X29" s="53" t="s">
        <v>46</v>
      </c>
      <c r="Y29" s="53" t="s">
        <v>90</v>
      </c>
      <c r="Z29" s="53" t="s">
        <v>84</v>
      </c>
      <c r="AA29" s="53" t="s">
        <v>78</v>
      </c>
      <c r="AB29" s="53" t="s">
        <v>238</v>
      </c>
    </row>
    <row r="30" spans="1:48" x14ac:dyDescent="0.15">
      <c r="A30" s="53" t="s">
        <v>56</v>
      </c>
      <c r="B30" s="53" t="s">
        <v>234</v>
      </c>
      <c r="C30" s="53">
        <v>2019</v>
      </c>
      <c r="D30" s="81" t="s">
        <v>235</v>
      </c>
      <c r="E30" s="53" t="s">
        <v>162</v>
      </c>
      <c r="F30" s="53" t="s">
        <v>251</v>
      </c>
      <c r="G30" s="53" t="s">
        <v>42</v>
      </c>
      <c r="H30" s="53" t="s">
        <v>160</v>
      </c>
      <c r="I30" s="53" t="s">
        <v>159</v>
      </c>
      <c r="J30" s="53" t="s">
        <v>38</v>
      </c>
      <c r="K30" s="53" t="s">
        <v>161</v>
      </c>
      <c r="L30" s="53">
        <v>2</v>
      </c>
      <c r="N30" s="53">
        <v>1</v>
      </c>
      <c r="O30" s="53">
        <v>0.65</v>
      </c>
      <c r="P30" s="53">
        <v>0.75</v>
      </c>
      <c r="Q30" s="16">
        <f t="shared" si="0"/>
        <v>0.7</v>
      </c>
      <c r="R30" s="53">
        <v>14.8</v>
      </c>
      <c r="S30" s="53">
        <v>96</v>
      </c>
      <c r="T30" s="16">
        <f t="shared" si="1"/>
        <v>36</v>
      </c>
      <c r="U30" s="53">
        <v>106</v>
      </c>
      <c r="V30" s="16">
        <f t="shared" si="2"/>
        <v>3816</v>
      </c>
      <c r="W30" s="53">
        <v>2</v>
      </c>
      <c r="X30" s="53" t="s">
        <v>46</v>
      </c>
      <c r="Y30" s="53" t="s">
        <v>90</v>
      </c>
      <c r="Z30" s="53" t="s">
        <v>84</v>
      </c>
      <c r="AA30" s="53" t="s">
        <v>78</v>
      </c>
      <c r="AB30" s="53" t="s">
        <v>238</v>
      </c>
    </row>
    <row r="31" spans="1:48" x14ac:dyDescent="0.15">
      <c r="A31" s="53" t="s">
        <v>56</v>
      </c>
      <c r="B31" s="53" t="s">
        <v>234</v>
      </c>
      <c r="C31" s="53">
        <v>2019</v>
      </c>
      <c r="D31" s="81" t="s">
        <v>235</v>
      </c>
      <c r="E31" s="53" t="s">
        <v>162</v>
      </c>
      <c r="F31" s="53" t="s">
        <v>251</v>
      </c>
      <c r="G31" s="53" t="s">
        <v>42</v>
      </c>
      <c r="H31" s="53" t="s">
        <v>160</v>
      </c>
      <c r="I31" s="53" t="s">
        <v>159</v>
      </c>
      <c r="J31" s="53" t="s">
        <v>38</v>
      </c>
      <c r="K31" s="53" t="s">
        <v>161</v>
      </c>
      <c r="L31" s="53">
        <v>3</v>
      </c>
      <c r="N31" s="53">
        <v>1</v>
      </c>
      <c r="O31" s="53">
        <v>0.65</v>
      </c>
      <c r="P31" s="53">
        <v>0.65</v>
      </c>
      <c r="Q31" s="16">
        <f t="shared" si="0"/>
        <v>0.65</v>
      </c>
      <c r="R31" s="53">
        <v>12.4</v>
      </c>
      <c r="S31" s="53">
        <v>98</v>
      </c>
      <c r="T31" s="16">
        <f t="shared" si="1"/>
        <v>36</v>
      </c>
      <c r="U31" s="53">
        <v>106</v>
      </c>
      <c r="V31" s="16">
        <f t="shared" si="2"/>
        <v>3816</v>
      </c>
      <c r="W31" s="53">
        <v>2</v>
      </c>
      <c r="X31" s="53" t="s">
        <v>46</v>
      </c>
      <c r="Y31" s="53" t="s">
        <v>90</v>
      </c>
      <c r="Z31" s="53" t="s">
        <v>84</v>
      </c>
      <c r="AA31" s="53" t="s">
        <v>78</v>
      </c>
      <c r="AB31" s="53" t="s">
        <v>238</v>
      </c>
    </row>
    <row r="32" spans="1:48" x14ac:dyDescent="0.15">
      <c r="A32" s="53" t="s">
        <v>56</v>
      </c>
      <c r="B32" s="53" t="s">
        <v>234</v>
      </c>
      <c r="C32" s="53">
        <v>2019</v>
      </c>
      <c r="D32" s="81" t="s">
        <v>235</v>
      </c>
      <c r="E32" s="53" t="s">
        <v>258</v>
      </c>
      <c r="F32" s="53" t="s">
        <v>251</v>
      </c>
      <c r="G32" s="53" t="s">
        <v>42</v>
      </c>
      <c r="H32" s="53" t="s">
        <v>164</v>
      </c>
      <c r="I32" s="53" t="s">
        <v>159</v>
      </c>
      <c r="J32" s="53" t="s">
        <v>38</v>
      </c>
      <c r="K32" s="53" t="s">
        <v>161</v>
      </c>
      <c r="L32" s="53">
        <v>1</v>
      </c>
      <c r="N32" s="53">
        <v>1</v>
      </c>
      <c r="O32" s="53">
        <v>0.95</v>
      </c>
      <c r="P32" s="53">
        <v>0.95</v>
      </c>
      <c r="Q32" s="16">
        <f t="shared" si="0"/>
        <v>0.95</v>
      </c>
      <c r="R32" s="53">
        <v>12.5</v>
      </c>
      <c r="S32" s="53">
        <v>129</v>
      </c>
      <c r="T32" s="16">
        <f t="shared" si="1"/>
        <v>25</v>
      </c>
      <c r="U32" s="53">
        <v>138</v>
      </c>
      <c r="V32" s="16">
        <f t="shared" si="2"/>
        <v>3450</v>
      </c>
      <c r="W32" s="53">
        <v>1</v>
      </c>
      <c r="X32" s="53" t="s">
        <v>39</v>
      </c>
      <c r="Y32" s="53" t="s">
        <v>84</v>
      </c>
      <c r="Z32" s="53" t="s">
        <v>90</v>
      </c>
      <c r="AA32" s="53" t="s">
        <v>78</v>
      </c>
      <c r="AB32" s="53" t="s">
        <v>238</v>
      </c>
    </row>
    <row r="33" spans="1:28" x14ac:dyDescent="0.15">
      <c r="A33" s="53" t="s">
        <v>56</v>
      </c>
      <c r="B33" s="53" t="s">
        <v>234</v>
      </c>
      <c r="C33" s="53">
        <v>2019</v>
      </c>
      <c r="D33" s="81" t="s">
        <v>235</v>
      </c>
      <c r="E33" s="53" t="s">
        <v>258</v>
      </c>
      <c r="F33" s="53" t="s">
        <v>251</v>
      </c>
      <c r="G33" s="53" t="s">
        <v>42</v>
      </c>
      <c r="H33" s="53" t="s">
        <v>164</v>
      </c>
      <c r="I33" s="53" t="s">
        <v>159</v>
      </c>
      <c r="J33" s="53" t="s">
        <v>38</v>
      </c>
      <c r="K33" s="53" t="s">
        <v>161</v>
      </c>
      <c r="L33" s="53">
        <v>2</v>
      </c>
      <c r="N33" s="53">
        <v>1</v>
      </c>
      <c r="O33" s="53">
        <v>0.75</v>
      </c>
      <c r="P33" s="53">
        <v>0.7</v>
      </c>
      <c r="Q33" s="16">
        <f t="shared" si="0"/>
        <v>0.72499999999999998</v>
      </c>
      <c r="R33" s="53">
        <v>14.1</v>
      </c>
      <c r="S33" s="53">
        <v>121</v>
      </c>
      <c r="T33" s="16">
        <f t="shared" si="1"/>
        <v>27</v>
      </c>
      <c r="U33" s="53">
        <v>138</v>
      </c>
      <c r="V33" s="16">
        <f t="shared" si="2"/>
        <v>3726</v>
      </c>
      <c r="W33" s="53">
        <v>1</v>
      </c>
      <c r="X33" s="53" t="s">
        <v>39</v>
      </c>
      <c r="Y33" s="53" t="s">
        <v>84</v>
      </c>
      <c r="Z33" s="53" t="s">
        <v>90</v>
      </c>
      <c r="AA33" s="53" t="s">
        <v>78</v>
      </c>
      <c r="AB33" s="53" t="s">
        <v>238</v>
      </c>
    </row>
    <row r="34" spans="1:28" x14ac:dyDescent="0.15">
      <c r="A34" s="53" t="s">
        <v>56</v>
      </c>
      <c r="B34" s="53" t="s">
        <v>234</v>
      </c>
      <c r="C34" s="53">
        <v>2019</v>
      </c>
      <c r="D34" s="81" t="s">
        <v>235</v>
      </c>
      <c r="E34" s="53" t="s">
        <v>258</v>
      </c>
      <c r="F34" s="53" t="s">
        <v>251</v>
      </c>
      <c r="G34" s="53" t="s">
        <v>42</v>
      </c>
      <c r="H34" s="53" t="s">
        <v>164</v>
      </c>
      <c r="I34" s="53" t="s">
        <v>159</v>
      </c>
      <c r="J34" s="53" t="s">
        <v>38</v>
      </c>
      <c r="K34" s="53" t="s">
        <v>161</v>
      </c>
      <c r="L34" s="53">
        <v>3</v>
      </c>
      <c r="N34" s="53">
        <v>1</v>
      </c>
      <c r="O34" s="53">
        <v>0.9</v>
      </c>
      <c r="P34" s="53">
        <v>0.9</v>
      </c>
      <c r="Q34" s="16">
        <f t="shared" si="0"/>
        <v>0.9</v>
      </c>
      <c r="R34" s="53">
        <v>13.5</v>
      </c>
      <c r="S34" s="53">
        <v>132</v>
      </c>
      <c r="T34" s="16">
        <f t="shared" si="1"/>
        <v>25</v>
      </c>
      <c r="U34" s="53">
        <v>138</v>
      </c>
      <c r="V34" s="16">
        <f t="shared" si="2"/>
        <v>3450</v>
      </c>
      <c r="W34" s="53">
        <v>1</v>
      </c>
      <c r="X34" s="53" t="s">
        <v>39</v>
      </c>
      <c r="Y34" s="53" t="s">
        <v>84</v>
      </c>
      <c r="Z34" s="53" t="s">
        <v>90</v>
      </c>
      <c r="AA34" s="53" t="s">
        <v>78</v>
      </c>
      <c r="AB34" s="53" t="s">
        <v>238</v>
      </c>
    </row>
    <row r="35" spans="1:28" x14ac:dyDescent="0.15">
      <c r="A35" s="53" t="s">
        <v>56</v>
      </c>
      <c r="B35" s="53" t="s">
        <v>234</v>
      </c>
      <c r="C35" s="53">
        <v>2019</v>
      </c>
      <c r="D35" s="81" t="s">
        <v>235</v>
      </c>
      <c r="E35" s="53" t="s">
        <v>258</v>
      </c>
      <c r="F35" s="53" t="s">
        <v>251</v>
      </c>
      <c r="G35" s="53" t="s">
        <v>42</v>
      </c>
      <c r="H35" s="53" t="s">
        <v>160</v>
      </c>
      <c r="I35" s="53" t="s">
        <v>159</v>
      </c>
      <c r="J35" s="53" t="s">
        <v>38</v>
      </c>
      <c r="K35" s="53" t="s">
        <v>161</v>
      </c>
      <c r="L35" s="53">
        <v>1</v>
      </c>
      <c r="N35" s="53">
        <v>1</v>
      </c>
      <c r="O35" s="53">
        <v>0.7</v>
      </c>
      <c r="P35" s="53">
        <v>0.7</v>
      </c>
      <c r="Q35" s="16">
        <f t="shared" si="0"/>
        <v>0.7</v>
      </c>
      <c r="R35" s="53">
        <v>17.3</v>
      </c>
      <c r="S35" s="53">
        <v>143</v>
      </c>
      <c r="T35" s="16">
        <f t="shared" si="1"/>
        <v>22</v>
      </c>
      <c r="U35" s="53">
        <v>198</v>
      </c>
      <c r="V35" s="16">
        <f t="shared" si="2"/>
        <v>4356</v>
      </c>
      <c r="W35" s="53">
        <v>1</v>
      </c>
      <c r="X35" s="53" t="s">
        <v>39</v>
      </c>
      <c r="Y35" s="53" t="s">
        <v>84</v>
      </c>
      <c r="Z35" s="53" t="s">
        <v>90</v>
      </c>
      <c r="AA35" s="53" t="s">
        <v>78</v>
      </c>
      <c r="AB35" s="53" t="s">
        <v>238</v>
      </c>
    </row>
    <row r="36" spans="1:28" x14ac:dyDescent="0.15">
      <c r="A36" s="53" t="s">
        <v>56</v>
      </c>
      <c r="B36" s="53" t="s">
        <v>234</v>
      </c>
      <c r="C36" s="53">
        <v>2019</v>
      </c>
      <c r="D36" s="81" t="s">
        <v>235</v>
      </c>
      <c r="E36" s="53" t="s">
        <v>258</v>
      </c>
      <c r="F36" s="53" t="s">
        <v>251</v>
      </c>
      <c r="G36" s="53" t="s">
        <v>42</v>
      </c>
      <c r="H36" s="53" t="s">
        <v>160</v>
      </c>
      <c r="I36" s="53" t="s">
        <v>159</v>
      </c>
      <c r="J36" s="53" t="s">
        <v>38</v>
      </c>
      <c r="K36" s="53" t="s">
        <v>161</v>
      </c>
      <c r="L36" s="53">
        <v>2</v>
      </c>
      <c r="N36" s="53">
        <v>1</v>
      </c>
      <c r="O36" s="53">
        <v>0.7</v>
      </c>
      <c r="P36" s="53">
        <v>0.75</v>
      </c>
      <c r="Q36" s="16">
        <f t="shared" si="0"/>
        <v>0.72499999999999998</v>
      </c>
      <c r="R36" s="53">
        <v>15.8</v>
      </c>
      <c r="S36" s="53">
        <v>141</v>
      </c>
      <c r="T36" s="16">
        <f t="shared" si="1"/>
        <v>22</v>
      </c>
      <c r="U36" s="53">
        <v>198</v>
      </c>
      <c r="V36" s="16">
        <f t="shared" si="2"/>
        <v>4356</v>
      </c>
      <c r="W36" s="53">
        <v>1</v>
      </c>
      <c r="X36" s="53" t="s">
        <v>39</v>
      </c>
      <c r="Y36" s="53" t="s">
        <v>84</v>
      </c>
      <c r="Z36" s="53" t="s">
        <v>90</v>
      </c>
      <c r="AA36" s="53" t="s">
        <v>78</v>
      </c>
      <c r="AB36" s="53" t="s">
        <v>238</v>
      </c>
    </row>
    <row r="37" spans="1:28" x14ac:dyDescent="0.15">
      <c r="A37" s="53" t="s">
        <v>56</v>
      </c>
      <c r="B37" s="53" t="s">
        <v>234</v>
      </c>
      <c r="C37" s="53">
        <v>2019</v>
      </c>
      <c r="D37" s="81" t="s">
        <v>235</v>
      </c>
      <c r="E37" s="53" t="s">
        <v>258</v>
      </c>
      <c r="F37" s="53" t="s">
        <v>251</v>
      </c>
      <c r="G37" s="53" t="s">
        <v>42</v>
      </c>
      <c r="H37" s="53" t="s">
        <v>160</v>
      </c>
      <c r="I37" s="53" t="s">
        <v>159</v>
      </c>
      <c r="J37" s="53" t="s">
        <v>38</v>
      </c>
      <c r="K37" s="53" t="s">
        <v>161</v>
      </c>
      <c r="L37" s="53">
        <v>3</v>
      </c>
      <c r="N37" s="53">
        <v>1</v>
      </c>
      <c r="O37" s="53">
        <v>0.9</v>
      </c>
      <c r="P37" s="53">
        <v>0.85</v>
      </c>
      <c r="Q37" s="16">
        <f t="shared" si="0"/>
        <v>0.875</v>
      </c>
      <c r="R37" s="53">
        <v>17.3</v>
      </c>
      <c r="S37" s="53">
        <v>144</v>
      </c>
      <c r="T37" s="16">
        <f t="shared" si="1"/>
        <v>22</v>
      </c>
      <c r="U37" s="53">
        <v>198</v>
      </c>
      <c r="V37" s="16">
        <f t="shared" si="2"/>
        <v>4356</v>
      </c>
      <c r="W37" s="53">
        <v>1</v>
      </c>
      <c r="X37" s="53" t="s">
        <v>39</v>
      </c>
      <c r="Y37" s="53" t="s">
        <v>84</v>
      </c>
      <c r="Z37" s="53" t="s">
        <v>90</v>
      </c>
      <c r="AA37" s="53" t="s">
        <v>78</v>
      </c>
      <c r="AB37" s="53" t="s">
        <v>238</v>
      </c>
    </row>
    <row r="38" spans="1:28" x14ac:dyDescent="0.15">
      <c r="A38" s="53" t="s">
        <v>56</v>
      </c>
      <c r="B38" s="53" t="s">
        <v>234</v>
      </c>
      <c r="C38" s="53">
        <v>2019</v>
      </c>
      <c r="D38" s="81" t="s">
        <v>235</v>
      </c>
      <c r="E38" s="53" t="s">
        <v>259</v>
      </c>
      <c r="F38" s="53" t="s">
        <v>240</v>
      </c>
      <c r="G38" s="53" t="s">
        <v>42</v>
      </c>
      <c r="H38" s="53" t="s">
        <v>164</v>
      </c>
      <c r="I38" s="53" t="s">
        <v>159</v>
      </c>
      <c r="J38" s="53" t="s">
        <v>38</v>
      </c>
      <c r="K38" s="53" t="s">
        <v>161</v>
      </c>
      <c r="L38" s="53">
        <v>1</v>
      </c>
      <c r="N38" s="53">
        <v>5</v>
      </c>
      <c r="O38" s="53">
        <v>0.6</v>
      </c>
      <c r="P38" s="53">
        <v>0.65</v>
      </c>
      <c r="Q38" s="16">
        <f t="shared" si="0"/>
        <v>0.625</v>
      </c>
      <c r="R38" s="53">
        <v>15.5</v>
      </c>
      <c r="S38" s="53">
        <v>92</v>
      </c>
      <c r="T38" s="16">
        <f t="shared" si="1"/>
        <v>36</v>
      </c>
      <c r="U38" s="53">
        <v>429</v>
      </c>
      <c r="V38" s="16">
        <f t="shared" si="2"/>
        <v>3088.7999999999997</v>
      </c>
      <c r="W38" s="53">
        <v>1</v>
      </c>
      <c r="X38" s="53" t="s">
        <v>39</v>
      </c>
      <c r="Y38" s="53" t="s">
        <v>84</v>
      </c>
      <c r="Z38" s="53" t="s">
        <v>90</v>
      </c>
      <c r="AA38" s="53" t="s">
        <v>78</v>
      </c>
      <c r="AB38" s="53" t="s">
        <v>238</v>
      </c>
    </row>
    <row r="39" spans="1:28" x14ac:dyDescent="0.15">
      <c r="A39" s="53" t="s">
        <v>56</v>
      </c>
      <c r="B39" s="53" t="s">
        <v>234</v>
      </c>
      <c r="C39" s="53">
        <v>2019</v>
      </c>
      <c r="D39" s="81" t="s">
        <v>235</v>
      </c>
      <c r="E39" s="53" t="s">
        <v>259</v>
      </c>
      <c r="F39" s="53" t="s">
        <v>240</v>
      </c>
      <c r="G39" s="53" t="s">
        <v>42</v>
      </c>
      <c r="H39" s="53" t="s">
        <v>164</v>
      </c>
      <c r="I39" s="53" t="s">
        <v>159</v>
      </c>
      <c r="J39" s="53" t="s">
        <v>38</v>
      </c>
      <c r="K39" s="53" t="s">
        <v>161</v>
      </c>
      <c r="L39" s="53">
        <v>2</v>
      </c>
      <c r="N39" s="53">
        <v>5</v>
      </c>
      <c r="O39" s="53">
        <v>0.65</v>
      </c>
      <c r="P39" s="53">
        <v>0.6</v>
      </c>
      <c r="Q39" s="16">
        <f t="shared" si="0"/>
        <v>0.625</v>
      </c>
      <c r="R39" s="53">
        <v>14.6</v>
      </c>
      <c r="S39" s="53">
        <v>104</v>
      </c>
      <c r="T39" s="16">
        <f t="shared" si="1"/>
        <v>33</v>
      </c>
      <c r="U39" s="53">
        <v>429</v>
      </c>
      <c r="V39" s="16">
        <f t="shared" si="2"/>
        <v>2831.4</v>
      </c>
      <c r="W39" s="53">
        <v>1</v>
      </c>
      <c r="X39" s="53" t="s">
        <v>39</v>
      </c>
      <c r="Y39" s="53" t="s">
        <v>84</v>
      </c>
      <c r="Z39" s="53" t="s">
        <v>90</v>
      </c>
      <c r="AA39" s="53" t="s">
        <v>78</v>
      </c>
      <c r="AB39" s="53" t="s">
        <v>238</v>
      </c>
    </row>
    <row r="40" spans="1:28" x14ac:dyDescent="0.15">
      <c r="A40" s="53" t="s">
        <v>56</v>
      </c>
      <c r="B40" s="53" t="s">
        <v>234</v>
      </c>
      <c r="C40" s="53">
        <v>2019</v>
      </c>
      <c r="D40" s="81" t="s">
        <v>235</v>
      </c>
      <c r="E40" s="53" t="s">
        <v>259</v>
      </c>
      <c r="F40" s="53" t="s">
        <v>240</v>
      </c>
      <c r="G40" s="53" t="s">
        <v>42</v>
      </c>
      <c r="H40" s="53" t="s">
        <v>164</v>
      </c>
      <c r="I40" s="53" t="s">
        <v>159</v>
      </c>
      <c r="J40" s="53" t="s">
        <v>38</v>
      </c>
      <c r="K40" s="53" t="s">
        <v>161</v>
      </c>
      <c r="L40" s="53">
        <v>3</v>
      </c>
      <c r="N40" s="53">
        <v>5</v>
      </c>
      <c r="O40" s="53">
        <v>0.6</v>
      </c>
      <c r="P40" s="53">
        <v>0.65</v>
      </c>
      <c r="Q40" s="16">
        <f t="shared" si="0"/>
        <v>0.625</v>
      </c>
      <c r="R40" s="53">
        <v>15</v>
      </c>
      <c r="S40" s="53">
        <v>105</v>
      </c>
      <c r="T40" s="16">
        <f t="shared" si="1"/>
        <v>33</v>
      </c>
      <c r="U40" s="53">
        <v>429</v>
      </c>
      <c r="V40" s="16">
        <f t="shared" si="2"/>
        <v>2831.4</v>
      </c>
      <c r="W40" s="53">
        <v>1</v>
      </c>
      <c r="X40" s="53" t="s">
        <v>39</v>
      </c>
      <c r="Y40" s="53" t="s">
        <v>84</v>
      </c>
      <c r="Z40" s="53" t="s">
        <v>90</v>
      </c>
      <c r="AA40" s="53" t="s">
        <v>78</v>
      </c>
      <c r="AB40" s="53" t="s">
        <v>238</v>
      </c>
    </row>
    <row r="41" spans="1:28" x14ac:dyDescent="0.15">
      <c r="A41" s="53" t="s">
        <v>56</v>
      </c>
      <c r="B41" s="53" t="s">
        <v>234</v>
      </c>
      <c r="C41" s="53">
        <v>2019</v>
      </c>
      <c r="D41" s="81" t="s">
        <v>235</v>
      </c>
      <c r="E41" s="53" t="s">
        <v>259</v>
      </c>
      <c r="F41" s="53" t="s">
        <v>240</v>
      </c>
      <c r="G41" s="53" t="s">
        <v>42</v>
      </c>
      <c r="H41" s="53" t="s">
        <v>160</v>
      </c>
      <c r="I41" s="53" t="s">
        <v>159</v>
      </c>
      <c r="J41" s="53" t="s">
        <v>38</v>
      </c>
      <c r="K41" s="53" t="s">
        <v>161</v>
      </c>
      <c r="L41" s="53">
        <v>1</v>
      </c>
      <c r="N41" s="53">
        <v>4</v>
      </c>
      <c r="O41" s="53">
        <v>0.65</v>
      </c>
      <c r="P41" s="53">
        <v>0.65</v>
      </c>
      <c r="Q41" s="16">
        <f t="shared" si="0"/>
        <v>0.65</v>
      </c>
      <c r="R41" s="53">
        <v>16</v>
      </c>
      <c r="S41" s="53">
        <v>86</v>
      </c>
      <c r="T41" s="16">
        <f t="shared" si="1"/>
        <v>36</v>
      </c>
      <c r="U41" s="53">
        <v>429</v>
      </c>
      <c r="V41" s="16">
        <f t="shared" si="2"/>
        <v>3861</v>
      </c>
      <c r="W41" s="53">
        <v>1</v>
      </c>
      <c r="X41" s="53" t="s">
        <v>39</v>
      </c>
      <c r="Y41" s="53" t="s">
        <v>84</v>
      </c>
      <c r="Z41" s="53" t="s">
        <v>90</v>
      </c>
      <c r="AA41" s="53" t="s">
        <v>78</v>
      </c>
      <c r="AB41" s="53" t="s">
        <v>238</v>
      </c>
    </row>
    <row r="42" spans="1:28" x14ac:dyDescent="0.15">
      <c r="A42" s="53" t="s">
        <v>56</v>
      </c>
      <c r="B42" s="53" t="s">
        <v>234</v>
      </c>
      <c r="C42" s="53">
        <v>2019</v>
      </c>
      <c r="D42" s="81" t="s">
        <v>235</v>
      </c>
      <c r="E42" s="53" t="s">
        <v>259</v>
      </c>
      <c r="F42" s="53" t="s">
        <v>240</v>
      </c>
      <c r="G42" s="53" t="s">
        <v>42</v>
      </c>
      <c r="H42" s="53" t="s">
        <v>160</v>
      </c>
      <c r="I42" s="53" t="s">
        <v>159</v>
      </c>
      <c r="J42" s="53" t="s">
        <v>38</v>
      </c>
      <c r="K42" s="53" t="s">
        <v>161</v>
      </c>
      <c r="L42" s="53">
        <v>2</v>
      </c>
      <c r="N42" s="53">
        <v>4</v>
      </c>
      <c r="O42" s="53">
        <v>0.55000000000000004</v>
      </c>
      <c r="P42" s="53">
        <v>0.6</v>
      </c>
      <c r="Q42" s="16">
        <f t="shared" si="0"/>
        <v>0.57499999999999996</v>
      </c>
      <c r="R42" s="53">
        <v>14.9</v>
      </c>
      <c r="S42" s="53">
        <v>80</v>
      </c>
      <c r="T42" s="16">
        <f t="shared" si="1"/>
        <v>39</v>
      </c>
      <c r="U42" s="53">
        <v>429</v>
      </c>
      <c r="V42" s="16">
        <f t="shared" si="2"/>
        <v>4182.75</v>
      </c>
      <c r="W42" s="53">
        <v>1</v>
      </c>
      <c r="X42" s="53" t="s">
        <v>39</v>
      </c>
      <c r="Y42" s="53" t="s">
        <v>84</v>
      </c>
      <c r="Z42" s="53" t="s">
        <v>90</v>
      </c>
      <c r="AA42" s="53" t="s">
        <v>78</v>
      </c>
      <c r="AB42" s="53" t="s">
        <v>238</v>
      </c>
    </row>
    <row r="43" spans="1:28" x14ac:dyDescent="0.15">
      <c r="A43" s="53" t="s">
        <v>56</v>
      </c>
      <c r="B43" s="53" t="s">
        <v>234</v>
      </c>
      <c r="C43" s="53">
        <v>2019</v>
      </c>
      <c r="D43" s="81" t="s">
        <v>235</v>
      </c>
      <c r="E43" s="53" t="s">
        <v>259</v>
      </c>
      <c r="F43" s="53" t="s">
        <v>240</v>
      </c>
      <c r="G43" s="53" t="s">
        <v>42</v>
      </c>
      <c r="H43" s="53" t="s">
        <v>160</v>
      </c>
      <c r="I43" s="53" t="s">
        <v>159</v>
      </c>
      <c r="J43" s="53" t="s">
        <v>38</v>
      </c>
      <c r="K43" s="53" t="s">
        <v>161</v>
      </c>
      <c r="L43" s="53">
        <v>3</v>
      </c>
      <c r="N43" s="53">
        <v>4</v>
      </c>
      <c r="O43" s="53">
        <v>0.6</v>
      </c>
      <c r="P43" s="53">
        <v>0.6</v>
      </c>
      <c r="Q43" s="16">
        <f t="shared" si="0"/>
        <v>0.6</v>
      </c>
      <c r="R43" s="53">
        <v>15.6</v>
      </c>
      <c r="S43" s="53">
        <v>81</v>
      </c>
      <c r="T43" s="16">
        <f t="shared" si="1"/>
        <v>39</v>
      </c>
      <c r="U43" s="53">
        <v>429</v>
      </c>
      <c r="V43" s="16">
        <f t="shared" si="2"/>
        <v>4182.75</v>
      </c>
      <c r="W43" s="53">
        <v>1</v>
      </c>
      <c r="X43" s="53" t="s">
        <v>39</v>
      </c>
      <c r="Y43" s="53" t="s">
        <v>84</v>
      </c>
      <c r="Z43" s="53" t="s">
        <v>90</v>
      </c>
      <c r="AA43" s="53" t="s">
        <v>78</v>
      </c>
      <c r="AB43" s="53" t="s">
        <v>238</v>
      </c>
    </row>
    <row r="44" spans="1:28" x14ac:dyDescent="0.15">
      <c r="A44" s="53" t="s">
        <v>56</v>
      </c>
      <c r="B44" s="53" t="s">
        <v>234</v>
      </c>
      <c r="C44" s="53">
        <v>2019</v>
      </c>
      <c r="D44" s="81" t="s">
        <v>235</v>
      </c>
      <c r="E44" s="53" t="s">
        <v>245</v>
      </c>
      <c r="F44" s="53" t="s">
        <v>252</v>
      </c>
      <c r="G44" s="53" t="s">
        <v>42</v>
      </c>
      <c r="H44" s="53" t="s">
        <v>164</v>
      </c>
      <c r="I44" s="53" t="s">
        <v>159</v>
      </c>
      <c r="J44" s="53" t="s">
        <v>38</v>
      </c>
      <c r="K44" s="53" t="s">
        <v>161</v>
      </c>
      <c r="L44" s="53">
        <v>1</v>
      </c>
      <c r="N44" s="53">
        <v>1</v>
      </c>
      <c r="O44" s="53">
        <v>0.9</v>
      </c>
      <c r="P44" s="53">
        <v>0.95</v>
      </c>
      <c r="Q44" s="16">
        <f t="shared" si="0"/>
        <v>0.92500000000000004</v>
      </c>
      <c r="R44" s="53">
        <v>15</v>
      </c>
      <c r="S44" s="53">
        <v>126</v>
      </c>
      <c r="T44" s="16">
        <f t="shared" si="1"/>
        <v>27</v>
      </c>
      <c r="U44" s="53">
        <v>117</v>
      </c>
      <c r="V44" s="16">
        <f t="shared" si="2"/>
        <v>3159</v>
      </c>
      <c r="W44" s="53">
        <v>4</v>
      </c>
      <c r="X44" s="53" t="s">
        <v>46</v>
      </c>
      <c r="Y44" s="53" t="s">
        <v>78</v>
      </c>
      <c r="Z44" s="53" t="s">
        <v>84</v>
      </c>
      <c r="AA44" s="53" t="s">
        <v>90</v>
      </c>
      <c r="AB44" s="53" t="s">
        <v>238</v>
      </c>
    </row>
    <row r="45" spans="1:28" x14ac:dyDescent="0.15">
      <c r="A45" s="53" t="s">
        <v>56</v>
      </c>
      <c r="B45" s="53" t="s">
        <v>234</v>
      </c>
      <c r="C45" s="53">
        <v>2019</v>
      </c>
      <c r="D45" s="81" t="s">
        <v>235</v>
      </c>
      <c r="E45" s="53" t="s">
        <v>245</v>
      </c>
      <c r="F45" s="53" t="s">
        <v>252</v>
      </c>
      <c r="G45" s="53" t="s">
        <v>42</v>
      </c>
      <c r="H45" s="53" t="s">
        <v>164</v>
      </c>
      <c r="I45" s="53" t="s">
        <v>159</v>
      </c>
      <c r="J45" s="53" t="s">
        <v>38</v>
      </c>
      <c r="K45" s="53" t="s">
        <v>161</v>
      </c>
      <c r="L45" s="53">
        <v>2</v>
      </c>
      <c r="N45" s="53">
        <v>1</v>
      </c>
      <c r="O45" s="53">
        <v>0.75</v>
      </c>
      <c r="P45" s="53">
        <v>0.7</v>
      </c>
      <c r="Q45" s="16">
        <f t="shared" si="0"/>
        <v>0.72499999999999998</v>
      </c>
      <c r="R45" s="53">
        <v>15.1</v>
      </c>
      <c r="S45" s="53">
        <v>125</v>
      </c>
      <c r="T45" s="16">
        <f t="shared" si="1"/>
        <v>27</v>
      </c>
      <c r="U45" s="53">
        <v>117</v>
      </c>
      <c r="V45" s="16">
        <f t="shared" si="2"/>
        <v>3159</v>
      </c>
      <c r="W45" s="53">
        <v>4</v>
      </c>
      <c r="X45" s="53" t="s">
        <v>46</v>
      </c>
      <c r="Y45" s="53" t="s">
        <v>78</v>
      </c>
      <c r="Z45" s="53" t="s">
        <v>84</v>
      </c>
      <c r="AA45" s="53" t="s">
        <v>90</v>
      </c>
      <c r="AB45" s="53" t="s">
        <v>238</v>
      </c>
    </row>
    <row r="46" spans="1:28" x14ac:dyDescent="0.15">
      <c r="A46" s="53" t="s">
        <v>56</v>
      </c>
      <c r="B46" s="53" t="s">
        <v>234</v>
      </c>
      <c r="C46" s="53">
        <v>2019</v>
      </c>
      <c r="D46" s="81" t="s">
        <v>235</v>
      </c>
      <c r="E46" s="53" t="s">
        <v>245</v>
      </c>
      <c r="F46" s="53" t="s">
        <v>252</v>
      </c>
      <c r="G46" s="53" t="s">
        <v>42</v>
      </c>
      <c r="H46" s="53" t="s">
        <v>164</v>
      </c>
      <c r="I46" s="53" t="s">
        <v>159</v>
      </c>
      <c r="J46" s="53" t="s">
        <v>38</v>
      </c>
      <c r="K46" s="53" t="s">
        <v>161</v>
      </c>
      <c r="L46" s="53">
        <v>3</v>
      </c>
      <c r="N46" s="53">
        <v>1</v>
      </c>
      <c r="O46" s="53">
        <v>0.8</v>
      </c>
      <c r="P46" s="53">
        <v>0.75</v>
      </c>
      <c r="Q46" s="16">
        <f t="shared" si="0"/>
        <v>0.77500000000000002</v>
      </c>
      <c r="R46" s="53">
        <v>13.9</v>
      </c>
      <c r="S46" s="53">
        <v>126</v>
      </c>
      <c r="T46" s="16">
        <f t="shared" si="1"/>
        <v>27</v>
      </c>
      <c r="U46" s="53">
        <v>117</v>
      </c>
      <c r="V46" s="16">
        <f t="shared" si="2"/>
        <v>3159</v>
      </c>
      <c r="W46" s="53">
        <v>4</v>
      </c>
      <c r="X46" s="53" t="s">
        <v>46</v>
      </c>
      <c r="Y46" s="53" t="s">
        <v>78</v>
      </c>
      <c r="Z46" s="53" t="s">
        <v>84</v>
      </c>
      <c r="AA46" s="53" t="s">
        <v>90</v>
      </c>
      <c r="AB46" s="53" t="s">
        <v>238</v>
      </c>
    </row>
    <row r="47" spans="1:28" x14ac:dyDescent="0.15">
      <c r="A47" s="53" t="s">
        <v>56</v>
      </c>
      <c r="B47" s="53" t="s">
        <v>234</v>
      </c>
      <c r="C47" s="53">
        <v>2019</v>
      </c>
      <c r="D47" s="81" t="s">
        <v>235</v>
      </c>
      <c r="E47" s="53" t="s">
        <v>245</v>
      </c>
      <c r="F47" s="53" t="s">
        <v>252</v>
      </c>
      <c r="G47" s="53" t="s">
        <v>42</v>
      </c>
      <c r="H47" s="53" t="s">
        <v>160</v>
      </c>
      <c r="I47" s="53" t="s">
        <v>159</v>
      </c>
      <c r="J47" s="53" t="s">
        <v>38</v>
      </c>
      <c r="K47" s="53" t="s">
        <v>161</v>
      </c>
      <c r="L47" s="53">
        <v>1</v>
      </c>
      <c r="N47" s="53">
        <v>1</v>
      </c>
      <c r="O47" s="53">
        <v>0.6</v>
      </c>
      <c r="P47" s="53">
        <v>0.6</v>
      </c>
      <c r="Q47" s="16">
        <f t="shared" si="0"/>
        <v>0.6</v>
      </c>
      <c r="R47" s="53">
        <v>15.7</v>
      </c>
      <c r="S47" s="53">
        <v>132</v>
      </c>
      <c r="T47" s="16">
        <f t="shared" si="1"/>
        <v>25</v>
      </c>
      <c r="U47" s="53">
        <v>117</v>
      </c>
      <c r="V47" s="16">
        <f t="shared" si="2"/>
        <v>2925</v>
      </c>
      <c r="W47" s="53">
        <v>4</v>
      </c>
      <c r="X47" s="53" t="s">
        <v>46</v>
      </c>
      <c r="Y47" s="53" t="s">
        <v>78</v>
      </c>
      <c r="Z47" s="53" t="s">
        <v>84</v>
      </c>
      <c r="AA47" s="53" t="s">
        <v>90</v>
      </c>
      <c r="AB47" s="53" t="s">
        <v>238</v>
      </c>
    </row>
    <row r="48" spans="1:28" x14ac:dyDescent="0.15">
      <c r="A48" s="53" t="s">
        <v>56</v>
      </c>
      <c r="B48" s="53" t="s">
        <v>234</v>
      </c>
      <c r="C48" s="53">
        <v>2019</v>
      </c>
      <c r="D48" s="81" t="s">
        <v>235</v>
      </c>
      <c r="E48" s="53" t="s">
        <v>245</v>
      </c>
      <c r="F48" s="53" t="s">
        <v>252</v>
      </c>
      <c r="G48" s="53" t="s">
        <v>42</v>
      </c>
      <c r="H48" s="53" t="s">
        <v>160</v>
      </c>
      <c r="I48" s="53" t="s">
        <v>159</v>
      </c>
      <c r="J48" s="53" t="s">
        <v>38</v>
      </c>
      <c r="K48" s="53" t="s">
        <v>161</v>
      </c>
      <c r="L48" s="53">
        <v>2</v>
      </c>
      <c r="N48" s="53">
        <v>1</v>
      </c>
      <c r="O48" s="53">
        <v>0.65</v>
      </c>
      <c r="P48" s="53">
        <v>0.65</v>
      </c>
      <c r="Q48" s="16">
        <f t="shared" si="0"/>
        <v>0.65</v>
      </c>
      <c r="R48" s="53">
        <v>15.5</v>
      </c>
      <c r="S48" s="53">
        <v>138</v>
      </c>
      <c r="T48" s="16">
        <f t="shared" si="1"/>
        <v>22</v>
      </c>
      <c r="U48" s="53">
        <v>117</v>
      </c>
      <c r="V48" s="16">
        <f t="shared" si="2"/>
        <v>2574</v>
      </c>
      <c r="W48" s="53">
        <v>4</v>
      </c>
      <c r="X48" s="53" t="s">
        <v>46</v>
      </c>
      <c r="Y48" s="53" t="s">
        <v>78</v>
      </c>
      <c r="Z48" s="53" t="s">
        <v>84</v>
      </c>
      <c r="AA48" s="53" t="s">
        <v>90</v>
      </c>
      <c r="AB48" s="53" t="s">
        <v>238</v>
      </c>
    </row>
    <row r="49" spans="1:28" x14ac:dyDescent="0.15">
      <c r="A49" s="53" t="s">
        <v>56</v>
      </c>
      <c r="B49" s="53" t="s">
        <v>234</v>
      </c>
      <c r="C49" s="53">
        <v>2019</v>
      </c>
      <c r="D49" s="81" t="s">
        <v>235</v>
      </c>
      <c r="E49" s="53" t="s">
        <v>245</v>
      </c>
      <c r="F49" s="53" t="s">
        <v>252</v>
      </c>
      <c r="G49" s="53" t="s">
        <v>42</v>
      </c>
      <c r="H49" s="53" t="s">
        <v>160</v>
      </c>
      <c r="I49" s="53" t="s">
        <v>159</v>
      </c>
      <c r="J49" s="53" t="s">
        <v>38</v>
      </c>
      <c r="K49" s="53" t="s">
        <v>161</v>
      </c>
      <c r="L49" s="53">
        <v>3</v>
      </c>
      <c r="N49" s="53">
        <v>1</v>
      </c>
      <c r="O49" s="53">
        <v>0.65</v>
      </c>
      <c r="P49" s="53">
        <v>0.65</v>
      </c>
      <c r="Q49" s="16">
        <f t="shared" si="0"/>
        <v>0.65</v>
      </c>
      <c r="R49" s="53">
        <v>16.3</v>
      </c>
      <c r="S49" s="53">
        <v>134</v>
      </c>
      <c r="T49" s="16">
        <f t="shared" si="1"/>
        <v>25</v>
      </c>
      <c r="U49" s="53">
        <v>117</v>
      </c>
      <c r="V49" s="16">
        <f t="shared" si="2"/>
        <v>2925</v>
      </c>
      <c r="W49" s="53">
        <v>4</v>
      </c>
      <c r="X49" s="53" t="s">
        <v>46</v>
      </c>
      <c r="Y49" s="53" t="s">
        <v>78</v>
      </c>
      <c r="Z49" s="53" t="s">
        <v>84</v>
      </c>
      <c r="AA49" s="53" t="s">
        <v>90</v>
      </c>
      <c r="AB49" s="53" t="s">
        <v>238</v>
      </c>
    </row>
    <row r="50" spans="1:28" x14ac:dyDescent="0.15">
      <c r="A50" s="53" t="s">
        <v>56</v>
      </c>
      <c r="B50" s="53" t="s">
        <v>234</v>
      </c>
      <c r="C50" s="53">
        <v>2019</v>
      </c>
      <c r="D50" s="81" t="s">
        <v>235</v>
      </c>
      <c r="E50" s="53" t="s">
        <v>260</v>
      </c>
      <c r="F50" s="53" t="s">
        <v>252</v>
      </c>
      <c r="G50" s="53" t="s">
        <v>42</v>
      </c>
      <c r="H50" s="53" t="s">
        <v>164</v>
      </c>
      <c r="I50" s="53" t="s">
        <v>159</v>
      </c>
      <c r="J50" s="53" t="s">
        <v>38</v>
      </c>
      <c r="K50" s="53" t="s">
        <v>161</v>
      </c>
      <c r="L50" s="53">
        <v>1</v>
      </c>
      <c r="N50" s="53">
        <v>5</v>
      </c>
      <c r="O50" s="53">
        <v>0.65</v>
      </c>
      <c r="P50" s="53">
        <v>0.7</v>
      </c>
      <c r="Q50" s="16">
        <f t="shared" si="0"/>
        <v>0.67500000000000004</v>
      </c>
      <c r="R50" s="53">
        <v>14.8</v>
      </c>
      <c r="S50" s="53">
        <v>95</v>
      </c>
      <c r="T50" s="16">
        <f t="shared" si="1"/>
        <v>36</v>
      </c>
      <c r="U50" s="53">
        <v>430</v>
      </c>
      <c r="V50" s="16">
        <f t="shared" si="2"/>
        <v>3096</v>
      </c>
      <c r="W50" s="53">
        <v>6</v>
      </c>
      <c r="X50" s="53" t="s">
        <v>46</v>
      </c>
      <c r="Y50" s="53" t="s">
        <v>78</v>
      </c>
      <c r="Z50" s="53" t="s">
        <v>84</v>
      </c>
      <c r="AA50" s="53" t="s">
        <v>50</v>
      </c>
      <c r="AB50" s="53" t="s">
        <v>238</v>
      </c>
    </row>
    <row r="51" spans="1:28" x14ac:dyDescent="0.15">
      <c r="A51" s="53" t="s">
        <v>56</v>
      </c>
      <c r="B51" s="53" t="s">
        <v>234</v>
      </c>
      <c r="C51" s="53">
        <v>2019</v>
      </c>
      <c r="D51" s="81" t="s">
        <v>235</v>
      </c>
      <c r="E51" s="53" t="s">
        <v>260</v>
      </c>
      <c r="F51" s="53" t="s">
        <v>252</v>
      </c>
      <c r="G51" s="53" t="s">
        <v>42</v>
      </c>
      <c r="H51" s="53" t="s">
        <v>164</v>
      </c>
      <c r="I51" s="53" t="s">
        <v>159</v>
      </c>
      <c r="J51" s="53" t="s">
        <v>38</v>
      </c>
      <c r="K51" s="53" t="s">
        <v>161</v>
      </c>
      <c r="L51" s="53">
        <v>2</v>
      </c>
      <c r="N51" s="53">
        <v>5</v>
      </c>
      <c r="O51" s="53">
        <v>0.55000000000000004</v>
      </c>
      <c r="P51" s="53">
        <v>0.55000000000000004</v>
      </c>
      <c r="Q51" s="16">
        <f t="shared" si="0"/>
        <v>0.55000000000000004</v>
      </c>
      <c r="R51" s="53">
        <v>14.6</v>
      </c>
      <c r="S51" s="53">
        <v>105</v>
      </c>
      <c r="T51" s="16">
        <f t="shared" si="1"/>
        <v>33</v>
      </c>
      <c r="U51" s="53">
        <v>430</v>
      </c>
      <c r="V51" s="16">
        <f t="shared" si="2"/>
        <v>2838</v>
      </c>
      <c r="W51" s="53">
        <v>6</v>
      </c>
      <c r="X51" s="53" t="s">
        <v>46</v>
      </c>
      <c r="Y51" s="53" t="s">
        <v>78</v>
      </c>
      <c r="Z51" s="53" t="s">
        <v>84</v>
      </c>
      <c r="AA51" s="53" t="s">
        <v>50</v>
      </c>
      <c r="AB51" s="53" t="s">
        <v>238</v>
      </c>
    </row>
    <row r="52" spans="1:28" x14ac:dyDescent="0.15">
      <c r="A52" s="53" t="s">
        <v>56</v>
      </c>
      <c r="B52" s="53" t="s">
        <v>234</v>
      </c>
      <c r="C52" s="53">
        <v>2019</v>
      </c>
      <c r="D52" s="81" t="s">
        <v>235</v>
      </c>
      <c r="E52" s="53" t="s">
        <v>260</v>
      </c>
      <c r="F52" s="53" t="s">
        <v>252</v>
      </c>
      <c r="G52" s="53" t="s">
        <v>42</v>
      </c>
      <c r="H52" s="53" t="s">
        <v>164</v>
      </c>
      <c r="I52" s="53" t="s">
        <v>159</v>
      </c>
      <c r="J52" s="53" t="s">
        <v>38</v>
      </c>
      <c r="K52" s="53" t="s">
        <v>161</v>
      </c>
      <c r="L52" s="53">
        <v>3</v>
      </c>
      <c r="N52" s="53">
        <v>5</v>
      </c>
      <c r="O52" s="53">
        <v>0.6</v>
      </c>
      <c r="P52" s="53">
        <v>0.6</v>
      </c>
      <c r="Q52" s="16">
        <f t="shared" si="0"/>
        <v>0.6</v>
      </c>
      <c r="R52" s="53">
        <v>14.7</v>
      </c>
      <c r="S52" s="53">
        <v>88</v>
      </c>
      <c r="T52" s="16">
        <f t="shared" si="1"/>
        <v>36</v>
      </c>
      <c r="U52" s="53">
        <v>430</v>
      </c>
      <c r="V52" s="16">
        <f t="shared" si="2"/>
        <v>3096</v>
      </c>
      <c r="W52" s="53">
        <v>6</v>
      </c>
      <c r="X52" s="53" t="s">
        <v>46</v>
      </c>
      <c r="Y52" s="53" t="s">
        <v>78</v>
      </c>
      <c r="Z52" s="53" t="s">
        <v>84</v>
      </c>
      <c r="AA52" s="53" t="s">
        <v>50</v>
      </c>
      <c r="AB52" s="53" t="s">
        <v>238</v>
      </c>
    </row>
    <row r="53" spans="1:28" x14ac:dyDescent="0.15">
      <c r="A53" s="53" t="s">
        <v>56</v>
      </c>
      <c r="B53" s="53" t="s">
        <v>234</v>
      </c>
      <c r="C53" s="53">
        <v>2019</v>
      </c>
      <c r="D53" s="81" t="s">
        <v>235</v>
      </c>
      <c r="E53" s="53" t="s">
        <v>260</v>
      </c>
      <c r="F53" s="53" t="s">
        <v>252</v>
      </c>
      <c r="G53" s="53" t="s">
        <v>42</v>
      </c>
      <c r="H53" s="53" t="s">
        <v>160</v>
      </c>
      <c r="I53" s="53" t="s">
        <v>159</v>
      </c>
      <c r="J53" s="53" t="s">
        <v>38</v>
      </c>
      <c r="K53" s="53" t="s">
        <v>161</v>
      </c>
      <c r="L53" s="53">
        <v>1</v>
      </c>
      <c r="N53" s="53">
        <v>5</v>
      </c>
      <c r="O53" s="53">
        <v>0.55000000000000004</v>
      </c>
      <c r="P53" s="53">
        <v>0.5</v>
      </c>
      <c r="Q53" s="16">
        <f t="shared" si="0"/>
        <v>0.52500000000000002</v>
      </c>
      <c r="R53" s="53">
        <v>17.2</v>
      </c>
      <c r="S53" s="53">
        <v>117</v>
      </c>
      <c r="T53" s="16">
        <f t="shared" si="1"/>
        <v>30</v>
      </c>
      <c r="U53" s="53">
        <v>646</v>
      </c>
      <c r="V53" s="16">
        <f t="shared" si="2"/>
        <v>3875.9999999999995</v>
      </c>
      <c r="W53" s="53">
        <v>6</v>
      </c>
      <c r="X53" s="53" t="s">
        <v>46</v>
      </c>
      <c r="Y53" s="53" t="s">
        <v>78</v>
      </c>
      <c r="Z53" s="53" t="s">
        <v>84</v>
      </c>
      <c r="AA53" s="53" t="s">
        <v>50</v>
      </c>
      <c r="AB53" s="53" t="s">
        <v>238</v>
      </c>
    </row>
    <row r="54" spans="1:28" x14ac:dyDescent="0.15">
      <c r="A54" s="53" t="s">
        <v>56</v>
      </c>
      <c r="B54" s="53" t="s">
        <v>234</v>
      </c>
      <c r="C54" s="53">
        <v>2019</v>
      </c>
      <c r="D54" s="81" t="s">
        <v>235</v>
      </c>
      <c r="E54" s="53" t="s">
        <v>260</v>
      </c>
      <c r="F54" s="53" t="s">
        <v>252</v>
      </c>
      <c r="G54" s="53" t="s">
        <v>42</v>
      </c>
      <c r="H54" s="53" t="s">
        <v>160</v>
      </c>
      <c r="I54" s="53" t="s">
        <v>159</v>
      </c>
      <c r="J54" s="53" t="s">
        <v>38</v>
      </c>
      <c r="K54" s="53" t="s">
        <v>161</v>
      </c>
      <c r="L54" s="53">
        <v>2</v>
      </c>
      <c r="N54" s="53">
        <v>5</v>
      </c>
      <c r="O54" s="53">
        <v>0.5</v>
      </c>
      <c r="P54" s="53">
        <v>0.5</v>
      </c>
      <c r="Q54" s="16">
        <f t="shared" si="0"/>
        <v>0.5</v>
      </c>
      <c r="R54" s="53">
        <v>15.2</v>
      </c>
      <c r="S54" s="53">
        <v>109</v>
      </c>
      <c r="T54" s="16">
        <f t="shared" si="1"/>
        <v>33</v>
      </c>
      <c r="U54" s="53">
        <v>646</v>
      </c>
      <c r="V54" s="16">
        <f t="shared" si="2"/>
        <v>4263.5999999999995</v>
      </c>
      <c r="W54" s="53">
        <v>6</v>
      </c>
      <c r="X54" s="53" t="s">
        <v>46</v>
      </c>
      <c r="Y54" s="53" t="s">
        <v>78</v>
      </c>
      <c r="Z54" s="53" t="s">
        <v>84</v>
      </c>
      <c r="AA54" s="53" t="s">
        <v>50</v>
      </c>
      <c r="AB54" s="53" t="s">
        <v>238</v>
      </c>
    </row>
    <row r="55" spans="1:28" x14ac:dyDescent="0.15">
      <c r="A55" s="53" t="s">
        <v>56</v>
      </c>
      <c r="B55" s="53" t="s">
        <v>234</v>
      </c>
      <c r="C55" s="53">
        <v>2019</v>
      </c>
      <c r="D55" s="81" t="s">
        <v>235</v>
      </c>
      <c r="E55" s="53" t="s">
        <v>260</v>
      </c>
      <c r="F55" s="53" t="s">
        <v>252</v>
      </c>
      <c r="G55" s="53" t="s">
        <v>42</v>
      </c>
      <c r="H55" s="53" t="s">
        <v>160</v>
      </c>
      <c r="I55" s="53" t="s">
        <v>159</v>
      </c>
      <c r="J55" s="53" t="s">
        <v>38</v>
      </c>
      <c r="K55" s="53" t="s">
        <v>161</v>
      </c>
      <c r="L55" s="53">
        <v>3</v>
      </c>
      <c r="N55" s="53">
        <v>5</v>
      </c>
      <c r="O55" s="53">
        <v>0.55000000000000004</v>
      </c>
      <c r="P55" s="53">
        <v>0.55000000000000004</v>
      </c>
      <c r="Q55" s="16">
        <f t="shared" si="0"/>
        <v>0.55000000000000004</v>
      </c>
      <c r="R55" s="53">
        <v>16.7</v>
      </c>
      <c r="S55" s="53">
        <v>126</v>
      </c>
      <c r="T55" s="16">
        <f t="shared" si="1"/>
        <v>27</v>
      </c>
      <c r="U55" s="53">
        <v>646</v>
      </c>
      <c r="V55" s="16">
        <f t="shared" si="2"/>
        <v>3488.3999999999996</v>
      </c>
      <c r="W55" s="53">
        <v>6</v>
      </c>
      <c r="X55" s="53" t="s">
        <v>46</v>
      </c>
      <c r="Y55" s="53" t="s">
        <v>78</v>
      </c>
      <c r="Z55" s="53" t="s">
        <v>84</v>
      </c>
      <c r="AA55" s="53" t="s">
        <v>50</v>
      </c>
      <c r="AB55" s="53" t="s">
        <v>238</v>
      </c>
    </row>
    <row r="56" spans="1:28" x14ac:dyDescent="0.15">
      <c r="D56" s="81"/>
    </row>
    <row r="57" spans="1:28" x14ac:dyDescent="0.15">
      <c r="D57" s="81"/>
    </row>
    <row r="58" spans="1:28" x14ac:dyDescent="0.15">
      <c r="D58" s="81"/>
    </row>
    <row r="59" spans="1:28" x14ac:dyDescent="0.15">
      <c r="D59" s="81"/>
    </row>
    <row r="60" spans="1:28" x14ac:dyDescent="0.15">
      <c r="D60" s="81"/>
    </row>
    <row r="61" spans="1:28" x14ac:dyDescent="0.15">
      <c r="D61" s="81"/>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5E555346-736A-4784-B92F-17F63E3A30F3}">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D4E34756-A499-42F6-999A-35771525F630}">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5CD838BC-DB4E-4352-A863-2C64F16E1F4D}">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38D7ED55-5A95-4258-8291-2C8106650FA4}">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CE737A9C-2950-44B8-9C66-58391FEB1D1A}">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128D8196-6B59-43A4-A1D2-0DAEA6253299}"/>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9FAC3D8D-10B4-4F27-8AAA-334512373B2B}">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5C53F3C0-A631-4DB7-9715-AA7F0D7A172A}">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50AFDD6A-AF98-4EF3-B033-3955F256C106}">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39320294-FAD5-4C7A-A6B3-682E70D51348}">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27425568-9793-4D77-9AF1-2AF682592C75}">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B293E9D7-1265-4E2B-AD1C-BD3346B517B8}">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1BA0F6BD-F84A-485D-A7A9-2D2694187E7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26147072-64AD-417D-B1F9-07A73190A329}">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09BED6FF-E296-430E-B9DA-56B39EF1F54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5:O500 P2:P500" xr:uid="{78B9889F-C579-4844-8DD5-559C475B6F1F}">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B2B37422-983F-4698-81A0-C68682711387}">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51211648-8788-4529-BBC1-4F541DA44771}">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DE0DC-0224-4E3B-A054-3FCEB93273B5}">
  <dimension ref="A1:BA91"/>
  <sheetViews>
    <sheetView zoomScale="70" zoomScaleNormal="70" workbookViewId="0">
      <selection activeCell="AF48" sqref="AF48"/>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168</v>
      </c>
      <c r="C1" s="85" t="s">
        <v>169</v>
      </c>
      <c r="D1" s="86" t="s">
        <v>3</v>
      </c>
      <c r="E1" s="87" t="s">
        <v>4</v>
      </c>
      <c r="F1" s="87" t="s">
        <v>5</v>
      </c>
      <c r="G1" s="87" t="s">
        <v>6</v>
      </c>
      <c r="H1" s="87" t="s">
        <v>7</v>
      </c>
      <c r="I1" s="87" t="s">
        <v>8</v>
      </c>
      <c r="J1" s="87" t="s">
        <v>9</v>
      </c>
      <c r="K1" s="87" t="s">
        <v>10</v>
      </c>
      <c r="L1" s="86" t="s">
        <v>170</v>
      </c>
      <c r="M1" s="86" t="s">
        <v>171</v>
      </c>
      <c r="N1" s="86" t="s">
        <v>13</v>
      </c>
      <c r="O1" s="86" t="s">
        <v>172</v>
      </c>
      <c r="P1" s="86" t="s">
        <v>173</v>
      </c>
      <c r="Q1" s="88" t="s">
        <v>174</v>
      </c>
      <c r="R1" s="86" t="s">
        <v>175</v>
      </c>
      <c r="S1" s="86" t="s">
        <v>176</v>
      </c>
      <c r="T1" s="88" t="s">
        <v>19</v>
      </c>
      <c r="U1" s="89" t="s">
        <v>108</v>
      </c>
      <c r="V1" s="90" t="s">
        <v>20</v>
      </c>
      <c r="W1" s="86" t="s">
        <v>177</v>
      </c>
      <c r="X1" s="87" t="s">
        <v>22</v>
      </c>
      <c r="Y1" s="87" t="s">
        <v>23</v>
      </c>
      <c r="Z1" s="87" t="s">
        <v>24</v>
      </c>
      <c r="AA1" s="91" t="s">
        <v>25</v>
      </c>
      <c r="AB1" s="92" t="s">
        <v>178</v>
      </c>
      <c r="AE1" s="94" t="s">
        <v>0</v>
      </c>
      <c r="AF1" s="95"/>
      <c r="AG1" s="94" t="s">
        <v>4</v>
      </c>
      <c r="AH1" s="94" t="s">
        <v>5</v>
      </c>
      <c r="AI1" s="95"/>
      <c r="AJ1" s="94" t="s">
        <v>6</v>
      </c>
      <c r="AK1" s="95"/>
      <c r="AL1" s="96" t="s">
        <v>7</v>
      </c>
      <c r="AM1" s="95"/>
      <c r="AN1" s="96" t="s">
        <v>8</v>
      </c>
      <c r="AO1" s="95"/>
      <c r="AP1" s="96" t="s">
        <v>27</v>
      </c>
      <c r="AQ1" s="95"/>
      <c r="AR1" s="96" t="s">
        <v>10</v>
      </c>
      <c r="AS1" s="95"/>
      <c r="AT1" s="97" t="s">
        <v>179</v>
      </c>
      <c r="AU1" s="95"/>
      <c r="AV1" s="96" t="s">
        <v>29</v>
      </c>
      <c r="AX1" s="98" t="s">
        <v>261</v>
      </c>
      <c r="AY1" s="99" t="s">
        <v>181</v>
      </c>
      <c r="AZ1" s="99" t="s">
        <v>262</v>
      </c>
      <c r="BA1" s="100" t="s">
        <v>183</v>
      </c>
    </row>
    <row r="2" spans="1:53" x14ac:dyDescent="0.15">
      <c r="A2" s="93" t="s">
        <v>51</v>
      </c>
      <c r="B2" s="93" t="s">
        <v>157</v>
      </c>
      <c r="C2" s="93">
        <v>2019</v>
      </c>
      <c r="D2" s="101" t="s">
        <v>263</v>
      </c>
      <c r="E2" s="93" t="s">
        <v>264</v>
      </c>
      <c r="F2" s="93" t="s">
        <v>265</v>
      </c>
      <c r="G2" s="93" t="s">
        <v>42</v>
      </c>
      <c r="H2" s="93" t="s">
        <v>164</v>
      </c>
      <c r="I2" s="93" t="s">
        <v>159</v>
      </c>
      <c r="J2" s="93" t="s">
        <v>38</v>
      </c>
      <c r="K2" s="93" t="s">
        <v>161</v>
      </c>
      <c r="L2" s="93">
        <v>1</v>
      </c>
      <c r="N2" s="93">
        <v>1</v>
      </c>
      <c r="O2" s="93">
        <v>0.9</v>
      </c>
      <c r="P2" s="93">
        <v>0.8</v>
      </c>
      <c r="Q2" s="102">
        <f t="shared" ref="Q2:Q65" si="0">IF(OR(O2="",P2=""),"",AVERAGE(O2,P2))</f>
        <v>0.85000000000000009</v>
      </c>
      <c r="R2" s="93">
        <v>16.3</v>
      </c>
      <c r="S2" s="93">
        <v>120</v>
      </c>
      <c r="T2" s="103">
        <f t="shared" ref="T2:T65" si="1">IF(H2="","",IF(OR(H2="GREEN",H2="GK"),IF(S2&gt;=$AX$2,VLOOKUP(S2,$AX$2:$AY$12,2,1),""),IF(S2&gt;=$AZ$2,VLOOKUP(S2,$AZ$2:$BA$12,2,1),"")))</f>
        <v>30</v>
      </c>
      <c r="U2" s="93">
        <v>98</v>
      </c>
      <c r="V2" s="104">
        <f t="shared" ref="V2:V65" si="2">IF(OR(N2="",U2="",T2=""),"",U2/N2*T2)</f>
        <v>2940</v>
      </c>
      <c r="W2" s="93">
        <v>4</v>
      </c>
      <c r="X2" s="93" t="s">
        <v>39</v>
      </c>
      <c r="Y2" s="93" t="s">
        <v>69</v>
      </c>
      <c r="Z2" s="93" t="s">
        <v>84</v>
      </c>
      <c r="AA2" s="93" t="s">
        <v>50</v>
      </c>
      <c r="AB2" s="93" t="s">
        <v>158</v>
      </c>
      <c r="AE2" s="105" t="s">
        <v>35</v>
      </c>
      <c r="AG2" s="106" t="s">
        <v>211</v>
      </c>
      <c r="AH2" s="106" t="s">
        <v>266</v>
      </c>
      <c r="AJ2" s="106" t="s">
        <v>36</v>
      </c>
      <c r="AL2" s="106" t="s">
        <v>186</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263</v>
      </c>
      <c r="E3" s="93" t="s">
        <v>264</v>
      </c>
      <c r="F3" s="93" t="s">
        <v>265</v>
      </c>
      <c r="G3" s="93" t="s">
        <v>42</v>
      </c>
      <c r="H3" s="93" t="s">
        <v>164</v>
      </c>
      <c r="I3" s="93" t="s">
        <v>159</v>
      </c>
      <c r="J3" s="93" t="s">
        <v>38</v>
      </c>
      <c r="K3" s="93" t="s">
        <v>161</v>
      </c>
      <c r="L3" s="93">
        <v>2</v>
      </c>
      <c r="N3" s="93">
        <v>1</v>
      </c>
      <c r="O3" s="93">
        <v>0.75</v>
      </c>
      <c r="P3" s="93">
        <v>0.9</v>
      </c>
      <c r="Q3" s="102">
        <f t="shared" si="0"/>
        <v>0.82499999999999996</v>
      </c>
      <c r="R3" s="93">
        <v>16.600000000000001</v>
      </c>
      <c r="S3" s="93">
        <v>128</v>
      </c>
      <c r="T3" s="103">
        <f t="shared" si="1"/>
        <v>27</v>
      </c>
      <c r="U3" s="93">
        <v>98</v>
      </c>
      <c r="V3" s="104">
        <f t="shared" si="2"/>
        <v>2646</v>
      </c>
      <c r="W3" s="93">
        <v>4</v>
      </c>
      <c r="X3" s="93" t="s">
        <v>39</v>
      </c>
      <c r="Y3" s="93" t="s">
        <v>69</v>
      </c>
      <c r="Z3" s="93" t="s">
        <v>84</v>
      </c>
      <c r="AA3" s="93" t="s">
        <v>50</v>
      </c>
      <c r="AB3" s="93" t="s">
        <v>158</v>
      </c>
      <c r="AE3" s="110" t="s">
        <v>41</v>
      </c>
      <c r="AG3" s="106" t="s">
        <v>267</v>
      </c>
      <c r="AH3" s="106" t="s">
        <v>268</v>
      </c>
      <c r="AJ3" s="111" t="s">
        <v>42</v>
      </c>
      <c r="AL3" s="111" t="s">
        <v>188</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263</v>
      </c>
      <c r="E4" s="93" t="s">
        <v>264</v>
      </c>
      <c r="F4" s="93" t="s">
        <v>265</v>
      </c>
      <c r="G4" s="93" t="s">
        <v>42</v>
      </c>
      <c r="H4" s="93" t="s">
        <v>164</v>
      </c>
      <c r="I4" s="93" t="s">
        <v>159</v>
      </c>
      <c r="J4" s="93" t="s">
        <v>38</v>
      </c>
      <c r="K4" s="93" t="s">
        <v>161</v>
      </c>
      <c r="L4" s="93">
        <v>3</v>
      </c>
      <c r="N4" s="93">
        <v>1</v>
      </c>
      <c r="O4" s="93">
        <v>0.85</v>
      </c>
      <c r="P4" s="93">
        <v>0.95</v>
      </c>
      <c r="Q4" s="102">
        <f t="shared" si="0"/>
        <v>0.89999999999999991</v>
      </c>
      <c r="R4" s="93">
        <v>16</v>
      </c>
      <c r="S4" s="93">
        <v>118</v>
      </c>
      <c r="T4" s="103">
        <f t="shared" si="1"/>
        <v>30</v>
      </c>
      <c r="U4" s="93">
        <v>98</v>
      </c>
      <c r="V4" s="104">
        <f t="shared" si="2"/>
        <v>2940</v>
      </c>
      <c r="W4" s="93">
        <v>4</v>
      </c>
      <c r="X4" s="93" t="s">
        <v>39</v>
      </c>
      <c r="Y4" s="93" t="s">
        <v>69</v>
      </c>
      <c r="Z4" s="93" t="s">
        <v>84</v>
      </c>
      <c r="AA4" s="93" t="s">
        <v>50</v>
      </c>
      <c r="AB4" s="93" t="s">
        <v>158</v>
      </c>
      <c r="AE4" s="110" t="s">
        <v>34</v>
      </c>
      <c r="AG4" s="106" t="s">
        <v>269</v>
      </c>
      <c r="AH4" s="106" t="s">
        <v>270</v>
      </c>
      <c r="AJ4" s="115" t="s">
        <v>48</v>
      </c>
      <c r="AL4" s="115" t="s">
        <v>191</v>
      </c>
      <c r="AN4" s="116" t="s">
        <v>192</v>
      </c>
      <c r="AP4" s="111" t="s">
        <v>193</v>
      </c>
      <c r="AR4" s="111" t="s">
        <v>194</v>
      </c>
      <c r="AT4" s="116"/>
      <c r="AV4" s="111" t="s">
        <v>50</v>
      </c>
      <c r="AX4" s="112">
        <v>75</v>
      </c>
      <c r="AY4" s="113">
        <v>42</v>
      </c>
      <c r="AZ4" s="113">
        <v>76</v>
      </c>
      <c r="BA4" s="114">
        <v>39</v>
      </c>
    </row>
    <row r="5" spans="1:53" x14ac:dyDescent="0.15">
      <c r="A5" s="93" t="s">
        <v>51</v>
      </c>
      <c r="B5" s="93" t="s">
        <v>157</v>
      </c>
      <c r="C5" s="93">
        <v>2019</v>
      </c>
      <c r="D5" s="101" t="s">
        <v>263</v>
      </c>
      <c r="E5" s="93" t="s">
        <v>267</v>
      </c>
      <c r="F5" s="93" t="s">
        <v>268</v>
      </c>
      <c r="G5" s="93" t="s">
        <v>36</v>
      </c>
      <c r="H5" s="93" t="s">
        <v>164</v>
      </c>
      <c r="I5" s="93" t="s">
        <v>159</v>
      </c>
      <c r="J5" s="93" t="s">
        <v>38</v>
      </c>
      <c r="K5" s="93" t="s">
        <v>161</v>
      </c>
      <c r="L5" s="93">
        <v>1</v>
      </c>
      <c r="N5" s="93">
        <v>1</v>
      </c>
      <c r="O5" s="93">
        <v>0.6</v>
      </c>
      <c r="P5" s="93">
        <v>0.55000000000000004</v>
      </c>
      <c r="Q5" s="102">
        <f t="shared" si="0"/>
        <v>0.57499999999999996</v>
      </c>
      <c r="R5" s="93">
        <v>16.7</v>
      </c>
      <c r="S5" s="93">
        <v>144</v>
      </c>
      <c r="T5" s="103">
        <f t="shared" si="1"/>
        <v>22</v>
      </c>
      <c r="U5" s="93">
        <v>138</v>
      </c>
      <c r="V5" s="104">
        <f t="shared" si="2"/>
        <v>3036</v>
      </c>
      <c r="W5" s="93">
        <v>4</v>
      </c>
      <c r="X5" s="93" t="s">
        <v>39</v>
      </c>
      <c r="Y5" s="93" t="s">
        <v>90</v>
      </c>
      <c r="Z5" s="93" t="s">
        <v>84</v>
      </c>
      <c r="AA5" s="93" t="s">
        <v>50</v>
      </c>
      <c r="AB5" s="93" t="s">
        <v>158</v>
      </c>
      <c r="AE5" s="110" t="s">
        <v>51</v>
      </c>
      <c r="AG5" s="106" t="s">
        <v>271</v>
      </c>
      <c r="AH5" s="106" t="s">
        <v>265</v>
      </c>
      <c r="AJ5" s="116"/>
      <c r="AL5" s="117" t="s">
        <v>164</v>
      </c>
      <c r="AN5" s="117" t="s">
        <v>159</v>
      </c>
      <c r="AP5" s="111" t="s">
        <v>196</v>
      </c>
      <c r="AR5" s="111" t="s">
        <v>54</v>
      </c>
      <c r="AV5" s="111" t="s">
        <v>55</v>
      </c>
      <c r="AX5" s="112">
        <v>84</v>
      </c>
      <c r="AY5" s="113">
        <v>39</v>
      </c>
      <c r="AZ5" s="113">
        <v>84</v>
      </c>
      <c r="BA5" s="114">
        <v>36</v>
      </c>
    </row>
    <row r="6" spans="1:53" x14ac:dyDescent="0.15">
      <c r="A6" s="93" t="s">
        <v>51</v>
      </c>
      <c r="B6" s="93" t="s">
        <v>157</v>
      </c>
      <c r="C6" s="93">
        <v>2019</v>
      </c>
      <c r="D6" s="101" t="s">
        <v>263</v>
      </c>
      <c r="E6" s="93" t="s">
        <v>267</v>
      </c>
      <c r="F6" s="93" t="s">
        <v>268</v>
      </c>
      <c r="G6" s="93" t="s">
        <v>36</v>
      </c>
      <c r="H6" s="93" t="s">
        <v>164</v>
      </c>
      <c r="I6" s="93" t="s">
        <v>159</v>
      </c>
      <c r="J6" s="93" t="s">
        <v>38</v>
      </c>
      <c r="K6" s="93" t="s">
        <v>161</v>
      </c>
      <c r="L6" s="93">
        <v>2</v>
      </c>
      <c r="N6" s="93">
        <v>1</v>
      </c>
      <c r="O6" s="93">
        <v>0.6</v>
      </c>
      <c r="P6" s="93">
        <v>0.6</v>
      </c>
      <c r="Q6" s="102">
        <f t="shared" si="0"/>
        <v>0.6</v>
      </c>
      <c r="R6" s="93">
        <v>17.3</v>
      </c>
      <c r="S6" s="93">
        <v>154</v>
      </c>
      <c r="T6" s="103">
        <f t="shared" si="1"/>
        <v>18</v>
      </c>
      <c r="U6" s="93">
        <v>138</v>
      </c>
      <c r="V6" s="104">
        <f t="shared" si="2"/>
        <v>2484</v>
      </c>
      <c r="W6" s="93">
        <v>4</v>
      </c>
      <c r="X6" s="93" t="s">
        <v>39</v>
      </c>
      <c r="Y6" s="93" t="s">
        <v>90</v>
      </c>
      <c r="Z6" s="93" t="s">
        <v>84</v>
      </c>
      <c r="AA6" s="93" t="s">
        <v>50</v>
      </c>
      <c r="AB6" s="93" t="s">
        <v>158</v>
      </c>
      <c r="AE6" s="110" t="s">
        <v>56</v>
      </c>
      <c r="AG6" s="106" t="s">
        <v>272</v>
      </c>
      <c r="AH6" s="106" t="s">
        <v>273</v>
      </c>
      <c r="AL6" s="117" t="s">
        <v>198</v>
      </c>
      <c r="AN6" s="117" t="s">
        <v>165</v>
      </c>
      <c r="AP6" s="111" t="s">
        <v>53</v>
      </c>
      <c r="AR6" s="111" t="s">
        <v>59</v>
      </c>
      <c r="AV6" s="111" t="s">
        <v>60</v>
      </c>
      <c r="AX6" s="112">
        <v>97</v>
      </c>
      <c r="AY6" s="113">
        <v>36</v>
      </c>
      <c r="AZ6" s="113">
        <v>99</v>
      </c>
      <c r="BA6" s="114">
        <v>33</v>
      </c>
    </row>
    <row r="7" spans="1:53" x14ac:dyDescent="0.15">
      <c r="A7" s="93" t="s">
        <v>51</v>
      </c>
      <c r="B7" s="93" t="s">
        <v>157</v>
      </c>
      <c r="C7" s="93">
        <v>2019</v>
      </c>
      <c r="D7" s="101" t="s">
        <v>263</v>
      </c>
      <c r="E7" s="93" t="s">
        <v>267</v>
      </c>
      <c r="F7" s="93" t="s">
        <v>268</v>
      </c>
      <c r="G7" s="93" t="s">
        <v>36</v>
      </c>
      <c r="H7" s="93" t="s">
        <v>164</v>
      </c>
      <c r="I7" s="93" t="s">
        <v>159</v>
      </c>
      <c r="J7" s="93" t="s">
        <v>38</v>
      </c>
      <c r="K7" s="93" t="s">
        <v>161</v>
      </c>
      <c r="L7" s="93">
        <v>3</v>
      </c>
      <c r="N7" s="93">
        <v>1</v>
      </c>
      <c r="O7" s="93">
        <v>0.55000000000000004</v>
      </c>
      <c r="P7" s="93">
        <v>0.5</v>
      </c>
      <c r="Q7" s="102">
        <f t="shared" si="0"/>
        <v>0.52500000000000002</v>
      </c>
      <c r="R7" s="93">
        <v>17</v>
      </c>
      <c r="S7" s="93">
        <v>140</v>
      </c>
      <c r="T7" s="103">
        <f t="shared" si="1"/>
        <v>22</v>
      </c>
      <c r="U7" s="93">
        <v>138</v>
      </c>
      <c r="V7" s="104">
        <f t="shared" si="2"/>
        <v>3036</v>
      </c>
      <c r="W7" s="93">
        <v>4</v>
      </c>
      <c r="X7" s="93" t="s">
        <v>39</v>
      </c>
      <c r="Y7" s="93" t="s">
        <v>90</v>
      </c>
      <c r="Z7" s="93" t="s">
        <v>84</v>
      </c>
      <c r="AA7" s="93" t="s">
        <v>50</v>
      </c>
      <c r="AB7" s="93" t="s">
        <v>158</v>
      </c>
      <c r="AE7" s="110" t="s">
        <v>61</v>
      </c>
      <c r="AG7" s="106" t="s">
        <v>274</v>
      </c>
      <c r="AH7" s="106" t="s">
        <v>266</v>
      </c>
      <c r="AL7" s="93" t="s">
        <v>200</v>
      </c>
      <c r="AP7" s="111" t="s">
        <v>58</v>
      </c>
      <c r="AR7" s="111" t="s">
        <v>201</v>
      </c>
      <c r="AV7" s="111" t="s">
        <v>64</v>
      </c>
      <c r="AX7" s="112">
        <v>109</v>
      </c>
      <c r="AY7" s="113">
        <v>33</v>
      </c>
      <c r="AZ7" s="113">
        <v>113</v>
      </c>
      <c r="BA7" s="114">
        <v>30</v>
      </c>
    </row>
    <row r="8" spans="1:53" x14ac:dyDescent="0.15">
      <c r="A8" s="93" t="s">
        <v>51</v>
      </c>
      <c r="B8" s="93" t="s">
        <v>157</v>
      </c>
      <c r="C8" s="93">
        <v>2019</v>
      </c>
      <c r="D8" s="101" t="s">
        <v>263</v>
      </c>
      <c r="E8" s="93" t="s">
        <v>267</v>
      </c>
      <c r="F8" s="93" t="s">
        <v>268</v>
      </c>
      <c r="G8" s="93" t="s">
        <v>36</v>
      </c>
      <c r="H8" s="93" t="s">
        <v>160</v>
      </c>
      <c r="I8" s="93" t="s">
        <v>159</v>
      </c>
      <c r="J8" s="93" t="s">
        <v>38</v>
      </c>
      <c r="K8" s="93" t="s">
        <v>161</v>
      </c>
      <c r="L8" s="93">
        <v>1</v>
      </c>
      <c r="N8" s="93">
        <v>1</v>
      </c>
      <c r="O8" s="93">
        <v>0.55000000000000004</v>
      </c>
      <c r="P8" s="93">
        <v>0.55000000000000004</v>
      </c>
      <c r="Q8" s="102">
        <f t="shared" si="0"/>
        <v>0.55000000000000004</v>
      </c>
      <c r="R8" s="93">
        <v>19.5</v>
      </c>
      <c r="S8" s="93">
        <v>122</v>
      </c>
      <c r="T8" s="103">
        <f t="shared" si="1"/>
        <v>27</v>
      </c>
      <c r="U8" s="93">
        <v>138</v>
      </c>
      <c r="V8" s="104">
        <f t="shared" si="2"/>
        <v>3726</v>
      </c>
      <c r="W8" s="93">
        <v>4</v>
      </c>
      <c r="X8" s="93" t="s">
        <v>39</v>
      </c>
      <c r="Y8" s="93" t="s">
        <v>90</v>
      </c>
      <c r="Z8" s="93" t="s">
        <v>84</v>
      </c>
      <c r="AA8" s="93" t="s">
        <v>50</v>
      </c>
      <c r="AB8" s="93" t="s">
        <v>158</v>
      </c>
      <c r="AE8" s="110" t="s">
        <v>59</v>
      </c>
      <c r="AG8" s="106" t="s">
        <v>275</v>
      </c>
      <c r="AH8" s="106" t="s">
        <v>276</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263</v>
      </c>
      <c r="E9" s="93" t="s">
        <v>267</v>
      </c>
      <c r="F9" s="93" t="s">
        <v>268</v>
      </c>
      <c r="G9" s="93" t="s">
        <v>36</v>
      </c>
      <c r="H9" s="93" t="s">
        <v>160</v>
      </c>
      <c r="I9" s="93" t="s">
        <v>159</v>
      </c>
      <c r="J9" s="93" t="s">
        <v>38</v>
      </c>
      <c r="K9" s="93" t="s">
        <v>161</v>
      </c>
      <c r="L9" s="93">
        <v>2</v>
      </c>
      <c r="N9" s="93">
        <v>1</v>
      </c>
      <c r="O9" s="93">
        <v>0.6</v>
      </c>
      <c r="P9" s="93">
        <v>0.65</v>
      </c>
      <c r="Q9" s="102">
        <f t="shared" si="0"/>
        <v>0.625</v>
      </c>
      <c r="R9" s="93">
        <v>18.600000000000001</v>
      </c>
      <c r="S9" s="93">
        <v>128</v>
      </c>
      <c r="T9" s="103">
        <f t="shared" si="1"/>
        <v>27</v>
      </c>
      <c r="U9" s="93">
        <v>138</v>
      </c>
      <c r="V9" s="104">
        <f t="shared" si="2"/>
        <v>3726</v>
      </c>
      <c r="W9" s="93">
        <v>4</v>
      </c>
      <c r="X9" s="93" t="s">
        <v>39</v>
      </c>
      <c r="Y9" s="93" t="s">
        <v>90</v>
      </c>
      <c r="Z9" s="93" t="s">
        <v>84</v>
      </c>
      <c r="AA9" s="93" t="s">
        <v>50</v>
      </c>
      <c r="AB9" s="93" t="s">
        <v>158</v>
      </c>
      <c r="AE9" s="110" t="s">
        <v>204</v>
      </c>
      <c r="AG9" s="106" t="s">
        <v>277</v>
      </c>
      <c r="AH9" s="106" t="s">
        <v>265</v>
      </c>
      <c r="AL9" s="117"/>
      <c r="AP9" s="111" t="s">
        <v>95</v>
      </c>
      <c r="AR9" s="111" t="s">
        <v>207</v>
      </c>
      <c r="AV9" s="111" t="s">
        <v>102</v>
      </c>
      <c r="AX9" s="112">
        <v>128</v>
      </c>
      <c r="AY9" s="113">
        <v>27</v>
      </c>
      <c r="AZ9" s="113">
        <v>129</v>
      </c>
      <c r="BA9" s="114">
        <v>25</v>
      </c>
    </row>
    <row r="10" spans="1:53" x14ac:dyDescent="0.15">
      <c r="A10" s="93" t="s">
        <v>51</v>
      </c>
      <c r="B10" s="93" t="s">
        <v>157</v>
      </c>
      <c r="C10" s="93">
        <v>2019</v>
      </c>
      <c r="D10" s="101" t="s">
        <v>263</v>
      </c>
      <c r="E10" s="93" t="s">
        <v>267</v>
      </c>
      <c r="F10" s="93" t="s">
        <v>268</v>
      </c>
      <c r="G10" s="93" t="s">
        <v>36</v>
      </c>
      <c r="H10" s="93" t="s">
        <v>160</v>
      </c>
      <c r="I10" s="93" t="s">
        <v>159</v>
      </c>
      <c r="J10" s="93" t="s">
        <v>38</v>
      </c>
      <c r="K10" s="93" t="s">
        <v>161</v>
      </c>
      <c r="L10" s="93">
        <v>3</v>
      </c>
      <c r="N10" s="93">
        <v>1</v>
      </c>
      <c r="O10" s="93">
        <v>0.6</v>
      </c>
      <c r="P10" s="93">
        <v>0.6</v>
      </c>
      <c r="Q10" s="102">
        <f t="shared" si="0"/>
        <v>0.6</v>
      </c>
      <c r="R10" s="93">
        <v>18.8</v>
      </c>
      <c r="S10" s="93">
        <v>122</v>
      </c>
      <c r="T10" s="103">
        <f t="shared" si="1"/>
        <v>27</v>
      </c>
      <c r="U10" s="93">
        <v>138</v>
      </c>
      <c r="V10" s="104">
        <f t="shared" si="2"/>
        <v>3726</v>
      </c>
      <c r="W10" s="93">
        <v>4</v>
      </c>
      <c r="X10" s="93" t="s">
        <v>39</v>
      </c>
      <c r="Y10" s="93" t="s">
        <v>90</v>
      </c>
      <c r="Z10" s="93" t="s">
        <v>84</v>
      </c>
      <c r="AA10" s="93" t="s">
        <v>50</v>
      </c>
      <c r="AB10" s="93" t="s">
        <v>158</v>
      </c>
      <c r="AE10" s="110" t="s">
        <v>208</v>
      </c>
      <c r="AG10" s="106" t="s">
        <v>264</v>
      </c>
      <c r="AH10" s="111" t="s">
        <v>265</v>
      </c>
      <c r="AP10" s="111" t="s">
        <v>100</v>
      </c>
      <c r="AR10" s="111" t="s">
        <v>210</v>
      </c>
      <c r="AV10" s="111" t="s">
        <v>106</v>
      </c>
      <c r="AX10" s="112">
        <v>138</v>
      </c>
      <c r="AY10" s="113">
        <v>25</v>
      </c>
      <c r="AZ10" s="113">
        <v>138</v>
      </c>
      <c r="BA10" s="114">
        <v>22</v>
      </c>
    </row>
    <row r="11" spans="1:53" x14ac:dyDescent="0.15">
      <c r="A11" s="93" t="s">
        <v>51</v>
      </c>
      <c r="B11" s="93" t="s">
        <v>157</v>
      </c>
      <c r="C11" s="93">
        <v>2019</v>
      </c>
      <c r="D11" s="101" t="s">
        <v>263</v>
      </c>
      <c r="E11" s="93" t="s">
        <v>139</v>
      </c>
      <c r="F11" s="93" t="s">
        <v>278</v>
      </c>
      <c r="G11" s="93" t="s">
        <v>42</v>
      </c>
      <c r="H11" s="93" t="s">
        <v>164</v>
      </c>
      <c r="I11" s="93" t="s">
        <v>159</v>
      </c>
      <c r="J11" s="93" t="s">
        <v>38</v>
      </c>
      <c r="K11" s="93" t="s">
        <v>161</v>
      </c>
      <c r="L11" s="93">
        <v>1</v>
      </c>
      <c r="N11" s="93">
        <v>1</v>
      </c>
      <c r="O11" s="93">
        <v>0.75</v>
      </c>
      <c r="P11" s="93">
        <v>0.8</v>
      </c>
      <c r="Q11" s="102">
        <f t="shared" si="0"/>
        <v>0.77500000000000002</v>
      </c>
      <c r="R11" s="93">
        <v>16.100000000000001</v>
      </c>
      <c r="S11" s="93">
        <v>83</v>
      </c>
      <c r="T11" s="103">
        <f t="shared" si="1"/>
        <v>39</v>
      </c>
      <c r="U11" s="93">
        <v>98</v>
      </c>
      <c r="V11" s="104">
        <f t="shared" si="2"/>
        <v>3822</v>
      </c>
      <c r="W11" s="93">
        <v>15</v>
      </c>
      <c r="X11" s="93" t="s">
        <v>46</v>
      </c>
      <c r="Y11" s="93" t="s">
        <v>84</v>
      </c>
      <c r="Z11" s="93" t="s">
        <v>50</v>
      </c>
      <c r="AA11" s="93" t="s">
        <v>90</v>
      </c>
      <c r="AB11" s="93" t="s">
        <v>158</v>
      </c>
      <c r="AE11" s="110" t="s">
        <v>68</v>
      </c>
      <c r="AG11" s="106" t="s">
        <v>139</v>
      </c>
      <c r="AH11" s="111" t="s">
        <v>278</v>
      </c>
      <c r="AP11" s="111" t="s">
        <v>104</v>
      </c>
      <c r="AR11" s="111" t="s">
        <v>213</v>
      </c>
      <c r="AV11" s="111" t="s">
        <v>69</v>
      </c>
      <c r="AX11" s="112">
        <v>151</v>
      </c>
      <c r="AY11" s="113">
        <v>22</v>
      </c>
      <c r="AZ11" s="113">
        <v>152</v>
      </c>
      <c r="BA11" s="114">
        <v>18</v>
      </c>
    </row>
    <row r="12" spans="1:53" x14ac:dyDescent="0.15">
      <c r="A12" s="93" t="s">
        <v>51</v>
      </c>
      <c r="B12" s="93" t="s">
        <v>157</v>
      </c>
      <c r="C12" s="93">
        <v>2019</v>
      </c>
      <c r="D12" s="101" t="s">
        <v>263</v>
      </c>
      <c r="E12" s="93" t="s">
        <v>139</v>
      </c>
      <c r="F12" s="93" t="s">
        <v>278</v>
      </c>
      <c r="G12" s="93" t="s">
        <v>42</v>
      </c>
      <c r="H12" s="93" t="s">
        <v>164</v>
      </c>
      <c r="I12" s="93" t="s">
        <v>159</v>
      </c>
      <c r="J12" s="93" t="s">
        <v>38</v>
      </c>
      <c r="K12" s="93" t="s">
        <v>161</v>
      </c>
      <c r="L12" s="93">
        <v>2</v>
      </c>
      <c r="N12" s="93">
        <v>1</v>
      </c>
      <c r="O12" s="93">
        <v>0.8</v>
      </c>
      <c r="P12" s="93">
        <v>0.7</v>
      </c>
      <c r="Q12" s="102">
        <f t="shared" si="0"/>
        <v>0.75</v>
      </c>
      <c r="R12" s="93">
        <v>16.399999999999999</v>
      </c>
      <c r="S12" s="93">
        <v>88</v>
      </c>
      <c r="T12" s="103">
        <f t="shared" si="1"/>
        <v>36</v>
      </c>
      <c r="U12" s="93">
        <v>98</v>
      </c>
      <c r="V12" s="104">
        <f t="shared" si="2"/>
        <v>3528</v>
      </c>
      <c r="W12" s="93">
        <v>15</v>
      </c>
      <c r="X12" s="93" t="s">
        <v>46</v>
      </c>
      <c r="Y12" s="93" t="s">
        <v>84</v>
      </c>
      <c r="Z12" s="93" t="s">
        <v>50</v>
      </c>
      <c r="AA12" s="93" t="s">
        <v>90</v>
      </c>
      <c r="AB12" s="93" t="s">
        <v>158</v>
      </c>
      <c r="AE12" s="110" t="s">
        <v>214</v>
      </c>
      <c r="AG12" s="111"/>
      <c r="AH12" s="111"/>
      <c r="AP12" s="111" t="s">
        <v>67</v>
      </c>
      <c r="AR12" s="111" t="s">
        <v>215</v>
      </c>
      <c r="AV12" s="111" t="s">
        <v>72</v>
      </c>
      <c r="AX12" s="118">
        <v>180</v>
      </c>
      <c r="AY12" s="119">
        <v>18</v>
      </c>
      <c r="AZ12" s="119">
        <v>181</v>
      </c>
      <c r="BA12" s="120">
        <v>16</v>
      </c>
    </row>
    <row r="13" spans="1:53" x14ac:dyDescent="0.15">
      <c r="A13" s="93" t="s">
        <v>51</v>
      </c>
      <c r="B13" s="93" t="s">
        <v>157</v>
      </c>
      <c r="C13" s="93">
        <v>2019</v>
      </c>
      <c r="D13" s="101" t="s">
        <v>263</v>
      </c>
      <c r="E13" s="93" t="s">
        <v>139</v>
      </c>
      <c r="F13" s="93" t="s">
        <v>278</v>
      </c>
      <c r="G13" s="93" t="s">
        <v>42</v>
      </c>
      <c r="H13" s="93" t="s">
        <v>164</v>
      </c>
      <c r="I13" s="93" t="s">
        <v>159</v>
      </c>
      <c r="J13" s="93" t="s">
        <v>38</v>
      </c>
      <c r="K13" s="93" t="s">
        <v>161</v>
      </c>
      <c r="L13" s="93">
        <v>3</v>
      </c>
      <c r="N13" s="93">
        <v>1</v>
      </c>
      <c r="O13" s="93">
        <v>0.75</v>
      </c>
      <c r="P13" s="93">
        <v>0.75</v>
      </c>
      <c r="Q13" s="102">
        <f t="shared" si="0"/>
        <v>0.75</v>
      </c>
      <c r="R13" s="93">
        <v>17.2</v>
      </c>
      <c r="S13" s="93">
        <v>90</v>
      </c>
      <c r="T13" s="103">
        <f t="shared" si="1"/>
        <v>36</v>
      </c>
      <c r="U13" s="93">
        <v>98</v>
      </c>
      <c r="V13" s="104">
        <f t="shared" si="2"/>
        <v>3528</v>
      </c>
      <c r="W13" s="93">
        <v>15</v>
      </c>
      <c r="X13" s="93" t="s">
        <v>46</v>
      </c>
      <c r="Y13" s="93" t="s">
        <v>84</v>
      </c>
      <c r="Z13" s="93" t="s">
        <v>50</v>
      </c>
      <c r="AA13" s="93" t="s">
        <v>90</v>
      </c>
      <c r="AB13" s="93" t="s">
        <v>158</v>
      </c>
      <c r="AE13" s="110" t="s">
        <v>216</v>
      </c>
      <c r="AG13" s="111"/>
      <c r="AH13" s="111"/>
      <c r="AP13" s="111" t="s">
        <v>71</v>
      </c>
      <c r="AR13" s="111" t="s">
        <v>208</v>
      </c>
      <c r="AV13" s="111" t="s">
        <v>75</v>
      </c>
    </row>
    <row r="14" spans="1:53" x14ac:dyDescent="0.15">
      <c r="A14" s="93" t="s">
        <v>51</v>
      </c>
      <c r="B14" s="93" t="s">
        <v>157</v>
      </c>
      <c r="C14" s="93">
        <v>2019</v>
      </c>
      <c r="D14" s="101" t="s">
        <v>263</v>
      </c>
      <c r="E14" s="93" t="s">
        <v>139</v>
      </c>
      <c r="F14" s="93" t="s">
        <v>278</v>
      </c>
      <c r="G14" s="93" t="s">
        <v>42</v>
      </c>
      <c r="H14" s="93" t="s">
        <v>160</v>
      </c>
      <c r="I14" s="93" t="s">
        <v>159</v>
      </c>
      <c r="J14" s="93" t="s">
        <v>38</v>
      </c>
      <c r="K14" s="93" t="s">
        <v>161</v>
      </c>
      <c r="L14" s="93">
        <v>1</v>
      </c>
      <c r="N14" s="93">
        <v>1</v>
      </c>
      <c r="O14" s="93">
        <v>0.75</v>
      </c>
      <c r="P14" s="93">
        <v>0.8</v>
      </c>
      <c r="Q14" s="102">
        <f t="shared" si="0"/>
        <v>0.77500000000000002</v>
      </c>
      <c r="R14" s="93">
        <v>17.7</v>
      </c>
      <c r="S14" s="93">
        <v>106</v>
      </c>
      <c r="T14" s="103">
        <f t="shared" si="1"/>
        <v>33</v>
      </c>
      <c r="U14" s="93">
        <v>98</v>
      </c>
      <c r="V14" s="104">
        <f t="shared" si="2"/>
        <v>3234</v>
      </c>
      <c r="W14" s="93">
        <v>15</v>
      </c>
      <c r="X14" s="93" t="s">
        <v>46</v>
      </c>
      <c r="Y14" s="93" t="s">
        <v>84</v>
      </c>
      <c r="Z14" s="93" t="s">
        <v>50</v>
      </c>
      <c r="AA14" s="93" t="s">
        <v>90</v>
      </c>
      <c r="AB14" s="93" t="s">
        <v>158</v>
      </c>
      <c r="AE14" s="110" t="s">
        <v>96</v>
      </c>
      <c r="AG14" s="111"/>
      <c r="AH14" s="111"/>
      <c r="AP14" s="111" t="s">
        <v>74</v>
      </c>
      <c r="AR14" s="111" t="s">
        <v>217</v>
      </c>
      <c r="AV14" s="111" t="s">
        <v>78</v>
      </c>
    </row>
    <row r="15" spans="1:53" x14ac:dyDescent="0.15">
      <c r="A15" s="93" t="s">
        <v>51</v>
      </c>
      <c r="B15" s="93" t="s">
        <v>157</v>
      </c>
      <c r="C15" s="93">
        <v>2019</v>
      </c>
      <c r="D15" s="101" t="s">
        <v>263</v>
      </c>
      <c r="E15" s="93" t="s">
        <v>139</v>
      </c>
      <c r="F15" s="93" t="s">
        <v>278</v>
      </c>
      <c r="G15" s="93" t="s">
        <v>42</v>
      </c>
      <c r="H15" s="93" t="s">
        <v>160</v>
      </c>
      <c r="I15" s="93" t="s">
        <v>159</v>
      </c>
      <c r="J15" s="93" t="s">
        <v>38</v>
      </c>
      <c r="K15" s="93" t="s">
        <v>161</v>
      </c>
      <c r="L15" s="93">
        <v>2</v>
      </c>
      <c r="N15" s="93">
        <v>1</v>
      </c>
      <c r="O15" s="93">
        <v>0.7</v>
      </c>
      <c r="P15" s="93">
        <v>0.55000000000000004</v>
      </c>
      <c r="Q15" s="102">
        <f t="shared" si="0"/>
        <v>0.625</v>
      </c>
      <c r="R15" s="93">
        <v>18.600000000000001</v>
      </c>
      <c r="S15" s="93">
        <v>104</v>
      </c>
      <c r="T15" s="103">
        <f t="shared" si="1"/>
        <v>33</v>
      </c>
      <c r="U15" s="93">
        <v>98</v>
      </c>
      <c r="V15" s="104">
        <f t="shared" si="2"/>
        <v>3234</v>
      </c>
      <c r="W15" s="93">
        <v>15</v>
      </c>
      <c r="X15" s="93" t="s">
        <v>46</v>
      </c>
      <c r="Y15" s="93" t="s">
        <v>84</v>
      </c>
      <c r="Z15" s="93" t="s">
        <v>50</v>
      </c>
      <c r="AA15" s="93" t="s">
        <v>90</v>
      </c>
      <c r="AB15" s="93" t="s">
        <v>158</v>
      </c>
      <c r="AE15" s="110" t="s">
        <v>218</v>
      </c>
      <c r="AG15" s="111"/>
      <c r="AH15" s="111"/>
      <c r="AP15" s="111" t="s">
        <v>77</v>
      </c>
      <c r="AR15" s="111" t="s">
        <v>80</v>
      </c>
      <c r="AV15" s="111" t="s">
        <v>107</v>
      </c>
    </row>
    <row r="16" spans="1:53" x14ac:dyDescent="0.15">
      <c r="A16" s="93" t="s">
        <v>51</v>
      </c>
      <c r="B16" s="93" t="s">
        <v>157</v>
      </c>
      <c r="C16" s="93">
        <v>2019</v>
      </c>
      <c r="D16" s="101" t="s">
        <v>263</v>
      </c>
      <c r="E16" s="93" t="s">
        <v>139</v>
      </c>
      <c r="F16" s="93" t="s">
        <v>278</v>
      </c>
      <c r="G16" s="93" t="s">
        <v>42</v>
      </c>
      <c r="H16" s="93" t="s">
        <v>160</v>
      </c>
      <c r="I16" s="93" t="s">
        <v>159</v>
      </c>
      <c r="J16" s="93" t="s">
        <v>38</v>
      </c>
      <c r="K16" s="93" t="s">
        <v>161</v>
      </c>
      <c r="L16" s="93">
        <v>3</v>
      </c>
      <c r="N16" s="93">
        <v>1</v>
      </c>
      <c r="O16" s="93">
        <v>0.9</v>
      </c>
      <c r="P16" s="93">
        <v>0.65</v>
      </c>
      <c r="Q16" s="102">
        <f t="shared" si="0"/>
        <v>0.77500000000000002</v>
      </c>
      <c r="R16" s="93">
        <v>18.2</v>
      </c>
      <c r="S16" s="93">
        <v>97</v>
      </c>
      <c r="T16" s="103">
        <f t="shared" si="1"/>
        <v>36</v>
      </c>
      <c r="U16" s="93">
        <v>98</v>
      </c>
      <c r="V16" s="104">
        <f t="shared" si="2"/>
        <v>3528</v>
      </c>
      <c r="W16" s="93">
        <v>15</v>
      </c>
      <c r="X16" s="93" t="s">
        <v>46</v>
      </c>
      <c r="Y16" s="93" t="s">
        <v>84</v>
      </c>
      <c r="Z16" s="93" t="s">
        <v>50</v>
      </c>
      <c r="AA16" s="93" t="s">
        <v>90</v>
      </c>
      <c r="AB16" s="93" t="s">
        <v>158</v>
      </c>
      <c r="AE16" s="110" t="s">
        <v>219</v>
      </c>
      <c r="AG16" s="116"/>
      <c r="AH16" s="116"/>
      <c r="AP16" s="111" t="s">
        <v>80</v>
      </c>
      <c r="AR16" s="111" t="s">
        <v>63</v>
      </c>
      <c r="AV16" s="111" t="s">
        <v>84</v>
      </c>
    </row>
    <row r="17" spans="1:48" x14ac:dyDescent="0.15">
      <c r="A17" s="93" t="s">
        <v>51</v>
      </c>
      <c r="B17" s="93" t="s">
        <v>157</v>
      </c>
      <c r="C17" s="93">
        <v>2019</v>
      </c>
      <c r="D17" s="101" t="s">
        <v>263</v>
      </c>
      <c r="E17" s="93" t="s">
        <v>272</v>
      </c>
      <c r="F17" s="93" t="s">
        <v>273</v>
      </c>
      <c r="G17" s="93" t="s">
        <v>36</v>
      </c>
      <c r="H17" s="93" t="s">
        <v>164</v>
      </c>
      <c r="I17" s="93" t="s">
        <v>159</v>
      </c>
      <c r="J17" s="93" t="s">
        <v>38</v>
      </c>
      <c r="K17" s="93" t="s">
        <v>161</v>
      </c>
      <c r="L17" s="93">
        <v>1</v>
      </c>
      <c r="N17" s="93">
        <v>1</v>
      </c>
      <c r="O17" s="93">
        <v>0.65</v>
      </c>
      <c r="P17" s="93">
        <v>0.55000000000000004</v>
      </c>
      <c r="Q17" s="102">
        <f t="shared" si="0"/>
        <v>0.60000000000000009</v>
      </c>
      <c r="R17" s="93">
        <v>16</v>
      </c>
      <c r="S17" s="93">
        <v>144</v>
      </c>
      <c r="T17" s="103">
        <f t="shared" si="1"/>
        <v>22</v>
      </c>
      <c r="U17" s="93">
        <v>98</v>
      </c>
      <c r="V17" s="104">
        <f t="shared" si="2"/>
        <v>2156</v>
      </c>
      <c r="W17" s="93">
        <v>7</v>
      </c>
      <c r="X17" s="93" t="s">
        <v>39</v>
      </c>
      <c r="Y17" s="93" t="s">
        <v>50</v>
      </c>
      <c r="Z17" s="93" t="s">
        <v>84</v>
      </c>
      <c r="AA17" s="93" t="s">
        <v>90</v>
      </c>
      <c r="AB17" s="93" t="s">
        <v>158</v>
      </c>
      <c r="AE17" s="110" t="s">
        <v>220</v>
      </c>
      <c r="AP17" s="115" t="s">
        <v>221</v>
      </c>
      <c r="AR17" s="111" t="s">
        <v>96</v>
      </c>
      <c r="AV17" s="111" t="s">
        <v>86</v>
      </c>
    </row>
    <row r="18" spans="1:48" x14ac:dyDescent="0.15">
      <c r="A18" s="93" t="s">
        <v>51</v>
      </c>
      <c r="B18" s="93" t="s">
        <v>157</v>
      </c>
      <c r="C18" s="93">
        <v>2019</v>
      </c>
      <c r="D18" s="101" t="s">
        <v>263</v>
      </c>
      <c r="E18" s="93" t="s">
        <v>272</v>
      </c>
      <c r="F18" s="93" t="s">
        <v>273</v>
      </c>
      <c r="G18" s="93" t="s">
        <v>36</v>
      </c>
      <c r="H18" s="93" t="s">
        <v>164</v>
      </c>
      <c r="I18" s="93" t="s">
        <v>159</v>
      </c>
      <c r="J18" s="93" t="s">
        <v>38</v>
      </c>
      <c r="K18" s="93" t="s">
        <v>161</v>
      </c>
      <c r="L18" s="93">
        <v>2</v>
      </c>
      <c r="N18" s="93">
        <v>1</v>
      </c>
      <c r="O18" s="93">
        <v>0.55000000000000004</v>
      </c>
      <c r="P18" s="93">
        <v>0.55000000000000004</v>
      </c>
      <c r="Q18" s="102">
        <f t="shared" si="0"/>
        <v>0.55000000000000004</v>
      </c>
      <c r="R18" s="93">
        <v>15.7</v>
      </c>
      <c r="S18" s="93">
        <v>142</v>
      </c>
      <c r="T18" s="103">
        <f t="shared" si="1"/>
        <v>22</v>
      </c>
      <c r="U18" s="93">
        <v>98</v>
      </c>
      <c r="V18" s="104">
        <f t="shared" si="2"/>
        <v>2156</v>
      </c>
      <c r="W18" s="93">
        <v>7</v>
      </c>
      <c r="X18" s="93" t="s">
        <v>39</v>
      </c>
      <c r="Y18" s="93" t="s">
        <v>50</v>
      </c>
      <c r="Z18" s="93" t="s">
        <v>84</v>
      </c>
      <c r="AA18" s="93" t="s">
        <v>90</v>
      </c>
      <c r="AB18" s="93" t="s">
        <v>158</v>
      </c>
      <c r="AE18" s="110" t="s">
        <v>213</v>
      </c>
      <c r="AP18" s="115" t="s">
        <v>222</v>
      </c>
      <c r="AR18" s="111" t="s">
        <v>101</v>
      </c>
      <c r="AV18" s="111" t="s">
        <v>88</v>
      </c>
    </row>
    <row r="19" spans="1:48" x14ac:dyDescent="0.15">
      <c r="A19" s="93" t="s">
        <v>51</v>
      </c>
      <c r="B19" s="93" t="s">
        <v>157</v>
      </c>
      <c r="C19" s="93">
        <v>2019</v>
      </c>
      <c r="D19" s="101" t="s">
        <v>263</v>
      </c>
      <c r="E19" s="93" t="s">
        <v>272</v>
      </c>
      <c r="F19" s="93" t="s">
        <v>273</v>
      </c>
      <c r="G19" s="93" t="s">
        <v>36</v>
      </c>
      <c r="H19" s="93" t="s">
        <v>164</v>
      </c>
      <c r="I19" s="93" t="s">
        <v>159</v>
      </c>
      <c r="J19" s="93" t="s">
        <v>38</v>
      </c>
      <c r="K19" s="93" t="s">
        <v>161</v>
      </c>
      <c r="L19" s="93">
        <v>3</v>
      </c>
      <c r="N19" s="93">
        <v>1</v>
      </c>
      <c r="O19" s="93">
        <v>0.5</v>
      </c>
      <c r="P19" s="93">
        <v>0.6</v>
      </c>
      <c r="Q19" s="102">
        <f t="shared" si="0"/>
        <v>0.55000000000000004</v>
      </c>
      <c r="R19" s="93">
        <v>15.1</v>
      </c>
      <c r="S19" s="93">
        <v>138</v>
      </c>
      <c r="T19" s="103">
        <f t="shared" si="1"/>
        <v>22</v>
      </c>
      <c r="U19" s="93">
        <v>98</v>
      </c>
      <c r="V19" s="104">
        <f t="shared" si="2"/>
        <v>2156</v>
      </c>
      <c r="W19" s="93">
        <v>7</v>
      </c>
      <c r="X19" s="93" t="s">
        <v>39</v>
      </c>
      <c r="Y19" s="93" t="s">
        <v>50</v>
      </c>
      <c r="Z19" s="93" t="s">
        <v>84</v>
      </c>
      <c r="AA19" s="93" t="s">
        <v>90</v>
      </c>
      <c r="AB19" s="93" t="s">
        <v>158</v>
      </c>
      <c r="AE19" s="121" t="s">
        <v>207</v>
      </c>
      <c r="AP19" s="115" t="s">
        <v>223</v>
      </c>
      <c r="AR19" s="111" t="s">
        <v>224</v>
      </c>
      <c r="AV19" s="111" t="s">
        <v>90</v>
      </c>
    </row>
    <row r="20" spans="1:48" x14ac:dyDescent="0.15">
      <c r="A20" s="93" t="s">
        <v>51</v>
      </c>
      <c r="B20" s="93" t="s">
        <v>157</v>
      </c>
      <c r="C20" s="93">
        <v>2019</v>
      </c>
      <c r="D20" s="101" t="s">
        <v>263</v>
      </c>
      <c r="E20" s="93" t="s">
        <v>272</v>
      </c>
      <c r="F20" s="93" t="s">
        <v>273</v>
      </c>
      <c r="G20" s="93" t="s">
        <v>36</v>
      </c>
      <c r="H20" s="93" t="s">
        <v>160</v>
      </c>
      <c r="I20" s="93" t="s">
        <v>159</v>
      </c>
      <c r="J20" s="93" t="s">
        <v>38</v>
      </c>
      <c r="K20" s="93" t="s">
        <v>161</v>
      </c>
      <c r="L20" s="93">
        <v>1</v>
      </c>
      <c r="N20" s="93">
        <v>4</v>
      </c>
      <c r="O20" s="93">
        <v>0.5</v>
      </c>
      <c r="P20" s="93">
        <v>0.25</v>
      </c>
      <c r="Q20" s="102">
        <f t="shared" si="0"/>
        <v>0.375</v>
      </c>
      <c r="R20" s="93">
        <v>18.100000000000001</v>
      </c>
      <c r="S20" s="93">
        <v>102</v>
      </c>
      <c r="T20" s="103">
        <f t="shared" si="1"/>
        <v>33</v>
      </c>
      <c r="U20" s="93">
        <v>498</v>
      </c>
      <c r="V20" s="104">
        <f t="shared" si="2"/>
        <v>4108.5</v>
      </c>
      <c r="W20" s="93">
        <v>7</v>
      </c>
      <c r="X20" s="93" t="s">
        <v>46</v>
      </c>
      <c r="Y20" s="93" t="s">
        <v>50</v>
      </c>
      <c r="Z20" s="93" t="s">
        <v>84</v>
      </c>
      <c r="AA20" s="93" t="s">
        <v>90</v>
      </c>
      <c r="AB20" s="93" t="s">
        <v>158</v>
      </c>
      <c r="AE20" s="121"/>
      <c r="AP20" s="115" t="s">
        <v>225</v>
      </c>
      <c r="AR20" s="111" t="s">
        <v>105</v>
      </c>
      <c r="AV20" s="115" t="s">
        <v>226</v>
      </c>
    </row>
    <row r="21" spans="1:48" x14ac:dyDescent="0.15">
      <c r="A21" s="93" t="s">
        <v>51</v>
      </c>
      <c r="B21" s="93" t="s">
        <v>157</v>
      </c>
      <c r="C21" s="93">
        <v>2019</v>
      </c>
      <c r="D21" s="101" t="s">
        <v>263</v>
      </c>
      <c r="E21" s="93" t="s">
        <v>272</v>
      </c>
      <c r="F21" s="93" t="s">
        <v>273</v>
      </c>
      <c r="G21" s="93" t="s">
        <v>36</v>
      </c>
      <c r="H21" s="93" t="s">
        <v>160</v>
      </c>
      <c r="I21" s="93" t="s">
        <v>159</v>
      </c>
      <c r="J21" s="93" t="s">
        <v>38</v>
      </c>
      <c r="K21" s="93" t="s">
        <v>161</v>
      </c>
      <c r="L21" s="93">
        <v>2</v>
      </c>
      <c r="N21" s="93">
        <v>4</v>
      </c>
      <c r="O21" s="93">
        <v>0.6</v>
      </c>
      <c r="P21" s="93">
        <v>0.6</v>
      </c>
      <c r="Q21" s="102">
        <f t="shared" si="0"/>
        <v>0.6</v>
      </c>
      <c r="R21" s="93">
        <v>17.600000000000001</v>
      </c>
      <c r="S21" s="93">
        <v>104</v>
      </c>
      <c r="T21" s="103">
        <f t="shared" si="1"/>
        <v>33</v>
      </c>
      <c r="U21" s="93">
        <v>498</v>
      </c>
      <c r="V21" s="104">
        <f t="shared" si="2"/>
        <v>4108.5</v>
      </c>
      <c r="W21" s="93">
        <v>7</v>
      </c>
      <c r="X21" s="93" t="s">
        <v>46</v>
      </c>
      <c r="Y21" s="93" t="s">
        <v>50</v>
      </c>
      <c r="Z21" s="93" t="s">
        <v>84</v>
      </c>
      <c r="AA21" s="93" t="s">
        <v>90</v>
      </c>
      <c r="AB21" s="93" t="s">
        <v>158</v>
      </c>
      <c r="AE21" s="116"/>
      <c r="AP21" s="115" t="s">
        <v>227</v>
      </c>
      <c r="AR21" s="111" t="s">
        <v>68</v>
      </c>
      <c r="AV21" s="115" t="s">
        <v>228</v>
      </c>
    </row>
    <row r="22" spans="1:48" x14ac:dyDescent="0.15">
      <c r="A22" s="93" t="s">
        <v>51</v>
      </c>
      <c r="B22" s="93" t="s">
        <v>157</v>
      </c>
      <c r="C22" s="93">
        <v>2019</v>
      </c>
      <c r="D22" s="101" t="s">
        <v>263</v>
      </c>
      <c r="E22" s="93" t="s">
        <v>272</v>
      </c>
      <c r="F22" s="93" t="s">
        <v>273</v>
      </c>
      <c r="G22" s="93" t="s">
        <v>36</v>
      </c>
      <c r="H22" s="93" t="s">
        <v>160</v>
      </c>
      <c r="I22" s="93" t="s">
        <v>159</v>
      </c>
      <c r="J22" s="93" t="s">
        <v>38</v>
      </c>
      <c r="K22" s="93" t="s">
        <v>161</v>
      </c>
      <c r="L22" s="93">
        <v>3</v>
      </c>
      <c r="N22" s="93">
        <v>4</v>
      </c>
      <c r="O22" s="93">
        <v>0.65</v>
      </c>
      <c r="P22" s="93">
        <v>0.7</v>
      </c>
      <c r="Q22" s="102">
        <f t="shared" si="0"/>
        <v>0.67500000000000004</v>
      </c>
      <c r="R22" s="93">
        <v>17.2</v>
      </c>
      <c r="S22" s="93">
        <v>98</v>
      </c>
      <c r="T22" s="103">
        <f t="shared" si="1"/>
        <v>36</v>
      </c>
      <c r="U22" s="93">
        <v>498</v>
      </c>
      <c r="V22" s="104">
        <f t="shared" si="2"/>
        <v>4482</v>
      </c>
      <c r="W22" s="93">
        <v>7</v>
      </c>
      <c r="X22" s="93" t="s">
        <v>46</v>
      </c>
      <c r="Y22" s="93" t="s">
        <v>50</v>
      </c>
      <c r="Z22" s="93" t="s">
        <v>84</v>
      </c>
      <c r="AA22" s="93" t="s">
        <v>90</v>
      </c>
      <c r="AB22" s="93" t="s">
        <v>158</v>
      </c>
      <c r="AP22" s="115" t="s">
        <v>229</v>
      </c>
      <c r="AR22" s="111" t="s">
        <v>83</v>
      </c>
      <c r="AV22" s="115"/>
    </row>
    <row r="23" spans="1:48" x14ac:dyDescent="0.15">
      <c r="A23" s="93" t="s">
        <v>51</v>
      </c>
      <c r="B23" s="93" t="s">
        <v>157</v>
      </c>
      <c r="C23" s="93">
        <v>2019</v>
      </c>
      <c r="D23" s="101" t="s">
        <v>263</v>
      </c>
      <c r="E23" s="93" t="s">
        <v>211</v>
      </c>
      <c r="F23" s="93" t="s">
        <v>266</v>
      </c>
      <c r="G23" s="93" t="s">
        <v>42</v>
      </c>
      <c r="H23" s="93" t="s">
        <v>164</v>
      </c>
      <c r="I23" s="93" t="s">
        <v>159</v>
      </c>
      <c r="J23" s="93" t="s">
        <v>38</v>
      </c>
      <c r="K23" s="93" t="s">
        <v>161</v>
      </c>
      <c r="L23" s="93">
        <v>1</v>
      </c>
      <c r="N23" s="93">
        <v>1</v>
      </c>
      <c r="O23" s="93">
        <v>1.05</v>
      </c>
      <c r="P23" s="93">
        <v>1</v>
      </c>
      <c r="Q23" s="102">
        <f t="shared" si="0"/>
        <v>1.0249999999999999</v>
      </c>
      <c r="R23" s="93">
        <v>15.2</v>
      </c>
      <c r="S23" s="93">
        <v>118</v>
      </c>
      <c r="T23" s="103">
        <f t="shared" si="1"/>
        <v>30</v>
      </c>
      <c r="U23" s="93">
        <v>97</v>
      </c>
      <c r="V23" s="104">
        <f t="shared" si="2"/>
        <v>2910</v>
      </c>
      <c r="W23" s="93">
        <v>5</v>
      </c>
      <c r="X23" s="93" t="s">
        <v>46</v>
      </c>
      <c r="Y23" s="93" t="s">
        <v>50</v>
      </c>
      <c r="Z23" s="93" t="s">
        <v>84</v>
      </c>
      <c r="AA23" s="93" t="s">
        <v>90</v>
      </c>
      <c r="AB23" s="93" t="s">
        <v>158</v>
      </c>
      <c r="AP23" s="115" t="s">
        <v>279</v>
      </c>
      <c r="AR23" s="111" t="s">
        <v>61</v>
      </c>
    </row>
    <row r="24" spans="1:48" x14ac:dyDescent="0.15">
      <c r="A24" s="93" t="s">
        <v>51</v>
      </c>
      <c r="B24" s="93" t="s">
        <v>157</v>
      </c>
      <c r="C24" s="93">
        <v>2019</v>
      </c>
      <c r="D24" s="101" t="s">
        <v>263</v>
      </c>
      <c r="E24" s="93" t="s">
        <v>211</v>
      </c>
      <c r="F24" s="93" t="s">
        <v>266</v>
      </c>
      <c r="G24" s="93" t="s">
        <v>42</v>
      </c>
      <c r="H24" s="93" t="s">
        <v>164</v>
      </c>
      <c r="I24" s="93" t="s">
        <v>159</v>
      </c>
      <c r="J24" s="93" t="s">
        <v>38</v>
      </c>
      <c r="K24" s="93" t="s">
        <v>161</v>
      </c>
      <c r="L24" s="93">
        <v>2</v>
      </c>
      <c r="N24" s="93">
        <v>1</v>
      </c>
      <c r="O24" s="93">
        <v>0.95</v>
      </c>
      <c r="P24" s="93">
        <v>1</v>
      </c>
      <c r="Q24" s="102">
        <f t="shared" si="0"/>
        <v>0.97499999999999998</v>
      </c>
      <c r="R24" s="93">
        <v>15.6</v>
      </c>
      <c r="S24" s="93">
        <v>118</v>
      </c>
      <c r="T24" s="103">
        <f t="shared" si="1"/>
        <v>30</v>
      </c>
      <c r="U24" s="93">
        <v>97</v>
      </c>
      <c r="V24" s="104">
        <f t="shared" si="2"/>
        <v>2910</v>
      </c>
      <c r="W24" s="93">
        <v>5</v>
      </c>
      <c r="X24" s="93" t="s">
        <v>46</v>
      </c>
      <c r="Y24" s="93" t="s">
        <v>50</v>
      </c>
      <c r="Z24" s="93" t="s">
        <v>84</v>
      </c>
      <c r="AA24" s="93" t="s">
        <v>90</v>
      </c>
      <c r="AB24" s="93" t="s">
        <v>158</v>
      </c>
      <c r="AP24" s="115" t="s">
        <v>280</v>
      </c>
      <c r="AR24" s="111" t="s">
        <v>91</v>
      </c>
    </row>
    <row r="25" spans="1:48" x14ac:dyDescent="0.15">
      <c r="A25" s="93" t="s">
        <v>51</v>
      </c>
      <c r="B25" s="93" t="s">
        <v>157</v>
      </c>
      <c r="C25" s="93">
        <v>2019</v>
      </c>
      <c r="D25" s="101" t="s">
        <v>263</v>
      </c>
      <c r="E25" s="93" t="s">
        <v>211</v>
      </c>
      <c r="F25" s="93" t="s">
        <v>266</v>
      </c>
      <c r="G25" s="93" t="s">
        <v>42</v>
      </c>
      <c r="H25" s="93" t="s">
        <v>164</v>
      </c>
      <c r="I25" s="93" t="s">
        <v>159</v>
      </c>
      <c r="J25" s="93" t="s">
        <v>38</v>
      </c>
      <c r="K25" s="93" t="s">
        <v>161</v>
      </c>
      <c r="L25" s="93">
        <v>3</v>
      </c>
      <c r="N25" s="93">
        <v>1</v>
      </c>
      <c r="O25" s="93">
        <v>0.85</v>
      </c>
      <c r="P25" s="93">
        <v>0.8</v>
      </c>
      <c r="Q25" s="102">
        <f t="shared" si="0"/>
        <v>0.82499999999999996</v>
      </c>
      <c r="R25" s="93">
        <v>16.2</v>
      </c>
      <c r="S25" s="93">
        <v>124</v>
      </c>
      <c r="T25" s="103">
        <f t="shared" si="1"/>
        <v>27</v>
      </c>
      <c r="U25" s="93">
        <v>97</v>
      </c>
      <c r="V25" s="104">
        <f t="shared" si="2"/>
        <v>2619</v>
      </c>
      <c r="W25" s="93">
        <v>5</v>
      </c>
      <c r="X25" s="93" t="s">
        <v>46</v>
      </c>
      <c r="Y25" s="93" t="s">
        <v>50</v>
      </c>
      <c r="Z25" s="93" t="s">
        <v>84</v>
      </c>
      <c r="AA25" s="93" t="s">
        <v>90</v>
      </c>
      <c r="AB25" s="93" t="s">
        <v>158</v>
      </c>
      <c r="AP25" s="115" t="s">
        <v>281</v>
      </c>
      <c r="AR25" s="115" t="s">
        <v>51</v>
      </c>
    </row>
    <row r="26" spans="1:48" x14ac:dyDescent="0.15">
      <c r="A26" s="93" t="s">
        <v>51</v>
      </c>
      <c r="B26" s="93" t="s">
        <v>157</v>
      </c>
      <c r="C26" s="93">
        <v>2019</v>
      </c>
      <c r="D26" s="101" t="s">
        <v>263</v>
      </c>
      <c r="E26" s="93" t="s">
        <v>274</v>
      </c>
      <c r="F26" s="93" t="s">
        <v>266</v>
      </c>
      <c r="G26" s="93" t="s">
        <v>42</v>
      </c>
      <c r="H26" s="93" t="s">
        <v>164</v>
      </c>
      <c r="I26" s="93" t="s">
        <v>159</v>
      </c>
      <c r="J26" s="93" t="s">
        <v>38</v>
      </c>
      <c r="K26" s="93" t="s">
        <v>161</v>
      </c>
      <c r="L26" s="93">
        <v>1</v>
      </c>
      <c r="N26" s="93">
        <v>1</v>
      </c>
      <c r="O26" s="93">
        <v>0.8</v>
      </c>
      <c r="P26" s="93">
        <v>0.85</v>
      </c>
      <c r="Q26" s="102">
        <f t="shared" si="0"/>
        <v>0.82499999999999996</v>
      </c>
      <c r="R26" s="93">
        <v>14.3</v>
      </c>
      <c r="S26" s="93">
        <v>110</v>
      </c>
      <c r="T26" s="103">
        <f t="shared" si="1"/>
        <v>33</v>
      </c>
      <c r="U26" s="93">
        <v>68</v>
      </c>
      <c r="V26" s="104">
        <f t="shared" si="2"/>
        <v>2244</v>
      </c>
      <c r="W26" s="93">
        <v>18</v>
      </c>
      <c r="X26" s="93" t="s">
        <v>46</v>
      </c>
      <c r="Y26" s="93" t="s">
        <v>84</v>
      </c>
      <c r="Z26" s="93" t="s">
        <v>90</v>
      </c>
      <c r="AA26" s="93" t="s">
        <v>55</v>
      </c>
      <c r="AB26" s="93" t="s">
        <v>158</v>
      </c>
      <c r="AP26" s="115" t="s">
        <v>230</v>
      </c>
      <c r="AR26" s="93" t="s">
        <v>231</v>
      </c>
    </row>
    <row r="27" spans="1:48" x14ac:dyDescent="0.15">
      <c r="A27" s="93" t="s">
        <v>51</v>
      </c>
      <c r="B27" s="93" t="s">
        <v>157</v>
      </c>
      <c r="C27" s="93">
        <v>2019</v>
      </c>
      <c r="D27" s="101" t="s">
        <v>263</v>
      </c>
      <c r="E27" s="93" t="s">
        <v>274</v>
      </c>
      <c r="F27" s="93" t="s">
        <v>266</v>
      </c>
      <c r="G27" s="93" t="s">
        <v>42</v>
      </c>
      <c r="H27" s="93" t="s">
        <v>164</v>
      </c>
      <c r="I27" s="93" t="s">
        <v>159</v>
      </c>
      <c r="J27" s="93" t="s">
        <v>38</v>
      </c>
      <c r="K27" s="93" t="s">
        <v>161</v>
      </c>
      <c r="L27" s="93">
        <v>2</v>
      </c>
      <c r="N27" s="93">
        <v>1</v>
      </c>
      <c r="O27" s="93">
        <v>0.75</v>
      </c>
      <c r="P27" s="93">
        <v>0.8</v>
      </c>
      <c r="Q27" s="102">
        <f t="shared" si="0"/>
        <v>0.77500000000000002</v>
      </c>
      <c r="R27" s="93">
        <v>15.7</v>
      </c>
      <c r="S27" s="93">
        <v>114</v>
      </c>
      <c r="T27" s="103">
        <f t="shared" si="1"/>
        <v>30</v>
      </c>
      <c r="U27" s="93">
        <v>68</v>
      </c>
      <c r="V27" s="104">
        <f t="shared" si="2"/>
        <v>2040</v>
      </c>
      <c r="W27" s="93">
        <v>18</v>
      </c>
      <c r="X27" s="93" t="s">
        <v>46</v>
      </c>
      <c r="Y27" s="93" t="s">
        <v>84</v>
      </c>
      <c r="Z27" s="93" t="s">
        <v>90</v>
      </c>
      <c r="AA27" s="93" t="s">
        <v>55</v>
      </c>
      <c r="AB27" s="93" t="s">
        <v>158</v>
      </c>
      <c r="AP27" s="115" t="s">
        <v>232</v>
      </c>
    </row>
    <row r="28" spans="1:48" x14ac:dyDescent="0.15">
      <c r="A28" s="93" t="s">
        <v>51</v>
      </c>
      <c r="B28" s="93" t="s">
        <v>157</v>
      </c>
      <c r="C28" s="93">
        <v>2019</v>
      </c>
      <c r="D28" s="101" t="s">
        <v>263</v>
      </c>
      <c r="E28" s="93" t="s">
        <v>274</v>
      </c>
      <c r="F28" s="93" t="s">
        <v>266</v>
      </c>
      <c r="G28" s="93" t="s">
        <v>42</v>
      </c>
      <c r="H28" s="93" t="s">
        <v>164</v>
      </c>
      <c r="I28" s="93" t="s">
        <v>159</v>
      </c>
      <c r="J28" s="93" t="s">
        <v>38</v>
      </c>
      <c r="K28" s="93" t="s">
        <v>161</v>
      </c>
      <c r="L28" s="93">
        <v>3</v>
      </c>
      <c r="N28" s="93">
        <v>1</v>
      </c>
      <c r="O28" s="93">
        <v>0.7</v>
      </c>
      <c r="P28" s="93">
        <v>0.7</v>
      </c>
      <c r="Q28" s="102">
        <f t="shared" si="0"/>
        <v>0.7</v>
      </c>
      <c r="R28" s="93">
        <v>16.2</v>
      </c>
      <c r="S28" s="93">
        <v>118</v>
      </c>
      <c r="T28" s="103">
        <f t="shared" si="1"/>
        <v>30</v>
      </c>
      <c r="U28" s="93">
        <v>68</v>
      </c>
      <c r="V28" s="104">
        <f t="shared" si="2"/>
        <v>2040</v>
      </c>
      <c r="W28" s="93">
        <v>18</v>
      </c>
      <c r="X28" s="93" t="s">
        <v>46</v>
      </c>
      <c r="Y28" s="93" t="s">
        <v>84</v>
      </c>
      <c r="Z28" s="93" t="s">
        <v>90</v>
      </c>
      <c r="AA28" s="93" t="s">
        <v>55</v>
      </c>
      <c r="AB28" s="93" t="s">
        <v>158</v>
      </c>
    </row>
    <row r="29" spans="1:48" x14ac:dyDescent="0.15">
      <c r="A29" s="93" t="s">
        <v>51</v>
      </c>
      <c r="B29" s="93" t="s">
        <v>157</v>
      </c>
      <c r="C29" s="93">
        <v>2019</v>
      </c>
      <c r="D29" s="101" t="s">
        <v>263</v>
      </c>
      <c r="E29" s="93" t="s">
        <v>274</v>
      </c>
      <c r="F29" s="93" t="s">
        <v>266</v>
      </c>
      <c r="G29" s="93" t="s">
        <v>42</v>
      </c>
      <c r="H29" s="93" t="s">
        <v>164</v>
      </c>
      <c r="I29" s="93" t="s">
        <v>165</v>
      </c>
      <c r="J29" s="93" t="s">
        <v>38</v>
      </c>
      <c r="K29" s="93" t="s">
        <v>161</v>
      </c>
      <c r="L29" s="93">
        <v>1</v>
      </c>
      <c r="N29" s="93">
        <v>4</v>
      </c>
      <c r="O29" s="93">
        <v>0.55000000000000004</v>
      </c>
      <c r="P29" s="93">
        <v>0.7</v>
      </c>
      <c r="Q29" s="102">
        <f t="shared" si="0"/>
        <v>0.625</v>
      </c>
      <c r="R29" s="93">
        <v>16.3</v>
      </c>
      <c r="S29" s="93">
        <v>104</v>
      </c>
      <c r="T29" s="103">
        <f t="shared" si="1"/>
        <v>33</v>
      </c>
      <c r="U29" s="93">
        <v>398</v>
      </c>
      <c r="V29" s="104">
        <f t="shared" si="2"/>
        <v>3283.5</v>
      </c>
      <c r="W29" s="93">
        <v>18</v>
      </c>
      <c r="X29" s="93" t="s">
        <v>46</v>
      </c>
      <c r="Y29" s="93" t="s">
        <v>84</v>
      </c>
      <c r="Z29" s="93" t="s">
        <v>90</v>
      </c>
      <c r="AA29" s="93" t="s">
        <v>55</v>
      </c>
      <c r="AB29" s="93" t="s">
        <v>158</v>
      </c>
    </row>
    <row r="30" spans="1:48" x14ac:dyDescent="0.15">
      <c r="A30" s="93" t="s">
        <v>51</v>
      </c>
      <c r="B30" s="93" t="s">
        <v>157</v>
      </c>
      <c r="C30" s="93">
        <v>2019</v>
      </c>
      <c r="D30" s="101" t="s">
        <v>263</v>
      </c>
      <c r="E30" s="93" t="s">
        <v>274</v>
      </c>
      <c r="F30" s="93" t="s">
        <v>266</v>
      </c>
      <c r="G30" s="93" t="s">
        <v>42</v>
      </c>
      <c r="H30" s="93" t="s">
        <v>164</v>
      </c>
      <c r="I30" s="93" t="s">
        <v>165</v>
      </c>
      <c r="J30" s="93" t="s">
        <v>38</v>
      </c>
      <c r="K30" s="93" t="s">
        <v>161</v>
      </c>
      <c r="L30" s="93">
        <v>2</v>
      </c>
      <c r="N30" s="93">
        <v>4</v>
      </c>
      <c r="O30" s="93">
        <v>0.75</v>
      </c>
      <c r="P30" s="93">
        <v>0.75</v>
      </c>
      <c r="Q30" s="102">
        <f t="shared" si="0"/>
        <v>0.75</v>
      </c>
      <c r="R30" s="93">
        <v>16.100000000000001</v>
      </c>
      <c r="S30" s="93">
        <v>100</v>
      </c>
      <c r="T30" s="103">
        <f t="shared" si="1"/>
        <v>33</v>
      </c>
      <c r="U30" s="93">
        <v>398</v>
      </c>
      <c r="V30" s="104">
        <f t="shared" si="2"/>
        <v>3283.5</v>
      </c>
      <c r="W30" s="93">
        <v>18</v>
      </c>
      <c r="X30" s="93" t="s">
        <v>46</v>
      </c>
      <c r="Y30" s="93" t="s">
        <v>84</v>
      </c>
      <c r="Z30" s="93" t="s">
        <v>90</v>
      </c>
      <c r="AA30" s="93" t="s">
        <v>55</v>
      </c>
      <c r="AB30" s="93" t="s">
        <v>158</v>
      </c>
    </row>
    <row r="31" spans="1:48" x14ac:dyDescent="0.15">
      <c r="A31" s="93" t="s">
        <v>51</v>
      </c>
      <c r="B31" s="93" t="s">
        <v>157</v>
      </c>
      <c r="C31" s="93">
        <v>2019</v>
      </c>
      <c r="D31" s="101" t="s">
        <v>263</v>
      </c>
      <c r="E31" s="93" t="s">
        <v>274</v>
      </c>
      <c r="F31" s="93" t="s">
        <v>266</v>
      </c>
      <c r="G31" s="93" t="s">
        <v>42</v>
      </c>
      <c r="H31" s="93" t="s">
        <v>164</v>
      </c>
      <c r="I31" s="93" t="s">
        <v>165</v>
      </c>
      <c r="J31" s="93" t="s">
        <v>38</v>
      </c>
      <c r="K31" s="93" t="s">
        <v>161</v>
      </c>
      <c r="L31" s="93">
        <v>3</v>
      </c>
      <c r="N31" s="93">
        <v>4</v>
      </c>
      <c r="O31" s="93">
        <v>0.8</v>
      </c>
      <c r="P31" s="93">
        <v>0.85</v>
      </c>
      <c r="Q31" s="102">
        <f t="shared" si="0"/>
        <v>0.82499999999999996</v>
      </c>
      <c r="R31" s="93">
        <v>15.7</v>
      </c>
      <c r="S31" s="93">
        <v>95</v>
      </c>
      <c r="T31" s="103">
        <f t="shared" si="1"/>
        <v>36</v>
      </c>
      <c r="U31" s="93">
        <v>398</v>
      </c>
      <c r="V31" s="104">
        <f t="shared" si="2"/>
        <v>3582</v>
      </c>
      <c r="W31" s="93">
        <v>18</v>
      </c>
      <c r="X31" s="93" t="s">
        <v>46</v>
      </c>
      <c r="Y31" s="93" t="s">
        <v>84</v>
      </c>
      <c r="Z31" s="93" t="s">
        <v>90</v>
      </c>
      <c r="AA31" s="93" t="s">
        <v>55</v>
      </c>
      <c r="AB31" s="93" t="s">
        <v>158</v>
      </c>
    </row>
    <row r="32" spans="1:48" x14ac:dyDescent="0.15">
      <c r="A32" s="93" t="s">
        <v>51</v>
      </c>
      <c r="B32" s="93" t="s">
        <v>157</v>
      </c>
      <c r="C32" s="93">
        <v>2019</v>
      </c>
      <c r="D32" s="101" t="s">
        <v>263</v>
      </c>
      <c r="E32" s="93" t="s">
        <v>274</v>
      </c>
      <c r="F32" s="93" t="s">
        <v>266</v>
      </c>
      <c r="G32" s="93" t="s">
        <v>42</v>
      </c>
      <c r="H32" s="93" t="s">
        <v>191</v>
      </c>
      <c r="I32" s="93" t="s">
        <v>159</v>
      </c>
      <c r="J32" s="93" t="s">
        <v>58</v>
      </c>
      <c r="K32" s="93" t="s">
        <v>59</v>
      </c>
      <c r="L32" s="93">
        <v>1</v>
      </c>
      <c r="N32" s="93">
        <v>4</v>
      </c>
      <c r="O32" s="93">
        <v>0.25</v>
      </c>
      <c r="P32" s="93">
        <v>0.25</v>
      </c>
      <c r="Q32" s="102">
        <f t="shared" si="0"/>
        <v>0.25</v>
      </c>
      <c r="R32" s="93">
        <v>14.1</v>
      </c>
      <c r="S32" s="93">
        <v>63</v>
      </c>
      <c r="T32" s="103">
        <f t="shared" si="1"/>
        <v>50</v>
      </c>
      <c r="U32" s="93">
        <v>398</v>
      </c>
      <c r="V32" s="104">
        <f t="shared" si="2"/>
        <v>4975</v>
      </c>
      <c r="W32" s="93">
        <v>18</v>
      </c>
      <c r="X32" s="93" t="s">
        <v>39</v>
      </c>
      <c r="Y32" s="93" t="s">
        <v>84</v>
      </c>
      <c r="Z32" s="93" t="s">
        <v>90</v>
      </c>
      <c r="AA32" s="93" t="s">
        <v>55</v>
      </c>
      <c r="AB32" s="93" t="s">
        <v>158</v>
      </c>
    </row>
    <row r="33" spans="1:28" x14ac:dyDescent="0.15">
      <c r="A33" s="93" t="s">
        <v>51</v>
      </c>
      <c r="B33" s="93" t="s">
        <v>157</v>
      </c>
      <c r="C33" s="93">
        <v>2019</v>
      </c>
      <c r="D33" s="101" t="s">
        <v>263</v>
      </c>
      <c r="E33" s="93" t="s">
        <v>274</v>
      </c>
      <c r="F33" s="93" t="s">
        <v>266</v>
      </c>
      <c r="G33" s="93" t="s">
        <v>42</v>
      </c>
      <c r="H33" s="93" t="s">
        <v>191</v>
      </c>
      <c r="I33" s="93" t="s">
        <v>159</v>
      </c>
      <c r="J33" s="93" t="s">
        <v>58</v>
      </c>
      <c r="K33" s="93" t="s">
        <v>59</v>
      </c>
      <c r="L33" s="93">
        <v>2</v>
      </c>
      <c r="N33" s="93">
        <v>4</v>
      </c>
      <c r="O33" s="93">
        <v>0.25</v>
      </c>
      <c r="P33" s="93">
        <v>0.25</v>
      </c>
      <c r="Q33" s="102">
        <f t="shared" si="0"/>
        <v>0.25</v>
      </c>
      <c r="R33" s="93">
        <v>14.8</v>
      </c>
      <c r="S33" s="93">
        <v>77</v>
      </c>
      <c r="T33" s="103">
        <f t="shared" si="1"/>
        <v>39</v>
      </c>
      <c r="U33" s="93">
        <v>398</v>
      </c>
      <c r="V33" s="104">
        <f t="shared" si="2"/>
        <v>3880.5</v>
      </c>
      <c r="W33" s="93">
        <v>18</v>
      </c>
      <c r="X33" s="93" t="s">
        <v>39</v>
      </c>
      <c r="Y33" s="93" t="s">
        <v>84</v>
      </c>
      <c r="Z33" s="93" t="s">
        <v>90</v>
      </c>
      <c r="AA33" s="93" t="s">
        <v>55</v>
      </c>
      <c r="AB33" s="93" t="s">
        <v>158</v>
      </c>
    </row>
    <row r="34" spans="1:28" x14ac:dyDescent="0.15">
      <c r="A34" s="93" t="s">
        <v>51</v>
      </c>
      <c r="B34" s="93" t="s">
        <v>157</v>
      </c>
      <c r="C34" s="93">
        <v>2019</v>
      </c>
      <c r="D34" s="101" t="s">
        <v>263</v>
      </c>
      <c r="E34" s="93" t="s">
        <v>274</v>
      </c>
      <c r="F34" s="93" t="s">
        <v>266</v>
      </c>
      <c r="G34" s="93" t="s">
        <v>42</v>
      </c>
      <c r="H34" s="93" t="s">
        <v>191</v>
      </c>
      <c r="I34" s="93" t="s">
        <v>159</v>
      </c>
      <c r="J34" s="93" t="s">
        <v>58</v>
      </c>
      <c r="K34" s="93" t="s">
        <v>59</v>
      </c>
      <c r="L34" s="93">
        <v>3</v>
      </c>
      <c r="N34" s="93">
        <v>4</v>
      </c>
      <c r="O34" s="93">
        <v>0.5</v>
      </c>
      <c r="P34" s="93">
        <v>0.22</v>
      </c>
      <c r="Q34" s="102">
        <f t="shared" si="0"/>
        <v>0.36</v>
      </c>
      <c r="R34" s="93">
        <v>15.4</v>
      </c>
      <c r="S34" s="93">
        <v>84</v>
      </c>
      <c r="T34" s="103">
        <f t="shared" si="1"/>
        <v>36</v>
      </c>
      <c r="U34" s="93">
        <v>398</v>
      </c>
      <c r="V34" s="104">
        <f t="shared" si="2"/>
        <v>3582</v>
      </c>
      <c r="W34" s="93">
        <v>18</v>
      </c>
      <c r="X34" s="93" t="s">
        <v>39</v>
      </c>
      <c r="Y34" s="93" t="s">
        <v>84</v>
      </c>
      <c r="Z34" s="93" t="s">
        <v>90</v>
      </c>
      <c r="AA34" s="93" t="s">
        <v>55</v>
      </c>
      <c r="AB34" s="93" t="s">
        <v>158</v>
      </c>
    </row>
    <row r="35" spans="1:28" x14ac:dyDescent="0.15">
      <c r="A35" s="93" t="s">
        <v>51</v>
      </c>
      <c r="B35" s="93" t="s">
        <v>157</v>
      </c>
      <c r="C35" s="93">
        <v>2019</v>
      </c>
      <c r="D35" s="101" t="s">
        <v>263</v>
      </c>
      <c r="E35" s="93" t="s">
        <v>269</v>
      </c>
      <c r="F35" s="93" t="s">
        <v>270</v>
      </c>
      <c r="G35" s="93" t="s">
        <v>42</v>
      </c>
      <c r="H35" s="93" t="s">
        <v>164</v>
      </c>
      <c r="I35" s="93" t="s">
        <v>159</v>
      </c>
      <c r="J35" s="93" t="s">
        <v>38</v>
      </c>
      <c r="K35" s="93" t="s">
        <v>161</v>
      </c>
      <c r="L35" s="93">
        <v>1</v>
      </c>
      <c r="N35" s="93">
        <v>1</v>
      </c>
      <c r="O35" s="93">
        <v>0.9</v>
      </c>
      <c r="P35" s="93">
        <v>0.7</v>
      </c>
      <c r="Q35" s="102">
        <f t="shared" si="0"/>
        <v>0.8</v>
      </c>
      <c r="R35" s="93">
        <v>15.9</v>
      </c>
      <c r="S35" s="93">
        <v>134</v>
      </c>
      <c r="T35" s="103">
        <f t="shared" si="1"/>
        <v>25</v>
      </c>
      <c r="U35" s="93">
        <v>128</v>
      </c>
      <c r="V35" s="104">
        <f t="shared" si="2"/>
        <v>3200</v>
      </c>
      <c r="W35" s="93">
        <v>2</v>
      </c>
      <c r="X35" s="93" t="s">
        <v>39</v>
      </c>
      <c r="Y35" s="93" t="s">
        <v>90</v>
      </c>
      <c r="Z35" s="93" t="s">
        <v>84</v>
      </c>
      <c r="AA35" s="93" t="s">
        <v>78</v>
      </c>
      <c r="AB35" s="93" t="s">
        <v>158</v>
      </c>
    </row>
    <row r="36" spans="1:28" x14ac:dyDescent="0.15">
      <c r="A36" s="93" t="s">
        <v>51</v>
      </c>
      <c r="B36" s="93" t="s">
        <v>157</v>
      </c>
      <c r="C36" s="93">
        <v>2019</v>
      </c>
      <c r="D36" s="101" t="s">
        <v>263</v>
      </c>
      <c r="E36" s="93" t="s">
        <v>269</v>
      </c>
      <c r="F36" s="93" t="s">
        <v>270</v>
      </c>
      <c r="G36" s="93" t="s">
        <v>42</v>
      </c>
      <c r="H36" s="93" t="s">
        <v>164</v>
      </c>
      <c r="I36" s="93" t="s">
        <v>159</v>
      </c>
      <c r="J36" s="93" t="s">
        <v>38</v>
      </c>
      <c r="K36" s="93" t="s">
        <v>161</v>
      </c>
      <c r="L36" s="93">
        <v>2</v>
      </c>
      <c r="N36" s="93">
        <v>1</v>
      </c>
      <c r="O36" s="93">
        <v>0.7</v>
      </c>
      <c r="P36" s="93">
        <v>0.85</v>
      </c>
      <c r="Q36" s="102">
        <f t="shared" si="0"/>
        <v>0.77499999999999991</v>
      </c>
      <c r="R36" s="93">
        <v>16.2</v>
      </c>
      <c r="S36" s="93">
        <v>130</v>
      </c>
      <c r="T36" s="103">
        <f t="shared" si="1"/>
        <v>25</v>
      </c>
      <c r="U36" s="93">
        <v>128</v>
      </c>
      <c r="V36" s="104">
        <f t="shared" si="2"/>
        <v>3200</v>
      </c>
      <c r="W36" s="93">
        <v>2</v>
      </c>
      <c r="X36" s="93" t="s">
        <v>39</v>
      </c>
      <c r="Y36" s="93" t="s">
        <v>90</v>
      </c>
      <c r="Z36" s="93" t="s">
        <v>84</v>
      </c>
      <c r="AA36" s="93" t="s">
        <v>78</v>
      </c>
      <c r="AB36" s="93" t="s">
        <v>158</v>
      </c>
    </row>
    <row r="37" spans="1:28" x14ac:dyDescent="0.15">
      <c r="A37" s="93" t="s">
        <v>51</v>
      </c>
      <c r="B37" s="93" t="s">
        <v>157</v>
      </c>
      <c r="C37" s="93">
        <v>2019</v>
      </c>
      <c r="D37" s="101" t="s">
        <v>263</v>
      </c>
      <c r="E37" s="93" t="s">
        <v>269</v>
      </c>
      <c r="F37" s="93" t="s">
        <v>270</v>
      </c>
      <c r="G37" s="93" t="s">
        <v>42</v>
      </c>
      <c r="H37" s="93" t="s">
        <v>164</v>
      </c>
      <c r="I37" s="93" t="s">
        <v>159</v>
      </c>
      <c r="J37" s="93" t="s">
        <v>38</v>
      </c>
      <c r="K37" s="93" t="s">
        <v>161</v>
      </c>
      <c r="L37" s="93">
        <v>3</v>
      </c>
      <c r="N37" s="93">
        <v>1</v>
      </c>
      <c r="O37" s="93">
        <v>0.8</v>
      </c>
      <c r="P37" s="93">
        <v>0.75</v>
      </c>
      <c r="Q37" s="102">
        <f t="shared" si="0"/>
        <v>0.77500000000000002</v>
      </c>
      <c r="R37" s="93">
        <v>15.8</v>
      </c>
      <c r="S37" s="93">
        <v>128</v>
      </c>
      <c r="T37" s="103">
        <f t="shared" si="1"/>
        <v>27</v>
      </c>
      <c r="U37" s="93">
        <v>128</v>
      </c>
      <c r="V37" s="104">
        <f t="shared" si="2"/>
        <v>3456</v>
      </c>
      <c r="W37" s="93">
        <v>2</v>
      </c>
      <c r="X37" s="93" t="s">
        <v>39</v>
      </c>
      <c r="Y37" s="93" t="s">
        <v>90</v>
      </c>
      <c r="Z37" s="93" t="s">
        <v>84</v>
      </c>
      <c r="AA37" s="93" t="s">
        <v>78</v>
      </c>
      <c r="AB37" s="93" t="s">
        <v>158</v>
      </c>
    </row>
    <row r="38" spans="1:28" x14ac:dyDescent="0.15">
      <c r="A38" s="93" t="s">
        <v>51</v>
      </c>
      <c r="B38" s="93" t="s">
        <v>157</v>
      </c>
      <c r="C38" s="93">
        <v>2019</v>
      </c>
      <c r="D38" s="101" t="s">
        <v>263</v>
      </c>
      <c r="E38" s="93" t="s">
        <v>271</v>
      </c>
      <c r="F38" s="93" t="s">
        <v>265</v>
      </c>
      <c r="G38" s="93" t="s">
        <v>36</v>
      </c>
      <c r="H38" s="93" t="s">
        <v>164</v>
      </c>
      <c r="I38" s="93" t="s">
        <v>159</v>
      </c>
      <c r="J38" s="93" t="s">
        <v>38</v>
      </c>
      <c r="K38" s="93" t="s">
        <v>161</v>
      </c>
      <c r="L38" s="93">
        <v>1</v>
      </c>
      <c r="N38" s="93">
        <v>5</v>
      </c>
      <c r="O38" s="93">
        <v>0.55000000000000004</v>
      </c>
      <c r="P38" s="93">
        <v>0.65</v>
      </c>
      <c r="Q38" s="102">
        <f t="shared" si="0"/>
        <v>0.60000000000000009</v>
      </c>
      <c r="R38" s="93">
        <v>17.2</v>
      </c>
      <c r="S38" s="93">
        <v>90</v>
      </c>
      <c r="T38" s="103">
        <f t="shared" si="1"/>
        <v>36</v>
      </c>
      <c r="U38" s="93">
        <v>398</v>
      </c>
      <c r="V38" s="104">
        <f t="shared" si="2"/>
        <v>2865.6</v>
      </c>
      <c r="W38" s="93">
        <v>1</v>
      </c>
      <c r="X38" s="93" t="s">
        <v>46</v>
      </c>
      <c r="Y38" s="93" t="s">
        <v>84</v>
      </c>
      <c r="Z38" s="93" t="s">
        <v>50</v>
      </c>
      <c r="AA38" s="93" t="s">
        <v>90</v>
      </c>
      <c r="AB38" s="93" t="s">
        <v>158</v>
      </c>
    </row>
    <row r="39" spans="1:28" x14ac:dyDescent="0.15">
      <c r="A39" s="93" t="s">
        <v>51</v>
      </c>
      <c r="B39" s="93" t="s">
        <v>157</v>
      </c>
      <c r="C39" s="93">
        <v>2019</v>
      </c>
      <c r="D39" s="101" t="s">
        <v>263</v>
      </c>
      <c r="E39" s="93" t="s">
        <v>271</v>
      </c>
      <c r="F39" s="93" t="s">
        <v>265</v>
      </c>
      <c r="G39" s="93" t="s">
        <v>36</v>
      </c>
      <c r="H39" s="93" t="s">
        <v>164</v>
      </c>
      <c r="I39" s="93" t="s">
        <v>159</v>
      </c>
      <c r="J39" s="93" t="s">
        <v>38</v>
      </c>
      <c r="K39" s="93" t="s">
        <v>161</v>
      </c>
      <c r="L39" s="93">
        <v>2</v>
      </c>
      <c r="N39" s="93">
        <v>5</v>
      </c>
      <c r="O39" s="93">
        <v>0.5</v>
      </c>
      <c r="P39" s="93">
        <v>0.6</v>
      </c>
      <c r="Q39" s="102">
        <f t="shared" si="0"/>
        <v>0.55000000000000004</v>
      </c>
      <c r="R39" s="93">
        <v>17.5</v>
      </c>
      <c r="S39" s="93">
        <v>96</v>
      </c>
      <c r="T39" s="103">
        <f t="shared" si="1"/>
        <v>36</v>
      </c>
      <c r="U39" s="93">
        <v>398</v>
      </c>
      <c r="V39" s="104">
        <f t="shared" si="2"/>
        <v>2865.6</v>
      </c>
      <c r="W39" s="93">
        <v>1</v>
      </c>
      <c r="X39" s="93" t="s">
        <v>46</v>
      </c>
      <c r="Y39" s="93" t="s">
        <v>84</v>
      </c>
      <c r="Z39" s="93" t="s">
        <v>50</v>
      </c>
      <c r="AA39" s="93" t="s">
        <v>90</v>
      </c>
      <c r="AB39" s="93" t="s">
        <v>158</v>
      </c>
    </row>
    <row r="40" spans="1:28" x14ac:dyDescent="0.15">
      <c r="A40" s="93" t="s">
        <v>51</v>
      </c>
      <c r="B40" s="93" t="s">
        <v>157</v>
      </c>
      <c r="C40" s="93">
        <v>2019</v>
      </c>
      <c r="D40" s="101" t="s">
        <v>263</v>
      </c>
      <c r="E40" s="93" t="s">
        <v>271</v>
      </c>
      <c r="F40" s="93" t="s">
        <v>265</v>
      </c>
      <c r="G40" s="93" t="s">
        <v>36</v>
      </c>
      <c r="H40" s="93" t="s">
        <v>164</v>
      </c>
      <c r="I40" s="93" t="s">
        <v>159</v>
      </c>
      <c r="J40" s="93" t="s">
        <v>38</v>
      </c>
      <c r="K40" s="93" t="s">
        <v>161</v>
      </c>
      <c r="L40" s="93">
        <v>3</v>
      </c>
      <c r="N40" s="93">
        <v>5</v>
      </c>
      <c r="O40" s="93">
        <v>0.6</v>
      </c>
      <c r="P40" s="93">
        <v>0.55000000000000004</v>
      </c>
      <c r="Q40" s="102">
        <f t="shared" si="0"/>
        <v>0.57499999999999996</v>
      </c>
      <c r="R40" s="93">
        <v>16.600000000000001</v>
      </c>
      <c r="S40" s="93">
        <v>87</v>
      </c>
      <c r="T40" s="103">
        <f t="shared" si="1"/>
        <v>36</v>
      </c>
      <c r="U40" s="93">
        <v>398</v>
      </c>
      <c r="V40" s="104">
        <f t="shared" si="2"/>
        <v>2865.6</v>
      </c>
      <c r="W40" s="93">
        <v>1</v>
      </c>
      <c r="X40" s="93" t="s">
        <v>46</v>
      </c>
      <c r="Y40" s="93" t="s">
        <v>84</v>
      </c>
      <c r="Z40" s="93" t="s">
        <v>50</v>
      </c>
      <c r="AA40" s="93" t="s">
        <v>90</v>
      </c>
      <c r="AB40" s="93" t="s">
        <v>158</v>
      </c>
    </row>
    <row r="41" spans="1:28" x14ac:dyDescent="0.15">
      <c r="A41" s="93" t="s">
        <v>51</v>
      </c>
      <c r="B41" s="93" t="s">
        <v>157</v>
      </c>
      <c r="C41" s="93">
        <v>2019</v>
      </c>
      <c r="D41" s="101" t="s">
        <v>263</v>
      </c>
      <c r="E41" s="93" t="s">
        <v>275</v>
      </c>
      <c r="F41" s="93" t="s">
        <v>276</v>
      </c>
      <c r="G41" s="93" t="s">
        <v>36</v>
      </c>
      <c r="H41" s="93" t="s">
        <v>164</v>
      </c>
      <c r="I41" s="93" t="s">
        <v>159</v>
      </c>
      <c r="J41" s="93" t="s">
        <v>38</v>
      </c>
      <c r="K41" s="93" t="s">
        <v>161</v>
      </c>
      <c r="L41" s="93">
        <v>1</v>
      </c>
      <c r="N41" s="93">
        <v>1</v>
      </c>
      <c r="O41" s="93">
        <v>0.85</v>
      </c>
      <c r="P41" s="93">
        <v>0.85</v>
      </c>
      <c r="Q41" s="102">
        <f t="shared" si="0"/>
        <v>0.85</v>
      </c>
      <c r="R41" s="93">
        <v>16.5</v>
      </c>
      <c r="S41" s="93">
        <v>142</v>
      </c>
      <c r="T41" s="103">
        <f t="shared" si="1"/>
        <v>22</v>
      </c>
      <c r="U41" s="93">
        <v>128</v>
      </c>
      <c r="V41" s="104">
        <f t="shared" si="2"/>
        <v>2816</v>
      </c>
      <c r="W41" s="93">
        <v>6</v>
      </c>
      <c r="X41" s="93" t="s">
        <v>46</v>
      </c>
      <c r="Y41" s="93" t="s">
        <v>50</v>
      </c>
      <c r="Z41" s="93" t="s">
        <v>90</v>
      </c>
      <c r="AA41" s="93" t="s">
        <v>69</v>
      </c>
      <c r="AB41" s="93" t="s">
        <v>158</v>
      </c>
    </row>
    <row r="42" spans="1:28" x14ac:dyDescent="0.15">
      <c r="A42" s="93" t="s">
        <v>51</v>
      </c>
      <c r="B42" s="93" t="s">
        <v>157</v>
      </c>
      <c r="C42" s="93">
        <v>2019</v>
      </c>
      <c r="D42" s="101" t="s">
        <v>263</v>
      </c>
      <c r="E42" s="93" t="s">
        <v>275</v>
      </c>
      <c r="F42" s="93" t="s">
        <v>276</v>
      </c>
      <c r="G42" s="93" t="s">
        <v>36</v>
      </c>
      <c r="H42" s="93" t="s">
        <v>164</v>
      </c>
      <c r="I42" s="93" t="s">
        <v>159</v>
      </c>
      <c r="J42" s="93" t="s">
        <v>38</v>
      </c>
      <c r="K42" s="93" t="s">
        <v>161</v>
      </c>
      <c r="L42" s="93">
        <v>2</v>
      </c>
      <c r="N42" s="93">
        <v>1</v>
      </c>
      <c r="O42" s="93">
        <v>0.9</v>
      </c>
      <c r="P42" s="93">
        <v>0.65</v>
      </c>
      <c r="Q42" s="102">
        <f t="shared" si="0"/>
        <v>0.77500000000000002</v>
      </c>
      <c r="R42" s="93">
        <v>16</v>
      </c>
      <c r="S42" s="93">
        <v>136</v>
      </c>
      <c r="T42" s="103">
        <f t="shared" si="1"/>
        <v>25</v>
      </c>
      <c r="U42" s="93">
        <v>128</v>
      </c>
      <c r="V42" s="104">
        <f t="shared" si="2"/>
        <v>3200</v>
      </c>
      <c r="W42" s="93">
        <v>6</v>
      </c>
      <c r="X42" s="93" t="s">
        <v>46</v>
      </c>
      <c r="Y42" s="93" t="s">
        <v>50</v>
      </c>
      <c r="Z42" s="93" t="s">
        <v>90</v>
      </c>
      <c r="AA42" s="93" t="s">
        <v>69</v>
      </c>
      <c r="AB42" s="93" t="s">
        <v>158</v>
      </c>
    </row>
    <row r="43" spans="1:28" x14ac:dyDescent="0.15">
      <c r="A43" s="93" t="s">
        <v>51</v>
      </c>
      <c r="B43" s="93" t="s">
        <v>157</v>
      </c>
      <c r="C43" s="93">
        <v>2019</v>
      </c>
      <c r="D43" s="101" t="s">
        <v>263</v>
      </c>
      <c r="E43" s="93" t="s">
        <v>275</v>
      </c>
      <c r="F43" s="93" t="s">
        <v>276</v>
      </c>
      <c r="G43" s="93" t="s">
        <v>36</v>
      </c>
      <c r="H43" s="93" t="s">
        <v>164</v>
      </c>
      <c r="I43" s="93" t="s">
        <v>159</v>
      </c>
      <c r="J43" s="93" t="s">
        <v>38</v>
      </c>
      <c r="K43" s="93" t="s">
        <v>161</v>
      </c>
      <c r="L43" s="93">
        <v>3</v>
      </c>
      <c r="N43" s="93">
        <v>1</v>
      </c>
      <c r="O43" s="93">
        <v>0.9</v>
      </c>
      <c r="P43" s="93">
        <v>0.75</v>
      </c>
      <c r="Q43" s="102">
        <f t="shared" si="0"/>
        <v>0.82499999999999996</v>
      </c>
      <c r="R43" s="93">
        <v>15.8</v>
      </c>
      <c r="S43" s="93">
        <v>138</v>
      </c>
      <c r="T43" s="103">
        <f t="shared" si="1"/>
        <v>22</v>
      </c>
      <c r="U43" s="93">
        <v>128</v>
      </c>
      <c r="V43" s="104">
        <f t="shared" si="2"/>
        <v>2816</v>
      </c>
      <c r="W43" s="93">
        <v>6</v>
      </c>
      <c r="X43" s="93" t="s">
        <v>46</v>
      </c>
      <c r="Y43" s="93" t="s">
        <v>50</v>
      </c>
      <c r="Z43" s="93" t="s">
        <v>90</v>
      </c>
      <c r="AA43" s="93" t="s">
        <v>69</v>
      </c>
      <c r="AB43" s="93" t="s">
        <v>158</v>
      </c>
    </row>
    <row r="44" spans="1:28" x14ac:dyDescent="0.15">
      <c r="A44" s="93" t="s">
        <v>51</v>
      </c>
      <c r="B44" s="93" t="s">
        <v>157</v>
      </c>
      <c r="C44" s="93">
        <v>2019</v>
      </c>
      <c r="D44" s="101" t="s">
        <v>263</v>
      </c>
      <c r="E44" s="93" t="s">
        <v>275</v>
      </c>
      <c r="F44" s="93" t="s">
        <v>276</v>
      </c>
      <c r="G44" s="93" t="s">
        <v>36</v>
      </c>
      <c r="H44" s="93" t="s">
        <v>160</v>
      </c>
      <c r="I44" s="93" t="s">
        <v>159</v>
      </c>
      <c r="J44" s="93" t="s">
        <v>38</v>
      </c>
      <c r="K44" s="93" t="s">
        <v>161</v>
      </c>
      <c r="L44" s="93">
        <v>1</v>
      </c>
      <c r="N44" s="93">
        <v>1</v>
      </c>
      <c r="O44" s="93">
        <v>0.6</v>
      </c>
      <c r="P44" s="93">
        <v>0.65</v>
      </c>
      <c r="Q44" s="102">
        <f t="shared" si="0"/>
        <v>0.625</v>
      </c>
      <c r="R44" s="93">
        <v>18.7</v>
      </c>
      <c r="S44" s="93">
        <v>126</v>
      </c>
      <c r="T44" s="103">
        <f t="shared" si="1"/>
        <v>27</v>
      </c>
      <c r="U44" s="93">
        <v>138</v>
      </c>
      <c r="V44" s="104">
        <f t="shared" si="2"/>
        <v>3726</v>
      </c>
      <c r="W44" s="93">
        <v>6</v>
      </c>
      <c r="X44" s="93" t="s">
        <v>46</v>
      </c>
      <c r="Y44" s="93" t="s">
        <v>50</v>
      </c>
      <c r="Z44" s="93" t="s">
        <v>90</v>
      </c>
      <c r="AA44" s="93" t="s">
        <v>69</v>
      </c>
      <c r="AB44" s="93" t="s">
        <v>158</v>
      </c>
    </row>
    <row r="45" spans="1:28" x14ac:dyDescent="0.15">
      <c r="A45" s="93" t="s">
        <v>51</v>
      </c>
      <c r="B45" s="93" t="s">
        <v>157</v>
      </c>
      <c r="C45" s="93">
        <v>2019</v>
      </c>
      <c r="D45" s="101" t="s">
        <v>263</v>
      </c>
      <c r="E45" s="93" t="s">
        <v>275</v>
      </c>
      <c r="F45" s="93" t="s">
        <v>276</v>
      </c>
      <c r="G45" s="93" t="s">
        <v>36</v>
      </c>
      <c r="H45" s="93" t="s">
        <v>160</v>
      </c>
      <c r="I45" s="93" t="s">
        <v>159</v>
      </c>
      <c r="J45" s="93" t="s">
        <v>38</v>
      </c>
      <c r="K45" s="93" t="s">
        <v>161</v>
      </c>
      <c r="L45" s="93">
        <v>2</v>
      </c>
      <c r="N45" s="93">
        <v>1</v>
      </c>
      <c r="O45" s="93">
        <v>0.55000000000000004</v>
      </c>
      <c r="P45" s="93">
        <v>0.6</v>
      </c>
      <c r="Q45" s="102">
        <f t="shared" si="0"/>
        <v>0.57499999999999996</v>
      </c>
      <c r="R45" s="93">
        <v>17.600000000000001</v>
      </c>
      <c r="S45" s="93">
        <v>114</v>
      </c>
      <c r="T45" s="103">
        <f t="shared" si="1"/>
        <v>30</v>
      </c>
      <c r="U45" s="93">
        <v>138</v>
      </c>
      <c r="V45" s="104">
        <f t="shared" si="2"/>
        <v>4140</v>
      </c>
      <c r="W45" s="93">
        <v>6</v>
      </c>
      <c r="X45" s="93" t="s">
        <v>46</v>
      </c>
      <c r="Y45" s="93" t="s">
        <v>50</v>
      </c>
      <c r="Z45" s="93" t="s">
        <v>90</v>
      </c>
      <c r="AA45" s="93" t="s">
        <v>69</v>
      </c>
      <c r="AB45" s="93" t="s">
        <v>158</v>
      </c>
    </row>
    <row r="46" spans="1:28" x14ac:dyDescent="0.15">
      <c r="A46" s="93" t="s">
        <v>51</v>
      </c>
      <c r="B46" s="93" t="s">
        <v>157</v>
      </c>
      <c r="C46" s="93">
        <v>2019</v>
      </c>
      <c r="D46" s="101" t="s">
        <v>263</v>
      </c>
      <c r="E46" s="93" t="s">
        <v>275</v>
      </c>
      <c r="F46" s="93" t="s">
        <v>276</v>
      </c>
      <c r="G46" s="93" t="s">
        <v>36</v>
      </c>
      <c r="H46" s="93" t="s">
        <v>160</v>
      </c>
      <c r="I46" s="93" t="s">
        <v>159</v>
      </c>
      <c r="J46" s="93" t="s">
        <v>38</v>
      </c>
      <c r="K46" s="93" t="s">
        <v>161</v>
      </c>
      <c r="L46" s="93">
        <v>3</v>
      </c>
      <c r="N46" s="93">
        <v>1</v>
      </c>
      <c r="O46" s="93">
        <v>0.5</v>
      </c>
      <c r="P46" s="93">
        <v>0.5</v>
      </c>
      <c r="Q46" s="102">
        <f t="shared" si="0"/>
        <v>0.5</v>
      </c>
      <c r="R46" s="93">
        <v>18</v>
      </c>
      <c r="S46" s="93">
        <v>116</v>
      </c>
      <c r="T46" s="103">
        <f t="shared" si="1"/>
        <v>30</v>
      </c>
      <c r="U46" s="93">
        <v>138</v>
      </c>
      <c r="V46" s="104">
        <f t="shared" si="2"/>
        <v>4140</v>
      </c>
      <c r="W46" s="93">
        <v>6</v>
      </c>
      <c r="X46" s="93" t="s">
        <v>46</v>
      </c>
      <c r="Y46" s="93" t="s">
        <v>50</v>
      </c>
      <c r="Z46" s="93" t="s">
        <v>90</v>
      </c>
      <c r="AA46" s="93" t="s">
        <v>69</v>
      </c>
      <c r="AB46" s="93" t="s">
        <v>158</v>
      </c>
    </row>
    <row r="47" spans="1:28" x14ac:dyDescent="0.15">
      <c r="A47" s="93" t="s">
        <v>51</v>
      </c>
      <c r="B47" s="93" t="s">
        <v>157</v>
      </c>
      <c r="C47" s="93">
        <v>2019</v>
      </c>
      <c r="D47" s="101" t="s">
        <v>263</v>
      </c>
      <c r="E47" s="93" t="s">
        <v>277</v>
      </c>
      <c r="F47" s="93" t="s">
        <v>265</v>
      </c>
      <c r="G47" s="93" t="s">
        <v>42</v>
      </c>
      <c r="H47" s="93" t="s">
        <v>164</v>
      </c>
      <c r="I47" s="93" t="s">
        <v>159</v>
      </c>
      <c r="J47" s="93" t="s">
        <v>38</v>
      </c>
      <c r="K47" s="93" t="s">
        <v>161</v>
      </c>
      <c r="L47" s="93">
        <v>1</v>
      </c>
      <c r="N47" s="93">
        <v>1</v>
      </c>
      <c r="O47" s="93">
        <v>0.6</v>
      </c>
      <c r="P47" s="93">
        <v>0.75</v>
      </c>
      <c r="Q47" s="102">
        <f t="shared" si="0"/>
        <v>0.67500000000000004</v>
      </c>
      <c r="R47" s="93">
        <v>16.600000000000001</v>
      </c>
      <c r="S47" s="93">
        <v>116</v>
      </c>
      <c r="T47" s="103">
        <f t="shared" si="1"/>
        <v>30</v>
      </c>
      <c r="U47" s="93">
        <v>98</v>
      </c>
      <c r="V47" s="104">
        <f t="shared" si="2"/>
        <v>2940</v>
      </c>
      <c r="W47" s="93">
        <v>4</v>
      </c>
      <c r="X47" s="93" t="s">
        <v>39</v>
      </c>
      <c r="Y47" s="93" t="s">
        <v>84</v>
      </c>
      <c r="Z47" s="93" t="s">
        <v>69</v>
      </c>
      <c r="AA47" s="93" t="s">
        <v>90</v>
      </c>
      <c r="AB47" s="93" t="s">
        <v>158</v>
      </c>
    </row>
    <row r="48" spans="1:28" x14ac:dyDescent="0.15">
      <c r="A48" s="93" t="s">
        <v>51</v>
      </c>
      <c r="B48" s="93" t="s">
        <v>157</v>
      </c>
      <c r="C48" s="93">
        <v>2019</v>
      </c>
      <c r="D48" s="101" t="s">
        <v>263</v>
      </c>
      <c r="E48" s="93" t="s">
        <v>277</v>
      </c>
      <c r="F48" s="93" t="s">
        <v>265</v>
      </c>
      <c r="G48" s="93" t="s">
        <v>42</v>
      </c>
      <c r="H48" s="93" t="s">
        <v>164</v>
      </c>
      <c r="I48" s="93" t="s">
        <v>159</v>
      </c>
      <c r="J48" s="93" t="s">
        <v>38</v>
      </c>
      <c r="K48" s="93" t="s">
        <v>161</v>
      </c>
      <c r="L48" s="93">
        <v>2</v>
      </c>
      <c r="N48" s="93">
        <v>1</v>
      </c>
      <c r="O48" s="93">
        <v>0.7</v>
      </c>
      <c r="P48" s="93">
        <v>0.65</v>
      </c>
      <c r="Q48" s="102">
        <f t="shared" si="0"/>
        <v>0.67500000000000004</v>
      </c>
      <c r="R48" s="93">
        <v>17.100000000000001</v>
      </c>
      <c r="S48" s="93">
        <v>118</v>
      </c>
      <c r="T48" s="103">
        <f t="shared" si="1"/>
        <v>30</v>
      </c>
      <c r="U48" s="93">
        <v>98</v>
      </c>
      <c r="V48" s="104">
        <f t="shared" si="2"/>
        <v>2940</v>
      </c>
      <c r="W48" s="93">
        <v>4</v>
      </c>
      <c r="X48" s="93" t="s">
        <v>39</v>
      </c>
      <c r="Y48" s="93" t="s">
        <v>84</v>
      </c>
      <c r="Z48" s="93" t="s">
        <v>69</v>
      </c>
      <c r="AA48" s="93" t="s">
        <v>90</v>
      </c>
      <c r="AB48" s="93" t="s">
        <v>158</v>
      </c>
    </row>
    <row r="49" spans="1:28" x14ac:dyDescent="0.15">
      <c r="A49" s="93" t="s">
        <v>51</v>
      </c>
      <c r="B49" s="93" t="s">
        <v>157</v>
      </c>
      <c r="C49" s="93">
        <v>2019</v>
      </c>
      <c r="D49" s="101" t="s">
        <v>263</v>
      </c>
      <c r="E49" s="93" t="s">
        <v>277</v>
      </c>
      <c r="F49" s="93" t="s">
        <v>265</v>
      </c>
      <c r="G49" s="93" t="s">
        <v>42</v>
      </c>
      <c r="H49" s="93" t="s">
        <v>164</v>
      </c>
      <c r="I49" s="93" t="s">
        <v>159</v>
      </c>
      <c r="J49" s="93" t="s">
        <v>38</v>
      </c>
      <c r="K49" s="93" t="s">
        <v>161</v>
      </c>
      <c r="L49" s="93">
        <v>3</v>
      </c>
      <c r="N49" s="93">
        <v>1</v>
      </c>
      <c r="O49" s="93">
        <v>0.8</v>
      </c>
      <c r="P49" s="93">
        <v>0.7</v>
      </c>
      <c r="Q49" s="102">
        <f t="shared" si="0"/>
        <v>0.75</v>
      </c>
      <c r="R49" s="93">
        <v>15.8</v>
      </c>
      <c r="S49" s="93">
        <v>110</v>
      </c>
      <c r="T49" s="103">
        <f t="shared" si="1"/>
        <v>33</v>
      </c>
      <c r="U49" s="93">
        <v>98</v>
      </c>
      <c r="V49" s="104">
        <f t="shared" si="2"/>
        <v>3234</v>
      </c>
      <c r="W49" s="93">
        <v>4</v>
      </c>
      <c r="X49" s="93" t="s">
        <v>39</v>
      </c>
      <c r="Y49" s="93" t="s">
        <v>84</v>
      </c>
      <c r="Z49" s="93" t="s">
        <v>69</v>
      </c>
      <c r="AA49" s="93" t="s">
        <v>90</v>
      </c>
      <c r="AB49" s="93" t="s">
        <v>158</v>
      </c>
    </row>
    <row r="50" spans="1:28" x14ac:dyDescent="0.15">
      <c r="A50" s="93" t="s">
        <v>51</v>
      </c>
      <c r="B50" s="93" t="s">
        <v>157</v>
      </c>
      <c r="C50" s="93">
        <v>2019</v>
      </c>
      <c r="D50" s="101" t="s">
        <v>263</v>
      </c>
      <c r="E50" s="93" t="s">
        <v>277</v>
      </c>
      <c r="F50" s="93" t="s">
        <v>265</v>
      </c>
      <c r="G50" s="93" t="s">
        <v>42</v>
      </c>
      <c r="H50" s="93" t="s">
        <v>160</v>
      </c>
      <c r="I50" s="93" t="s">
        <v>159</v>
      </c>
      <c r="J50" s="93" t="s">
        <v>38</v>
      </c>
      <c r="K50" s="93" t="s">
        <v>161</v>
      </c>
      <c r="L50" s="93">
        <v>1</v>
      </c>
      <c r="N50" s="93">
        <v>1</v>
      </c>
      <c r="O50" s="93">
        <v>0.55000000000000004</v>
      </c>
      <c r="P50" s="93">
        <v>0.55000000000000004</v>
      </c>
      <c r="Q50" s="102">
        <f t="shared" si="0"/>
        <v>0.55000000000000004</v>
      </c>
      <c r="R50" s="93">
        <v>15.6</v>
      </c>
      <c r="S50" s="93">
        <v>108</v>
      </c>
      <c r="T50" s="103">
        <f t="shared" si="1"/>
        <v>33</v>
      </c>
      <c r="U50" s="93">
        <v>98</v>
      </c>
      <c r="V50" s="104">
        <f t="shared" si="2"/>
        <v>3234</v>
      </c>
      <c r="W50" s="93">
        <v>4</v>
      </c>
      <c r="X50" s="93" t="s">
        <v>39</v>
      </c>
      <c r="Y50" s="93" t="s">
        <v>84</v>
      </c>
      <c r="Z50" s="93" t="s">
        <v>69</v>
      </c>
      <c r="AA50" s="93" t="s">
        <v>90</v>
      </c>
      <c r="AB50" s="93" t="s">
        <v>158</v>
      </c>
    </row>
    <row r="51" spans="1:28" x14ac:dyDescent="0.15">
      <c r="A51" s="93" t="s">
        <v>51</v>
      </c>
      <c r="B51" s="93" t="s">
        <v>157</v>
      </c>
      <c r="C51" s="93">
        <v>2019</v>
      </c>
      <c r="D51" s="101" t="s">
        <v>263</v>
      </c>
      <c r="E51" s="93" t="s">
        <v>277</v>
      </c>
      <c r="F51" s="93" t="s">
        <v>265</v>
      </c>
      <c r="G51" s="93" t="s">
        <v>42</v>
      </c>
      <c r="H51" s="93" t="s">
        <v>160</v>
      </c>
      <c r="I51" s="93" t="s">
        <v>159</v>
      </c>
      <c r="J51" s="93" t="s">
        <v>38</v>
      </c>
      <c r="K51" s="93" t="s">
        <v>161</v>
      </c>
      <c r="L51" s="93">
        <v>2</v>
      </c>
      <c r="N51" s="93">
        <v>1</v>
      </c>
      <c r="O51" s="93">
        <v>0.6</v>
      </c>
      <c r="P51" s="93">
        <v>0.6</v>
      </c>
      <c r="Q51" s="102">
        <f t="shared" si="0"/>
        <v>0.6</v>
      </c>
      <c r="R51" s="93">
        <v>16.3</v>
      </c>
      <c r="S51" s="93">
        <v>112</v>
      </c>
      <c r="T51" s="103">
        <f t="shared" si="1"/>
        <v>33</v>
      </c>
      <c r="U51" s="93">
        <v>98</v>
      </c>
      <c r="V51" s="104">
        <f t="shared" si="2"/>
        <v>3234</v>
      </c>
      <c r="W51" s="93">
        <v>4</v>
      </c>
      <c r="X51" s="93" t="s">
        <v>39</v>
      </c>
      <c r="Y51" s="93" t="s">
        <v>84</v>
      </c>
      <c r="Z51" s="93" t="s">
        <v>69</v>
      </c>
      <c r="AA51" s="93" t="s">
        <v>90</v>
      </c>
      <c r="AB51" s="93" t="s">
        <v>158</v>
      </c>
    </row>
    <row r="52" spans="1:28" x14ac:dyDescent="0.15">
      <c r="A52" s="93" t="s">
        <v>51</v>
      </c>
      <c r="B52" s="93" t="s">
        <v>157</v>
      </c>
      <c r="C52" s="93">
        <v>2019</v>
      </c>
      <c r="D52" s="101" t="s">
        <v>263</v>
      </c>
      <c r="E52" s="93" t="s">
        <v>277</v>
      </c>
      <c r="F52" s="93" t="s">
        <v>265</v>
      </c>
      <c r="G52" s="93" t="s">
        <v>42</v>
      </c>
      <c r="H52" s="93" t="s">
        <v>160</v>
      </c>
      <c r="I52" s="93" t="s">
        <v>159</v>
      </c>
      <c r="J52" s="93" t="s">
        <v>38</v>
      </c>
      <c r="K52" s="93" t="s">
        <v>161</v>
      </c>
      <c r="L52" s="93">
        <v>3</v>
      </c>
      <c r="N52" s="93">
        <v>1</v>
      </c>
      <c r="O52" s="93">
        <v>0.55000000000000004</v>
      </c>
      <c r="P52" s="93">
        <v>0.5</v>
      </c>
      <c r="Q52" s="102">
        <f t="shared" si="0"/>
        <v>0.52500000000000002</v>
      </c>
      <c r="R52" s="93">
        <v>16.7</v>
      </c>
      <c r="S52" s="93">
        <v>112</v>
      </c>
      <c r="T52" s="103">
        <f t="shared" si="1"/>
        <v>33</v>
      </c>
      <c r="U52" s="93">
        <v>98</v>
      </c>
      <c r="V52" s="104">
        <f t="shared" si="2"/>
        <v>3234</v>
      </c>
      <c r="W52" s="93">
        <v>4</v>
      </c>
      <c r="X52" s="93" t="s">
        <v>39</v>
      </c>
      <c r="Y52" s="93" t="s">
        <v>84</v>
      </c>
      <c r="Z52" s="93" t="s">
        <v>69</v>
      </c>
      <c r="AA52" s="93" t="s">
        <v>90</v>
      </c>
      <c r="AB52" s="93" t="s">
        <v>158</v>
      </c>
    </row>
    <row r="53" spans="1:28" x14ac:dyDescent="0.15">
      <c r="D53" s="101"/>
      <c r="Q53" s="102" t="str">
        <f t="shared" si="0"/>
        <v/>
      </c>
      <c r="T53" s="103" t="str">
        <f t="shared" si="1"/>
        <v/>
      </c>
      <c r="V53" s="104" t="str">
        <f t="shared" si="2"/>
        <v/>
      </c>
    </row>
    <row r="54" spans="1:28" x14ac:dyDescent="0.15">
      <c r="D54" s="101"/>
      <c r="Q54" s="102" t="str">
        <f t="shared" si="0"/>
        <v/>
      </c>
      <c r="T54" s="103" t="str">
        <f t="shared" si="1"/>
        <v/>
      </c>
      <c r="V54" s="104" t="str">
        <f t="shared" si="2"/>
        <v/>
      </c>
    </row>
    <row r="55" spans="1:28" x14ac:dyDescent="0.15">
      <c r="D55" s="101"/>
      <c r="Q55" s="102" t="str">
        <f t="shared" si="0"/>
        <v/>
      </c>
      <c r="T55" s="103" t="str">
        <f t="shared" si="1"/>
        <v/>
      </c>
      <c r="V55" s="104" t="str">
        <f t="shared" si="2"/>
        <v/>
      </c>
    </row>
    <row r="56" spans="1:28" x14ac:dyDescent="0.15">
      <c r="D56" s="101"/>
      <c r="Q56" s="102" t="str">
        <f t="shared" si="0"/>
        <v/>
      </c>
      <c r="T56" s="103" t="str">
        <f t="shared" si="1"/>
        <v/>
      </c>
      <c r="V56" s="104" t="str">
        <f t="shared" si="2"/>
        <v/>
      </c>
    </row>
    <row r="57" spans="1:28" x14ac:dyDescent="0.15">
      <c r="D57" s="101"/>
      <c r="Q57" s="102" t="str">
        <f t="shared" si="0"/>
        <v/>
      </c>
      <c r="T57" s="103" t="str">
        <f t="shared" si="1"/>
        <v/>
      </c>
      <c r="V57" s="104" t="str">
        <f t="shared" si="2"/>
        <v/>
      </c>
    </row>
    <row r="58" spans="1:28" x14ac:dyDescent="0.15">
      <c r="D58" s="101"/>
      <c r="Q58" s="102" t="str">
        <f t="shared" si="0"/>
        <v/>
      </c>
      <c r="T58" s="103" t="str">
        <f t="shared" si="1"/>
        <v/>
      </c>
      <c r="V58" s="104" t="str">
        <f t="shared" si="2"/>
        <v/>
      </c>
    </row>
    <row r="59" spans="1:28" x14ac:dyDescent="0.15">
      <c r="D59" s="101"/>
      <c r="Q59" s="102" t="str">
        <f t="shared" si="0"/>
        <v/>
      </c>
      <c r="T59" s="103" t="str">
        <f t="shared" si="1"/>
        <v/>
      </c>
      <c r="V59" s="104" t="str">
        <f t="shared" si="2"/>
        <v/>
      </c>
    </row>
    <row r="60" spans="1:28" x14ac:dyDescent="0.15">
      <c r="D60" s="101"/>
      <c r="Q60" s="102" t="str">
        <f t="shared" si="0"/>
        <v/>
      </c>
      <c r="T60" s="103" t="str">
        <f t="shared" si="1"/>
        <v/>
      </c>
      <c r="V60" s="104" t="str">
        <f t="shared" si="2"/>
        <v/>
      </c>
    </row>
    <row r="61" spans="1:28" x14ac:dyDescent="0.15">
      <c r="D61" s="101"/>
      <c r="Q61" s="102" t="str">
        <f t="shared" si="0"/>
        <v/>
      </c>
      <c r="T61" s="103" t="str">
        <f t="shared" si="1"/>
        <v/>
      </c>
      <c r="V61" s="104" t="str">
        <f t="shared" si="2"/>
        <v/>
      </c>
    </row>
    <row r="62" spans="1:28" x14ac:dyDescent="0.15">
      <c r="D62" s="101"/>
      <c r="Q62" s="102" t="str">
        <f t="shared" si="0"/>
        <v/>
      </c>
      <c r="T62" s="103" t="str">
        <f t="shared" si="1"/>
        <v/>
      </c>
      <c r="V62" s="104" t="str">
        <f t="shared" si="2"/>
        <v/>
      </c>
    </row>
    <row r="63" spans="1:28" x14ac:dyDescent="0.15">
      <c r="D63" s="101"/>
      <c r="Q63" s="102" t="str">
        <f t="shared" si="0"/>
        <v/>
      </c>
      <c r="T63" s="103" t="str">
        <f t="shared" si="1"/>
        <v/>
      </c>
      <c r="V63" s="104" t="str">
        <f t="shared" si="2"/>
        <v/>
      </c>
    </row>
    <row r="64" spans="1:28" x14ac:dyDescent="0.15">
      <c r="D64" s="101"/>
      <c r="Q64" s="102" t="str">
        <f t="shared" si="0"/>
        <v/>
      </c>
      <c r="T64" s="103" t="str">
        <f t="shared" si="1"/>
        <v/>
      </c>
      <c r="V64" s="104" t="str">
        <f t="shared" si="2"/>
        <v/>
      </c>
    </row>
    <row r="65" spans="4:22" x14ac:dyDescent="0.15">
      <c r="D65" s="101"/>
      <c r="Q65" s="103" t="str">
        <f t="shared" si="0"/>
        <v/>
      </c>
      <c r="T65" s="103" t="str">
        <f t="shared" si="1"/>
        <v/>
      </c>
      <c r="V65" s="103" t="str">
        <f t="shared" si="2"/>
        <v/>
      </c>
    </row>
    <row r="66" spans="4:22" x14ac:dyDescent="0.15">
      <c r="D66" s="101"/>
      <c r="Q66" s="103" t="str">
        <f t="shared" ref="Q66:Q85" si="3">IF(OR(O66="",P66=""),"",AVERAGE(O66,P66))</f>
        <v/>
      </c>
      <c r="T66" s="103" t="str">
        <f t="shared" ref="T66:T85" si="4">IF(H66="","",IF(OR(H66="GREEN",H66="GK"),IF(S66&gt;=$AX$2,VLOOKUP(S66,$AX$2:$AY$12,2,1),""),IF(S66&gt;=$AZ$2,VLOOKUP(S66,$AZ$2:$BA$12,2,1),"")))</f>
        <v/>
      </c>
      <c r="V66" s="103" t="str">
        <f t="shared" ref="V66:V85" si="5">IF(OR(N66="",U66="",T66=""),"",U66/N66*T66)</f>
        <v/>
      </c>
    </row>
    <row r="67" spans="4:22" x14ac:dyDescent="0.15">
      <c r="D67" s="101"/>
      <c r="Q67" s="103" t="str">
        <f t="shared" si="3"/>
        <v/>
      </c>
      <c r="T67" s="103" t="str">
        <f t="shared" si="4"/>
        <v/>
      </c>
      <c r="V67" s="103" t="str">
        <f t="shared" si="5"/>
        <v/>
      </c>
    </row>
    <row r="68" spans="4:22" x14ac:dyDescent="0.15">
      <c r="D68" s="101"/>
      <c r="Q68" s="103" t="str">
        <f t="shared" si="3"/>
        <v/>
      </c>
      <c r="T68" s="103" t="str">
        <f t="shared" si="4"/>
        <v/>
      </c>
      <c r="V68" s="103" t="str">
        <f t="shared" si="5"/>
        <v/>
      </c>
    </row>
    <row r="69" spans="4:22" x14ac:dyDescent="0.15">
      <c r="D69" s="101"/>
      <c r="Q69" s="103" t="str">
        <f t="shared" si="3"/>
        <v/>
      </c>
      <c r="T69" s="103" t="str">
        <f t="shared" si="4"/>
        <v/>
      </c>
      <c r="V69" s="103" t="str">
        <f t="shared" si="5"/>
        <v/>
      </c>
    </row>
    <row r="70" spans="4:22" x14ac:dyDescent="0.15">
      <c r="D70" s="101"/>
      <c r="Q70" s="103" t="str">
        <f t="shared" si="3"/>
        <v/>
      </c>
      <c r="T70" s="103" t="str">
        <f t="shared" si="4"/>
        <v/>
      </c>
      <c r="V70" s="103" t="str">
        <f t="shared" si="5"/>
        <v/>
      </c>
    </row>
    <row r="71" spans="4:22" x14ac:dyDescent="0.15">
      <c r="D71" s="101"/>
      <c r="Q71" s="103" t="str">
        <f t="shared" si="3"/>
        <v/>
      </c>
      <c r="T71" s="103" t="str">
        <f t="shared" si="4"/>
        <v/>
      </c>
      <c r="V71" s="103" t="str">
        <f t="shared" si="5"/>
        <v/>
      </c>
    </row>
    <row r="72" spans="4:22" x14ac:dyDescent="0.15">
      <c r="D72" s="101"/>
      <c r="Q72" s="103" t="str">
        <f t="shared" si="3"/>
        <v/>
      </c>
      <c r="T72" s="103" t="str">
        <f t="shared" si="4"/>
        <v/>
      </c>
      <c r="V72" s="103" t="str">
        <f t="shared" si="5"/>
        <v/>
      </c>
    </row>
    <row r="73" spans="4:22" x14ac:dyDescent="0.15">
      <c r="D73" s="101"/>
      <c r="Q73" s="103" t="str">
        <f t="shared" si="3"/>
        <v/>
      </c>
      <c r="T73" s="103" t="str">
        <f t="shared" si="4"/>
        <v/>
      </c>
      <c r="V73" s="103" t="str">
        <f t="shared" si="5"/>
        <v/>
      </c>
    </row>
    <row r="74" spans="4:22" x14ac:dyDescent="0.15">
      <c r="D74" s="101"/>
      <c r="Q74" s="103" t="str">
        <f t="shared" si="3"/>
        <v/>
      </c>
      <c r="T74" s="103" t="str">
        <f t="shared" si="4"/>
        <v/>
      </c>
      <c r="V74" s="103" t="str">
        <f t="shared" si="5"/>
        <v/>
      </c>
    </row>
    <row r="75" spans="4:22" x14ac:dyDescent="0.15">
      <c r="D75" s="101"/>
      <c r="Q75" s="103" t="str">
        <f t="shared" si="3"/>
        <v/>
      </c>
      <c r="T75" s="103" t="str">
        <f t="shared" si="4"/>
        <v/>
      </c>
      <c r="V75" s="103" t="str">
        <f t="shared" si="5"/>
        <v/>
      </c>
    </row>
    <row r="76" spans="4:22" x14ac:dyDescent="0.15">
      <c r="D76" s="101"/>
      <c r="Q76" s="103" t="str">
        <f t="shared" si="3"/>
        <v/>
      </c>
      <c r="T76" s="103" t="str">
        <f t="shared" si="4"/>
        <v/>
      </c>
      <c r="V76" s="103" t="str">
        <f t="shared" si="5"/>
        <v/>
      </c>
    </row>
    <row r="77" spans="4:22" x14ac:dyDescent="0.15">
      <c r="D77" s="101"/>
      <c r="Q77" s="103" t="str">
        <f t="shared" si="3"/>
        <v/>
      </c>
      <c r="T77" s="103" t="str">
        <f t="shared" si="4"/>
        <v/>
      </c>
      <c r="V77" s="103" t="str">
        <f t="shared" si="5"/>
        <v/>
      </c>
    </row>
    <row r="78" spans="4:22" x14ac:dyDescent="0.15">
      <c r="D78" s="101"/>
      <c r="Q78" s="103" t="str">
        <f t="shared" si="3"/>
        <v/>
      </c>
      <c r="T78" s="103" t="str">
        <f t="shared" si="4"/>
        <v/>
      </c>
      <c r="V78" s="103" t="str">
        <f t="shared" si="5"/>
        <v/>
      </c>
    </row>
    <row r="79" spans="4:22" x14ac:dyDescent="0.15">
      <c r="D79" s="101"/>
      <c r="Q79" s="103" t="str">
        <f t="shared" si="3"/>
        <v/>
      </c>
      <c r="T79" s="103" t="str">
        <f t="shared" si="4"/>
        <v/>
      </c>
      <c r="V79" s="103" t="str">
        <f t="shared" si="5"/>
        <v/>
      </c>
    </row>
    <row r="80" spans="4:22"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8BDCD763-86A3-427B-9B8B-185B8B6B1ECC}">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329255E1-CAEA-473B-B35E-7455375B0E89}">
      <formula1>$AV$2:$AV$20</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EFE839C1-3093-4ACF-9F15-B818F6F57E13}">
      <formula1>$AL$4:$AL$12</formula1>
    </dataValidation>
    <dataValidation type="list" allowBlank="1" showInputMessage="1" showErrorMessage="1" sqref="Y2:AA500" xr:uid="{AD8FE717-05E4-4AEA-A849-95C48D74207D}">
      <formula1>$AV$2:$AV$21</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ED0FCDC1-94E9-4D86-B77E-D53A4E0B2C83}">
      <formula1>$AJ$2:$AJ$4</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F2875C44-641A-4DB9-98A1-488B2EBC727F}">
      <formula1>$AP$2:$AP$27</formula1>
    </dataValidation>
    <dataValidation type="list" allowBlank="1" showInputMessage="1" showErrorMessage="1" sqref="H2:H500" xr:uid="{D3734FA4-4DD9-4E3F-8B38-DDB1F2314332}">
      <formula1>$AL$2:$AL$8</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C4EDA897-9645-4068-8C96-9F38E7CA9CAA}">
      <formula1>$AT$2:$AT$3</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C5C2419C-AD7D-410F-BAE7-CE92E7D9272C}">
      <formula1>$AH$2:$AH$11</formula1>
    </dataValidation>
    <dataValidation type="list" allowBlank="1" showInputMessage="1" showErrorMessage="1" sqref="K2:K89" xr:uid="{C6BFC25D-92AB-444A-BEA7-1A2437D1EBBE}">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05AFA452-7465-408D-A139-DB0F90FD62C9}">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D1361D66-8466-4AEE-BA5E-F804A9828E2F}"/>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471F8AA3-0169-4B30-A494-EA0BACA72E49}">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5DFD8DD7-B1E8-4834-8826-0DF18158CCEB}">
      <formula1>$AE$2:$AE$19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46E2D9CB-71C7-4AE0-8CA7-06E4912F195B}">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00C6A-F4D4-4A71-911C-A81A4B686B21}">
  <sheetPr>
    <pageSetUpPr fitToPage="1"/>
  </sheetPr>
  <dimension ref="A1:BA117"/>
  <sheetViews>
    <sheetView zoomScale="85" zoomScaleNormal="85" workbookViewId="0">
      <selection activeCell="N42" sqref="N42"/>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282</v>
      </c>
      <c r="B1" s="55" t="s">
        <v>1</v>
      </c>
      <c r="C1" s="55" t="s">
        <v>2</v>
      </c>
      <c r="D1" s="56" t="s">
        <v>3</v>
      </c>
      <c r="E1" s="56" t="s">
        <v>283</v>
      </c>
      <c r="F1" s="56" t="s">
        <v>5</v>
      </c>
      <c r="G1" s="56" t="s">
        <v>6</v>
      </c>
      <c r="H1" s="56" t="s">
        <v>284</v>
      </c>
      <c r="I1" s="56" t="s">
        <v>8</v>
      </c>
      <c r="J1" s="56" t="s">
        <v>9</v>
      </c>
      <c r="K1" s="56" t="s">
        <v>10</v>
      </c>
      <c r="L1" s="56" t="s">
        <v>11</v>
      </c>
      <c r="M1" s="56" t="s">
        <v>12</v>
      </c>
      <c r="N1" s="56" t="s">
        <v>13</v>
      </c>
      <c r="O1" s="56" t="s">
        <v>14</v>
      </c>
      <c r="P1" s="56" t="s">
        <v>15</v>
      </c>
      <c r="Q1" s="3" t="s">
        <v>16</v>
      </c>
      <c r="R1" s="56"/>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234</v>
      </c>
      <c r="C2" s="127">
        <v>2019</v>
      </c>
      <c r="D2" s="128" t="s">
        <v>285</v>
      </c>
      <c r="E2" s="127" t="s">
        <v>286</v>
      </c>
      <c r="F2" s="127" t="s">
        <v>287</v>
      </c>
      <c r="G2" s="127" t="s">
        <v>42</v>
      </c>
      <c r="H2" s="53" t="s">
        <v>164</v>
      </c>
      <c r="I2" s="53" t="s">
        <v>159</v>
      </c>
      <c r="J2" s="127" t="s">
        <v>38</v>
      </c>
      <c r="K2" s="53" t="s">
        <v>161</v>
      </c>
      <c r="L2" s="53">
        <v>1</v>
      </c>
      <c r="M2" s="53"/>
      <c r="N2" s="53">
        <v>1</v>
      </c>
      <c r="O2" s="53">
        <v>0.5</v>
      </c>
      <c r="P2" s="53">
        <v>0.5</v>
      </c>
      <c r="Q2" s="75">
        <f t="shared" ref="Q2:Q25" si="0">IF(OR(O2="",P2=""),"",AVERAGE(O2,P2))</f>
        <v>0.5</v>
      </c>
      <c r="R2" s="53">
        <v>14.1</v>
      </c>
      <c r="S2" s="53">
        <v>143</v>
      </c>
      <c r="T2" s="16">
        <f t="shared" ref="T2:T25" si="1">IF(H2="","",IF(OR(H2="GREEN",H2="GK"),IF(S2&gt;=$AX$2,VLOOKUP(S2,$AX$2:$AY$18,2,1),""),IF(S2&gt;=$AZ$2,VLOOKUP(S2,$AZ$2:$BA$18,2,1),"")))</f>
        <v>22</v>
      </c>
      <c r="U2" s="53">
        <v>138</v>
      </c>
      <c r="V2" s="129">
        <f t="shared" ref="V2:V25" si="2">IF(OR(N2="",U2="",T2=""),"",U2/N2*T2)</f>
        <v>3036</v>
      </c>
      <c r="W2" s="53">
        <v>4</v>
      </c>
      <c r="X2" s="127" t="s">
        <v>39</v>
      </c>
      <c r="Y2" s="53" t="s">
        <v>90</v>
      </c>
      <c r="Z2" s="53" t="s">
        <v>84</v>
      </c>
      <c r="AA2" s="53" t="s">
        <v>50</v>
      </c>
      <c r="AB2" s="127" t="s">
        <v>238</v>
      </c>
      <c r="AC2" s="34"/>
      <c r="AE2" s="64" t="s">
        <v>35</v>
      </c>
      <c r="AG2" s="49" t="s">
        <v>286</v>
      </c>
      <c r="AH2" s="49" t="s">
        <v>287</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234</v>
      </c>
      <c r="C3" s="127">
        <v>2019</v>
      </c>
      <c r="D3" s="128" t="s">
        <v>285</v>
      </c>
      <c r="E3" s="127" t="s">
        <v>286</v>
      </c>
      <c r="F3" s="127" t="s">
        <v>287</v>
      </c>
      <c r="G3" s="127" t="s">
        <v>42</v>
      </c>
      <c r="H3" s="53" t="s">
        <v>164</v>
      </c>
      <c r="I3" s="53" t="s">
        <v>159</v>
      </c>
      <c r="J3" s="127" t="s">
        <v>38</v>
      </c>
      <c r="K3" s="53" t="s">
        <v>161</v>
      </c>
      <c r="L3" s="53">
        <v>2</v>
      </c>
      <c r="N3" s="53">
        <v>1</v>
      </c>
      <c r="O3" s="53">
        <v>0.5</v>
      </c>
      <c r="P3" s="53">
        <v>0.5</v>
      </c>
      <c r="Q3" s="75">
        <f t="shared" si="0"/>
        <v>0.5</v>
      </c>
      <c r="R3" s="53">
        <v>13.5</v>
      </c>
      <c r="S3" s="53">
        <v>147</v>
      </c>
      <c r="T3" s="16">
        <f t="shared" si="1"/>
        <v>22</v>
      </c>
      <c r="U3" s="53">
        <v>138</v>
      </c>
      <c r="V3" s="129">
        <f t="shared" si="2"/>
        <v>3036</v>
      </c>
      <c r="W3" s="53">
        <v>4</v>
      </c>
      <c r="X3" s="127" t="s">
        <v>39</v>
      </c>
      <c r="Y3" s="53" t="s">
        <v>90</v>
      </c>
      <c r="Z3" s="53" t="s">
        <v>84</v>
      </c>
      <c r="AA3" s="53" t="s">
        <v>50</v>
      </c>
      <c r="AB3" s="127" t="s">
        <v>238</v>
      </c>
      <c r="AC3" s="34"/>
      <c r="AE3" s="22" t="s">
        <v>41</v>
      </c>
      <c r="AG3" s="49" t="s">
        <v>288</v>
      </c>
      <c r="AH3" s="49" t="s">
        <v>289</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234</v>
      </c>
      <c r="C4" s="127">
        <v>2019</v>
      </c>
      <c r="D4" s="128" t="s">
        <v>285</v>
      </c>
      <c r="E4" s="127" t="s">
        <v>286</v>
      </c>
      <c r="F4" s="127" t="s">
        <v>287</v>
      </c>
      <c r="G4" s="127" t="s">
        <v>42</v>
      </c>
      <c r="H4" s="53" t="s">
        <v>164</v>
      </c>
      <c r="I4" s="53" t="s">
        <v>159</v>
      </c>
      <c r="J4" s="127" t="s">
        <v>38</v>
      </c>
      <c r="K4" s="53" t="s">
        <v>161</v>
      </c>
      <c r="L4" s="53">
        <v>3</v>
      </c>
      <c r="N4" s="53">
        <v>1</v>
      </c>
      <c r="O4" s="53">
        <v>0.5</v>
      </c>
      <c r="P4" s="53">
        <v>0.5</v>
      </c>
      <c r="Q4" s="75">
        <f t="shared" si="0"/>
        <v>0.5</v>
      </c>
      <c r="R4" s="53">
        <v>14.8</v>
      </c>
      <c r="S4" s="53">
        <v>141</v>
      </c>
      <c r="T4" s="16">
        <f t="shared" si="1"/>
        <v>22</v>
      </c>
      <c r="U4" s="53">
        <v>138</v>
      </c>
      <c r="V4" s="129">
        <f t="shared" si="2"/>
        <v>3036</v>
      </c>
      <c r="W4" s="53">
        <v>4</v>
      </c>
      <c r="X4" s="127" t="s">
        <v>39</v>
      </c>
      <c r="Y4" s="53" t="s">
        <v>90</v>
      </c>
      <c r="Z4" s="53" t="s">
        <v>84</v>
      </c>
      <c r="AA4" s="53" t="s">
        <v>50</v>
      </c>
      <c r="AB4" s="127" t="s">
        <v>238</v>
      </c>
      <c r="AC4" s="34"/>
      <c r="AE4" s="22" t="s">
        <v>34</v>
      </c>
      <c r="AG4" s="49" t="s">
        <v>290</v>
      </c>
      <c r="AH4" s="49" t="s">
        <v>291</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234</v>
      </c>
      <c r="C5" s="127">
        <v>2019</v>
      </c>
      <c r="D5" s="128" t="s">
        <v>285</v>
      </c>
      <c r="E5" s="127" t="s">
        <v>286</v>
      </c>
      <c r="F5" s="127" t="s">
        <v>287</v>
      </c>
      <c r="G5" s="127" t="s">
        <v>42</v>
      </c>
      <c r="H5" s="53" t="s">
        <v>160</v>
      </c>
      <c r="I5" s="53" t="s">
        <v>159</v>
      </c>
      <c r="J5" s="127" t="s">
        <v>38</v>
      </c>
      <c r="K5" s="53" t="s">
        <v>161</v>
      </c>
      <c r="L5" s="53">
        <v>1</v>
      </c>
      <c r="N5" s="53">
        <v>1</v>
      </c>
      <c r="O5" s="53">
        <v>0.5</v>
      </c>
      <c r="P5" s="53">
        <v>0.5</v>
      </c>
      <c r="Q5" s="75">
        <f t="shared" si="0"/>
        <v>0.5</v>
      </c>
      <c r="R5" s="53">
        <v>14.1</v>
      </c>
      <c r="S5" s="53">
        <v>121</v>
      </c>
      <c r="T5" s="16">
        <f t="shared" si="1"/>
        <v>27</v>
      </c>
      <c r="U5" s="53">
        <v>138</v>
      </c>
      <c r="V5" s="129">
        <f t="shared" si="2"/>
        <v>3726</v>
      </c>
      <c r="W5" s="53">
        <v>4</v>
      </c>
      <c r="X5" s="127" t="s">
        <v>39</v>
      </c>
      <c r="Y5" s="53" t="s">
        <v>90</v>
      </c>
      <c r="Z5" s="53" t="s">
        <v>84</v>
      </c>
      <c r="AA5" s="53" t="s">
        <v>50</v>
      </c>
      <c r="AB5" s="127" t="s">
        <v>238</v>
      </c>
      <c r="AC5" s="34"/>
      <c r="AE5" s="22" t="s">
        <v>51</v>
      </c>
      <c r="AG5" s="49" t="s">
        <v>292</v>
      </c>
      <c r="AH5" s="49" t="s">
        <v>293</v>
      </c>
      <c r="AJ5" s="27"/>
      <c r="AL5" s="73" t="s">
        <v>66</v>
      </c>
      <c r="AN5" s="73" t="s">
        <v>52</v>
      </c>
      <c r="AP5" s="23" t="s">
        <v>119</v>
      </c>
      <c r="AR5" s="23" t="s">
        <v>54</v>
      </c>
      <c r="AV5" s="23" t="s">
        <v>55</v>
      </c>
      <c r="AX5" s="24">
        <v>84</v>
      </c>
      <c r="AY5" s="25">
        <v>39</v>
      </c>
      <c r="AZ5" s="25">
        <v>84</v>
      </c>
      <c r="BA5" s="26">
        <v>36</v>
      </c>
    </row>
    <row r="6" spans="1:53" x14ac:dyDescent="0.15">
      <c r="A6" s="127" t="s">
        <v>61</v>
      </c>
      <c r="B6" s="127" t="s">
        <v>234</v>
      </c>
      <c r="C6" s="127">
        <v>2019</v>
      </c>
      <c r="D6" s="128" t="s">
        <v>285</v>
      </c>
      <c r="E6" s="127" t="s">
        <v>286</v>
      </c>
      <c r="F6" s="127" t="s">
        <v>287</v>
      </c>
      <c r="G6" s="127" t="s">
        <v>42</v>
      </c>
      <c r="H6" s="53" t="s">
        <v>160</v>
      </c>
      <c r="I6" s="53" t="s">
        <v>159</v>
      </c>
      <c r="J6" s="127" t="s">
        <v>38</v>
      </c>
      <c r="K6" s="53" t="s">
        <v>161</v>
      </c>
      <c r="L6" s="53">
        <v>2</v>
      </c>
      <c r="N6" s="53">
        <v>1</v>
      </c>
      <c r="O6" s="53">
        <v>0.5</v>
      </c>
      <c r="P6" s="53">
        <v>0.5</v>
      </c>
      <c r="Q6" s="75">
        <f t="shared" si="0"/>
        <v>0.5</v>
      </c>
      <c r="R6" s="53">
        <v>20.7</v>
      </c>
      <c r="S6" s="53">
        <v>122</v>
      </c>
      <c r="T6" s="16">
        <f t="shared" si="1"/>
        <v>27</v>
      </c>
      <c r="U6" s="53">
        <v>138</v>
      </c>
      <c r="V6" s="129">
        <f t="shared" si="2"/>
        <v>3726</v>
      </c>
      <c r="W6" s="53">
        <v>4</v>
      </c>
      <c r="X6" s="127" t="s">
        <v>39</v>
      </c>
      <c r="Y6" s="53" t="s">
        <v>90</v>
      </c>
      <c r="Z6" s="53" t="s">
        <v>84</v>
      </c>
      <c r="AA6" s="53" t="s">
        <v>50</v>
      </c>
      <c r="AB6" s="127" t="s">
        <v>238</v>
      </c>
      <c r="AC6" s="34"/>
      <c r="AE6" s="22" t="s">
        <v>56</v>
      </c>
      <c r="AG6" s="49" t="s">
        <v>294</v>
      </c>
      <c r="AH6" s="49" t="s">
        <v>295</v>
      </c>
      <c r="AJ6" s="27"/>
      <c r="AL6" s="73" t="s">
        <v>99</v>
      </c>
      <c r="AN6" s="73" t="s">
        <v>57</v>
      </c>
      <c r="AP6" s="23" t="s">
        <v>53</v>
      </c>
      <c r="AR6" s="23" t="s">
        <v>59</v>
      </c>
      <c r="AV6" s="23" t="s">
        <v>60</v>
      </c>
      <c r="AX6" s="24">
        <v>97</v>
      </c>
      <c r="AY6" s="25">
        <v>36</v>
      </c>
      <c r="AZ6" s="25">
        <v>99</v>
      </c>
      <c r="BA6" s="26">
        <v>33</v>
      </c>
    </row>
    <row r="7" spans="1:53" x14ac:dyDescent="0.15">
      <c r="A7" s="127" t="s">
        <v>61</v>
      </c>
      <c r="B7" s="127" t="s">
        <v>234</v>
      </c>
      <c r="C7" s="127">
        <v>2019</v>
      </c>
      <c r="D7" s="128" t="s">
        <v>285</v>
      </c>
      <c r="E7" s="127" t="s">
        <v>286</v>
      </c>
      <c r="F7" s="127" t="s">
        <v>287</v>
      </c>
      <c r="G7" s="127" t="s">
        <v>42</v>
      </c>
      <c r="H7" s="53" t="s">
        <v>160</v>
      </c>
      <c r="I7" s="53" t="s">
        <v>159</v>
      </c>
      <c r="J7" s="127" t="s">
        <v>38</v>
      </c>
      <c r="K7" s="53" t="s">
        <v>161</v>
      </c>
      <c r="L7" s="53">
        <v>3</v>
      </c>
      <c r="N7" s="53">
        <v>1</v>
      </c>
      <c r="O7" s="53">
        <v>0.5</v>
      </c>
      <c r="P7" s="53">
        <v>0.5</v>
      </c>
      <c r="Q7" s="75">
        <f t="shared" si="0"/>
        <v>0.5</v>
      </c>
      <c r="R7" s="53">
        <v>13.4</v>
      </c>
      <c r="S7" s="53">
        <v>127</v>
      </c>
      <c r="T7" s="16">
        <f t="shared" si="1"/>
        <v>27</v>
      </c>
      <c r="U7" s="53">
        <v>138</v>
      </c>
      <c r="V7" s="129">
        <f t="shared" si="2"/>
        <v>3726</v>
      </c>
      <c r="W7" s="53">
        <v>4</v>
      </c>
      <c r="X7" s="127" t="s">
        <v>39</v>
      </c>
      <c r="Y7" s="53" t="s">
        <v>90</v>
      </c>
      <c r="Z7" s="53" t="s">
        <v>84</v>
      </c>
      <c r="AA7" s="53" t="s">
        <v>50</v>
      </c>
      <c r="AB7" s="127" t="s">
        <v>238</v>
      </c>
      <c r="AC7" s="34"/>
      <c r="AE7" s="22" t="s">
        <v>61</v>
      </c>
      <c r="AG7" s="49" t="s">
        <v>296</v>
      </c>
      <c r="AH7" s="49" t="s">
        <v>297</v>
      </c>
      <c r="AJ7" s="27"/>
      <c r="AL7" s="34" t="s">
        <v>109</v>
      </c>
      <c r="AN7" s="73"/>
      <c r="AP7" s="23" t="s">
        <v>58</v>
      </c>
      <c r="AR7" s="23" t="s">
        <v>122</v>
      </c>
      <c r="AV7" s="23" t="s">
        <v>64</v>
      </c>
      <c r="AX7" s="24">
        <v>109</v>
      </c>
      <c r="AY7" s="25">
        <v>33</v>
      </c>
      <c r="AZ7" s="25">
        <v>113</v>
      </c>
      <c r="BA7" s="26">
        <v>30</v>
      </c>
    </row>
    <row r="8" spans="1:53" x14ac:dyDescent="0.15">
      <c r="A8" s="127" t="s">
        <v>61</v>
      </c>
      <c r="B8" s="127" t="s">
        <v>234</v>
      </c>
      <c r="C8" s="127">
        <v>2019</v>
      </c>
      <c r="D8" s="128" t="s">
        <v>285</v>
      </c>
      <c r="E8" s="127" t="s">
        <v>286</v>
      </c>
      <c r="F8" s="127" t="s">
        <v>287</v>
      </c>
      <c r="G8" s="127" t="s">
        <v>42</v>
      </c>
      <c r="H8" s="53" t="s">
        <v>127</v>
      </c>
      <c r="I8" s="53" t="s">
        <v>159</v>
      </c>
      <c r="J8" s="127" t="s">
        <v>67</v>
      </c>
      <c r="K8" s="53" t="s">
        <v>87</v>
      </c>
      <c r="L8" s="53">
        <v>1</v>
      </c>
      <c r="N8" s="53">
        <v>5</v>
      </c>
      <c r="O8" s="53">
        <v>0.5</v>
      </c>
      <c r="P8" s="53">
        <v>0.5</v>
      </c>
      <c r="Q8" s="75">
        <f t="shared" si="0"/>
        <v>0.5</v>
      </c>
      <c r="R8" s="53">
        <v>11.7</v>
      </c>
      <c r="S8" s="53">
        <v>91</v>
      </c>
      <c r="T8" s="16">
        <f t="shared" si="1"/>
        <v>36</v>
      </c>
      <c r="U8" s="53">
        <v>368</v>
      </c>
      <c r="V8" s="129">
        <f t="shared" si="2"/>
        <v>2649.6</v>
      </c>
      <c r="W8" s="53">
        <v>4</v>
      </c>
      <c r="X8" s="127" t="s">
        <v>39</v>
      </c>
      <c r="Y8" s="53" t="s">
        <v>90</v>
      </c>
      <c r="Z8" s="53" t="s">
        <v>84</v>
      </c>
      <c r="AA8" s="53" t="s">
        <v>50</v>
      </c>
      <c r="AB8" s="127" t="s">
        <v>238</v>
      </c>
      <c r="AC8" s="34"/>
      <c r="AE8" s="22"/>
      <c r="AP8" s="27" t="s">
        <v>113</v>
      </c>
      <c r="AR8" s="23" t="s">
        <v>105</v>
      </c>
      <c r="AV8" s="134" t="s">
        <v>298</v>
      </c>
    </row>
    <row r="9" spans="1:53" x14ac:dyDescent="0.15">
      <c r="A9" s="127" t="s">
        <v>61</v>
      </c>
      <c r="B9" s="127" t="s">
        <v>234</v>
      </c>
      <c r="C9" s="127">
        <v>2019</v>
      </c>
      <c r="D9" s="128" t="s">
        <v>285</v>
      </c>
      <c r="E9" s="127" t="s">
        <v>286</v>
      </c>
      <c r="F9" s="127" t="s">
        <v>287</v>
      </c>
      <c r="G9" s="127" t="s">
        <v>42</v>
      </c>
      <c r="H9" s="53" t="s">
        <v>127</v>
      </c>
      <c r="I9" s="53" t="s">
        <v>159</v>
      </c>
      <c r="J9" s="127" t="s">
        <v>67</v>
      </c>
      <c r="K9" s="53" t="s">
        <v>87</v>
      </c>
      <c r="L9" s="53">
        <v>2</v>
      </c>
      <c r="N9" s="53">
        <v>5</v>
      </c>
      <c r="O9" s="53">
        <v>0.5</v>
      </c>
      <c r="P9" s="53">
        <v>0.5</v>
      </c>
      <c r="Q9" s="75">
        <f t="shared" si="0"/>
        <v>0.5</v>
      </c>
      <c r="R9" s="53">
        <v>11.6</v>
      </c>
      <c r="S9" s="53">
        <v>81</v>
      </c>
      <c r="T9" s="16">
        <f t="shared" si="1"/>
        <v>39</v>
      </c>
      <c r="U9" s="53">
        <v>368</v>
      </c>
      <c r="V9" s="129">
        <f t="shared" si="2"/>
        <v>2870.3999999999996</v>
      </c>
      <c r="W9" s="53">
        <v>4</v>
      </c>
      <c r="X9" s="127" t="s">
        <v>39</v>
      </c>
      <c r="Y9" s="53" t="s">
        <v>90</v>
      </c>
      <c r="Z9" s="53" t="s">
        <v>84</v>
      </c>
      <c r="AA9" s="53" t="s">
        <v>50</v>
      </c>
      <c r="AB9" s="127" t="s">
        <v>238</v>
      </c>
      <c r="AC9" s="34"/>
      <c r="AE9" s="22"/>
      <c r="AP9" s="27" t="s">
        <v>114</v>
      </c>
      <c r="AR9" s="23" t="s">
        <v>68</v>
      </c>
      <c r="AV9" s="134" t="s">
        <v>299</v>
      </c>
    </row>
    <row r="10" spans="1:53" x14ac:dyDescent="0.15">
      <c r="A10" s="127" t="s">
        <v>61</v>
      </c>
      <c r="B10" s="127" t="s">
        <v>234</v>
      </c>
      <c r="C10" s="127">
        <v>2019</v>
      </c>
      <c r="D10" s="128" t="s">
        <v>285</v>
      </c>
      <c r="E10" s="127" t="s">
        <v>286</v>
      </c>
      <c r="F10" s="127" t="s">
        <v>287</v>
      </c>
      <c r="G10" s="127" t="s">
        <v>42</v>
      </c>
      <c r="H10" s="53" t="s">
        <v>127</v>
      </c>
      <c r="I10" s="53" t="s">
        <v>159</v>
      </c>
      <c r="J10" s="127" t="s">
        <v>67</v>
      </c>
      <c r="K10" s="53" t="s">
        <v>87</v>
      </c>
      <c r="L10" s="53">
        <v>3</v>
      </c>
      <c r="N10" s="53">
        <v>5</v>
      </c>
      <c r="O10" s="53">
        <v>0.5</v>
      </c>
      <c r="P10" s="53">
        <v>0.5</v>
      </c>
      <c r="Q10" s="75">
        <f t="shared" si="0"/>
        <v>0.5</v>
      </c>
      <c r="R10" s="53">
        <v>10.9</v>
      </c>
      <c r="S10" s="53">
        <v>82</v>
      </c>
      <c r="T10" s="16">
        <f t="shared" si="1"/>
        <v>39</v>
      </c>
      <c r="U10" s="53">
        <v>368</v>
      </c>
      <c r="V10" s="129">
        <f t="shared" si="2"/>
        <v>2870.3999999999996</v>
      </c>
      <c r="W10" s="53">
        <v>4</v>
      </c>
      <c r="X10" s="127" t="s">
        <v>39</v>
      </c>
      <c r="Y10" s="53" t="s">
        <v>90</v>
      </c>
      <c r="Z10" s="53" t="s">
        <v>84</v>
      </c>
      <c r="AA10" s="53" t="s">
        <v>50</v>
      </c>
      <c r="AB10" s="127" t="s">
        <v>238</v>
      </c>
      <c r="AC10" s="34"/>
      <c r="AE10" s="35"/>
      <c r="AP10" s="27" t="s">
        <v>115</v>
      </c>
      <c r="AR10" s="23" t="s">
        <v>83</v>
      </c>
      <c r="AV10" s="23"/>
    </row>
    <row r="11" spans="1:53" x14ac:dyDescent="0.15">
      <c r="A11" s="127" t="s">
        <v>61</v>
      </c>
      <c r="B11" s="127" t="s">
        <v>234</v>
      </c>
      <c r="C11" s="127">
        <v>2019</v>
      </c>
      <c r="D11" s="128" t="s">
        <v>285</v>
      </c>
      <c r="E11" s="127" t="s">
        <v>288</v>
      </c>
      <c r="F11" s="127" t="s">
        <v>289</v>
      </c>
      <c r="G11" s="127" t="s">
        <v>42</v>
      </c>
      <c r="H11" s="53" t="s">
        <v>164</v>
      </c>
      <c r="I11" s="53" t="s">
        <v>159</v>
      </c>
      <c r="J11" s="127" t="s">
        <v>38</v>
      </c>
      <c r="K11" s="53" t="s">
        <v>161</v>
      </c>
      <c r="L11" s="53">
        <v>1</v>
      </c>
      <c r="N11" s="53">
        <v>1</v>
      </c>
      <c r="O11" s="53">
        <v>0.5</v>
      </c>
      <c r="P11" s="53">
        <v>0.5</v>
      </c>
      <c r="Q11" s="75">
        <f t="shared" si="0"/>
        <v>0.5</v>
      </c>
      <c r="R11" s="53">
        <v>14.7</v>
      </c>
      <c r="S11" s="53">
        <v>134</v>
      </c>
      <c r="T11" s="16">
        <f t="shared" si="1"/>
        <v>25</v>
      </c>
      <c r="U11" s="53">
        <v>128</v>
      </c>
      <c r="V11" s="129">
        <f t="shared" si="2"/>
        <v>3200</v>
      </c>
      <c r="W11" s="53">
        <v>5</v>
      </c>
      <c r="X11" s="127" t="s">
        <v>46</v>
      </c>
      <c r="Y11" s="53" t="s">
        <v>90</v>
      </c>
      <c r="Z11" s="53" t="s">
        <v>50</v>
      </c>
      <c r="AA11" s="53" t="s">
        <v>84</v>
      </c>
      <c r="AB11" s="127" t="s">
        <v>238</v>
      </c>
      <c r="AC11" s="34"/>
      <c r="AE11" s="22" t="s">
        <v>59</v>
      </c>
      <c r="AG11" s="49" t="s">
        <v>300</v>
      </c>
      <c r="AH11" s="49" t="s">
        <v>301</v>
      </c>
      <c r="AJ11" s="28"/>
      <c r="AL11" s="34" t="s">
        <v>134</v>
      </c>
      <c r="AN11" s="73"/>
      <c r="AP11" s="23" t="s">
        <v>62</v>
      </c>
      <c r="AR11" s="23" t="s">
        <v>81</v>
      </c>
      <c r="AV11" s="23" t="s">
        <v>97</v>
      </c>
      <c r="AX11" s="24">
        <v>119</v>
      </c>
      <c r="AY11" s="25">
        <v>30</v>
      </c>
      <c r="AZ11" s="25">
        <v>121</v>
      </c>
      <c r="BA11" s="26">
        <v>27</v>
      </c>
    </row>
    <row r="12" spans="1:53" x14ac:dyDescent="0.15">
      <c r="A12" s="127" t="s">
        <v>61</v>
      </c>
      <c r="B12" s="127" t="s">
        <v>234</v>
      </c>
      <c r="C12" s="127">
        <v>2019</v>
      </c>
      <c r="D12" s="128" t="s">
        <v>285</v>
      </c>
      <c r="E12" s="127" t="s">
        <v>288</v>
      </c>
      <c r="F12" s="127" t="s">
        <v>289</v>
      </c>
      <c r="G12" s="127" t="s">
        <v>42</v>
      </c>
      <c r="H12" s="53" t="s">
        <v>164</v>
      </c>
      <c r="I12" s="53" t="s">
        <v>159</v>
      </c>
      <c r="J12" s="127" t="s">
        <v>38</v>
      </c>
      <c r="K12" s="53" t="s">
        <v>161</v>
      </c>
      <c r="L12" s="53">
        <v>2</v>
      </c>
      <c r="N12" s="53">
        <v>1</v>
      </c>
      <c r="O12" s="53">
        <v>0.5</v>
      </c>
      <c r="P12" s="53">
        <v>0.5</v>
      </c>
      <c r="Q12" s="75">
        <f t="shared" si="0"/>
        <v>0.5</v>
      </c>
      <c r="R12" s="34">
        <v>14.6</v>
      </c>
      <c r="S12" s="53">
        <v>142</v>
      </c>
      <c r="T12" s="16">
        <f t="shared" si="1"/>
        <v>22</v>
      </c>
      <c r="U12" s="53">
        <v>128</v>
      </c>
      <c r="V12" s="129">
        <f t="shared" si="2"/>
        <v>2816</v>
      </c>
      <c r="W12" s="53">
        <v>5</v>
      </c>
      <c r="X12" s="127" t="s">
        <v>46</v>
      </c>
      <c r="Y12" s="53" t="s">
        <v>90</v>
      </c>
      <c r="Z12" s="53" t="s">
        <v>50</v>
      </c>
      <c r="AA12" s="53" t="s">
        <v>84</v>
      </c>
      <c r="AB12" s="127" t="s">
        <v>238</v>
      </c>
      <c r="AC12" s="34"/>
      <c r="AE12" s="22" t="s">
        <v>98</v>
      </c>
      <c r="AG12" s="49" t="s">
        <v>133</v>
      </c>
      <c r="AH12" s="49" t="s">
        <v>302</v>
      </c>
      <c r="AL12" s="73"/>
      <c r="AN12" s="73"/>
      <c r="AP12" s="23" t="s">
        <v>95</v>
      </c>
      <c r="AR12" s="23" t="s">
        <v>89</v>
      </c>
      <c r="AV12" s="23" t="s">
        <v>102</v>
      </c>
      <c r="AX12" s="24">
        <v>128</v>
      </c>
      <c r="AY12" s="25">
        <v>27</v>
      </c>
      <c r="AZ12" s="25">
        <v>129</v>
      </c>
      <c r="BA12" s="26">
        <v>25</v>
      </c>
    </row>
    <row r="13" spans="1:53" x14ac:dyDescent="0.15">
      <c r="A13" s="127" t="s">
        <v>61</v>
      </c>
      <c r="B13" s="127" t="s">
        <v>234</v>
      </c>
      <c r="C13" s="127">
        <v>2019</v>
      </c>
      <c r="D13" s="128" t="s">
        <v>285</v>
      </c>
      <c r="E13" s="127" t="s">
        <v>288</v>
      </c>
      <c r="F13" s="127" t="s">
        <v>289</v>
      </c>
      <c r="G13" s="127" t="s">
        <v>42</v>
      </c>
      <c r="H13" s="53" t="s">
        <v>164</v>
      </c>
      <c r="I13" s="53" t="s">
        <v>159</v>
      </c>
      <c r="J13" s="127" t="s">
        <v>38</v>
      </c>
      <c r="K13" s="53" t="s">
        <v>161</v>
      </c>
      <c r="L13" s="53">
        <v>3</v>
      </c>
      <c r="N13" s="53">
        <v>1</v>
      </c>
      <c r="O13" s="53">
        <v>0.7</v>
      </c>
      <c r="P13" s="53">
        <v>0.65</v>
      </c>
      <c r="Q13" s="75">
        <f t="shared" si="0"/>
        <v>0.67500000000000004</v>
      </c>
      <c r="R13" s="53">
        <v>14.7</v>
      </c>
      <c r="S13" s="53">
        <v>139</v>
      </c>
      <c r="T13" s="16">
        <f t="shared" si="1"/>
        <v>22</v>
      </c>
      <c r="U13" s="53">
        <v>128</v>
      </c>
      <c r="V13" s="129">
        <f t="shared" si="2"/>
        <v>2816</v>
      </c>
      <c r="W13" s="53">
        <v>5</v>
      </c>
      <c r="X13" s="127" t="s">
        <v>46</v>
      </c>
      <c r="Y13" s="53" t="s">
        <v>90</v>
      </c>
      <c r="Z13" s="53" t="s">
        <v>50</v>
      </c>
      <c r="AA13" s="53" t="s">
        <v>84</v>
      </c>
      <c r="AB13" s="127" t="s">
        <v>238</v>
      </c>
      <c r="AC13" s="34"/>
      <c r="AE13" s="22" t="s">
        <v>103</v>
      </c>
      <c r="AG13" s="49" t="s">
        <v>303</v>
      </c>
      <c r="AH13" s="49" t="s">
        <v>304</v>
      </c>
      <c r="AL13" s="27"/>
      <c r="AP13" s="23" t="s">
        <v>100</v>
      </c>
      <c r="AR13" s="23" t="s">
        <v>123</v>
      </c>
      <c r="AV13" s="23" t="s">
        <v>106</v>
      </c>
      <c r="AX13" s="24">
        <v>138</v>
      </c>
      <c r="AY13" s="25">
        <v>25</v>
      </c>
      <c r="AZ13" s="25">
        <v>138</v>
      </c>
      <c r="BA13" s="26">
        <v>22</v>
      </c>
    </row>
    <row r="14" spans="1:53" x14ac:dyDescent="0.15">
      <c r="A14" s="127" t="s">
        <v>61</v>
      </c>
      <c r="B14" s="127" t="s">
        <v>234</v>
      </c>
      <c r="C14" s="127">
        <v>2019</v>
      </c>
      <c r="D14" s="128" t="s">
        <v>285</v>
      </c>
      <c r="E14" s="127" t="s">
        <v>288</v>
      </c>
      <c r="F14" s="127" t="s">
        <v>289</v>
      </c>
      <c r="G14" s="127" t="s">
        <v>42</v>
      </c>
      <c r="H14" s="53" t="s">
        <v>160</v>
      </c>
      <c r="I14" s="53" t="s">
        <v>159</v>
      </c>
      <c r="J14" s="127" t="s">
        <v>38</v>
      </c>
      <c r="K14" s="53" t="s">
        <v>161</v>
      </c>
      <c r="L14" s="53">
        <v>1</v>
      </c>
      <c r="N14" s="53">
        <v>1</v>
      </c>
      <c r="O14" s="53">
        <v>0.6</v>
      </c>
      <c r="P14" s="53">
        <v>0.5</v>
      </c>
      <c r="Q14" s="75">
        <f t="shared" si="0"/>
        <v>0.55000000000000004</v>
      </c>
      <c r="R14" s="53">
        <v>14.2</v>
      </c>
      <c r="S14" s="53">
        <v>136</v>
      </c>
      <c r="T14" s="16">
        <f t="shared" si="1"/>
        <v>25</v>
      </c>
      <c r="U14" s="53">
        <v>128</v>
      </c>
      <c r="V14" s="129">
        <f t="shared" si="2"/>
        <v>3200</v>
      </c>
      <c r="W14" s="53">
        <v>5</v>
      </c>
      <c r="X14" s="127" t="s">
        <v>46</v>
      </c>
      <c r="Y14" s="53" t="s">
        <v>90</v>
      </c>
      <c r="Z14" s="53" t="s">
        <v>50</v>
      </c>
      <c r="AA14" s="53" t="s">
        <v>84</v>
      </c>
      <c r="AB14" s="127" t="s">
        <v>238</v>
      </c>
      <c r="AC14" s="34"/>
      <c r="AE14" s="22" t="s">
        <v>65</v>
      </c>
      <c r="AG14" s="49" t="s">
        <v>305</v>
      </c>
      <c r="AH14" s="49" t="s">
        <v>304</v>
      </c>
      <c r="AL14" s="135"/>
      <c r="AP14" s="23" t="s">
        <v>104</v>
      </c>
      <c r="AR14" s="23" t="s">
        <v>87</v>
      </c>
      <c r="AV14" s="134" t="s">
        <v>306</v>
      </c>
      <c r="AX14" s="24">
        <v>151</v>
      </c>
      <c r="AY14" s="25">
        <v>22</v>
      </c>
      <c r="AZ14" s="25">
        <v>152</v>
      </c>
      <c r="BA14" s="26">
        <v>18</v>
      </c>
    </row>
    <row r="15" spans="1:53" x14ac:dyDescent="0.15">
      <c r="A15" s="127" t="s">
        <v>61</v>
      </c>
      <c r="B15" s="127" t="s">
        <v>234</v>
      </c>
      <c r="C15" s="127">
        <v>2019</v>
      </c>
      <c r="D15" s="128" t="s">
        <v>285</v>
      </c>
      <c r="E15" s="127" t="s">
        <v>288</v>
      </c>
      <c r="F15" s="127" t="s">
        <v>289</v>
      </c>
      <c r="G15" s="127" t="s">
        <v>42</v>
      </c>
      <c r="H15" s="53" t="s">
        <v>160</v>
      </c>
      <c r="I15" s="53" t="s">
        <v>159</v>
      </c>
      <c r="J15" s="127" t="s">
        <v>38</v>
      </c>
      <c r="K15" s="53" t="s">
        <v>161</v>
      </c>
      <c r="L15" s="53">
        <v>2</v>
      </c>
      <c r="N15" s="53">
        <v>1</v>
      </c>
      <c r="O15" s="53">
        <v>0.6</v>
      </c>
      <c r="P15" s="53">
        <v>0.5</v>
      </c>
      <c r="Q15" s="75">
        <f t="shared" si="0"/>
        <v>0.55000000000000004</v>
      </c>
      <c r="R15" s="34">
        <v>14.4</v>
      </c>
      <c r="S15" s="53">
        <v>140</v>
      </c>
      <c r="T15" s="16">
        <f t="shared" si="1"/>
        <v>22</v>
      </c>
      <c r="U15" s="53">
        <v>128</v>
      </c>
      <c r="V15" s="129">
        <f t="shared" si="2"/>
        <v>2816</v>
      </c>
      <c r="W15" s="53">
        <v>5</v>
      </c>
      <c r="X15" s="127" t="s">
        <v>46</v>
      </c>
      <c r="Y15" s="53" t="s">
        <v>90</v>
      </c>
      <c r="Z15" s="53" t="s">
        <v>50</v>
      </c>
      <c r="AA15" s="53" t="s">
        <v>84</v>
      </c>
      <c r="AB15" s="127" t="s">
        <v>238</v>
      </c>
      <c r="AC15" s="34"/>
      <c r="AE15" s="22" t="s">
        <v>70</v>
      </c>
      <c r="AG15" s="23"/>
      <c r="AH15" s="22"/>
      <c r="AL15" s="135"/>
      <c r="AP15" s="23" t="s">
        <v>67</v>
      </c>
      <c r="AR15" s="23" t="s">
        <v>124</v>
      </c>
      <c r="AV15" s="134" t="s">
        <v>307</v>
      </c>
      <c r="AX15" s="24">
        <v>180</v>
      </c>
      <c r="AY15" s="25">
        <v>18</v>
      </c>
      <c r="AZ15" s="25">
        <v>181</v>
      </c>
      <c r="BA15" s="26">
        <v>16</v>
      </c>
    </row>
    <row r="16" spans="1:53" x14ac:dyDescent="0.15">
      <c r="A16" s="127" t="s">
        <v>61</v>
      </c>
      <c r="B16" s="127" t="s">
        <v>234</v>
      </c>
      <c r="C16" s="127">
        <v>2019</v>
      </c>
      <c r="D16" s="128" t="s">
        <v>285</v>
      </c>
      <c r="E16" s="127" t="s">
        <v>288</v>
      </c>
      <c r="F16" s="127" t="s">
        <v>289</v>
      </c>
      <c r="G16" s="127" t="s">
        <v>42</v>
      </c>
      <c r="H16" s="53" t="s">
        <v>160</v>
      </c>
      <c r="I16" s="53" t="s">
        <v>159</v>
      </c>
      <c r="J16" s="127" t="s">
        <v>38</v>
      </c>
      <c r="K16" s="53" t="s">
        <v>161</v>
      </c>
      <c r="L16" s="53">
        <v>3</v>
      </c>
      <c r="N16" s="53">
        <v>1</v>
      </c>
      <c r="O16" s="53">
        <v>0.6</v>
      </c>
      <c r="P16" s="53">
        <v>0.7</v>
      </c>
      <c r="Q16" s="75">
        <f t="shared" si="0"/>
        <v>0.64999999999999991</v>
      </c>
      <c r="R16" s="53">
        <v>20.7</v>
      </c>
      <c r="S16" s="53">
        <v>140</v>
      </c>
      <c r="T16" s="16">
        <f t="shared" si="1"/>
        <v>22</v>
      </c>
      <c r="U16" s="53">
        <v>128</v>
      </c>
      <c r="V16" s="129">
        <f t="shared" si="2"/>
        <v>2816</v>
      </c>
      <c r="W16" s="53">
        <v>5</v>
      </c>
      <c r="X16" s="127" t="s">
        <v>46</v>
      </c>
      <c r="Y16" s="53" t="s">
        <v>90</v>
      </c>
      <c r="Z16" s="53" t="s">
        <v>50</v>
      </c>
      <c r="AA16" s="53" t="s">
        <v>84</v>
      </c>
      <c r="AB16" s="127" t="s">
        <v>238</v>
      </c>
      <c r="AC16" s="34"/>
      <c r="AE16" s="22" t="s">
        <v>73</v>
      </c>
      <c r="AG16" s="23"/>
      <c r="AH16" s="22"/>
      <c r="AL16" s="136"/>
      <c r="AP16" s="23" t="s">
        <v>71</v>
      </c>
      <c r="AR16" s="23" t="s">
        <v>103</v>
      </c>
      <c r="AV16" s="134" t="s">
        <v>308</v>
      </c>
      <c r="AX16" s="24"/>
      <c r="AY16" s="25"/>
      <c r="AZ16" s="25"/>
      <c r="BA16" s="26"/>
    </row>
    <row r="17" spans="1:53" x14ac:dyDescent="0.15">
      <c r="A17" s="127" t="s">
        <v>61</v>
      </c>
      <c r="B17" s="127" t="s">
        <v>234</v>
      </c>
      <c r="C17" s="127">
        <v>2019</v>
      </c>
      <c r="D17" s="128" t="s">
        <v>285</v>
      </c>
      <c r="E17" s="127" t="s">
        <v>290</v>
      </c>
      <c r="F17" s="127" t="s">
        <v>291</v>
      </c>
      <c r="G17" s="127" t="s">
        <v>42</v>
      </c>
      <c r="H17" s="53" t="s">
        <v>164</v>
      </c>
      <c r="I17" s="53" t="s">
        <v>159</v>
      </c>
      <c r="J17" s="127" t="s">
        <v>38</v>
      </c>
      <c r="K17" s="53" t="s">
        <v>161</v>
      </c>
      <c r="L17" s="53">
        <v>1</v>
      </c>
      <c r="N17" s="53">
        <v>1</v>
      </c>
      <c r="O17" s="53">
        <v>0.7</v>
      </c>
      <c r="P17" s="53">
        <v>0.5</v>
      </c>
      <c r="Q17" s="75">
        <f t="shared" si="0"/>
        <v>0.6</v>
      </c>
      <c r="R17" s="53">
        <v>13.3</v>
      </c>
      <c r="S17" s="53">
        <v>124</v>
      </c>
      <c r="T17" s="16">
        <f t="shared" si="1"/>
        <v>27</v>
      </c>
      <c r="U17" s="53">
        <v>98</v>
      </c>
      <c r="V17" s="129">
        <f t="shared" si="2"/>
        <v>2646</v>
      </c>
      <c r="W17" s="53">
        <v>6</v>
      </c>
      <c r="X17" s="127" t="s">
        <v>46</v>
      </c>
      <c r="Y17" s="53" t="s">
        <v>50</v>
      </c>
      <c r="Z17" s="53" t="s">
        <v>90</v>
      </c>
      <c r="AA17" s="53" t="s">
        <v>84</v>
      </c>
      <c r="AB17" s="127" t="s">
        <v>238</v>
      </c>
      <c r="AC17" s="34"/>
      <c r="AE17" s="22" t="s">
        <v>76</v>
      </c>
      <c r="AG17" s="23"/>
      <c r="AH17" s="22"/>
      <c r="AL17" s="34"/>
      <c r="AP17" s="23" t="s">
        <v>74</v>
      </c>
      <c r="AR17" s="23" t="s">
        <v>125</v>
      </c>
      <c r="AV17" s="134" t="s">
        <v>309</v>
      </c>
      <c r="AX17" s="24"/>
      <c r="AY17" s="25"/>
      <c r="AZ17" s="25"/>
      <c r="BA17" s="26"/>
    </row>
    <row r="18" spans="1:53" x14ac:dyDescent="0.15">
      <c r="A18" s="127" t="s">
        <v>61</v>
      </c>
      <c r="B18" s="127" t="s">
        <v>234</v>
      </c>
      <c r="C18" s="127">
        <v>2019</v>
      </c>
      <c r="D18" s="128" t="s">
        <v>285</v>
      </c>
      <c r="E18" s="127" t="s">
        <v>290</v>
      </c>
      <c r="F18" s="127" t="s">
        <v>291</v>
      </c>
      <c r="G18" s="127" t="s">
        <v>42</v>
      </c>
      <c r="H18" s="53" t="s">
        <v>164</v>
      </c>
      <c r="I18" s="53" t="s">
        <v>159</v>
      </c>
      <c r="J18" s="127" t="s">
        <v>38</v>
      </c>
      <c r="K18" s="53" t="s">
        <v>161</v>
      </c>
      <c r="L18" s="53">
        <v>2</v>
      </c>
      <c r="N18" s="53">
        <v>1</v>
      </c>
      <c r="O18" s="53">
        <v>0.7</v>
      </c>
      <c r="P18" s="53">
        <v>0.5</v>
      </c>
      <c r="Q18" s="75">
        <f t="shared" si="0"/>
        <v>0.6</v>
      </c>
      <c r="R18" s="34">
        <v>12</v>
      </c>
      <c r="S18" s="53">
        <v>122</v>
      </c>
      <c r="T18" s="16">
        <f t="shared" si="1"/>
        <v>27</v>
      </c>
      <c r="U18" s="53">
        <v>98</v>
      </c>
      <c r="V18" s="129">
        <f t="shared" si="2"/>
        <v>2646</v>
      </c>
      <c r="W18" s="53">
        <v>6</v>
      </c>
      <c r="X18" s="127" t="s">
        <v>46</v>
      </c>
      <c r="Y18" s="53" t="s">
        <v>50</v>
      </c>
      <c r="Z18" s="53" t="s">
        <v>90</v>
      </c>
      <c r="AA18" s="53" t="s">
        <v>84</v>
      </c>
      <c r="AB18" s="127" t="s">
        <v>238</v>
      </c>
      <c r="AC18" s="34"/>
      <c r="AE18" s="22" t="s">
        <v>79</v>
      </c>
      <c r="AG18" s="23"/>
      <c r="AH18" s="23"/>
      <c r="AL18" s="34"/>
      <c r="AP18" s="23" t="s">
        <v>77</v>
      </c>
      <c r="AR18" s="23" t="s">
        <v>94</v>
      </c>
      <c r="AV18" s="134" t="s">
        <v>310</v>
      </c>
      <c r="AX18" s="31"/>
      <c r="AY18" s="32"/>
      <c r="AZ18" s="32"/>
      <c r="BA18" s="33"/>
    </row>
    <row r="19" spans="1:53" x14ac:dyDescent="0.15">
      <c r="A19" s="127" t="s">
        <v>61</v>
      </c>
      <c r="B19" s="127" t="s">
        <v>234</v>
      </c>
      <c r="C19" s="127">
        <v>2019</v>
      </c>
      <c r="D19" s="128" t="s">
        <v>285</v>
      </c>
      <c r="E19" s="127" t="s">
        <v>290</v>
      </c>
      <c r="F19" s="127" t="s">
        <v>291</v>
      </c>
      <c r="G19" s="127" t="s">
        <v>42</v>
      </c>
      <c r="H19" s="53" t="s">
        <v>164</v>
      </c>
      <c r="I19" s="53" t="s">
        <v>159</v>
      </c>
      <c r="J19" s="127" t="s">
        <v>38</v>
      </c>
      <c r="K19" s="53" t="s">
        <v>161</v>
      </c>
      <c r="L19" s="53">
        <v>3</v>
      </c>
      <c r="N19" s="53">
        <v>1</v>
      </c>
      <c r="O19" s="53">
        <v>0.7</v>
      </c>
      <c r="P19" s="53">
        <v>0.5</v>
      </c>
      <c r="Q19" s="75">
        <f t="shared" si="0"/>
        <v>0.6</v>
      </c>
      <c r="R19" s="53">
        <v>12</v>
      </c>
      <c r="S19" s="53">
        <v>128</v>
      </c>
      <c r="T19" s="16">
        <f t="shared" si="1"/>
        <v>27</v>
      </c>
      <c r="U19" s="53">
        <v>98</v>
      </c>
      <c r="V19" s="129">
        <f t="shared" si="2"/>
        <v>2646</v>
      </c>
      <c r="W19" s="53">
        <v>6</v>
      </c>
      <c r="X19" s="127" t="s">
        <v>46</v>
      </c>
      <c r="Y19" s="53" t="s">
        <v>50</v>
      </c>
      <c r="Z19" s="53" t="s">
        <v>90</v>
      </c>
      <c r="AA19" s="53" t="s">
        <v>84</v>
      </c>
      <c r="AB19" s="127" t="s">
        <v>238</v>
      </c>
      <c r="AC19" s="34"/>
      <c r="AE19" s="22" t="s">
        <v>82</v>
      </c>
      <c r="AG19" s="23"/>
      <c r="AH19" s="23"/>
      <c r="AP19" s="23" t="s">
        <v>80</v>
      </c>
      <c r="AR19" s="23" t="s">
        <v>63</v>
      </c>
      <c r="AV19" s="134" t="s">
        <v>311</v>
      </c>
    </row>
    <row r="20" spans="1:53" x14ac:dyDescent="0.15">
      <c r="A20" s="127" t="s">
        <v>61</v>
      </c>
      <c r="B20" s="127" t="s">
        <v>234</v>
      </c>
      <c r="C20" s="127">
        <v>2019</v>
      </c>
      <c r="D20" s="128" t="s">
        <v>285</v>
      </c>
      <c r="E20" s="127" t="s">
        <v>290</v>
      </c>
      <c r="F20" s="127" t="s">
        <v>291</v>
      </c>
      <c r="G20" s="127" t="s">
        <v>42</v>
      </c>
      <c r="H20" s="53" t="s">
        <v>160</v>
      </c>
      <c r="I20" s="53" t="s">
        <v>159</v>
      </c>
      <c r="J20" s="127" t="s">
        <v>38</v>
      </c>
      <c r="K20" s="53" t="s">
        <v>161</v>
      </c>
      <c r="L20" s="53">
        <v>1</v>
      </c>
      <c r="N20" s="53">
        <v>1</v>
      </c>
      <c r="O20" s="53">
        <v>0.5</v>
      </c>
      <c r="P20" s="53">
        <v>0.5</v>
      </c>
      <c r="Q20" s="75">
        <f t="shared" si="0"/>
        <v>0.5</v>
      </c>
      <c r="R20" s="53">
        <v>13.7</v>
      </c>
      <c r="S20" s="53">
        <v>133</v>
      </c>
      <c r="T20" s="16">
        <f t="shared" si="1"/>
        <v>25</v>
      </c>
      <c r="U20" s="53">
        <v>98</v>
      </c>
      <c r="V20" s="129">
        <f t="shared" si="2"/>
        <v>2450</v>
      </c>
      <c r="W20" s="53">
        <v>6</v>
      </c>
      <c r="X20" s="127" t="s">
        <v>46</v>
      </c>
      <c r="Y20" s="53" t="s">
        <v>50</v>
      </c>
      <c r="Z20" s="53" t="s">
        <v>90</v>
      </c>
      <c r="AA20" s="53" t="s">
        <v>84</v>
      </c>
      <c r="AB20" s="127" t="s">
        <v>238</v>
      </c>
      <c r="AC20" s="34"/>
      <c r="AE20" s="22" t="s">
        <v>85</v>
      </c>
      <c r="AP20" s="27" t="s">
        <v>110</v>
      </c>
      <c r="AR20" s="23" t="s">
        <v>96</v>
      </c>
      <c r="AV20" s="134" t="s">
        <v>257</v>
      </c>
    </row>
    <row r="21" spans="1:53" x14ac:dyDescent="0.15">
      <c r="A21" s="127" t="s">
        <v>61</v>
      </c>
      <c r="B21" s="127" t="s">
        <v>234</v>
      </c>
      <c r="C21" s="127">
        <v>2019</v>
      </c>
      <c r="D21" s="128" t="s">
        <v>285</v>
      </c>
      <c r="E21" s="127" t="s">
        <v>290</v>
      </c>
      <c r="F21" s="127" t="s">
        <v>291</v>
      </c>
      <c r="G21" s="127" t="s">
        <v>42</v>
      </c>
      <c r="H21" s="53" t="s">
        <v>160</v>
      </c>
      <c r="I21" s="53" t="s">
        <v>159</v>
      </c>
      <c r="J21" s="127" t="s">
        <v>38</v>
      </c>
      <c r="K21" s="53" t="s">
        <v>161</v>
      </c>
      <c r="L21" s="53">
        <v>2</v>
      </c>
      <c r="N21" s="53">
        <v>1</v>
      </c>
      <c r="O21" s="53">
        <v>0.5</v>
      </c>
      <c r="P21" s="53">
        <v>0.5</v>
      </c>
      <c r="Q21" s="75">
        <f t="shared" si="0"/>
        <v>0.5</v>
      </c>
      <c r="R21" s="34">
        <v>21</v>
      </c>
      <c r="S21" s="53">
        <v>133</v>
      </c>
      <c r="T21" s="16">
        <f t="shared" si="1"/>
        <v>25</v>
      </c>
      <c r="U21" s="53">
        <v>98</v>
      </c>
      <c r="V21" s="129">
        <f t="shared" si="2"/>
        <v>2450</v>
      </c>
      <c r="W21" s="53">
        <v>6</v>
      </c>
      <c r="X21" s="127" t="s">
        <v>46</v>
      </c>
      <c r="Y21" s="53" t="s">
        <v>50</v>
      </c>
      <c r="Z21" s="53" t="s">
        <v>90</v>
      </c>
      <c r="AA21" s="53" t="s">
        <v>84</v>
      </c>
      <c r="AB21" s="127" t="s">
        <v>238</v>
      </c>
      <c r="AC21" s="34"/>
      <c r="AE21" s="22" t="s">
        <v>87</v>
      </c>
      <c r="AP21" s="27" t="s">
        <v>111</v>
      </c>
      <c r="AR21" s="23" t="s">
        <v>101</v>
      </c>
      <c r="AV21" s="134" t="s">
        <v>135</v>
      </c>
    </row>
    <row r="22" spans="1:53" x14ac:dyDescent="0.15">
      <c r="A22" s="127" t="s">
        <v>61</v>
      </c>
      <c r="B22" s="127" t="s">
        <v>234</v>
      </c>
      <c r="C22" s="127">
        <v>2019</v>
      </c>
      <c r="D22" s="128" t="s">
        <v>285</v>
      </c>
      <c r="E22" s="127" t="s">
        <v>290</v>
      </c>
      <c r="F22" s="127" t="s">
        <v>291</v>
      </c>
      <c r="G22" s="127" t="s">
        <v>42</v>
      </c>
      <c r="H22" s="53" t="s">
        <v>160</v>
      </c>
      <c r="I22" s="53" t="s">
        <v>159</v>
      </c>
      <c r="J22" s="127" t="s">
        <v>38</v>
      </c>
      <c r="K22" s="53" t="s">
        <v>161</v>
      </c>
      <c r="L22" s="53">
        <v>3</v>
      </c>
      <c r="N22" s="53">
        <v>1</v>
      </c>
      <c r="O22" s="34">
        <v>0.5</v>
      </c>
      <c r="P22" s="53">
        <v>0.5</v>
      </c>
      <c r="Q22" s="75">
        <f t="shared" si="0"/>
        <v>0.5</v>
      </c>
      <c r="R22" s="53">
        <v>14.2</v>
      </c>
      <c r="S22" s="53">
        <v>128</v>
      </c>
      <c r="T22" s="16">
        <f t="shared" si="1"/>
        <v>27</v>
      </c>
      <c r="U22" s="53">
        <v>98</v>
      </c>
      <c r="V22" s="129">
        <f t="shared" si="2"/>
        <v>2646</v>
      </c>
      <c r="W22" s="53">
        <v>6</v>
      </c>
      <c r="X22" s="127" t="s">
        <v>46</v>
      </c>
      <c r="Y22" s="53" t="s">
        <v>50</v>
      </c>
      <c r="Z22" s="53" t="s">
        <v>90</v>
      </c>
      <c r="AA22" s="53" t="s">
        <v>84</v>
      </c>
      <c r="AB22" s="127" t="s">
        <v>238</v>
      </c>
      <c r="AC22" s="34"/>
      <c r="AE22" s="35" t="s">
        <v>89</v>
      </c>
      <c r="AP22" s="27" t="s">
        <v>112</v>
      </c>
      <c r="AR22" s="23" t="s">
        <v>126</v>
      </c>
      <c r="AV22" s="134" t="s">
        <v>312</v>
      </c>
    </row>
    <row r="23" spans="1:53" x14ac:dyDescent="0.15">
      <c r="A23" s="127" t="s">
        <v>61</v>
      </c>
      <c r="B23" s="127" t="s">
        <v>234</v>
      </c>
      <c r="C23" s="127">
        <v>2019</v>
      </c>
      <c r="D23" s="128" t="s">
        <v>285</v>
      </c>
      <c r="E23" s="127" t="s">
        <v>292</v>
      </c>
      <c r="F23" s="127" t="s">
        <v>293</v>
      </c>
      <c r="G23" s="127" t="s">
        <v>42</v>
      </c>
      <c r="H23" s="53" t="s">
        <v>164</v>
      </c>
      <c r="I23" s="53" t="s">
        <v>159</v>
      </c>
      <c r="J23" s="127" t="s">
        <v>38</v>
      </c>
      <c r="K23" s="53" t="s">
        <v>161</v>
      </c>
      <c r="L23" s="53">
        <v>1</v>
      </c>
      <c r="N23" s="53">
        <v>1</v>
      </c>
      <c r="O23" s="53">
        <v>0.7</v>
      </c>
      <c r="P23" s="53">
        <v>0.65</v>
      </c>
      <c r="Q23" s="75">
        <f t="shared" si="0"/>
        <v>0.67500000000000004</v>
      </c>
      <c r="R23" s="53">
        <v>18.899999999999999</v>
      </c>
      <c r="S23" s="53">
        <v>131</v>
      </c>
      <c r="T23" s="16">
        <f t="shared" si="1"/>
        <v>25</v>
      </c>
      <c r="U23" s="53">
        <v>128</v>
      </c>
      <c r="V23" s="129">
        <f t="shared" si="2"/>
        <v>3200</v>
      </c>
      <c r="W23" s="53">
        <v>10</v>
      </c>
      <c r="X23" s="127" t="s">
        <v>46</v>
      </c>
      <c r="Y23" s="53" t="s">
        <v>313</v>
      </c>
      <c r="Z23" s="53" t="s">
        <v>50</v>
      </c>
      <c r="AA23" s="53" t="s">
        <v>84</v>
      </c>
      <c r="AB23" s="127" t="s">
        <v>238</v>
      </c>
      <c r="AC23" s="34"/>
      <c r="AE23" s="22"/>
      <c r="AP23" s="27" t="s">
        <v>113</v>
      </c>
      <c r="AR23" s="23" t="s">
        <v>105</v>
      </c>
      <c r="AV23" s="134" t="s">
        <v>298</v>
      </c>
    </row>
    <row r="24" spans="1:53" x14ac:dyDescent="0.15">
      <c r="A24" s="127" t="s">
        <v>61</v>
      </c>
      <c r="B24" s="127" t="s">
        <v>234</v>
      </c>
      <c r="C24" s="127">
        <v>2019</v>
      </c>
      <c r="D24" s="128" t="s">
        <v>285</v>
      </c>
      <c r="E24" s="127" t="s">
        <v>292</v>
      </c>
      <c r="F24" s="127" t="s">
        <v>293</v>
      </c>
      <c r="G24" s="127" t="s">
        <v>42</v>
      </c>
      <c r="H24" s="53" t="s">
        <v>164</v>
      </c>
      <c r="I24" s="53" t="s">
        <v>159</v>
      </c>
      <c r="J24" s="127" t="s">
        <v>38</v>
      </c>
      <c r="K24" s="53" t="s">
        <v>161</v>
      </c>
      <c r="L24" s="53">
        <v>2</v>
      </c>
      <c r="N24" s="53">
        <v>1</v>
      </c>
      <c r="O24" s="53">
        <v>0.5</v>
      </c>
      <c r="P24" s="53">
        <v>0.55000000000000004</v>
      </c>
      <c r="Q24" s="75">
        <f t="shared" si="0"/>
        <v>0.52500000000000002</v>
      </c>
      <c r="R24" s="53">
        <v>17</v>
      </c>
      <c r="S24" s="53">
        <v>128</v>
      </c>
      <c r="T24" s="16">
        <f t="shared" si="1"/>
        <v>27</v>
      </c>
      <c r="U24" s="53">
        <v>128</v>
      </c>
      <c r="V24" s="129">
        <f t="shared" si="2"/>
        <v>3456</v>
      </c>
      <c r="W24" s="53">
        <v>10</v>
      </c>
      <c r="X24" s="127" t="s">
        <v>46</v>
      </c>
      <c r="Y24" s="53" t="s">
        <v>313</v>
      </c>
      <c r="Z24" s="53" t="s">
        <v>50</v>
      </c>
      <c r="AA24" s="53" t="s">
        <v>84</v>
      </c>
      <c r="AB24" s="127" t="s">
        <v>238</v>
      </c>
      <c r="AC24" s="34"/>
      <c r="AE24" s="22"/>
      <c r="AP24" s="27" t="s">
        <v>114</v>
      </c>
      <c r="AR24" s="23" t="s">
        <v>68</v>
      </c>
      <c r="AV24" s="134" t="s">
        <v>299</v>
      </c>
    </row>
    <row r="25" spans="1:53" x14ac:dyDescent="0.15">
      <c r="A25" s="127" t="s">
        <v>61</v>
      </c>
      <c r="B25" s="127" t="s">
        <v>234</v>
      </c>
      <c r="C25" s="127">
        <v>2019</v>
      </c>
      <c r="D25" s="128" t="s">
        <v>285</v>
      </c>
      <c r="E25" s="127" t="s">
        <v>292</v>
      </c>
      <c r="F25" s="127" t="s">
        <v>293</v>
      </c>
      <c r="G25" s="127" t="s">
        <v>42</v>
      </c>
      <c r="H25" s="53" t="s">
        <v>164</v>
      </c>
      <c r="I25" s="53" t="s">
        <v>159</v>
      </c>
      <c r="J25" s="127" t="s">
        <v>38</v>
      </c>
      <c r="K25" s="53" t="s">
        <v>161</v>
      </c>
      <c r="L25" s="53">
        <v>3</v>
      </c>
      <c r="N25" s="53">
        <v>1</v>
      </c>
      <c r="O25" s="53">
        <v>0.6</v>
      </c>
      <c r="P25" s="53">
        <v>0.5</v>
      </c>
      <c r="Q25" s="75">
        <f t="shared" si="0"/>
        <v>0.55000000000000004</v>
      </c>
      <c r="R25" s="53">
        <v>14</v>
      </c>
      <c r="S25" s="53">
        <v>129</v>
      </c>
      <c r="T25" s="16">
        <f t="shared" si="1"/>
        <v>25</v>
      </c>
      <c r="U25" s="53">
        <v>128</v>
      </c>
      <c r="V25" s="129">
        <f t="shared" si="2"/>
        <v>3200</v>
      </c>
      <c r="W25" s="53">
        <v>10</v>
      </c>
      <c r="X25" s="127" t="s">
        <v>46</v>
      </c>
      <c r="Y25" s="53" t="s">
        <v>313</v>
      </c>
      <c r="Z25" s="53" t="s">
        <v>50</v>
      </c>
      <c r="AA25" s="53" t="s">
        <v>84</v>
      </c>
      <c r="AB25" s="127" t="s">
        <v>238</v>
      </c>
      <c r="AC25" s="34"/>
      <c r="AE25" s="35"/>
      <c r="AP25" s="27" t="s">
        <v>115</v>
      </c>
      <c r="AR25" s="23" t="s">
        <v>83</v>
      </c>
      <c r="AV25" s="23"/>
    </row>
    <row r="26" spans="1:53" x14ac:dyDescent="0.15">
      <c r="A26" s="127" t="s">
        <v>61</v>
      </c>
      <c r="B26" s="127" t="s">
        <v>234</v>
      </c>
      <c r="C26" s="127">
        <v>2019</v>
      </c>
      <c r="D26" s="128" t="s">
        <v>285</v>
      </c>
      <c r="E26" s="127" t="s">
        <v>292</v>
      </c>
      <c r="F26" s="127" t="s">
        <v>293</v>
      </c>
      <c r="G26" s="127" t="s">
        <v>42</v>
      </c>
      <c r="H26" s="53" t="s">
        <v>160</v>
      </c>
      <c r="I26" s="53" t="s">
        <v>159</v>
      </c>
      <c r="J26" s="127" t="s">
        <v>38</v>
      </c>
      <c r="K26" s="53" t="s">
        <v>161</v>
      </c>
      <c r="L26" s="53">
        <v>1</v>
      </c>
      <c r="N26" s="53">
        <v>4</v>
      </c>
      <c r="O26" s="53">
        <v>0.7</v>
      </c>
      <c r="P26" s="53">
        <v>0.5</v>
      </c>
      <c r="Q26" s="75">
        <f>IF(OR(O26="",P26=""),"",AVERAGE(O26,P26))</f>
        <v>0.6</v>
      </c>
      <c r="R26" s="53">
        <v>14.1</v>
      </c>
      <c r="S26" s="53">
        <v>99</v>
      </c>
      <c r="T26" s="16">
        <f>IF(H26="","",IF(OR(H26="GREEN",H26="GK"),IF(S26&gt;=$AX$2,VLOOKUP(S26,$AX$2:$AY$18,2,1),""),IF(S26&gt;=$AZ$2,VLOOKUP(S26,$AZ$2:$BA$18,2,1),"")))</f>
        <v>33</v>
      </c>
      <c r="U26" s="53">
        <v>398</v>
      </c>
      <c r="V26" s="129">
        <f>IF(OR(N26="",U26="",T26=""),"",U26/N26*T26)</f>
        <v>3283.5</v>
      </c>
      <c r="W26" s="53">
        <v>10</v>
      </c>
      <c r="X26" s="127" t="s">
        <v>46</v>
      </c>
      <c r="Y26" s="53" t="s">
        <v>313</v>
      </c>
      <c r="Z26" s="53" t="s">
        <v>50</v>
      </c>
      <c r="AA26" s="53" t="s">
        <v>84</v>
      </c>
      <c r="AB26" s="127" t="s">
        <v>238</v>
      </c>
      <c r="AC26" s="34"/>
      <c r="AE26" s="22"/>
      <c r="AP26" s="27" t="s">
        <v>137</v>
      </c>
      <c r="AR26" s="23" t="s">
        <v>61</v>
      </c>
    </row>
    <row r="27" spans="1:53" x14ac:dyDescent="0.15">
      <c r="A27" s="127" t="s">
        <v>61</v>
      </c>
      <c r="B27" s="127" t="s">
        <v>234</v>
      </c>
      <c r="C27" s="127">
        <v>2019</v>
      </c>
      <c r="D27" s="128" t="s">
        <v>285</v>
      </c>
      <c r="E27" s="127" t="s">
        <v>292</v>
      </c>
      <c r="F27" s="127" t="s">
        <v>293</v>
      </c>
      <c r="G27" s="127" t="s">
        <v>42</v>
      </c>
      <c r="H27" s="53" t="s">
        <v>160</v>
      </c>
      <c r="I27" s="53" t="s">
        <v>159</v>
      </c>
      <c r="J27" s="127" t="s">
        <v>38</v>
      </c>
      <c r="K27" s="53" t="s">
        <v>161</v>
      </c>
      <c r="L27" s="53">
        <v>2</v>
      </c>
      <c r="N27" s="53">
        <v>4</v>
      </c>
      <c r="O27" s="53">
        <v>0.6</v>
      </c>
      <c r="P27" s="53">
        <v>0.5</v>
      </c>
      <c r="Q27" s="75">
        <f>IF(OR(O27="",P27=""),"",AVERAGE(O27,P27))</f>
        <v>0.55000000000000004</v>
      </c>
      <c r="R27" s="53">
        <v>14.5</v>
      </c>
      <c r="S27" s="53">
        <v>105</v>
      </c>
      <c r="T27" s="16">
        <f>IF(H27="","",IF(OR(H27="GREEN",H27="GK"),IF(S27&gt;=$AX$2,VLOOKUP(S27,$AX$2:$AY$18,2,1),""),IF(S27&gt;=$AZ$2,VLOOKUP(S27,$AZ$2:$BA$18,2,1),"")))</f>
        <v>33</v>
      </c>
      <c r="U27" s="53">
        <v>398</v>
      </c>
      <c r="V27" s="129">
        <f>IF(OR(N27="",U27="",T27=""),"",U27/N27*T27)</f>
        <v>3283.5</v>
      </c>
      <c r="W27" s="53">
        <v>10</v>
      </c>
      <c r="X27" s="127" t="s">
        <v>46</v>
      </c>
      <c r="Y27" s="53" t="s">
        <v>313</v>
      </c>
      <c r="Z27" s="53" t="s">
        <v>50</v>
      </c>
      <c r="AA27" s="53" t="s">
        <v>84</v>
      </c>
      <c r="AB27" s="127" t="s">
        <v>238</v>
      </c>
      <c r="AC27" s="34"/>
      <c r="AE27" s="22"/>
      <c r="AP27" s="27" t="s">
        <v>138</v>
      </c>
      <c r="AR27" s="23" t="s">
        <v>91</v>
      </c>
    </row>
    <row r="28" spans="1:53" x14ac:dyDescent="0.15">
      <c r="A28" s="127" t="s">
        <v>61</v>
      </c>
      <c r="B28" s="127" t="s">
        <v>234</v>
      </c>
      <c r="C28" s="127">
        <v>2019</v>
      </c>
      <c r="D28" s="128" t="s">
        <v>285</v>
      </c>
      <c r="E28" s="127" t="s">
        <v>292</v>
      </c>
      <c r="F28" s="127" t="s">
        <v>293</v>
      </c>
      <c r="G28" s="127" t="s">
        <v>42</v>
      </c>
      <c r="H28" s="53" t="s">
        <v>160</v>
      </c>
      <c r="I28" s="53" t="s">
        <v>159</v>
      </c>
      <c r="J28" s="127" t="s">
        <v>38</v>
      </c>
      <c r="K28" s="53" t="s">
        <v>161</v>
      </c>
      <c r="L28" s="53">
        <v>3</v>
      </c>
      <c r="N28" s="53">
        <v>4</v>
      </c>
      <c r="O28" s="34">
        <v>0.5</v>
      </c>
      <c r="P28" s="53">
        <v>0.5</v>
      </c>
      <c r="Q28" s="75">
        <f>IF(OR(O28="",P28=""),"",AVERAGE(O28,P28))</f>
        <v>0.5</v>
      </c>
      <c r="R28" s="53">
        <v>13.8</v>
      </c>
      <c r="S28" s="53">
        <v>100</v>
      </c>
      <c r="T28" s="16">
        <f>IF(H28="","",IF(OR(H28="GREEN",H28="GK"),IF(S28&gt;=$AX$2,VLOOKUP(S28,$AX$2:$AY$18,2,1),""),IF(S28&gt;=$AZ$2,VLOOKUP(S28,$AZ$2:$BA$18,2,1),"")))</f>
        <v>33</v>
      </c>
      <c r="U28" s="53">
        <v>398</v>
      </c>
      <c r="V28" s="129">
        <f>IF(OR(N28="",U28="",T28=""),"",U28/N28*T28)</f>
        <v>3283.5</v>
      </c>
      <c r="W28" s="53">
        <v>10</v>
      </c>
      <c r="X28" s="127" t="s">
        <v>46</v>
      </c>
      <c r="Y28" s="53" t="s">
        <v>313</v>
      </c>
      <c r="Z28" s="53" t="s">
        <v>50</v>
      </c>
      <c r="AA28" s="53" t="s">
        <v>84</v>
      </c>
      <c r="AB28" s="127" t="s">
        <v>238</v>
      </c>
      <c r="AC28" s="34"/>
      <c r="AE28" s="35"/>
      <c r="AP28" s="27" t="s">
        <v>116</v>
      </c>
      <c r="AR28" s="27" t="s">
        <v>92</v>
      </c>
    </row>
    <row r="29" spans="1:53" x14ac:dyDescent="0.15">
      <c r="A29" s="127" t="s">
        <v>61</v>
      </c>
      <c r="B29" s="127" t="s">
        <v>234</v>
      </c>
      <c r="C29" s="127">
        <v>2019</v>
      </c>
      <c r="D29" s="128" t="s">
        <v>285</v>
      </c>
      <c r="E29" s="127" t="s">
        <v>292</v>
      </c>
      <c r="F29" s="127" t="s">
        <v>293</v>
      </c>
      <c r="G29" s="127" t="s">
        <v>42</v>
      </c>
      <c r="H29" s="53" t="s">
        <v>164</v>
      </c>
      <c r="I29" s="53" t="s">
        <v>165</v>
      </c>
      <c r="J29" s="127" t="s">
        <v>38</v>
      </c>
      <c r="K29" s="53" t="s">
        <v>161</v>
      </c>
      <c r="L29" s="53">
        <v>1</v>
      </c>
      <c r="N29" s="53">
        <v>5</v>
      </c>
      <c r="O29" s="53">
        <v>0.75</v>
      </c>
      <c r="P29" s="53">
        <v>0.75</v>
      </c>
      <c r="Q29" s="75">
        <f t="shared" ref="Q29:Q76" si="3">IF(OR(O29="",P29=""),"",AVERAGE(O29,P29))</f>
        <v>0.75</v>
      </c>
      <c r="R29" s="53">
        <v>17.5</v>
      </c>
      <c r="S29" s="53">
        <v>78</v>
      </c>
      <c r="T29" s="16">
        <f t="shared" ref="T29:T76" si="4">IF(H29="","",IF(OR(H29="GREEN",H29="GK"),IF(S29&gt;=$AX$2,VLOOKUP(S29,$AX$2:$AY$18,2,1),""),IF(S29&gt;=$AZ$2,VLOOKUP(S29,$AZ$2:$BA$18,2,1),"")))</f>
        <v>39</v>
      </c>
      <c r="U29" s="53">
        <v>398</v>
      </c>
      <c r="V29" s="129">
        <f t="shared" ref="V29:V76" si="5">IF(OR(N29="",U29="",T29=""),"",U29/N29*T29)</f>
        <v>3104.3999999999996</v>
      </c>
      <c r="W29" s="53">
        <v>10</v>
      </c>
      <c r="X29" s="127" t="s">
        <v>46</v>
      </c>
      <c r="Y29" s="53" t="s">
        <v>313</v>
      </c>
      <c r="Z29" s="53" t="s">
        <v>50</v>
      </c>
      <c r="AA29" s="53" t="s">
        <v>84</v>
      </c>
      <c r="AB29" s="127" t="s">
        <v>238</v>
      </c>
      <c r="AC29" s="34"/>
      <c r="AE29" s="22"/>
      <c r="AP29" s="27" t="s">
        <v>113</v>
      </c>
      <c r="AR29" s="23" t="s">
        <v>105</v>
      </c>
      <c r="AV29" s="134" t="s">
        <v>298</v>
      </c>
    </row>
    <row r="30" spans="1:53" x14ac:dyDescent="0.15">
      <c r="A30" s="127" t="s">
        <v>61</v>
      </c>
      <c r="B30" s="127" t="s">
        <v>234</v>
      </c>
      <c r="C30" s="127">
        <v>2019</v>
      </c>
      <c r="D30" s="128" t="s">
        <v>285</v>
      </c>
      <c r="E30" s="127" t="s">
        <v>292</v>
      </c>
      <c r="F30" s="127" t="s">
        <v>293</v>
      </c>
      <c r="G30" s="127" t="s">
        <v>42</v>
      </c>
      <c r="H30" s="53" t="s">
        <v>164</v>
      </c>
      <c r="I30" s="53" t="s">
        <v>165</v>
      </c>
      <c r="J30" s="127" t="s">
        <v>38</v>
      </c>
      <c r="K30" s="53" t="s">
        <v>161</v>
      </c>
      <c r="L30" s="53">
        <v>2</v>
      </c>
      <c r="N30" s="53">
        <v>5</v>
      </c>
      <c r="O30" s="53">
        <v>0.8</v>
      </c>
      <c r="P30" s="53">
        <v>0.7</v>
      </c>
      <c r="Q30" s="75">
        <f t="shared" si="3"/>
        <v>0.75</v>
      </c>
      <c r="R30" s="53">
        <v>14.5</v>
      </c>
      <c r="S30" s="53">
        <v>77</v>
      </c>
      <c r="T30" s="16">
        <f t="shared" si="4"/>
        <v>39</v>
      </c>
      <c r="U30" s="53">
        <v>398</v>
      </c>
      <c r="V30" s="129">
        <f t="shared" si="5"/>
        <v>3104.3999999999996</v>
      </c>
      <c r="W30" s="53">
        <v>10</v>
      </c>
      <c r="X30" s="127" t="s">
        <v>46</v>
      </c>
      <c r="Y30" s="53" t="s">
        <v>313</v>
      </c>
      <c r="Z30" s="53" t="s">
        <v>50</v>
      </c>
      <c r="AA30" s="53" t="s">
        <v>84</v>
      </c>
      <c r="AB30" s="127" t="s">
        <v>238</v>
      </c>
      <c r="AC30" s="34"/>
      <c r="AE30" s="22"/>
      <c r="AP30" s="27" t="s">
        <v>114</v>
      </c>
      <c r="AR30" s="23" t="s">
        <v>68</v>
      </c>
      <c r="AV30" s="134" t="s">
        <v>299</v>
      </c>
    </row>
    <row r="31" spans="1:53" x14ac:dyDescent="0.15">
      <c r="A31" s="127" t="s">
        <v>61</v>
      </c>
      <c r="B31" s="127" t="s">
        <v>234</v>
      </c>
      <c r="C31" s="127">
        <v>2019</v>
      </c>
      <c r="D31" s="128" t="s">
        <v>285</v>
      </c>
      <c r="E31" s="127" t="s">
        <v>292</v>
      </c>
      <c r="F31" s="127" t="s">
        <v>293</v>
      </c>
      <c r="G31" s="127" t="s">
        <v>42</v>
      </c>
      <c r="H31" s="53" t="s">
        <v>164</v>
      </c>
      <c r="I31" s="53" t="s">
        <v>165</v>
      </c>
      <c r="J31" s="127" t="s">
        <v>38</v>
      </c>
      <c r="K31" s="53" t="s">
        <v>161</v>
      </c>
      <c r="L31" s="53">
        <v>3</v>
      </c>
      <c r="N31" s="53">
        <v>5</v>
      </c>
      <c r="O31" s="53">
        <v>0.7</v>
      </c>
      <c r="P31" s="53">
        <v>0.75</v>
      </c>
      <c r="Q31" s="75">
        <f t="shared" si="3"/>
        <v>0.72499999999999998</v>
      </c>
      <c r="R31" s="53">
        <v>13.7</v>
      </c>
      <c r="S31" s="53">
        <v>73</v>
      </c>
      <c r="T31" s="16">
        <f t="shared" si="4"/>
        <v>42</v>
      </c>
      <c r="U31" s="53">
        <v>398</v>
      </c>
      <c r="V31" s="129">
        <f t="shared" si="5"/>
        <v>3343.2</v>
      </c>
      <c r="W31" s="53">
        <v>10</v>
      </c>
      <c r="X31" s="127" t="s">
        <v>46</v>
      </c>
      <c r="Y31" s="53" t="s">
        <v>313</v>
      </c>
      <c r="Z31" s="53" t="s">
        <v>50</v>
      </c>
      <c r="AA31" s="53" t="s">
        <v>84</v>
      </c>
      <c r="AB31" s="127" t="s">
        <v>238</v>
      </c>
      <c r="AC31" s="34"/>
      <c r="AE31" s="35"/>
      <c r="AP31" s="27" t="s">
        <v>115</v>
      </c>
      <c r="AR31" s="23" t="s">
        <v>83</v>
      </c>
      <c r="AV31" s="23"/>
    </row>
    <row r="32" spans="1:53" x14ac:dyDescent="0.15">
      <c r="A32" s="127" t="s">
        <v>61</v>
      </c>
      <c r="B32" s="127" t="s">
        <v>234</v>
      </c>
      <c r="C32" s="127">
        <v>2019</v>
      </c>
      <c r="D32" s="128" t="s">
        <v>285</v>
      </c>
      <c r="E32" s="127" t="s">
        <v>294</v>
      </c>
      <c r="F32" s="127" t="s">
        <v>295</v>
      </c>
      <c r="G32" s="127" t="s">
        <v>42</v>
      </c>
      <c r="H32" s="53" t="s">
        <v>164</v>
      </c>
      <c r="I32" s="53" t="s">
        <v>165</v>
      </c>
      <c r="J32" s="127" t="s">
        <v>38</v>
      </c>
      <c r="K32" s="53" t="s">
        <v>161</v>
      </c>
      <c r="L32" s="53">
        <v>1</v>
      </c>
      <c r="N32" s="53">
        <v>1</v>
      </c>
      <c r="O32" s="34">
        <v>0.8</v>
      </c>
      <c r="P32" s="53">
        <v>0.9</v>
      </c>
      <c r="Q32" s="75">
        <f t="shared" si="3"/>
        <v>0.85000000000000009</v>
      </c>
      <c r="R32" s="53">
        <v>17.8</v>
      </c>
      <c r="S32" s="53">
        <v>120</v>
      </c>
      <c r="T32" s="16">
        <f t="shared" si="4"/>
        <v>30</v>
      </c>
      <c r="U32" s="53">
        <v>100</v>
      </c>
      <c r="V32" s="129">
        <f t="shared" si="5"/>
        <v>3000</v>
      </c>
      <c r="W32" s="53">
        <v>6</v>
      </c>
      <c r="X32" s="127" t="s">
        <v>39</v>
      </c>
      <c r="Y32" s="53" t="s">
        <v>90</v>
      </c>
      <c r="Z32" s="53" t="s">
        <v>84</v>
      </c>
      <c r="AA32" s="53" t="s">
        <v>50</v>
      </c>
      <c r="AB32" s="127" t="s">
        <v>238</v>
      </c>
      <c r="AC32" s="34"/>
      <c r="AD32" s="34"/>
      <c r="AE32" s="35"/>
      <c r="AP32" s="27" t="s">
        <v>117</v>
      </c>
      <c r="AR32" s="23" t="s">
        <v>153</v>
      </c>
    </row>
    <row r="33" spans="1:48" x14ac:dyDescent="0.15">
      <c r="A33" s="127" t="s">
        <v>61</v>
      </c>
      <c r="B33" s="127" t="s">
        <v>234</v>
      </c>
      <c r="C33" s="127">
        <v>2019</v>
      </c>
      <c r="D33" s="128" t="s">
        <v>285</v>
      </c>
      <c r="E33" s="127" t="s">
        <v>294</v>
      </c>
      <c r="F33" s="127" t="s">
        <v>295</v>
      </c>
      <c r="G33" s="127" t="s">
        <v>42</v>
      </c>
      <c r="H33" s="53" t="s">
        <v>164</v>
      </c>
      <c r="I33" s="53" t="s">
        <v>165</v>
      </c>
      <c r="J33" s="127" t="s">
        <v>38</v>
      </c>
      <c r="K33" s="53" t="s">
        <v>161</v>
      </c>
      <c r="L33" s="53">
        <v>2</v>
      </c>
      <c r="N33" s="53">
        <v>1</v>
      </c>
      <c r="O33" s="34">
        <v>0.8</v>
      </c>
      <c r="P33" s="53">
        <v>0.9</v>
      </c>
      <c r="Q33" s="75">
        <f t="shared" si="3"/>
        <v>0.85000000000000009</v>
      </c>
      <c r="R33" s="53">
        <v>14.8</v>
      </c>
      <c r="S33" s="53">
        <v>115</v>
      </c>
      <c r="T33" s="16">
        <f t="shared" si="4"/>
        <v>30</v>
      </c>
      <c r="U33" s="53">
        <v>100</v>
      </c>
      <c r="V33" s="129">
        <f t="shared" si="5"/>
        <v>3000</v>
      </c>
      <c r="W33" s="53">
        <v>6</v>
      </c>
      <c r="X33" s="127" t="s">
        <v>39</v>
      </c>
      <c r="Y33" s="53" t="s">
        <v>90</v>
      </c>
      <c r="Z33" s="53" t="s">
        <v>84</v>
      </c>
      <c r="AA33" s="53" t="s">
        <v>50</v>
      </c>
      <c r="AB33" s="127" t="s">
        <v>238</v>
      </c>
      <c r="AC33" s="34"/>
      <c r="AD33" s="34"/>
      <c r="AE33" s="28"/>
      <c r="AP33" s="27" t="s">
        <v>118</v>
      </c>
      <c r="AR33" s="23"/>
    </row>
    <row r="34" spans="1:48" x14ac:dyDescent="0.15">
      <c r="A34" s="127" t="s">
        <v>61</v>
      </c>
      <c r="B34" s="127" t="s">
        <v>234</v>
      </c>
      <c r="C34" s="127">
        <v>2019</v>
      </c>
      <c r="D34" s="128" t="s">
        <v>285</v>
      </c>
      <c r="E34" s="127" t="s">
        <v>294</v>
      </c>
      <c r="F34" s="127" t="s">
        <v>295</v>
      </c>
      <c r="G34" s="127" t="s">
        <v>42</v>
      </c>
      <c r="H34" s="53" t="s">
        <v>164</v>
      </c>
      <c r="I34" s="53" t="s">
        <v>165</v>
      </c>
      <c r="J34" s="127" t="s">
        <v>38</v>
      </c>
      <c r="K34" s="53" t="s">
        <v>161</v>
      </c>
      <c r="L34" s="53">
        <v>3</v>
      </c>
      <c r="N34" s="53">
        <v>1</v>
      </c>
      <c r="O34" s="34">
        <v>0.95</v>
      </c>
      <c r="P34" s="53">
        <v>0.95</v>
      </c>
      <c r="Q34" s="75">
        <f t="shared" si="3"/>
        <v>0.95</v>
      </c>
      <c r="R34" s="53">
        <v>11.2</v>
      </c>
      <c r="S34" s="53">
        <v>119</v>
      </c>
      <c r="T34" s="16">
        <f t="shared" si="4"/>
        <v>30</v>
      </c>
      <c r="U34" s="53">
        <v>100</v>
      </c>
      <c r="V34" s="129">
        <f t="shared" si="5"/>
        <v>3000</v>
      </c>
      <c r="W34" s="53">
        <v>6</v>
      </c>
      <c r="X34" s="127" t="s">
        <v>39</v>
      </c>
      <c r="Y34" s="53" t="s">
        <v>90</v>
      </c>
      <c r="Z34" s="53" t="s">
        <v>84</v>
      </c>
      <c r="AA34" s="53" t="s">
        <v>50</v>
      </c>
      <c r="AB34" s="127" t="s">
        <v>238</v>
      </c>
      <c r="AC34" s="34"/>
      <c r="AD34" s="34"/>
      <c r="AP34" s="27"/>
      <c r="AR34" s="23"/>
    </row>
    <row r="35" spans="1:48" x14ac:dyDescent="0.15">
      <c r="A35" s="127" t="s">
        <v>61</v>
      </c>
      <c r="B35" s="127" t="s">
        <v>234</v>
      </c>
      <c r="C35" s="127">
        <v>2019</v>
      </c>
      <c r="D35" s="128" t="s">
        <v>285</v>
      </c>
      <c r="E35" s="127" t="s">
        <v>294</v>
      </c>
      <c r="F35" s="127" t="s">
        <v>295</v>
      </c>
      <c r="G35" s="127" t="s">
        <v>42</v>
      </c>
      <c r="H35" s="53" t="s">
        <v>127</v>
      </c>
      <c r="I35" s="53" t="s">
        <v>159</v>
      </c>
      <c r="J35" s="127" t="s">
        <v>58</v>
      </c>
      <c r="K35" s="53" t="s">
        <v>59</v>
      </c>
      <c r="L35" s="53">
        <v>1</v>
      </c>
      <c r="N35" s="53">
        <v>2</v>
      </c>
      <c r="O35" s="53">
        <v>0.5</v>
      </c>
      <c r="P35" s="53">
        <v>0.5</v>
      </c>
      <c r="Q35" s="75">
        <f t="shared" si="3"/>
        <v>0.5</v>
      </c>
      <c r="R35" s="53">
        <v>11.5</v>
      </c>
      <c r="S35" s="53">
        <v>144</v>
      </c>
      <c r="T35" s="16">
        <f t="shared" si="4"/>
        <v>22</v>
      </c>
      <c r="U35" s="53">
        <v>398</v>
      </c>
      <c r="V35" s="129">
        <f t="shared" si="5"/>
        <v>4378</v>
      </c>
      <c r="W35" s="53">
        <v>6</v>
      </c>
      <c r="X35" s="127" t="s">
        <v>39</v>
      </c>
      <c r="Y35" s="53" t="s">
        <v>90</v>
      </c>
      <c r="Z35" s="53" t="s">
        <v>84</v>
      </c>
      <c r="AA35" s="53" t="s">
        <v>50</v>
      </c>
      <c r="AB35" s="127" t="s">
        <v>238</v>
      </c>
      <c r="AC35" s="34"/>
      <c r="AE35" s="22"/>
      <c r="AP35" s="27" t="s">
        <v>113</v>
      </c>
      <c r="AR35" s="23" t="s">
        <v>105</v>
      </c>
      <c r="AV35" s="134" t="s">
        <v>298</v>
      </c>
    </row>
    <row r="36" spans="1:48" x14ac:dyDescent="0.15">
      <c r="A36" s="127" t="s">
        <v>61</v>
      </c>
      <c r="B36" s="127" t="s">
        <v>234</v>
      </c>
      <c r="C36" s="127">
        <v>2019</v>
      </c>
      <c r="D36" s="128" t="s">
        <v>285</v>
      </c>
      <c r="E36" s="127" t="s">
        <v>294</v>
      </c>
      <c r="F36" s="127" t="s">
        <v>295</v>
      </c>
      <c r="G36" s="127" t="s">
        <v>42</v>
      </c>
      <c r="H36" s="53" t="s">
        <v>127</v>
      </c>
      <c r="I36" s="53" t="s">
        <v>159</v>
      </c>
      <c r="J36" s="127" t="s">
        <v>58</v>
      </c>
      <c r="K36" s="53" t="s">
        <v>59</v>
      </c>
      <c r="L36" s="53">
        <v>2</v>
      </c>
      <c r="N36" s="53">
        <v>2</v>
      </c>
      <c r="O36" s="53">
        <v>0.5</v>
      </c>
      <c r="P36" s="53">
        <v>0.5</v>
      </c>
      <c r="Q36" s="75">
        <f t="shared" si="3"/>
        <v>0.5</v>
      </c>
      <c r="R36" s="53">
        <v>12.2</v>
      </c>
      <c r="S36" s="53">
        <v>152</v>
      </c>
      <c r="T36" s="16">
        <f t="shared" si="4"/>
        <v>18</v>
      </c>
      <c r="U36" s="53">
        <v>398</v>
      </c>
      <c r="V36" s="129">
        <f t="shared" si="5"/>
        <v>3582</v>
      </c>
      <c r="W36" s="53">
        <v>6</v>
      </c>
      <c r="X36" s="127" t="s">
        <v>39</v>
      </c>
      <c r="Y36" s="53" t="s">
        <v>90</v>
      </c>
      <c r="Z36" s="53" t="s">
        <v>84</v>
      </c>
      <c r="AA36" s="53" t="s">
        <v>50</v>
      </c>
      <c r="AB36" s="127" t="s">
        <v>238</v>
      </c>
      <c r="AC36" s="34"/>
      <c r="AE36" s="22"/>
      <c r="AP36" s="27" t="s">
        <v>114</v>
      </c>
      <c r="AR36" s="23" t="s">
        <v>68</v>
      </c>
      <c r="AV36" s="134" t="s">
        <v>299</v>
      </c>
    </row>
    <row r="37" spans="1:48" x14ac:dyDescent="0.15">
      <c r="A37" s="127" t="s">
        <v>61</v>
      </c>
      <c r="B37" s="127" t="s">
        <v>234</v>
      </c>
      <c r="C37" s="127">
        <v>2019</v>
      </c>
      <c r="D37" s="128" t="s">
        <v>285</v>
      </c>
      <c r="E37" s="127" t="s">
        <v>294</v>
      </c>
      <c r="F37" s="127" t="s">
        <v>295</v>
      </c>
      <c r="G37" s="127" t="s">
        <v>42</v>
      </c>
      <c r="H37" s="53" t="s">
        <v>127</v>
      </c>
      <c r="I37" s="53" t="s">
        <v>159</v>
      </c>
      <c r="J37" s="127" t="s">
        <v>58</v>
      </c>
      <c r="K37" s="53" t="s">
        <v>59</v>
      </c>
      <c r="L37" s="53">
        <v>3</v>
      </c>
      <c r="N37" s="53">
        <v>2</v>
      </c>
      <c r="O37" s="53">
        <v>0.5</v>
      </c>
      <c r="P37" s="53">
        <v>0.5</v>
      </c>
      <c r="Q37" s="75">
        <f t="shared" si="3"/>
        <v>0.5</v>
      </c>
      <c r="R37" s="53">
        <v>12</v>
      </c>
      <c r="S37" s="53">
        <v>151</v>
      </c>
      <c r="T37" s="16">
        <f t="shared" si="4"/>
        <v>22</v>
      </c>
      <c r="U37" s="53">
        <v>398</v>
      </c>
      <c r="V37" s="129">
        <f t="shared" si="5"/>
        <v>4378</v>
      </c>
      <c r="W37" s="53">
        <v>6</v>
      </c>
      <c r="X37" s="127" t="s">
        <v>39</v>
      </c>
      <c r="Y37" s="53" t="s">
        <v>90</v>
      </c>
      <c r="Z37" s="53" t="s">
        <v>84</v>
      </c>
      <c r="AA37" s="53" t="s">
        <v>50</v>
      </c>
      <c r="AB37" s="127" t="s">
        <v>238</v>
      </c>
      <c r="AC37" s="34"/>
      <c r="AE37" s="35"/>
      <c r="AP37" s="27" t="s">
        <v>115</v>
      </c>
      <c r="AR37" s="23" t="s">
        <v>83</v>
      </c>
      <c r="AV37" s="23"/>
    </row>
    <row r="38" spans="1:48" x14ac:dyDescent="0.15">
      <c r="A38" s="127" t="s">
        <v>61</v>
      </c>
      <c r="B38" s="127" t="s">
        <v>234</v>
      </c>
      <c r="C38" s="127">
        <v>2019</v>
      </c>
      <c r="D38" s="128" t="s">
        <v>285</v>
      </c>
      <c r="E38" s="127" t="s">
        <v>296</v>
      </c>
      <c r="F38" s="127" t="s">
        <v>297</v>
      </c>
      <c r="G38" s="127" t="s">
        <v>42</v>
      </c>
      <c r="H38" s="53" t="s">
        <v>164</v>
      </c>
      <c r="I38" s="53" t="s">
        <v>159</v>
      </c>
      <c r="J38" s="127" t="s">
        <v>38</v>
      </c>
      <c r="K38" s="53" t="s">
        <v>161</v>
      </c>
      <c r="L38" s="53">
        <v>1</v>
      </c>
      <c r="N38" s="53">
        <v>1</v>
      </c>
      <c r="O38" s="34">
        <v>0.5</v>
      </c>
      <c r="P38" s="34">
        <v>0.5</v>
      </c>
      <c r="Q38" s="75">
        <f t="shared" si="3"/>
        <v>0.5</v>
      </c>
      <c r="R38" s="53">
        <v>14.6</v>
      </c>
      <c r="S38" s="53">
        <v>111</v>
      </c>
      <c r="T38" s="16">
        <f t="shared" si="4"/>
        <v>33</v>
      </c>
      <c r="U38" s="53">
        <v>98</v>
      </c>
      <c r="V38" s="129">
        <f t="shared" si="5"/>
        <v>3234</v>
      </c>
      <c r="W38" s="53">
        <v>10</v>
      </c>
      <c r="X38" s="127" t="s">
        <v>46</v>
      </c>
      <c r="Y38" s="53" t="s">
        <v>69</v>
      </c>
      <c r="Z38" s="53" t="s">
        <v>90</v>
      </c>
      <c r="AA38" s="53" t="s">
        <v>84</v>
      </c>
      <c r="AB38" s="127" t="s">
        <v>238</v>
      </c>
      <c r="AC38" s="34"/>
    </row>
    <row r="39" spans="1:48" x14ac:dyDescent="0.15">
      <c r="A39" s="127" t="s">
        <v>61</v>
      </c>
      <c r="B39" s="127" t="s">
        <v>234</v>
      </c>
      <c r="C39" s="127">
        <v>2019</v>
      </c>
      <c r="D39" s="128" t="s">
        <v>285</v>
      </c>
      <c r="E39" s="127" t="s">
        <v>296</v>
      </c>
      <c r="F39" s="127" t="s">
        <v>297</v>
      </c>
      <c r="G39" s="127" t="s">
        <v>42</v>
      </c>
      <c r="H39" s="53" t="s">
        <v>164</v>
      </c>
      <c r="I39" s="53" t="s">
        <v>159</v>
      </c>
      <c r="J39" s="127" t="s">
        <v>38</v>
      </c>
      <c r="K39" s="53" t="s">
        <v>161</v>
      </c>
      <c r="L39" s="53">
        <v>2</v>
      </c>
      <c r="N39" s="53">
        <v>1</v>
      </c>
      <c r="O39" s="34">
        <v>0.5</v>
      </c>
      <c r="P39" s="34">
        <v>0.5</v>
      </c>
      <c r="Q39" s="75">
        <f t="shared" si="3"/>
        <v>0.5</v>
      </c>
      <c r="R39" s="53">
        <v>14.6</v>
      </c>
      <c r="S39" s="53">
        <v>106</v>
      </c>
      <c r="T39" s="16">
        <f t="shared" si="4"/>
        <v>33</v>
      </c>
      <c r="U39" s="53">
        <v>98</v>
      </c>
      <c r="V39" s="129">
        <f t="shared" si="5"/>
        <v>3234</v>
      </c>
      <c r="W39" s="53">
        <v>10</v>
      </c>
      <c r="X39" s="127" t="s">
        <v>46</v>
      </c>
      <c r="Y39" s="53" t="s">
        <v>69</v>
      </c>
      <c r="Z39" s="53" t="s">
        <v>90</v>
      </c>
      <c r="AA39" s="53" t="s">
        <v>84</v>
      </c>
      <c r="AB39" s="127" t="s">
        <v>238</v>
      </c>
      <c r="AC39" s="34"/>
    </row>
    <row r="40" spans="1:48" x14ac:dyDescent="0.15">
      <c r="A40" s="127" t="s">
        <v>61</v>
      </c>
      <c r="B40" s="127" t="s">
        <v>234</v>
      </c>
      <c r="C40" s="127">
        <v>2019</v>
      </c>
      <c r="D40" s="128" t="s">
        <v>285</v>
      </c>
      <c r="E40" s="127" t="s">
        <v>296</v>
      </c>
      <c r="F40" s="127" t="s">
        <v>297</v>
      </c>
      <c r="G40" s="127" t="s">
        <v>42</v>
      </c>
      <c r="H40" s="53" t="s">
        <v>164</v>
      </c>
      <c r="I40" s="53" t="s">
        <v>159</v>
      </c>
      <c r="J40" s="127" t="s">
        <v>38</v>
      </c>
      <c r="K40" s="53" t="s">
        <v>161</v>
      </c>
      <c r="L40" s="53">
        <v>3</v>
      </c>
      <c r="N40" s="53">
        <v>1</v>
      </c>
      <c r="O40" s="34">
        <v>0.5</v>
      </c>
      <c r="P40" s="34">
        <v>0.5</v>
      </c>
      <c r="Q40" s="75">
        <f t="shared" si="3"/>
        <v>0.5</v>
      </c>
      <c r="R40" s="53">
        <v>11</v>
      </c>
      <c r="S40" s="53">
        <v>108</v>
      </c>
      <c r="T40" s="16">
        <f t="shared" si="4"/>
        <v>33</v>
      </c>
      <c r="U40" s="53">
        <v>98</v>
      </c>
      <c r="V40" s="129">
        <f t="shared" si="5"/>
        <v>3234</v>
      </c>
      <c r="W40" s="53">
        <v>10</v>
      </c>
      <c r="X40" s="127" t="s">
        <v>46</v>
      </c>
      <c r="Y40" s="53" t="s">
        <v>69</v>
      </c>
      <c r="Z40" s="53" t="s">
        <v>90</v>
      </c>
      <c r="AA40" s="53" t="s">
        <v>84</v>
      </c>
      <c r="AB40" s="127" t="s">
        <v>238</v>
      </c>
      <c r="AC40" s="34"/>
    </row>
    <row r="41" spans="1:48" x14ac:dyDescent="0.15">
      <c r="A41" s="127" t="s">
        <v>61</v>
      </c>
      <c r="B41" s="127" t="s">
        <v>234</v>
      </c>
      <c r="C41" s="127">
        <v>2019</v>
      </c>
      <c r="D41" s="128" t="s">
        <v>285</v>
      </c>
      <c r="E41" s="127" t="s">
        <v>296</v>
      </c>
      <c r="F41" s="127" t="s">
        <v>297</v>
      </c>
      <c r="G41" s="127" t="s">
        <v>42</v>
      </c>
      <c r="H41" s="53" t="s">
        <v>160</v>
      </c>
      <c r="I41" s="53" t="s">
        <v>159</v>
      </c>
      <c r="J41" s="127" t="s">
        <v>38</v>
      </c>
      <c r="K41" s="53" t="s">
        <v>161</v>
      </c>
      <c r="L41" s="53">
        <v>1</v>
      </c>
      <c r="N41" s="53">
        <v>1</v>
      </c>
      <c r="O41" s="34">
        <v>0.5</v>
      </c>
      <c r="P41" s="34">
        <v>0.5</v>
      </c>
      <c r="Q41" s="75">
        <f t="shared" si="3"/>
        <v>0.5</v>
      </c>
      <c r="R41" s="53">
        <v>13.8</v>
      </c>
      <c r="S41" s="53">
        <v>127</v>
      </c>
      <c r="T41" s="16">
        <f t="shared" si="4"/>
        <v>27</v>
      </c>
      <c r="U41" s="53">
        <v>98</v>
      </c>
      <c r="V41" s="129">
        <f t="shared" si="5"/>
        <v>2646</v>
      </c>
      <c r="W41" s="53">
        <v>10</v>
      </c>
      <c r="X41" s="127" t="s">
        <v>46</v>
      </c>
      <c r="Y41" s="53" t="s">
        <v>69</v>
      </c>
      <c r="Z41" s="53" t="s">
        <v>90</v>
      </c>
      <c r="AA41" s="53" t="s">
        <v>84</v>
      </c>
      <c r="AB41" s="127" t="s">
        <v>238</v>
      </c>
      <c r="AC41" s="34"/>
    </row>
    <row r="42" spans="1:48" x14ac:dyDescent="0.15">
      <c r="A42" s="127" t="s">
        <v>61</v>
      </c>
      <c r="B42" s="127" t="s">
        <v>234</v>
      </c>
      <c r="C42" s="127">
        <v>2019</v>
      </c>
      <c r="D42" s="128" t="s">
        <v>285</v>
      </c>
      <c r="E42" s="127" t="s">
        <v>296</v>
      </c>
      <c r="F42" s="127" t="s">
        <v>297</v>
      </c>
      <c r="G42" s="127" t="s">
        <v>42</v>
      </c>
      <c r="H42" s="53" t="s">
        <v>160</v>
      </c>
      <c r="I42" s="53" t="s">
        <v>159</v>
      </c>
      <c r="J42" s="127" t="s">
        <v>38</v>
      </c>
      <c r="K42" s="53" t="s">
        <v>161</v>
      </c>
      <c r="L42" s="53">
        <v>2</v>
      </c>
      <c r="N42" s="53">
        <v>1</v>
      </c>
      <c r="O42" s="34">
        <v>0.5</v>
      </c>
      <c r="P42" s="34">
        <v>0.5</v>
      </c>
      <c r="Q42" s="75">
        <f t="shared" si="3"/>
        <v>0.5</v>
      </c>
      <c r="R42" s="53">
        <v>14.6</v>
      </c>
      <c r="S42" s="53">
        <v>129</v>
      </c>
      <c r="T42" s="16">
        <f t="shared" si="4"/>
        <v>25</v>
      </c>
      <c r="U42" s="53">
        <v>98</v>
      </c>
      <c r="V42" s="129">
        <f t="shared" si="5"/>
        <v>2450</v>
      </c>
      <c r="W42" s="53">
        <v>10</v>
      </c>
      <c r="X42" s="127" t="s">
        <v>46</v>
      </c>
      <c r="Y42" s="53" t="s">
        <v>69</v>
      </c>
      <c r="Z42" s="53" t="s">
        <v>90</v>
      </c>
      <c r="AA42" s="53" t="s">
        <v>84</v>
      </c>
      <c r="AB42" s="127" t="s">
        <v>238</v>
      </c>
      <c r="AC42" s="34"/>
    </row>
    <row r="43" spans="1:48" x14ac:dyDescent="0.15">
      <c r="A43" s="127" t="s">
        <v>61</v>
      </c>
      <c r="B43" s="127" t="s">
        <v>234</v>
      </c>
      <c r="C43" s="127">
        <v>2019</v>
      </c>
      <c r="D43" s="128" t="s">
        <v>285</v>
      </c>
      <c r="E43" s="127" t="s">
        <v>296</v>
      </c>
      <c r="F43" s="127" t="s">
        <v>297</v>
      </c>
      <c r="G43" s="127" t="s">
        <v>42</v>
      </c>
      <c r="H43" s="53" t="s">
        <v>160</v>
      </c>
      <c r="I43" s="53" t="s">
        <v>159</v>
      </c>
      <c r="J43" s="127" t="s">
        <v>38</v>
      </c>
      <c r="K43" s="53" t="s">
        <v>161</v>
      </c>
      <c r="L43" s="53">
        <v>3</v>
      </c>
      <c r="N43" s="53">
        <v>1</v>
      </c>
      <c r="O43" s="34">
        <v>0.5</v>
      </c>
      <c r="P43" s="34">
        <v>0.5</v>
      </c>
      <c r="Q43" s="75">
        <f t="shared" si="3"/>
        <v>0.5</v>
      </c>
      <c r="R43" s="53">
        <v>17.7</v>
      </c>
      <c r="S43" s="53">
        <v>128</v>
      </c>
      <c r="T43" s="16">
        <f t="shared" si="4"/>
        <v>27</v>
      </c>
      <c r="U43" s="53">
        <v>98</v>
      </c>
      <c r="V43" s="129">
        <f t="shared" si="5"/>
        <v>2646</v>
      </c>
      <c r="W43" s="53">
        <v>10</v>
      </c>
      <c r="X43" s="127" t="s">
        <v>46</v>
      </c>
      <c r="Y43" s="53" t="s">
        <v>69</v>
      </c>
      <c r="Z43" s="53" t="s">
        <v>90</v>
      </c>
      <c r="AA43" s="53" t="s">
        <v>84</v>
      </c>
      <c r="AB43" s="127" t="s">
        <v>238</v>
      </c>
      <c r="AC43" s="34"/>
    </row>
    <row r="44" spans="1:48" x14ac:dyDescent="0.15">
      <c r="A44" s="127" t="s">
        <v>61</v>
      </c>
      <c r="B44" s="127" t="s">
        <v>234</v>
      </c>
      <c r="C44" s="127">
        <v>2019</v>
      </c>
      <c r="D44" s="128" t="s">
        <v>285</v>
      </c>
      <c r="E44" s="127" t="s">
        <v>300</v>
      </c>
      <c r="F44" s="127" t="s">
        <v>301</v>
      </c>
      <c r="G44" s="127" t="s">
        <v>42</v>
      </c>
      <c r="H44" s="53" t="s">
        <v>164</v>
      </c>
      <c r="I44" s="53" t="s">
        <v>159</v>
      </c>
      <c r="J44" s="127" t="s">
        <v>38</v>
      </c>
      <c r="K44" s="53" t="s">
        <v>161</v>
      </c>
      <c r="L44" s="53">
        <v>1</v>
      </c>
      <c r="N44" s="53">
        <v>4</v>
      </c>
      <c r="O44" s="34">
        <v>0.5</v>
      </c>
      <c r="P44" s="34">
        <v>0.5</v>
      </c>
      <c r="Q44" s="75">
        <f t="shared" si="3"/>
        <v>0.5</v>
      </c>
      <c r="R44" s="53">
        <v>14.2</v>
      </c>
      <c r="S44" s="53">
        <v>113</v>
      </c>
      <c r="T44" s="16">
        <f t="shared" si="4"/>
        <v>30</v>
      </c>
      <c r="U44" s="53">
        <v>321</v>
      </c>
      <c r="V44" s="129">
        <f t="shared" si="5"/>
        <v>2407.5</v>
      </c>
      <c r="W44" s="53">
        <v>6</v>
      </c>
      <c r="X44" s="127" t="s">
        <v>39</v>
      </c>
      <c r="Y44" s="53" t="s">
        <v>90</v>
      </c>
      <c r="Z44" s="53" t="s">
        <v>84</v>
      </c>
      <c r="AA44" s="53" t="s">
        <v>50</v>
      </c>
      <c r="AB44" s="127" t="s">
        <v>238</v>
      </c>
    </row>
    <row r="45" spans="1:48" x14ac:dyDescent="0.15">
      <c r="A45" s="127" t="s">
        <v>61</v>
      </c>
      <c r="B45" s="127" t="s">
        <v>234</v>
      </c>
      <c r="C45" s="127">
        <v>2020</v>
      </c>
      <c r="D45" s="128" t="s">
        <v>285</v>
      </c>
      <c r="E45" s="127" t="s">
        <v>300</v>
      </c>
      <c r="F45" s="127" t="s">
        <v>301</v>
      </c>
      <c r="G45" s="127" t="s">
        <v>42</v>
      </c>
      <c r="H45" s="53" t="s">
        <v>164</v>
      </c>
      <c r="I45" s="53" t="s">
        <v>159</v>
      </c>
      <c r="J45" s="127" t="s">
        <v>38</v>
      </c>
      <c r="K45" s="53" t="s">
        <v>161</v>
      </c>
      <c r="L45" s="53">
        <v>2</v>
      </c>
      <c r="N45" s="53">
        <v>4</v>
      </c>
      <c r="O45" s="34">
        <v>0.5</v>
      </c>
      <c r="P45" s="34">
        <v>0.5</v>
      </c>
      <c r="Q45" s="75">
        <f t="shared" si="3"/>
        <v>0.5</v>
      </c>
      <c r="R45" s="53">
        <v>13.1</v>
      </c>
      <c r="S45" s="53">
        <v>110</v>
      </c>
      <c r="T45" s="16">
        <f t="shared" si="4"/>
        <v>33</v>
      </c>
      <c r="U45" s="53">
        <v>321</v>
      </c>
      <c r="V45" s="129">
        <f t="shared" si="5"/>
        <v>2648.25</v>
      </c>
      <c r="W45" s="53">
        <v>6</v>
      </c>
      <c r="X45" s="127" t="s">
        <v>39</v>
      </c>
      <c r="Y45" s="53" t="s">
        <v>90</v>
      </c>
      <c r="Z45" s="53" t="s">
        <v>84</v>
      </c>
      <c r="AA45" s="53" t="s">
        <v>50</v>
      </c>
      <c r="AB45" s="127" t="s">
        <v>238</v>
      </c>
    </row>
    <row r="46" spans="1:48" x14ac:dyDescent="0.15">
      <c r="A46" s="127" t="s">
        <v>61</v>
      </c>
      <c r="B46" s="127" t="s">
        <v>234</v>
      </c>
      <c r="C46" s="127">
        <v>2021</v>
      </c>
      <c r="D46" s="128" t="s">
        <v>285</v>
      </c>
      <c r="E46" s="127" t="s">
        <v>300</v>
      </c>
      <c r="F46" s="127" t="s">
        <v>301</v>
      </c>
      <c r="G46" s="127" t="s">
        <v>42</v>
      </c>
      <c r="H46" s="53" t="s">
        <v>164</v>
      </c>
      <c r="I46" s="53" t="s">
        <v>159</v>
      </c>
      <c r="J46" s="127" t="s">
        <v>38</v>
      </c>
      <c r="K46" s="53" t="s">
        <v>161</v>
      </c>
      <c r="L46" s="53">
        <v>3</v>
      </c>
      <c r="N46" s="53">
        <v>4</v>
      </c>
      <c r="O46" s="34">
        <v>0.5</v>
      </c>
      <c r="P46" s="34">
        <v>0.5</v>
      </c>
      <c r="Q46" s="75">
        <f t="shared" si="3"/>
        <v>0.5</v>
      </c>
      <c r="R46" s="53">
        <v>12.1</v>
      </c>
      <c r="S46" s="53">
        <v>107</v>
      </c>
      <c r="T46" s="16">
        <f t="shared" si="4"/>
        <v>33</v>
      </c>
      <c r="U46" s="53">
        <v>321</v>
      </c>
      <c r="V46" s="129">
        <f t="shared" si="5"/>
        <v>2648.25</v>
      </c>
      <c r="W46" s="53">
        <v>6</v>
      </c>
      <c r="X46" s="127" t="s">
        <v>39</v>
      </c>
      <c r="Y46" s="53" t="s">
        <v>90</v>
      </c>
      <c r="Z46" s="53" t="s">
        <v>84</v>
      </c>
      <c r="AA46" s="53" t="s">
        <v>50</v>
      </c>
      <c r="AB46" s="127" t="s">
        <v>238</v>
      </c>
    </row>
    <row r="47" spans="1:48" x14ac:dyDescent="0.15">
      <c r="A47" s="127" t="s">
        <v>61</v>
      </c>
      <c r="B47" s="127" t="s">
        <v>234</v>
      </c>
      <c r="C47" s="127">
        <v>2022</v>
      </c>
      <c r="D47" s="128" t="s">
        <v>285</v>
      </c>
      <c r="E47" s="127" t="s">
        <v>300</v>
      </c>
      <c r="F47" s="127" t="s">
        <v>301</v>
      </c>
      <c r="G47" s="127" t="s">
        <v>42</v>
      </c>
      <c r="H47" s="53" t="s">
        <v>160</v>
      </c>
      <c r="I47" s="53" t="s">
        <v>159</v>
      </c>
      <c r="J47" s="127" t="s">
        <v>38</v>
      </c>
      <c r="K47" s="53" t="s">
        <v>161</v>
      </c>
      <c r="L47" s="53">
        <v>1</v>
      </c>
      <c r="N47" s="53">
        <v>1</v>
      </c>
      <c r="O47" s="34">
        <v>0.5</v>
      </c>
      <c r="P47" s="34">
        <v>0.5</v>
      </c>
      <c r="Q47" s="75">
        <f t="shared" si="3"/>
        <v>0.5</v>
      </c>
      <c r="R47" s="53">
        <v>13.9</v>
      </c>
      <c r="S47" s="53">
        <v>102</v>
      </c>
      <c r="T47" s="16">
        <f t="shared" si="4"/>
        <v>33</v>
      </c>
      <c r="U47" s="53">
        <v>149</v>
      </c>
      <c r="V47" s="129">
        <f t="shared" si="5"/>
        <v>4917</v>
      </c>
      <c r="W47" s="53">
        <v>6</v>
      </c>
      <c r="X47" s="127" t="s">
        <v>39</v>
      </c>
      <c r="Y47" s="53" t="s">
        <v>90</v>
      </c>
      <c r="Z47" s="53" t="s">
        <v>84</v>
      </c>
      <c r="AA47" s="53" t="s">
        <v>50</v>
      </c>
      <c r="AB47" s="127" t="s">
        <v>238</v>
      </c>
      <c r="AC47" s="34"/>
    </row>
    <row r="48" spans="1:48" x14ac:dyDescent="0.15">
      <c r="A48" s="127" t="s">
        <v>61</v>
      </c>
      <c r="B48" s="127" t="s">
        <v>234</v>
      </c>
      <c r="C48" s="127">
        <v>2023</v>
      </c>
      <c r="D48" s="128" t="s">
        <v>285</v>
      </c>
      <c r="E48" s="127" t="s">
        <v>300</v>
      </c>
      <c r="F48" s="127" t="s">
        <v>301</v>
      </c>
      <c r="G48" s="127" t="s">
        <v>42</v>
      </c>
      <c r="H48" s="53" t="s">
        <v>160</v>
      </c>
      <c r="I48" s="53" t="s">
        <v>159</v>
      </c>
      <c r="J48" s="127" t="s">
        <v>38</v>
      </c>
      <c r="K48" s="53" t="s">
        <v>161</v>
      </c>
      <c r="L48" s="53">
        <v>2</v>
      </c>
      <c r="N48" s="53">
        <v>1</v>
      </c>
      <c r="O48" s="34">
        <v>0.5</v>
      </c>
      <c r="P48" s="34">
        <v>0.5</v>
      </c>
      <c r="Q48" s="75">
        <f t="shared" si="3"/>
        <v>0.5</v>
      </c>
      <c r="R48" s="53">
        <v>14.6</v>
      </c>
      <c r="S48" s="53">
        <v>104</v>
      </c>
      <c r="T48" s="16">
        <f t="shared" si="4"/>
        <v>33</v>
      </c>
      <c r="U48" s="53">
        <v>149</v>
      </c>
      <c r="V48" s="129">
        <f t="shared" si="5"/>
        <v>4917</v>
      </c>
      <c r="W48" s="53">
        <v>6</v>
      </c>
      <c r="X48" s="127" t="s">
        <v>39</v>
      </c>
      <c r="Y48" s="53" t="s">
        <v>90</v>
      </c>
      <c r="Z48" s="53" t="s">
        <v>84</v>
      </c>
      <c r="AA48" s="53" t="s">
        <v>50</v>
      </c>
      <c r="AB48" s="127" t="s">
        <v>238</v>
      </c>
      <c r="AC48" s="34"/>
    </row>
    <row r="49" spans="1:29" x14ac:dyDescent="0.15">
      <c r="A49" s="127" t="s">
        <v>61</v>
      </c>
      <c r="B49" s="127" t="s">
        <v>234</v>
      </c>
      <c r="C49" s="127">
        <v>2024</v>
      </c>
      <c r="D49" s="128" t="s">
        <v>285</v>
      </c>
      <c r="E49" s="127" t="s">
        <v>300</v>
      </c>
      <c r="F49" s="127" t="s">
        <v>301</v>
      </c>
      <c r="G49" s="127" t="s">
        <v>42</v>
      </c>
      <c r="H49" s="53" t="s">
        <v>160</v>
      </c>
      <c r="I49" s="53" t="s">
        <v>159</v>
      </c>
      <c r="J49" s="127" t="s">
        <v>38</v>
      </c>
      <c r="K49" s="53" t="s">
        <v>161</v>
      </c>
      <c r="L49" s="53">
        <v>3</v>
      </c>
      <c r="N49" s="53">
        <v>1</v>
      </c>
      <c r="O49" s="34">
        <v>0.5</v>
      </c>
      <c r="P49" s="34">
        <v>0.5</v>
      </c>
      <c r="Q49" s="75">
        <f t="shared" si="3"/>
        <v>0.5</v>
      </c>
      <c r="R49" s="34">
        <v>13.2</v>
      </c>
      <c r="S49" s="53">
        <v>106</v>
      </c>
      <c r="T49" s="16">
        <f t="shared" si="4"/>
        <v>33</v>
      </c>
      <c r="U49" s="53">
        <v>149</v>
      </c>
      <c r="V49" s="129">
        <f t="shared" si="5"/>
        <v>4917</v>
      </c>
      <c r="W49" s="53">
        <v>6</v>
      </c>
      <c r="X49" s="127" t="s">
        <v>39</v>
      </c>
      <c r="Y49" s="53" t="s">
        <v>90</v>
      </c>
      <c r="Z49" s="53" t="s">
        <v>84</v>
      </c>
      <c r="AA49" s="53" t="s">
        <v>50</v>
      </c>
      <c r="AB49" s="127" t="s">
        <v>238</v>
      </c>
      <c r="AC49" s="34"/>
    </row>
    <row r="50" spans="1:29" x14ac:dyDescent="0.15">
      <c r="A50" s="127" t="s">
        <v>61</v>
      </c>
      <c r="B50" s="127" t="s">
        <v>234</v>
      </c>
      <c r="C50" s="127">
        <v>2019</v>
      </c>
      <c r="D50" s="128" t="s">
        <v>285</v>
      </c>
      <c r="E50" s="127" t="s">
        <v>133</v>
      </c>
      <c r="F50" s="127" t="s">
        <v>302</v>
      </c>
      <c r="G50" s="127" t="s">
        <v>42</v>
      </c>
      <c r="H50" s="53" t="s">
        <v>164</v>
      </c>
      <c r="I50" s="53" t="s">
        <v>159</v>
      </c>
      <c r="J50" s="127" t="s">
        <v>38</v>
      </c>
      <c r="K50" s="53" t="s">
        <v>161</v>
      </c>
      <c r="L50" s="53">
        <v>1</v>
      </c>
      <c r="N50" s="53">
        <v>1</v>
      </c>
      <c r="O50" s="53">
        <v>0.75</v>
      </c>
      <c r="P50" s="53">
        <v>0.85</v>
      </c>
      <c r="Q50" s="75">
        <f t="shared" si="3"/>
        <v>0.8</v>
      </c>
      <c r="R50" s="53">
        <v>14.4</v>
      </c>
      <c r="S50" s="53">
        <v>115</v>
      </c>
      <c r="T50" s="16">
        <f t="shared" si="4"/>
        <v>30</v>
      </c>
      <c r="U50" s="53">
        <v>98</v>
      </c>
      <c r="V50" s="129">
        <f t="shared" si="5"/>
        <v>2940</v>
      </c>
      <c r="W50" s="53">
        <v>12</v>
      </c>
      <c r="X50" s="127" t="s">
        <v>46</v>
      </c>
      <c r="Y50" s="53" t="s">
        <v>50</v>
      </c>
      <c r="Z50" s="53" t="s">
        <v>84</v>
      </c>
      <c r="AA50" s="53" t="s">
        <v>90</v>
      </c>
      <c r="AB50" s="127" t="s">
        <v>238</v>
      </c>
      <c r="AC50" s="34"/>
    </row>
    <row r="51" spans="1:29" x14ac:dyDescent="0.15">
      <c r="A51" s="127" t="s">
        <v>61</v>
      </c>
      <c r="B51" s="127" t="s">
        <v>234</v>
      </c>
      <c r="C51" s="127">
        <v>2019</v>
      </c>
      <c r="D51" s="128" t="s">
        <v>285</v>
      </c>
      <c r="E51" s="127" t="s">
        <v>133</v>
      </c>
      <c r="F51" s="127" t="s">
        <v>302</v>
      </c>
      <c r="G51" s="127" t="s">
        <v>42</v>
      </c>
      <c r="H51" s="53" t="s">
        <v>164</v>
      </c>
      <c r="I51" s="53" t="s">
        <v>159</v>
      </c>
      <c r="J51" s="127" t="s">
        <v>38</v>
      </c>
      <c r="K51" s="53" t="s">
        <v>161</v>
      </c>
      <c r="L51" s="53">
        <v>2</v>
      </c>
      <c r="N51" s="53">
        <v>1</v>
      </c>
      <c r="O51" s="53">
        <v>0.75</v>
      </c>
      <c r="P51" s="53">
        <v>0.65</v>
      </c>
      <c r="Q51" s="75">
        <f t="shared" si="3"/>
        <v>0.7</v>
      </c>
      <c r="R51" s="53">
        <v>14.2</v>
      </c>
      <c r="S51" s="53">
        <v>111</v>
      </c>
      <c r="T51" s="16">
        <f t="shared" si="4"/>
        <v>33</v>
      </c>
      <c r="U51" s="53">
        <v>98</v>
      </c>
      <c r="V51" s="129">
        <f t="shared" si="5"/>
        <v>3234</v>
      </c>
      <c r="W51" s="53">
        <v>12</v>
      </c>
      <c r="X51" s="127" t="s">
        <v>46</v>
      </c>
      <c r="Y51" s="53" t="s">
        <v>50</v>
      </c>
      <c r="Z51" s="53" t="s">
        <v>84</v>
      </c>
      <c r="AA51" s="53" t="s">
        <v>90</v>
      </c>
      <c r="AB51" s="127" t="s">
        <v>238</v>
      </c>
      <c r="AC51" s="34"/>
    </row>
    <row r="52" spans="1:29" x14ac:dyDescent="0.15">
      <c r="A52" s="127" t="s">
        <v>61</v>
      </c>
      <c r="B52" s="127" t="s">
        <v>234</v>
      </c>
      <c r="C52" s="127">
        <v>2019</v>
      </c>
      <c r="D52" s="128" t="s">
        <v>285</v>
      </c>
      <c r="E52" s="127" t="s">
        <v>133</v>
      </c>
      <c r="F52" s="127" t="s">
        <v>302</v>
      </c>
      <c r="G52" s="127" t="s">
        <v>42</v>
      </c>
      <c r="H52" s="53" t="s">
        <v>164</v>
      </c>
      <c r="I52" s="53" t="s">
        <v>159</v>
      </c>
      <c r="J52" s="127" t="s">
        <v>38</v>
      </c>
      <c r="K52" s="53" t="s">
        <v>161</v>
      </c>
      <c r="L52" s="53">
        <v>3</v>
      </c>
      <c r="N52" s="53">
        <v>1</v>
      </c>
      <c r="O52" s="53">
        <v>0.9</v>
      </c>
      <c r="P52" s="53">
        <v>0.65</v>
      </c>
      <c r="Q52" s="75">
        <f t="shared" si="3"/>
        <v>0.77500000000000002</v>
      </c>
      <c r="R52" s="53">
        <v>14.4</v>
      </c>
      <c r="S52" s="53">
        <v>111</v>
      </c>
      <c r="T52" s="16">
        <f t="shared" si="4"/>
        <v>33</v>
      </c>
      <c r="U52" s="53">
        <v>98</v>
      </c>
      <c r="V52" s="129">
        <f t="shared" si="5"/>
        <v>3234</v>
      </c>
      <c r="W52" s="53">
        <v>12</v>
      </c>
      <c r="X52" s="127" t="s">
        <v>46</v>
      </c>
      <c r="Y52" s="53" t="s">
        <v>50</v>
      </c>
      <c r="Z52" s="53" t="s">
        <v>84</v>
      </c>
      <c r="AA52" s="53" t="s">
        <v>90</v>
      </c>
      <c r="AB52" s="127" t="s">
        <v>238</v>
      </c>
      <c r="AC52" s="34"/>
    </row>
    <row r="53" spans="1:29" x14ac:dyDescent="0.15">
      <c r="A53" s="127" t="s">
        <v>61</v>
      </c>
      <c r="B53" s="127" t="s">
        <v>234</v>
      </c>
      <c r="C53" s="127">
        <v>2019</v>
      </c>
      <c r="D53" s="128" t="s">
        <v>285</v>
      </c>
      <c r="E53" s="127" t="s">
        <v>133</v>
      </c>
      <c r="F53" s="127" t="s">
        <v>302</v>
      </c>
      <c r="G53" s="127" t="s">
        <v>42</v>
      </c>
      <c r="H53" s="53" t="s">
        <v>160</v>
      </c>
      <c r="I53" s="53" t="s">
        <v>159</v>
      </c>
      <c r="J53" s="127" t="s">
        <v>38</v>
      </c>
      <c r="K53" s="53" t="s">
        <v>161</v>
      </c>
      <c r="L53" s="53">
        <v>1</v>
      </c>
      <c r="N53" s="53">
        <v>1</v>
      </c>
      <c r="O53" s="53">
        <v>0.5</v>
      </c>
      <c r="P53" s="53">
        <v>0.5</v>
      </c>
      <c r="Q53" s="75">
        <f t="shared" si="3"/>
        <v>0.5</v>
      </c>
      <c r="R53" s="53">
        <v>20.100000000000001</v>
      </c>
      <c r="S53" s="53">
        <v>140</v>
      </c>
      <c r="T53" s="16">
        <f t="shared" si="4"/>
        <v>22</v>
      </c>
      <c r="U53" s="53">
        <v>158</v>
      </c>
      <c r="V53" s="129">
        <f t="shared" si="5"/>
        <v>3476</v>
      </c>
      <c r="W53" s="53">
        <v>12</v>
      </c>
      <c r="X53" s="127" t="s">
        <v>46</v>
      </c>
      <c r="Y53" s="53" t="s">
        <v>50</v>
      </c>
      <c r="Z53" s="53" t="s">
        <v>84</v>
      </c>
      <c r="AA53" s="53" t="s">
        <v>90</v>
      </c>
      <c r="AB53" s="127" t="s">
        <v>238</v>
      </c>
      <c r="AC53" s="34"/>
    </row>
    <row r="54" spans="1:29" x14ac:dyDescent="0.15">
      <c r="A54" s="127" t="s">
        <v>61</v>
      </c>
      <c r="B54" s="127" t="s">
        <v>234</v>
      </c>
      <c r="C54" s="127">
        <v>2019</v>
      </c>
      <c r="D54" s="128" t="s">
        <v>285</v>
      </c>
      <c r="E54" s="127" t="s">
        <v>133</v>
      </c>
      <c r="F54" s="127" t="s">
        <v>302</v>
      </c>
      <c r="G54" s="127" t="s">
        <v>42</v>
      </c>
      <c r="H54" s="53" t="s">
        <v>160</v>
      </c>
      <c r="I54" s="53" t="s">
        <v>159</v>
      </c>
      <c r="J54" s="127" t="s">
        <v>38</v>
      </c>
      <c r="K54" s="53" t="s">
        <v>161</v>
      </c>
      <c r="L54" s="53">
        <v>2</v>
      </c>
      <c r="N54" s="53">
        <v>1</v>
      </c>
      <c r="O54" s="53">
        <v>0.5</v>
      </c>
      <c r="P54" s="53">
        <v>0.5</v>
      </c>
      <c r="Q54" s="75">
        <f t="shared" si="3"/>
        <v>0.5</v>
      </c>
      <c r="R54" s="53">
        <v>14.1</v>
      </c>
      <c r="S54" s="53">
        <v>139</v>
      </c>
      <c r="T54" s="16">
        <f t="shared" si="4"/>
        <v>22</v>
      </c>
      <c r="U54" s="53">
        <v>158</v>
      </c>
      <c r="V54" s="129">
        <f t="shared" si="5"/>
        <v>3476</v>
      </c>
      <c r="W54" s="53">
        <v>12</v>
      </c>
      <c r="X54" s="127" t="s">
        <v>46</v>
      </c>
      <c r="Y54" s="53" t="s">
        <v>50</v>
      </c>
      <c r="Z54" s="53" t="s">
        <v>84</v>
      </c>
      <c r="AA54" s="53" t="s">
        <v>90</v>
      </c>
      <c r="AB54" s="127" t="s">
        <v>238</v>
      </c>
      <c r="AC54" s="34"/>
    </row>
    <row r="55" spans="1:29" x14ac:dyDescent="0.15">
      <c r="A55" s="127" t="s">
        <v>61</v>
      </c>
      <c r="B55" s="127" t="s">
        <v>234</v>
      </c>
      <c r="C55" s="127">
        <v>2019</v>
      </c>
      <c r="D55" s="128" t="s">
        <v>285</v>
      </c>
      <c r="E55" s="127" t="s">
        <v>133</v>
      </c>
      <c r="F55" s="127" t="s">
        <v>302</v>
      </c>
      <c r="G55" s="127" t="s">
        <v>42</v>
      </c>
      <c r="H55" s="53" t="s">
        <v>160</v>
      </c>
      <c r="I55" s="53" t="s">
        <v>159</v>
      </c>
      <c r="J55" s="127" t="s">
        <v>38</v>
      </c>
      <c r="K55" s="53" t="s">
        <v>161</v>
      </c>
      <c r="L55" s="53">
        <v>3</v>
      </c>
      <c r="N55" s="53">
        <v>1</v>
      </c>
      <c r="O55" s="53">
        <v>0.5</v>
      </c>
      <c r="P55" s="53">
        <v>0.5</v>
      </c>
      <c r="Q55" s="75">
        <f t="shared" si="3"/>
        <v>0.5</v>
      </c>
      <c r="R55" s="53">
        <v>13.8</v>
      </c>
      <c r="S55" s="53">
        <v>137</v>
      </c>
      <c r="T55" s="16">
        <f t="shared" si="4"/>
        <v>25</v>
      </c>
      <c r="U55" s="53">
        <v>158</v>
      </c>
      <c r="V55" s="129">
        <f t="shared" si="5"/>
        <v>3950</v>
      </c>
      <c r="W55" s="53">
        <v>12</v>
      </c>
      <c r="X55" s="127" t="s">
        <v>46</v>
      </c>
      <c r="Y55" s="53" t="s">
        <v>50</v>
      </c>
      <c r="Z55" s="53" t="s">
        <v>84</v>
      </c>
      <c r="AA55" s="53" t="s">
        <v>90</v>
      </c>
      <c r="AB55" s="127" t="s">
        <v>238</v>
      </c>
      <c r="AC55" s="34"/>
    </row>
    <row r="56" spans="1:29" x14ac:dyDescent="0.15">
      <c r="A56" s="127" t="s">
        <v>61</v>
      </c>
      <c r="B56" s="127" t="s">
        <v>234</v>
      </c>
      <c r="C56" s="127">
        <v>2019</v>
      </c>
      <c r="D56" s="128" t="s">
        <v>285</v>
      </c>
      <c r="E56" s="127" t="s">
        <v>303</v>
      </c>
      <c r="F56" s="127" t="s">
        <v>304</v>
      </c>
      <c r="G56" s="127" t="s">
        <v>42</v>
      </c>
      <c r="H56" s="53" t="s">
        <v>164</v>
      </c>
      <c r="I56" s="53" t="s">
        <v>159</v>
      </c>
      <c r="J56" s="127" t="s">
        <v>38</v>
      </c>
      <c r="K56" s="53" t="s">
        <v>161</v>
      </c>
      <c r="L56" s="53">
        <v>1</v>
      </c>
      <c r="N56" s="53">
        <v>1</v>
      </c>
      <c r="O56" s="53">
        <v>0.55000000000000004</v>
      </c>
      <c r="P56" s="53">
        <v>0.65</v>
      </c>
      <c r="Q56" s="75">
        <f t="shared" si="3"/>
        <v>0.60000000000000009</v>
      </c>
      <c r="R56" s="53">
        <v>21</v>
      </c>
      <c r="S56" s="53">
        <v>144</v>
      </c>
      <c r="T56" s="16">
        <f t="shared" si="4"/>
        <v>22</v>
      </c>
      <c r="U56" s="53">
        <v>128</v>
      </c>
      <c r="V56" s="129">
        <f t="shared" si="5"/>
        <v>2816</v>
      </c>
      <c r="W56" s="53">
        <v>6</v>
      </c>
      <c r="X56" s="127" t="s">
        <v>39</v>
      </c>
      <c r="Y56" s="53" t="s">
        <v>90</v>
      </c>
      <c r="Z56" s="53" t="s">
        <v>84</v>
      </c>
      <c r="AA56" s="53" t="s">
        <v>50</v>
      </c>
      <c r="AB56" s="127" t="s">
        <v>238</v>
      </c>
      <c r="AC56" s="34"/>
    </row>
    <row r="57" spans="1:29" x14ac:dyDescent="0.15">
      <c r="A57" s="127" t="s">
        <v>61</v>
      </c>
      <c r="B57" s="127" t="s">
        <v>234</v>
      </c>
      <c r="C57" s="127">
        <v>2019</v>
      </c>
      <c r="D57" s="128" t="s">
        <v>285</v>
      </c>
      <c r="E57" s="127" t="s">
        <v>303</v>
      </c>
      <c r="F57" s="127" t="s">
        <v>304</v>
      </c>
      <c r="G57" s="127" t="s">
        <v>42</v>
      </c>
      <c r="H57" s="53" t="s">
        <v>164</v>
      </c>
      <c r="I57" s="53" t="s">
        <v>159</v>
      </c>
      <c r="J57" s="127" t="s">
        <v>38</v>
      </c>
      <c r="K57" s="53" t="s">
        <v>161</v>
      </c>
      <c r="L57" s="53">
        <v>2</v>
      </c>
      <c r="N57" s="53">
        <v>1</v>
      </c>
      <c r="O57" s="53">
        <v>0.5</v>
      </c>
      <c r="P57" s="53">
        <v>0.5</v>
      </c>
      <c r="Q57" s="75">
        <f t="shared" si="3"/>
        <v>0.5</v>
      </c>
      <c r="R57" s="53">
        <v>15.1</v>
      </c>
      <c r="S57" s="53">
        <v>137</v>
      </c>
      <c r="T57" s="16">
        <f t="shared" si="4"/>
        <v>25</v>
      </c>
      <c r="U57" s="53">
        <v>128</v>
      </c>
      <c r="V57" s="129">
        <f t="shared" si="5"/>
        <v>3200</v>
      </c>
      <c r="W57" s="53">
        <v>6</v>
      </c>
      <c r="X57" s="127" t="s">
        <v>39</v>
      </c>
      <c r="Y57" s="53" t="s">
        <v>90</v>
      </c>
      <c r="Z57" s="53" t="s">
        <v>84</v>
      </c>
      <c r="AA57" s="53" t="s">
        <v>50</v>
      </c>
      <c r="AB57" s="127" t="s">
        <v>238</v>
      </c>
      <c r="AC57" s="34"/>
    </row>
    <row r="58" spans="1:29" x14ac:dyDescent="0.15">
      <c r="A58" s="127" t="s">
        <v>61</v>
      </c>
      <c r="B58" s="127" t="s">
        <v>234</v>
      </c>
      <c r="C58" s="127">
        <v>2019</v>
      </c>
      <c r="D58" s="128" t="s">
        <v>285</v>
      </c>
      <c r="E58" s="127" t="s">
        <v>303</v>
      </c>
      <c r="F58" s="127" t="s">
        <v>304</v>
      </c>
      <c r="G58" s="127" t="s">
        <v>42</v>
      </c>
      <c r="H58" s="53" t="s">
        <v>164</v>
      </c>
      <c r="I58" s="53" t="s">
        <v>159</v>
      </c>
      <c r="J58" s="127" t="s">
        <v>38</v>
      </c>
      <c r="K58" s="53" t="s">
        <v>161</v>
      </c>
      <c r="L58" s="53">
        <v>3</v>
      </c>
      <c r="N58" s="53">
        <v>1</v>
      </c>
      <c r="O58" s="53">
        <v>0.5</v>
      </c>
      <c r="P58" s="53">
        <v>0.5</v>
      </c>
      <c r="Q58" s="75">
        <f t="shared" si="3"/>
        <v>0.5</v>
      </c>
      <c r="R58" s="53">
        <v>19.8</v>
      </c>
      <c r="S58" s="53">
        <v>145</v>
      </c>
      <c r="T58" s="16">
        <f t="shared" si="4"/>
        <v>22</v>
      </c>
      <c r="U58" s="53">
        <v>128</v>
      </c>
      <c r="V58" s="129">
        <f t="shared" si="5"/>
        <v>2816</v>
      </c>
      <c r="W58" s="53">
        <v>6</v>
      </c>
      <c r="X58" s="127" t="s">
        <v>39</v>
      </c>
      <c r="Y58" s="53" t="s">
        <v>90</v>
      </c>
      <c r="Z58" s="53" t="s">
        <v>84</v>
      </c>
      <c r="AA58" s="53" t="s">
        <v>50</v>
      </c>
      <c r="AB58" s="127" t="s">
        <v>238</v>
      </c>
      <c r="AC58" s="34"/>
    </row>
    <row r="59" spans="1:29" x14ac:dyDescent="0.15">
      <c r="A59" s="127" t="s">
        <v>61</v>
      </c>
      <c r="B59" s="127" t="s">
        <v>234</v>
      </c>
      <c r="C59" s="127">
        <v>2019</v>
      </c>
      <c r="D59" s="128" t="s">
        <v>285</v>
      </c>
      <c r="E59" s="127" t="s">
        <v>303</v>
      </c>
      <c r="F59" s="127" t="s">
        <v>304</v>
      </c>
      <c r="G59" s="127" t="s">
        <v>42</v>
      </c>
      <c r="H59" s="53" t="s">
        <v>164</v>
      </c>
      <c r="I59" s="53" t="s">
        <v>165</v>
      </c>
      <c r="J59" s="127" t="s">
        <v>38</v>
      </c>
      <c r="K59" s="53" t="s">
        <v>161</v>
      </c>
      <c r="L59" s="53">
        <v>1</v>
      </c>
      <c r="N59" s="53">
        <v>5</v>
      </c>
      <c r="O59" s="53">
        <v>0.65</v>
      </c>
      <c r="P59" s="53">
        <v>0.85</v>
      </c>
      <c r="Q59" s="75">
        <f t="shared" si="3"/>
        <v>0.75</v>
      </c>
      <c r="R59" s="53">
        <v>14.8</v>
      </c>
      <c r="S59" s="53">
        <v>105</v>
      </c>
      <c r="T59" s="16">
        <f t="shared" si="4"/>
        <v>33</v>
      </c>
      <c r="U59" s="53">
        <v>398</v>
      </c>
      <c r="V59" s="129">
        <f t="shared" si="5"/>
        <v>2626.7999999999997</v>
      </c>
      <c r="W59" s="53">
        <v>6</v>
      </c>
      <c r="X59" s="127" t="s">
        <v>39</v>
      </c>
      <c r="Y59" s="53" t="s">
        <v>90</v>
      </c>
      <c r="Z59" s="53" t="s">
        <v>84</v>
      </c>
      <c r="AA59" s="53" t="s">
        <v>50</v>
      </c>
      <c r="AB59" s="127" t="s">
        <v>238</v>
      </c>
      <c r="AC59" s="34"/>
    </row>
    <row r="60" spans="1:29" x14ac:dyDescent="0.15">
      <c r="A60" s="127" t="s">
        <v>61</v>
      </c>
      <c r="B60" s="127" t="s">
        <v>234</v>
      </c>
      <c r="C60" s="127">
        <v>2019</v>
      </c>
      <c r="D60" s="128" t="s">
        <v>285</v>
      </c>
      <c r="E60" s="127" t="s">
        <v>303</v>
      </c>
      <c r="F60" s="127" t="s">
        <v>304</v>
      </c>
      <c r="G60" s="127" t="s">
        <v>42</v>
      </c>
      <c r="H60" s="53" t="s">
        <v>164</v>
      </c>
      <c r="I60" s="53" t="s">
        <v>165</v>
      </c>
      <c r="J60" s="127" t="s">
        <v>38</v>
      </c>
      <c r="K60" s="53" t="s">
        <v>161</v>
      </c>
      <c r="L60" s="53">
        <v>2</v>
      </c>
      <c r="N60" s="53">
        <v>5</v>
      </c>
      <c r="O60" s="53">
        <v>0.8</v>
      </c>
      <c r="P60" s="53">
        <v>0.75</v>
      </c>
      <c r="Q60" s="75">
        <f t="shared" si="3"/>
        <v>0.77500000000000002</v>
      </c>
      <c r="R60" s="53">
        <v>14.7</v>
      </c>
      <c r="S60" s="53">
        <v>106</v>
      </c>
      <c r="T60" s="16">
        <f t="shared" si="4"/>
        <v>33</v>
      </c>
      <c r="U60" s="53">
        <v>398</v>
      </c>
      <c r="V60" s="129">
        <f t="shared" si="5"/>
        <v>2626.7999999999997</v>
      </c>
      <c r="W60" s="53">
        <v>6</v>
      </c>
      <c r="X60" s="127" t="s">
        <v>39</v>
      </c>
      <c r="Y60" s="53" t="s">
        <v>90</v>
      </c>
      <c r="Z60" s="53" t="s">
        <v>84</v>
      </c>
      <c r="AA60" s="53" t="s">
        <v>50</v>
      </c>
      <c r="AB60" s="127" t="s">
        <v>238</v>
      </c>
      <c r="AC60" s="34"/>
    </row>
    <row r="61" spans="1:29" x14ac:dyDescent="0.15">
      <c r="A61" s="127" t="s">
        <v>61</v>
      </c>
      <c r="B61" s="127" t="s">
        <v>234</v>
      </c>
      <c r="C61" s="127">
        <v>2019</v>
      </c>
      <c r="D61" s="128" t="s">
        <v>285</v>
      </c>
      <c r="E61" s="127" t="s">
        <v>303</v>
      </c>
      <c r="F61" s="127" t="s">
        <v>304</v>
      </c>
      <c r="G61" s="127" t="s">
        <v>42</v>
      </c>
      <c r="H61" s="53" t="s">
        <v>164</v>
      </c>
      <c r="I61" s="53" t="s">
        <v>165</v>
      </c>
      <c r="J61" s="127" t="s">
        <v>38</v>
      </c>
      <c r="K61" s="53" t="s">
        <v>161</v>
      </c>
      <c r="L61" s="53">
        <v>3</v>
      </c>
      <c r="N61" s="53">
        <v>5</v>
      </c>
      <c r="O61" s="53">
        <v>0.95</v>
      </c>
      <c r="P61" s="53">
        <v>0.75</v>
      </c>
      <c r="Q61" s="75">
        <f t="shared" si="3"/>
        <v>0.85</v>
      </c>
      <c r="R61" s="53">
        <v>14.4</v>
      </c>
      <c r="S61" s="53">
        <v>98</v>
      </c>
      <c r="T61" s="16">
        <f t="shared" si="4"/>
        <v>36</v>
      </c>
      <c r="U61" s="53">
        <v>398</v>
      </c>
      <c r="V61" s="129">
        <f t="shared" si="5"/>
        <v>2865.6</v>
      </c>
      <c r="W61" s="53">
        <v>6</v>
      </c>
      <c r="X61" s="127" t="s">
        <v>39</v>
      </c>
      <c r="Y61" s="53" t="s">
        <v>90</v>
      </c>
      <c r="Z61" s="53" t="s">
        <v>84</v>
      </c>
      <c r="AA61" s="53" t="s">
        <v>50</v>
      </c>
      <c r="AB61" s="127" t="s">
        <v>238</v>
      </c>
      <c r="AC61" s="34"/>
    </row>
    <row r="62" spans="1:29" x14ac:dyDescent="0.15">
      <c r="A62" s="127" t="s">
        <v>61</v>
      </c>
      <c r="B62" s="127" t="s">
        <v>234</v>
      </c>
      <c r="C62" s="127">
        <v>2019</v>
      </c>
      <c r="D62" s="128" t="s">
        <v>285</v>
      </c>
      <c r="E62" s="127" t="s">
        <v>303</v>
      </c>
      <c r="F62" s="127" t="s">
        <v>304</v>
      </c>
      <c r="G62" s="127" t="s">
        <v>42</v>
      </c>
      <c r="H62" s="53" t="s">
        <v>160</v>
      </c>
      <c r="I62" s="53" t="s">
        <v>159</v>
      </c>
      <c r="J62" s="127" t="s">
        <v>38</v>
      </c>
      <c r="K62" s="53" t="s">
        <v>161</v>
      </c>
      <c r="L62" s="53">
        <v>1</v>
      </c>
      <c r="N62" s="53">
        <v>4</v>
      </c>
      <c r="O62" s="53">
        <v>0.5</v>
      </c>
      <c r="P62" s="53">
        <v>0.5</v>
      </c>
      <c r="Q62" s="75">
        <f t="shared" si="3"/>
        <v>0.5</v>
      </c>
      <c r="R62" s="53">
        <v>18.100000000000001</v>
      </c>
      <c r="S62" s="53">
        <v>72</v>
      </c>
      <c r="T62" s="16">
        <f t="shared" si="4"/>
        <v>42</v>
      </c>
      <c r="U62" s="53">
        <v>498</v>
      </c>
      <c r="V62" s="129">
        <f t="shared" si="5"/>
        <v>5229</v>
      </c>
      <c r="W62" s="53">
        <v>6</v>
      </c>
      <c r="X62" s="127" t="s">
        <v>39</v>
      </c>
      <c r="Y62" s="53" t="s">
        <v>90</v>
      </c>
      <c r="Z62" s="53" t="s">
        <v>84</v>
      </c>
      <c r="AA62" s="53" t="s">
        <v>50</v>
      </c>
      <c r="AB62" s="127" t="s">
        <v>238</v>
      </c>
      <c r="AC62" s="34"/>
    </row>
    <row r="63" spans="1:29" x14ac:dyDescent="0.15">
      <c r="A63" s="127" t="s">
        <v>61</v>
      </c>
      <c r="B63" s="127" t="s">
        <v>234</v>
      </c>
      <c r="C63" s="127">
        <v>2019</v>
      </c>
      <c r="D63" s="128" t="s">
        <v>285</v>
      </c>
      <c r="E63" s="127" t="s">
        <v>303</v>
      </c>
      <c r="F63" s="127" t="s">
        <v>304</v>
      </c>
      <c r="G63" s="127" t="s">
        <v>42</v>
      </c>
      <c r="H63" s="53" t="s">
        <v>160</v>
      </c>
      <c r="I63" s="53" t="s">
        <v>159</v>
      </c>
      <c r="J63" s="127" t="s">
        <v>38</v>
      </c>
      <c r="K63" s="53" t="s">
        <v>161</v>
      </c>
      <c r="L63" s="53">
        <v>2</v>
      </c>
      <c r="N63" s="53">
        <v>4</v>
      </c>
      <c r="O63" s="53">
        <v>0.5</v>
      </c>
      <c r="P63" s="53">
        <v>0.5</v>
      </c>
      <c r="Q63" s="75">
        <f t="shared" si="3"/>
        <v>0.5</v>
      </c>
      <c r="R63" s="53">
        <v>17.8</v>
      </c>
      <c r="S63" s="53">
        <v>81</v>
      </c>
      <c r="T63" s="16">
        <f t="shared" si="4"/>
        <v>39</v>
      </c>
      <c r="U63" s="53">
        <v>498</v>
      </c>
      <c r="V63" s="129">
        <f t="shared" si="5"/>
        <v>4855.5</v>
      </c>
      <c r="W63" s="53">
        <v>6</v>
      </c>
      <c r="X63" s="127" t="s">
        <v>39</v>
      </c>
      <c r="Y63" s="53" t="s">
        <v>90</v>
      </c>
      <c r="Z63" s="53" t="s">
        <v>84</v>
      </c>
      <c r="AA63" s="53" t="s">
        <v>50</v>
      </c>
      <c r="AB63" s="127" t="s">
        <v>238</v>
      </c>
      <c r="AC63" s="34"/>
    </row>
    <row r="64" spans="1:29" x14ac:dyDescent="0.15">
      <c r="A64" s="127" t="s">
        <v>61</v>
      </c>
      <c r="B64" s="127" t="s">
        <v>234</v>
      </c>
      <c r="C64" s="127">
        <v>2019</v>
      </c>
      <c r="D64" s="128" t="s">
        <v>285</v>
      </c>
      <c r="E64" s="127" t="s">
        <v>303</v>
      </c>
      <c r="F64" s="127" t="s">
        <v>304</v>
      </c>
      <c r="G64" s="127" t="s">
        <v>42</v>
      </c>
      <c r="H64" s="53" t="s">
        <v>160</v>
      </c>
      <c r="I64" s="53" t="s">
        <v>159</v>
      </c>
      <c r="J64" s="127" t="s">
        <v>38</v>
      </c>
      <c r="K64" s="53" t="s">
        <v>161</v>
      </c>
      <c r="L64" s="53">
        <v>3</v>
      </c>
      <c r="N64" s="53">
        <v>4</v>
      </c>
      <c r="O64" s="53">
        <v>0.5</v>
      </c>
      <c r="P64" s="53">
        <v>0.5</v>
      </c>
      <c r="Q64" s="75">
        <f t="shared" si="3"/>
        <v>0.5</v>
      </c>
      <c r="R64" s="53">
        <v>17.8</v>
      </c>
      <c r="S64" s="53">
        <v>78</v>
      </c>
      <c r="T64" s="16">
        <f t="shared" si="4"/>
        <v>39</v>
      </c>
      <c r="U64" s="53">
        <v>498</v>
      </c>
      <c r="V64" s="129">
        <f t="shared" si="5"/>
        <v>4855.5</v>
      </c>
      <c r="W64" s="53">
        <v>6</v>
      </c>
      <c r="X64" s="127" t="s">
        <v>39</v>
      </c>
      <c r="Y64" s="53" t="s">
        <v>90</v>
      </c>
      <c r="Z64" s="53" t="s">
        <v>84</v>
      </c>
      <c r="AA64" s="53" t="s">
        <v>50</v>
      </c>
      <c r="AB64" s="127" t="s">
        <v>238</v>
      </c>
      <c r="AC64" s="34"/>
    </row>
    <row r="65" spans="1:29" x14ac:dyDescent="0.15">
      <c r="A65" s="127" t="s">
        <v>61</v>
      </c>
      <c r="B65" s="127" t="s">
        <v>234</v>
      </c>
      <c r="C65" s="127">
        <v>2019</v>
      </c>
      <c r="D65" s="128" t="s">
        <v>285</v>
      </c>
      <c r="E65" s="127" t="s">
        <v>305</v>
      </c>
      <c r="F65" s="127" t="s">
        <v>304</v>
      </c>
      <c r="G65" s="127" t="s">
        <v>42</v>
      </c>
      <c r="H65" s="53" t="s">
        <v>164</v>
      </c>
      <c r="I65" s="53" t="s">
        <v>159</v>
      </c>
      <c r="J65" s="127" t="s">
        <v>38</v>
      </c>
      <c r="K65" s="53" t="s">
        <v>161</v>
      </c>
      <c r="L65" s="53">
        <v>1</v>
      </c>
      <c r="N65" s="53">
        <v>4</v>
      </c>
      <c r="O65" s="53">
        <v>0.5</v>
      </c>
      <c r="P65" s="53">
        <v>0.5</v>
      </c>
      <c r="Q65" s="75">
        <f t="shared" si="3"/>
        <v>0.5</v>
      </c>
      <c r="R65" s="53">
        <v>15.1</v>
      </c>
      <c r="S65" s="53">
        <v>113</v>
      </c>
      <c r="T65" s="16">
        <f t="shared" si="4"/>
        <v>30</v>
      </c>
      <c r="U65" s="53">
        <v>429</v>
      </c>
      <c r="V65" s="129">
        <f t="shared" si="5"/>
        <v>3217.5</v>
      </c>
      <c r="W65" s="53">
        <v>12</v>
      </c>
      <c r="X65" s="127" t="s">
        <v>46</v>
      </c>
      <c r="Y65" s="53" t="s">
        <v>90</v>
      </c>
      <c r="Z65" s="53" t="s">
        <v>84</v>
      </c>
      <c r="AA65" s="53" t="s">
        <v>69</v>
      </c>
      <c r="AB65" s="127" t="s">
        <v>238</v>
      </c>
      <c r="AC65" s="34"/>
    </row>
    <row r="66" spans="1:29" x14ac:dyDescent="0.15">
      <c r="A66" s="127" t="s">
        <v>61</v>
      </c>
      <c r="B66" s="127" t="s">
        <v>234</v>
      </c>
      <c r="C66" s="127">
        <v>2019</v>
      </c>
      <c r="D66" s="128" t="s">
        <v>285</v>
      </c>
      <c r="E66" s="127" t="s">
        <v>305</v>
      </c>
      <c r="F66" s="127" t="s">
        <v>304</v>
      </c>
      <c r="G66" s="127" t="s">
        <v>42</v>
      </c>
      <c r="H66" s="53" t="s">
        <v>164</v>
      </c>
      <c r="I66" s="53" t="s">
        <v>159</v>
      </c>
      <c r="J66" s="127" t="s">
        <v>38</v>
      </c>
      <c r="K66" s="53" t="s">
        <v>161</v>
      </c>
      <c r="L66" s="53">
        <v>2</v>
      </c>
      <c r="N66" s="53">
        <v>4</v>
      </c>
      <c r="O66" s="53">
        <v>0.65</v>
      </c>
      <c r="P66" s="53">
        <v>0.85</v>
      </c>
      <c r="Q66" s="75">
        <f t="shared" si="3"/>
        <v>0.75</v>
      </c>
      <c r="R66" s="53">
        <v>14.7</v>
      </c>
      <c r="S66" s="53">
        <v>108</v>
      </c>
      <c r="T66" s="16">
        <f t="shared" si="4"/>
        <v>33</v>
      </c>
      <c r="U66" s="53">
        <v>429</v>
      </c>
      <c r="V66" s="129">
        <f t="shared" si="5"/>
        <v>3539.25</v>
      </c>
      <c r="W66" s="53">
        <v>12</v>
      </c>
      <c r="X66" s="127" t="s">
        <v>46</v>
      </c>
      <c r="Y66" s="53" t="s">
        <v>90</v>
      </c>
      <c r="Z66" s="53" t="s">
        <v>84</v>
      </c>
      <c r="AA66" s="53" t="s">
        <v>69</v>
      </c>
      <c r="AB66" s="127" t="s">
        <v>238</v>
      </c>
      <c r="AC66" s="34"/>
    </row>
    <row r="67" spans="1:29" x14ac:dyDescent="0.15">
      <c r="A67" s="127" t="s">
        <v>61</v>
      </c>
      <c r="B67" s="127" t="s">
        <v>234</v>
      </c>
      <c r="C67" s="127">
        <v>2019</v>
      </c>
      <c r="D67" s="128" t="s">
        <v>285</v>
      </c>
      <c r="E67" s="127" t="s">
        <v>305</v>
      </c>
      <c r="F67" s="127" t="s">
        <v>304</v>
      </c>
      <c r="G67" s="127" t="s">
        <v>42</v>
      </c>
      <c r="H67" s="53" t="s">
        <v>164</v>
      </c>
      <c r="I67" s="53" t="s">
        <v>159</v>
      </c>
      <c r="J67" s="127" t="s">
        <v>38</v>
      </c>
      <c r="K67" s="53" t="s">
        <v>161</v>
      </c>
      <c r="L67" s="53">
        <v>3</v>
      </c>
      <c r="N67" s="53">
        <v>4</v>
      </c>
      <c r="O67" s="53">
        <v>0.5</v>
      </c>
      <c r="P67" s="53">
        <v>0.5</v>
      </c>
      <c r="Q67" s="75">
        <f t="shared" si="3"/>
        <v>0.5</v>
      </c>
      <c r="R67" s="53">
        <v>14</v>
      </c>
      <c r="S67" s="53">
        <v>108</v>
      </c>
      <c r="T67" s="16">
        <f t="shared" si="4"/>
        <v>33</v>
      </c>
      <c r="U67" s="53">
        <v>429</v>
      </c>
      <c r="V67" s="129">
        <f t="shared" si="5"/>
        <v>3539.25</v>
      </c>
      <c r="W67" s="53">
        <v>12</v>
      </c>
      <c r="X67" s="127" t="s">
        <v>46</v>
      </c>
      <c r="Y67" s="53" t="s">
        <v>90</v>
      </c>
      <c r="Z67" s="53" t="s">
        <v>84</v>
      </c>
      <c r="AA67" s="53" t="s">
        <v>69</v>
      </c>
      <c r="AB67" s="127" t="s">
        <v>238</v>
      </c>
      <c r="AC67" s="34"/>
    </row>
    <row r="68" spans="1:29" x14ac:dyDescent="0.15">
      <c r="A68" s="127" t="s">
        <v>61</v>
      </c>
      <c r="B68" s="127" t="s">
        <v>234</v>
      </c>
      <c r="C68" s="127">
        <v>2019</v>
      </c>
      <c r="D68" s="128" t="s">
        <v>285</v>
      </c>
      <c r="E68" s="127" t="s">
        <v>305</v>
      </c>
      <c r="F68" s="127" t="s">
        <v>304</v>
      </c>
      <c r="G68" s="127" t="s">
        <v>42</v>
      </c>
      <c r="H68" s="53" t="s">
        <v>160</v>
      </c>
      <c r="I68" s="53" t="s">
        <v>159</v>
      </c>
      <c r="J68" s="127" t="s">
        <v>38</v>
      </c>
      <c r="K68" s="53" t="s">
        <v>161</v>
      </c>
      <c r="L68" s="53">
        <v>1</v>
      </c>
      <c r="N68" s="53">
        <v>4</v>
      </c>
      <c r="O68" s="53">
        <v>0.5</v>
      </c>
      <c r="P68" s="53">
        <v>0.5</v>
      </c>
      <c r="Q68" s="75">
        <f t="shared" si="3"/>
        <v>0.5</v>
      </c>
      <c r="R68" s="53">
        <v>14.5</v>
      </c>
      <c r="S68" s="53">
        <v>113</v>
      </c>
      <c r="T68" s="16">
        <f t="shared" si="4"/>
        <v>30</v>
      </c>
      <c r="U68" s="53">
        <v>537</v>
      </c>
      <c r="V68" s="129">
        <f t="shared" si="5"/>
        <v>4027.5</v>
      </c>
      <c r="W68" s="53">
        <v>12</v>
      </c>
      <c r="X68" s="127" t="s">
        <v>46</v>
      </c>
      <c r="Y68" s="53" t="s">
        <v>90</v>
      </c>
      <c r="Z68" s="53" t="s">
        <v>84</v>
      </c>
      <c r="AA68" s="53" t="s">
        <v>69</v>
      </c>
      <c r="AB68" s="127" t="s">
        <v>238</v>
      </c>
    </row>
    <row r="69" spans="1:29" x14ac:dyDescent="0.15">
      <c r="A69" s="127" t="s">
        <v>61</v>
      </c>
      <c r="B69" s="127" t="s">
        <v>234</v>
      </c>
      <c r="C69" s="127">
        <v>2019</v>
      </c>
      <c r="D69" s="128" t="s">
        <v>285</v>
      </c>
      <c r="E69" s="127" t="s">
        <v>305</v>
      </c>
      <c r="F69" s="127" t="s">
        <v>304</v>
      </c>
      <c r="G69" s="127" t="s">
        <v>42</v>
      </c>
      <c r="H69" s="53" t="s">
        <v>160</v>
      </c>
      <c r="I69" s="53" t="s">
        <v>159</v>
      </c>
      <c r="J69" s="127" t="s">
        <v>38</v>
      </c>
      <c r="K69" s="53" t="s">
        <v>161</v>
      </c>
      <c r="L69" s="53">
        <v>2</v>
      </c>
      <c r="N69" s="53">
        <v>4</v>
      </c>
      <c r="O69" s="53">
        <v>0.5</v>
      </c>
      <c r="P69" s="53">
        <v>0.5</v>
      </c>
      <c r="Q69" s="75">
        <f t="shared" si="3"/>
        <v>0.5</v>
      </c>
      <c r="R69" s="53">
        <v>14.6</v>
      </c>
      <c r="S69" s="53">
        <v>112</v>
      </c>
      <c r="T69" s="16">
        <f t="shared" si="4"/>
        <v>33</v>
      </c>
      <c r="U69" s="53">
        <v>537</v>
      </c>
      <c r="V69" s="129">
        <f t="shared" si="5"/>
        <v>4430.25</v>
      </c>
      <c r="W69" s="53">
        <v>12</v>
      </c>
      <c r="X69" s="127" t="s">
        <v>46</v>
      </c>
      <c r="Y69" s="53" t="s">
        <v>90</v>
      </c>
      <c r="Z69" s="53" t="s">
        <v>84</v>
      </c>
      <c r="AA69" s="53" t="s">
        <v>69</v>
      </c>
      <c r="AB69" s="127" t="s">
        <v>238</v>
      </c>
    </row>
    <row r="70" spans="1:29" x14ac:dyDescent="0.15">
      <c r="A70" s="127" t="s">
        <v>61</v>
      </c>
      <c r="B70" s="127" t="s">
        <v>234</v>
      </c>
      <c r="C70" s="127">
        <v>2019</v>
      </c>
      <c r="D70" s="128" t="s">
        <v>285</v>
      </c>
      <c r="E70" s="127" t="s">
        <v>305</v>
      </c>
      <c r="F70" s="127" t="s">
        <v>304</v>
      </c>
      <c r="G70" s="127" t="s">
        <v>42</v>
      </c>
      <c r="H70" s="53" t="s">
        <v>160</v>
      </c>
      <c r="I70" s="53" t="s">
        <v>159</v>
      </c>
      <c r="J70" s="127" t="s">
        <v>38</v>
      </c>
      <c r="K70" s="53" t="s">
        <v>161</v>
      </c>
      <c r="L70" s="53">
        <v>3</v>
      </c>
      <c r="N70" s="53">
        <v>4</v>
      </c>
      <c r="O70" s="53">
        <v>0.5</v>
      </c>
      <c r="P70" s="53">
        <v>0.5</v>
      </c>
      <c r="Q70" s="75">
        <f t="shared" si="3"/>
        <v>0.5</v>
      </c>
      <c r="R70" s="53">
        <v>14.8</v>
      </c>
      <c r="S70" s="53">
        <v>116</v>
      </c>
      <c r="T70" s="16">
        <f t="shared" si="4"/>
        <v>30</v>
      </c>
      <c r="U70" s="53">
        <v>537</v>
      </c>
      <c r="V70" s="129">
        <f t="shared" si="5"/>
        <v>4027.5</v>
      </c>
      <c r="W70" s="53">
        <v>12</v>
      </c>
      <c r="X70" s="127" t="s">
        <v>46</v>
      </c>
      <c r="Y70" s="53" t="s">
        <v>90</v>
      </c>
      <c r="Z70" s="53" t="s">
        <v>84</v>
      </c>
      <c r="AA70" s="53" t="s">
        <v>69</v>
      </c>
      <c r="AB70" s="127" t="s">
        <v>238</v>
      </c>
    </row>
    <row r="71" spans="1:29" x14ac:dyDescent="0.15">
      <c r="A71" s="127" t="s">
        <v>61</v>
      </c>
      <c r="B71" s="127" t="s">
        <v>234</v>
      </c>
      <c r="C71" s="127">
        <v>2019</v>
      </c>
      <c r="D71" s="128" t="s">
        <v>285</v>
      </c>
      <c r="E71" s="127" t="s">
        <v>305</v>
      </c>
      <c r="F71" s="127" t="s">
        <v>304</v>
      </c>
      <c r="G71" s="127" t="s">
        <v>42</v>
      </c>
      <c r="H71" s="53" t="s">
        <v>127</v>
      </c>
      <c r="I71" s="53" t="s">
        <v>159</v>
      </c>
      <c r="J71" s="127" t="s">
        <v>58</v>
      </c>
      <c r="K71" s="53" t="s">
        <v>59</v>
      </c>
      <c r="L71" s="53">
        <v>1</v>
      </c>
      <c r="N71" s="53">
        <v>5</v>
      </c>
      <c r="O71" s="53">
        <v>0.5</v>
      </c>
      <c r="P71" s="53">
        <v>0.6</v>
      </c>
      <c r="Q71" s="75">
        <f t="shared" si="3"/>
        <v>0.55000000000000004</v>
      </c>
      <c r="R71" s="53">
        <v>13.7</v>
      </c>
      <c r="S71" s="53">
        <v>62</v>
      </c>
      <c r="T71" s="16">
        <f t="shared" si="4"/>
        <v>50</v>
      </c>
      <c r="U71" s="53">
        <v>429</v>
      </c>
      <c r="V71" s="129">
        <f t="shared" si="5"/>
        <v>4290</v>
      </c>
      <c r="W71" s="53">
        <v>12</v>
      </c>
      <c r="X71" s="127" t="s">
        <v>46</v>
      </c>
      <c r="Y71" s="53" t="s">
        <v>90</v>
      </c>
      <c r="Z71" s="53" t="s">
        <v>84</v>
      </c>
      <c r="AA71" s="53" t="s">
        <v>69</v>
      </c>
      <c r="AB71" s="127" t="s">
        <v>238</v>
      </c>
      <c r="AC71" s="34"/>
    </row>
    <row r="72" spans="1:29" x14ac:dyDescent="0.15">
      <c r="A72" s="127" t="s">
        <v>61</v>
      </c>
      <c r="B72" s="127" t="s">
        <v>234</v>
      </c>
      <c r="C72" s="127">
        <v>2019</v>
      </c>
      <c r="D72" s="128" t="s">
        <v>285</v>
      </c>
      <c r="E72" s="127" t="s">
        <v>305</v>
      </c>
      <c r="F72" s="127" t="s">
        <v>304</v>
      </c>
      <c r="G72" s="127" t="s">
        <v>42</v>
      </c>
      <c r="H72" s="53" t="s">
        <v>127</v>
      </c>
      <c r="I72" s="53" t="s">
        <v>159</v>
      </c>
      <c r="J72" s="127" t="s">
        <v>58</v>
      </c>
      <c r="K72" s="53" t="s">
        <v>59</v>
      </c>
      <c r="L72" s="53">
        <v>2</v>
      </c>
      <c r="N72" s="53">
        <v>5</v>
      </c>
      <c r="O72" s="53">
        <v>0.5</v>
      </c>
      <c r="P72" s="53">
        <v>0.5</v>
      </c>
      <c r="Q72" s="75">
        <f t="shared" si="3"/>
        <v>0.5</v>
      </c>
      <c r="R72" s="53">
        <v>12.7</v>
      </c>
      <c r="S72" s="53">
        <v>52</v>
      </c>
      <c r="T72" s="16">
        <f t="shared" si="4"/>
        <v>50</v>
      </c>
      <c r="U72" s="53">
        <v>429</v>
      </c>
      <c r="V72" s="129">
        <f t="shared" si="5"/>
        <v>4290</v>
      </c>
      <c r="W72" s="53">
        <v>12</v>
      </c>
      <c r="X72" s="127" t="s">
        <v>46</v>
      </c>
      <c r="Y72" s="53" t="s">
        <v>90</v>
      </c>
      <c r="Z72" s="53" t="s">
        <v>84</v>
      </c>
      <c r="AA72" s="53" t="s">
        <v>69</v>
      </c>
      <c r="AB72" s="127" t="s">
        <v>238</v>
      </c>
      <c r="AC72" s="34"/>
    </row>
    <row r="73" spans="1:29" x14ac:dyDescent="0.15">
      <c r="A73" s="127" t="s">
        <v>61</v>
      </c>
      <c r="B73" s="127" t="s">
        <v>234</v>
      </c>
      <c r="C73" s="127">
        <v>2019</v>
      </c>
      <c r="D73" s="128" t="s">
        <v>285</v>
      </c>
      <c r="E73" s="127" t="s">
        <v>305</v>
      </c>
      <c r="F73" s="127" t="s">
        <v>304</v>
      </c>
      <c r="G73" s="127" t="s">
        <v>42</v>
      </c>
      <c r="H73" s="53" t="s">
        <v>127</v>
      </c>
      <c r="I73" s="53" t="s">
        <v>159</v>
      </c>
      <c r="J73" s="127" t="s">
        <v>58</v>
      </c>
      <c r="K73" s="53" t="s">
        <v>59</v>
      </c>
      <c r="L73" s="53">
        <v>3</v>
      </c>
      <c r="N73" s="53">
        <v>5</v>
      </c>
      <c r="O73" s="53">
        <v>0.65</v>
      </c>
      <c r="P73" s="53">
        <v>0.5</v>
      </c>
      <c r="Q73" s="75">
        <f t="shared" si="3"/>
        <v>0.57499999999999996</v>
      </c>
      <c r="R73" s="53">
        <v>12.1</v>
      </c>
      <c r="S73" s="53">
        <v>58</v>
      </c>
      <c r="T73" s="16">
        <f t="shared" si="4"/>
        <v>50</v>
      </c>
      <c r="U73" s="53">
        <v>429</v>
      </c>
      <c r="V73" s="129">
        <f t="shared" si="5"/>
        <v>4290</v>
      </c>
      <c r="W73" s="53">
        <v>12</v>
      </c>
      <c r="X73" s="127" t="s">
        <v>46</v>
      </c>
      <c r="Y73" s="53" t="s">
        <v>90</v>
      </c>
      <c r="Z73" s="53" t="s">
        <v>84</v>
      </c>
      <c r="AA73" s="53" t="s">
        <v>69</v>
      </c>
      <c r="AB73" s="127" t="s">
        <v>238</v>
      </c>
      <c r="AC73" s="34"/>
    </row>
    <row r="74" spans="1:29" x14ac:dyDescent="0.15">
      <c r="A74" s="127"/>
      <c r="B74" s="127"/>
      <c r="C74" s="127"/>
      <c r="D74" s="128"/>
      <c r="F74" s="127"/>
      <c r="G74" s="127"/>
      <c r="J74" s="127"/>
      <c r="Q74" s="75" t="str">
        <f t="shared" si="3"/>
        <v/>
      </c>
      <c r="T74" s="16" t="str">
        <f t="shared" si="4"/>
        <v/>
      </c>
      <c r="V74" s="129" t="str">
        <f t="shared" si="5"/>
        <v/>
      </c>
      <c r="X74" s="127"/>
      <c r="AB74" s="127"/>
      <c r="AC74" s="34"/>
    </row>
    <row r="75" spans="1:29" x14ac:dyDescent="0.15">
      <c r="A75" s="127"/>
      <c r="B75" s="127"/>
      <c r="C75" s="127"/>
      <c r="D75" s="128"/>
      <c r="F75" s="127"/>
      <c r="G75" s="127"/>
      <c r="J75" s="127"/>
      <c r="Q75" s="75" t="str">
        <f t="shared" si="3"/>
        <v/>
      </c>
      <c r="T75" s="16" t="str">
        <f t="shared" si="4"/>
        <v/>
      </c>
      <c r="V75" s="129" t="str">
        <f t="shared" si="5"/>
        <v/>
      </c>
      <c r="X75" s="127"/>
      <c r="AB75" s="127"/>
      <c r="AC75" s="34"/>
    </row>
    <row r="76" spans="1:29" x14ac:dyDescent="0.15">
      <c r="A76" s="127"/>
      <c r="B76" s="127"/>
      <c r="C76" s="127"/>
      <c r="D76" s="128"/>
      <c r="G76" s="127"/>
      <c r="J76" s="127"/>
      <c r="Q76" s="75" t="str">
        <f t="shared" si="3"/>
        <v/>
      </c>
      <c r="T76" s="16" t="str">
        <f t="shared" si="4"/>
        <v/>
      </c>
      <c r="V76" s="129" t="str">
        <f t="shared" si="5"/>
        <v/>
      </c>
      <c r="X76" s="127"/>
      <c r="AB76" s="127"/>
      <c r="AC76" s="34"/>
    </row>
    <row r="77" spans="1:29" x14ac:dyDescent="0.15">
      <c r="A77" s="127"/>
      <c r="B77" s="127"/>
      <c r="C77" s="127"/>
      <c r="D77" s="128"/>
      <c r="G77" s="127"/>
      <c r="J77" s="127"/>
      <c r="Q77" s="75"/>
      <c r="V77" s="129"/>
      <c r="X77" s="127"/>
      <c r="AB77" s="127"/>
    </row>
    <row r="78" spans="1:29" x14ac:dyDescent="0.15">
      <c r="A78" s="127"/>
      <c r="B78" s="127"/>
      <c r="C78" s="127"/>
      <c r="D78" s="128"/>
      <c r="G78" s="127"/>
      <c r="J78" s="127"/>
      <c r="Q78" s="75"/>
      <c r="V78" s="129"/>
      <c r="X78" s="127"/>
      <c r="AB78" s="127"/>
    </row>
    <row r="79" spans="1:29" x14ac:dyDescent="0.15">
      <c r="A79" s="127"/>
      <c r="B79" s="127"/>
      <c r="C79" s="127"/>
      <c r="D79" s="128"/>
      <c r="G79" s="127"/>
      <c r="J79" s="127"/>
      <c r="Q79" s="75"/>
      <c r="V79" s="129"/>
      <c r="X79" s="127"/>
      <c r="AB79" s="127"/>
    </row>
    <row r="80" spans="1:29" x14ac:dyDescent="0.15">
      <c r="A80" s="127"/>
      <c r="B80" s="127"/>
      <c r="C80" s="127"/>
      <c r="D80" s="128"/>
      <c r="G80" s="127"/>
      <c r="J80" s="127"/>
      <c r="Q80" s="75" t="str">
        <f>IF(OR(O80="",P80=""),"",AVERAGE(O80,P80))</f>
        <v/>
      </c>
      <c r="T80" s="16" t="str">
        <f>IF(H80="","",IF(OR(H80="GREEN",H80="GK"),IF(S80&gt;=$AX$2,VLOOKUP(S80,$AX$2:$AY$18,2,1),""),IF(S80&gt;=$AZ$2,VLOOKUP(S80,$AZ$2:$BA$18,2,1),"")))</f>
        <v/>
      </c>
      <c r="V80" s="129" t="str">
        <f t="shared" ref="V80:V82" si="6">IF(OR(N80="",U80="",T80=""),"",U80/N80*T80)</f>
        <v/>
      </c>
      <c r="X80" s="127"/>
      <c r="AB80" s="127"/>
    </row>
    <row r="81" spans="1:28" x14ac:dyDescent="0.15">
      <c r="A81" s="127"/>
      <c r="B81" s="127"/>
      <c r="C81" s="127"/>
      <c r="D81" s="128"/>
      <c r="G81" s="127"/>
      <c r="J81" s="127"/>
      <c r="Q81" s="75" t="str">
        <f>IF(OR(O81="",P81=""),"",AVERAGE(O81,P81))</f>
        <v/>
      </c>
      <c r="T81" s="16" t="str">
        <f>IF(H81="","",IF(OR(H81="GREEN",H81="GK"),IF(S81&gt;=$AX$2,VLOOKUP(S81,$AX$2:$AY$18,2,1),""),IF(S81&gt;=$AZ$2,VLOOKUP(S81,$AZ$2:$BA$18,2,1),"")))</f>
        <v/>
      </c>
      <c r="V81" s="129" t="str">
        <f t="shared" si="6"/>
        <v/>
      </c>
      <c r="X81" s="127"/>
      <c r="AB81" s="127"/>
    </row>
    <row r="82" spans="1:28" x14ac:dyDescent="0.15">
      <c r="A82" s="127"/>
      <c r="B82" s="127"/>
      <c r="C82" s="127"/>
      <c r="D82" s="128"/>
      <c r="G82" s="127"/>
      <c r="J82" s="127"/>
      <c r="Q82" s="75" t="str">
        <f>IF(OR(O82="",P82=""),"",AVERAGE(O82,P82))</f>
        <v/>
      </c>
      <c r="T82" s="16" t="str">
        <f>IF(H82="","",IF(OR(H82="GREEN",H82="GK"),IF(S82&gt;=$AX$2,VLOOKUP(S82,$AX$2:$AY$18,2,1),""),IF(S82&gt;=$AZ$2,VLOOKUP(S82,$AZ$2:$BA$18,2,1),"")))</f>
        <v/>
      </c>
      <c r="V82" s="129" t="str">
        <f t="shared" si="6"/>
        <v/>
      </c>
      <c r="X82" s="127"/>
      <c r="AB82" s="127"/>
    </row>
    <row r="83" spans="1:28" x14ac:dyDescent="0.15">
      <c r="A83" s="127"/>
      <c r="B83" s="127"/>
      <c r="C83" s="127"/>
      <c r="D83" s="128"/>
      <c r="G83" s="127"/>
      <c r="J83" s="127"/>
      <c r="Q83" s="75"/>
      <c r="V83" s="129"/>
      <c r="X83" s="127"/>
      <c r="AB83" s="127"/>
    </row>
    <row r="84" spans="1:28" x14ac:dyDescent="0.15">
      <c r="A84" s="127"/>
      <c r="B84" s="127"/>
      <c r="C84" s="127"/>
      <c r="D84" s="128"/>
      <c r="G84" s="127"/>
      <c r="J84" s="127"/>
      <c r="Q84" s="75"/>
      <c r="V84" s="129"/>
      <c r="X84" s="127"/>
      <c r="AB84" s="127"/>
    </row>
    <row r="85" spans="1:28" x14ac:dyDescent="0.15">
      <c r="A85" s="127"/>
      <c r="B85" s="127"/>
      <c r="C85" s="127"/>
      <c r="D85" s="128"/>
      <c r="G85" s="127"/>
      <c r="J85" s="127"/>
      <c r="Q85" s="75"/>
      <c r="V85" s="129"/>
      <c r="X85" s="127"/>
      <c r="AB85" s="127"/>
    </row>
    <row r="86" spans="1:28" x14ac:dyDescent="0.15">
      <c r="A86" s="127"/>
      <c r="B86" s="127"/>
      <c r="C86" s="127"/>
      <c r="D86" s="128"/>
      <c r="G86" s="127"/>
      <c r="J86" s="127"/>
      <c r="Q86" s="75"/>
      <c r="V86" s="129"/>
      <c r="X86" s="127"/>
      <c r="AB86" s="127"/>
    </row>
    <row r="87" spans="1:28" x14ac:dyDescent="0.15">
      <c r="A87" s="127"/>
      <c r="B87" s="127"/>
      <c r="C87" s="127"/>
      <c r="D87" s="128"/>
      <c r="G87" s="127"/>
      <c r="J87" s="127"/>
      <c r="Q87" s="75"/>
      <c r="V87" s="129"/>
      <c r="X87" s="127"/>
      <c r="AB87" s="127"/>
    </row>
    <row r="88" spans="1:28" x14ac:dyDescent="0.15">
      <c r="A88" s="127"/>
      <c r="B88" s="127"/>
      <c r="C88" s="127"/>
      <c r="D88" s="128"/>
      <c r="G88" s="127"/>
      <c r="J88" s="127"/>
      <c r="Q88" s="75"/>
      <c r="V88" s="129"/>
      <c r="X88" s="127"/>
      <c r="AB88" s="127"/>
    </row>
    <row r="89" spans="1:28" x14ac:dyDescent="0.15">
      <c r="A89" s="127"/>
      <c r="B89" s="127"/>
      <c r="C89" s="127"/>
      <c r="D89" s="128"/>
      <c r="G89" s="127"/>
      <c r="J89" s="127"/>
      <c r="Q89" s="75"/>
      <c r="V89" s="129"/>
      <c r="X89" s="127"/>
      <c r="AB89" s="127"/>
    </row>
    <row r="90" spans="1:28" x14ac:dyDescent="0.15">
      <c r="A90" s="127"/>
      <c r="B90" s="127"/>
      <c r="C90" s="127"/>
      <c r="D90" s="128"/>
      <c r="G90" s="127"/>
      <c r="J90" s="127"/>
      <c r="Q90" s="75"/>
      <c r="V90" s="129"/>
      <c r="X90" s="127"/>
      <c r="AB90" s="127"/>
    </row>
    <row r="91" spans="1:28" x14ac:dyDescent="0.15">
      <c r="A91" s="127"/>
      <c r="B91" s="127"/>
      <c r="C91" s="127"/>
      <c r="D91" s="128"/>
      <c r="G91" s="127"/>
      <c r="J91" s="127"/>
      <c r="Q91" s="75"/>
      <c r="V91" s="129"/>
      <c r="X91" s="127"/>
      <c r="AB91" s="127"/>
    </row>
    <row r="92" spans="1:28" x14ac:dyDescent="0.15">
      <c r="A92" s="127"/>
      <c r="B92" s="127"/>
      <c r="C92" s="127"/>
      <c r="D92" s="128"/>
      <c r="G92" s="127"/>
      <c r="J92" s="127"/>
      <c r="Q92" s="75"/>
      <c r="V92" s="129"/>
      <c r="X92" s="127"/>
      <c r="AB92" s="127"/>
    </row>
    <row r="93" spans="1:28" x14ac:dyDescent="0.15">
      <c r="A93" s="127"/>
      <c r="B93" s="127"/>
      <c r="C93" s="127"/>
      <c r="D93" s="128"/>
      <c r="G93" s="127"/>
      <c r="J93" s="127"/>
      <c r="Q93" s="75"/>
      <c r="V93" s="129"/>
      <c r="X93" s="127"/>
      <c r="AB93" s="127"/>
    </row>
    <row r="94" spans="1:28" x14ac:dyDescent="0.15">
      <c r="A94" s="127"/>
      <c r="B94" s="127"/>
      <c r="C94" s="127"/>
      <c r="D94" s="128"/>
      <c r="G94" s="127"/>
      <c r="J94" s="127"/>
      <c r="Q94" s="75"/>
      <c r="V94" s="129"/>
      <c r="X94" s="127"/>
      <c r="AB94" s="127"/>
    </row>
    <row r="95" spans="1:28" x14ac:dyDescent="0.15">
      <c r="A95" s="127"/>
      <c r="B95" s="127"/>
      <c r="C95" s="127"/>
      <c r="D95" s="128"/>
      <c r="G95" s="127"/>
      <c r="J95" s="127"/>
      <c r="Q95" s="75"/>
      <c r="V95" s="129"/>
      <c r="X95" s="127"/>
      <c r="AB95" s="127"/>
    </row>
    <row r="96" spans="1:28" x14ac:dyDescent="0.15">
      <c r="A96" s="127"/>
      <c r="B96" s="127"/>
      <c r="C96" s="127"/>
      <c r="D96" s="128"/>
      <c r="G96" s="127"/>
      <c r="J96" s="127"/>
      <c r="Q96" s="75"/>
      <c r="V96" s="129"/>
      <c r="X96" s="127"/>
      <c r="AB96" s="127"/>
    </row>
    <row r="97" spans="1:28" x14ac:dyDescent="0.15">
      <c r="A97" s="127"/>
      <c r="B97" s="127"/>
      <c r="C97" s="127"/>
      <c r="D97" s="128"/>
      <c r="G97" s="127"/>
      <c r="J97" s="127"/>
      <c r="Q97" s="75"/>
      <c r="V97" s="129"/>
      <c r="X97" s="127"/>
      <c r="AB97" s="127"/>
    </row>
    <row r="98" spans="1:28" x14ac:dyDescent="0.15">
      <c r="D98" s="128"/>
    </row>
    <row r="99" spans="1:28" x14ac:dyDescent="0.15">
      <c r="A99" s="127"/>
      <c r="B99" s="127"/>
      <c r="C99" s="127"/>
      <c r="D99" s="128"/>
      <c r="G99" s="127"/>
      <c r="J99" s="127"/>
      <c r="Q99" s="75"/>
      <c r="V99" s="129"/>
      <c r="X99" s="127"/>
      <c r="AB99" s="127"/>
    </row>
    <row r="100" spans="1:28" x14ac:dyDescent="0.15">
      <c r="A100" s="127"/>
      <c r="B100" s="127"/>
      <c r="C100" s="127"/>
      <c r="G100" s="127"/>
      <c r="J100" s="127"/>
      <c r="Q100" s="75"/>
      <c r="V100" s="129"/>
      <c r="X100" s="127"/>
      <c r="AB100" s="127"/>
    </row>
    <row r="101" spans="1:28" x14ac:dyDescent="0.15">
      <c r="A101" s="127"/>
      <c r="B101" s="127"/>
      <c r="C101" s="127"/>
      <c r="D101" s="128"/>
      <c r="G101" s="127"/>
      <c r="J101" s="127"/>
      <c r="Q101" s="75"/>
      <c r="V101" s="129"/>
      <c r="X101" s="127"/>
      <c r="AB101" s="127"/>
    </row>
    <row r="102" spans="1:28" x14ac:dyDescent="0.15">
      <c r="A102" s="127"/>
      <c r="B102" s="127"/>
      <c r="C102" s="127"/>
      <c r="D102" s="128"/>
      <c r="G102" s="127"/>
      <c r="J102" s="127"/>
      <c r="Q102" s="75"/>
      <c r="V102" s="129"/>
      <c r="X102" s="127"/>
      <c r="AB102" s="127"/>
    </row>
    <row r="103" spans="1:28" x14ac:dyDescent="0.15">
      <c r="A103" s="127"/>
      <c r="B103" s="127"/>
      <c r="C103" s="127"/>
      <c r="D103" s="128"/>
      <c r="G103" s="127"/>
      <c r="J103" s="127"/>
      <c r="Q103" s="75"/>
      <c r="V103" s="129"/>
      <c r="X103" s="127"/>
      <c r="AB103" s="127"/>
    </row>
    <row r="104" spans="1:28" x14ac:dyDescent="0.15">
      <c r="A104" s="127"/>
      <c r="B104" s="127"/>
      <c r="C104" s="127"/>
      <c r="D104" s="128"/>
      <c r="G104" s="127"/>
      <c r="J104" s="127"/>
      <c r="Q104" s="75"/>
      <c r="V104" s="129"/>
      <c r="X104" s="127"/>
      <c r="AB104" s="127"/>
    </row>
    <row r="105" spans="1:28" x14ac:dyDescent="0.15">
      <c r="A105" s="127"/>
      <c r="B105" s="127"/>
      <c r="C105" s="127"/>
      <c r="D105" s="128"/>
      <c r="G105" s="127"/>
      <c r="J105" s="127"/>
      <c r="Q105" s="75"/>
      <c r="V105" s="129"/>
      <c r="X105" s="127"/>
      <c r="AB105" s="127"/>
    </row>
    <row r="106" spans="1:28" x14ac:dyDescent="0.15">
      <c r="A106" s="127"/>
      <c r="B106" s="127"/>
      <c r="C106" s="127"/>
      <c r="D106" s="128"/>
      <c r="G106" s="127"/>
      <c r="J106" s="127"/>
      <c r="Q106" s="75"/>
      <c r="V106" s="129"/>
      <c r="X106" s="127"/>
      <c r="AB106" s="127"/>
    </row>
    <row r="107" spans="1:28" x14ac:dyDescent="0.15">
      <c r="A107" s="127"/>
      <c r="B107" s="127"/>
      <c r="C107" s="127"/>
      <c r="D107" s="128"/>
      <c r="G107" s="127"/>
      <c r="J107" s="127"/>
      <c r="Q107" s="75"/>
      <c r="V107" s="129"/>
      <c r="X107" s="127"/>
      <c r="AB107" s="127"/>
    </row>
    <row r="108" spans="1:28" x14ac:dyDescent="0.15">
      <c r="A108" s="127"/>
      <c r="B108" s="127"/>
      <c r="C108" s="127"/>
      <c r="D108" s="128"/>
      <c r="G108" s="127"/>
      <c r="J108" s="127"/>
      <c r="Q108" s="75"/>
      <c r="V108" s="129"/>
      <c r="X108" s="127"/>
      <c r="AB108" s="127"/>
    </row>
    <row r="109" spans="1:28" x14ac:dyDescent="0.15">
      <c r="A109" s="127"/>
      <c r="B109" s="127"/>
      <c r="C109" s="127"/>
      <c r="D109" s="128"/>
      <c r="G109" s="127"/>
      <c r="J109" s="127"/>
      <c r="Q109" s="75"/>
      <c r="V109" s="129"/>
      <c r="X109" s="127"/>
      <c r="AB109" s="127"/>
    </row>
    <row r="110" spans="1:28" x14ac:dyDescent="0.15">
      <c r="A110" s="127"/>
      <c r="B110" s="127"/>
      <c r="C110" s="127"/>
      <c r="D110" s="128"/>
      <c r="G110" s="127"/>
      <c r="J110" s="127"/>
      <c r="Q110" s="75"/>
      <c r="V110" s="129"/>
      <c r="X110" s="127"/>
      <c r="AB110" s="127"/>
    </row>
    <row r="111" spans="1:28" x14ac:dyDescent="0.15">
      <c r="A111" s="127"/>
      <c r="B111" s="127"/>
      <c r="C111" s="127"/>
      <c r="D111" s="128"/>
      <c r="G111" s="127"/>
      <c r="J111" s="127"/>
      <c r="Q111" s="75"/>
      <c r="V111" s="129"/>
      <c r="X111" s="127"/>
      <c r="AB111" s="127"/>
    </row>
    <row r="112" spans="1:28" x14ac:dyDescent="0.15">
      <c r="A112" s="127"/>
      <c r="B112" s="127"/>
      <c r="C112" s="127"/>
      <c r="D112" s="128"/>
      <c r="G112" s="127"/>
      <c r="J112" s="127"/>
      <c r="Q112" s="75"/>
      <c r="V112" s="129"/>
      <c r="X112" s="127"/>
      <c r="AB112" s="127"/>
    </row>
    <row r="113" spans="1:28" x14ac:dyDescent="0.15">
      <c r="A113" s="127"/>
      <c r="B113" s="127"/>
      <c r="C113" s="127"/>
      <c r="D113" s="128"/>
      <c r="G113" s="127"/>
      <c r="J113" s="127"/>
      <c r="Q113" s="75"/>
      <c r="V113" s="129"/>
      <c r="X113" s="127"/>
      <c r="AB113" s="127"/>
    </row>
    <row r="114" spans="1:28" x14ac:dyDescent="0.15">
      <c r="A114" s="127"/>
      <c r="B114" s="127"/>
      <c r="C114" s="127"/>
      <c r="D114" s="128"/>
      <c r="G114" s="127"/>
      <c r="J114" s="127"/>
      <c r="Q114" s="75"/>
      <c r="V114" s="129"/>
      <c r="X114" s="127"/>
      <c r="AB114" s="127"/>
    </row>
    <row r="115" spans="1:28" x14ac:dyDescent="0.15">
      <c r="A115" s="127"/>
      <c r="B115" s="127"/>
      <c r="C115" s="127"/>
      <c r="D115" s="128"/>
      <c r="G115" s="127"/>
      <c r="J115" s="127"/>
      <c r="Q115" s="75"/>
      <c r="V115" s="129"/>
      <c r="X115" s="127"/>
      <c r="AB115" s="127"/>
    </row>
    <row r="116" spans="1:28" x14ac:dyDescent="0.15">
      <c r="D116" s="128"/>
    </row>
    <row r="117" spans="1:28" x14ac:dyDescent="0.15">
      <c r="D117" s="128"/>
    </row>
  </sheetData>
  <autoFilter ref="A1:BA1" xr:uid="{00000000-0009-0000-0000-000004000000}"/>
  <phoneticPr fontId="3"/>
  <dataValidations count="20">
    <dataValidation type="list" allowBlank="1" showInputMessage="1" showErrorMessage="1" sqref="K2:K503" xr:uid="{77D0AF86-A4A9-473C-A8E0-11BAF81F2462}">
      <formula1>$AR$2:$AR$31</formula1>
    </dataValidation>
    <dataValidation type="list" allowBlank="1" showInputMessage="1" showErrorMessage="1" sqref="WVS981808:WVS981897 WLW981808:WLW981897 WCA981808:WCA981897 VSE981808:VSE981897 VII981808:VII981897 UYM981808:UYM981897 UOQ981808:UOQ981897 UEU981808:UEU981897 TUY981808:TUY981897 TLC981808:TLC981897 TBG981808:TBG981897 SRK981808:SRK981897 SHO981808:SHO981897 RXS981808:RXS981897 RNW981808:RNW981897 REA981808:REA981897 QUE981808:QUE981897 QKI981808:QKI981897 QAM981808:QAM981897 PQQ981808:PQQ981897 PGU981808:PGU981897 OWY981808:OWY981897 ONC981808:ONC981897 ODG981808:ODG981897 NTK981808:NTK981897 NJO981808:NJO981897 MZS981808:MZS981897 MPW981808:MPW981897 MGA981808:MGA981897 LWE981808:LWE981897 LMI981808:LMI981897 LCM981808:LCM981897 KSQ981808:KSQ981897 KIU981808:KIU981897 JYY981808:JYY981897 JPC981808:JPC981897 JFG981808:JFG981897 IVK981808:IVK981897 ILO981808:ILO981897 IBS981808:IBS981897 HRW981808:HRW981897 HIA981808:HIA981897 GYE981808:GYE981897 GOI981808:GOI981897 GEM981808:GEM981897 FUQ981808:FUQ981897 FKU981808:FKU981897 FAY981808:FAY981897 ERC981808:ERC981897 EHG981808:EHG981897 DXK981808:DXK981897 DNO981808:DNO981897 DDS981808:DDS981897 CTW981808:CTW981897 CKA981808:CKA981897 CAE981808:CAE981897 BQI981808:BQI981897 BGM981808:BGM981897 AWQ981808:AWQ981897 AMU981808:AMU981897 ACY981808:ACY981897 TC981808:TC981897 JG981808:JG981897 K981817:K981906 WVS916272:WVS916361 WLW916272:WLW916361 WCA916272:WCA916361 VSE916272:VSE916361 VII916272:VII916361 UYM916272:UYM916361 UOQ916272:UOQ916361 UEU916272:UEU916361 TUY916272:TUY916361 TLC916272:TLC916361 TBG916272:TBG916361 SRK916272:SRK916361 SHO916272:SHO916361 RXS916272:RXS916361 RNW916272:RNW916361 REA916272:REA916361 QUE916272:QUE916361 QKI916272:QKI916361 QAM916272:QAM916361 PQQ916272:PQQ916361 PGU916272:PGU916361 OWY916272:OWY916361 ONC916272:ONC916361 ODG916272:ODG916361 NTK916272:NTK916361 NJO916272:NJO916361 MZS916272:MZS916361 MPW916272:MPW916361 MGA916272:MGA916361 LWE916272:LWE916361 LMI916272:LMI916361 LCM916272:LCM916361 KSQ916272:KSQ916361 KIU916272:KIU916361 JYY916272:JYY916361 JPC916272:JPC916361 JFG916272:JFG916361 IVK916272:IVK916361 ILO916272:ILO916361 IBS916272:IBS916361 HRW916272:HRW916361 HIA916272:HIA916361 GYE916272:GYE916361 GOI916272:GOI916361 GEM916272:GEM916361 FUQ916272:FUQ916361 FKU916272:FKU916361 FAY916272:FAY916361 ERC916272:ERC916361 EHG916272:EHG916361 DXK916272:DXK916361 DNO916272:DNO916361 DDS916272:DDS916361 CTW916272:CTW916361 CKA916272:CKA916361 CAE916272:CAE916361 BQI916272:BQI916361 BGM916272:BGM916361 AWQ916272:AWQ916361 AMU916272:AMU916361 ACY916272:ACY916361 TC916272:TC916361 JG916272:JG916361 K916281:K916370 WVS850736:WVS850825 WLW850736:WLW850825 WCA850736:WCA850825 VSE850736:VSE850825 VII850736:VII850825 UYM850736:UYM850825 UOQ850736:UOQ850825 UEU850736:UEU850825 TUY850736:TUY850825 TLC850736:TLC850825 TBG850736:TBG850825 SRK850736:SRK850825 SHO850736:SHO850825 RXS850736:RXS850825 RNW850736:RNW850825 REA850736:REA850825 QUE850736:QUE850825 QKI850736:QKI850825 QAM850736:QAM850825 PQQ850736:PQQ850825 PGU850736:PGU850825 OWY850736:OWY850825 ONC850736:ONC850825 ODG850736:ODG850825 NTK850736:NTK850825 NJO850736:NJO850825 MZS850736:MZS850825 MPW850736:MPW850825 MGA850736:MGA850825 LWE850736:LWE850825 LMI850736:LMI850825 LCM850736:LCM850825 KSQ850736:KSQ850825 KIU850736:KIU850825 JYY850736:JYY850825 JPC850736:JPC850825 JFG850736:JFG850825 IVK850736:IVK850825 ILO850736:ILO850825 IBS850736:IBS850825 HRW850736:HRW850825 HIA850736:HIA850825 GYE850736:GYE850825 GOI850736:GOI850825 GEM850736:GEM850825 FUQ850736:FUQ850825 FKU850736:FKU850825 FAY850736:FAY850825 ERC850736:ERC850825 EHG850736:EHG850825 DXK850736:DXK850825 DNO850736:DNO850825 DDS850736:DDS850825 CTW850736:CTW850825 CKA850736:CKA850825 CAE850736:CAE850825 BQI850736:BQI850825 BGM850736:BGM850825 AWQ850736:AWQ850825 AMU850736:AMU850825 ACY850736:ACY850825 TC850736:TC850825 JG850736:JG850825 K850745:K850834 WVS785200:WVS785289 WLW785200:WLW785289 WCA785200:WCA785289 VSE785200:VSE785289 VII785200:VII785289 UYM785200:UYM785289 UOQ785200:UOQ785289 UEU785200:UEU785289 TUY785200:TUY785289 TLC785200:TLC785289 TBG785200:TBG785289 SRK785200:SRK785289 SHO785200:SHO785289 RXS785200:RXS785289 RNW785200:RNW785289 REA785200:REA785289 QUE785200:QUE785289 QKI785200:QKI785289 QAM785200:QAM785289 PQQ785200:PQQ785289 PGU785200:PGU785289 OWY785200:OWY785289 ONC785200:ONC785289 ODG785200:ODG785289 NTK785200:NTK785289 NJO785200:NJO785289 MZS785200:MZS785289 MPW785200:MPW785289 MGA785200:MGA785289 LWE785200:LWE785289 LMI785200:LMI785289 LCM785200:LCM785289 KSQ785200:KSQ785289 KIU785200:KIU785289 JYY785200:JYY785289 JPC785200:JPC785289 JFG785200:JFG785289 IVK785200:IVK785289 ILO785200:ILO785289 IBS785200:IBS785289 HRW785200:HRW785289 HIA785200:HIA785289 GYE785200:GYE785289 GOI785200:GOI785289 GEM785200:GEM785289 FUQ785200:FUQ785289 FKU785200:FKU785289 FAY785200:FAY785289 ERC785200:ERC785289 EHG785200:EHG785289 DXK785200:DXK785289 DNO785200:DNO785289 DDS785200:DDS785289 CTW785200:CTW785289 CKA785200:CKA785289 CAE785200:CAE785289 BQI785200:BQI785289 BGM785200:BGM785289 AWQ785200:AWQ785289 AMU785200:AMU785289 ACY785200:ACY785289 TC785200:TC785289 JG785200:JG785289 K785209:K785298 WVS719664:WVS719753 WLW719664:WLW719753 WCA719664:WCA719753 VSE719664:VSE719753 VII719664:VII719753 UYM719664:UYM719753 UOQ719664:UOQ719753 UEU719664:UEU719753 TUY719664:TUY719753 TLC719664:TLC719753 TBG719664:TBG719753 SRK719664:SRK719753 SHO719664:SHO719753 RXS719664:RXS719753 RNW719664:RNW719753 REA719664:REA719753 QUE719664:QUE719753 QKI719664:QKI719753 QAM719664:QAM719753 PQQ719664:PQQ719753 PGU719664:PGU719753 OWY719664:OWY719753 ONC719664:ONC719753 ODG719664:ODG719753 NTK719664:NTK719753 NJO719664:NJO719753 MZS719664:MZS719753 MPW719664:MPW719753 MGA719664:MGA719753 LWE719664:LWE719753 LMI719664:LMI719753 LCM719664:LCM719753 KSQ719664:KSQ719753 KIU719664:KIU719753 JYY719664:JYY719753 JPC719664:JPC719753 JFG719664:JFG719753 IVK719664:IVK719753 ILO719664:ILO719753 IBS719664:IBS719753 HRW719664:HRW719753 HIA719664:HIA719753 GYE719664:GYE719753 GOI719664:GOI719753 GEM719664:GEM719753 FUQ719664:FUQ719753 FKU719664:FKU719753 FAY719664:FAY719753 ERC719664:ERC719753 EHG719664:EHG719753 DXK719664:DXK719753 DNO719664:DNO719753 DDS719664:DDS719753 CTW719664:CTW719753 CKA719664:CKA719753 CAE719664:CAE719753 BQI719664:BQI719753 BGM719664:BGM719753 AWQ719664:AWQ719753 AMU719664:AMU719753 ACY719664:ACY719753 TC719664:TC719753 JG719664:JG719753 K719673:K719762 WVS654128:WVS654217 WLW654128:WLW654217 WCA654128:WCA654217 VSE654128:VSE654217 VII654128:VII654217 UYM654128:UYM654217 UOQ654128:UOQ654217 UEU654128:UEU654217 TUY654128:TUY654217 TLC654128:TLC654217 TBG654128:TBG654217 SRK654128:SRK654217 SHO654128:SHO654217 RXS654128:RXS654217 RNW654128:RNW654217 REA654128:REA654217 QUE654128:QUE654217 QKI654128:QKI654217 QAM654128:QAM654217 PQQ654128:PQQ654217 PGU654128:PGU654217 OWY654128:OWY654217 ONC654128:ONC654217 ODG654128:ODG654217 NTK654128:NTK654217 NJO654128:NJO654217 MZS654128:MZS654217 MPW654128:MPW654217 MGA654128:MGA654217 LWE654128:LWE654217 LMI654128:LMI654217 LCM654128:LCM654217 KSQ654128:KSQ654217 KIU654128:KIU654217 JYY654128:JYY654217 JPC654128:JPC654217 JFG654128:JFG654217 IVK654128:IVK654217 ILO654128:ILO654217 IBS654128:IBS654217 HRW654128:HRW654217 HIA654128:HIA654217 GYE654128:GYE654217 GOI654128:GOI654217 GEM654128:GEM654217 FUQ654128:FUQ654217 FKU654128:FKU654217 FAY654128:FAY654217 ERC654128:ERC654217 EHG654128:EHG654217 DXK654128:DXK654217 DNO654128:DNO654217 DDS654128:DDS654217 CTW654128:CTW654217 CKA654128:CKA654217 CAE654128:CAE654217 BQI654128:BQI654217 BGM654128:BGM654217 AWQ654128:AWQ654217 AMU654128:AMU654217 ACY654128:ACY654217 TC654128:TC654217 JG654128:JG654217 K654137:K654226 WVS588592:WVS588681 WLW588592:WLW588681 WCA588592:WCA588681 VSE588592:VSE588681 VII588592:VII588681 UYM588592:UYM588681 UOQ588592:UOQ588681 UEU588592:UEU588681 TUY588592:TUY588681 TLC588592:TLC588681 TBG588592:TBG588681 SRK588592:SRK588681 SHO588592:SHO588681 RXS588592:RXS588681 RNW588592:RNW588681 REA588592:REA588681 QUE588592:QUE588681 QKI588592:QKI588681 QAM588592:QAM588681 PQQ588592:PQQ588681 PGU588592:PGU588681 OWY588592:OWY588681 ONC588592:ONC588681 ODG588592:ODG588681 NTK588592:NTK588681 NJO588592:NJO588681 MZS588592:MZS588681 MPW588592:MPW588681 MGA588592:MGA588681 LWE588592:LWE588681 LMI588592:LMI588681 LCM588592:LCM588681 KSQ588592:KSQ588681 KIU588592:KIU588681 JYY588592:JYY588681 JPC588592:JPC588681 JFG588592:JFG588681 IVK588592:IVK588681 ILO588592:ILO588681 IBS588592:IBS588681 HRW588592:HRW588681 HIA588592:HIA588681 GYE588592:GYE588681 GOI588592:GOI588681 GEM588592:GEM588681 FUQ588592:FUQ588681 FKU588592:FKU588681 FAY588592:FAY588681 ERC588592:ERC588681 EHG588592:EHG588681 DXK588592:DXK588681 DNO588592:DNO588681 DDS588592:DDS588681 CTW588592:CTW588681 CKA588592:CKA588681 CAE588592:CAE588681 BQI588592:BQI588681 BGM588592:BGM588681 AWQ588592:AWQ588681 AMU588592:AMU588681 ACY588592:ACY588681 TC588592:TC588681 JG588592:JG588681 K588601:K588690 WVS523056:WVS523145 WLW523056:WLW523145 WCA523056:WCA523145 VSE523056:VSE523145 VII523056:VII523145 UYM523056:UYM523145 UOQ523056:UOQ523145 UEU523056:UEU523145 TUY523056:TUY523145 TLC523056:TLC523145 TBG523056:TBG523145 SRK523056:SRK523145 SHO523056:SHO523145 RXS523056:RXS523145 RNW523056:RNW523145 REA523056:REA523145 QUE523056:QUE523145 QKI523056:QKI523145 QAM523056:QAM523145 PQQ523056:PQQ523145 PGU523056:PGU523145 OWY523056:OWY523145 ONC523056:ONC523145 ODG523056:ODG523145 NTK523056:NTK523145 NJO523056:NJO523145 MZS523056:MZS523145 MPW523056:MPW523145 MGA523056:MGA523145 LWE523056:LWE523145 LMI523056:LMI523145 LCM523056:LCM523145 KSQ523056:KSQ523145 KIU523056:KIU523145 JYY523056:JYY523145 JPC523056:JPC523145 JFG523056:JFG523145 IVK523056:IVK523145 ILO523056:ILO523145 IBS523056:IBS523145 HRW523056:HRW523145 HIA523056:HIA523145 GYE523056:GYE523145 GOI523056:GOI523145 GEM523056:GEM523145 FUQ523056:FUQ523145 FKU523056:FKU523145 FAY523056:FAY523145 ERC523056:ERC523145 EHG523056:EHG523145 DXK523056:DXK523145 DNO523056:DNO523145 DDS523056:DDS523145 CTW523056:CTW523145 CKA523056:CKA523145 CAE523056:CAE523145 BQI523056:BQI523145 BGM523056:BGM523145 AWQ523056:AWQ523145 AMU523056:AMU523145 ACY523056:ACY523145 TC523056:TC523145 JG523056:JG523145 K523065:K523154 WVS457520:WVS457609 WLW457520:WLW457609 WCA457520:WCA457609 VSE457520:VSE457609 VII457520:VII457609 UYM457520:UYM457609 UOQ457520:UOQ457609 UEU457520:UEU457609 TUY457520:TUY457609 TLC457520:TLC457609 TBG457520:TBG457609 SRK457520:SRK457609 SHO457520:SHO457609 RXS457520:RXS457609 RNW457520:RNW457609 REA457520:REA457609 QUE457520:QUE457609 QKI457520:QKI457609 QAM457520:QAM457609 PQQ457520:PQQ457609 PGU457520:PGU457609 OWY457520:OWY457609 ONC457520:ONC457609 ODG457520:ODG457609 NTK457520:NTK457609 NJO457520:NJO457609 MZS457520:MZS457609 MPW457520:MPW457609 MGA457520:MGA457609 LWE457520:LWE457609 LMI457520:LMI457609 LCM457520:LCM457609 KSQ457520:KSQ457609 KIU457520:KIU457609 JYY457520:JYY457609 JPC457520:JPC457609 JFG457520:JFG457609 IVK457520:IVK457609 ILO457520:ILO457609 IBS457520:IBS457609 HRW457520:HRW457609 HIA457520:HIA457609 GYE457520:GYE457609 GOI457520:GOI457609 GEM457520:GEM457609 FUQ457520:FUQ457609 FKU457520:FKU457609 FAY457520:FAY457609 ERC457520:ERC457609 EHG457520:EHG457609 DXK457520:DXK457609 DNO457520:DNO457609 DDS457520:DDS457609 CTW457520:CTW457609 CKA457520:CKA457609 CAE457520:CAE457609 BQI457520:BQI457609 BGM457520:BGM457609 AWQ457520:AWQ457609 AMU457520:AMU457609 ACY457520:ACY457609 TC457520:TC457609 JG457520:JG457609 K457529:K457618 WVS391984:WVS392073 WLW391984:WLW392073 WCA391984:WCA392073 VSE391984:VSE392073 VII391984:VII392073 UYM391984:UYM392073 UOQ391984:UOQ392073 UEU391984:UEU392073 TUY391984:TUY392073 TLC391984:TLC392073 TBG391984:TBG392073 SRK391984:SRK392073 SHO391984:SHO392073 RXS391984:RXS392073 RNW391984:RNW392073 REA391984:REA392073 QUE391984:QUE392073 QKI391984:QKI392073 QAM391984:QAM392073 PQQ391984:PQQ392073 PGU391984:PGU392073 OWY391984:OWY392073 ONC391984:ONC392073 ODG391984:ODG392073 NTK391984:NTK392073 NJO391984:NJO392073 MZS391984:MZS392073 MPW391984:MPW392073 MGA391984:MGA392073 LWE391984:LWE392073 LMI391984:LMI392073 LCM391984:LCM392073 KSQ391984:KSQ392073 KIU391984:KIU392073 JYY391984:JYY392073 JPC391984:JPC392073 JFG391984:JFG392073 IVK391984:IVK392073 ILO391984:ILO392073 IBS391984:IBS392073 HRW391984:HRW392073 HIA391984:HIA392073 GYE391984:GYE392073 GOI391984:GOI392073 GEM391984:GEM392073 FUQ391984:FUQ392073 FKU391984:FKU392073 FAY391984:FAY392073 ERC391984:ERC392073 EHG391984:EHG392073 DXK391984:DXK392073 DNO391984:DNO392073 DDS391984:DDS392073 CTW391984:CTW392073 CKA391984:CKA392073 CAE391984:CAE392073 BQI391984:BQI392073 BGM391984:BGM392073 AWQ391984:AWQ392073 AMU391984:AMU392073 ACY391984:ACY392073 TC391984:TC392073 JG391984:JG392073 K391993:K392082 WVS326448:WVS326537 WLW326448:WLW326537 WCA326448:WCA326537 VSE326448:VSE326537 VII326448:VII326537 UYM326448:UYM326537 UOQ326448:UOQ326537 UEU326448:UEU326537 TUY326448:TUY326537 TLC326448:TLC326537 TBG326448:TBG326537 SRK326448:SRK326537 SHO326448:SHO326537 RXS326448:RXS326537 RNW326448:RNW326537 REA326448:REA326537 QUE326448:QUE326537 QKI326448:QKI326537 QAM326448:QAM326537 PQQ326448:PQQ326537 PGU326448:PGU326537 OWY326448:OWY326537 ONC326448:ONC326537 ODG326448:ODG326537 NTK326448:NTK326537 NJO326448:NJO326537 MZS326448:MZS326537 MPW326448:MPW326537 MGA326448:MGA326537 LWE326448:LWE326537 LMI326448:LMI326537 LCM326448:LCM326537 KSQ326448:KSQ326537 KIU326448:KIU326537 JYY326448:JYY326537 JPC326448:JPC326537 JFG326448:JFG326537 IVK326448:IVK326537 ILO326448:ILO326537 IBS326448:IBS326537 HRW326448:HRW326537 HIA326448:HIA326537 GYE326448:GYE326537 GOI326448:GOI326537 GEM326448:GEM326537 FUQ326448:FUQ326537 FKU326448:FKU326537 FAY326448:FAY326537 ERC326448:ERC326537 EHG326448:EHG326537 DXK326448:DXK326537 DNO326448:DNO326537 DDS326448:DDS326537 CTW326448:CTW326537 CKA326448:CKA326537 CAE326448:CAE326537 BQI326448:BQI326537 BGM326448:BGM326537 AWQ326448:AWQ326537 AMU326448:AMU326537 ACY326448:ACY326537 TC326448:TC326537 JG326448:JG326537 K326457:K326546 WVS260912:WVS261001 WLW260912:WLW261001 WCA260912:WCA261001 VSE260912:VSE261001 VII260912:VII261001 UYM260912:UYM261001 UOQ260912:UOQ261001 UEU260912:UEU261001 TUY260912:TUY261001 TLC260912:TLC261001 TBG260912:TBG261001 SRK260912:SRK261001 SHO260912:SHO261001 RXS260912:RXS261001 RNW260912:RNW261001 REA260912:REA261001 QUE260912:QUE261001 QKI260912:QKI261001 QAM260912:QAM261001 PQQ260912:PQQ261001 PGU260912:PGU261001 OWY260912:OWY261001 ONC260912:ONC261001 ODG260912:ODG261001 NTK260912:NTK261001 NJO260912:NJO261001 MZS260912:MZS261001 MPW260912:MPW261001 MGA260912:MGA261001 LWE260912:LWE261001 LMI260912:LMI261001 LCM260912:LCM261001 KSQ260912:KSQ261001 KIU260912:KIU261001 JYY260912:JYY261001 JPC260912:JPC261001 JFG260912:JFG261001 IVK260912:IVK261001 ILO260912:ILO261001 IBS260912:IBS261001 HRW260912:HRW261001 HIA260912:HIA261001 GYE260912:GYE261001 GOI260912:GOI261001 GEM260912:GEM261001 FUQ260912:FUQ261001 FKU260912:FKU261001 FAY260912:FAY261001 ERC260912:ERC261001 EHG260912:EHG261001 DXK260912:DXK261001 DNO260912:DNO261001 DDS260912:DDS261001 CTW260912:CTW261001 CKA260912:CKA261001 CAE260912:CAE261001 BQI260912:BQI261001 BGM260912:BGM261001 AWQ260912:AWQ261001 AMU260912:AMU261001 ACY260912:ACY261001 TC260912:TC261001 JG260912:JG261001 K260921:K261010 WVS195376:WVS195465 WLW195376:WLW195465 WCA195376:WCA195465 VSE195376:VSE195465 VII195376:VII195465 UYM195376:UYM195465 UOQ195376:UOQ195465 UEU195376:UEU195465 TUY195376:TUY195465 TLC195376:TLC195465 TBG195376:TBG195465 SRK195376:SRK195465 SHO195376:SHO195465 RXS195376:RXS195465 RNW195376:RNW195465 REA195376:REA195465 QUE195376:QUE195465 QKI195376:QKI195465 QAM195376:QAM195465 PQQ195376:PQQ195465 PGU195376:PGU195465 OWY195376:OWY195465 ONC195376:ONC195465 ODG195376:ODG195465 NTK195376:NTK195465 NJO195376:NJO195465 MZS195376:MZS195465 MPW195376:MPW195465 MGA195376:MGA195465 LWE195376:LWE195465 LMI195376:LMI195465 LCM195376:LCM195465 KSQ195376:KSQ195465 KIU195376:KIU195465 JYY195376:JYY195465 JPC195376:JPC195465 JFG195376:JFG195465 IVK195376:IVK195465 ILO195376:ILO195465 IBS195376:IBS195465 HRW195376:HRW195465 HIA195376:HIA195465 GYE195376:GYE195465 GOI195376:GOI195465 GEM195376:GEM195465 FUQ195376:FUQ195465 FKU195376:FKU195465 FAY195376:FAY195465 ERC195376:ERC195465 EHG195376:EHG195465 DXK195376:DXK195465 DNO195376:DNO195465 DDS195376:DDS195465 CTW195376:CTW195465 CKA195376:CKA195465 CAE195376:CAE195465 BQI195376:BQI195465 BGM195376:BGM195465 AWQ195376:AWQ195465 AMU195376:AMU195465 ACY195376:ACY195465 TC195376:TC195465 JG195376:JG195465 K195385:K195474 WVS129840:WVS129929 WLW129840:WLW129929 WCA129840:WCA129929 VSE129840:VSE129929 VII129840:VII129929 UYM129840:UYM129929 UOQ129840:UOQ129929 UEU129840:UEU129929 TUY129840:TUY129929 TLC129840:TLC129929 TBG129840:TBG129929 SRK129840:SRK129929 SHO129840:SHO129929 RXS129840:RXS129929 RNW129840:RNW129929 REA129840:REA129929 QUE129840:QUE129929 QKI129840:QKI129929 QAM129840:QAM129929 PQQ129840:PQQ129929 PGU129840:PGU129929 OWY129840:OWY129929 ONC129840:ONC129929 ODG129840:ODG129929 NTK129840:NTK129929 NJO129840:NJO129929 MZS129840:MZS129929 MPW129840:MPW129929 MGA129840:MGA129929 LWE129840:LWE129929 LMI129840:LMI129929 LCM129840:LCM129929 KSQ129840:KSQ129929 KIU129840:KIU129929 JYY129840:JYY129929 JPC129840:JPC129929 JFG129840:JFG129929 IVK129840:IVK129929 ILO129840:ILO129929 IBS129840:IBS129929 HRW129840:HRW129929 HIA129840:HIA129929 GYE129840:GYE129929 GOI129840:GOI129929 GEM129840:GEM129929 FUQ129840:FUQ129929 FKU129840:FKU129929 FAY129840:FAY129929 ERC129840:ERC129929 EHG129840:EHG129929 DXK129840:DXK129929 DNO129840:DNO129929 DDS129840:DDS129929 CTW129840:CTW129929 CKA129840:CKA129929 CAE129840:CAE129929 BQI129840:BQI129929 BGM129840:BGM129929 AWQ129840:AWQ129929 AMU129840:AMU129929 ACY129840:ACY129929 TC129840:TC129929 JG129840:JG129929 K129849:K129938 WVS64304:WVS64393 WLW64304:WLW64393 WCA64304:WCA64393 VSE64304:VSE64393 VII64304:VII64393 UYM64304:UYM64393 UOQ64304:UOQ64393 UEU64304:UEU64393 TUY64304:TUY64393 TLC64304:TLC64393 TBG64304:TBG64393 SRK64304:SRK64393 SHO64304:SHO64393 RXS64304:RXS64393 RNW64304:RNW64393 REA64304:REA64393 QUE64304:QUE64393 QKI64304:QKI64393 QAM64304:QAM64393 PQQ64304:PQQ64393 PGU64304:PGU64393 OWY64304:OWY64393 ONC64304:ONC64393 ODG64304:ODG64393 NTK64304:NTK64393 NJO64304:NJO64393 MZS64304:MZS64393 MPW64304:MPW64393 MGA64304:MGA64393 LWE64304:LWE64393 LMI64304:LMI64393 LCM64304:LCM64393 KSQ64304:KSQ64393 KIU64304:KIU64393 JYY64304:JYY64393 JPC64304:JPC64393 JFG64304:JFG64393 IVK64304:IVK64393 ILO64304:ILO64393 IBS64304:IBS64393 HRW64304:HRW64393 HIA64304:HIA64393 GYE64304:GYE64393 GOI64304:GOI64393 GEM64304:GEM64393 FUQ64304:FUQ64393 FKU64304:FKU64393 FAY64304:FAY64393 ERC64304:ERC64393 EHG64304:EHG64393 DXK64304:DXK64393 DNO64304:DNO64393 DDS64304:DDS64393 CTW64304:CTW64393 CKA64304:CKA64393 CAE64304:CAE64393 BQI64304:BQI64393 BGM64304:BGM64393 AWQ64304:AWQ64393 AMU64304:AMU64393 ACY64304:ACY64393 TC64304:TC64393 JG64304:JG64393 K64313:K64402 WVS2:WVS76 WLW2:WLW76 WCA2:WCA76 VSE2:VSE76 VII2:VII76 UYM2:UYM76 UOQ2:UOQ76 UEU2:UEU76 TUY2:TUY76 TLC2:TLC76 TBG2:TBG76 SRK2:SRK76 SHO2:SHO76 RXS2:RXS76 RNW2:RNW76 REA2:REA76 QUE2:QUE76 QKI2:QKI76 QAM2:QAM76 PQQ2:PQQ76 PGU2:PGU76 OWY2:OWY76 ONC2:ONC76 ODG2:ODG76 NTK2:NTK76 NJO2:NJO76 MZS2:MZS76 MPW2:MPW76 MGA2:MGA76 LWE2:LWE76 LMI2:LMI76 LCM2:LCM76 KSQ2:KSQ76 KIU2:KIU76 JYY2:JYY76 JPC2:JPC76 JFG2:JFG76 IVK2:IVK76 ILO2:ILO76 IBS2:IBS76 HRW2:HRW76 HIA2:HIA76 GYE2:GYE76 GOI2:GOI76 GEM2:GEM76 FUQ2:FUQ76 FKU2:FKU76 FAY2:FAY76 ERC2:ERC76 EHG2:EHG76 DXK2:DXK76 DNO2:DNO76 DDS2:DDS76 CTW2:CTW76 CKA2:CKA76 CAE2:CAE76 BQI2:BQI76 BGM2:BGM76 AWQ2:AWQ76 AMU2:AMU76 ACY2:ACY76 TC2:TC76 JG2:JG76" xr:uid="{3DE0CA59-A0DE-4F7F-A149-3EB1C0256C76}">
      <formula1>$AR$2:$AR$27</formula1>
    </dataValidation>
    <dataValidation type="list" allowBlank="1" showInputMessage="1" showErrorMessage="1" sqref="J99:J503 J2:J97" xr:uid="{14F59770-C4C1-48B4-A223-E6E49A3CE2A6}">
      <formula1>$AP$2:$AP$31</formula1>
    </dataValidation>
    <dataValidation type="list" allowBlank="1" showInputMessage="1" showErrorMessage="1" sqref="I64409:I64414 JE64388:JE64393 TA64388:TA64393 ACW64388:ACW64393 AMS64388:AMS64393 AWO64388:AWO64393 BGK64388:BGK64393 BQG64388:BQG64393 CAC64388:CAC64393 CJY64388:CJY64393 CTU64388:CTU64393 DDQ64388:DDQ64393 DNM64388:DNM64393 DXI64388:DXI64393 EHE64388:EHE64393 ERA64388:ERA64393 FAW64388:FAW64393 FKS64388:FKS64393 FUO64388:FUO64393 GEK64388:GEK64393 GOG64388:GOG64393 GYC64388:GYC64393 HHY64388:HHY64393 HRU64388:HRU64393 IBQ64388:IBQ64393 ILM64388:ILM64393 IVI64388:IVI64393 JFE64388:JFE64393 JPA64388:JPA64393 JYW64388:JYW64393 KIS64388:KIS64393 KSO64388:KSO64393 LCK64388:LCK64393 LMG64388:LMG64393 LWC64388:LWC64393 MFY64388:MFY64393 MPU64388:MPU64393 MZQ64388:MZQ64393 NJM64388:NJM64393 NTI64388:NTI64393 ODE64388:ODE64393 ONA64388:ONA64393 OWW64388:OWW64393 PGS64388:PGS64393 PQO64388:PQO64393 QAK64388:QAK64393 QKG64388:QKG64393 QUC64388:QUC64393 RDY64388:RDY64393 RNU64388:RNU64393 RXQ64388:RXQ64393 SHM64388:SHM64393 SRI64388:SRI64393 TBE64388:TBE64393 TLA64388:TLA64393 TUW64388:TUW64393 UES64388:UES64393 UOO64388:UOO64393 UYK64388:UYK64393 VIG64388:VIG64393 VSC64388:VSC64393 WBY64388:WBY64393 WLU64388:WLU64393 WVQ64388:WVQ64393 I129945:I129950 JE129924:JE129929 TA129924:TA129929 ACW129924:ACW129929 AMS129924:AMS129929 AWO129924:AWO129929 BGK129924:BGK129929 BQG129924:BQG129929 CAC129924:CAC129929 CJY129924:CJY129929 CTU129924:CTU129929 DDQ129924:DDQ129929 DNM129924:DNM129929 DXI129924:DXI129929 EHE129924:EHE129929 ERA129924:ERA129929 FAW129924:FAW129929 FKS129924:FKS129929 FUO129924:FUO129929 GEK129924:GEK129929 GOG129924:GOG129929 GYC129924:GYC129929 HHY129924:HHY129929 HRU129924:HRU129929 IBQ129924:IBQ129929 ILM129924:ILM129929 IVI129924:IVI129929 JFE129924:JFE129929 JPA129924:JPA129929 JYW129924:JYW129929 KIS129924:KIS129929 KSO129924:KSO129929 LCK129924:LCK129929 LMG129924:LMG129929 LWC129924:LWC129929 MFY129924:MFY129929 MPU129924:MPU129929 MZQ129924:MZQ129929 NJM129924:NJM129929 NTI129924:NTI129929 ODE129924:ODE129929 ONA129924:ONA129929 OWW129924:OWW129929 PGS129924:PGS129929 PQO129924:PQO129929 QAK129924:QAK129929 QKG129924:QKG129929 QUC129924:QUC129929 RDY129924:RDY129929 RNU129924:RNU129929 RXQ129924:RXQ129929 SHM129924:SHM129929 SRI129924:SRI129929 TBE129924:TBE129929 TLA129924:TLA129929 TUW129924:TUW129929 UES129924:UES129929 UOO129924:UOO129929 UYK129924:UYK129929 VIG129924:VIG129929 VSC129924:VSC129929 WBY129924:WBY129929 WLU129924:WLU129929 WVQ129924:WVQ129929 I195481:I195486 JE195460:JE195465 TA195460:TA195465 ACW195460:ACW195465 AMS195460:AMS195465 AWO195460:AWO195465 BGK195460:BGK195465 BQG195460:BQG195465 CAC195460:CAC195465 CJY195460:CJY195465 CTU195460:CTU195465 DDQ195460:DDQ195465 DNM195460:DNM195465 DXI195460:DXI195465 EHE195460:EHE195465 ERA195460:ERA195465 FAW195460:FAW195465 FKS195460:FKS195465 FUO195460:FUO195465 GEK195460:GEK195465 GOG195460:GOG195465 GYC195460:GYC195465 HHY195460:HHY195465 HRU195460:HRU195465 IBQ195460:IBQ195465 ILM195460:ILM195465 IVI195460:IVI195465 JFE195460:JFE195465 JPA195460:JPA195465 JYW195460:JYW195465 KIS195460:KIS195465 KSO195460:KSO195465 LCK195460:LCK195465 LMG195460:LMG195465 LWC195460:LWC195465 MFY195460:MFY195465 MPU195460:MPU195465 MZQ195460:MZQ195465 NJM195460:NJM195465 NTI195460:NTI195465 ODE195460:ODE195465 ONA195460:ONA195465 OWW195460:OWW195465 PGS195460:PGS195465 PQO195460:PQO195465 QAK195460:QAK195465 QKG195460:QKG195465 QUC195460:QUC195465 RDY195460:RDY195465 RNU195460:RNU195465 RXQ195460:RXQ195465 SHM195460:SHM195465 SRI195460:SRI195465 TBE195460:TBE195465 TLA195460:TLA195465 TUW195460:TUW195465 UES195460:UES195465 UOO195460:UOO195465 UYK195460:UYK195465 VIG195460:VIG195465 VSC195460:VSC195465 WBY195460:WBY195465 WLU195460:WLU195465 WVQ195460:WVQ195465 I261017:I261022 JE260996:JE261001 TA260996:TA261001 ACW260996:ACW261001 AMS260996:AMS261001 AWO260996:AWO261001 BGK260996:BGK261001 BQG260996:BQG261001 CAC260996:CAC261001 CJY260996:CJY261001 CTU260996:CTU261001 DDQ260996:DDQ261001 DNM260996:DNM261001 DXI260996:DXI261001 EHE260996:EHE261001 ERA260996:ERA261001 FAW260996:FAW261001 FKS260996:FKS261001 FUO260996:FUO261001 GEK260996:GEK261001 GOG260996:GOG261001 GYC260996:GYC261001 HHY260996:HHY261001 HRU260996:HRU261001 IBQ260996:IBQ261001 ILM260996:ILM261001 IVI260996:IVI261001 JFE260996:JFE261001 JPA260996:JPA261001 JYW260996:JYW261001 KIS260996:KIS261001 KSO260996:KSO261001 LCK260996:LCK261001 LMG260996:LMG261001 LWC260996:LWC261001 MFY260996:MFY261001 MPU260996:MPU261001 MZQ260996:MZQ261001 NJM260996:NJM261001 NTI260996:NTI261001 ODE260996:ODE261001 ONA260996:ONA261001 OWW260996:OWW261001 PGS260996:PGS261001 PQO260996:PQO261001 QAK260996:QAK261001 QKG260996:QKG261001 QUC260996:QUC261001 RDY260996:RDY261001 RNU260996:RNU261001 RXQ260996:RXQ261001 SHM260996:SHM261001 SRI260996:SRI261001 TBE260996:TBE261001 TLA260996:TLA261001 TUW260996:TUW261001 UES260996:UES261001 UOO260996:UOO261001 UYK260996:UYK261001 VIG260996:VIG261001 VSC260996:VSC261001 WBY260996:WBY261001 WLU260996:WLU261001 WVQ260996:WVQ261001 I326553:I326558 JE326532:JE326537 TA326532:TA326537 ACW326532:ACW326537 AMS326532:AMS326537 AWO326532:AWO326537 BGK326532:BGK326537 BQG326532:BQG326537 CAC326532:CAC326537 CJY326532:CJY326537 CTU326532:CTU326537 DDQ326532:DDQ326537 DNM326532:DNM326537 DXI326532:DXI326537 EHE326532:EHE326537 ERA326532:ERA326537 FAW326532:FAW326537 FKS326532:FKS326537 FUO326532:FUO326537 GEK326532:GEK326537 GOG326532:GOG326537 GYC326532:GYC326537 HHY326532:HHY326537 HRU326532:HRU326537 IBQ326532:IBQ326537 ILM326532:ILM326537 IVI326532:IVI326537 JFE326532:JFE326537 JPA326532:JPA326537 JYW326532:JYW326537 KIS326532:KIS326537 KSO326532:KSO326537 LCK326532:LCK326537 LMG326532:LMG326537 LWC326532:LWC326537 MFY326532:MFY326537 MPU326532:MPU326537 MZQ326532:MZQ326537 NJM326532:NJM326537 NTI326532:NTI326537 ODE326532:ODE326537 ONA326532:ONA326537 OWW326532:OWW326537 PGS326532:PGS326537 PQO326532:PQO326537 QAK326532:QAK326537 QKG326532:QKG326537 QUC326532:QUC326537 RDY326532:RDY326537 RNU326532:RNU326537 RXQ326532:RXQ326537 SHM326532:SHM326537 SRI326532:SRI326537 TBE326532:TBE326537 TLA326532:TLA326537 TUW326532:TUW326537 UES326532:UES326537 UOO326532:UOO326537 UYK326532:UYK326537 VIG326532:VIG326537 VSC326532:VSC326537 WBY326532:WBY326537 WLU326532:WLU326537 WVQ326532:WVQ326537 I392089:I392094 JE392068:JE392073 TA392068:TA392073 ACW392068:ACW392073 AMS392068:AMS392073 AWO392068:AWO392073 BGK392068:BGK392073 BQG392068:BQG392073 CAC392068:CAC392073 CJY392068:CJY392073 CTU392068:CTU392073 DDQ392068:DDQ392073 DNM392068:DNM392073 DXI392068:DXI392073 EHE392068:EHE392073 ERA392068:ERA392073 FAW392068:FAW392073 FKS392068:FKS392073 FUO392068:FUO392073 GEK392068:GEK392073 GOG392068:GOG392073 GYC392068:GYC392073 HHY392068:HHY392073 HRU392068:HRU392073 IBQ392068:IBQ392073 ILM392068:ILM392073 IVI392068:IVI392073 JFE392068:JFE392073 JPA392068:JPA392073 JYW392068:JYW392073 KIS392068:KIS392073 KSO392068:KSO392073 LCK392068:LCK392073 LMG392068:LMG392073 LWC392068:LWC392073 MFY392068:MFY392073 MPU392068:MPU392073 MZQ392068:MZQ392073 NJM392068:NJM392073 NTI392068:NTI392073 ODE392068:ODE392073 ONA392068:ONA392073 OWW392068:OWW392073 PGS392068:PGS392073 PQO392068:PQO392073 QAK392068:QAK392073 QKG392068:QKG392073 QUC392068:QUC392073 RDY392068:RDY392073 RNU392068:RNU392073 RXQ392068:RXQ392073 SHM392068:SHM392073 SRI392068:SRI392073 TBE392068:TBE392073 TLA392068:TLA392073 TUW392068:TUW392073 UES392068:UES392073 UOO392068:UOO392073 UYK392068:UYK392073 VIG392068:VIG392073 VSC392068:VSC392073 WBY392068:WBY392073 WLU392068:WLU392073 WVQ392068:WVQ392073 I457625:I457630 JE457604:JE457609 TA457604:TA457609 ACW457604:ACW457609 AMS457604:AMS457609 AWO457604:AWO457609 BGK457604:BGK457609 BQG457604:BQG457609 CAC457604:CAC457609 CJY457604:CJY457609 CTU457604:CTU457609 DDQ457604:DDQ457609 DNM457604:DNM457609 DXI457604:DXI457609 EHE457604:EHE457609 ERA457604:ERA457609 FAW457604:FAW457609 FKS457604:FKS457609 FUO457604:FUO457609 GEK457604:GEK457609 GOG457604:GOG457609 GYC457604:GYC457609 HHY457604:HHY457609 HRU457604:HRU457609 IBQ457604:IBQ457609 ILM457604:ILM457609 IVI457604:IVI457609 JFE457604:JFE457609 JPA457604:JPA457609 JYW457604:JYW457609 KIS457604:KIS457609 KSO457604:KSO457609 LCK457604:LCK457609 LMG457604:LMG457609 LWC457604:LWC457609 MFY457604:MFY457609 MPU457604:MPU457609 MZQ457604:MZQ457609 NJM457604:NJM457609 NTI457604:NTI457609 ODE457604:ODE457609 ONA457604:ONA457609 OWW457604:OWW457609 PGS457604:PGS457609 PQO457604:PQO457609 QAK457604:QAK457609 QKG457604:QKG457609 QUC457604:QUC457609 RDY457604:RDY457609 RNU457604:RNU457609 RXQ457604:RXQ457609 SHM457604:SHM457609 SRI457604:SRI457609 TBE457604:TBE457609 TLA457604:TLA457609 TUW457604:TUW457609 UES457604:UES457609 UOO457604:UOO457609 UYK457604:UYK457609 VIG457604:VIG457609 VSC457604:VSC457609 WBY457604:WBY457609 WLU457604:WLU457609 WVQ457604:WVQ457609 I523161:I523166 JE523140:JE523145 TA523140:TA523145 ACW523140:ACW523145 AMS523140:AMS523145 AWO523140:AWO523145 BGK523140:BGK523145 BQG523140:BQG523145 CAC523140:CAC523145 CJY523140:CJY523145 CTU523140:CTU523145 DDQ523140:DDQ523145 DNM523140:DNM523145 DXI523140:DXI523145 EHE523140:EHE523145 ERA523140:ERA523145 FAW523140:FAW523145 FKS523140:FKS523145 FUO523140:FUO523145 GEK523140:GEK523145 GOG523140:GOG523145 GYC523140:GYC523145 HHY523140:HHY523145 HRU523140:HRU523145 IBQ523140:IBQ523145 ILM523140:ILM523145 IVI523140:IVI523145 JFE523140:JFE523145 JPA523140:JPA523145 JYW523140:JYW523145 KIS523140:KIS523145 KSO523140:KSO523145 LCK523140:LCK523145 LMG523140:LMG523145 LWC523140:LWC523145 MFY523140:MFY523145 MPU523140:MPU523145 MZQ523140:MZQ523145 NJM523140:NJM523145 NTI523140:NTI523145 ODE523140:ODE523145 ONA523140:ONA523145 OWW523140:OWW523145 PGS523140:PGS523145 PQO523140:PQO523145 QAK523140:QAK523145 QKG523140:QKG523145 QUC523140:QUC523145 RDY523140:RDY523145 RNU523140:RNU523145 RXQ523140:RXQ523145 SHM523140:SHM523145 SRI523140:SRI523145 TBE523140:TBE523145 TLA523140:TLA523145 TUW523140:TUW523145 UES523140:UES523145 UOO523140:UOO523145 UYK523140:UYK523145 VIG523140:VIG523145 VSC523140:VSC523145 WBY523140:WBY523145 WLU523140:WLU523145 WVQ523140:WVQ523145 I588697:I588702 JE588676:JE588681 TA588676:TA588681 ACW588676:ACW588681 AMS588676:AMS588681 AWO588676:AWO588681 BGK588676:BGK588681 BQG588676:BQG588681 CAC588676:CAC588681 CJY588676:CJY588681 CTU588676:CTU588681 DDQ588676:DDQ588681 DNM588676:DNM588681 DXI588676:DXI588681 EHE588676:EHE588681 ERA588676:ERA588681 FAW588676:FAW588681 FKS588676:FKS588681 FUO588676:FUO588681 GEK588676:GEK588681 GOG588676:GOG588681 GYC588676:GYC588681 HHY588676:HHY588681 HRU588676:HRU588681 IBQ588676:IBQ588681 ILM588676:ILM588681 IVI588676:IVI588681 JFE588676:JFE588681 JPA588676:JPA588681 JYW588676:JYW588681 KIS588676:KIS588681 KSO588676:KSO588681 LCK588676:LCK588681 LMG588676:LMG588681 LWC588676:LWC588681 MFY588676:MFY588681 MPU588676:MPU588681 MZQ588676:MZQ588681 NJM588676:NJM588681 NTI588676:NTI588681 ODE588676:ODE588681 ONA588676:ONA588681 OWW588676:OWW588681 PGS588676:PGS588681 PQO588676:PQO588681 QAK588676:QAK588681 QKG588676:QKG588681 QUC588676:QUC588681 RDY588676:RDY588681 RNU588676:RNU588681 RXQ588676:RXQ588681 SHM588676:SHM588681 SRI588676:SRI588681 TBE588676:TBE588681 TLA588676:TLA588681 TUW588676:TUW588681 UES588676:UES588681 UOO588676:UOO588681 UYK588676:UYK588681 VIG588676:VIG588681 VSC588676:VSC588681 WBY588676:WBY588681 WLU588676:WLU588681 WVQ588676:WVQ588681 I654233:I654238 JE654212:JE654217 TA654212:TA654217 ACW654212:ACW654217 AMS654212:AMS654217 AWO654212:AWO654217 BGK654212:BGK654217 BQG654212:BQG654217 CAC654212:CAC654217 CJY654212:CJY654217 CTU654212:CTU654217 DDQ654212:DDQ654217 DNM654212:DNM654217 DXI654212:DXI654217 EHE654212:EHE654217 ERA654212:ERA654217 FAW654212:FAW654217 FKS654212:FKS654217 FUO654212:FUO654217 GEK654212:GEK654217 GOG654212:GOG654217 GYC654212:GYC654217 HHY654212:HHY654217 HRU654212:HRU654217 IBQ654212:IBQ654217 ILM654212:ILM654217 IVI654212:IVI654217 JFE654212:JFE654217 JPA654212:JPA654217 JYW654212:JYW654217 KIS654212:KIS654217 KSO654212:KSO654217 LCK654212:LCK654217 LMG654212:LMG654217 LWC654212:LWC654217 MFY654212:MFY654217 MPU654212:MPU654217 MZQ654212:MZQ654217 NJM654212:NJM654217 NTI654212:NTI654217 ODE654212:ODE654217 ONA654212:ONA654217 OWW654212:OWW654217 PGS654212:PGS654217 PQO654212:PQO654217 QAK654212:QAK654217 QKG654212:QKG654217 QUC654212:QUC654217 RDY654212:RDY654217 RNU654212:RNU654217 RXQ654212:RXQ654217 SHM654212:SHM654217 SRI654212:SRI654217 TBE654212:TBE654217 TLA654212:TLA654217 TUW654212:TUW654217 UES654212:UES654217 UOO654212:UOO654217 UYK654212:UYK654217 VIG654212:VIG654217 VSC654212:VSC654217 WBY654212:WBY654217 WLU654212:WLU654217 WVQ654212:WVQ654217 I719769:I719774 JE719748:JE719753 TA719748:TA719753 ACW719748:ACW719753 AMS719748:AMS719753 AWO719748:AWO719753 BGK719748:BGK719753 BQG719748:BQG719753 CAC719748:CAC719753 CJY719748:CJY719753 CTU719748:CTU719753 DDQ719748:DDQ719753 DNM719748:DNM719753 DXI719748:DXI719753 EHE719748:EHE719753 ERA719748:ERA719753 FAW719748:FAW719753 FKS719748:FKS719753 FUO719748:FUO719753 GEK719748:GEK719753 GOG719748:GOG719753 GYC719748:GYC719753 HHY719748:HHY719753 HRU719748:HRU719753 IBQ719748:IBQ719753 ILM719748:ILM719753 IVI719748:IVI719753 JFE719748:JFE719753 JPA719748:JPA719753 JYW719748:JYW719753 KIS719748:KIS719753 KSO719748:KSO719753 LCK719748:LCK719753 LMG719748:LMG719753 LWC719748:LWC719753 MFY719748:MFY719753 MPU719748:MPU719753 MZQ719748:MZQ719753 NJM719748:NJM719753 NTI719748:NTI719753 ODE719748:ODE719753 ONA719748:ONA719753 OWW719748:OWW719753 PGS719748:PGS719753 PQO719748:PQO719753 QAK719748:QAK719753 QKG719748:QKG719753 QUC719748:QUC719753 RDY719748:RDY719753 RNU719748:RNU719753 RXQ719748:RXQ719753 SHM719748:SHM719753 SRI719748:SRI719753 TBE719748:TBE719753 TLA719748:TLA719753 TUW719748:TUW719753 UES719748:UES719753 UOO719748:UOO719753 UYK719748:UYK719753 VIG719748:VIG719753 VSC719748:VSC719753 WBY719748:WBY719753 WLU719748:WLU719753 WVQ719748:WVQ719753 I785305:I785310 JE785284:JE785289 TA785284:TA785289 ACW785284:ACW785289 AMS785284:AMS785289 AWO785284:AWO785289 BGK785284:BGK785289 BQG785284:BQG785289 CAC785284:CAC785289 CJY785284:CJY785289 CTU785284:CTU785289 DDQ785284:DDQ785289 DNM785284:DNM785289 DXI785284:DXI785289 EHE785284:EHE785289 ERA785284:ERA785289 FAW785284:FAW785289 FKS785284:FKS785289 FUO785284:FUO785289 GEK785284:GEK785289 GOG785284:GOG785289 GYC785284:GYC785289 HHY785284:HHY785289 HRU785284:HRU785289 IBQ785284:IBQ785289 ILM785284:ILM785289 IVI785284:IVI785289 JFE785284:JFE785289 JPA785284:JPA785289 JYW785284:JYW785289 KIS785284:KIS785289 KSO785284:KSO785289 LCK785284:LCK785289 LMG785284:LMG785289 LWC785284:LWC785289 MFY785284:MFY785289 MPU785284:MPU785289 MZQ785284:MZQ785289 NJM785284:NJM785289 NTI785284:NTI785289 ODE785284:ODE785289 ONA785284:ONA785289 OWW785284:OWW785289 PGS785284:PGS785289 PQO785284:PQO785289 QAK785284:QAK785289 QKG785284:QKG785289 QUC785284:QUC785289 RDY785284:RDY785289 RNU785284:RNU785289 RXQ785284:RXQ785289 SHM785284:SHM785289 SRI785284:SRI785289 TBE785284:TBE785289 TLA785284:TLA785289 TUW785284:TUW785289 UES785284:UES785289 UOO785284:UOO785289 UYK785284:UYK785289 VIG785284:VIG785289 VSC785284:VSC785289 WBY785284:WBY785289 WLU785284:WLU785289 WVQ785284:WVQ785289 I850841:I850846 JE850820:JE850825 TA850820:TA850825 ACW850820:ACW850825 AMS850820:AMS850825 AWO850820:AWO850825 BGK850820:BGK850825 BQG850820:BQG850825 CAC850820:CAC850825 CJY850820:CJY850825 CTU850820:CTU850825 DDQ850820:DDQ850825 DNM850820:DNM850825 DXI850820:DXI850825 EHE850820:EHE850825 ERA850820:ERA850825 FAW850820:FAW850825 FKS850820:FKS850825 FUO850820:FUO850825 GEK850820:GEK850825 GOG850820:GOG850825 GYC850820:GYC850825 HHY850820:HHY850825 HRU850820:HRU850825 IBQ850820:IBQ850825 ILM850820:ILM850825 IVI850820:IVI850825 JFE850820:JFE850825 JPA850820:JPA850825 JYW850820:JYW850825 KIS850820:KIS850825 KSO850820:KSO850825 LCK850820:LCK850825 LMG850820:LMG850825 LWC850820:LWC850825 MFY850820:MFY850825 MPU850820:MPU850825 MZQ850820:MZQ850825 NJM850820:NJM850825 NTI850820:NTI850825 ODE850820:ODE850825 ONA850820:ONA850825 OWW850820:OWW850825 PGS850820:PGS850825 PQO850820:PQO850825 QAK850820:QAK850825 QKG850820:QKG850825 QUC850820:QUC850825 RDY850820:RDY850825 RNU850820:RNU850825 RXQ850820:RXQ850825 SHM850820:SHM850825 SRI850820:SRI850825 TBE850820:TBE850825 TLA850820:TLA850825 TUW850820:TUW850825 UES850820:UES850825 UOO850820:UOO850825 UYK850820:UYK850825 VIG850820:VIG850825 VSC850820:VSC850825 WBY850820:WBY850825 WLU850820:WLU850825 WVQ850820:WVQ850825 I916377:I916382 JE916356:JE916361 TA916356:TA916361 ACW916356:ACW916361 AMS916356:AMS916361 AWO916356:AWO916361 BGK916356:BGK916361 BQG916356:BQG916361 CAC916356:CAC916361 CJY916356:CJY916361 CTU916356:CTU916361 DDQ916356:DDQ916361 DNM916356:DNM916361 DXI916356:DXI916361 EHE916356:EHE916361 ERA916356:ERA916361 FAW916356:FAW916361 FKS916356:FKS916361 FUO916356:FUO916361 GEK916356:GEK916361 GOG916356:GOG916361 GYC916356:GYC916361 HHY916356:HHY916361 HRU916356:HRU916361 IBQ916356:IBQ916361 ILM916356:ILM916361 IVI916356:IVI916361 JFE916356:JFE916361 JPA916356:JPA916361 JYW916356:JYW916361 KIS916356:KIS916361 KSO916356:KSO916361 LCK916356:LCK916361 LMG916356:LMG916361 LWC916356:LWC916361 MFY916356:MFY916361 MPU916356:MPU916361 MZQ916356:MZQ916361 NJM916356:NJM916361 NTI916356:NTI916361 ODE916356:ODE916361 ONA916356:ONA916361 OWW916356:OWW916361 PGS916356:PGS916361 PQO916356:PQO916361 QAK916356:QAK916361 QKG916356:QKG916361 QUC916356:QUC916361 RDY916356:RDY916361 RNU916356:RNU916361 RXQ916356:RXQ916361 SHM916356:SHM916361 SRI916356:SRI916361 TBE916356:TBE916361 TLA916356:TLA916361 TUW916356:TUW916361 UES916356:UES916361 UOO916356:UOO916361 UYK916356:UYK916361 VIG916356:VIG916361 VSC916356:VSC916361 WBY916356:WBY916361 WLU916356:WLU916361 WVQ916356:WVQ916361 I981913:I981918 JE981892:JE981897 TA981892:TA981897 ACW981892:ACW981897 AMS981892:AMS981897 AWO981892:AWO981897 BGK981892:BGK981897 BQG981892:BQG981897 CAC981892:CAC981897 CJY981892:CJY981897 CTU981892:CTU981897 DDQ981892:DDQ981897 DNM981892:DNM981897 DXI981892:DXI981897 EHE981892:EHE981897 ERA981892:ERA981897 FAW981892:FAW981897 FKS981892:FKS981897 FUO981892:FUO981897 GEK981892:GEK981897 GOG981892:GOG981897 GYC981892:GYC981897 HHY981892:HHY981897 HRU981892:HRU981897 IBQ981892:IBQ981897 ILM981892:ILM981897 IVI981892:IVI981897 JFE981892:JFE981897 JPA981892:JPA981897 JYW981892:JYW981897 KIS981892:KIS981897 KSO981892:KSO981897 LCK981892:LCK981897 LMG981892:LMG981897 LWC981892:LWC981897 MFY981892:MFY981897 MPU981892:MPU981897 MZQ981892:MZQ981897 NJM981892:NJM981897 NTI981892:NTI981897 ODE981892:ODE981897 ONA981892:ONA981897 OWW981892:OWW981897 PGS981892:PGS981897 PQO981892:PQO981897 QAK981892:QAK981897 QKG981892:QKG981897 QUC981892:QUC981897 RDY981892:RDY981897 RNU981892:RNU981897 RXQ981892:RXQ981897 SHM981892:SHM981897 SRI981892:SRI981897 TBE981892:TBE981897 TLA981892:TLA981897 TUW981892:TUW981897 UES981892:UES981897 UOO981892:UOO981897 UYK981892:UYK981897 VIG981892:VIG981897 VSC981892:VSC981897 WBY981892:WBY981897 WLU981892:WLU981897 WVQ981892:WVQ981897" xr:uid="{0F72CC34-5335-43E7-A216-4DACD4A3AE21}">
      <formula1>$AN$11:$AN$12</formula1>
    </dataValidation>
    <dataValidation type="list" allowBlank="1" showInputMessage="1" showErrorMessage="1" sqref="WVR981808:WVR981897 WLV981808:WLV981897 J64313:J64402 JF64304:JF64393 TB64304:TB64393 ACX64304:ACX64393 AMT64304:AMT64393 AWP64304:AWP64393 BGL64304:BGL64393 BQH64304:BQH64393 CAD64304:CAD64393 CJZ64304:CJZ64393 CTV64304:CTV64393 DDR64304:DDR64393 DNN64304:DNN64393 DXJ64304:DXJ64393 EHF64304:EHF64393 ERB64304:ERB64393 FAX64304:FAX64393 FKT64304:FKT64393 FUP64304:FUP64393 GEL64304:GEL64393 GOH64304:GOH64393 GYD64304:GYD64393 HHZ64304:HHZ64393 HRV64304:HRV64393 IBR64304:IBR64393 ILN64304:ILN64393 IVJ64304:IVJ64393 JFF64304:JFF64393 JPB64304:JPB64393 JYX64304:JYX64393 KIT64304:KIT64393 KSP64304:KSP64393 LCL64304:LCL64393 LMH64304:LMH64393 LWD64304:LWD64393 MFZ64304:MFZ64393 MPV64304:MPV64393 MZR64304:MZR64393 NJN64304:NJN64393 NTJ64304:NTJ64393 ODF64304:ODF64393 ONB64304:ONB64393 OWX64304:OWX64393 PGT64304:PGT64393 PQP64304:PQP64393 QAL64304:QAL64393 QKH64304:QKH64393 QUD64304:QUD64393 RDZ64304:RDZ64393 RNV64304:RNV64393 RXR64304:RXR64393 SHN64304:SHN64393 SRJ64304:SRJ64393 TBF64304:TBF64393 TLB64304:TLB64393 TUX64304:TUX64393 UET64304:UET64393 UOP64304:UOP64393 UYL64304:UYL64393 VIH64304:VIH64393 VSD64304:VSD64393 WBZ64304:WBZ64393 WLV64304:WLV64393 WVR64304:WVR64393 J129849:J129938 JF129840:JF129929 TB129840:TB129929 ACX129840:ACX129929 AMT129840:AMT129929 AWP129840:AWP129929 BGL129840:BGL129929 BQH129840:BQH129929 CAD129840:CAD129929 CJZ129840:CJZ129929 CTV129840:CTV129929 DDR129840:DDR129929 DNN129840:DNN129929 DXJ129840:DXJ129929 EHF129840:EHF129929 ERB129840:ERB129929 FAX129840:FAX129929 FKT129840:FKT129929 FUP129840:FUP129929 GEL129840:GEL129929 GOH129840:GOH129929 GYD129840:GYD129929 HHZ129840:HHZ129929 HRV129840:HRV129929 IBR129840:IBR129929 ILN129840:ILN129929 IVJ129840:IVJ129929 JFF129840:JFF129929 JPB129840:JPB129929 JYX129840:JYX129929 KIT129840:KIT129929 KSP129840:KSP129929 LCL129840:LCL129929 LMH129840:LMH129929 LWD129840:LWD129929 MFZ129840:MFZ129929 MPV129840:MPV129929 MZR129840:MZR129929 NJN129840:NJN129929 NTJ129840:NTJ129929 ODF129840:ODF129929 ONB129840:ONB129929 OWX129840:OWX129929 PGT129840:PGT129929 PQP129840:PQP129929 QAL129840:QAL129929 QKH129840:QKH129929 QUD129840:QUD129929 RDZ129840:RDZ129929 RNV129840:RNV129929 RXR129840:RXR129929 SHN129840:SHN129929 SRJ129840:SRJ129929 TBF129840:TBF129929 TLB129840:TLB129929 TUX129840:TUX129929 UET129840:UET129929 UOP129840:UOP129929 UYL129840:UYL129929 VIH129840:VIH129929 VSD129840:VSD129929 WBZ129840:WBZ129929 WLV129840:WLV129929 WVR129840:WVR129929 J195385:J195474 JF195376:JF195465 TB195376:TB195465 ACX195376:ACX195465 AMT195376:AMT195465 AWP195376:AWP195465 BGL195376:BGL195465 BQH195376:BQH195465 CAD195376:CAD195465 CJZ195376:CJZ195465 CTV195376:CTV195465 DDR195376:DDR195465 DNN195376:DNN195465 DXJ195376:DXJ195465 EHF195376:EHF195465 ERB195376:ERB195465 FAX195376:FAX195465 FKT195376:FKT195465 FUP195376:FUP195465 GEL195376:GEL195465 GOH195376:GOH195465 GYD195376:GYD195465 HHZ195376:HHZ195465 HRV195376:HRV195465 IBR195376:IBR195465 ILN195376:ILN195465 IVJ195376:IVJ195465 JFF195376:JFF195465 JPB195376:JPB195465 JYX195376:JYX195465 KIT195376:KIT195465 KSP195376:KSP195465 LCL195376:LCL195465 LMH195376:LMH195465 LWD195376:LWD195465 MFZ195376:MFZ195465 MPV195376:MPV195465 MZR195376:MZR195465 NJN195376:NJN195465 NTJ195376:NTJ195465 ODF195376:ODF195465 ONB195376:ONB195465 OWX195376:OWX195465 PGT195376:PGT195465 PQP195376:PQP195465 QAL195376:QAL195465 QKH195376:QKH195465 QUD195376:QUD195465 RDZ195376:RDZ195465 RNV195376:RNV195465 RXR195376:RXR195465 SHN195376:SHN195465 SRJ195376:SRJ195465 TBF195376:TBF195465 TLB195376:TLB195465 TUX195376:TUX195465 UET195376:UET195465 UOP195376:UOP195465 UYL195376:UYL195465 VIH195376:VIH195465 VSD195376:VSD195465 WBZ195376:WBZ195465 WLV195376:WLV195465 WVR195376:WVR195465 J260921:J261010 JF260912:JF261001 TB260912:TB261001 ACX260912:ACX261001 AMT260912:AMT261001 AWP260912:AWP261001 BGL260912:BGL261001 BQH260912:BQH261001 CAD260912:CAD261001 CJZ260912:CJZ261001 CTV260912:CTV261001 DDR260912:DDR261001 DNN260912:DNN261001 DXJ260912:DXJ261001 EHF260912:EHF261001 ERB260912:ERB261001 FAX260912:FAX261001 FKT260912:FKT261001 FUP260912:FUP261001 GEL260912:GEL261001 GOH260912:GOH261001 GYD260912:GYD261001 HHZ260912:HHZ261001 HRV260912:HRV261001 IBR260912:IBR261001 ILN260912:ILN261001 IVJ260912:IVJ261001 JFF260912:JFF261001 JPB260912:JPB261001 JYX260912:JYX261001 KIT260912:KIT261001 KSP260912:KSP261001 LCL260912:LCL261001 LMH260912:LMH261001 LWD260912:LWD261001 MFZ260912:MFZ261001 MPV260912:MPV261001 MZR260912:MZR261001 NJN260912:NJN261001 NTJ260912:NTJ261001 ODF260912:ODF261001 ONB260912:ONB261001 OWX260912:OWX261001 PGT260912:PGT261001 PQP260912:PQP261001 QAL260912:QAL261001 QKH260912:QKH261001 QUD260912:QUD261001 RDZ260912:RDZ261001 RNV260912:RNV261001 RXR260912:RXR261001 SHN260912:SHN261001 SRJ260912:SRJ261001 TBF260912:TBF261001 TLB260912:TLB261001 TUX260912:TUX261001 UET260912:UET261001 UOP260912:UOP261001 UYL260912:UYL261001 VIH260912:VIH261001 VSD260912:VSD261001 WBZ260912:WBZ261001 WLV260912:WLV261001 WVR260912:WVR261001 J326457:J326546 JF326448:JF326537 TB326448:TB326537 ACX326448:ACX326537 AMT326448:AMT326537 AWP326448:AWP326537 BGL326448:BGL326537 BQH326448:BQH326537 CAD326448:CAD326537 CJZ326448:CJZ326537 CTV326448:CTV326537 DDR326448:DDR326537 DNN326448:DNN326537 DXJ326448:DXJ326537 EHF326448:EHF326537 ERB326448:ERB326537 FAX326448:FAX326537 FKT326448:FKT326537 FUP326448:FUP326537 GEL326448:GEL326537 GOH326448:GOH326537 GYD326448:GYD326537 HHZ326448:HHZ326537 HRV326448:HRV326537 IBR326448:IBR326537 ILN326448:ILN326537 IVJ326448:IVJ326537 JFF326448:JFF326537 JPB326448:JPB326537 JYX326448:JYX326537 KIT326448:KIT326537 KSP326448:KSP326537 LCL326448:LCL326537 LMH326448:LMH326537 LWD326448:LWD326537 MFZ326448:MFZ326537 MPV326448:MPV326537 MZR326448:MZR326537 NJN326448:NJN326537 NTJ326448:NTJ326537 ODF326448:ODF326537 ONB326448:ONB326537 OWX326448:OWX326537 PGT326448:PGT326537 PQP326448:PQP326537 QAL326448:QAL326537 QKH326448:QKH326537 QUD326448:QUD326537 RDZ326448:RDZ326537 RNV326448:RNV326537 RXR326448:RXR326537 SHN326448:SHN326537 SRJ326448:SRJ326537 TBF326448:TBF326537 TLB326448:TLB326537 TUX326448:TUX326537 UET326448:UET326537 UOP326448:UOP326537 UYL326448:UYL326537 VIH326448:VIH326537 VSD326448:VSD326537 WBZ326448:WBZ326537 WLV326448:WLV326537 WVR326448:WVR326537 J391993:J392082 JF391984:JF392073 TB391984:TB392073 ACX391984:ACX392073 AMT391984:AMT392073 AWP391984:AWP392073 BGL391984:BGL392073 BQH391984:BQH392073 CAD391984:CAD392073 CJZ391984:CJZ392073 CTV391984:CTV392073 DDR391984:DDR392073 DNN391984:DNN392073 DXJ391984:DXJ392073 EHF391984:EHF392073 ERB391984:ERB392073 FAX391984:FAX392073 FKT391984:FKT392073 FUP391984:FUP392073 GEL391984:GEL392073 GOH391984:GOH392073 GYD391984:GYD392073 HHZ391984:HHZ392073 HRV391984:HRV392073 IBR391984:IBR392073 ILN391984:ILN392073 IVJ391984:IVJ392073 JFF391984:JFF392073 JPB391984:JPB392073 JYX391984:JYX392073 KIT391984:KIT392073 KSP391984:KSP392073 LCL391984:LCL392073 LMH391984:LMH392073 LWD391984:LWD392073 MFZ391984:MFZ392073 MPV391984:MPV392073 MZR391984:MZR392073 NJN391984:NJN392073 NTJ391984:NTJ392073 ODF391984:ODF392073 ONB391984:ONB392073 OWX391984:OWX392073 PGT391984:PGT392073 PQP391984:PQP392073 QAL391984:QAL392073 QKH391984:QKH392073 QUD391984:QUD392073 RDZ391984:RDZ392073 RNV391984:RNV392073 RXR391984:RXR392073 SHN391984:SHN392073 SRJ391984:SRJ392073 TBF391984:TBF392073 TLB391984:TLB392073 TUX391984:TUX392073 UET391984:UET392073 UOP391984:UOP392073 UYL391984:UYL392073 VIH391984:VIH392073 VSD391984:VSD392073 WBZ391984:WBZ392073 WLV391984:WLV392073 WVR391984:WVR392073 J457529:J457618 JF457520:JF457609 TB457520:TB457609 ACX457520:ACX457609 AMT457520:AMT457609 AWP457520:AWP457609 BGL457520:BGL457609 BQH457520:BQH457609 CAD457520:CAD457609 CJZ457520:CJZ457609 CTV457520:CTV457609 DDR457520:DDR457609 DNN457520:DNN457609 DXJ457520:DXJ457609 EHF457520:EHF457609 ERB457520:ERB457609 FAX457520:FAX457609 FKT457520:FKT457609 FUP457520:FUP457609 GEL457520:GEL457609 GOH457520:GOH457609 GYD457520:GYD457609 HHZ457520:HHZ457609 HRV457520:HRV457609 IBR457520:IBR457609 ILN457520:ILN457609 IVJ457520:IVJ457609 JFF457520:JFF457609 JPB457520:JPB457609 JYX457520:JYX457609 KIT457520:KIT457609 KSP457520:KSP457609 LCL457520:LCL457609 LMH457520:LMH457609 LWD457520:LWD457609 MFZ457520:MFZ457609 MPV457520:MPV457609 MZR457520:MZR457609 NJN457520:NJN457609 NTJ457520:NTJ457609 ODF457520:ODF457609 ONB457520:ONB457609 OWX457520:OWX457609 PGT457520:PGT457609 PQP457520:PQP457609 QAL457520:QAL457609 QKH457520:QKH457609 QUD457520:QUD457609 RDZ457520:RDZ457609 RNV457520:RNV457609 RXR457520:RXR457609 SHN457520:SHN457609 SRJ457520:SRJ457609 TBF457520:TBF457609 TLB457520:TLB457609 TUX457520:TUX457609 UET457520:UET457609 UOP457520:UOP457609 UYL457520:UYL457609 VIH457520:VIH457609 VSD457520:VSD457609 WBZ457520:WBZ457609 WLV457520:WLV457609 WVR457520:WVR457609 J523065:J523154 JF523056:JF523145 TB523056:TB523145 ACX523056:ACX523145 AMT523056:AMT523145 AWP523056:AWP523145 BGL523056:BGL523145 BQH523056:BQH523145 CAD523056:CAD523145 CJZ523056:CJZ523145 CTV523056:CTV523145 DDR523056:DDR523145 DNN523056:DNN523145 DXJ523056:DXJ523145 EHF523056:EHF523145 ERB523056:ERB523145 FAX523056:FAX523145 FKT523056:FKT523145 FUP523056:FUP523145 GEL523056:GEL523145 GOH523056:GOH523145 GYD523056:GYD523145 HHZ523056:HHZ523145 HRV523056:HRV523145 IBR523056:IBR523145 ILN523056:ILN523145 IVJ523056:IVJ523145 JFF523056:JFF523145 JPB523056:JPB523145 JYX523056:JYX523145 KIT523056:KIT523145 KSP523056:KSP523145 LCL523056:LCL523145 LMH523056:LMH523145 LWD523056:LWD523145 MFZ523056:MFZ523145 MPV523056:MPV523145 MZR523056:MZR523145 NJN523056:NJN523145 NTJ523056:NTJ523145 ODF523056:ODF523145 ONB523056:ONB523145 OWX523056:OWX523145 PGT523056:PGT523145 PQP523056:PQP523145 QAL523056:QAL523145 QKH523056:QKH523145 QUD523056:QUD523145 RDZ523056:RDZ523145 RNV523056:RNV523145 RXR523056:RXR523145 SHN523056:SHN523145 SRJ523056:SRJ523145 TBF523056:TBF523145 TLB523056:TLB523145 TUX523056:TUX523145 UET523056:UET523145 UOP523056:UOP523145 UYL523056:UYL523145 VIH523056:VIH523145 VSD523056:VSD523145 WBZ523056:WBZ523145 WLV523056:WLV523145 WVR523056:WVR523145 J588601:J588690 JF588592:JF588681 TB588592:TB588681 ACX588592:ACX588681 AMT588592:AMT588681 AWP588592:AWP588681 BGL588592:BGL588681 BQH588592:BQH588681 CAD588592:CAD588681 CJZ588592:CJZ588681 CTV588592:CTV588681 DDR588592:DDR588681 DNN588592:DNN588681 DXJ588592:DXJ588681 EHF588592:EHF588681 ERB588592:ERB588681 FAX588592:FAX588681 FKT588592:FKT588681 FUP588592:FUP588681 GEL588592:GEL588681 GOH588592:GOH588681 GYD588592:GYD588681 HHZ588592:HHZ588681 HRV588592:HRV588681 IBR588592:IBR588681 ILN588592:ILN588681 IVJ588592:IVJ588681 JFF588592:JFF588681 JPB588592:JPB588681 JYX588592:JYX588681 KIT588592:KIT588681 KSP588592:KSP588681 LCL588592:LCL588681 LMH588592:LMH588681 LWD588592:LWD588681 MFZ588592:MFZ588681 MPV588592:MPV588681 MZR588592:MZR588681 NJN588592:NJN588681 NTJ588592:NTJ588681 ODF588592:ODF588681 ONB588592:ONB588681 OWX588592:OWX588681 PGT588592:PGT588681 PQP588592:PQP588681 QAL588592:QAL588681 QKH588592:QKH588681 QUD588592:QUD588681 RDZ588592:RDZ588681 RNV588592:RNV588681 RXR588592:RXR588681 SHN588592:SHN588681 SRJ588592:SRJ588681 TBF588592:TBF588681 TLB588592:TLB588681 TUX588592:TUX588681 UET588592:UET588681 UOP588592:UOP588681 UYL588592:UYL588681 VIH588592:VIH588681 VSD588592:VSD588681 WBZ588592:WBZ588681 WLV588592:WLV588681 WVR588592:WVR588681 J654137:J654226 JF654128:JF654217 TB654128:TB654217 ACX654128:ACX654217 AMT654128:AMT654217 AWP654128:AWP654217 BGL654128:BGL654217 BQH654128:BQH654217 CAD654128:CAD654217 CJZ654128:CJZ654217 CTV654128:CTV654217 DDR654128:DDR654217 DNN654128:DNN654217 DXJ654128:DXJ654217 EHF654128:EHF654217 ERB654128:ERB654217 FAX654128:FAX654217 FKT654128:FKT654217 FUP654128:FUP654217 GEL654128:GEL654217 GOH654128:GOH654217 GYD654128:GYD654217 HHZ654128:HHZ654217 HRV654128:HRV654217 IBR654128:IBR654217 ILN654128:ILN654217 IVJ654128:IVJ654217 JFF654128:JFF654217 JPB654128:JPB654217 JYX654128:JYX654217 KIT654128:KIT654217 KSP654128:KSP654217 LCL654128:LCL654217 LMH654128:LMH654217 LWD654128:LWD654217 MFZ654128:MFZ654217 MPV654128:MPV654217 MZR654128:MZR654217 NJN654128:NJN654217 NTJ654128:NTJ654217 ODF654128:ODF654217 ONB654128:ONB654217 OWX654128:OWX654217 PGT654128:PGT654217 PQP654128:PQP654217 QAL654128:QAL654217 QKH654128:QKH654217 QUD654128:QUD654217 RDZ654128:RDZ654217 RNV654128:RNV654217 RXR654128:RXR654217 SHN654128:SHN654217 SRJ654128:SRJ654217 TBF654128:TBF654217 TLB654128:TLB654217 TUX654128:TUX654217 UET654128:UET654217 UOP654128:UOP654217 UYL654128:UYL654217 VIH654128:VIH654217 VSD654128:VSD654217 WBZ654128:WBZ654217 WLV654128:WLV654217 WVR654128:WVR654217 J719673:J719762 JF719664:JF719753 TB719664:TB719753 ACX719664:ACX719753 AMT719664:AMT719753 AWP719664:AWP719753 BGL719664:BGL719753 BQH719664:BQH719753 CAD719664:CAD719753 CJZ719664:CJZ719753 CTV719664:CTV719753 DDR719664:DDR719753 DNN719664:DNN719753 DXJ719664:DXJ719753 EHF719664:EHF719753 ERB719664:ERB719753 FAX719664:FAX719753 FKT719664:FKT719753 FUP719664:FUP719753 GEL719664:GEL719753 GOH719664:GOH719753 GYD719664:GYD719753 HHZ719664:HHZ719753 HRV719664:HRV719753 IBR719664:IBR719753 ILN719664:ILN719753 IVJ719664:IVJ719753 JFF719664:JFF719753 JPB719664:JPB719753 JYX719664:JYX719753 KIT719664:KIT719753 KSP719664:KSP719753 LCL719664:LCL719753 LMH719664:LMH719753 LWD719664:LWD719753 MFZ719664:MFZ719753 MPV719664:MPV719753 MZR719664:MZR719753 NJN719664:NJN719753 NTJ719664:NTJ719753 ODF719664:ODF719753 ONB719664:ONB719753 OWX719664:OWX719753 PGT719664:PGT719753 PQP719664:PQP719753 QAL719664:QAL719753 QKH719664:QKH719753 QUD719664:QUD719753 RDZ719664:RDZ719753 RNV719664:RNV719753 RXR719664:RXR719753 SHN719664:SHN719753 SRJ719664:SRJ719753 TBF719664:TBF719753 TLB719664:TLB719753 TUX719664:TUX719753 UET719664:UET719753 UOP719664:UOP719753 UYL719664:UYL719753 VIH719664:VIH719753 VSD719664:VSD719753 WBZ719664:WBZ719753 WLV719664:WLV719753 WVR719664:WVR719753 J785209:J785298 JF785200:JF785289 TB785200:TB785289 ACX785200:ACX785289 AMT785200:AMT785289 AWP785200:AWP785289 BGL785200:BGL785289 BQH785200:BQH785289 CAD785200:CAD785289 CJZ785200:CJZ785289 CTV785200:CTV785289 DDR785200:DDR785289 DNN785200:DNN785289 DXJ785200:DXJ785289 EHF785200:EHF785289 ERB785200:ERB785289 FAX785200:FAX785289 FKT785200:FKT785289 FUP785200:FUP785289 GEL785200:GEL785289 GOH785200:GOH785289 GYD785200:GYD785289 HHZ785200:HHZ785289 HRV785200:HRV785289 IBR785200:IBR785289 ILN785200:ILN785289 IVJ785200:IVJ785289 JFF785200:JFF785289 JPB785200:JPB785289 JYX785200:JYX785289 KIT785200:KIT785289 KSP785200:KSP785289 LCL785200:LCL785289 LMH785200:LMH785289 LWD785200:LWD785289 MFZ785200:MFZ785289 MPV785200:MPV785289 MZR785200:MZR785289 NJN785200:NJN785289 NTJ785200:NTJ785289 ODF785200:ODF785289 ONB785200:ONB785289 OWX785200:OWX785289 PGT785200:PGT785289 PQP785200:PQP785289 QAL785200:QAL785289 QKH785200:QKH785289 QUD785200:QUD785289 RDZ785200:RDZ785289 RNV785200:RNV785289 RXR785200:RXR785289 SHN785200:SHN785289 SRJ785200:SRJ785289 TBF785200:TBF785289 TLB785200:TLB785289 TUX785200:TUX785289 UET785200:UET785289 UOP785200:UOP785289 UYL785200:UYL785289 VIH785200:VIH785289 VSD785200:VSD785289 WBZ785200:WBZ785289 WLV785200:WLV785289 WVR785200:WVR785289 J850745:J850834 JF850736:JF850825 TB850736:TB850825 ACX850736:ACX850825 AMT850736:AMT850825 AWP850736:AWP850825 BGL850736:BGL850825 BQH850736:BQH850825 CAD850736:CAD850825 CJZ850736:CJZ850825 CTV850736:CTV850825 DDR850736:DDR850825 DNN850736:DNN850825 DXJ850736:DXJ850825 EHF850736:EHF850825 ERB850736:ERB850825 FAX850736:FAX850825 FKT850736:FKT850825 FUP850736:FUP850825 GEL850736:GEL850825 GOH850736:GOH850825 GYD850736:GYD850825 HHZ850736:HHZ850825 HRV850736:HRV850825 IBR850736:IBR850825 ILN850736:ILN850825 IVJ850736:IVJ850825 JFF850736:JFF850825 JPB850736:JPB850825 JYX850736:JYX850825 KIT850736:KIT850825 KSP850736:KSP850825 LCL850736:LCL850825 LMH850736:LMH850825 LWD850736:LWD850825 MFZ850736:MFZ850825 MPV850736:MPV850825 MZR850736:MZR850825 NJN850736:NJN850825 NTJ850736:NTJ850825 ODF850736:ODF850825 ONB850736:ONB850825 OWX850736:OWX850825 PGT850736:PGT850825 PQP850736:PQP850825 QAL850736:QAL850825 QKH850736:QKH850825 QUD850736:QUD850825 RDZ850736:RDZ850825 RNV850736:RNV850825 RXR850736:RXR850825 SHN850736:SHN850825 SRJ850736:SRJ850825 TBF850736:TBF850825 TLB850736:TLB850825 TUX850736:TUX850825 UET850736:UET850825 UOP850736:UOP850825 UYL850736:UYL850825 VIH850736:VIH850825 VSD850736:VSD850825 WBZ850736:WBZ850825 WLV850736:WLV850825 WVR850736:WVR850825 J916281:J916370 JF916272:JF916361 TB916272:TB916361 ACX916272:ACX916361 AMT916272:AMT916361 AWP916272:AWP916361 BGL916272:BGL916361 BQH916272:BQH916361 CAD916272:CAD916361 CJZ916272:CJZ916361 CTV916272:CTV916361 DDR916272:DDR916361 DNN916272:DNN916361 DXJ916272:DXJ916361 EHF916272:EHF916361 ERB916272:ERB916361 FAX916272:FAX916361 FKT916272:FKT916361 FUP916272:FUP916361 GEL916272:GEL916361 GOH916272:GOH916361 GYD916272:GYD916361 HHZ916272:HHZ916361 HRV916272:HRV916361 IBR916272:IBR916361 ILN916272:ILN916361 IVJ916272:IVJ916361 JFF916272:JFF916361 JPB916272:JPB916361 JYX916272:JYX916361 KIT916272:KIT916361 KSP916272:KSP916361 LCL916272:LCL916361 LMH916272:LMH916361 LWD916272:LWD916361 MFZ916272:MFZ916361 MPV916272:MPV916361 MZR916272:MZR916361 NJN916272:NJN916361 NTJ916272:NTJ916361 ODF916272:ODF916361 ONB916272:ONB916361 OWX916272:OWX916361 PGT916272:PGT916361 PQP916272:PQP916361 QAL916272:QAL916361 QKH916272:QKH916361 QUD916272:QUD916361 RDZ916272:RDZ916361 RNV916272:RNV916361 RXR916272:RXR916361 SHN916272:SHN916361 SRJ916272:SRJ916361 TBF916272:TBF916361 TLB916272:TLB916361 TUX916272:TUX916361 UET916272:UET916361 UOP916272:UOP916361 UYL916272:UYL916361 VIH916272:VIH916361 VSD916272:VSD916361 WBZ916272:WBZ916361 WLV916272:WLV916361 WVR916272:WVR916361 J981817:J981906 JF981808:JF981897 TB981808:TB981897 ACX981808:ACX981897 AMT981808:AMT981897 AWP981808:AWP981897 BGL981808:BGL981897 BQH981808:BQH981897 CAD981808:CAD981897 CJZ981808:CJZ981897 CTV981808:CTV981897 DDR981808:DDR981897 DNN981808:DNN981897 DXJ981808:DXJ981897 EHF981808:EHF981897 ERB981808:ERB981897 FAX981808:FAX981897 FKT981808:FKT981897 FUP981808:FUP981897 GEL981808:GEL981897 GOH981808:GOH981897 GYD981808:GYD981897 HHZ981808:HHZ981897 HRV981808:HRV981897 IBR981808:IBR981897 ILN981808:ILN981897 IVJ981808:IVJ981897 JFF981808:JFF981897 JPB981808:JPB981897 JYX981808:JYX981897 KIT981808:KIT981897 KSP981808:KSP981897 LCL981808:LCL981897 LMH981808:LMH981897 LWD981808:LWD981897 MFZ981808:MFZ981897 MPV981808:MPV981897 MZR981808:MZR981897 NJN981808:NJN981897 NTJ981808:NTJ981897 ODF981808:ODF981897 ONB981808:ONB981897 OWX981808:OWX981897 PGT981808:PGT981897 PQP981808:PQP981897 QAL981808:QAL981897 QKH981808:QKH981897 QUD981808:QUD981897 RDZ981808:RDZ981897 RNV981808:RNV981897 RXR981808:RXR981897 SHN981808:SHN981897 SRJ981808:SRJ981897 TBF981808:TBF981897 TLB981808:TLB981897 TUX981808:TUX981897 UET981808:UET981897 UOP981808:UOP981897 UYL981808:UYL981897 VIH981808:VIH981897 VSD981808:VSD981897 WBZ981808:WBZ981897 WVR2:WVR76 WLV2:WLV76 WBZ2:WBZ76 VSD2:VSD76 VIH2:VIH76 UYL2:UYL76 UOP2:UOP76 UET2:UET76 TUX2:TUX76 TLB2:TLB76 TBF2:TBF76 SRJ2:SRJ76 SHN2:SHN76 RXR2:RXR76 RNV2:RNV76 RDZ2:RDZ76 QUD2:QUD76 QKH2:QKH76 QAL2:QAL76 PQP2:PQP76 PGT2:PGT76 OWX2:OWX76 ONB2:ONB76 ODF2:ODF76 NTJ2:NTJ76 NJN2:NJN76 MZR2:MZR76 MPV2:MPV76 MFZ2:MFZ76 LWD2:LWD76 LMH2:LMH76 LCL2:LCL76 KSP2:KSP76 KIT2:KIT76 JYX2:JYX76 JPB2:JPB76 JFF2:JFF76 IVJ2:IVJ76 ILN2:ILN76 IBR2:IBR76 HRV2:HRV76 HHZ2:HHZ76 GYD2:GYD76 GOH2:GOH76 GEL2:GEL76 FUP2:FUP76 FKT2:FKT76 FAX2:FAX76 ERB2:ERB76 EHF2:EHF76 DXJ2:DXJ76 DNN2:DNN76 DDR2:DDR76 CTV2:CTV76 CJZ2:CJZ76 CAD2:CAD76 BQH2:BQH76 BGL2:BGL76 AWP2:AWP76 AMT2:AMT76 ACX2:ACX76 TB2:TB76 JF2:JF76" xr:uid="{4591677D-8766-4041-BD12-62B6837F3F0C}">
      <formula1>$AP$2:$AP$18</formula1>
    </dataValidation>
    <dataValidation type="list" allowBlank="1" showInputMessage="1" showErrorMessage="1" sqref="WVN981808:WVN981897 WLR981808:WLR981897 F64315:F64404 JB64304:JB64393 SX64304:SX64393 ACT64304:ACT64393 AMP64304:AMP64393 AWL64304:AWL64393 BGH64304:BGH64393 BQD64304:BQD64393 BZZ64304:BZZ64393 CJV64304:CJV64393 CTR64304:CTR64393 DDN64304:DDN64393 DNJ64304:DNJ64393 DXF64304:DXF64393 EHB64304:EHB64393 EQX64304:EQX64393 FAT64304:FAT64393 FKP64304:FKP64393 FUL64304:FUL64393 GEH64304:GEH64393 GOD64304:GOD64393 GXZ64304:GXZ64393 HHV64304:HHV64393 HRR64304:HRR64393 IBN64304:IBN64393 ILJ64304:ILJ64393 IVF64304:IVF64393 JFB64304:JFB64393 JOX64304:JOX64393 JYT64304:JYT64393 KIP64304:KIP64393 KSL64304:KSL64393 LCH64304:LCH64393 LMD64304:LMD64393 LVZ64304:LVZ64393 MFV64304:MFV64393 MPR64304:MPR64393 MZN64304:MZN64393 NJJ64304:NJJ64393 NTF64304:NTF64393 ODB64304:ODB64393 OMX64304:OMX64393 OWT64304:OWT64393 PGP64304:PGP64393 PQL64304:PQL64393 QAH64304:QAH64393 QKD64304:QKD64393 QTZ64304:QTZ64393 RDV64304:RDV64393 RNR64304:RNR64393 RXN64304:RXN64393 SHJ64304:SHJ64393 SRF64304:SRF64393 TBB64304:TBB64393 TKX64304:TKX64393 TUT64304:TUT64393 UEP64304:UEP64393 UOL64304:UOL64393 UYH64304:UYH64393 VID64304:VID64393 VRZ64304:VRZ64393 WBV64304:WBV64393 WLR64304:WLR64393 WVN64304:WVN64393 F129851:F129940 JB129840:JB129929 SX129840:SX129929 ACT129840:ACT129929 AMP129840:AMP129929 AWL129840:AWL129929 BGH129840:BGH129929 BQD129840:BQD129929 BZZ129840:BZZ129929 CJV129840:CJV129929 CTR129840:CTR129929 DDN129840:DDN129929 DNJ129840:DNJ129929 DXF129840:DXF129929 EHB129840:EHB129929 EQX129840:EQX129929 FAT129840:FAT129929 FKP129840:FKP129929 FUL129840:FUL129929 GEH129840:GEH129929 GOD129840:GOD129929 GXZ129840:GXZ129929 HHV129840:HHV129929 HRR129840:HRR129929 IBN129840:IBN129929 ILJ129840:ILJ129929 IVF129840:IVF129929 JFB129840:JFB129929 JOX129840:JOX129929 JYT129840:JYT129929 KIP129840:KIP129929 KSL129840:KSL129929 LCH129840:LCH129929 LMD129840:LMD129929 LVZ129840:LVZ129929 MFV129840:MFV129929 MPR129840:MPR129929 MZN129840:MZN129929 NJJ129840:NJJ129929 NTF129840:NTF129929 ODB129840:ODB129929 OMX129840:OMX129929 OWT129840:OWT129929 PGP129840:PGP129929 PQL129840:PQL129929 QAH129840:QAH129929 QKD129840:QKD129929 QTZ129840:QTZ129929 RDV129840:RDV129929 RNR129840:RNR129929 RXN129840:RXN129929 SHJ129840:SHJ129929 SRF129840:SRF129929 TBB129840:TBB129929 TKX129840:TKX129929 TUT129840:TUT129929 UEP129840:UEP129929 UOL129840:UOL129929 UYH129840:UYH129929 VID129840:VID129929 VRZ129840:VRZ129929 WBV129840:WBV129929 WLR129840:WLR129929 WVN129840:WVN129929 F195387:F195476 JB195376:JB195465 SX195376:SX195465 ACT195376:ACT195465 AMP195376:AMP195465 AWL195376:AWL195465 BGH195376:BGH195465 BQD195376:BQD195465 BZZ195376:BZZ195465 CJV195376:CJV195465 CTR195376:CTR195465 DDN195376:DDN195465 DNJ195376:DNJ195465 DXF195376:DXF195465 EHB195376:EHB195465 EQX195376:EQX195465 FAT195376:FAT195465 FKP195376:FKP195465 FUL195376:FUL195465 GEH195376:GEH195465 GOD195376:GOD195465 GXZ195376:GXZ195465 HHV195376:HHV195465 HRR195376:HRR195465 IBN195376:IBN195465 ILJ195376:ILJ195465 IVF195376:IVF195465 JFB195376:JFB195465 JOX195376:JOX195465 JYT195376:JYT195465 KIP195376:KIP195465 KSL195376:KSL195465 LCH195376:LCH195465 LMD195376:LMD195465 LVZ195376:LVZ195465 MFV195376:MFV195465 MPR195376:MPR195465 MZN195376:MZN195465 NJJ195376:NJJ195465 NTF195376:NTF195465 ODB195376:ODB195465 OMX195376:OMX195465 OWT195376:OWT195465 PGP195376:PGP195465 PQL195376:PQL195465 QAH195376:QAH195465 QKD195376:QKD195465 QTZ195376:QTZ195465 RDV195376:RDV195465 RNR195376:RNR195465 RXN195376:RXN195465 SHJ195376:SHJ195465 SRF195376:SRF195465 TBB195376:TBB195465 TKX195376:TKX195465 TUT195376:TUT195465 UEP195376:UEP195465 UOL195376:UOL195465 UYH195376:UYH195465 VID195376:VID195465 VRZ195376:VRZ195465 WBV195376:WBV195465 WLR195376:WLR195465 WVN195376:WVN195465 F260923:F261012 JB260912:JB261001 SX260912:SX261001 ACT260912:ACT261001 AMP260912:AMP261001 AWL260912:AWL261001 BGH260912:BGH261001 BQD260912:BQD261001 BZZ260912:BZZ261001 CJV260912:CJV261001 CTR260912:CTR261001 DDN260912:DDN261001 DNJ260912:DNJ261001 DXF260912:DXF261001 EHB260912:EHB261001 EQX260912:EQX261001 FAT260912:FAT261001 FKP260912:FKP261001 FUL260912:FUL261001 GEH260912:GEH261001 GOD260912:GOD261001 GXZ260912:GXZ261001 HHV260912:HHV261001 HRR260912:HRR261001 IBN260912:IBN261001 ILJ260912:ILJ261001 IVF260912:IVF261001 JFB260912:JFB261001 JOX260912:JOX261001 JYT260912:JYT261001 KIP260912:KIP261001 KSL260912:KSL261001 LCH260912:LCH261001 LMD260912:LMD261001 LVZ260912:LVZ261001 MFV260912:MFV261001 MPR260912:MPR261001 MZN260912:MZN261001 NJJ260912:NJJ261001 NTF260912:NTF261001 ODB260912:ODB261001 OMX260912:OMX261001 OWT260912:OWT261001 PGP260912:PGP261001 PQL260912:PQL261001 QAH260912:QAH261001 QKD260912:QKD261001 QTZ260912:QTZ261001 RDV260912:RDV261001 RNR260912:RNR261001 RXN260912:RXN261001 SHJ260912:SHJ261001 SRF260912:SRF261001 TBB260912:TBB261001 TKX260912:TKX261001 TUT260912:TUT261001 UEP260912:UEP261001 UOL260912:UOL261001 UYH260912:UYH261001 VID260912:VID261001 VRZ260912:VRZ261001 WBV260912:WBV261001 WLR260912:WLR261001 WVN260912:WVN261001 F326459:F326548 JB326448:JB326537 SX326448:SX326537 ACT326448:ACT326537 AMP326448:AMP326537 AWL326448:AWL326537 BGH326448:BGH326537 BQD326448:BQD326537 BZZ326448:BZZ326537 CJV326448:CJV326537 CTR326448:CTR326537 DDN326448:DDN326537 DNJ326448:DNJ326537 DXF326448:DXF326537 EHB326448:EHB326537 EQX326448:EQX326537 FAT326448:FAT326537 FKP326448:FKP326537 FUL326448:FUL326537 GEH326448:GEH326537 GOD326448:GOD326537 GXZ326448:GXZ326537 HHV326448:HHV326537 HRR326448:HRR326537 IBN326448:IBN326537 ILJ326448:ILJ326537 IVF326448:IVF326537 JFB326448:JFB326537 JOX326448:JOX326537 JYT326448:JYT326537 KIP326448:KIP326537 KSL326448:KSL326537 LCH326448:LCH326537 LMD326448:LMD326537 LVZ326448:LVZ326537 MFV326448:MFV326537 MPR326448:MPR326537 MZN326448:MZN326537 NJJ326448:NJJ326537 NTF326448:NTF326537 ODB326448:ODB326537 OMX326448:OMX326537 OWT326448:OWT326537 PGP326448:PGP326537 PQL326448:PQL326537 QAH326448:QAH326537 QKD326448:QKD326537 QTZ326448:QTZ326537 RDV326448:RDV326537 RNR326448:RNR326537 RXN326448:RXN326537 SHJ326448:SHJ326537 SRF326448:SRF326537 TBB326448:TBB326537 TKX326448:TKX326537 TUT326448:TUT326537 UEP326448:UEP326537 UOL326448:UOL326537 UYH326448:UYH326537 VID326448:VID326537 VRZ326448:VRZ326537 WBV326448:WBV326537 WLR326448:WLR326537 WVN326448:WVN326537 F391995:F392084 JB391984:JB392073 SX391984:SX392073 ACT391984:ACT392073 AMP391984:AMP392073 AWL391984:AWL392073 BGH391984:BGH392073 BQD391984:BQD392073 BZZ391984:BZZ392073 CJV391984:CJV392073 CTR391984:CTR392073 DDN391984:DDN392073 DNJ391984:DNJ392073 DXF391984:DXF392073 EHB391984:EHB392073 EQX391984:EQX392073 FAT391984:FAT392073 FKP391984:FKP392073 FUL391984:FUL392073 GEH391984:GEH392073 GOD391984:GOD392073 GXZ391984:GXZ392073 HHV391984:HHV392073 HRR391984:HRR392073 IBN391984:IBN392073 ILJ391984:ILJ392073 IVF391984:IVF392073 JFB391984:JFB392073 JOX391984:JOX392073 JYT391984:JYT392073 KIP391984:KIP392073 KSL391984:KSL392073 LCH391984:LCH392073 LMD391984:LMD392073 LVZ391984:LVZ392073 MFV391984:MFV392073 MPR391984:MPR392073 MZN391984:MZN392073 NJJ391984:NJJ392073 NTF391984:NTF392073 ODB391984:ODB392073 OMX391984:OMX392073 OWT391984:OWT392073 PGP391984:PGP392073 PQL391984:PQL392073 QAH391984:QAH392073 QKD391984:QKD392073 QTZ391984:QTZ392073 RDV391984:RDV392073 RNR391984:RNR392073 RXN391984:RXN392073 SHJ391984:SHJ392073 SRF391984:SRF392073 TBB391984:TBB392073 TKX391984:TKX392073 TUT391984:TUT392073 UEP391984:UEP392073 UOL391984:UOL392073 UYH391984:UYH392073 VID391984:VID392073 VRZ391984:VRZ392073 WBV391984:WBV392073 WLR391984:WLR392073 WVN391984:WVN392073 F457531:F457620 JB457520:JB457609 SX457520:SX457609 ACT457520:ACT457609 AMP457520:AMP457609 AWL457520:AWL457609 BGH457520:BGH457609 BQD457520:BQD457609 BZZ457520:BZZ457609 CJV457520:CJV457609 CTR457520:CTR457609 DDN457520:DDN457609 DNJ457520:DNJ457609 DXF457520:DXF457609 EHB457520:EHB457609 EQX457520:EQX457609 FAT457520:FAT457609 FKP457520:FKP457609 FUL457520:FUL457609 GEH457520:GEH457609 GOD457520:GOD457609 GXZ457520:GXZ457609 HHV457520:HHV457609 HRR457520:HRR457609 IBN457520:IBN457609 ILJ457520:ILJ457609 IVF457520:IVF457609 JFB457520:JFB457609 JOX457520:JOX457609 JYT457520:JYT457609 KIP457520:KIP457609 KSL457520:KSL457609 LCH457520:LCH457609 LMD457520:LMD457609 LVZ457520:LVZ457609 MFV457520:MFV457609 MPR457520:MPR457609 MZN457520:MZN457609 NJJ457520:NJJ457609 NTF457520:NTF457609 ODB457520:ODB457609 OMX457520:OMX457609 OWT457520:OWT457609 PGP457520:PGP457609 PQL457520:PQL457609 QAH457520:QAH457609 QKD457520:QKD457609 QTZ457520:QTZ457609 RDV457520:RDV457609 RNR457520:RNR457609 RXN457520:RXN457609 SHJ457520:SHJ457609 SRF457520:SRF457609 TBB457520:TBB457609 TKX457520:TKX457609 TUT457520:TUT457609 UEP457520:UEP457609 UOL457520:UOL457609 UYH457520:UYH457609 VID457520:VID457609 VRZ457520:VRZ457609 WBV457520:WBV457609 WLR457520:WLR457609 WVN457520:WVN457609 F523067:F523156 JB523056:JB523145 SX523056:SX523145 ACT523056:ACT523145 AMP523056:AMP523145 AWL523056:AWL523145 BGH523056:BGH523145 BQD523056:BQD523145 BZZ523056:BZZ523145 CJV523056:CJV523145 CTR523056:CTR523145 DDN523056:DDN523145 DNJ523056:DNJ523145 DXF523056:DXF523145 EHB523056:EHB523145 EQX523056:EQX523145 FAT523056:FAT523145 FKP523056:FKP523145 FUL523056:FUL523145 GEH523056:GEH523145 GOD523056:GOD523145 GXZ523056:GXZ523145 HHV523056:HHV523145 HRR523056:HRR523145 IBN523056:IBN523145 ILJ523056:ILJ523145 IVF523056:IVF523145 JFB523056:JFB523145 JOX523056:JOX523145 JYT523056:JYT523145 KIP523056:KIP523145 KSL523056:KSL523145 LCH523056:LCH523145 LMD523056:LMD523145 LVZ523056:LVZ523145 MFV523056:MFV523145 MPR523056:MPR523145 MZN523056:MZN523145 NJJ523056:NJJ523145 NTF523056:NTF523145 ODB523056:ODB523145 OMX523056:OMX523145 OWT523056:OWT523145 PGP523056:PGP523145 PQL523056:PQL523145 QAH523056:QAH523145 QKD523056:QKD523145 QTZ523056:QTZ523145 RDV523056:RDV523145 RNR523056:RNR523145 RXN523056:RXN523145 SHJ523056:SHJ523145 SRF523056:SRF523145 TBB523056:TBB523145 TKX523056:TKX523145 TUT523056:TUT523145 UEP523056:UEP523145 UOL523056:UOL523145 UYH523056:UYH523145 VID523056:VID523145 VRZ523056:VRZ523145 WBV523056:WBV523145 WLR523056:WLR523145 WVN523056:WVN523145 F588603:F588692 JB588592:JB588681 SX588592:SX588681 ACT588592:ACT588681 AMP588592:AMP588681 AWL588592:AWL588681 BGH588592:BGH588681 BQD588592:BQD588681 BZZ588592:BZZ588681 CJV588592:CJV588681 CTR588592:CTR588681 DDN588592:DDN588681 DNJ588592:DNJ588681 DXF588592:DXF588681 EHB588592:EHB588681 EQX588592:EQX588681 FAT588592:FAT588681 FKP588592:FKP588681 FUL588592:FUL588681 GEH588592:GEH588681 GOD588592:GOD588681 GXZ588592:GXZ588681 HHV588592:HHV588681 HRR588592:HRR588681 IBN588592:IBN588681 ILJ588592:ILJ588681 IVF588592:IVF588681 JFB588592:JFB588681 JOX588592:JOX588681 JYT588592:JYT588681 KIP588592:KIP588681 KSL588592:KSL588681 LCH588592:LCH588681 LMD588592:LMD588681 LVZ588592:LVZ588681 MFV588592:MFV588681 MPR588592:MPR588681 MZN588592:MZN588681 NJJ588592:NJJ588681 NTF588592:NTF588681 ODB588592:ODB588681 OMX588592:OMX588681 OWT588592:OWT588681 PGP588592:PGP588681 PQL588592:PQL588681 QAH588592:QAH588681 QKD588592:QKD588681 QTZ588592:QTZ588681 RDV588592:RDV588681 RNR588592:RNR588681 RXN588592:RXN588681 SHJ588592:SHJ588681 SRF588592:SRF588681 TBB588592:TBB588681 TKX588592:TKX588681 TUT588592:TUT588681 UEP588592:UEP588681 UOL588592:UOL588681 UYH588592:UYH588681 VID588592:VID588681 VRZ588592:VRZ588681 WBV588592:WBV588681 WLR588592:WLR588681 WVN588592:WVN588681 F654139:F654228 JB654128:JB654217 SX654128:SX654217 ACT654128:ACT654217 AMP654128:AMP654217 AWL654128:AWL654217 BGH654128:BGH654217 BQD654128:BQD654217 BZZ654128:BZZ654217 CJV654128:CJV654217 CTR654128:CTR654217 DDN654128:DDN654217 DNJ654128:DNJ654217 DXF654128:DXF654217 EHB654128:EHB654217 EQX654128:EQX654217 FAT654128:FAT654217 FKP654128:FKP654217 FUL654128:FUL654217 GEH654128:GEH654217 GOD654128:GOD654217 GXZ654128:GXZ654217 HHV654128:HHV654217 HRR654128:HRR654217 IBN654128:IBN654217 ILJ654128:ILJ654217 IVF654128:IVF654217 JFB654128:JFB654217 JOX654128:JOX654217 JYT654128:JYT654217 KIP654128:KIP654217 KSL654128:KSL654217 LCH654128:LCH654217 LMD654128:LMD654217 LVZ654128:LVZ654217 MFV654128:MFV654217 MPR654128:MPR654217 MZN654128:MZN654217 NJJ654128:NJJ654217 NTF654128:NTF654217 ODB654128:ODB654217 OMX654128:OMX654217 OWT654128:OWT654217 PGP654128:PGP654217 PQL654128:PQL654217 QAH654128:QAH654217 QKD654128:QKD654217 QTZ654128:QTZ654217 RDV654128:RDV654217 RNR654128:RNR654217 RXN654128:RXN654217 SHJ654128:SHJ654217 SRF654128:SRF654217 TBB654128:TBB654217 TKX654128:TKX654217 TUT654128:TUT654217 UEP654128:UEP654217 UOL654128:UOL654217 UYH654128:UYH654217 VID654128:VID654217 VRZ654128:VRZ654217 WBV654128:WBV654217 WLR654128:WLR654217 WVN654128:WVN654217 F719675:F719764 JB719664:JB719753 SX719664:SX719753 ACT719664:ACT719753 AMP719664:AMP719753 AWL719664:AWL719753 BGH719664:BGH719753 BQD719664:BQD719753 BZZ719664:BZZ719753 CJV719664:CJV719753 CTR719664:CTR719753 DDN719664:DDN719753 DNJ719664:DNJ719753 DXF719664:DXF719753 EHB719664:EHB719753 EQX719664:EQX719753 FAT719664:FAT719753 FKP719664:FKP719753 FUL719664:FUL719753 GEH719664:GEH719753 GOD719664:GOD719753 GXZ719664:GXZ719753 HHV719664:HHV719753 HRR719664:HRR719753 IBN719664:IBN719753 ILJ719664:ILJ719753 IVF719664:IVF719753 JFB719664:JFB719753 JOX719664:JOX719753 JYT719664:JYT719753 KIP719664:KIP719753 KSL719664:KSL719753 LCH719664:LCH719753 LMD719664:LMD719753 LVZ719664:LVZ719753 MFV719664:MFV719753 MPR719664:MPR719753 MZN719664:MZN719753 NJJ719664:NJJ719753 NTF719664:NTF719753 ODB719664:ODB719753 OMX719664:OMX719753 OWT719664:OWT719753 PGP719664:PGP719753 PQL719664:PQL719753 QAH719664:QAH719753 QKD719664:QKD719753 QTZ719664:QTZ719753 RDV719664:RDV719753 RNR719664:RNR719753 RXN719664:RXN719753 SHJ719664:SHJ719753 SRF719664:SRF719753 TBB719664:TBB719753 TKX719664:TKX719753 TUT719664:TUT719753 UEP719664:UEP719753 UOL719664:UOL719753 UYH719664:UYH719753 VID719664:VID719753 VRZ719664:VRZ719753 WBV719664:WBV719753 WLR719664:WLR719753 WVN719664:WVN719753 F785211:F785300 JB785200:JB785289 SX785200:SX785289 ACT785200:ACT785289 AMP785200:AMP785289 AWL785200:AWL785289 BGH785200:BGH785289 BQD785200:BQD785289 BZZ785200:BZZ785289 CJV785200:CJV785289 CTR785200:CTR785289 DDN785200:DDN785289 DNJ785200:DNJ785289 DXF785200:DXF785289 EHB785200:EHB785289 EQX785200:EQX785289 FAT785200:FAT785289 FKP785200:FKP785289 FUL785200:FUL785289 GEH785200:GEH785289 GOD785200:GOD785289 GXZ785200:GXZ785289 HHV785200:HHV785289 HRR785200:HRR785289 IBN785200:IBN785289 ILJ785200:ILJ785289 IVF785200:IVF785289 JFB785200:JFB785289 JOX785200:JOX785289 JYT785200:JYT785289 KIP785200:KIP785289 KSL785200:KSL785289 LCH785200:LCH785289 LMD785200:LMD785289 LVZ785200:LVZ785289 MFV785200:MFV785289 MPR785200:MPR785289 MZN785200:MZN785289 NJJ785200:NJJ785289 NTF785200:NTF785289 ODB785200:ODB785289 OMX785200:OMX785289 OWT785200:OWT785289 PGP785200:PGP785289 PQL785200:PQL785289 QAH785200:QAH785289 QKD785200:QKD785289 QTZ785200:QTZ785289 RDV785200:RDV785289 RNR785200:RNR785289 RXN785200:RXN785289 SHJ785200:SHJ785289 SRF785200:SRF785289 TBB785200:TBB785289 TKX785200:TKX785289 TUT785200:TUT785289 UEP785200:UEP785289 UOL785200:UOL785289 UYH785200:UYH785289 VID785200:VID785289 VRZ785200:VRZ785289 WBV785200:WBV785289 WLR785200:WLR785289 WVN785200:WVN785289 F850747:F850836 JB850736:JB850825 SX850736:SX850825 ACT850736:ACT850825 AMP850736:AMP850825 AWL850736:AWL850825 BGH850736:BGH850825 BQD850736:BQD850825 BZZ850736:BZZ850825 CJV850736:CJV850825 CTR850736:CTR850825 DDN850736:DDN850825 DNJ850736:DNJ850825 DXF850736:DXF850825 EHB850736:EHB850825 EQX850736:EQX850825 FAT850736:FAT850825 FKP850736:FKP850825 FUL850736:FUL850825 GEH850736:GEH850825 GOD850736:GOD850825 GXZ850736:GXZ850825 HHV850736:HHV850825 HRR850736:HRR850825 IBN850736:IBN850825 ILJ850736:ILJ850825 IVF850736:IVF850825 JFB850736:JFB850825 JOX850736:JOX850825 JYT850736:JYT850825 KIP850736:KIP850825 KSL850736:KSL850825 LCH850736:LCH850825 LMD850736:LMD850825 LVZ850736:LVZ850825 MFV850736:MFV850825 MPR850736:MPR850825 MZN850736:MZN850825 NJJ850736:NJJ850825 NTF850736:NTF850825 ODB850736:ODB850825 OMX850736:OMX850825 OWT850736:OWT850825 PGP850736:PGP850825 PQL850736:PQL850825 QAH850736:QAH850825 QKD850736:QKD850825 QTZ850736:QTZ850825 RDV850736:RDV850825 RNR850736:RNR850825 RXN850736:RXN850825 SHJ850736:SHJ850825 SRF850736:SRF850825 TBB850736:TBB850825 TKX850736:TKX850825 TUT850736:TUT850825 UEP850736:UEP850825 UOL850736:UOL850825 UYH850736:UYH850825 VID850736:VID850825 VRZ850736:VRZ850825 WBV850736:WBV850825 WLR850736:WLR850825 WVN850736:WVN850825 F916283:F916372 JB916272:JB916361 SX916272:SX916361 ACT916272:ACT916361 AMP916272:AMP916361 AWL916272:AWL916361 BGH916272:BGH916361 BQD916272:BQD916361 BZZ916272:BZZ916361 CJV916272:CJV916361 CTR916272:CTR916361 DDN916272:DDN916361 DNJ916272:DNJ916361 DXF916272:DXF916361 EHB916272:EHB916361 EQX916272:EQX916361 FAT916272:FAT916361 FKP916272:FKP916361 FUL916272:FUL916361 GEH916272:GEH916361 GOD916272:GOD916361 GXZ916272:GXZ916361 HHV916272:HHV916361 HRR916272:HRR916361 IBN916272:IBN916361 ILJ916272:ILJ916361 IVF916272:IVF916361 JFB916272:JFB916361 JOX916272:JOX916361 JYT916272:JYT916361 KIP916272:KIP916361 KSL916272:KSL916361 LCH916272:LCH916361 LMD916272:LMD916361 LVZ916272:LVZ916361 MFV916272:MFV916361 MPR916272:MPR916361 MZN916272:MZN916361 NJJ916272:NJJ916361 NTF916272:NTF916361 ODB916272:ODB916361 OMX916272:OMX916361 OWT916272:OWT916361 PGP916272:PGP916361 PQL916272:PQL916361 QAH916272:QAH916361 QKD916272:QKD916361 QTZ916272:QTZ916361 RDV916272:RDV916361 RNR916272:RNR916361 RXN916272:RXN916361 SHJ916272:SHJ916361 SRF916272:SRF916361 TBB916272:TBB916361 TKX916272:TKX916361 TUT916272:TUT916361 UEP916272:UEP916361 UOL916272:UOL916361 UYH916272:UYH916361 VID916272:VID916361 VRZ916272:VRZ916361 WBV916272:WBV916361 WLR916272:WLR916361 WVN916272:WVN916361 F981819:F981908 JB981808:JB981897 SX981808:SX981897 ACT981808:ACT981897 AMP981808:AMP981897 AWL981808:AWL981897 BGH981808:BGH981897 BQD981808:BQD981897 BZZ981808:BZZ981897 CJV981808:CJV981897 CTR981808:CTR981897 DDN981808:DDN981897 DNJ981808:DNJ981897 DXF981808:DXF981897 EHB981808:EHB981897 EQX981808:EQX981897 FAT981808:FAT981897 FKP981808:FKP981897 FUL981808:FUL981897 GEH981808:GEH981897 GOD981808:GOD981897 GXZ981808:GXZ981897 HHV981808:HHV981897 HRR981808:HRR981897 IBN981808:IBN981897 ILJ981808:ILJ981897 IVF981808:IVF981897 JFB981808:JFB981897 JOX981808:JOX981897 JYT981808:JYT981897 KIP981808:KIP981897 KSL981808:KSL981897 LCH981808:LCH981897 LMD981808:LMD981897 LVZ981808:LVZ981897 MFV981808:MFV981897 MPR981808:MPR981897 MZN981808:MZN981897 NJJ981808:NJJ981897 NTF981808:NTF981897 ODB981808:ODB981897 OMX981808:OMX981897 OWT981808:OWT981897 PGP981808:PGP981897 PQL981808:PQL981897 QAH981808:QAH981897 QKD981808:QKD981897 QTZ981808:QTZ981897 RDV981808:RDV981897 RNR981808:RNR981897 RXN981808:RXN981897 SHJ981808:SHJ981897 SRF981808:SRF981897 TBB981808:TBB981897 TKX981808:TKX981897 TUT981808:TUT981897 UEP981808:UEP981897 UOL981808:UOL981897 UYH981808:UYH981897 VID981808:VID981897 VRZ981808:VRZ981897 WBV981808:WBV981897 JB2:JB76 SX2:SX76 ACT2:ACT76 AMP2:AMP76 AWL2:AWL76 BGH2:BGH76 BQD2:BQD76 BZZ2:BZZ76 CJV2:CJV76 CTR2:CTR76 DDN2:DDN76 DNJ2:DNJ76 DXF2:DXF76 EHB2:EHB76 EQX2:EQX76 FAT2:FAT76 FKP2:FKP76 FUL2:FUL76 GEH2:GEH76 GOD2:GOD76 GXZ2:GXZ76 HHV2:HHV76 HRR2:HRR76 IBN2:IBN76 ILJ2:ILJ76 IVF2:IVF76 JFB2:JFB76 JOX2:JOX76 JYT2:JYT76 KIP2:KIP76 KSL2:KSL76 LCH2:LCH76 LMD2:LMD76 LVZ2:LVZ76 MFV2:MFV76 MPR2:MPR76 MZN2:MZN76 NJJ2:NJJ76 NTF2:NTF76 ODB2:ODB76 OMX2:OMX76 OWT2:OWT76 PGP2:PGP76 PQL2:PQL76 QAH2:QAH76 QKD2:QKD76 QTZ2:QTZ76 RDV2:RDV76 RNR2:RNR76 RXN2:RXN76 SHJ2:SHJ76 SRF2:SRF76 TBB2:TBB76 TKX2:TKX76 TUT2:TUT76 UEP2:UEP76 UOL2:UOL76 UYH2:UYH76 VID2:VID76 VRZ2:VRZ76 WBV2:WBV76 WLR2:WLR76 WVN2:WVN76" xr:uid="{D041F0F9-4ED7-4A54-BE5D-9E66FB69D38B}">
      <formula1>$AH$2:$AH$16</formula1>
    </dataValidation>
    <dataValidation type="list" allowBlank="1" showInputMessage="1" showErrorMessage="1" sqref="WVM981808:WVM981897 WLQ981808:WLQ981897 E64315:E64404 JA64304:JA64393 SW64304:SW64393 ACS64304:ACS64393 AMO64304:AMO64393 AWK64304:AWK64393 BGG64304:BGG64393 BQC64304:BQC64393 BZY64304:BZY64393 CJU64304:CJU64393 CTQ64304:CTQ64393 DDM64304:DDM64393 DNI64304:DNI64393 DXE64304:DXE64393 EHA64304:EHA64393 EQW64304:EQW64393 FAS64304:FAS64393 FKO64304:FKO64393 FUK64304:FUK64393 GEG64304:GEG64393 GOC64304:GOC64393 GXY64304:GXY64393 HHU64304:HHU64393 HRQ64304:HRQ64393 IBM64304:IBM64393 ILI64304:ILI64393 IVE64304:IVE64393 JFA64304:JFA64393 JOW64304:JOW64393 JYS64304:JYS64393 KIO64304:KIO64393 KSK64304:KSK64393 LCG64304:LCG64393 LMC64304:LMC64393 LVY64304:LVY64393 MFU64304:MFU64393 MPQ64304:MPQ64393 MZM64304:MZM64393 NJI64304:NJI64393 NTE64304:NTE64393 ODA64304:ODA64393 OMW64304:OMW64393 OWS64304:OWS64393 PGO64304:PGO64393 PQK64304:PQK64393 QAG64304:QAG64393 QKC64304:QKC64393 QTY64304:QTY64393 RDU64304:RDU64393 RNQ64304:RNQ64393 RXM64304:RXM64393 SHI64304:SHI64393 SRE64304:SRE64393 TBA64304:TBA64393 TKW64304:TKW64393 TUS64304:TUS64393 UEO64304:UEO64393 UOK64304:UOK64393 UYG64304:UYG64393 VIC64304:VIC64393 VRY64304:VRY64393 WBU64304:WBU64393 WLQ64304:WLQ64393 WVM64304:WVM64393 E129851:E129940 JA129840:JA129929 SW129840:SW129929 ACS129840:ACS129929 AMO129840:AMO129929 AWK129840:AWK129929 BGG129840:BGG129929 BQC129840:BQC129929 BZY129840:BZY129929 CJU129840:CJU129929 CTQ129840:CTQ129929 DDM129840:DDM129929 DNI129840:DNI129929 DXE129840:DXE129929 EHA129840:EHA129929 EQW129840:EQW129929 FAS129840:FAS129929 FKO129840:FKO129929 FUK129840:FUK129929 GEG129840:GEG129929 GOC129840:GOC129929 GXY129840:GXY129929 HHU129840:HHU129929 HRQ129840:HRQ129929 IBM129840:IBM129929 ILI129840:ILI129929 IVE129840:IVE129929 JFA129840:JFA129929 JOW129840:JOW129929 JYS129840:JYS129929 KIO129840:KIO129929 KSK129840:KSK129929 LCG129840:LCG129929 LMC129840:LMC129929 LVY129840:LVY129929 MFU129840:MFU129929 MPQ129840:MPQ129929 MZM129840:MZM129929 NJI129840:NJI129929 NTE129840:NTE129929 ODA129840:ODA129929 OMW129840:OMW129929 OWS129840:OWS129929 PGO129840:PGO129929 PQK129840:PQK129929 QAG129840:QAG129929 QKC129840:QKC129929 QTY129840:QTY129929 RDU129840:RDU129929 RNQ129840:RNQ129929 RXM129840:RXM129929 SHI129840:SHI129929 SRE129840:SRE129929 TBA129840:TBA129929 TKW129840:TKW129929 TUS129840:TUS129929 UEO129840:UEO129929 UOK129840:UOK129929 UYG129840:UYG129929 VIC129840:VIC129929 VRY129840:VRY129929 WBU129840:WBU129929 WLQ129840:WLQ129929 WVM129840:WVM129929 E195387:E195476 JA195376:JA195465 SW195376:SW195465 ACS195376:ACS195465 AMO195376:AMO195465 AWK195376:AWK195465 BGG195376:BGG195465 BQC195376:BQC195465 BZY195376:BZY195465 CJU195376:CJU195465 CTQ195376:CTQ195465 DDM195376:DDM195465 DNI195376:DNI195465 DXE195376:DXE195465 EHA195376:EHA195465 EQW195376:EQW195465 FAS195376:FAS195465 FKO195376:FKO195465 FUK195376:FUK195465 GEG195376:GEG195465 GOC195376:GOC195465 GXY195376:GXY195465 HHU195376:HHU195465 HRQ195376:HRQ195465 IBM195376:IBM195465 ILI195376:ILI195465 IVE195376:IVE195465 JFA195376:JFA195465 JOW195376:JOW195465 JYS195376:JYS195465 KIO195376:KIO195465 KSK195376:KSK195465 LCG195376:LCG195465 LMC195376:LMC195465 LVY195376:LVY195465 MFU195376:MFU195465 MPQ195376:MPQ195465 MZM195376:MZM195465 NJI195376:NJI195465 NTE195376:NTE195465 ODA195376:ODA195465 OMW195376:OMW195465 OWS195376:OWS195465 PGO195376:PGO195465 PQK195376:PQK195465 QAG195376:QAG195465 QKC195376:QKC195465 QTY195376:QTY195465 RDU195376:RDU195465 RNQ195376:RNQ195465 RXM195376:RXM195465 SHI195376:SHI195465 SRE195376:SRE195465 TBA195376:TBA195465 TKW195376:TKW195465 TUS195376:TUS195465 UEO195376:UEO195465 UOK195376:UOK195465 UYG195376:UYG195465 VIC195376:VIC195465 VRY195376:VRY195465 WBU195376:WBU195465 WLQ195376:WLQ195465 WVM195376:WVM195465 E260923:E261012 JA260912:JA261001 SW260912:SW261001 ACS260912:ACS261001 AMO260912:AMO261001 AWK260912:AWK261001 BGG260912:BGG261001 BQC260912:BQC261001 BZY260912:BZY261001 CJU260912:CJU261001 CTQ260912:CTQ261001 DDM260912:DDM261001 DNI260912:DNI261001 DXE260912:DXE261001 EHA260912:EHA261001 EQW260912:EQW261001 FAS260912:FAS261001 FKO260912:FKO261001 FUK260912:FUK261001 GEG260912:GEG261001 GOC260912:GOC261001 GXY260912:GXY261001 HHU260912:HHU261001 HRQ260912:HRQ261001 IBM260912:IBM261001 ILI260912:ILI261001 IVE260912:IVE261001 JFA260912:JFA261001 JOW260912:JOW261001 JYS260912:JYS261001 KIO260912:KIO261001 KSK260912:KSK261001 LCG260912:LCG261001 LMC260912:LMC261001 LVY260912:LVY261001 MFU260912:MFU261001 MPQ260912:MPQ261001 MZM260912:MZM261001 NJI260912:NJI261001 NTE260912:NTE261001 ODA260912:ODA261001 OMW260912:OMW261001 OWS260912:OWS261001 PGO260912:PGO261001 PQK260912:PQK261001 QAG260912:QAG261001 QKC260912:QKC261001 QTY260912:QTY261001 RDU260912:RDU261001 RNQ260912:RNQ261001 RXM260912:RXM261001 SHI260912:SHI261001 SRE260912:SRE261001 TBA260912:TBA261001 TKW260912:TKW261001 TUS260912:TUS261001 UEO260912:UEO261001 UOK260912:UOK261001 UYG260912:UYG261001 VIC260912:VIC261001 VRY260912:VRY261001 WBU260912:WBU261001 WLQ260912:WLQ261001 WVM260912:WVM261001 E326459:E326548 JA326448:JA326537 SW326448:SW326537 ACS326448:ACS326537 AMO326448:AMO326537 AWK326448:AWK326537 BGG326448:BGG326537 BQC326448:BQC326537 BZY326448:BZY326537 CJU326448:CJU326537 CTQ326448:CTQ326537 DDM326448:DDM326537 DNI326448:DNI326537 DXE326448:DXE326537 EHA326448:EHA326537 EQW326448:EQW326537 FAS326448:FAS326537 FKO326448:FKO326537 FUK326448:FUK326537 GEG326448:GEG326537 GOC326448:GOC326537 GXY326448:GXY326537 HHU326448:HHU326537 HRQ326448:HRQ326537 IBM326448:IBM326537 ILI326448:ILI326537 IVE326448:IVE326537 JFA326448:JFA326537 JOW326448:JOW326537 JYS326448:JYS326537 KIO326448:KIO326537 KSK326448:KSK326537 LCG326448:LCG326537 LMC326448:LMC326537 LVY326448:LVY326537 MFU326448:MFU326537 MPQ326448:MPQ326537 MZM326448:MZM326537 NJI326448:NJI326537 NTE326448:NTE326537 ODA326448:ODA326537 OMW326448:OMW326537 OWS326448:OWS326537 PGO326448:PGO326537 PQK326448:PQK326537 QAG326448:QAG326537 QKC326448:QKC326537 QTY326448:QTY326537 RDU326448:RDU326537 RNQ326448:RNQ326537 RXM326448:RXM326537 SHI326448:SHI326537 SRE326448:SRE326537 TBA326448:TBA326537 TKW326448:TKW326537 TUS326448:TUS326537 UEO326448:UEO326537 UOK326448:UOK326537 UYG326448:UYG326537 VIC326448:VIC326537 VRY326448:VRY326537 WBU326448:WBU326537 WLQ326448:WLQ326537 WVM326448:WVM326537 E391995:E392084 JA391984:JA392073 SW391984:SW392073 ACS391984:ACS392073 AMO391984:AMO392073 AWK391984:AWK392073 BGG391984:BGG392073 BQC391984:BQC392073 BZY391984:BZY392073 CJU391984:CJU392073 CTQ391984:CTQ392073 DDM391984:DDM392073 DNI391984:DNI392073 DXE391984:DXE392073 EHA391984:EHA392073 EQW391984:EQW392073 FAS391984:FAS392073 FKO391984:FKO392073 FUK391984:FUK392073 GEG391984:GEG392073 GOC391984:GOC392073 GXY391984:GXY392073 HHU391984:HHU392073 HRQ391984:HRQ392073 IBM391984:IBM392073 ILI391984:ILI392073 IVE391984:IVE392073 JFA391984:JFA392073 JOW391984:JOW392073 JYS391984:JYS392073 KIO391984:KIO392073 KSK391984:KSK392073 LCG391984:LCG392073 LMC391984:LMC392073 LVY391984:LVY392073 MFU391984:MFU392073 MPQ391984:MPQ392073 MZM391984:MZM392073 NJI391984:NJI392073 NTE391984:NTE392073 ODA391984:ODA392073 OMW391984:OMW392073 OWS391984:OWS392073 PGO391984:PGO392073 PQK391984:PQK392073 QAG391984:QAG392073 QKC391984:QKC392073 QTY391984:QTY392073 RDU391984:RDU392073 RNQ391984:RNQ392073 RXM391984:RXM392073 SHI391984:SHI392073 SRE391984:SRE392073 TBA391984:TBA392073 TKW391984:TKW392073 TUS391984:TUS392073 UEO391984:UEO392073 UOK391984:UOK392073 UYG391984:UYG392073 VIC391984:VIC392073 VRY391984:VRY392073 WBU391984:WBU392073 WLQ391984:WLQ392073 WVM391984:WVM392073 E457531:E457620 JA457520:JA457609 SW457520:SW457609 ACS457520:ACS457609 AMO457520:AMO457609 AWK457520:AWK457609 BGG457520:BGG457609 BQC457520:BQC457609 BZY457520:BZY457609 CJU457520:CJU457609 CTQ457520:CTQ457609 DDM457520:DDM457609 DNI457520:DNI457609 DXE457520:DXE457609 EHA457520:EHA457609 EQW457520:EQW457609 FAS457520:FAS457609 FKO457520:FKO457609 FUK457520:FUK457609 GEG457520:GEG457609 GOC457520:GOC457609 GXY457520:GXY457609 HHU457520:HHU457609 HRQ457520:HRQ457609 IBM457520:IBM457609 ILI457520:ILI457609 IVE457520:IVE457609 JFA457520:JFA457609 JOW457520:JOW457609 JYS457520:JYS457609 KIO457520:KIO457609 KSK457520:KSK457609 LCG457520:LCG457609 LMC457520:LMC457609 LVY457520:LVY457609 MFU457520:MFU457609 MPQ457520:MPQ457609 MZM457520:MZM457609 NJI457520:NJI457609 NTE457520:NTE457609 ODA457520:ODA457609 OMW457520:OMW457609 OWS457520:OWS457609 PGO457520:PGO457609 PQK457520:PQK457609 QAG457520:QAG457609 QKC457520:QKC457609 QTY457520:QTY457609 RDU457520:RDU457609 RNQ457520:RNQ457609 RXM457520:RXM457609 SHI457520:SHI457609 SRE457520:SRE457609 TBA457520:TBA457609 TKW457520:TKW457609 TUS457520:TUS457609 UEO457520:UEO457609 UOK457520:UOK457609 UYG457520:UYG457609 VIC457520:VIC457609 VRY457520:VRY457609 WBU457520:WBU457609 WLQ457520:WLQ457609 WVM457520:WVM457609 E523067:E523156 JA523056:JA523145 SW523056:SW523145 ACS523056:ACS523145 AMO523056:AMO523145 AWK523056:AWK523145 BGG523056:BGG523145 BQC523056:BQC523145 BZY523056:BZY523145 CJU523056:CJU523145 CTQ523056:CTQ523145 DDM523056:DDM523145 DNI523056:DNI523145 DXE523056:DXE523145 EHA523056:EHA523145 EQW523056:EQW523145 FAS523056:FAS523145 FKO523056:FKO523145 FUK523056:FUK523145 GEG523056:GEG523145 GOC523056:GOC523145 GXY523056:GXY523145 HHU523056:HHU523145 HRQ523056:HRQ523145 IBM523056:IBM523145 ILI523056:ILI523145 IVE523056:IVE523145 JFA523056:JFA523145 JOW523056:JOW523145 JYS523056:JYS523145 KIO523056:KIO523145 KSK523056:KSK523145 LCG523056:LCG523145 LMC523056:LMC523145 LVY523056:LVY523145 MFU523056:MFU523145 MPQ523056:MPQ523145 MZM523056:MZM523145 NJI523056:NJI523145 NTE523056:NTE523145 ODA523056:ODA523145 OMW523056:OMW523145 OWS523056:OWS523145 PGO523056:PGO523145 PQK523056:PQK523145 QAG523056:QAG523145 QKC523056:QKC523145 QTY523056:QTY523145 RDU523056:RDU523145 RNQ523056:RNQ523145 RXM523056:RXM523145 SHI523056:SHI523145 SRE523056:SRE523145 TBA523056:TBA523145 TKW523056:TKW523145 TUS523056:TUS523145 UEO523056:UEO523145 UOK523056:UOK523145 UYG523056:UYG523145 VIC523056:VIC523145 VRY523056:VRY523145 WBU523056:WBU523145 WLQ523056:WLQ523145 WVM523056:WVM523145 E588603:E588692 JA588592:JA588681 SW588592:SW588681 ACS588592:ACS588681 AMO588592:AMO588681 AWK588592:AWK588681 BGG588592:BGG588681 BQC588592:BQC588681 BZY588592:BZY588681 CJU588592:CJU588681 CTQ588592:CTQ588681 DDM588592:DDM588681 DNI588592:DNI588681 DXE588592:DXE588681 EHA588592:EHA588681 EQW588592:EQW588681 FAS588592:FAS588681 FKO588592:FKO588681 FUK588592:FUK588681 GEG588592:GEG588681 GOC588592:GOC588681 GXY588592:GXY588681 HHU588592:HHU588681 HRQ588592:HRQ588681 IBM588592:IBM588681 ILI588592:ILI588681 IVE588592:IVE588681 JFA588592:JFA588681 JOW588592:JOW588681 JYS588592:JYS588681 KIO588592:KIO588681 KSK588592:KSK588681 LCG588592:LCG588681 LMC588592:LMC588681 LVY588592:LVY588681 MFU588592:MFU588681 MPQ588592:MPQ588681 MZM588592:MZM588681 NJI588592:NJI588681 NTE588592:NTE588681 ODA588592:ODA588681 OMW588592:OMW588681 OWS588592:OWS588681 PGO588592:PGO588681 PQK588592:PQK588681 QAG588592:QAG588681 QKC588592:QKC588681 QTY588592:QTY588681 RDU588592:RDU588681 RNQ588592:RNQ588681 RXM588592:RXM588681 SHI588592:SHI588681 SRE588592:SRE588681 TBA588592:TBA588681 TKW588592:TKW588681 TUS588592:TUS588681 UEO588592:UEO588681 UOK588592:UOK588681 UYG588592:UYG588681 VIC588592:VIC588681 VRY588592:VRY588681 WBU588592:WBU588681 WLQ588592:WLQ588681 WVM588592:WVM588681 E654139:E654228 JA654128:JA654217 SW654128:SW654217 ACS654128:ACS654217 AMO654128:AMO654217 AWK654128:AWK654217 BGG654128:BGG654217 BQC654128:BQC654217 BZY654128:BZY654217 CJU654128:CJU654217 CTQ654128:CTQ654217 DDM654128:DDM654217 DNI654128:DNI654217 DXE654128:DXE654217 EHA654128:EHA654217 EQW654128:EQW654217 FAS654128:FAS654217 FKO654128:FKO654217 FUK654128:FUK654217 GEG654128:GEG654217 GOC654128:GOC654217 GXY654128:GXY654217 HHU654128:HHU654217 HRQ654128:HRQ654217 IBM654128:IBM654217 ILI654128:ILI654217 IVE654128:IVE654217 JFA654128:JFA654217 JOW654128:JOW654217 JYS654128:JYS654217 KIO654128:KIO654217 KSK654128:KSK654217 LCG654128:LCG654217 LMC654128:LMC654217 LVY654128:LVY654217 MFU654128:MFU654217 MPQ654128:MPQ654217 MZM654128:MZM654217 NJI654128:NJI654217 NTE654128:NTE654217 ODA654128:ODA654217 OMW654128:OMW654217 OWS654128:OWS654217 PGO654128:PGO654217 PQK654128:PQK654217 QAG654128:QAG654217 QKC654128:QKC654217 QTY654128:QTY654217 RDU654128:RDU654217 RNQ654128:RNQ654217 RXM654128:RXM654217 SHI654128:SHI654217 SRE654128:SRE654217 TBA654128:TBA654217 TKW654128:TKW654217 TUS654128:TUS654217 UEO654128:UEO654217 UOK654128:UOK654217 UYG654128:UYG654217 VIC654128:VIC654217 VRY654128:VRY654217 WBU654128:WBU654217 WLQ654128:WLQ654217 WVM654128:WVM654217 E719675:E719764 JA719664:JA719753 SW719664:SW719753 ACS719664:ACS719753 AMO719664:AMO719753 AWK719664:AWK719753 BGG719664:BGG719753 BQC719664:BQC719753 BZY719664:BZY719753 CJU719664:CJU719753 CTQ719664:CTQ719753 DDM719664:DDM719753 DNI719664:DNI719753 DXE719664:DXE719753 EHA719664:EHA719753 EQW719664:EQW719753 FAS719664:FAS719753 FKO719664:FKO719753 FUK719664:FUK719753 GEG719664:GEG719753 GOC719664:GOC719753 GXY719664:GXY719753 HHU719664:HHU719753 HRQ719664:HRQ719753 IBM719664:IBM719753 ILI719664:ILI719753 IVE719664:IVE719753 JFA719664:JFA719753 JOW719664:JOW719753 JYS719664:JYS719753 KIO719664:KIO719753 KSK719664:KSK719753 LCG719664:LCG719753 LMC719664:LMC719753 LVY719664:LVY719753 MFU719664:MFU719753 MPQ719664:MPQ719753 MZM719664:MZM719753 NJI719664:NJI719753 NTE719664:NTE719753 ODA719664:ODA719753 OMW719664:OMW719753 OWS719664:OWS719753 PGO719664:PGO719753 PQK719664:PQK719753 QAG719664:QAG719753 QKC719664:QKC719753 QTY719664:QTY719753 RDU719664:RDU719753 RNQ719664:RNQ719753 RXM719664:RXM719753 SHI719664:SHI719753 SRE719664:SRE719753 TBA719664:TBA719753 TKW719664:TKW719753 TUS719664:TUS719753 UEO719664:UEO719753 UOK719664:UOK719753 UYG719664:UYG719753 VIC719664:VIC719753 VRY719664:VRY719753 WBU719664:WBU719753 WLQ719664:WLQ719753 WVM719664:WVM719753 E785211:E785300 JA785200:JA785289 SW785200:SW785289 ACS785200:ACS785289 AMO785200:AMO785289 AWK785200:AWK785289 BGG785200:BGG785289 BQC785200:BQC785289 BZY785200:BZY785289 CJU785200:CJU785289 CTQ785200:CTQ785289 DDM785200:DDM785289 DNI785200:DNI785289 DXE785200:DXE785289 EHA785200:EHA785289 EQW785200:EQW785289 FAS785200:FAS785289 FKO785200:FKO785289 FUK785200:FUK785289 GEG785200:GEG785289 GOC785200:GOC785289 GXY785200:GXY785289 HHU785200:HHU785289 HRQ785200:HRQ785289 IBM785200:IBM785289 ILI785200:ILI785289 IVE785200:IVE785289 JFA785200:JFA785289 JOW785200:JOW785289 JYS785200:JYS785289 KIO785200:KIO785289 KSK785200:KSK785289 LCG785200:LCG785289 LMC785200:LMC785289 LVY785200:LVY785289 MFU785200:MFU785289 MPQ785200:MPQ785289 MZM785200:MZM785289 NJI785200:NJI785289 NTE785200:NTE785289 ODA785200:ODA785289 OMW785200:OMW785289 OWS785200:OWS785289 PGO785200:PGO785289 PQK785200:PQK785289 QAG785200:QAG785289 QKC785200:QKC785289 QTY785200:QTY785289 RDU785200:RDU785289 RNQ785200:RNQ785289 RXM785200:RXM785289 SHI785200:SHI785289 SRE785200:SRE785289 TBA785200:TBA785289 TKW785200:TKW785289 TUS785200:TUS785289 UEO785200:UEO785289 UOK785200:UOK785289 UYG785200:UYG785289 VIC785200:VIC785289 VRY785200:VRY785289 WBU785200:WBU785289 WLQ785200:WLQ785289 WVM785200:WVM785289 E850747:E850836 JA850736:JA850825 SW850736:SW850825 ACS850736:ACS850825 AMO850736:AMO850825 AWK850736:AWK850825 BGG850736:BGG850825 BQC850736:BQC850825 BZY850736:BZY850825 CJU850736:CJU850825 CTQ850736:CTQ850825 DDM850736:DDM850825 DNI850736:DNI850825 DXE850736:DXE850825 EHA850736:EHA850825 EQW850736:EQW850825 FAS850736:FAS850825 FKO850736:FKO850825 FUK850736:FUK850825 GEG850736:GEG850825 GOC850736:GOC850825 GXY850736:GXY850825 HHU850736:HHU850825 HRQ850736:HRQ850825 IBM850736:IBM850825 ILI850736:ILI850825 IVE850736:IVE850825 JFA850736:JFA850825 JOW850736:JOW850825 JYS850736:JYS850825 KIO850736:KIO850825 KSK850736:KSK850825 LCG850736:LCG850825 LMC850736:LMC850825 LVY850736:LVY850825 MFU850736:MFU850825 MPQ850736:MPQ850825 MZM850736:MZM850825 NJI850736:NJI850825 NTE850736:NTE850825 ODA850736:ODA850825 OMW850736:OMW850825 OWS850736:OWS850825 PGO850736:PGO850825 PQK850736:PQK850825 QAG850736:QAG850825 QKC850736:QKC850825 QTY850736:QTY850825 RDU850736:RDU850825 RNQ850736:RNQ850825 RXM850736:RXM850825 SHI850736:SHI850825 SRE850736:SRE850825 TBA850736:TBA850825 TKW850736:TKW850825 TUS850736:TUS850825 UEO850736:UEO850825 UOK850736:UOK850825 UYG850736:UYG850825 VIC850736:VIC850825 VRY850736:VRY850825 WBU850736:WBU850825 WLQ850736:WLQ850825 WVM850736:WVM850825 E916283:E916372 JA916272:JA916361 SW916272:SW916361 ACS916272:ACS916361 AMO916272:AMO916361 AWK916272:AWK916361 BGG916272:BGG916361 BQC916272:BQC916361 BZY916272:BZY916361 CJU916272:CJU916361 CTQ916272:CTQ916361 DDM916272:DDM916361 DNI916272:DNI916361 DXE916272:DXE916361 EHA916272:EHA916361 EQW916272:EQW916361 FAS916272:FAS916361 FKO916272:FKO916361 FUK916272:FUK916361 GEG916272:GEG916361 GOC916272:GOC916361 GXY916272:GXY916361 HHU916272:HHU916361 HRQ916272:HRQ916361 IBM916272:IBM916361 ILI916272:ILI916361 IVE916272:IVE916361 JFA916272:JFA916361 JOW916272:JOW916361 JYS916272:JYS916361 KIO916272:KIO916361 KSK916272:KSK916361 LCG916272:LCG916361 LMC916272:LMC916361 LVY916272:LVY916361 MFU916272:MFU916361 MPQ916272:MPQ916361 MZM916272:MZM916361 NJI916272:NJI916361 NTE916272:NTE916361 ODA916272:ODA916361 OMW916272:OMW916361 OWS916272:OWS916361 PGO916272:PGO916361 PQK916272:PQK916361 QAG916272:QAG916361 QKC916272:QKC916361 QTY916272:QTY916361 RDU916272:RDU916361 RNQ916272:RNQ916361 RXM916272:RXM916361 SHI916272:SHI916361 SRE916272:SRE916361 TBA916272:TBA916361 TKW916272:TKW916361 TUS916272:TUS916361 UEO916272:UEO916361 UOK916272:UOK916361 UYG916272:UYG916361 VIC916272:VIC916361 VRY916272:VRY916361 WBU916272:WBU916361 WLQ916272:WLQ916361 WVM916272:WVM916361 E981819:E981908 JA981808:JA981897 SW981808:SW981897 ACS981808:ACS981897 AMO981808:AMO981897 AWK981808:AWK981897 BGG981808:BGG981897 BQC981808:BQC981897 BZY981808:BZY981897 CJU981808:CJU981897 CTQ981808:CTQ981897 DDM981808:DDM981897 DNI981808:DNI981897 DXE981808:DXE981897 EHA981808:EHA981897 EQW981808:EQW981897 FAS981808:FAS981897 FKO981808:FKO981897 FUK981808:FUK981897 GEG981808:GEG981897 GOC981808:GOC981897 GXY981808:GXY981897 HHU981808:HHU981897 HRQ981808:HRQ981897 IBM981808:IBM981897 ILI981808:ILI981897 IVE981808:IVE981897 JFA981808:JFA981897 JOW981808:JOW981897 JYS981808:JYS981897 KIO981808:KIO981897 KSK981808:KSK981897 LCG981808:LCG981897 LMC981808:LMC981897 LVY981808:LVY981897 MFU981808:MFU981897 MPQ981808:MPQ981897 MZM981808:MZM981897 NJI981808:NJI981897 NTE981808:NTE981897 ODA981808:ODA981897 OMW981808:OMW981897 OWS981808:OWS981897 PGO981808:PGO981897 PQK981808:PQK981897 QAG981808:QAG981897 QKC981808:QKC981897 QTY981808:QTY981897 RDU981808:RDU981897 RNQ981808:RNQ981897 RXM981808:RXM981897 SHI981808:SHI981897 SRE981808:SRE981897 TBA981808:TBA981897 TKW981808:TKW981897 TUS981808:TUS981897 UEO981808:UEO981897 UOK981808:UOK981897 UYG981808:UYG981897 VIC981808:VIC981897 VRY981808:VRY981897 WBU981808:WBU981897 JA2:JA76 SW2:SW76 ACS2:ACS76 AMO2:AMO76 AWK2:AWK76 BGG2:BGG76 BQC2:BQC76 BZY2:BZY76 CJU2:CJU76 CTQ2:CTQ76 DDM2:DDM76 DNI2:DNI76 DXE2:DXE76 EHA2:EHA76 EQW2:EQW76 FAS2:FAS76 FKO2:FKO76 FUK2:FUK76 GEG2:GEG76 GOC2:GOC76 GXY2:GXY76 HHU2:HHU76 HRQ2:HRQ76 IBM2:IBM76 ILI2:ILI76 IVE2:IVE76 JFA2:JFA76 JOW2:JOW76 JYS2:JYS76 KIO2:KIO76 KSK2:KSK76 LCG2:LCG76 LMC2:LMC76 LVY2:LVY76 MFU2:MFU76 MPQ2:MPQ76 MZM2:MZM76 NJI2:NJI76 NTE2:NTE76 ODA2:ODA76 OMW2:OMW76 OWS2:OWS76 PGO2:PGO76 PQK2:PQK76 QAG2:QAG76 QKC2:QKC76 QTY2:QTY76 RDU2:RDU76 RNQ2:RNQ76 RXM2:RXM76 SHI2:SHI76 SRE2:SRE76 TBA2:TBA76 TKW2:TKW76 TUS2:TUS76 UEO2:UEO76 UOK2:UOK76 UYG2:UYG76 VIC2:VIC76 VRY2:VRY76 WBU2:WBU76 WLQ2:WLQ76 WVM2:WVM76" xr:uid="{774566C2-B4F9-40DB-AFD6-132D3023154E}">
      <formula1>$AG$2:$AG$16</formula1>
    </dataValidation>
    <dataValidation type="list" allowBlank="1" showInputMessage="1" showErrorMessage="1" sqref="WWF981808:WWF981891 WMJ981808:WMJ981891 WCN981808:WCN981891 VSR981808:VSR981891 VIV981808:VIV981891 UYZ981808:UYZ981891 UPD981808:UPD981891 UFH981808:UFH981891 TVL981808:TVL981891 TLP981808:TLP981891 TBT981808:TBT981891 SRX981808:SRX981891 SIB981808:SIB981891 RYF981808:RYF981891 ROJ981808:ROJ981891 REN981808:REN981891 QUR981808:QUR981891 QKV981808:QKV981891 QAZ981808:QAZ981891 PRD981808:PRD981891 PHH981808:PHH981891 OXL981808:OXL981891 ONP981808:ONP981891 ODT981808:ODT981891 NTX981808:NTX981891 NKB981808:NKB981891 NAF981808:NAF981891 MQJ981808:MQJ981891 MGN981808:MGN981891 LWR981808:LWR981891 LMV981808:LMV981891 LCZ981808:LCZ981891 KTD981808:KTD981891 KJH981808:KJH981891 JZL981808:JZL981891 JPP981808:JPP981891 JFT981808:JFT981891 IVX981808:IVX981891 IMB981808:IMB981891 ICF981808:ICF981891 HSJ981808:HSJ981891 HIN981808:HIN981891 GYR981808:GYR981891 GOV981808:GOV981891 GEZ981808:GEZ981891 FVD981808:FVD981891 FLH981808:FLH981891 FBL981808:FBL981891 ERP981808:ERP981891 EHT981808:EHT981891 DXX981808:DXX981891 DOB981808:DOB981891 DEF981808:DEF981891 CUJ981808:CUJ981891 CKN981808:CKN981891 CAR981808:CAR981891 BQV981808:BQV981891 BGZ981808:BGZ981891 AXD981808:AXD981891 ANH981808:ANH981891 ADL981808:ADL981891 TP981808:TP981891 JT981808:JT981891 X981808:X981891 WWF916272:WWF916355 WMJ916272:WMJ916355 WCN916272:WCN916355 VSR916272:VSR916355 VIV916272:VIV916355 UYZ916272:UYZ916355 UPD916272:UPD916355 UFH916272:UFH916355 TVL916272:TVL916355 TLP916272:TLP916355 TBT916272:TBT916355 SRX916272:SRX916355 SIB916272:SIB916355 RYF916272:RYF916355 ROJ916272:ROJ916355 REN916272:REN916355 QUR916272:QUR916355 QKV916272:QKV916355 QAZ916272:QAZ916355 PRD916272:PRD916355 PHH916272:PHH916355 OXL916272:OXL916355 ONP916272:ONP916355 ODT916272:ODT916355 NTX916272:NTX916355 NKB916272:NKB916355 NAF916272:NAF916355 MQJ916272:MQJ916355 MGN916272:MGN916355 LWR916272:LWR916355 LMV916272:LMV916355 LCZ916272:LCZ916355 KTD916272:KTD916355 KJH916272:KJH916355 JZL916272:JZL916355 JPP916272:JPP916355 JFT916272:JFT916355 IVX916272:IVX916355 IMB916272:IMB916355 ICF916272:ICF916355 HSJ916272:HSJ916355 HIN916272:HIN916355 GYR916272:GYR916355 GOV916272:GOV916355 GEZ916272:GEZ916355 FVD916272:FVD916355 FLH916272:FLH916355 FBL916272:FBL916355 ERP916272:ERP916355 EHT916272:EHT916355 DXX916272:DXX916355 DOB916272:DOB916355 DEF916272:DEF916355 CUJ916272:CUJ916355 CKN916272:CKN916355 CAR916272:CAR916355 BQV916272:BQV916355 BGZ916272:BGZ916355 AXD916272:AXD916355 ANH916272:ANH916355 ADL916272:ADL916355 TP916272:TP916355 JT916272:JT916355 X916272:X916355 WWF850736:WWF850819 WMJ850736:WMJ850819 WCN850736:WCN850819 VSR850736:VSR850819 VIV850736:VIV850819 UYZ850736:UYZ850819 UPD850736:UPD850819 UFH850736:UFH850819 TVL850736:TVL850819 TLP850736:TLP850819 TBT850736:TBT850819 SRX850736:SRX850819 SIB850736:SIB850819 RYF850736:RYF850819 ROJ850736:ROJ850819 REN850736:REN850819 QUR850736:QUR850819 QKV850736:QKV850819 QAZ850736:QAZ850819 PRD850736:PRD850819 PHH850736:PHH850819 OXL850736:OXL850819 ONP850736:ONP850819 ODT850736:ODT850819 NTX850736:NTX850819 NKB850736:NKB850819 NAF850736:NAF850819 MQJ850736:MQJ850819 MGN850736:MGN850819 LWR850736:LWR850819 LMV850736:LMV850819 LCZ850736:LCZ850819 KTD850736:KTD850819 KJH850736:KJH850819 JZL850736:JZL850819 JPP850736:JPP850819 JFT850736:JFT850819 IVX850736:IVX850819 IMB850736:IMB850819 ICF850736:ICF850819 HSJ850736:HSJ850819 HIN850736:HIN850819 GYR850736:GYR850819 GOV850736:GOV850819 GEZ850736:GEZ850819 FVD850736:FVD850819 FLH850736:FLH850819 FBL850736:FBL850819 ERP850736:ERP850819 EHT850736:EHT850819 DXX850736:DXX850819 DOB850736:DOB850819 DEF850736:DEF850819 CUJ850736:CUJ850819 CKN850736:CKN850819 CAR850736:CAR850819 BQV850736:BQV850819 BGZ850736:BGZ850819 AXD850736:AXD850819 ANH850736:ANH850819 ADL850736:ADL850819 TP850736:TP850819 JT850736:JT850819 X850736:X850819 WWF785200:WWF785283 WMJ785200:WMJ785283 WCN785200:WCN785283 VSR785200:VSR785283 VIV785200:VIV785283 UYZ785200:UYZ785283 UPD785200:UPD785283 UFH785200:UFH785283 TVL785200:TVL785283 TLP785200:TLP785283 TBT785200:TBT785283 SRX785200:SRX785283 SIB785200:SIB785283 RYF785200:RYF785283 ROJ785200:ROJ785283 REN785200:REN785283 QUR785200:QUR785283 QKV785200:QKV785283 QAZ785200:QAZ785283 PRD785200:PRD785283 PHH785200:PHH785283 OXL785200:OXL785283 ONP785200:ONP785283 ODT785200:ODT785283 NTX785200:NTX785283 NKB785200:NKB785283 NAF785200:NAF785283 MQJ785200:MQJ785283 MGN785200:MGN785283 LWR785200:LWR785283 LMV785200:LMV785283 LCZ785200:LCZ785283 KTD785200:KTD785283 KJH785200:KJH785283 JZL785200:JZL785283 JPP785200:JPP785283 JFT785200:JFT785283 IVX785200:IVX785283 IMB785200:IMB785283 ICF785200:ICF785283 HSJ785200:HSJ785283 HIN785200:HIN785283 GYR785200:GYR785283 GOV785200:GOV785283 GEZ785200:GEZ785283 FVD785200:FVD785283 FLH785200:FLH785283 FBL785200:FBL785283 ERP785200:ERP785283 EHT785200:EHT785283 DXX785200:DXX785283 DOB785200:DOB785283 DEF785200:DEF785283 CUJ785200:CUJ785283 CKN785200:CKN785283 CAR785200:CAR785283 BQV785200:BQV785283 BGZ785200:BGZ785283 AXD785200:AXD785283 ANH785200:ANH785283 ADL785200:ADL785283 TP785200:TP785283 JT785200:JT785283 X785200:X785283 WWF719664:WWF719747 WMJ719664:WMJ719747 WCN719664:WCN719747 VSR719664:VSR719747 VIV719664:VIV719747 UYZ719664:UYZ719747 UPD719664:UPD719747 UFH719664:UFH719747 TVL719664:TVL719747 TLP719664:TLP719747 TBT719664:TBT719747 SRX719664:SRX719747 SIB719664:SIB719747 RYF719664:RYF719747 ROJ719664:ROJ719747 REN719664:REN719747 QUR719664:QUR719747 QKV719664:QKV719747 QAZ719664:QAZ719747 PRD719664:PRD719747 PHH719664:PHH719747 OXL719664:OXL719747 ONP719664:ONP719747 ODT719664:ODT719747 NTX719664:NTX719747 NKB719664:NKB719747 NAF719664:NAF719747 MQJ719664:MQJ719747 MGN719664:MGN719747 LWR719664:LWR719747 LMV719664:LMV719747 LCZ719664:LCZ719747 KTD719664:KTD719747 KJH719664:KJH719747 JZL719664:JZL719747 JPP719664:JPP719747 JFT719664:JFT719747 IVX719664:IVX719747 IMB719664:IMB719747 ICF719664:ICF719747 HSJ719664:HSJ719747 HIN719664:HIN719747 GYR719664:GYR719747 GOV719664:GOV719747 GEZ719664:GEZ719747 FVD719664:FVD719747 FLH719664:FLH719747 FBL719664:FBL719747 ERP719664:ERP719747 EHT719664:EHT719747 DXX719664:DXX719747 DOB719664:DOB719747 DEF719664:DEF719747 CUJ719664:CUJ719747 CKN719664:CKN719747 CAR719664:CAR719747 BQV719664:BQV719747 BGZ719664:BGZ719747 AXD719664:AXD719747 ANH719664:ANH719747 ADL719664:ADL719747 TP719664:TP719747 JT719664:JT719747 X719664:X719747 WWF654128:WWF654211 WMJ654128:WMJ654211 WCN654128:WCN654211 VSR654128:VSR654211 VIV654128:VIV654211 UYZ654128:UYZ654211 UPD654128:UPD654211 UFH654128:UFH654211 TVL654128:TVL654211 TLP654128:TLP654211 TBT654128:TBT654211 SRX654128:SRX654211 SIB654128:SIB654211 RYF654128:RYF654211 ROJ654128:ROJ654211 REN654128:REN654211 QUR654128:QUR654211 QKV654128:QKV654211 QAZ654128:QAZ654211 PRD654128:PRD654211 PHH654128:PHH654211 OXL654128:OXL654211 ONP654128:ONP654211 ODT654128:ODT654211 NTX654128:NTX654211 NKB654128:NKB654211 NAF654128:NAF654211 MQJ654128:MQJ654211 MGN654128:MGN654211 LWR654128:LWR654211 LMV654128:LMV654211 LCZ654128:LCZ654211 KTD654128:KTD654211 KJH654128:KJH654211 JZL654128:JZL654211 JPP654128:JPP654211 JFT654128:JFT654211 IVX654128:IVX654211 IMB654128:IMB654211 ICF654128:ICF654211 HSJ654128:HSJ654211 HIN654128:HIN654211 GYR654128:GYR654211 GOV654128:GOV654211 GEZ654128:GEZ654211 FVD654128:FVD654211 FLH654128:FLH654211 FBL654128:FBL654211 ERP654128:ERP654211 EHT654128:EHT654211 DXX654128:DXX654211 DOB654128:DOB654211 DEF654128:DEF654211 CUJ654128:CUJ654211 CKN654128:CKN654211 CAR654128:CAR654211 BQV654128:BQV654211 BGZ654128:BGZ654211 AXD654128:AXD654211 ANH654128:ANH654211 ADL654128:ADL654211 TP654128:TP654211 JT654128:JT654211 X654128:X654211 WWF588592:WWF588675 WMJ588592:WMJ588675 WCN588592:WCN588675 VSR588592:VSR588675 VIV588592:VIV588675 UYZ588592:UYZ588675 UPD588592:UPD588675 UFH588592:UFH588675 TVL588592:TVL588675 TLP588592:TLP588675 TBT588592:TBT588675 SRX588592:SRX588675 SIB588592:SIB588675 RYF588592:RYF588675 ROJ588592:ROJ588675 REN588592:REN588675 QUR588592:QUR588675 QKV588592:QKV588675 QAZ588592:QAZ588675 PRD588592:PRD588675 PHH588592:PHH588675 OXL588592:OXL588675 ONP588592:ONP588675 ODT588592:ODT588675 NTX588592:NTX588675 NKB588592:NKB588675 NAF588592:NAF588675 MQJ588592:MQJ588675 MGN588592:MGN588675 LWR588592:LWR588675 LMV588592:LMV588675 LCZ588592:LCZ588675 KTD588592:KTD588675 KJH588592:KJH588675 JZL588592:JZL588675 JPP588592:JPP588675 JFT588592:JFT588675 IVX588592:IVX588675 IMB588592:IMB588675 ICF588592:ICF588675 HSJ588592:HSJ588675 HIN588592:HIN588675 GYR588592:GYR588675 GOV588592:GOV588675 GEZ588592:GEZ588675 FVD588592:FVD588675 FLH588592:FLH588675 FBL588592:FBL588675 ERP588592:ERP588675 EHT588592:EHT588675 DXX588592:DXX588675 DOB588592:DOB588675 DEF588592:DEF588675 CUJ588592:CUJ588675 CKN588592:CKN588675 CAR588592:CAR588675 BQV588592:BQV588675 BGZ588592:BGZ588675 AXD588592:AXD588675 ANH588592:ANH588675 ADL588592:ADL588675 TP588592:TP588675 JT588592:JT588675 X588592:X588675 WWF523056:WWF523139 WMJ523056:WMJ523139 WCN523056:WCN523139 VSR523056:VSR523139 VIV523056:VIV523139 UYZ523056:UYZ523139 UPD523056:UPD523139 UFH523056:UFH523139 TVL523056:TVL523139 TLP523056:TLP523139 TBT523056:TBT523139 SRX523056:SRX523139 SIB523056:SIB523139 RYF523056:RYF523139 ROJ523056:ROJ523139 REN523056:REN523139 QUR523056:QUR523139 QKV523056:QKV523139 QAZ523056:QAZ523139 PRD523056:PRD523139 PHH523056:PHH523139 OXL523056:OXL523139 ONP523056:ONP523139 ODT523056:ODT523139 NTX523056:NTX523139 NKB523056:NKB523139 NAF523056:NAF523139 MQJ523056:MQJ523139 MGN523056:MGN523139 LWR523056:LWR523139 LMV523056:LMV523139 LCZ523056:LCZ523139 KTD523056:KTD523139 KJH523056:KJH523139 JZL523056:JZL523139 JPP523056:JPP523139 JFT523056:JFT523139 IVX523056:IVX523139 IMB523056:IMB523139 ICF523056:ICF523139 HSJ523056:HSJ523139 HIN523056:HIN523139 GYR523056:GYR523139 GOV523056:GOV523139 GEZ523056:GEZ523139 FVD523056:FVD523139 FLH523056:FLH523139 FBL523056:FBL523139 ERP523056:ERP523139 EHT523056:EHT523139 DXX523056:DXX523139 DOB523056:DOB523139 DEF523056:DEF523139 CUJ523056:CUJ523139 CKN523056:CKN523139 CAR523056:CAR523139 BQV523056:BQV523139 BGZ523056:BGZ523139 AXD523056:AXD523139 ANH523056:ANH523139 ADL523056:ADL523139 TP523056:TP523139 JT523056:JT523139 X523056:X523139 WWF457520:WWF457603 WMJ457520:WMJ457603 WCN457520:WCN457603 VSR457520:VSR457603 VIV457520:VIV457603 UYZ457520:UYZ457603 UPD457520:UPD457603 UFH457520:UFH457603 TVL457520:TVL457603 TLP457520:TLP457603 TBT457520:TBT457603 SRX457520:SRX457603 SIB457520:SIB457603 RYF457520:RYF457603 ROJ457520:ROJ457603 REN457520:REN457603 QUR457520:QUR457603 QKV457520:QKV457603 QAZ457520:QAZ457603 PRD457520:PRD457603 PHH457520:PHH457603 OXL457520:OXL457603 ONP457520:ONP457603 ODT457520:ODT457603 NTX457520:NTX457603 NKB457520:NKB457603 NAF457520:NAF457603 MQJ457520:MQJ457603 MGN457520:MGN457603 LWR457520:LWR457603 LMV457520:LMV457603 LCZ457520:LCZ457603 KTD457520:KTD457603 KJH457520:KJH457603 JZL457520:JZL457603 JPP457520:JPP457603 JFT457520:JFT457603 IVX457520:IVX457603 IMB457520:IMB457603 ICF457520:ICF457603 HSJ457520:HSJ457603 HIN457520:HIN457603 GYR457520:GYR457603 GOV457520:GOV457603 GEZ457520:GEZ457603 FVD457520:FVD457603 FLH457520:FLH457603 FBL457520:FBL457603 ERP457520:ERP457603 EHT457520:EHT457603 DXX457520:DXX457603 DOB457520:DOB457603 DEF457520:DEF457603 CUJ457520:CUJ457603 CKN457520:CKN457603 CAR457520:CAR457603 BQV457520:BQV457603 BGZ457520:BGZ457603 AXD457520:AXD457603 ANH457520:ANH457603 ADL457520:ADL457603 TP457520:TP457603 JT457520:JT457603 X457520:X457603 WWF391984:WWF392067 WMJ391984:WMJ392067 WCN391984:WCN392067 VSR391984:VSR392067 VIV391984:VIV392067 UYZ391984:UYZ392067 UPD391984:UPD392067 UFH391984:UFH392067 TVL391984:TVL392067 TLP391984:TLP392067 TBT391984:TBT392067 SRX391984:SRX392067 SIB391984:SIB392067 RYF391984:RYF392067 ROJ391984:ROJ392067 REN391984:REN392067 QUR391984:QUR392067 QKV391984:QKV392067 QAZ391984:QAZ392067 PRD391984:PRD392067 PHH391984:PHH392067 OXL391984:OXL392067 ONP391984:ONP392067 ODT391984:ODT392067 NTX391984:NTX392067 NKB391984:NKB392067 NAF391984:NAF392067 MQJ391984:MQJ392067 MGN391984:MGN392067 LWR391984:LWR392067 LMV391984:LMV392067 LCZ391984:LCZ392067 KTD391984:KTD392067 KJH391984:KJH392067 JZL391984:JZL392067 JPP391984:JPP392067 JFT391984:JFT392067 IVX391984:IVX392067 IMB391984:IMB392067 ICF391984:ICF392067 HSJ391984:HSJ392067 HIN391984:HIN392067 GYR391984:GYR392067 GOV391984:GOV392067 GEZ391984:GEZ392067 FVD391984:FVD392067 FLH391984:FLH392067 FBL391984:FBL392067 ERP391984:ERP392067 EHT391984:EHT392067 DXX391984:DXX392067 DOB391984:DOB392067 DEF391984:DEF392067 CUJ391984:CUJ392067 CKN391984:CKN392067 CAR391984:CAR392067 BQV391984:BQV392067 BGZ391984:BGZ392067 AXD391984:AXD392067 ANH391984:ANH392067 ADL391984:ADL392067 TP391984:TP392067 JT391984:JT392067 X391984:X392067 WWF326448:WWF326531 WMJ326448:WMJ326531 WCN326448:WCN326531 VSR326448:VSR326531 VIV326448:VIV326531 UYZ326448:UYZ326531 UPD326448:UPD326531 UFH326448:UFH326531 TVL326448:TVL326531 TLP326448:TLP326531 TBT326448:TBT326531 SRX326448:SRX326531 SIB326448:SIB326531 RYF326448:RYF326531 ROJ326448:ROJ326531 REN326448:REN326531 QUR326448:QUR326531 QKV326448:QKV326531 QAZ326448:QAZ326531 PRD326448:PRD326531 PHH326448:PHH326531 OXL326448:OXL326531 ONP326448:ONP326531 ODT326448:ODT326531 NTX326448:NTX326531 NKB326448:NKB326531 NAF326448:NAF326531 MQJ326448:MQJ326531 MGN326448:MGN326531 LWR326448:LWR326531 LMV326448:LMV326531 LCZ326448:LCZ326531 KTD326448:KTD326531 KJH326448:KJH326531 JZL326448:JZL326531 JPP326448:JPP326531 JFT326448:JFT326531 IVX326448:IVX326531 IMB326448:IMB326531 ICF326448:ICF326531 HSJ326448:HSJ326531 HIN326448:HIN326531 GYR326448:GYR326531 GOV326448:GOV326531 GEZ326448:GEZ326531 FVD326448:FVD326531 FLH326448:FLH326531 FBL326448:FBL326531 ERP326448:ERP326531 EHT326448:EHT326531 DXX326448:DXX326531 DOB326448:DOB326531 DEF326448:DEF326531 CUJ326448:CUJ326531 CKN326448:CKN326531 CAR326448:CAR326531 BQV326448:BQV326531 BGZ326448:BGZ326531 AXD326448:AXD326531 ANH326448:ANH326531 ADL326448:ADL326531 TP326448:TP326531 JT326448:JT326531 X326448:X326531 WWF260912:WWF260995 WMJ260912:WMJ260995 WCN260912:WCN260995 VSR260912:VSR260995 VIV260912:VIV260995 UYZ260912:UYZ260995 UPD260912:UPD260995 UFH260912:UFH260995 TVL260912:TVL260995 TLP260912:TLP260995 TBT260912:TBT260995 SRX260912:SRX260995 SIB260912:SIB260995 RYF260912:RYF260995 ROJ260912:ROJ260995 REN260912:REN260995 QUR260912:QUR260995 QKV260912:QKV260995 QAZ260912:QAZ260995 PRD260912:PRD260995 PHH260912:PHH260995 OXL260912:OXL260995 ONP260912:ONP260995 ODT260912:ODT260995 NTX260912:NTX260995 NKB260912:NKB260995 NAF260912:NAF260995 MQJ260912:MQJ260995 MGN260912:MGN260995 LWR260912:LWR260995 LMV260912:LMV260995 LCZ260912:LCZ260995 KTD260912:KTD260995 KJH260912:KJH260995 JZL260912:JZL260995 JPP260912:JPP260995 JFT260912:JFT260995 IVX260912:IVX260995 IMB260912:IMB260995 ICF260912:ICF260995 HSJ260912:HSJ260995 HIN260912:HIN260995 GYR260912:GYR260995 GOV260912:GOV260995 GEZ260912:GEZ260995 FVD260912:FVD260995 FLH260912:FLH260995 FBL260912:FBL260995 ERP260912:ERP260995 EHT260912:EHT260995 DXX260912:DXX260995 DOB260912:DOB260995 DEF260912:DEF260995 CUJ260912:CUJ260995 CKN260912:CKN260995 CAR260912:CAR260995 BQV260912:BQV260995 BGZ260912:BGZ260995 AXD260912:AXD260995 ANH260912:ANH260995 ADL260912:ADL260995 TP260912:TP260995 JT260912:JT260995 X260912:X260995 WWF195376:WWF195459 WMJ195376:WMJ195459 WCN195376:WCN195459 VSR195376:VSR195459 VIV195376:VIV195459 UYZ195376:UYZ195459 UPD195376:UPD195459 UFH195376:UFH195459 TVL195376:TVL195459 TLP195376:TLP195459 TBT195376:TBT195459 SRX195376:SRX195459 SIB195376:SIB195459 RYF195376:RYF195459 ROJ195376:ROJ195459 REN195376:REN195459 QUR195376:QUR195459 QKV195376:QKV195459 QAZ195376:QAZ195459 PRD195376:PRD195459 PHH195376:PHH195459 OXL195376:OXL195459 ONP195376:ONP195459 ODT195376:ODT195459 NTX195376:NTX195459 NKB195376:NKB195459 NAF195376:NAF195459 MQJ195376:MQJ195459 MGN195376:MGN195459 LWR195376:LWR195459 LMV195376:LMV195459 LCZ195376:LCZ195459 KTD195376:KTD195459 KJH195376:KJH195459 JZL195376:JZL195459 JPP195376:JPP195459 JFT195376:JFT195459 IVX195376:IVX195459 IMB195376:IMB195459 ICF195376:ICF195459 HSJ195376:HSJ195459 HIN195376:HIN195459 GYR195376:GYR195459 GOV195376:GOV195459 GEZ195376:GEZ195459 FVD195376:FVD195459 FLH195376:FLH195459 FBL195376:FBL195459 ERP195376:ERP195459 EHT195376:EHT195459 DXX195376:DXX195459 DOB195376:DOB195459 DEF195376:DEF195459 CUJ195376:CUJ195459 CKN195376:CKN195459 CAR195376:CAR195459 BQV195376:BQV195459 BGZ195376:BGZ195459 AXD195376:AXD195459 ANH195376:ANH195459 ADL195376:ADL195459 TP195376:TP195459 JT195376:JT195459 X195376:X195459 WWF129840:WWF129923 WMJ129840:WMJ129923 WCN129840:WCN129923 VSR129840:VSR129923 VIV129840:VIV129923 UYZ129840:UYZ129923 UPD129840:UPD129923 UFH129840:UFH129923 TVL129840:TVL129923 TLP129840:TLP129923 TBT129840:TBT129923 SRX129840:SRX129923 SIB129840:SIB129923 RYF129840:RYF129923 ROJ129840:ROJ129923 REN129840:REN129923 QUR129840:QUR129923 QKV129840:QKV129923 QAZ129840:QAZ129923 PRD129840:PRD129923 PHH129840:PHH129923 OXL129840:OXL129923 ONP129840:ONP129923 ODT129840:ODT129923 NTX129840:NTX129923 NKB129840:NKB129923 NAF129840:NAF129923 MQJ129840:MQJ129923 MGN129840:MGN129923 LWR129840:LWR129923 LMV129840:LMV129923 LCZ129840:LCZ129923 KTD129840:KTD129923 KJH129840:KJH129923 JZL129840:JZL129923 JPP129840:JPP129923 JFT129840:JFT129923 IVX129840:IVX129923 IMB129840:IMB129923 ICF129840:ICF129923 HSJ129840:HSJ129923 HIN129840:HIN129923 GYR129840:GYR129923 GOV129840:GOV129923 GEZ129840:GEZ129923 FVD129840:FVD129923 FLH129840:FLH129923 FBL129840:FBL129923 ERP129840:ERP129923 EHT129840:EHT129923 DXX129840:DXX129923 DOB129840:DOB129923 DEF129840:DEF129923 CUJ129840:CUJ129923 CKN129840:CKN129923 CAR129840:CAR129923 BQV129840:BQV129923 BGZ129840:BGZ129923 AXD129840:AXD129923 ANH129840:ANH129923 ADL129840:ADL129923 TP129840:TP129923 JT129840:JT129923 X129840:X129923 WWF64304:WWF64387 WMJ64304:WMJ64387 WCN64304:WCN64387 VSR64304:VSR64387 VIV64304:VIV64387 UYZ64304:UYZ64387 UPD64304:UPD64387 UFH64304:UFH64387 TVL64304:TVL64387 TLP64304:TLP64387 TBT64304:TBT64387 SRX64304:SRX64387 SIB64304:SIB64387 RYF64304:RYF64387 ROJ64304:ROJ64387 REN64304:REN64387 QUR64304:QUR64387 QKV64304:QKV64387 QAZ64304:QAZ64387 PRD64304:PRD64387 PHH64304:PHH64387 OXL64304:OXL64387 ONP64304:ONP64387 ODT64304:ODT64387 NTX64304:NTX64387 NKB64304:NKB64387 NAF64304:NAF64387 MQJ64304:MQJ64387 MGN64304:MGN64387 LWR64304:LWR64387 LMV64304:LMV64387 LCZ64304:LCZ64387 KTD64304:KTD64387 KJH64304:KJH64387 JZL64304:JZL64387 JPP64304:JPP64387 JFT64304:JFT64387 IVX64304:IVX64387 IMB64304:IMB64387 ICF64304:ICF64387 HSJ64304:HSJ64387 HIN64304:HIN64387 GYR64304:GYR64387 GOV64304:GOV64387 GEZ64304:GEZ64387 FVD64304:FVD64387 FLH64304:FLH64387 FBL64304:FBL64387 ERP64304:ERP64387 EHT64304:EHT64387 DXX64304:DXX64387 DOB64304:DOB64387 DEF64304:DEF64387 CUJ64304:CUJ64387 CKN64304:CKN64387 CAR64304:CAR64387 BQV64304:BQV64387 BGZ64304:BGZ64387 AXD64304:AXD64387 ANH64304:ANH64387 ADL64304:ADL64387 TP64304:TP64387 JT64304:JT64387 X64304:X64387 X99:X503 X2:X97 WWF2:WWF76 WMJ2:WMJ76 WCN2:WCN76 VSR2:VSR76 VIV2:VIV76 UYZ2:UYZ76 UPD2:UPD76 UFH2:UFH76 TVL2:TVL76 TLP2:TLP76 TBT2:TBT76 SRX2:SRX76 SIB2:SIB76 RYF2:RYF76 ROJ2:ROJ76 REN2:REN76 QUR2:QUR76 QKV2:QKV76 QAZ2:QAZ76 PRD2:PRD76 PHH2:PHH76 OXL2:OXL76 ONP2:ONP76 ODT2:ODT76 NTX2:NTX76 NKB2:NKB76 NAF2:NAF76 MQJ2:MQJ76 MGN2:MGN76 LWR2:LWR76 LMV2:LMV76 LCZ2:LCZ76 KTD2:KTD76 KJH2:KJH76 JZL2:JZL76 JPP2:JPP76 JFT2:JFT76 IVX2:IVX76 IMB2:IMB76 ICF2:ICF76 HSJ2:HSJ76 HIN2:HIN76 GYR2:GYR76 GOV2:GOV76 GEZ2:GEZ76 FVD2:FVD76 FLH2:FLH76 FBL2:FBL76 ERP2:ERP76 EHT2:EHT76 DXX2:DXX76 DOB2:DOB76 DEF2:DEF76 CUJ2:CUJ76 CKN2:CKN76 CAR2:CAR76 BQV2:BQV76 BGZ2:BGZ76 AXD2:AXD76 ANH2:ANH76 ADL2:ADL76 TP2:TP76 JT2:JT76" xr:uid="{E136F78C-7083-4475-A130-EF30CEA549E1}">
      <formula1>$AT$2:$AT$3</formula1>
    </dataValidation>
    <dataValidation operator="equal" allowBlank="1" showInputMessage="1" showErrorMessage="1" sqref="WVJ981808:WVJ981897 WLN981808:WLN981897 WBR981808:WBR981897 VRV981808:VRV981897 VHZ981808:VHZ981897 UYD981808:UYD981897 UOH981808:UOH981897 UEL981808:UEL981897 TUP981808:TUP981897 TKT981808:TKT981897 TAX981808:TAX981897 SRB981808:SRB981897 SHF981808:SHF981897 RXJ981808:RXJ981897 RNN981808:RNN981897 RDR981808:RDR981897 QTV981808:QTV981897 QJZ981808:QJZ981897 QAD981808:QAD981897 PQH981808:PQH981897 PGL981808:PGL981897 OWP981808:OWP981897 OMT981808:OMT981897 OCX981808:OCX981897 NTB981808:NTB981897 NJF981808:NJF981897 MZJ981808:MZJ981897 MPN981808:MPN981897 MFR981808:MFR981897 LVV981808:LVV981897 LLZ981808:LLZ981897 LCD981808:LCD981897 KSH981808:KSH981897 KIL981808:KIL981897 JYP981808:JYP981897 JOT981808:JOT981897 JEX981808:JEX981897 IVB981808:IVB981897 ILF981808:ILF981897 IBJ981808:IBJ981897 HRN981808:HRN981897 HHR981808:HHR981897 GXV981808:GXV981897 GNZ981808:GNZ981897 GED981808:GED981897 FUH981808:FUH981897 FKL981808:FKL981897 FAP981808:FAP981897 EQT981808:EQT981897 EGX981808:EGX981897 DXB981808:DXB981897 DNF981808:DNF981897 DDJ981808:DDJ981897 CTN981808:CTN981897 CJR981808:CJR981897 BZV981808:BZV981897 BPZ981808:BPZ981897 BGD981808:BGD981897 AWH981808:AWH981897 AML981808:AML981897 ACP981808:ACP981897 ST981808:ST981897 IX981808:IX981897 B981814:B981903 WVJ916272:WVJ916361 WLN916272:WLN916361 WBR916272:WBR916361 VRV916272:VRV916361 VHZ916272:VHZ916361 UYD916272:UYD916361 UOH916272:UOH916361 UEL916272:UEL916361 TUP916272:TUP916361 TKT916272:TKT916361 TAX916272:TAX916361 SRB916272:SRB916361 SHF916272:SHF916361 RXJ916272:RXJ916361 RNN916272:RNN916361 RDR916272:RDR916361 QTV916272:QTV916361 QJZ916272:QJZ916361 QAD916272:QAD916361 PQH916272:PQH916361 PGL916272:PGL916361 OWP916272:OWP916361 OMT916272:OMT916361 OCX916272:OCX916361 NTB916272:NTB916361 NJF916272:NJF916361 MZJ916272:MZJ916361 MPN916272:MPN916361 MFR916272:MFR916361 LVV916272:LVV916361 LLZ916272:LLZ916361 LCD916272:LCD916361 KSH916272:KSH916361 KIL916272:KIL916361 JYP916272:JYP916361 JOT916272:JOT916361 JEX916272:JEX916361 IVB916272:IVB916361 ILF916272:ILF916361 IBJ916272:IBJ916361 HRN916272:HRN916361 HHR916272:HHR916361 GXV916272:GXV916361 GNZ916272:GNZ916361 GED916272:GED916361 FUH916272:FUH916361 FKL916272:FKL916361 FAP916272:FAP916361 EQT916272:EQT916361 EGX916272:EGX916361 DXB916272:DXB916361 DNF916272:DNF916361 DDJ916272:DDJ916361 CTN916272:CTN916361 CJR916272:CJR916361 BZV916272:BZV916361 BPZ916272:BPZ916361 BGD916272:BGD916361 AWH916272:AWH916361 AML916272:AML916361 ACP916272:ACP916361 ST916272:ST916361 IX916272:IX916361 B916278:B916367 WVJ850736:WVJ850825 WLN850736:WLN850825 WBR850736:WBR850825 VRV850736:VRV850825 VHZ850736:VHZ850825 UYD850736:UYD850825 UOH850736:UOH850825 UEL850736:UEL850825 TUP850736:TUP850825 TKT850736:TKT850825 TAX850736:TAX850825 SRB850736:SRB850825 SHF850736:SHF850825 RXJ850736:RXJ850825 RNN850736:RNN850825 RDR850736:RDR850825 QTV850736:QTV850825 QJZ850736:QJZ850825 QAD850736:QAD850825 PQH850736:PQH850825 PGL850736:PGL850825 OWP850736:OWP850825 OMT850736:OMT850825 OCX850736:OCX850825 NTB850736:NTB850825 NJF850736:NJF850825 MZJ850736:MZJ850825 MPN850736:MPN850825 MFR850736:MFR850825 LVV850736:LVV850825 LLZ850736:LLZ850825 LCD850736:LCD850825 KSH850736:KSH850825 KIL850736:KIL850825 JYP850736:JYP850825 JOT850736:JOT850825 JEX850736:JEX850825 IVB850736:IVB850825 ILF850736:ILF850825 IBJ850736:IBJ850825 HRN850736:HRN850825 HHR850736:HHR850825 GXV850736:GXV850825 GNZ850736:GNZ850825 GED850736:GED850825 FUH850736:FUH850825 FKL850736:FKL850825 FAP850736:FAP850825 EQT850736:EQT850825 EGX850736:EGX850825 DXB850736:DXB850825 DNF850736:DNF850825 DDJ850736:DDJ850825 CTN850736:CTN850825 CJR850736:CJR850825 BZV850736:BZV850825 BPZ850736:BPZ850825 BGD850736:BGD850825 AWH850736:AWH850825 AML850736:AML850825 ACP850736:ACP850825 ST850736:ST850825 IX850736:IX850825 B850742:B850831 WVJ785200:WVJ785289 WLN785200:WLN785289 WBR785200:WBR785289 VRV785200:VRV785289 VHZ785200:VHZ785289 UYD785200:UYD785289 UOH785200:UOH785289 UEL785200:UEL785289 TUP785200:TUP785289 TKT785200:TKT785289 TAX785200:TAX785289 SRB785200:SRB785289 SHF785200:SHF785289 RXJ785200:RXJ785289 RNN785200:RNN785289 RDR785200:RDR785289 QTV785200:QTV785289 QJZ785200:QJZ785289 QAD785200:QAD785289 PQH785200:PQH785289 PGL785200:PGL785289 OWP785200:OWP785289 OMT785200:OMT785289 OCX785200:OCX785289 NTB785200:NTB785289 NJF785200:NJF785289 MZJ785200:MZJ785289 MPN785200:MPN785289 MFR785200:MFR785289 LVV785200:LVV785289 LLZ785200:LLZ785289 LCD785200:LCD785289 KSH785200:KSH785289 KIL785200:KIL785289 JYP785200:JYP785289 JOT785200:JOT785289 JEX785200:JEX785289 IVB785200:IVB785289 ILF785200:ILF785289 IBJ785200:IBJ785289 HRN785200:HRN785289 HHR785200:HHR785289 GXV785200:GXV785289 GNZ785200:GNZ785289 GED785200:GED785289 FUH785200:FUH785289 FKL785200:FKL785289 FAP785200:FAP785289 EQT785200:EQT785289 EGX785200:EGX785289 DXB785200:DXB785289 DNF785200:DNF785289 DDJ785200:DDJ785289 CTN785200:CTN785289 CJR785200:CJR785289 BZV785200:BZV785289 BPZ785200:BPZ785289 BGD785200:BGD785289 AWH785200:AWH785289 AML785200:AML785289 ACP785200:ACP785289 ST785200:ST785289 IX785200:IX785289 B785206:B785295 WVJ719664:WVJ719753 WLN719664:WLN719753 WBR719664:WBR719753 VRV719664:VRV719753 VHZ719664:VHZ719753 UYD719664:UYD719753 UOH719664:UOH719753 UEL719664:UEL719753 TUP719664:TUP719753 TKT719664:TKT719753 TAX719664:TAX719753 SRB719664:SRB719753 SHF719664:SHF719753 RXJ719664:RXJ719753 RNN719664:RNN719753 RDR719664:RDR719753 QTV719664:QTV719753 QJZ719664:QJZ719753 QAD719664:QAD719753 PQH719664:PQH719753 PGL719664:PGL719753 OWP719664:OWP719753 OMT719664:OMT719753 OCX719664:OCX719753 NTB719664:NTB719753 NJF719664:NJF719753 MZJ719664:MZJ719753 MPN719664:MPN719753 MFR719664:MFR719753 LVV719664:LVV719753 LLZ719664:LLZ719753 LCD719664:LCD719753 KSH719664:KSH719753 KIL719664:KIL719753 JYP719664:JYP719753 JOT719664:JOT719753 JEX719664:JEX719753 IVB719664:IVB719753 ILF719664:ILF719753 IBJ719664:IBJ719753 HRN719664:HRN719753 HHR719664:HHR719753 GXV719664:GXV719753 GNZ719664:GNZ719753 GED719664:GED719753 FUH719664:FUH719753 FKL719664:FKL719753 FAP719664:FAP719753 EQT719664:EQT719753 EGX719664:EGX719753 DXB719664:DXB719753 DNF719664:DNF719753 DDJ719664:DDJ719753 CTN719664:CTN719753 CJR719664:CJR719753 BZV719664:BZV719753 BPZ719664:BPZ719753 BGD719664:BGD719753 AWH719664:AWH719753 AML719664:AML719753 ACP719664:ACP719753 ST719664:ST719753 IX719664:IX719753 B719670:B719759 WVJ654128:WVJ654217 WLN654128:WLN654217 WBR654128:WBR654217 VRV654128:VRV654217 VHZ654128:VHZ654217 UYD654128:UYD654217 UOH654128:UOH654217 UEL654128:UEL654217 TUP654128:TUP654217 TKT654128:TKT654217 TAX654128:TAX654217 SRB654128:SRB654217 SHF654128:SHF654217 RXJ654128:RXJ654217 RNN654128:RNN654217 RDR654128:RDR654217 QTV654128:QTV654217 QJZ654128:QJZ654217 QAD654128:QAD654217 PQH654128:PQH654217 PGL654128:PGL654217 OWP654128:OWP654217 OMT654128:OMT654217 OCX654128:OCX654217 NTB654128:NTB654217 NJF654128:NJF654217 MZJ654128:MZJ654217 MPN654128:MPN654217 MFR654128:MFR654217 LVV654128:LVV654217 LLZ654128:LLZ654217 LCD654128:LCD654217 KSH654128:KSH654217 KIL654128:KIL654217 JYP654128:JYP654217 JOT654128:JOT654217 JEX654128:JEX654217 IVB654128:IVB654217 ILF654128:ILF654217 IBJ654128:IBJ654217 HRN654128:HRN654217 HHR654128:HHR654217 GXV654128:GXV654217 GNZ654128:GNZ654217 GED654128:GED654217 FUH654128:FUH654217 FKL654128:FKL654217 FAP654128:FAP654217 EQT654128:EQT654217 EGX654128:EGX654217 DXB654128:DXB654217 DNF654128:DNF654217 DDJ654128:DDJ654217 CTN654128:CTN654217 CJR654128:CJR654217 BZV654128:BZV654217 BPZ654128:BPZ654217 BGD654128:BGD654217 AWH654128:AWH654217 AML654128:AML654217 ACP654128:ACP654217 ST654128:ST654217 IX654128:IX654217 B654134:B654223 WVJ588592:WVJ588681 WLN588592:WLN588681 WBR588592:WBR588681 VRV588592:VRV588681 VHZ588592:VHZ588681 UYD588592:UYD588681 UOH588592:UOH588681 UEL588592:UEL588681 TUP588592:TUP588681 TKT588592:TKT588681 TAX588592:TAX588681 SRB588592:SRB588681 SHF588592:SHF588681 RXJ588592:RXJ588681 RNN588592:RNN588681 RDR588592:RDR588681 QTV588592:QTV588681 QJZ588592:QJZ588681 QAD588592:QAD588681 PQH588592:PQH588681 PGL588592:PGL588681 OWP588592:OWP588681 OMT588592:OMT588681 OCX588592:OCX588681 NTB588592:NTB588681 NJF588592:NJF588681 MZJ588592:MZJ588681 MPN588592:MPN588681 MFR588592:MFR588681 LVV588592:LVV588681 LLZ588592:LLZ588681 LCD588592:LCD588681 KSH588592:KSH588681 KIL588592:KIL588681 JYP588592:JYP588681 JOT588592:JOT588681 JEX588592:JEX588681 IVB588592:IVB588681 ILF588592:ILF588681 IBJ588592:IBJ588681 HRN588592:HRN588681 HHR588592:HHR588681 GXV588592:GXV588681 GNZ588592:GNZ588681 GED588592:GED588681 FUH588592:FUH588681 FKL588592:FKL588681 FAP588592:FAP588681 EQT588592:EQT588681 EGX588592:EGX588681 DXB588592:DXB588681 DNF588592:DNF588681 DDJ588592:DDJ588681 CTN588592:CTN588681 CJR588592:CJR588681 BZV588592:BZV588681 BPZ588592:BPZ588681 BGD588592:BGD588681 AWH588592:AWH588681 AML588592:AML588681 ACP588592:ACP588681 ST588592:ST588681 IX588592:IX588681 B588598:B588687 WVJ523056:WVJ523145 WLN523056:WLN523145 WBR523056:WBR523145 VRV523056:VRV523145 VHZ523056:VHZ523145 UYD523056:UYD523145 UOH523056:UOH523145 UEL523056:UEL523145 TUP523056:TUP523145 TKT523056:TKT523145 TAX523056:TAX523145 SRB523056:SRB523145 SHF523056:SHF523145 RXJ523056:RXJ523145 RNN523056:RNN523145 RDR523056:RDR523145 QTV523056:QTV523145 QJZ523056:QJZ523145 QAD523056:QAD523145 PQH523056:PQH523145 PGL523056:PGL523145 OWP523056:OWP523145 OMT523056:OMT523145 OCX523056:OCX523145 NTB523056:NTB523145 NJF523056:NJF523145 MZJ523056:MZJ523145 MPN523056:MPN523145 MFR523056:MFR523145 LVV523056:LVV523145 LLZ523056:LLZ523145 LCD523056:LCD523145 KSH523056:KSH523145 KIL523056:KIL523145 JYP523056:JYP523145 JOT523056:JOT523145 JEX523056:JEX523145 IVB523056:IVB523145 ILF523056:ILF523145 IBJ523056:IBJ523145 HRN523056:HRN523145 HHR523056:HHR523145 GXV523056:GXV523145 GNZ523056:GNZ523145 GED523056:GED523145 FUH523056:FUH523145 FKL523056:FKL523145 FAP523056:FAP523145 EQT523056:EQT523145 EGX523056:EGX523145 DXB523056:DXB523145 DNF523056:DNF523145 DDJ523056:DDJ523145 CTN523056:CTN523145 CJR523056:CJR523145 BZV523056:BZV523145 BPZ523056:BPZ523145 BGD523056:BGD523145 AWH523056:AWH523145 AML523056:AML523145 ACP523056:ACP523145 ST523056:ST523145 IX523056:IX523145 B523062:B523151 WVJ457520:WVJ457609 WLN457520:WLN457609 WBR457520:WBR457609 VRV457520:VRV457609 VHZ457520:VHZ457609 UYD457520:UYD457609 UOH457520:UOH457609 UEL457520:UEL457609 TUP457520:TUP457609 TKT457520:TKT457609 TAX457520:TAX457609 SRB457520:SRB457609 SHF457520:SHF457609 RXJ457520:RXJ457609 RNN457520:RNN457609 RDR457520:RDR457609 QTV457520:QTV457609 QJZ457520:QJZ457609 QAD457520:QAD457609 PQH457520:PQH457609 PGL457520:PGL457609 OWP457520:OWP457609 OMT457520:OMT457609 OCX457520:OCX457609 NTB457520:NTB457609 NJF457520:NJF457609 MZJ457520:MZJ457609 MPN457520:MPN457609 MFR457520:MFR457609 LVV457520:LVV457609 LLZ457520:LLZ457609 LCD457520:LCD457609 KSH457520:KSH457609 KIL457520:KIL457609 JYP457520:JYP457609 JOT457520:JOT457609 JEX457520:JEX457609 IVB457520:IVB457609 ILF457520:ILF457609 IBJ457520:IBJ457609 HRN457520:HRN457609 HHR457520:HHR457609 GXV457520:GXV457609 GNZ457520:GNZ457609 GED457520:GED457609 FUH457520:FUH457609 FKL457520:FKL457609 FAP457520:FAP457609 EQT457520:EQT457609 EGX457520:EGX457609 DXB457520:DXB457609 DNF457520:DNF457609 DDJ457520:DDJ457609 CTN457520:CTN457609 CJR457520:CJR457609 BZV457520:BZV457609 BPZ457520:BPZ457609 BGD457520:BGD457609 AWH457520:AWH457609 AML457520:AML457609 ACP457520:ACP457609 ST457520:ST457609 IX457520:IX457609 B457526:B457615 WVJ391984:WVJ392073 WLN391984:WLN392073 WBR391984:WBR392073 VRV391984:VRV392073 VHZ391984:VHZ392073 UYD391984:UYD392073 UOH391984:UOH392073 UEL391984:UEL392073 TUP391984:TUP392073 TKT391984:TKT392073 TAX391984:TAX392073 SRB391984:SRB392073 SHF391984:SHF392073 RXJ391984:RXJ392073 RNN391984:RNN392073 RDR391984:RDR392073 QTV391984:QTV392073 QJZ391984:QJZ392073 QAD391984:QAD392073 PQH391984:PQH392073 PGL391984:PGL392073 OWP391984:OWP392073 OMT391984:OMT392073 OCX391984:OCX392073 NTB391984:NTB392073 NJF391984:NJF392073 MZJ391984:MZJ392073 MPN391984:MPN392073 MFR391984:MFR392073 LVV391984:LVV392073 LLZ391984:LLZ392073 LCD391984:LCD392073 KSH391984:KSH392073 KIL391984:KIL392073 JYP391984:JYP392073 JOT391984:JOT392073 JEX391984:JEX392073 IVB391984:IVB392073 ILF391984:ILF392073 IBJ391984:IBJ392073 HRN391984:HRN392073 HHR391984:HHR392073 GXV391984:GXV392073 GNZ391984:GNZ392073 GED391984:GED392073 FUH391984:FUH392073 FKL391984:FKL392073 FAP391984:FAP392073 EQT391984:EQT392073 EGX391984:EGX392073 DXB391984:DXB392073 DNF391984:DNF392073 DDJ391984:DDJ392073 CTN391984:CTN392073 CJR391984:CJR392073 BZV391984:BZV392073 BPZ391984:BPZ392073 BGD391984:BGD392073 AWH391984:AWH392073 AML391984:AML392073 ACP391984:ACP392073 ST391984:ST392073 IX391984:IX392073 B391990:B392079 WVJ326448:WVJ326537 WLN326448:WLN326537 WBR326448:WBR326537 VRV326448:VRV326537 VHZ326448:VHZ326537 UYD326448:UYD326537 UOH326448:UOH326537 UEL326448:UEL326537 TUP326448:TUP326537 TKT326448:TKT326537 TAX326448:TAX326537 SRB326448:SRB326537 SHF326448:SHF326537 RXJ326448:RXJ326537 RNN326448:RNN326537 RDR326448:RDR326537 QTV326448:QTV326537 QJZ326448:QJZ326537 QAD326448:QAD326537 PQH326448:PQH326537 PGL326448:PGL326537 OWP326448:OWP326537 OMT326448:OMT326537 OCX326448:OCX326537 NTB326448:NTB326537 NJF326448:NJF326537 MZJ326448:MZJ326537 MPN326448:MPN326537 MFR326448:MFR326537 LVV326448:LVV326537 LLZ326448:LLZ326537 LCD326448:LCD326537 KSH326448:KSH326537 KIL326448:KIL326537 JYP326448:JYP326537 JOT326448:JOT326537 JEX326448:JEX326537 IVB326448:IVB326537 ILF326448:ILF326537 IBJ326448:IBJ326537 HRN326448:HRN326537 HHR326448:HHR326537 GXV326448:GXV326537 GNZ326448:GNZ326537 GED326448:GED326537 FUH326448:FUH326537 FKL326448:FKL326537 FAP326448:FAP326537 EQT326448:EQT326537 EGX326448:EGX326537 DXB326448:DXB326537 DNF326448:DNF326537 DDJ326448:DDJ326537 CTN326448:CTN326537 CJR326448:CJR326537 BZV326448:BZV326537 BPZ326448:BPZ326537 BGD326448:BGD326537 AWH326448:AWH326537 AML326448:AML326537 ACP326448:ACP326537 ST326448:ST326537 IX326448:IX326537 B326454:B326543 WVJ260912:WVJ261001 WLN260912:WLN261001 WBR260912:WBR261001 VRV260912:VRV261001 VHZ260912:VHZ261001 UYD260912:UYD261001 UOH260912:UOH261001 UEL260912:UEL261001 TUP260912:TUP261001 TKT260912:TKT261001 TAX260912:TAX261001 SRB260912:SRB261001 SHF260912:SHF261001 RXJ260912:RXJ261001 RNN260912:RNN261001 RDR260912:RDR261001 QTV260912:QTV261001 QJZ260912:QJZ261001 QAD260912:QAD261001 PQH260912:PQH261001 PGL260912:PGL261001 OWP260912:OWP261001 OMT260912:OMT261001 OCX260912:OCX261001 NTB260912:NTB261001 NJF260912:NJF261001 MZJ260912:MZJ261001 MPN260912:MPN261001 MFR260912:MFR261001 LVV260912:LVV261001 LLZ260912:LLZ261001 LCD260912:LCD261001 KSH260912:KSH261001 KIL260912:KIL261001 JYP260912:JYP261001 JOT260912:JOT261001 JEX260912:JEX261001 IVB260912:IVB261001 ILF260912:ILF261001 IBJ260912:IBJ261001 HRN260912:HRN261001 HHR260912:HHR261001 GXV260912:GXV261001 GNZ260912:GNZ261001 GED260912:GED261001 FUH260912:FUH261001 FKL260912:FKL261001 FAP260912:FAP261001 EQT260912:EQT261001 EGX260912:EGX261001 DXB260912:DXB261001 DNF260912:DNF261001 DDJ260912:DDJ261001 CTN260912:CTN261001 CJR260912:CJR261001 BZV260912:BZV261001 BPZ260912:BPZ261001 BGD260912:BGD261001 AWH260912:AWH261001 AML260912:AML261001 ACP260912:ACP261001 ST260912:ST261001 IX260912:IX261001 B260918:B261007 WVJ195376:WVJ195465 WLN195376:WLN195465 WBR195376:WBR195465 VRV195376:VRV195465 VHZ195376:VHZ195465 UYD195376:UYD195465 UOH195376:UOH195465 UEL195376:UEL195465 TUP195376:TUP195465 TKT195376:TKT195465 TAX195376:TAX195465 SRB195376:SRB195465 SHF195376:SHF195465 RXJ195376:RXJ195465 RNN195376:RNN195465 RDR195376:RDR195465 QTV195376:QTV195465 QJZ195376:QJZ195465 QAD195376:QAD195465 PQH195376:PQH195465 PGL195376:PGL195465 OWP195376:OWP195465 OMT195376:OMT195465 OCX195376:OCX195465 NTB195376:NTB195465 NJF195376:NJF195465 MZJ195376:MZJ195465 MPN195376:MPN195465 MFR195376:MFR195465 LVV195376:LVV195465 LLZ195376:LLZ195465 LCD195376:LCD195465 KSH195376:KSH195465 KIL195376:KIL195465 JYP195376:JYP195465 JOT195376:JOT195465 JEX195376:JEX195465 IVB195376:IVB195465 ILF195376:ILF195465 IBJ195376:IBJ195465 HRN195376:HRN195465 HHR195376:HHR195465 GXV195376:GXV195465 GNZ195376:GNZ195465 GED195376:GED195465 FUH195376:FUH195465 FKL195376:FKL195465 FAP195376:FAP195465 EQT195376:EQT195465 EGX195376:EGX195465 DXB195376:DXB195465 DNF195376:DNF195465 DDJ195376:DDJ195465 CTN195376:CTN195465 CJR195376:CJR195465 BZV195376:BZV195465 BPZ195376:BPZ195465 BGD195376:BGD195465 AWH195376:AWH195465 AML195376:AML195465 ACP195376:ACP195465 ST195376:ST195465 IX195376:IX195465 B195382:B195471 WVJ129840:WVJ129929 WLN129840:WLN129929 WBR129840:WBR129929 VRV129840:VRV129929 VHZ129840:VHZ129929 UYD129840:UYD129929 UOH129840:UOH129929 UEL129840:UEL129929 TUP129840:TUP129929 TKT129840:TKT129929 TAX129840:TAX129929 SRB129840:SRB129929 SHF129840:SHF129929 RXJ129840:RXJ129929 RNN129840:RNN129929 RDR129840:RDR129929 QTV129840:QTV129929 QJZ129840:QJZ129929 QAD129840:QAD129929 PQH129840:PQH129929 PGL129840:PGL129929 OWP129840:OWP129929 OMT129840:OMT129929 OCX129840:OCX129929 NTB129840:NTB129929 NJF129840:NJF129929 MZJ129840:MZJ129929 MPN129840:MPN129929 MFR129840:MFR129929 LVV129840:LVV129929 LLZ129840:LLZ129929 LCD129840:LCD129929 KSH129840:KSH129929 KIL129840:KIL129929 JYP129840:JYP129929 JOT129840:JOT129929 JEX129840:JEX129929 IVB129840:IVB129929 ILF129840:ILF129929 IBJ129840:IBJ129929 HRN129840:HRN129929 HHR129840:HHR129929 GXV129840:GXV129929 GNZ129840:GNZ129929 GED129840:GED129929 FUH129840:FUH129929 FKL129840:FKL129929 FAP129840:FAP129929 EQT129840:EQT129929 EGX129840:EGX129929 DXB129840:DXB129929 DNF129840:DNF129929 DDJ129840:DDJ129929 CTN129840:CTN129929 CJR129840:CJR129929 BZV129840:BZV129929 BPZ129840:BPZ129929 BGD129840:BGD129929 AWH129840:AWH129929 AML129840:AML129929 ACP129840:ACP129929 ST129840:ST129929 IX129840:IX129929 B129846:B129935 WVJ64304:WVJ64393 WLN64304:WLN64393 WBR64304:WBR64393 VRV64304:VRV64393 VHZ64304:VHZ64393 UYD64304:UYD64393 UOH64304:UOH64393 UEL64304:UEL64393 TUP64304:TUP64393 TKT64304:TKT64393 TAX64304:TAX64393 SRB64304:SRB64393 SHF64304:SHF64393 RXJ64304:RXJ64393 RNN64304:RNN64393 RDR64304:RDR64393 QTV64304:QTV64393 QJZ64304:QJZ64393 QAD64304:QAD64393 PQH64304:PQH64393 PGL64304:PGL64393 OWP64304:OWP64393 OMT64304:OMT64393 OCX64304:OCX64393 NTB64304:NTB64393 NJF64304:NJF64393 MZJ64304:MZJ64393 MPN64304:MPN64393 MFR64304:MFR64393 LVV64304:LVV64393 LLZ64304:LLZ64393 LCD64304:LCD64393 KSH64304:KSH64393 KIL64304:KIL64393 JYP64304:JYP64393 JOT64304:JOT64393 JEX64304:JEX64393 IVB64304:IVB64393 ILF64304:ILF64393 IBJ64304:IBJ64393 HRN64304:HRN64393 HHR64304:HHR64393 GXV64304:GXV64393 GNZ64304:GNZ64393 GED64304:GED64393 FUH64304:FUH64393 FKL64304:FKL64393 FAP64304:FAP64393 EQT64304:EQT64393 EGX64304:EGX64393 DXB64304:DXB64393 DNF64304:DNF64393 DDJ64304:DDJ64393 CTN64304:CTN64393 CJR64304:CJR64393 BZV64304:BZV64393 BPZ64304:BPZ64393 BGD64304:BGD64393 AWH64304:AWH64393 AML64304:AML64393 ACP64304:ACP64393 ST64304:ST64393 IX64304:IX64393 B64310:B64399 B99:B115 IX2:IX76 WVJ2:WVJ76 WLN2:WLN76 WBR2:WBR76 VRV2:VRV76 VHZ2:VHZ76 UYD2:UYD76 UOH2:UOH76 UEL2:UEL76 TUP2:TUP76 TKT2:TKT76 TAX2:TAX76 SRB2:SRB76 SHF2:SHF76 RXJ2:RXJ76 RNN2:RNN76 RDR2:RDR76 QTV2:QTV76 QJZ2:QJZ76 QAD2:QAD76 PQH2:PQH76 PGL2:PGL76 OWP2:OWP76 OMT2:OMT76 OCX2:OCX76 NTB2:NTB76 NJF2:NJF76 MZJ2:MZJ76 MPN2:MPN76 MFR2:MFR76 LVV2:LVV76 LLZ2:LLZ76 LCD2:LCD76 KSH2:KSH76 KIL2:KIL76 JYP2:JYP76 JOT2:JOT76 JEX2:JEX76 IVB2:IVB76 ILF2:ILF76 IBJ2:IBJ76 HRN2:HRN76 HHR2:HHR76 GXV2:GXV76 GNZ2:GNZ76 GED2:GED76 FUH2:FUH76 FKL2:FKL76 FAP2:FAP76 EQT2:EQT76 EGX2:EGX76 DXB2:DXB76 DNF2:DNF76 DDJ2:DDJ76 CTN2:CTN76 CJR2:CJR76 BZV2:BZV76 BPZ2:BPZ76 BGD2:BGD76 AWH2:AWH76 AML2:AML76 ACP2:ACP76 ST2:ST76 B2:B97" xr:uid="{4C53AB9C-288E-4963-81DE-1156BDF0D870}"/>
    <dataValidation type="list" allowBlank="1" showInputMessage="1" showErrorMessage="1" sqref="WVI981808:WVI981897 WLM981808:WLM981897 A64310:A64399 IW64304:IW64393 SS64304:SS64393 ACO64304:ACO64393 AMK64304:AMK64393 AWG64304:AWG64393 BGC64304:BGC64393 BPY64304:BPY64393 BZU64304:BZU64393 CJQ64304:CJQ64393 CTM64304:CTM64393 DDI64304:DDI64393 DNE64304:DNE64393 DXA64304:DXA64393 EGW64304:EGW64393 EQS64304:EQS64393 FAO64304:FAO64393 FKK64304:FKK64393 FUG64304:FUG64393 GEC64304:GEC64393 GNY64304:GNY64393 GXU64304:GXU64393 HHQ64304:HHQ64393 HRM64304:HRM64393 IBI64304:IBI64393 ILE64304:ILE64393 IVA64304:IVA64393 JEW64304:JEW64393 JOS64304:JOS64393 JYO64304:JYO64393 KIK64304:KIK64393 KSG64304:KSG64393 LCC64304:LCC64393 LLY64304:LLY64393 LVU64304:LVU64393 MFQ64304:MFQ64393 MPM64304:MPM64393 MZI64304:MZI64393 NJE64304:NJE64393 NTA64304:NTA64393 OCW64304:OCW64393 OMS64304:OMS64393 OWO64304:OWO64393 PGK64304:PGK64393 PQG64304:PQG64393 QAC64304:QAC64393 QJY64304:QJY64393 QTU64304:QTU64393 RDQ64304:RDQ64393 RNM64304:RNM64393 RXI64304:RXI64393 SHE64304:SHE64393 SRA64304:SRA64393 TAW64304:TAW64393 TKS64304:TKS64393 TUO64304:TUO64393 UEK64304:UEK64393 UOG64304:UOG64393 UYC64304:UYC64393 VHY64304:VHY64393 VRU64304:VRU64393 WBQ64304:WBQ64393 WLM64304:WLM64393 WVI64304:WVI64393 A129846:A129935 IW129840:IW129929 SS129840:SS129929 ACO129840:ACO129929 AMK129840:AMK129929 AWG129840:AWG129929 BGC129840:BGC129929 BPY129840:BPY129929 BZU129840:BZU129929 CJQ129840:CJQ129929 CTM129840:CTM129929 DDI129840:DDI129929 DNE129840:DNE129929 DXA129840:DXA129929 EGW129840:EGW129929 EQS129840:EQS129929 FAO129840:FAO129929 FKK129840:FKK129929 FUG129840:FUG129929 GEC129840:GEC129929 GNY129840:GNY129929 GXU129840:GXU129929 HHQ129840:HHQ129929 HRM129840:HRM129929 IBI129840:IBI129929 ILE129840:ILE129929 IVA129840:IVA129929 JEW129840:JEW129929 JOS129840:JOS129929 JYO129840:JYO129929 KIK129840:KIK129929 KSG129840:KSG129929 LCC129840:LCC129929 LLY129840:LLY129929 LVU129840:LVU129929 MFQ129840:MFQ129929 MPM129840:MPM129929 MZI129840:MZI129929 NJE129840:NJE129929 NTA129840:NTA129929 OCW129840:OCW129929 OMS129840:OMS129929 OWO129840:OWO129929 PGK129840:PGK129929 PQG129840:PQG129929 QAC129840:QAC129929 QJY129840:QJY129929 QTU129840:QTU129929 RDQ129840:RDQ129929 RNM129840:RNM129929 RXI129840:RXI129929 SHE129840:SHE129929 SRA129840:SRA129929 TAW129840:TAW129929 TKS129840:TKS129929 TUO129840:TUO129929 UEK129840:UEK129929 UOG129840:UOG129929 UYC129840:UYC129929 VHY129840:VHY129929 VRU129840:VRU129929 WBQ129840:WBQ129929 WLM129840:WLM129929 WVI129840:WVI129929 A195382:A195471 IW195376:IW195465 SS195376:SS195465 ACO195376:ACO195465 AMK195376:AMK195465 AWG195376:AWG195465 BGC195376:BGC195465 BPY195376:BPY195465 BZU195376:BZU195465 CJQ195376:CJQ195465 CTM195376:CTM195465 DDI195376:DDI195465 DNE195376:DNE195465 DXA195376:DXA195465 EGW195376:EGW195465 EQS195376:EQS195465 FAO195376:FAO195465 FKK195376:FKK195465 FUG195376:FUG195465 GEC195376:GEC195465 GNY195376:GNY195465 GXU195376:GXU195465 HHQ195376:HHQ195465 HRM195376:HRM195465 IBI195376:IBI195465 ILE195376:ILE195465 IVA195376:IVA195465 JEW195376:JEW195465 JOS195376:JOS195465 JYO195376:JYO195465 KIK195376:KIK195465 KSG195376:KSG195465 LCC195376:LCC195465 LLY195376:LLY195465 LVU195376:LVU195465 MFQ195376:MFQ195465 MPM195376:MPM195465 MZI195376:MZI195465 NJE195376:NJE195465 NTA195376:NTA195465 OCW195376:OCW195465 OMS195376:OMS195465 OWO195376:OWO195465 PGK195376:PGK195465 PQG195376:PQG195465 QAC195376:QAC195465 QJY195376:QJY195465 QTU195376:QTU195465 RDQ195376:RDQ195465 RNM195376:RNM195465 RXI195376:RXI195465 SHE195376:SHE195465 SRA195376:SRA195465 TAW195376:TAW195465 TKS195376:TKS195465 TUO195376:TUO195465 UEK195376:UEK195465 UOG195376:UOG195465 UYC195376:UYC195465 VHY195376:VHY195465 VRU195376:VRU195465 WBQ195376:WBQ195465 WLM195376:WLM195465 WVI195376:WVI195465 A260918:A261007 IW260912:IW261001 SS260912:SS261001 ACO260912:ACO261001 AMK260912:AMK261001 AWG260912:AWG261001 BGC260912:BGC261001 BPY260912:BPY261001 BZU260912:BZU261001 CJQ260912:CJQ261001 CTM260912:CTM261001 DDI260912:DDI261001 DNE260912:DNE261001 DXA260912:DXA261001 EGW260912:EGW261001 EQS260912:EQS261001 FAO260912:FAO261001 FKK260912:FKK261001 FUG260912:FUG261001 GEC260912:GEC261001 GNY260912:GNY261001 GXU260912:GXU261001 HHQ260912:HHQ261001 HRM260912:HRM261001 IBI260912:IBI261001 ILE260912:ILE261001 IVA260912:IVA261001 JEW260912:JEW261001 JOS260912:JOS261001 JYO260912:JYO261001 KIK260912:KIK261001 KSG260912:KSG261001 LCC260912:LCC261001 LLY260912:LLY261001 LVU260912:LVU261001 MFQ260912:MFQ261001 MPM260912:MPM261001 MZI260912:MZI261001 NJE260912:NJE261001 NTA260912:NTA261001 OCW260912:OCW261001 OMS260912:OMS261001 OWO260912:OWO261001 PGK260912:PGK261001 PQG260912:PQG261001 QAC260912:QAC261001 QJY260912:QJY261001 QTU260912:QTU261001 RDQ260912:RDQ261001 RNM260912:RNM261001 RXI260912:RXI261001 SHE260912:SHE261001 SRA260912:SRA261001 TAW260912:TAW261001 TKS260912:TKS261001 TUO260912:TUO261001 UEK260912:UEK261001 UOG260912:UOG261001 UYC260912:UYC261001 VHY260912:VHY261001 VRU260912:VRU261001 WBQ260912:WBQ261001 WLM260912:WLM261001 WVI260912:WVI261001 A326454:A326543 IW326448:IW326537 SS326448:SS326537 ACO326448:ACO326537 AMK326448:AMK326537 AWG326448:AWG326537 BGC326448:BGC326537 BPY326448:BPY326537 BZU326448:BZU326537 CJQ326448:CJQ326537 CTM326448:CTM326537 DDI326448:DDI326537 DNE326448:DNE326537 DXA326448:DXA326537 EGW326448:EGW326537 EQS326448:EQS326537 FAO326448:FAO326537 FKK326448:FKK326537 FUG326448:FUG326537 GEC326448:GEC326537 GNY326448:GNY326537 GXU326448:GXU326537 HHQ326448:HHQ326537 HRM326448:HRM326537 IBI326448:IBI326537 ILE326448:ILE326537 IVA326448:IVA326537 JEW326448:JEW326537 JOS326448:JOS326537 JYO326448:JYO326537 KIK326448:KIK326537 KSG326448:KSG326537 LCC326448:LCC326537 LLY326448:LLY326537 LVU326448:LVU326537 MFQ326448:MFQ326537 MPM326448:MPM326537 MZI326448:MZI326537 NJE326448:NJE326537 NTA326448:NTA326537 OCW326448:OCW326537 OMS326448:OMS326537 OWO326448:OWO326537 PGK326448:PGK326537 PQG326448:PQG326537 QAC326448:QAC326537 QJY326448:QJY326537 QTU326448:QTU326537 RDQ326448:RDQ326537 RNM326448:RNM326537 RXI326448:RXI326537 SHE326448:SHE326537 SRA326448:SRA326537 TAW326448:TAW326537 TKS326448:TKS326537 TUO326448:TUO326537 UEK326448:UEK326537 UOG326448:UOG326537 UYC326448:UYC326537 VHY326448:VHY326537 VRU326448:VRU326537 WBQ326448:WBQ326537 WLM326448:WLM326537 WVI326448:WVI326537 A391990:A392079 IW391984:IW392073 SS391984:SS392073 ACO391984:ACO392073 AMK391984:AMK392073 AWG391984:AWG392073 BGC391984:BGC392073 BPY391984:BPY392073 BZU391984:BZU392073 CJQ391984:CJQ392073 CTM391984:CTM392073 DDI391984:DDI392073 DNE391984:DNE392073 DXA391984:DXA392073 EGW391984:EGW392073 EQS391984:EQS392073 FAO391984:FAO392073 FKK391984:FKK392073 FUG391984:FUG392073 GEC391984:GEC392073 GNY391984:GNY392073 GXU391984:GXU392073 HHQ391984:HHQ392073 HRM391984:HRM392073 IBI391984:IBI392073 ILE391984:ILE392073 IVA391984:IVA392073 JEW391984:JEW392073 JOS391984:JOS392073 JYO391984:JYO392073 KIK391984:KIK392073 KSG391984:KSG392073 LCC391984:LCC392073 LLY391984:LLY392073 LVU391984:LVU392073 MFQ391984:MFQ392073 MPM391984:MPM392073 MZI391984:MZI392073 NJE391984:NJE392073 NTA391984:NTA392073 OCW391984:OCW392073 OMS391984:OMS392073 OWO391984:OWO392073 PGK391984:PGK392073 PQG391984:PQG392073 QAC391984:QAC392073 QJY391984:QJY392073 QTU391984:QTU392073 RDQ391984:RDQ392073 RNM391984:RNM392073 RXI391984:RXI392073 SHE391984:SHE392073 SRA391984:SRA392073 TAW391984:TAW392073 TKS391984:TKS392073 TUO391984:TUO392073 UEK391984:UEK392073 UOG391984:UOG392073 UYC391984:UYC392073 VHY391984:VHY392073 VRU391984:VRU392073 WBQ391984:WBQ392073 WLM391984:WLM392073 WVI391984:WVI392073 A457526:A457615 IW457520:IW457609 SS457520:SS457609 ACO457520:ACO457609 AMK457520:AMK457609 AWG457520:AWG457609 BGC457520:BGC457609 BPY457520:BPY457609 BZU457520:BZU457609 CJQ457520:CJQ457609 CTM457520:CTM457609 DDI457520:DDI457609 DNE457520:DNE457609 DXA457520:DXA457609 EGW457520:EGW457609 EQS457520:EQS457609 FAO457520:FAO457609 FKK457520:FKK457609 FUG457520:FUG457609 GEC457520:GEC457609 GNY457520:GNY457609 GXU457520:GXU457609 HHQ457520:HHQ457609 HRM457520:HRM457609 IBI457520:IBI457609 ILE457520:ILE457609 IVA457520:IVA457609 JEW457520:JEW457609 JOS457520:JOS457609 JYO457520:JYO457609 KIK457520:KIK457609 KSG457520:KSG457609 LCC457520:LCC457609 LLY457520:LLY457609 LVU457520:LVU457609 MFQ457520:MFQ457609 MPM457520:MPM457609 MZI457520:MZI457609 NJE457520:NJE457609 NTA457520:NTA457609 OCW457520:OCW457609 OMS457520:OMS457609 OWO457520:OWO457609 PGK457520:PGK457609 PQG457520:PQG457609 QAC457520:QAC457609 QJY457520:QJY457609 QTU457520:QTU457609 RDQ457520:RDQ457609 RNM457520:RNM457609 RXI457520:RXI457609 SHE457520:SHE457609 SRA457520:SRA457609 TAW457520:TAW457609 TKS457520:TKS457609 TUO457520:TUO457609 UEK457520:UEK457609 UOG457520:UOG457609 UYC457520:UYC457609 VHY457520:VHY457609 VRU457520:VRU457609 WBQ457520:WBQ457609 WLM457520:WLM457609 WVI457520:WVI457609 A523062:A523151 IW523056:IW523145 SS523056:SS523145 ACO523056:ACO523145 AMK523056:AMK523145 AWG523056:AWG523145 BGC523056:BGC523145 BPY523056:BPY523145 BZU523056:BZU523145 CJQ523056:CJQ523145 CTM523056:CTM523145 DDI523056:DDI523145 DNE523056:DNE523145 DXA523056:DXA523145 EGW523056:EGW523145 EQS523056:EQS523145 FAO523056:FAO523145 FKK523056:FKK523145 FUG523056:FUG523145 GEC523056:GEC523145 GNY523056:GNY523145 GXU523056:GXU523145 HHQ523056:HHQ523145 HRM523056:HRM523145 IBI523056:IBI523145 ILE523056:ILE523145 IVA523056:IVA523145 JEW523056:JEW523145 JOS523056:JOS523145 JYO523056:JYO523145 KIK523056:KIK523145 KSG523056:KSG523145 LCC523056:LCC523145 LLY523056:LLY523145 LVU523056:LVU523145 MFQ523056:MFQ523145 MPM523056:MPM523145 MZI523056:MZI523145 NJE523056:NJE523145 NTA523056:NTA523145 OCW523056:OCW523145 OMS523056:OMS523145 OWO523056:OWO523145 PGK523056:PGK523145 PQG523056:PQG523145 QAC523056:QAC523145 QJY523056:QJY523145 QTU523056:QTU523145 RDQ523056:RDQ523145 RNM523056:RNM523145 RXI523056:RXI523145 SHE523056:SHE523145 SRA523056:SRA523145 TAW523056:TAW523145 TKS523056:TKS523145 TUO523056:TUO523145 UEK523056:UEK523145 UOG523056:UOG523145 UYC523056:UYC523145 VHY523056:VHY523145 VRU523056:VRU523145 WBQ523056:WBQ523145 WLM523056:WLM523145 WVI523056:WVI523145 A588598:A588687 IW588592:IW588681 SS588592:SS588681 ACO588592:ACO588681 AMK588592:AMK588681 AWG588592:AWG588681 BGC588592:BGC588681 BPY588592:BPY588681 BZU588592:BZU588681 CJQ588592:CJQ588681 CTM588592:CTM588681 DDI588592:DDI588681 DNE588592:DNE588681 DXA588592:DXA588681 EGW588592:EGW588681 EQS588592:EQS588681 FAO588592:FAO588681 FKK588592:FKK588681 FUG588592:FUG588681 GEC588592:GEC588681 GNY588592:GNY588681 GXU588592:GXU588681 HHQ588592:HHQ588681 HRM588592:HRM588681 IBI588592:IBI588681 ILE588592:ILE588681 IVA588592:IVA588681 JEW588592:JEW588681 JOS588592:JOS588681 JYO588592:JYO588681 KIK588592:KIK588681 KSG588592:KSG588681 LCC588592:LCC588681 LLY588592:LLY588681 LVU588592:LVU588681 MFQ588592:MFQ588681 MPM588592:MPM588681 MZI588592:MZI588681 NJE588592:NJE588681 NTA588592:NTA588681 OCW588592:OCW588681 OMS588592:OMS588681 OWO588592:OWO588681 PGK588592:PGK588681 PQG588592:PQG588681 QAC588592:QAC588681 QJY588592:QJY588681 QTU588592:QTU588681 RDQ588592:RDQ588681 RNM588592:RNM588681 RXI588592:RXI588681 SHE588592:SHE588681 SRA588592:SRA588681 TAW588592:TAW588681 TKS588592:TKS588681 TUO588592:TUO588681 UEK588592:UEK588681 UOG588592:UOG588681 UYC588592:UYC588681 VHY588592:VHY588681 VRU588592:VRU588681 WBQ588592:WBQ588681 WLM588592:WLM588681 WVI588592:WVI588681 A654134:A654223 IW654128:IW654217 SS654128:SS654217 ACO654128:ACO654217 AMK654128:AMK654217 AWG654128:AWG654217 BGC654128:BGC654217 BPY654128:BPY654217 BZU654128:BZU654217 CJQ654128:CJQ654217 CTM654128:CTM654217 DDI654128:DDI654217 DNE654128:DNE654217 DXA654128:DXA654217 EGW654128:EGW654217 EQS654128:EQS654217 FAO654128:FAO654217 FKK654128:FKK654217 FUG654128:FUG654217 GEC654128:GEC654217 GNY654128:GNY654217 GXU654128:GXU654217 HHQ654128:HHQ654217 HRM654128:HRM654217 IBI654128:IBI654217 ILE654128:ILE654217 IVA654128:IVA654217 JEW654128:JEW654217 JOS654128:JOS654217 JYO654128:JYO654217 KIK654128:KIK654217 KSG654128:KSG654217 LCC654128:LCC654217 LLY654128:LLY654217 LVU654128:LVU654217 MFQ654128:MFQ654217 MPM654128:MPM654217 MZI654128:MZI654217 NJE654128:NJE654217 NTA654128:NTA654217 OCW654128:OCW654217 OMS654128:OMS654217 OWO654128:OWO654217 PGK654128:PGK654217 PQG654128:PQG654217 QAC654128:QAC654217 QJY654128:QJY654217 QTU654128:QTU654217 RDQ654128:RDQ654217 RNM654128:RNM654217 RXI654128:RXI654217 SHE654128:SHE654217 SRA654128:SRA654217 TAW654128:TAW654217 TKS654128:TKS654217 TUO654128:TUO654217 UEK654128:UEK654217 UOG654128:UOG654217 UYC654128:UYC654217 VHY654128:VHY654217 VRU654128:VRU654217 WBQ654128:WBQ654217 WLM654128:WLM654217 WVI654128:WVI654217 A719670:A719759 IW719664:IW719753 SS719664:SS719753 ACO719664:ACO719753 AMK719664:AMK719753 AWG719664:AWG719753 BGC719664:BGC719753 BPY719664:BPY719753 BZU719664:BZU719753 CJQ719664:CJQ719753 CTM719664:CTM719753 DDI719664:DDI719753 DNE719664:DNE719753 DXA719664:DXA719753 EGW719664:EGW719753 EQS719664:EQS719753 FAO719664:FAO719753 FKK719664:FKK719753 FUG719664:FUG719753 GEC719664:GEC719753 GNY719664:GNY719753 GXU719664:GXU719753 HHQ719664:HHQ719753 HRM719664:HRM719753 IBI719664:IBI719753 ILE719664:ILE719753 IVA719664:IVA719753 JEW719664:JEW719753 JOS719664:JOS719753 JYO719664:JYO719753 KIK719664:KIK719753 KSG719664:KSG719753 LCC719664:LCC719753 LLY719664:LLY719753 LVU719664:LVU719753 MFQ719664:MFQ719753 MPM719664:MPM719753 MZI719664:MZI719753 NJE719664:NJE719753 NTA719664:NTA719753 OCW719664:OCW719753 OMS719664:OMS719753 OWO719664:OWO719753 PGK719664:PGK719753 PQG719664:PQG719753 QAC719664:QAC719753 QJY719664:QJY719753 QTU719664:QTU719753 RDQ719664:RDQ719753 RNM719664:RNM719753 RXI719664:RXI719753 SHE719664:SHE719753 SRA719664:SRA719753 TAW719664:TAW719753 TKS719664:TKS719753 TUO719664:TUO719753 UEK719664:UEK719753 UOG719664:UOG719753 UYC719664:UYC719753 VHY719664:VHY719753 VRU719664:VRU719753 WBQ719664:WBQ719753 WLM719664:WLM719753 WVI719664:WVI719753 A785206:A785295 IW785200:IW785289 SS785200:SS785289 ACO785200:ACO785289 AMK785200:AMK785289 AWG785200:AWG785289 BGC785200:BGC785289 BPY785200:BPY785289 BZU785200:BZU785289 CJQ785200:CJQ785289 CTM785200:CTM785289 DDI785200:DDI785289 DNE785200:DNE785289 DXA785200:DXA785289 EGW785200:EGW785289 EQS785200:EQS785289 FAO785200:FAO785289 FKK785200:FKK785289 FUG785200:FUG785289 GEC785200:GEC785289 GNY785200:GNY785289 GXU785200:GXU785289 HHQ785200:HHQ785289 HRM785200:HRM785289 IBI785200:IBI785289 ILE785200:ILE785289 IVA785200:IVA785289 JEW785200:JEW785289 JOS785200:JOS785289 JYO785200:JYO785289 KIK785200:KIK785289 KSG785200:KSG785289 LCC785200:LCC785289 LLY785200:LLY785289 LVU785200:LVU785289 MFQ785200:MFQ785289 MPM785200:MPM785289 MZI785200:MZI785289 NJE785200:NJE785289 NTA785200:NTA785289 OCW785200:OCW785289 OMS785200:OMS785289 OWO785200:OWO785289 PGK785200:PGK785289 PQG785200:PQG785289 QAC785200:QAC785289 QJY785200:QJY785289 QTU785200:QTU785289 RDQ785200:RDQ785289 RNM785200:RNM785289 RXI785200:RXI785289 SHE785200:SHE785289 SRA785200:SRA785289 TAW785200:TAW785289 TKS785200:TKS785289 TUO785200:TUO785289 UEK785200:UEK785289 UOG785200:UOG785289 UYC785200:UYC785289 VHY785200:VHY785289 VRU785200:VRU785289 WBQ785200:WBQ785289 WLM785200:WLM785289 WVI785200:WVI785289 A850742:A850831 IW850736:IW850825 SS850736:SS850825 ACO850736:ACO850825 AMK850736:AMK850825 AWG850736:AWG850825 BGC850736:BGC850825 BPY850736:BPY850825 BZU850736:BZU850825 CJQ850736:CJQ850825 CTM850736:CTM850825 DDI850736:DDI850825 DNE850736:DNE850825 DXA850736:DXA850825 EGW850736:EGW850825 EQS850736:EQS850825 FAO850736:FAO850825 FKK850736:FKK850825 FUG850736:FUG850825 GEC850736:GEC850825 GNY850736:GNY850825 GXU850736:GXU850825 HHQ850736:HHQ850825 HRM850736:HRM850825 IBI850736:IBI850825 ILE850736:ILE850825 IVA850736:IVA850825 JEW850736:JEW850825 JOS850736:JOS850825 JYO850736:JYO850825 KIK850736:KIK850825 KSG850736:KSG850825 LCC850736:LCC850825 LLY850736:LLY850825 LVU850736:LVU850825 MFQ850736:MFQ850825 MPM850736:MPM850825 MZI850736:MZI850825 NJE850736:NJE850825 NTA850736:NTA850825 OCW850736:OCW850825 OMS850736:OMS850825 OWO850736:OWO850825 PGK850736:PGK850825 PQG850736:PQG850825 QAC850736:QAC850825 QJY850736:QJY850825 QTU850736:QTU850825 RDQ850736:RDQ850825 RNM850736:RNM850825 RXI850736:RXI850825 SHE850736:SHE850825 SRA850736:SRA850825 TAW850736:TAW850825 TKS850736:TKS850825 TUO850736:TUO850825 UEK850736:UEK850825 UOG850736:UOG850825 UYC850736:UYC850825 VHY850736:VHY850825 VRU850736:VRU850825 WBQ850736:WBQ850825 WLM850736:WLM850825 WVI850736:WVI850825 A916278:A916367 IW916272:IW916361 SS916272:SS916361 ACO916272:ACO916361 AMK916272:AMK916361 AWG916272:AWG916361 BGC916272:BGC916361 BPY916272:BPY916361 BZU916272:BZU916361 CJQ916272:CJQ916361 CTM916272:CTM916361 DDI916272:DDI916361 DNE916272:DNE916361 DXA916272:DXA916361 EGW916272:EGW916361 EQS916272:EQS916361 FAO916272:FAO916361 FKK916272:FKK916361 FUG916272:FUG916361 GEC916272:GEC916361 GNY916272:GNY916361 GXU916272:GXU916361 HHQ916272:HHQ916361 HRM916272:HRM916361 IBI916272:IBI916361 ILE916272:ILE916361 IVA916272:IVA916361 JEW916272:JEW916361 JOS916272:JOS916361 JYO916272:JYO916361 KIK916272:KIK916361 KSG916272:KSG916361 LCC916272:LCC916361 LLY916272:LLY916361 LVU916272:LVU916361 MFQ916272:MFQ916361 MPM916272:MPM916361 MZI916272:MZI916361 NJE916272:NJE916361 NTA916272:NTA916361 OCW916272:OCW916361 OMS916272:OMS916361 OWO916272:OWO916361 PGK916272:PGK916361 PQG916272:PQG916361 QAC916272:QAC916361 QJY916272:QJY916361 QTU916272:QTU916361 RDQ916272:RDQ916361 RNM916272:RNM916361 RXI916272:RXI916361 SHE916272:SHE916361 SRA916272:SRA916361 TAW916272:TAW916361 TKS916272:TKS916361 TUO916272:TUO916361 UEK916272:UEK916361 UOG916272:UOG916361 UYC916272:UYC916361 VHY916272:VHY916361 VRU916272:VRU916361 WBQ916272:WBQ916361 WLM916272:WLM916361 WVI916272:WVI916361 A981814:A981903 IW981808:IW981897 SS981808:SS981897 ACO981808:ACO981897 AMK981808:AMK981897 AWG981808:AWG981897 BGC981808:BGC981897 BPY981808:BPY981897 BZU981808:BZU981897 CJQ981808:CJQ981897 CTM981808:CTM981897 DDI981808:DDI981897 DNE981808:DNE981897 DXA981808:DXA981897 EGW981808:EGW981897 EQS981808:EQS981897 FAO981808:FAO981897 FKK981808:FKK981897 FUG981808:FUG981897 GEC981808:GEC981897 GNY981808:GNY981897 GXU981808:GXU981897 HHQ981808:HHQ981897 HRM981808:HRM981897 IBI981808:IBI981897 ILE981808:ILE981897 IVA981808:IVA981897 JEW981808:JEW981897 JOS981808:JOS981897 JYO981808:JYO981897 KIK981808:KIK981897 KSG981808:KSG981897 LCC981808:LCC981897 LLY981808:LLY981897 LVU981808:LVU981897 MFQ981808:MFQ981897 MPM981808:MPM981897 MZI981808:MZI981897 NJE981808:NJE981897 NTA981808:NTA981897 OCW981808:OCW981897 OMS981808:OMS981897 OWO981808:OWO981897 PGK981808:PGK981897 PQG981808:PQG981897 QAC981808:QAC981897 QJY981808:QJY981897 QTU981808:QTU981897 RDQ981808:RDQ981897 RNM981808:RNM981897 RXI981808:RXI981897 SHE981808:SHE981897 SRA981808:SRA981897 TAW981808:TAW981897 TKS981808:TKS981897 TUO981808:TUO981897 UEK981808:UEK981897 UOG981808:UOG981897 UYC981808:UYC981897 VHY981808:VHY981897 VRU981808:VRU981897 WBQ981808:WBQ981897 WVI2:WVI76 WLM2:WLM76 WBQ2:WBQ76 VRU2:VRU76 VHY2:VHY76 UYC2:UYC76 UOG2:UOG76 UEK2:UEK76 TUO2:TUO76 TKS2:TKS76 TAW2:TAW76 SRA2:SRA76 SHE2:SHE76 RXI2:RXI76 RNM2:RNM76 RDQ2:RDQ76 QTU2:QTU76 QJY2:QJY76 QAC2:QAC76 PQG2:PQG76 PGK2:PGK76 OWO2:OWO76 OMS2:OMS76 OCW2:OCW76 NTA2:NTA76 NJE2:NJE76 MZI2:MZI76 MPM2:MPM76 MFQ2:MFQ76 LVU2:LVU76 LLY2:LLY76 LCC2:LCC76 KSG2:KSG76 KIK2:KIK76 JYO2:JYO76 JOS2:JOS76 JEW2:JEW76 IVA2:IVA76 ILE2:ILE76 IBI2:IBI76 HRM2:HRM76 HHQ2:HHQ76 GXU2:GXU76 GNY2:GNY76 GEC2:GEC76 FUG2:FUG76 FKK2:FKK76 FAO2:FAO76 EQS2:EQS76 EGW2:EGW76 DXA2:DXA76 DNE2:DNE76 DDI2:DDI76 CTM2:CTM76 CJQ2:CJQ76 BZU2:BZU76 BPY2:BPY76 BGC2:BGC76 AWG2:AWG76 AMK2:AMK76 ACO2:ACO76 SS2:SS76 IW2:IW76" xr:uid="{CA23F6E6-0F60-4B5A-8D05-392E20584448}">
      <formula1>$AE$2:$AE$25</formula1>
    </dataValidation>
    <dataValidation type="list" allowBlank="1" showInputMessage="1" showErrorMessage="1" sqref="WVO981808:WVO981897 WLS981808:WLS981897 WBW981808:WBW981897 VSA981808:VSA981897 VIE981808:VIE981897 UYI981808:UYI981897 UOM981808:UOM981897 UEQ981808:UEQ981897 TUU981808:TUU981897 TKY981808:TKY981897 TBC981808:TBC981897 SRG981808:SRG981897 SHK981808:SHK981897 RXO981808:RXO981897 RNS981808:RNS981897 RDW981808:RDW981897 QUA981808:QUA981897 QKE981808:QKE981897 QAI981808:QAI981897 PQM981808:PQM981897 PGQ981808:PGQ981897 OWU981808:OWU981897 OMY981808:OMY981897 ODC981808:ODC981897 NTG981808:NTG981897 NJK981808:NJK981897 MZO981808:MZO981897 MPS981808:MPS981897 MFW981808:MFW981897 LWA981808:LWA981897 LME981808:LME981897 LCI981808:LCI981897 KSM981808:KSM981897 KIQ981808:KIQ981897 JYU981808:JYU981897 JOY981808:JOY981897 JFC981808:JFC981897 IVG981808:IVG981897 ILK981808:ILK981897 IBO981808:IBO981897 HRS981808:HRS981897 HHW981808:HHW981897 GYA981808:GYA981897 GOE981808:GOE981897 GEI981808:GEI981897 FUM981808:FUM981897 FKQ981808:FKQ981897 FAU981808:FAU981897 EQY981808:EQY981897 EHC981808:EHC981897 DXG981808:DXG981897 DNK981808:DNK981897 DDO981808:DDO981897 CTS981808:CTS981897 CJW981808:CJW981897 CAA981808:CAA981897 BQE981808:BQE981897 BGI981808:BGI981897 AWM981808:AWM981897 AMQ981808:AMQ981897 ACU981808:ACU981897 SY981808:SY981897 JC981808:JC981897 G981817:G981906 WVO916272:WVO916361 WLS916272:WLS916361 WBW916272:WBW916361 VSA916272:VSA916361 VIE916272:VIE916361 UYI916272:UYI916361 UOM916272:UOM916361 UEQ916272:UEQ916361 TUU916272:TUU916361 TKY916272:TKY916361 TBC916272:TBC916361 SRG916272:SRG916361 SHK916272:SHK916361 RXO916272:RXO916361 RNS916272:RNS916361 RDW916272:RDW916361 QUA916272:QUA916361 QKE916272:QKE916361 QAI916272:QAI916361 PQM916272:PQM916361 PGQ916272:PGQ916361 OWU916272:OWU916361 OMY916272:OMY916361 ODC916272:ODC916361 NTG916272:NTG916361 NJK916272:NJK916361 MZO916272:MZO916361 MPS916272:MPS916361 MFW916272:MFW916361 LWA916272:LWA916361 LME916272:LME916361 LCI916272:LCI916361 KSM916272:KSM916361 KIQ916272:KIQ916361 JYU916272:JYU916361 JOY916272:JOY916361 JFC916272:JFC916361 IVG916272:IVG916361 ILK916272:ILK916361 IBO916272:IBO916361 HRS916272:HRS916361 HHW916272:HHW916361 GYA916272:GYA916361 GOE916272:GOE916361 GEI916272:GEI916361 FUM916272:FUM916361 FKQ916272:FKQ916361 FAU916272:FAU916361 EQY916272:EQY916361 EHC916272:EHC916361 DXG916272:DXG916361 DNK916272:DNK916361 DDO916272:DDO916361 CTS916272:CTS916361 CJW916272:CJW916361 CAA916272:CAA916361 BQE916272:BQE916361 BGI916272:BGI916361 AWM916272:AWM916361 AMQ916272:AMQ916361 ACU916272:ACU916361 SY916272:SY916361 JC916272:JC916361 G916281:G916370 WVO850736:WVO850825 WLS850736:WLS850825 WBW850736:WBW850825 VSA850736:VSA850825 VIE850736:VIE850825 UYI850736:UYI850825 UOM850736:UOM850825 UEQ850736:UEQ850825 TUU850736:TUU850825 TKY850736:TKY850825 TBC850736:TBC850825 SRG850736:SRG850825 SHK850736:SHK850825 RXO850736:RXO850825 RNS850736:RNS850825 RDW850736:RDW850825 QUA850736:QUA850825 QKE850736:QKE850825 QAI850736:QAI850825 PQM850736:PQM850825 PGQ850736:PGQ850825 OWU850736:OWU850825 OMY850736:OMY850825 ODC850736:ODC850825 NTG850736:NTG850825 NJK850736:NJK850825 MZO850736:MZO850825 MPS850736:MPS850825 MFW850736:MFW850825 LWA850736:LWA850825 LME850736:LME850825 LCI850736:LCI850825 KSM850736:KSM850825 KIQ850736:KIQ850825 JYU850736:JYU850825 JOY850736:JOY850825 JFC850736:JFC850825 IVG850736:IVG850825 ILK850736:ILK850825 IBO850736:IBO850825 HRS850736:HRS850825 HHW850736:HHW850825 GYA850736:GYA850825 GOE850736:GOE850825 GEI850736:GEI850825 FUM850736:FUM850825 FKQ850736:FKQ850825 FAU850736:FAU850825 EQY850736:EQY850825 EHC850736:EHC850825 DXG850736:DXG850825 DNK850736:DNK850825 DDO850736:DDO850825 CTS850736:CTS850825 CJW850736:CJW850825 CAA850736:CAA850825 BQE850736:BQE850825 BGI850736:BGI850825 AWM850736:AWM850825 AMQ850736:AMQ850825 ACU850736:ACU850825 SY850736:SY850825 JC850736:JC850825 G850745:G850834 WVO785200:WVO785289 WLS785200:WLS785289 WBW785200:WBW785289 VSA785200:VSA785289 VIE785200:VIE785289 UYI785200:UYI785289 UOM785200:UOM785289 UEQ785200:UEQ785289 TUU785200:TUU785289 TKY785200:TKY785289 TBC785200:TBC785289 SRG785200:SRG785289 SHK785200:SHK785289 RXO785200:RXO785289 RNS785200:RNS785289 RDW785200:RDW785289 QUA785200:QUA785289 QKE785200:QKE785289 QAI785200:QAI785289 PQM785200:PQM785289 PGQ785200:PGQ785289 OWU785200:OWU785289 OMY785200:OMY785289 ODC785200:ODC785289 NTG785200:NTG785289 NJK785200:NJK785289 MZO785200:MZO785289 MPS785200:MPS785289 MFW785200:MFW785289 LWA785200:LWA785289 LME785200:LME785289 LCI785200:LCI785289 KSM785200:KSM785289 KIQ785200:KIQ785289 JYU785200:JYU785289 JOY785200:JOY785289 JFC785200:JFC785289 IVG785200:IVG785289 ILK785200:ILK785289 IBO785200:IBO785289 HRS785200:HRS785289 HHW785200:HHW785289 GYA785200:GYA785289 GOE785200:GOE785289 GEI785200:GEI785289 FUM785200:FUM785289 FKQ785200:FKQ785289 FAU785200:FAU785289 EQY785200:EQY785289 EHC785200:EHC785289 DXG785200:DXG785289 DNK785200:DNK785289 DDO785200:DDO785289 CTS785200:CTS785289 CJW785200:CJW785289 CAA785200:CAA785289 BQE785200:BQE785289 BGI785200:BGI785289 AWM785200:AWM785289 AMQ785200:AMQ785289 ACU785200:ACU785289 SY785200:SY785289 JC785200:JC785289 G785209:G785298 WVO719664:WVO719753 WLS719664:WLS719753 WBW719664:WBW719753 VSA719664:VSA719753 VIE719664:VIE719753 UYI719664:UYI719753 UOM719664:UOM719753 UEQ719664:UEQ719753 TUU719664:TUU719753 TKY719664:TKY719753 TBC719664:TBC719753 SRG719664:SRG719753 SHK719664:SHK719753 RXO719664:RXO719753 RNS719664:RNS719753 RDW719664:RDW719753 QUA719664:QUA719753 QKE719664:QKE719753 QAI719664:QAI719753 PQM719664:PQM719753 PGQ719664:PGQ719753 OWU719664:OWU719753 OMY719664:OMY719753 ODC719664:ODC719753 NTG719664:NTG719753 NJK719664:NJK719753 MZO719664:MZO719753 MPS719664:MPS719753 MFW719664:MFW719753 LWA719664:LWA719753 LME719664:LME719753 LCI719664:LCI719753 KSM719664:KSM719753 KIQ719664:KIQ719753 JYU719664:JYU719753 JOY719664:JOY719753 JFC719664:JFC719753 IVG719664:IVG719753 ILK719664:ILK719753 IBO719664:IBO719753 HRS719664:HRS719753 HHW719664:HHW719753 GYA719664:GYA719753 GOE719664:GOE719753 GEI719664:GEI719753 FUM719664:FUM719753 FKQ719664:FKQ719753 FAU719664:FAU719753 EQY719664:EQY719753 EHC719664:EHC719753 DXG719664:DXG719753 DNK719664:DNK719753 DDO719664:DDO719753 CTS719664:CTS719753 CJW719664:CJW719753 CAA719664:CAA719753 BQE719664:BQE719753 BGI719664:BGI719753 AWM719664:AWM719753 AMQ719664:AMQ719753 ACU719664:ACU719753 SY719664:SY719753 JC719664:JC719753 G719673:G719762 WVO654128:WVO654217 WLS654128:WLS654217 WBW654128:WBW654217 VSA654128:VSA654217 VIE654128:VIE654217 UYI654128:UYI654217 UOM654128:UOM654217 UEQ654128:UEQ654217 TUU654128:TUU654217 TKY654128:TKY654217 TBC654128:TBC654217 SRG654128:SRG654217 SHK654128:SHK654217 RXO654128:RXO654217 RNS654128:RNS654217 RDW654128:RDW654217 QUA654128:QUA654217 QKE654128:QKE654217 QAI654128:QAI654217 PQM654128:PQM654217 PGQ654128:PGQ654217 OWU654128:OWU654217 OMY654128:OMY654217 ODC654128:ODC654217 NTG654128:NTG654217 NJK654128:NJK654217 MZO654128:MZO654217 MPS654128:MPS654217 MFW654128:MFW654217 LWA654128:LWA654217 LME654128:LME654217 LCI654128:LCI654217 KSM654128:KSM654217 KIQ654128:KIQ654217 JYU654128:JYU654217 JOY654128:JOY654217 JFC654128:JFC654217 IVG654128:IVG654217 ILK654128:ILK654217 IBO654128:IBO654217 HRS654128:HRS654217 HHW654128:HHW654217 GYA654128:GYA654217 GOE654128:GOE654217 GEI654128:GEI654217 FUM654128:FUM654217 FKQ654128:FKQ654217 FAU654128:FAU654217 EQY654128:EQY654217 EHC654128:EHC654217 DXG654128:DXG654217 DNK654128:DNK654217 DDO654128:DDO654217 CTS654128:CTS654217 CJW654128:CJW654217 CAA654128:CAA654217 BQE654128:BQE654217 BGI654128:BGI654217 AWM654128:AWM654217 AMQ654128:AMQ654217 ACU654128:ACU654217 SY654128:SY654217 JC654128:JC654217 G654137:G654226 WVO588592:WVO588681 WLS588592:WLS588681 WBW588592:WBW588681 VSA588592:VSA588681 VIE588592:VIE588681 UYI588592:UYI588681 UOM588592:UOM588681 UEQ588592:UEQ588681 TUU588592:TUU588681 TKY588592:TKY588681 TBC588592:TBC588681 SRG588592:SRG588681 SHK588592:SHK588681 RXO588592:RXO588681 RNS588592:RNS588681 RDW588592:RDW588681 QUA588592:QUA588681 QKE588592:QKE588681 QAI588592:QAI588681 PQM588592:PQM588681 PGQ588592:PGQ588681 OWU588592:OWU588681 OMY588592:OMY588681 ODC588592:ODC588681 NTG588592:NTG588681 NJK588592:NJK588681 MZO588592:MZO588681 MPS588592:MPS588681 MFW588592:MFW588681 LWA588592:LWA588681 LME588592:LME588681 LCI588592:LCI588681 KSM588592:KSM588681 KIQ588592:KIQ588681 JYU588592:JYU588681 JOY588592:JOY588681 JFC588592:JFC588681 IVG588592:IVG588681 ILK588592:ILK588681 IBO588592:IBO588681 HRS588592:HRS588681 HHW588592:HHW588681 GYA588592:GYA588681 GOE588592:GOE588681 GEI588592:GEI588681 FUM588592:FUM588681 FKQ588592:FKQ588681 FAU588592:FAU588681 EQY588592:EQY588681 EHC588592:EHC588681 DXG588592:DXG588681 DNK588592:DNK588681 DDO588592:DDO588681 CTS588592:CTS588681 CJW588592:CJW588681 CAA588592:CAA588681 BQE588592:BQE588681 BGI588592:BGI588681 AWM588592:AWM588681 AMQ588592:AMQ588681 ACU588592:ACU588681 SY588592:SY588681 JC588592:JC588681 G588601:G588690 WVO523056:WVO523145 WLS523056:WLS523145 WBW523056:WBW523145 VSA523056:VSA523145 VIE523056:VIE523145 UYI523056:UYI523145 UOM523056:UOM523145 UEQ523056:UEQ523145 TUU523056:TUU523145 TKY523056:TKY523145 TBC523056:TBC523145 SRG523056:SRG523145 SHK523056:SHK523145 RXO523056:RXO523145 RNS523056:RNS523145 RDW523056:RDW523145 QUA523056:QUA523145 QKE523056:QKE523145 QAI523056:QAI523145 PQM523056:PQM523145 PGQ523056:PGQ523145 OWU523056:OWU523145 OMY523056:OMY523145 ODC523056:ODC523145 NTG523056:NTG523145 NJK523056:NJK523145 MZO523056:MZO523145 MPS523056:MPS523145 MFW523056:MFW523145 LWA523056:LWA523145 LME523056:LME523145 LCI523056:LCI523145 KSM523056:KSM523145 KIQ523056:KIQ523145 JYU523056:JYU523145 JOY523056:JOY523145 JFC523056:JFC523145 IVG523056:IVG523145 ILK523056:ILK523145 IBO523056:IBO523145 HRS523056:HRS523145 HHW523056:HHW523145 GYA523056:GYA523145 GOE523056:GOE523145 GEI523056:GEI523145 FUM523056:FUM523145 FKQ523056:FKQ523145 FAU523056:FAU523145 EQY523056:EQY523145 EHC523056:EHC523145 DXG523056:DXG523145 DNK523056:DNK523145 DDO523056:DDO523145 CTS523056:CTS523145 CJW523056:CJW523145 CAA523056:CAA523145 BQE523056:BQE523145 BGI523056:BGI523145 AWM523056:AWM523145 AMQ523056:AMQ523145 ACU523056:ACU523145 SY523056:SY523145 JC523056:JC523145 G523065:G523154 WVO457520:WVO457609 WLS457520:WLS457609 WBW457520:WBW457609 VSA457520:VSA457609 VIE457520:VIE457609 UYI457520:UYI457609 UOM457520:UOM457609 UEQ457520:UEQ457609 TUU457520:TUU457609 TKY457520:TKY457609 TBC457520:TBC457609 SRG457520:SRG457609 SHK457520:SHK457609 RXO457520:RXO457609 RNS457520:RNS457609 RDW457520:RDW457609 QUA457520:QUA457609 QKE457520:QKE457609 QAI457520:QAI457609 PQM457520:PQM457609 PGQ457520:PGQ457609 OWU457520:OWU457609 OMY457520:OMY457609 ODC457520:ODC457609 NTG457520:NTG457609 NJK457520:NJK457609 MZO457520:MZO457609 MPS457520:MPS457609 MFW457520:MFW457609 LWA457520:LWA457609 LME457520:LME457609 LCI457520:LCI457609 KSM457520:KSM457609 KIQ457520:KIQ457609 JYU457520:JYU457609 JOY457520:JOY457609 JFC457520:JFC457609 IVG457520:IVG457609 ILK457520:ILK457609 IBO457520:IBO457609 HRS457520:HRS457609 HHW457520:HHW457609 GYA457520:GYA457609 GOE457520:GOE457609 GEI457520:GEI457609 FUM457520:FUM457609 FKQ457520:FKQ457609 FAU457520:FAU457609 EQY457520:EQY457609 EHC457520:EHC457609 DXG457520:DXG457609 DNK457520:DNK457609 DDO457520:DDO457609 CTS457520:CTS457609 CJW457520:CJW457609 CAA457520:CAA457609 BQE457520:BQE457609 BGI457520:BGI457609 AWM457520:AWM457609 AMQ457520:AMQ457609 ACU457520:ACU457609 SY457520:SY457609 JC457520:JC457609 G457529:G457618 WVO391984:WVO392073 WLS391984:WLS392073 WBW391984:WBW392073 VSA391984:VSA392073 VIE391984:VIE392073 UYI391984:UYI392073 UOM391984:UOM392073 UEQ391984:UEQ392073 TUU391984:TUU392073 TKY391984:TKY392073 TBC391984:TBC392073 SRG391984:SRG392073 SHK391984:SHK392073 RXO391984:RXO392073 RNS391984:RNS392073 RDW391984:RDW392073 QUA391984:QUA392073 QKE391984:QKE392073 QAI391984:QAI392073 PQM391984:PQM392073 PGQ391984:PGQ392073 OWU391984:OWU392073 OMY391984:OMY392073 ODC391984:ODC392073 NTG391984:NTG392073 NJK391984:NJK392073 MZO391984:MZO392073 MPS391984:MPS392073 MFW391984:MFW392073 LWA391984:LWA392073 LME391984:LME392073 LCI391984:LCI392073 KSM391984:KSM392073 KIQ391984:KIQ392073 JYU391984:JYU392073 JOY391984:JOY392073 JFC391984:JFC392073 IVG391984:IVG392073 ILK391984:ILK392073 IBO391984:IBO392073 HRS391984:HRS392073 HHW391984:HHW392073 GYA391984:GYA392073 GOE391984:GOE392073 GEI391984:GEI392073 FUM391984:FUM392073 FKQ391984:FKQ392073 FAU391984:FAU392073 EQY391984:EQY392073 EHC391984:EHC392073 DXG391984:DXG392073 DNK391984:DNK392073 DDO391984:DDO392073 CTS391984:CTS392073 CJW391984:CJW392073 CAA391984:CAA392073 BQE391984:BQE392073 BGI391984:BGI392073 AWM391984:AWM392073 AMQ391984:AMQ392073 ACU391984:ACU392073 SY391984:SY392073 JC391984:JC392073 G391993:G392082 WVO326448:WVO326537 WLS326448:WLS326537 WBW326448:WBW326537 VSA326448:VSA326537 VIE326448:VIE326537 UYI326448:UYI326537 UOM326448:UOM326537 UEQ326448:UEQ326537 TUU326448:TUU326537 TKY326448:TKY326537 TBC326448:TBC326537 SRG326448:SRG326537 SHK326448:SHK326537 RXO326448:RXO326537 RNS326448:RNS326537 RDW326448:RDW326537 QUA326448:QUA326537 QKE326448:QKE326537 QAI326448:QAI326537 PQM326448:PQM326537 PGQ326448:PGQ326537 OWU326448:OWU326537 OMY326448:OMY326537 ODC326448:ODC326537 NTG326448:NTG326537 NJK326448:NJK326537 MZO326448:MZO326537 MPS326448:MPS326537 MFW326448:MFW326537 LWA326448:LWA326537 LME326448:LME326537 LCI326448:LCI326537 KSM326448:KSM326537 KIQ326448:KIQ326537 JYU326448:JYU326537 JOY326448:JOY326537 JFC326448:JFC326537 IVG326448:IVG326537 ILK326448:ILK326537 IBO326448:IBO326537 HRS326448:HRS326537 HHW326448:HHW326537 GYA326448:GYA326537 GOE326448:GOE326537 GEI326448:GEI326537 FUM326448:FUM326537 FKQ326448:FKQ326537 FAU326448:FAU326537 EQY326448:EQY326537 EHC326448:EHC326537 DXG326448:DXG326537 DNK326448:DNK326537 DDO326448:DDO326537 CTS326448:CTS326537 CJW326448:CJW326537 CAA326448:CAA326537 BQE326448:BQE326537 BGI326448:BGI326537 AWM326448:AWM326537 AMQ326448:AMQ326537 ACU326448:ACU326537 SY326448:SY326537 JC326448:JC326537 G326457:G326546 WVO260912:WVO261001 WLS260912:WLS261001 WBW260912:WBW261001 VSA260912:VSA261001 VIE260912:VIE261001 UYI260912:UYI261001 UOM260912:UOM261001 UEQ260912:UEQ261001 TUU260912:TUU261001 TKY260912:TKY261001 TBC260912:TBC261001 SRG260912:SRG261001 SHK260912:SHK261001 RXO260912:RXO261001 RNS260912:RNS261001 RDW260912:RDW261001 QUA260912:QUA261001 QKE260912:QKE261001 QAI260912:QAI261001 PQM260912:PQM261001 PGQ260912:PGQ261001 OWU260912:OWU261001 OMY260912:OMY261001 ODC260912:ODC261001 NTG260912:NTG261001 NJK260912:NJK261001 MZO260912:MZO261001 MPS260912:MPS261001 MFW260912:MFW261001 LWA260912:LWA261001 LME260912:LME261001 LCI260912:LCI261001 KSM260912:KSM261001 KIQ260912:KIQ261001 JYU260912:JYU261001 JOY260912:JOY261001 JFC260912:JFC261001 IVG260912:IVG261001 ILK260912:ILK261001 IBO260912:IBO261001 HRS260912:HRS261001 HHW260912:HHW261001 GYA260912:GYA261001 GOE260912:GOE261001 GEI260912:GEI261001 FUM260912:FUM261001 FKQ260912:FKQ261001 FAU260912:FAU261001 EQY260912:EQY261001 EHC260912:EHC261001 DXG260912:DXG261001 DNK260912:DNK261001 DDO260912:DDO261001 CTS260912:CTS261001 CJW260912:CJW261001 CAA260912:CAA261001 BQE260912:BQE261001 BGI260912:BGI261001 AWM260912:AWM261001 AMQ260912:AMQ261001 ACU260912:ACU261001 SY260912:SY261001 JC260912:JC261001 G260921:G261010 WVO195376:WVO195465 WLS195376:WLS195465 WBW195376:WBW195465 VSA195376:VSA195465 VIE195376:VIE195465 UYI195376:UYI195465 UOM195376:UOM195465 UEQ195376:UEQ195465 TUU195376:TUU195465 TKY195376:TKY195465 TBC195376:TBC195465 SRG195376:SRG195465 SHK195376:SHK195465 RXO195376:RXO195465 RNS195376:RNS195465 RDW195376:RDW195465 QUA195376:QUA195465 QKE195376:QKE195465 QAI195376:QAI195465 PQM195376:PQM195465 PGQ195376:PGQ195465 OWU195376:OWU195465 OMY195376:OMY195465 ODC195376:ODC195465 NTG195376:NTG195465 NJK195376:NJK195465 MZO195376:MZO195465 MPS195376:MPS195465 MFW195376:MFW195465 LWA195376:LWA195465 LME195376:LME195465 LCI195376:LCI195465 KSM195376:KSM195465 KIQ195376:KIQ195465 JYU195376:JYU195465 JOY195376:JOY195465 JFC195376:JFC195465 IVG195376:IVG195465 ILK195376:ILK195465 IBO195376:IBO195465 HRS195376:HRS195465 HHW195376:HHW195465 GYA195376:GYA195465 GOE195376:GOE195465 GEI195376:GEI195465 FUM195376:FUM195465 FKQ195376:FKQ195465 FAU195376:FAU195465 EQY195376:EQY195465 EHC195376:EHC195465 DXG195376:DXG195465 DNK195376:DNK195465 DDO195376:DDO195465 CTS195376:CTS195465 CJW195376:CJW195465 CAA195376:CAA195465 BQE195376:BQE195465 BGI195376:BGI195465 AWM195376:AWM195465 AMQ195376:AMQ195465 ACU195376:ACU195465 SY195376:SY195465 JC195376:JC195465 G195385:G195474 WVO129840:WVO129929 WLS129840:WLS129929 WBW129840:WBW129929 VSA129840:VSA129929 VIE129840:VIE129929 UYI129840:UYI129929 UOM129840:UOM129929 UEQ129840:UEQ129929 TUU129840:TUU129929 TKY129840:TKY129929 TBC129840:TBC129929 SRG129840:SRG129929 SHK129840:SHK129929 RXO129840:RXO129929 RNS129840:RNS129929 RDW129840:RDW129929 QUA129840:QUA129929 QKE129840:QKE129929 QAI129840:QAI129929 PQM129840:PQM129929 PGQ129840:PGQ129929 OWU129840:OWU129929 OMY129840:OMY129929 ODC129840:ODC129929 NTG129840:NTG129929 NJK129840:NJK129929 MZO129840:MZO129929 MPS129840:MPS129929 MFW129840:MFW129929 LWA129840:LWA129929 LME129840:LME129929 LCI129840:LCI129929 KSM129840:KSM129929 KIQ129840:KIQ129929 JYU129840:JYU129929 JOY129840:JOY129929 JFC129840:JFC129929 IVG129840:IVG129929 ILK129840:ILK129929 IBO129840:IBO129929 HRS129840:HRS129929 HHW129840:HHW129929 GYA129840:GYA129929 GOE129840:GOE129929 GEI129840:GEI129929 FUM129840:FUM129929 FKQ129840:FKQ129929 FAU129840:FAU129929 EQY129840:EQY129929 EHC129840:EHC129929 DXG129840:DXG129929 DNK129840:DNK129929 DDO129840:DDO129929 CTS129840:CTS129929 CJW129840:CJW129929 CAA129840:CAA129929 BQE129840:BQE129929 BGI129840:BGI129929 AWM129840:AWM129929 AMQ129840:AMQ129929 ACU129840:ACU129929 SY129840:SY129929 JC129840:JC129929 G129849:G129938 WVO64304:WVO64393 WLS64304:WLS64393 WBW64304:WBW64393 VSA64304:VSA64393 VIE64304:VIE64393 UYI64304:UYI64393 UOM64304:UOM64393 UEQ64304:UEQ64393 TUU64304:TUU64393 TKY64304:TKY64393 TBC64304:TBC64393 SRG64304:SRG64393 SHK64304:SHK64393 RXO64304:RXO64393 RNS64304:RNS64393 RDW64304:RDW64393 QUA64304:QUA64393 QKE64304:QKE64393 QAI64304:QAI64393 PQM64304:PQM64393 PGQ64304:PGQ64393 OWU64304:OWU64393 OMY64304:OMY64393 ODC64304:ODC64393 NTG64304:NTG64393 NJK64304:NJK64393 MZO64304:MZO64393 MPS64304:MPS64393 MFW64304:MFW64393 LWA64304:LWA64393 LME64304:LME64393 LCI64304:LCI64393 KSM64304:KSM64393 KIQ64304:KIQ64393 JYU64304:JYU64393 JOY64304:JOY64393 JFC64304:JFC64393 IVG64304:IVG64393 ILK64304:ILK64393 IBO64304:IBO64393 HRS64304:HRS64393 HHW64304:HHW64393 GYA64304:GYA64393 GOE64304:GOE64393 GEI64304:GEI64393 FUM64304:FUM64393 FKQ64304:FKQ64393 FAU64304:FAU64393 EQY64304:EQY64393 EHC64304:EHC64393 DXG64304:DXG64393 DNK64304:DNK64393 DDO64304:DDO64393 CTS64304:CTS64393 CJW64304:CJW64393 CAA64304:CAA64393 BQE64304:BQE64393 BGI64304:BGI64393 AWM64304:AWM64393 AMQ64304:AMQ64393 ACU64304:ACU64393 SY64304:SY64393 JC64304:JC64393 G64313:G64402 G99:G503 JC2:JC76 WVO2:WVO76 WLS2:WLS76 WBW2:WBW76 VSA2:VSA76 VIE2:VIE76 UYI2:UYI76 UOM2:UOM76 UEQ2:UEQ76 TUU2:TUU76 TKY2:TKY76 TBC2:TBC76 SRG2:SRG76 SHK2:SHK76 RXO2:RXO76 RNS2:RNS76 RDW2:RDW76 QUA2:QUA76 QKE2:QKE76 QAI2:QAI76 PQM2:PQM76 PGQ2:PGQ76 OWU2:OWU76 OMY2:OMY76 ODC2:ODC76 NTG2:NTG76 NJK2:NJK76 MZO2:MZO76 MPS2:MPS76 MFW2:MFW76 LWA2:LWA76 LME2:LME76 LCI2:LCI76 KSM2:KSM76 KIQ2:KIQ76 JYU2:JYU76 JOY2:JOY76 JFC2:JFC76 IVG2:IVG76 ILK2:ILK76 IBO2:IBO76 HRS2:HRS76 HHW2:HHW76 GYA2:GYA76 GOE2:GOE76 GEI2:GEI76 FUM2:FUM76 FKQ2:FKQ76 FAU2:FAU76 EQY2:EQY76 EHC2:EHC76 DXG2:DXG76 DNK2:DNK76 DDO2:DDO76 CTS2:CTS76 CJW2:CJW76 CAA2:CAA76 BQE2:BQE76 BGI2:BGI76 AWM2:AWM76 AMQ2:AMQ76 ACU2:ACU76 SY2:SY76 G2:G97" xr:uid="{019ED12B-77C7-49C9-9A15-2AF4C86F6025}">
      <formula1>$AJ$2:$AJ$4</formula1>
    </dataValidation>
    <dataValidation type="list" allowBlank="1" showInputMessage="1" showErrorMessage="1" sqref="WVP981808:WVP981897 WLT981808:WLT981897 H64325:H64414 JD64304:JD64393 SZ64304:SZ64393 ACV64304:ACV64393 AMR64304:AMR64393 AWN64304:AWN64393 BGJ64304:BGJ64393 BQF64304:BQF64393 CAB64304:CAB64393 CJX64304:CJX64393 CTT64304:CTT64393 DDP64304:DDP64393 DNL64304:DNL64393 DXH64304:DXH64393 EHD64304:EHD64393 EQZ64304:EQZ64393 FAV64304:FAV64393 FKR64304:FKR64393 FUN64304:FUN64393 GEJ64304:GEJ64393 GOF64304:GOF64393 GYB64304:GYB64393 HHX64304:HHX64393 HRT64304:HRT64393 IBP64304:IBP64393 ILL64304:ILL64393 IVH64304:IVH64393 JFD64304:JFD64393 JOZ64304:JOZ64393 JYV64304:JYV64393 KIR64304:KIR64393 KSN64304:KSN64393 LCJ64304:LCJ64393 LMF64304:LMF64393 LWB64304:LWB64393 MFX64304:MFX64393 MPT64304:MPT64393 MZP64304:MZP64393 NJL64304:NJL64393 NTH64304:NTH64393 ODD64304:ODD64393 OMZ64304:OMZ64393 OWV64304:OWV64393 PGR64304:PGR64393 PQN64304:PQN64393 QAJ64304:QAJ64393 QKF64304:QKF64393 QUB64304:QUB64393 RDX64304:RDX64393 RNT64304:RNT64393 RXP64304:RXP64393 SHL64304:SHL64393 SRH64304:SRH64393 TBD64304:TBD64393 TKZ64304:TKZ64393 TUV64304:TUV64393 UER64304:UER64393 UON64304:UON64393 UYJ64304:UYJ64393 VIF64304:VIF64393 VSB64304:VSB64393 WBX64304:WBX64393 WLT64304:WLT64393 WVP64304:WVP64393 H129861:H129950 JD129840:JD129929 SZ129840:SZ129929 ACV129840:ACV129929 AMR129840:AMR129929 AWN129840:AWN129929 BGJ129840:BGJ129929 BQF129840:BQF129929 CAB129840:CAB129929 CJX129840:CJX129929 CTT129840:CTT129929 DDP129840:DDP129929 DNL129840:DNL129929 DXH129840:DXH129929 EHD129840:EHD129929 EQZ129840:EQZ129929 FAV129840:FAV129929 FKR129840:FKR129929 FUN129840:FUN129929 GEJ129840:GEJ129929 GOF129840:GOF129929 GYB129840:GYB129929 HHX129840:HHX129929 HRT129840:HRT129929 IBP129840:IBP129929 ILL129840:ILL129929 IVH129840:IVH129929 JFD129840:JFD129929 JOZ129840:JOZ129929 JYV129840:JYV129929 KIR129840:KIR129929 KSN129840:KSN129929 LCJ129840:LCJ129929 LMF129840:LMF129929 LWB129840:LWB129929 MFX129840:MFX129929 MPT129840:MPT129929 MZP129840:MZP129929 NJL129840:NJL129929 NTH129840:NTH129929 ODD129840:ODD129929 OMZ129840:OMZ129929 OWV129840:OWV129929 PGR129840:PGR129929 PQN129840:PQN129929 QAJ129840:QAJ129929 QKF129840:QKF129929 QUB129840:QUB129929 RDX129840:RDX129929 RNT129840:RNT129929 RXP129840:RXP129929 SHL129840:SHL129929 SRH129840:SRH129929 TBD129840:TBD129929 TKZ129840:TKZ129929 TUV129840:TUV129929 UER129840:UER129929 UON129840:UON129929 UYJ129840:UYJ129929 VIF129840:VIF129929 VSB129840:VSB129929 WBX129840:WBX129929 WLT129840:WLT129929 WVP129840:WVP129929 H195397:H195486 JD195376:JD195465 SZ195376:SZ195465 ACV195376:ACV195465 AMR195376:AMR195465 AWN195376:AWN195465 BGJ195376:BGJ195465 BQF195376:BQF195465 CAB195376:CAB195465 CJX195376:CJX195465 CTT195376:CTT195465 DDP195376:DDP195465 DNL195376:DNL195465 DXH195376:DXH195465 EHD195376:EHD195465 EQZ195376:EQZ195465 FAV195376:FAV195465 FKR195376:FKR195465 FUN195376:FUN195465 GEJ195376:GEJ195465 GOF195376:GOF195465 GYB195376:GYB195465 HHX195376:HHX195465 HRT195376:HRT195465 IBP195376:IBP195465 ILL195376:ILL195465 IVH195376:IVH195465 JFD195376:JFD195465 JOZ195376:JOZ195465 JYV195376:JYV195465 KIR195376:KIR195465 KSN195376:KSN195465 LCJ195376:LCJ195465 LMF195376:LMF195465 LWB195376:LWB195465 MFX195376:MFX195465 MPT195376:MPT195465 MZP195376:MZP195465 NJL195376:NJL195465 NTH195376:NTH195465 ODD195376:ODD195465 OMZ195376:OMZ195465 OWV195376:OWV195465 PGR195376:PGR195465 PQN195376:PQN195465 QAJ195376:QAJ195465 QKF195376:QKF195465 QUB195376:QUB195465 RDX195376:RDX195465 RNT195376:RNT195465 RXP195376:RXP195465 SHL195376:SHL195465 SRH195376:SRH195465 TBD195376:TBD195465 TKZ195376:TKZ195465 TUV195376:TUV195465 UER195376:UER195465 UON195376:UON195465 UYJ195376:UYJ195465 VIF195376:VIF195465 VSB195376:VSB195465 WBX195376:WBX195465 WLT195376:WLT195465 WVP195376:WVP195465 H260933:H261022 JD260912:JD261001 SZ260912:SZ261001 ACV260912:ACV261001 AMR260912:AMR261001 AWN260912:AWN261001 BGJ260912:BGJ261001 BQF260912:BQF261001 CAB260912:CAB261001 CJX260912:CJX261001 CTT260912:CTT261001 DDP260912:DDP261001 DNL260912:DNL261001 DXH260912:DXH261001 EHD260912:EHD261001 EQZ260912:EQZ261001 FAV260912:FAV261001 FKR260912:FKR261001 FUN260912:FUN261001 GEJ260912:GEJ261001 GOF260912:GOF261001 GYB260912:GYB261001 HHX260912:HHX261001 HRT260912:HRT261001 IBP260912:IBP261001 ILL260912:ILL261001 IVH260912:IVH261001 JFD260912:JFD261001 JOZ260912:JOZ261001 JYV260912:JYV261001 KIR260912:KIR261001 KSN260912:KSN261001 LCJ260912:LCJ261001 LMF260912:LMF261001 LWB260912:LWB261001 MFX260912:MFX261001 MPT260912:MPT261001 MZP260912:MZP261001 NJL260912:NJL261001 NTH260912:NTH261001 ODD260912:ODD261001 OMZ260912:OMZ261001 OWV260912:OWV261001 PGR260912:PGR261001 PQN260912:PQN261001 QAJ260912:QAJ261001 QKF260912:QKF261001 QUB260912:QUB261001 RDX260912:RDX261001 RNT260912:RNT261001 RXP260912:RXP261001 SHL260912:SHL261001 SRH260912:SRH261001 TBD260912:TBD261001 TKZ260912:TKZ261001 TUV260912:TUV261001 UER260912:UER261001 UON260912:UON261001 UYJ260912:UYJ261001 VIF260912:VIF261001 VSB260912:VSB261001 WBX260912:WBX261001 WLT260912:WLT261001 WVP260912:WVP261001 H326469:H326558 JD326448:JD326537 SZ326448:SZ326537 ACV326448:ACV326537 AMR326448:AMR326537 AWN326448:AWN326537 BGJ326448:BGJ326537 BQF326448:BQF326537 CAB326448:CAB326537 CJX326448:CJX326537 CTT326448:CTT326537 DDP326448:DDP326537 DNL326448:DNL326537 DXH326448:DXH326537 EHD326448:EHD326537 EQZ326448:EQZ326537 FAV326448:FAV326537 FKR326448:FKR326537 FUN326448:FUN326537 GEJ326448:GEJ326537 GOF326448:GOF326537 GYB326448:GYB326537 HHX326448:HHX326537 HRT326448:HRT326537 IBP326448:IBP326537 ILL326448:ILL326537 IVH326448:IVH326537 JFD326448:JFD326537 JOZ326448:JOZ326537 JYV326448:JYV326537 KIR326448:KIR326537 KSN326448:KSN326537 LCJ326448:LCJ326537 LMF326448:LMF326537 LWB326448:LWB326537 MFX326448:MFX326537 MPT326448:MPT326537 MZP326448:MZP326537 NJL326448:NJL326537 NTH326448:NTH326537 ODD326448:ODD326537 OMZ326448:OMZ326537 OWV326448:OWV326537 PGR326448:PGR326537 PQN326448:PQN326537 QAJ326448:QAJ326537 QKF326448:QKF326537 QUB326448:QUB326537 RDX326448:RDX326537 RNT326448:RNT326537 RXP326448:RXP326537 SHL326448:SHL326537 SRH326448:SRH326537 TBD326448:TBD326537 TKZ326448:TKZ326537 TUV326448:TUV326537 UER326448:UER326537 UON326448:UON326537 UYJ326448:UYJ326537 VIF326448:VIF326537 VSB326448:VSB326537 WBX326448:WBX326537 WLT326448:WLT326537 WVP326448:WVP326537 H392005:H392094 JD391984:JD392073 SZ391984:SZ392073 ACV391984:ACV392073 AMR391984:AMR392073 AWN391984:AWN392073 BGJ391984:BGJ392073 BQF391984:BQF392073 CAB391984:CAB392073 CJX391984:CJX392073 CTT391984:CTT392073 DDP391984:DDP392073 DNL391984:DNL392073 DXH391984:DXH392073 EHD391984:EHD392073 EQZ391984:EQZ392073 FAV391984:FAV392073 FKR391984:FKR392073 FUN391984:FUN392073 GEJ391984:GEJ392073 GOF391984:GOF392073 GYB391984:GYB392073 HHX391984:HHX392073 HRT391984:HRT392073 IBP391984:IBP392073 ILL391984:ILL392073 IVH391984:IVH392073 JFD391984:JFD392073 JOZ391984:JOZ392073 JYV391984:JYV392073 KIR391984:KIR392073 KSN391984:KSN392073 LCJ391984:LCJ392073 LMF391984:LMF392073 LWB391984:LWB392073 MFX391984:MFX392073 MPT391984:MPT392073 MZP391984:MZP392073 NJL391984:NJL392073 NTH391984:NTH392073 ODD391984:ODD392073 OMZ391984:OMZ392073 OWV391984:OWV392073 PGR391984:PGR392073 PQN391984:PQN392073 QAJ391984:QAJ392073 QKF391984:QKF392073 QUB391984:QUB392073 RDX391984:RDX392073 RNT391984:RNT392073 RXP391984:RXP392073 SHL391984:SHL392073 SRH391984:SRH392073 TBD391984:TBD392073 TKZ391984:TKZ392073 TUV391984:TUV392073 UER391984:UER392073 UON391984:UON392073 UYJ391984:UYJ392073 VIF391984:VIF392073 VSB391984:VSB392073 WBX391984:WBX392073 WLT391984:WLT392073 WVP391984:WVP392073 H457541:H457630 JD457520:JD457609 SZ457520:SZ457609 ACV457520:ACV457609 AMR457520:AMR457609 AWN457520:AWN457609 BGJ457520:BGJ457609 BQF457520:BQF457609 CAB457520:CAB457609 CJX457520:CJX457609 CTT457520:CTT457609 DDP457520:DDP457609 DNL457520:DNL457609 DXH457520:DXH457609 EHD457520:EHD457609 EQZ457520:EQZ457609 FAV457520:FAV457609 FKR457520:FKR457609 FUN457520:FUN457609 GEJ457520:GEJ457609 GOF457520:GOF457609 GYB457520:GYB457609 HHX457520:HHX457609 HRT457520:HRT457609 IBP457520:IBP457609 ILL457520:ILL457609 IVH457520:IVH457609 JFD457520:JFD457609 JOZ457520:JOZ457609 JYV457520:JYV457609 KIR457520:KIR457609 KSN457520:KSN457609 LCJ457520:LCJ457609 LMF457520:LMF457609 LWB457520:LWB457609 MFX457520:MFX457609 MPT457520:MPT457609 MZP457520:MZP457609 NJL457520:NJL457609 NTH457520:NTH457609 ODD457520:ODD457609 OMZ457520:OMZ457609 OWV457520:OWV457609 PGR457520:PGR457609 PQN457520:PQN457609 QAJ457520:QAJ457609 QKF457520:QKF457609 QUB457520:QUB457609 RDX457520:RDX457609 RNT457520:RNT457609 RXP457520:RXP457609 SHL457520:SHL457609 SRH457520:SRH457609 TBD457520:TBD457609 TKZ457520:TKZ457609 TUV457520:TUV457609 UER457520:UER457609 UON457520:UON457609 UYJ457520:UYJ457609 VIF457520:VIF457609 VSB457520:VSB457609 WBX457520:WBX457609 WLT457520:WLT457609 WVP457520:WVP457609 H523077:H523166 JD523056:JD523145 SZ523056:SZ523145 ACV523056:ACV523145 AMR523056:AMR523145 AWN523056:AWN523145 BGJ523056:BGJ523145 BQF523056:BQF523145 CAB523056:CAB523145 CJX523056:CJX523145 CTT523056:CTT523145 DDP523056:DDP523145 DNL523056:DNL523145 DXH523056:DXH523145 EHD523056:EHD523145 EQZ523056:EQZ523145 FAV523056:FAV523145 FKR523056:FKR523145 FUN523056:FUN523145 GEJ523056:GEJ523145 GOF523056:GOF523145 GYB523056:GYB523145 HHX523056:HHX523145 HRT523056:HRT523145 IBP523056:IBP523145 ILL523056:ILL523145 IVH523056:IVH523145 JFD523056:JFD523145 JOZ523056:JOZ523145 JYV523056:JYV523145 KIR523056:KIR523145 KSN523056:KSN523145 LCJ523056:LCJ523145 LMF523056:LMF523145 LWB523056:LWB523145 MFX523056:MFX523145 MPT523056:MPT523145 MZP523056:MZP523145 NJL523056:NJL523145 NTH523056:NTH523145 ODD523056:ODD523145 OMZ523056:OMZ523145 OWV523056:OWV523145 PGR523056:PGR523145 PQN523056:PQN523145 QAJ523056:QAJ523145 QKF523056:QKF523145 QUB523056:QUB523145 RDX523056:RDX523145 RNT523056:RNT523145 RXP523056:RXP523145 SHL523056:SHL523145 SRH523056:SRH523145 TBD523056:TBD523145 TKZ523056:TKZ523145 TUV523056:TUV523145 UER523056:UER523145 UON523056:UON523145 UYJ523056:UYJ523145 VIF523056:VIF523145 VSB523056:VSB523145 WBX523056:WBX523145 WLT523056:WLT523145 WVP523056:WVP523145 H588613:H588702 JD588592:JD588681 SZ588592:SZ588681 ACV588592:ACV588681 AMR588592:AMR588681 AWN588592:AWN588681 BGJ588592:BGJ588681 BQF588592:BQF588681 CAB588592:CAB588681 CJX588592:CJX588681 CTT588592:CTT588681 DDP588592:DDP588681 DNL588592:DNL588681 DXH588592:DXH588681 EHD588592:EHD588681 EQZ588592:EQZ588681 FAV588592:FAV588681 FKR588592:FKR588681 FUN588592:FUN588681 GEJ588592:GEJ588681 GOF588592:GOF588681 GYB588592:GYB588681 HHX588592:HHX588681 HRT588592:HRT588681 IBP588592:IBP588681 ILL588592:ILL588681 IVH588592:IVH588681 JFD588592:JFD588681 JOZ588592:JOZ588681 JYV588592:JYV588681 KIR588592:KIR588681 KSN588592:KSN588681 LCJ588592:LCJ588681 LMF588592:LMF588681 LWB588592:LWB588681 MFX588592:MFX588681 MPT588592:MPT588681 MZP588592:MZP588681 NJL588592:NJL588681 NTH588592:NTH588681 ODD588592:ODD588681 OMZ588592:OMZ588681 OWV588592:OWV588681 PGR588592:PGR588681 PQN588592:PQN588681 QAJ588592:QAJ588681 QKF588592:QKF588681 QUB588592:QUB588681 RDX588592:RDX588681 RNT588592:RNT588681 RXP588592:RXP588681 SHL588592:SHL588681 SRH588592:SRH588681 TBD588592:TBD588681 TKZ588592:TKZ588681 TUV588592:TUV588681 UER588592:UER588681 UON588592:UON588681 UYJ588592:UYJ588681 VIF588592:VIF588681 VSB588592:VSB588681 WBX588592:WBX588681 WLT588592:WLT588681 WVP588592:WVP588681 H654149:H654238 JD654128:JD654217 SZ654128:SZ654217 ACV654128:ACV654217 AMR654128:AMR654217 AWN654128:AWN654217 BGJ654128:BGJ654217 BQF654128:BQF654217 CAB654128:CAB654217 CJX654128:CJX654217 CTT654128:CTT654217 DDP654128:DDP654217 DNL654128:DNL654217 DXH654128:DXH654217 EHD654128:EHD654217 EQZ654128:EQZ654217 FAV654128:FAV654217 FKR654128:FKR654217 FUN654128:FUN654217 GEJ654128:GEJ654217 GOF654128:GOF654217 GYB654128:GYB654217 HHX654128:HHX654217 HRT654128:HRT654217 IBP654128:IBP654217 ILL654128:ILL654217 IVH654128:IVH654217 JFD654128:JFD654217 JOZ654128:JOZ654217 JYV654128:JYV654217 KIR654128:KIR654217 KSN654128:KSN654217 LCJ654128:LCJ654217 LMF654128:LMF654217 LWB654128:LWB654217 MFX654128:MFX654217 MPT654128:MPT654217 MZP654128:MZP654217 NJL654128:NJL654217 NTH654128:NTH654217 ODD654128:ODD654217 OMZ654128:OMZ654217 OWV654128:OWV654217 PGR654128:PGR654217 PQN654128:PQN654217 QAJ654128:QAJ654217 QKF654128:QKF654217 QUB654128:QUB654217 RDX654128:RDX654217 RNT654128:RNT654217 RXP654128:RXP654217 SHL654128:SHL654217 SRH654128:SRH654217 TBD654128:TBD654217 TKZ654128:TKZ654217 TUV654128:TUV654217 UER654128:UER654217 UON654128:UON654217 UYJ654128:UYJ654217 VIF654128:VIF654217 VSB654128:VSB654217 WBX654128:WBX654217 WLT654128:WLT654217 WVP654128:WVP654217 H719685:H719774 JD719664:JD719753 SZ719664:SZ719753 ACV719664:ACV719753 AMR719664:AMR719753 AWN719664:AWN719753 BGJ719664:BGJ719753 BQF719664:BQF719753 CAB719664:CAB719753 CJX719664:CJX719753 CTT719664:CTT719753 DDP719664:DDP719753 DNL719664:DNL719753 DXH719664:DXH719753 EHD719664:EHD719753 EQZ719664:EQZ719753 FAV719664:FAV719753 FKR719664:FKR719753 FUN719664:FUN719753 GEJ719664:GEJ719753 GOF719664:GOF719753 GYB719664:GYB719753 HHX719664:HHX719753 HRT719664:HRT719753 IBP719664:IBP719753 ILL719664:ILL719753 IVH719664:IVH719753 JFD719664:JFD719753 JOZ719664:JOZ719753 JYV719664:JYV719753 KIR719664:KIR719753 KSN719664:KSN719753 LCJ719664:LCJ719753 LMF719664:LMF719753 LWB719664:LWB719753 MFX719664:MFX719753 MPT719664:MPT719753 MZP719664:MZP719753 NJL719664:NJL719753 NTH719664:NTH719753 ODD719664:ODD719753 OMZ719664:OMZ719753 OWV719664:OWV719753 PGR719664:PGR719753 PQN719664:PQN719753 QAJ719664:QAJ719753 QKF719664:QKF719753 QUB719664:QUB719753 RDX719664:RDX719753 RNT719664:RNT719753 RXP719664:RXP719753 SHL719664:SHL719753 SRH719664:SRH719753 TBD719664:TBD719753 TKZ719664:TKZ719753 TUV719664:TUV719753 UER719664:UER719753 UON719664:UON719753 UYJ719664:UYJ719753 VIF719664:VIF719753 VSB719664:VSB719753 WBX719664:WBX719753 WLT719664:WLT719753 WVP719664:WVP719753 H785221:H785310 JD785200:JD785289 SZ785200:SZ785289 ACV785200:ACV785289 AMR785200:AMR785289 AWN785200:AWN785289 BGJ785200:BGJ785289 BQF785200:BQF785289 CAB785200:CAB785289 CJX785200:CJX785289 CTT785200:CTT785289 DDP785200:DDP785289 DNL785200:DNL785289 DXH785200:DXH785289 EHD785200:EHD785289 EQZ785200:EQZ785289 FAV785200:FAV785289 FKR785200:FKR785289 FUN785200:FUN785289 GEJ785200:GEJ785289 GOF785200:GOF785289 GYB785200:GYB785289 HHX785200:HHX785289 HRT785200:HRT785289 IBP785200:IBP785289 ILL785200:ILL785289 IVH785200:IVH785289 JFD785200:JFD785289 JOZ785200:JOZ785289 JYV785200:JYV785289 KIR785200:KIR785289 KSN785200:KSN785289 LCJ785200:LCJ785289 LMF785200:LMF785289 LWB785200:LWB785289 MFX785200:MFX785289 MPT785200:MPT785289 MZP785200:MZP785289 NJL785200:NJL785289 NTH785200:NTH785289 ODD785200:ODD785289 OMZ785200:OMZ785289 OWV785200:OWV785289 PGR785200:PGR785289 PQN785200:PQN785289 QAJ785200:QAJ785289 QKF785200:QKF785289 QUB785200:QUB785289 RDX785200:RDX785289 RNT785200:RNT785289 RXP785200:RXP785289 SHL785200:SHL785289 SRH785200:SRH785289 TBD785200:TBD785289 TKZ785200:TKZ785289 TUV785200:TUV785289 UER785200:UER785289 UON785200:UON785289 UYJ785200:UYJ785289 VIF785200:VIF785289 VSB785200:VSB785289 WBX785200:WBX785289 WLT785200:WLT785289 WVP785200:WVP785289 H850757:H850846 JD850736:JD850825 SZ850736:SZ850825 ACV850736:ACV850825 AMR850736:AMR850825 AWN850736:AWN850825 BGJ850736:BGJ850825 BQF850736:BQF850825 CAB850736:CAB850825 CJX850736:CJX850825 CTT850736:CTT850825 DDP850736:DDP850825 DNL850736:DNL850825 DXH850736:DXH850825 EHD850736:EHD850825 EQZ850736:EQZ850825 FAV850736:FAV850825 FKR850736:FKR850825 FUN850736:FUN850825 GEJ850736:GEJ850825 GOF850736:GOF850825 GYB850736:GYB850825 HHX850736:HHX850825 HRT850736:HRT850825 IBP850736:IBP850825 ILL850736:ILL850825 IVH850736:IVH850825 JFD850736:JFD850825 JOZ850736:JOZ850825 JYV850736:JYV850825 KIR850736:KIR850825 KSN850736:KSN850825 LCJ850736:LCJ850825 LMF850736:LMF850825 LWB850736:LWB850825 MFX850736:MFX850825 MPT850736:MPT850825 MZP850736:MZP850825 NJL850736:NJL850825 NTH850736:NTH850825 ODD850736:ODD850825 OMZ850736:OMZ850825 OWV850736:OWV850825 PGR850736:PGR850825 PQN850736:PQN850825 QAJ850736:QAJ850825 QKF850736:QKF850825 QUB850736:QUB850825 RDX850736:RDX850825 RNT850736:RNT850825 RXP850736:RXP850825 SHL850736:SHL850825 SRH850736:SRH850825 TBD850736:TBD850825 TKZ850736:TKZ850825 TUV850736:TUV850825 UER850736:UER850825 UON850736:UON850825 UYJ850736:UYJ850825 VIF850736:VIF850825 VSB850736:VSB850825 WBX850736:WBX850825 WLT850736:WLT850825 WVP850736:WVP850825 H916293:H916382 JD916272:JD916361 SZ916272:SZ916361 ACV916272:ACV916361 AMR916272:AMR916361 AWN916272:AWN916361 BGJ916272:BGJ916361 BQF916272:BQF916361 CAB916272:CAB916361 CJX916272:CJX916361 CTT916272:CTT916361 DDP916272:DDP916361 DNL916272:DNL916361 DXH916272:DXH916361 EHD916272:EHD916361 EQZ916272:EQZ916361 FAV916272:FAV916361 FKR916272:FKR916361 FUN916272:FUN916361 GEJ916272:GEJ916361 GOF916272:GOF916361 GYB916272:GYB916361 HHX916272:HHX916361 HRT916272:HRT916361 IBP916272:IBP916361 ILL916272:ILL916361 IVH916272:IVH916361 JFD916272:JFD916361 JOZ916272:JOZ916361 JYV916272:JYV916361 KIR916272:KIR916361 KSN916272:KSN916361 LCJ916272:LCJ916361 LMF916272:LMF916361 LWB916272:LWB916361 MFX916272:MFX916361 MPT916272:MPT916361 MZP916272:MZP916361 NJL916272:NJL916361 NTH916272:NTH916361 ODD916272:ODD916361 OMZ916272:OMZ916361 OWV916272:OWV916361 PGR916272:PGR916361 PQN916272:PQN916361 QAJ916272:QAJ916361 QKF916272:QKF916361 QUB916272:QUB916361 RDX916272:RDX916361 RNT916272:RNT916361 RXP916272:RXP916361 SHL916272:SHL916361 SRH916272:SRH916361 TBD916272:TBD916361 TKZ916272:TKZ916361 TUV916272:TUV916361 UER916272:UER916361 UON916272:UON916361 UYJ916272:UYJ916361 VIF916272:VIF916361 VSB916272:VSB916361 WBX916272:WBX916361 WLT916272:WLT916361 WVP916272:WVP916361 H981829:H981918 JD981808:JD981897 SZ981808:SZ981897 ACV981808:ACV981897 AMR981808:AMR981897 AWN981808:AWN981897 BGJ981808:BGJ981897 BQF981808:BQF981897 CAB981808:CAB981897 CJX981808:CJX981897 CTT981808:CTT981897 DDP981808:DDP981897 DNL981808:DNL981897 DXH981808:DXH981897 EHD981808:EHD981897 EQZ981808:EQZ981897 FAV981808:FAV981897 FKR981808:FKR981897 FUN981808:FUN981897 GEJ981808:GEJ981897 GOF981808:GOF981897 GYB981808:GYB981897 HHX981808:HHX981897 HRT981808:HRT981897 IBP981808:IBP981897 ILL981808:ILL981897 IVH981808:IVH981897 JFD981808:JFD981897 JOZ981808:JOZ981897 JYV981808:JYV981897 KIR981808:KIR981897 KSN981808:KSN981897 LCJ981808:LCJ981897 LMF981808:LMF981897 LWB981808:LWB981897 MFX981808:MFX981897 MPT981808:MPT981897 MZP981808:MZP981897 NJL981808:NJL981897 NTH981808:NTH981897 ODD981808:ODD981897 OMZ981808:OMZ981897 OWV981808:OWV981897 PGR981808:PGR981897 PQN981808:PQN981897 QAJ981808:QAJ981897 QKF981808:QKF981897 QUB981808:QUB981897 RDX981808:RDX981897 RNT981808:RNT981897 RXP981808:RXP981897 SHL981808:SHL981897 SRH981808:SRH981897 TBD981808:TBD981897 TKZ981808:TKZ981897 TUV981808:TUV981897 UER981808:UER981897 UON981808:UON981897 UYJ981808:UYJ981897 VIF981808:VIF981897 VSB981808:VSB981897 WBX981808:WBX981897 JD2:JD76 SZ2:SZ76 ACV2:ACV76 AMR2:AMR76 AWN2:AWN76 BGJ2:BGJ76 BQF2:BQF76 CAB2:CAB76 CJX2:CJX76 CTT2:CTT76 DDP2:DDP76 DNL2:DNL76 DXH2:DXH76 EHD2:EHD76 EQZ2:EQZ76 FAV2:FAV76 FKR2:FKR76 FUN2:FUN76 GEJ2:GEJ76 GOF2:GOF76 GYB2:GYB76 HHX2:HHX76 HRT2:HRT76 IBP2:IBP76 ILL2:ILL76 IVH2:IVH76 JFD2:JFD76 JOZ2:JOZ76 JYV2:JYV76 KIR2:KIR76 KSN2:KSN76 LCJ2:LCJ76 LMF2:LMF76 LWB2:LWB76 MFX2:MFX76 MPT2:MPT76 MZP2:MZP76 NJL2:NJL76 NTH2:NTH76 ODD2:ODD76 OMZ2:OMZ76 OWV2:OWV76 PGR2:PGR76 PQN2:PQN76 QAJ2:QAJ76 QKF2:QKF76 QUB2:QUB76 RDX2:RDX76 RNT2:RNT76 RXP2:RXP76 SHL2:SHL76 SRH2:SRH76 TBD2:TBD76 TKZ2:TKZ76 TUV2:TUV76 UER2:UER76 UON2:UON76 UYJ2:UYJ76 VIF2:VIF76 VSB2:VSB76 WBX2:WBX76 WLT2:WLT76 WVP2:WVP76" xr:uid="{6D44AE16-6FE0-48AD-9794-6AE170B4DE07}">
      <formula1>$AL$11:$AL$16</formula1>
    </dataValidation>
    <dataValidation type="list" allowBlank="1" showInputMessage="1" showErrorMessage="1" sqref="WVQ981808:WVQ981891 WLU981808:WLU981891 WBY981808:WBY981891 VSC981808:VSC981891 VIG981808:VIG981891 UYK981808:UYK981891 UOO981808:UOO981891 UES981808:UES981891 TUW981808:TUW981891 TLA981808:TLA981891 TBE981808:TBE981891 SRI981808:SRI981891 SHM981808:SHM981891 RXQ981808:RXQ981891 RNU981808:RNU981891 RDY981808:RDY981891 QUC981808:QUC981891 QKG981808:QKG981891 QAK981808:QAK981891 PQO981808:PQO981891 PGS981808:PGS981891 OWW981808:OWW981891 ONA981808:ONA981891 ODE981808:ODE981891 NTI981808:NTI981891 NJM981808:NJM981891 MZQ981808:MZQ981891 MPU981808:MPU981891 MFY981808:MFY981891 LWC981808:LWC981891 LMG981808:LMG981891 LCK981808:LCK981891 KSO981808:KSO981891 KIS981808:KIS981891 JYW981808:JYW981891 JPA981808:JPA981891 JFE981808:JFE981891 IVI981808:IVI981891 ILM981808:ILM981891 IBQ981808:IBQ981891 HRU981808:HRU981891 HHY981808:HHY981891 GYC981808:GYC981891 GOG981808:GOG981891 GEK981808:GEK981891 FUO981808:FUO981891 FKS981808:FKS981891 FAW981808:FAW981891 ERA981808:ERA981891 EHE981808:EHE981891 DXI981808:DXI981891 DNM981808:DNM981891 DDQ981808:DDQ981891 CTU981808:CTU981891 CJY981808:CJY981891 CAC981808:CAC981891 BQG981808:BQG981891 BGK981808:BGK981891 AWO981808:AWO981891 AMS981808:AMS981891 ACW981808:ACW981891 TA981808:TA981891 JE981808:JE981891 I981829:I981912 WVQ916272:WVQ916355 WLU916272:WLU916355 WBY916272:WBY916355 VSC916272:VSC916355 VIG916272:VIG916355 UYK916272:UYK916355 UOO916272:UOO916355 UES916272:UES916355 TUW916272:TUW916355 TLA916272:TLA916355 TBE916272:TBE916355 SRI916272:SRI916355 SHM916272:SHM916355 RXQ916272:RXQ916355 RNU916272:RNU916355 RDY916272:RDY916355 QUC916272:QUC916355 QKG916272:QKG916355 QAK916272:QAK916355 PQO916272:PQO916355 PGS916272:PGS916355 OWW916272:OWW916355 ONA916272:ONA916355 ODE916272:ODE916355 NTI916272:NTI916355 NJM916272:NJM916355 MZQ916272:MZQ916355 MPU916272:MPU916355 MFY916272:MFY916355 LWC916272:LWC916355 LMG916272:LMG916355 LCK916272:LCK916355 KSO916272:KSO916355 KIS916272:KIS916355 JYW916272:JYW916355 JPA916272:JPA916355 JFE916272:JFE916355 IVI916272:IVI916355 ILM916272:ILM916355 IBQ916272:IBQ916355 HRU916272:HRU916355 HHY916272:HHY916355 GYC916272:GYC916355 GOG916272:GOG916355 GEK916272:GEK916355 FUO916272:FUO916355 FKS916272:FKS916355 FAW916272:FAW916355 ERA916272:ERA916355 EHE916272:EHE916355 DXI916272:DXI916355 DNM916272:DNM916355 DDQ916272:DDQ916355 CTU916272:CTU916355 CJY916272:CJY916355 CAC916272:CAC916355 BQG916272:BQG916355 BGK916272:BGK916355 AWO916272:AWO916355 AMS916272:AMS916355 ACW916272:ACW916355 TA916272:TA916355 JE916272:JE916355 I916293:I916376 WVQ850736:WVQ850819 WLU850736:WLU850819 WBY850736:WBY850819 VSC850736:VSC850819 VIG850736:VIG850819 UYK850736:UYK850819 UOO850736:UOO850819 UES850736:UES850819 TUW850736:TUW850819 TLA850736:TLA850819 TBE850736:TBE850819 SRI850736:SRI850819 SHM850736:SHM850819 RXQ850736:RXQ850819 RNU850736:RNU850819 RDY850736:RDY850819 QUC850736:QUC850819 QKG850736:QKG850819 QAK850736:QAK850819 PQO850736:PQO850819 PGS850736:PGS850819 OWW850736:OWW850819 ONA850736:ONA850819 ODE850736:ODE850819 NTI850736:NTI850819 NJM850736:NJM850819 MZQ850736:MZQ850819 MPU850736:MPU850819 MFY850736:MFY850819 LWC850736:LWC850819 LMG850736:LMG850819 LCK850736:LCK850819 KSO850736:KSO850819 KIS850736:KIS850819 JYW850736:JYW850819 JPA850736:JPA850819 JFE850736:JFE850819 IVI850736:IVI850819 ILM850736:ILM850819 IBQ850736:IBQ850819 HRU850736:HRU850819 HHY850736:HHY850819 GYC850736:GYC850819 GOG850736:GOG850819 GEK850736:GEK850819 FUO850736:FUO850819 FKS850736:FKS850819 FAW850736:FAW850819 ERA850736:ERA850819 EHE850736:EHE850819 DXI850736:DXI850819 DNM850736:DNM850819 DDQ850736:DDQ850819 CTU850736:CTU850819 CJY850736:CJY850819 CAC850736:CAC850819 BQG850736:BQG850819 BGK850736:BGK850819 AWO850736:AWO850819 AMS850736:AMS850819 ACW850736:ACW850819 TA850736:TA850819 JE850736:JE850819 I850757:I850840 WVQ785200:WVQ785283 WLU785200:WLU785283 WBY785200:WBY785283 VSC785200:VSC785283 VIG785200:VIG785283 UYK785200:UYK785283 UOO785200:UOO785283 UES785200:UES785283 TUW785200:TUW785283 TLA785200:TLA785283 TBE785200:TBE785283 SRI785200:SRI785283 SHM785200:SHM785283 RXQ785200:RXQ785283 RNU785200:RNU785283 RDY785200:RDY785283 QUC785200:QUC785283 QKG785200:QKG785283 QAK785200:QAK785283 PQO785200:PQO785283 PGS785200:PGS785283 OWW785200:OWW785283 ONA785200:ONA785283 ODE785200:ODE785283 NTI785200:NTI785283 NJM785200:NJM785283 MZQ785200:MZQ785283 MPU785200:MPU785283 MFY785200:MFY785283 LWC785200:LWC785283 LMG785200:LMG785283 LCK785200:LCK785283 KSO785200:KSO785283 KIS785200:KIS785283 JYW785200:JYW785283 JPA785200:JPA785283 JFE785200:JFE785283 IVI785200:IVI785283 ILM785200:ILM785283 IBQ785200:IBQ785283 HRU785200:HRU785283 HHY785200:HHY785283 GYC785200:GYC785283 GOG785200:GOG785283 GEK785200:GEK785283 FUO785200:FUO785283 FKS785200:FKS785283 FAW785200:FAW785283 ERA785200:ERA785283 EHE785200:EHE785283 DXI785200:DXI785283 DNM785200:DNM785283 DDQ785200:DDQ785283 CTU785200:CTU785283 CJY785200:CJY785283 CAC785200:CAC785283 BQG785200:BQG785283 BGK785200:BGK785283 AWO785200:AWO785283 AMS785200:AMS785283 ACW785200:ACW785283 TA785200:TA785283 JE785200:JE785283 I785221:I785304 WVQ719664:WVQ719747 WLU719664:WLU719747 WBY719664:WBY719747 VSC719664:VSC719747 VIG719664:VIG719747 UYK719664:UYK719747 UOO719664:UOO719747 UES719664:UES719747 TUW719664:TUW719747 TLA719664:TLA719747 TBE719664:TBE719747 SRI719664:SRI719747 SHM719664:SHM719747 RXQ719664:RXQ719747 RNU719664:RNU719747 RDY719664:RDY719747 QUC719664:QUC719747 QKG719664:QKG719747 QAK719664:QAK719747 PQO719664:PQO719747 PGS719664:PGS719747 OWW719664:OWW719747 ONA719664:ONA719747 ODE719664:ODE719747 NTI719664:NTI719747 NJM719664:NJM719747 MZQ719664:MZQ719747 MPU719664:MPU719747 MFY719664:MFY719747 LWC719664:LWC719747 LMG719664:LMG719747 LCK719664:LCK719747 KSO719664:KSO719747 KIS719664:KIS719747 JYW719664:JYW719747 JPA719664:JPA719747 JFE719664:JFE719747 IVI719664:IVI719747 ILM719664:ILM719747 IBQ719664:IBQ719747 HRU719664:HRU719747 HHY719664:HHY719747 GYC719664:GYC719747 GOG719664:GOG719747 GEK719664:GEK719747 FUO719664:FUO719747 FKS719664:FKS719747 FAW719664:FAW719747 ERA719664:ERA719747 EHE719664:EHE719747 DXI719664:DXI719747 DNM719664:DNM719747 DDQ719664:DDQ719747 CTU719664:CTU719747 CJY719664:CJY719747 CAC719664:CAC719747 BQG719664:BQG719747 BGK719664:BGK719747 AWO719664:AWO719747 AMS719664:AMS719747 ACW719664:ACW719747 TA719664:TA719747 JE719664:JE719747 I719685:I719768 WVQ654128:WVQ654211 WLU654128:WLU654211 WBY654128:WBY654211 VSC654128:VSC654211 VIG654128:VIG654211 UYK654128:UYK654211 UOO654128:UOO654211 UES654128:UES654211 TUW654128:TUW654211 TLA654128:TLA654211 TBE654128:TBE654211 SRI654128:SRI654211 SHM654128:SHM654211 RXQ654128:RXQ654211 RNU654128:RNU654211 RDY654128:RDY654211 QUC654128:QUC654211 QKG654128:QKG654211 QAK654128:QAK654211 PQO654128:PQO654211 PGS654128:PGS654211 OWW654128:OWW654211 ONA654128:ONA654211 ODE654128:ODE654211 NTI654128:NTI654211 NJM654128:NJM654211 MZQ654128:MZQ654211 MPU654128:MPU654211 MFY654128:MFY654211 LWC654128:LWC654211 LMG654128:LMG654211 LCK654128:LCK654211 KSO654128:KSO654211 KIS654128:KIS654211 JYW654128:JYW654211 JPA654128:JPA654211 JFE654128:JFE654211 IVI654128:IVI654211 ILM654128:ILM654211 IBQ654128:IBQ654211 HRU654128:HRU654211 HHY654128:HHY654211 GYC654128:GYC654211 GOG654128:GOG654211 GEK654128:GEK654211 FUO654128:FUO654211 FKS654128:FKS654211 FAW654128:FAW654211 ERA654128:ERA654211 EHE654128:EHE654211 DXI654128:DXI654211 DNM654128:DNM654211 DDQ654128:DDQ654211 CTU654128:CTU654211 CJY654128:CJY654211 CAC654128:CAC654211 BQG654128:BQG654211 BGK654128:BGK654211 AWO654128:AWO654211 AMS654128:AMS654211 ACW654128:ACW654211 TA654128:TA654211 JE654128:JE654211 I654149:I654232 WVQ588592:WVQ588675 WLU588592:WLU588675 WBY588592:WBY588675 VSC588592:VSC588675 VIG588592:VIG588675 UYK588592:UYK588675 UOO588592:UOO588675 UES588592:UES588675 TUW588592:TUW588675 TLA588592:TLA588675 TBE588592:TBE588675 SRI588592:SRI588675 SHM588592:SHM588675 RXQ588592:RXQ588675 RNU588592:RNU588675 RDY588592:RDY588675 QUC588592:QUC588675 QKG588592:QKG588675 QAK588592:QAK588675 PQO588592:PQO588675 PGS588592:PGS588675 OWW588592:OWW588675 ONA588592:ONA588675 ODE588592:ODE588675 NTI588592:NTI588675 NJM588592:NJM588675 MZQ588592:MZQ588675 MPU588592:MPU588675 MFY588592:MFY588675 LWC588592:LWC588675 LMG588592:LMG588675 LCK588592:LCK588675 KSO588592:KSO588675 KIS588592:KIS588675 JYW588592:JYW588675 JPA588592:JPA588675 JFE588592:JFE588675 IVI588592:IVI588675 ILM588592:ILM588675 IBQ588592:IBQ588675 HRU588592:HRU588675 HHY588592:HHY588675 GYC588592:GYC588675 GOG588592:GOG588675 GEK588592:GEK588675 FUO588592:FUO588675 FKS588592:FKS588675 FAW588592:FAW588675 ERA588592:ERA588675 EHE588592:EHE588675 DXI588592:DXI588675 DNM588592:DNM588675 DDQ588592:DDQ588675 CTU588592:CTU588675 CJY588592:CJY588675 CAC588592:CAC588675 BQG588592:BQG588675 BGK588592:BGK588675 AWO588592:AWO588675 AMS588592:AMS588675 ACW588592:ACW588675 TA588592:TA588675 JE588592:JE588675 I588613:I588696 WVQ523056:WVQ523139 WLU523056:WLU523139 WBY523056:WBY523139 VSC523056:VSC523139 VIG523056:VIG523139 UYK523056:UYK523139 UOO523056:UOO523139 UES523056:UES523139 TUW523056:TUW523139 TLA523056:TLA523139 TBE523056:TBE523139 SRI523056:SRI523139 SHM523056:SHM523139 RXQ523056:RXQ523139 RNU523056:RNU523139 RDY523056:RDY523139 QUC523056:QUC523139 QKG523056:QKG523139 QAK523056:QAK523139 PQO523056:PQO523139 PGS523056:PGS523139 OWW523056:OWW523139 ONA523056:ONA523139 ODE523056:ODE523139 NTI523056:NTI523139 NJM523056:NJM523139 MZQ523056:MZQ523139 MPU523056:MPU523139 MFY523056:MFY523139 LWC523056:LWC523139 LMG523056:LMG523139 LCK523056:LCK523139 KSO523056:KSO523139 KIS523056:KIS523139 JYW523056:JYW523139 JPA523056:JPA523139 JFE523056:JFE523139 IVI523056:IVI523139 ILM523056:ILM523139 IBQ523056:IBQ523139 HRU523056:HRU523139 HHY523056:HHY523139 GYC523056:GYC523139 GOG523056:GOG523139 GEK523056:GEK523139 FUO523056:FUO523139 FKS523056:FKS523139 FAW523056:FAW523139 ERA523056:ERA523139 EHE523056:EHE523139 DXI523056:DXI523139 DNM523056:DNM523139 DDQ523056:DDQ523139 CTU523056:CTU523139 CJY523056:CJY523139 CAC523056:CAC523139 BQG523056:BQG523139 BGK523056:BGK523139 AWO523056:AWO523139 AMS523056:AMS523139 ACW523056:ACW523139 TA523056:TA523139 JE523056:JE523139 I523077:I523160 WVQ457520:WVQ457603 WLU457520:WLU457603 WBY457520:WBY457603 VSC457520:VSC457603 VIG457520:VIG457603 UYK457520:UYK457603 UOO457520:UOO457603 UES457520:UES457603 TUW457520:TUW457603 TLA457520:TLA457603 TBE457520:TBE457603 SRI457520:SRI457603 SHM457520:SHM457603 RXQ457520:RXQ457603 RNU457520:RNU457603 RDY457520:RDY457603 QUC457520:QUC457603 QKG457520:QKG457603 QAK457520:QAK457603 PQO457520:PQO457603 PGS457520:PGS457603 OWW457520:OWW457603 ONA457520:ONA457603 ODE457520:ODE457603 NTI457520:NTI457603 NJM457520:NJM457603 MZQ457520:MZQ457603 MPU457520:MPU457603 MFY457520:MFY457603 LWC457520:LWC457603 LMG457520:LMG457603 LCK457520:LCK457603 KSO457520:KSO457603 KIS457520:KIS457603 JYW457520:JYW457603 JPA457520:JPA457603 JFE457520:JFE457603 IVI457520:IVI457603 ILM457520:ILM457603 IBQ457520:IBQ457603 HRU457520:HRU457603 HHY457520:HHY457603 GYC457520:GYC457603 GOG457520:GOG457603 GEK457520:GEK457603 FUO457520:FUO457603 FKS457520:FKS457603 FAW457520:FAW457603 ERA457520:ERA457603 EHE457520:EHE457603 DXI457520:DXI457603 DNM457520:DNM457603 DDQ457520:DDQ457603 CTU457520:CTU457603 CJY457520:CJY457603 CAC457520:CAC457603 BQG457520:BQG457603 BGK457520:BGK457603 AWO457520:AWO457603 AMS457520:AMS457603 ACW457520:ACW457603 TA457520:TA457603 JE457520:JE457603 I457541:I457624 WVQ391984:WVQ392067 WLU391984:WLU392067 WBY391984:WBY392067 VSC391984:VSC392067 VIG391984:VIG392067 UYK391984:UYK392067 UOO391984:UOO392067 UES391984:UES392067 TUW391984:TUW392067 TLA391984:TLA392067 TBE391984:TBE392067 SRI391984:SRI392067 SHM391984:SHM392067 RXQ391984:RXQ392067 RNU391984:RNU392067 RDY391984:RDY392067 QUC391984:QUC392067 QKG391984:QKG392067 QAK391984:QAK392067 PQO391984:PQO392067 PGS391984:PGS392067 OWW391984:OWW392067 ONA391984:ONA392067 ODE391984:ODE392067 NTI391984:NTI392067 NJM391984:NJM392067 MZQ391984:MZQ392067 MPU391984:MPU392067 MFY391984:MFY392067 LWC391984:LWC392067 LMG391984:LMG392067 LCK391984:LCK392067 KSO391984:KSO392067 KIS391984:KIS392067 JYW391984:JYW392067 JPA391984:JPA392067 JFE391984:JFE392067 IVI391984:IVI392067 ILM391984:ILM392067 IBQ391984:IBQ392067 HRU391984:HRU392067 HHY391984:HHY392067 GYC391984:GYC392067 GOG391984:GOG392067 GEK391984:GEK392067 FUO391984:FUO392067 FKS391984:FKS392067 FAW391984:FAW392067 ERA391984:ERA392067 EHE391984:EHE392067 DXI391984:DXI392067 DNM391984:DNM392067 DDQ391984:DDQ392067 CTU391984:CTU392067 CJY391984:CJY392067 CAC391984:CAC392067 BQG391984:BQG392067 BGK391984:BGK392067 AWO391984:AWO392067 AMS391984:AMS392067 ACW391984:ACW392067 TA391984:TA392067 JE391984:JE392067 I392005:I392088 WVQ326448:WVQ326531 WLU326448:WLU326531 WBY326448:WBY326531 VSC326448:VSC326531 VIG326448:VIG326531 UYK326448:UYK326531 UOO326448:UOO326531 UES326448:UES326531 TUW326448:TUW326531 TLA326448:TLA326531 TBE326448:TBE326531 SRI326448:SRI326531 SHM326448:SHM326531 RXQ326448:RXQ326531 RNU326448:RNU326531 RDY326448:RDY326531 QUC326448:QUC326531 QKG326448:QKG326531 QAK326448:QAK326531 PQO326448:PQO326531 PGS326448:PGS326531 OWW326448:OWW326531 ONA326448:ONA326531 ODE326448:ODE326531 NTI326448:NTI326531 NJM326448:NJM326531 MZQ326448:MZQ326531 MPU326448:MPU326531 MFY326448:MFY326531 LWC326448:LWC326531 LMG326448:LMG326531 LCK326448:LCK326531 KSO326448:KSO326531 KIS326448:KIS326531 JYW326448:JYW326531 JPA326448:JPA326531 JFE326448:JFE326531 IVI326448:IVI326531 ILM326448:ILM326531 IBQ326448:IBQ326531 HRU326448:HRU326531 HHY326448:HHY326531 GYC326448:GYC326531 GOG326448:GOG326531 GEK326448:GEK326531 FUO326448:FUO326531 FKS326448:FKS326531 FAW326448:FAW326531 ERA326448:ERA326531 EHE326448:EHE326531 DXI326448:DXI326531 DNM326448:DNM326531 DDQ326448:DDQ326531 CTU326448:CTU326531 CJY326448:CJY326531 CAC326448:CAC326531 BQG326448:BQG326531 BGK326448:BGK326531 AWO326448:AWO326531 AMS326448:AMS326531 ACW326448:ACW326531 TA326448:TA326531 JE326448:JE326531 I326469:I326552 WVQ260912:WVQ260995 WLU260912:WLU260995 WBY260912:WBY260995 VSC260912:VSC260995 VIG260912:VIG260995 UYK260912:UYK260995 UOO260912:UOO260995 UES260912:UES260995 TUW260912:TUW260995 TLA260912:TLA260995 TBE260912:TBE260995 SRI260912:SRI260995 SHM260912:SHM260995 RXQ260912:RXQ260995 RNU260912:RNU260995 RDY260912:RDY260995 QUC260912:QUC260995 QKG260912:QKG260995 QAK260912:QAK260995 PQO260912:PQO260995 PGS260912:PGS260995 OWW260912:OWW260995 ONA260912:ONA260995 ODE260912:ODE260995 NTI260912:NTI260995 NJM260912:NJM260995 MZQ260912:MZQ260995 MPU260912:MPU260995 MFY260912:MFY260995 LWC260912:LWC260995 LMG260912:LMG260995 LCK260912:LCK260995 KSO260912:KSO260995 KIS260912:KIS260995 JYW260912:JYW260995 JPA260912:JPA260995 JFE260912:JFE260995 IVI260912:IVI260995 ILM260912:ILM260995 IBQ260912:IBQ260995 HRU260912:HRU260995 HHY260912:HHY260995 GYC260912:GYC260995 GOG260912:GOG260995 GEK260912:GEK260995 FUO260912:FUO260995 FKS260912:FKS260995 FAW260912:FAW260995 ERA260912:ERA260995 EHE260912:EHE260995 DXI260912:DXI260995 DNM260912:DNM260995 DDQ260912:DDQ260995 CTU260912:CTU260995 CJY260912:CJY260995 CAC260912:CAC260995 BQG260912:BQG260995 BGK260912:BGK260995 AWO260912:AWO260995 AMS260912:AMS260995 ACW260912:ACW260995 TA260912:TA260995 JE260912:JE260995 I260933:I261016 WVQ195376:WVQ195459 WLU195376:WLU195459 WBY195376:WBY195459 VSC195376:VSC195459 VIG195376:VIG195459 UYK195376:UYK195459 UOO195376:UOO195459 UES195376:UES195459 TUW195376:TUW195459 TLA195376:TLA195459 TBE195376:TBE195459 SRI195376:SRI195459 SHM195376:SHM195459 RXQ195376:RXQ195459 RNU195376:RNU195459 RDY195376:RDY195459 QUC195376:QUC195459 QKG195376:QKG195459 QAK195376:QAK195459 PQO195376:PQO195459 PGS195376:PGS195459 OWW195376:OWW195459 ONA195376:ONA195459 ODE195376:ODE195459 NTI195376:NTI195459 NJM195376:NJM195459 MZQ195376:MZQ195459 MPU195376:MPU195459 MFY195376:MFY195459 LWC195376:LWC195459 LMG195376:LMG195459 LCK195376:LCK195459 KSO195376:KSO195459 KIS195376:KIS195459 JYW195376:JYW195459 JPA195376:JPA195459 JFE195376:JFE195459 IVI195376:IVI195459 ILM195376:ILM195459 IBQ195376:IBQ195459 HRU195376:HRU195459 HHY195376:HHY195459 GYC195376:GYC195459 GOG195376:GOG195459 GEK195376:GEK195459 FUO195376:FUO195459 FKS195376:FKS195459 FAW195376:FAW195459 ERA195376:ERA195459 EHE195376:EHE195459 DXI195376:DXI195459 DNM195376:DNM195459 DDQ195376:DDQ195459 CTU195376:CTU195459 CJY195376:CJY195459 CAC195376:CAC195459 BQG195376:BQG195459 BGK195376:BGK195459 AWO195376:AWO195459 AMS195376:AMS195459 ACW195376:ACW195459 TA195376:TA195459 JE195376:JE195459 I195397:I195480 WVQ129840:WVQ129923 WLU129840:WLU129923 WBY129840:WBY129923 VSC129840:VSC129923 VIG129840:VIG129923 UYK129840:UYK129923 UOO129840:UOO129923 UES129840:UES129923 TUW129840:TUW129923 TLA129840:TLA129923 TBE129840:TBE129923 SRI129840:SRI129923 SHM129840:SHM129923 RXQ129840:RXQ129923 RNU129840:RNU129923 RDY129840:RDY129923 QUC129840:QUC129923 QKG129840:QKG129923 QAK129840:QAK129923 PQO129840:PQO129923 PGS129840:PGS129923 OWW129840:OWW129923 ONA129840:ONA129923 ODE129840:ODE129923 NTI129840:NTI129923 NJM129840:NJM129923 MZQ129840:MZQ129923 MPU129840:MPU129923 MFY129840:MFY129923 LWC129840:LWC129923 LMG129840:LMG129923 LCK129840:LCK129923 KSO129840:KSO129923 KIS129840:KIS129923 JYW129840:JYW129923 JPA129840:JPA129923 JFE129840:JFE129923 IVI129840:IVI129923 ILM129840:ILM129923 IBQ129840:IBQ129923 HRU129840:HRU129923 HHY129840:HHY129923 GYC129840:GYC129923 GOG129840:GOG129923 GEK129840:GEK129923 FUO129840:FUO129923 FKS129840:FKS129923 FAW129840:FAW129923 ERA129840:ERA129923 EHE129840:EHE129923 DXI129840:DXI129923 DNM129840:DNM129923 DDQ129840:DDQ129923 CTU129840:CTU129923 CJY129840:CJY129923 CAC129840:CAC129923 BQG129840:BQG129923 BGK129840:BGK129923 AWO129840:AWO129923 AMS129840:AMS129923 ACW129840:ACW129923 TA129840:TA129923 JE129840:JE129923 I129861:I129944 WVQ64304:WVQ64387 WLU64304:WLU64387 WBY64304:WBY64387 VSC64304:VSC64387 VIG64304:VIG64387 UYK64304:UYK64387 UOO64304:UOO64387 UES64304:UES64387 TUW64304:TUW64387 TLA64304:TLA64387 TBE64304:TBE64387 SRI64304:SRI64387 SHM64304:SHM64387 RXQ64304:RXQ64387 RNU64304:RNU64387 RDY64304:RDY64387 QUC64304:QUC64387 QKG64304:QKG64387 QAK64304:QAK64387 PQO64304:PQO64387 PGS64304:PGS64387 OWW64304:OWW64387 ONA64304:ONA64387 ODE64304:ODE64387 NTI64304:NTI64387 NJM64304:NJM64387 MZQ64304:MZQ64387 MPU64304:MPU64387 MFY64304:MFY64387 LWC64304:LWC64387 LMG64304:LMG64387 LCK64304:LCK64387 KSO64304:KSO64387 KIS64304:KIS64387 JYW64304:JYW64387 JPA64304:JPA64387 JFE64304:JFE64387 IVI64304:IVI64387 ILM64304:ILM64387 IBQ64304:IBQ64387 HRU64304:HRU64387 HHY64304:HHY64387 GYC64304:GYC64387 GOG64304:GOG64387 GEK64304:GEK64387 FUO64304:FUO64387 FKS64304:FKS64387 FAW64304:FAW64387 ERA64304:ERA64387 EHE64304:EHE64387 DXI64304:DXI64387 DNM64304:DNM64387 DDQ64304:DDQ64387 CTU64304:CTU64387 CJY64304:CJY64387 CAC64304:CAC64387 BQG64304:BQG64387 BGK64304:BGK64387 AWO64304:AWO64387 AMS64304:AMS64387 ACW64304:ACW64387 TA64304:TA64387 JE64304:JE64387 I64325:I64408 I99:I503 I2:I97 WVQ2:WVQ76 WLU2:WLU76 WBY2:WBY76 VSC2:VSC76 VIG2:VIG76 UYK2:UYK76 UOO2:UOO76 UES2:UES76 TUW2:TUW76 TLA2:TLA76 TBE2:TBE76 SRI2:SRI76 SHM2:SHM76 RXQ2:RXQ76 RNU2:RNU76 RDY2:RDY76 QUC2:QUC76 QKG2:QKG76 QAK2:QAK76 PQO2:PQO76 PGS2:PGS76 OWW2:OWW76 ONA2:ONA76 ODE2:ODE76 NTI2:NTI76 NJM2:NJM76 MZQ2:MZQ76 MPU2:MPU76 MFY2:MFY76 LWC2:LWC76 LMG2:LMG76 LCK2:LCK76 KSO2:KSO76 KIS2:KIS76 JYW2:JYW76 JPA2:JPA76 JFE2:JFE76 IVI2:IVI76 ILM2:ILM76 IBQ2:IBQ76 HRU2:HRU76 HHY2:HHY76 GYC2:GYC76 GOG2:GOG76 GEK2:GEK76 FUO2:FUO76 FKS2:FKS76 FAW2:FAW76 ERA2:ERA76 EHE2:EHE76 DXI2:DXI76 DNM2:DNM76 DDQ2:DDQ76 CTU2:CTU76 CJY2:CJY76 CAC2:CAC76 BQG2:BQG76 BGK2:BGK76 AWO2:AWO76 AMS2:AMS76 ACW2:ACW76 TA2:TA76 JE2:JE76" xr:uid="{D5935A39-A645-4263-952E-6823F76951CD}">
      <formula1>$AN$5:$AN$6</formula1>
    </dataValidation>
    <dataValidation type="list" allowBlank="1" showInputMessage="1" showErrorMessage="1" sqref="WWG981808:WWI981891 WCO981808:WCQ981891 VSS981808:VSU981891 VIW981808:VIY981891 UZA981808:UZC981891 UPE981808:UPG981891 UFI981808:UFK981891 TVM981808:TVO981891 TLQ981808:TLS981891 TBU981808:TBW981891 SRY981808:SSA981891 SIC981808:SIE981891 RYG981808:RYI981891 ROK981808:ROM981891 REO981808:REQ981891 QUS981808:QUU981891 QKW981808:QKY981891 QBA981808:QBC981891 PRE981808:PRG981891 PHI981808:PHK981891 OXM981808:OXO981891 ONQ981808:ONS981891 ODU981808:ODW981891 NTY981808:NUA981891 NKC981808:NKE981891 NAG981808:NAI981891 MQK981808:MQM981891 MGO981808:MGQ981891 LWS981808:LWU981891 LMW981808:LMY981891 LDA981808:LDC981891 KTE981808:KTG981891 KJI981808:KJK981891 JZM981808:JZO981891 JPQ981808:JPS981891 JFU981808:JFW981891 IVY981808:IWA981891 IMC981808:IME981891 ICG981808:ICI981891 HSK981808:HSM981891 HIO981808:HIQ981891 GYS981808:GYU981891 GOW981808:GOY981891 GFA981808:GFC981891 FVE981808:FVG981891 FLI981808:FLK981891 FBM981808:FBO981891 ERQ981808:ERS981891 EHU981808:EHW981891 DXY981808:DYA981891 DOC981808:DOE981891 DEG981808:DEI981891 CUK981808:CUM981891 CKO981808:CKQ981891 CAS981808:CAU981891 BQW981808:BQY981891 BHA981808:BHC981891 AXE981808:AXG981891 ANI981808:ANK981891 ADM981808:ADO981891 TQ981808:TS981891 JU981808:JW981891 Y981808:AA981891 WWG916272:WWI916355 WMK916272:WMM916355 WCO916272:WCQ916355 VSS916272:VSU916355 VIW916272:VIY916355 UZA916272:UZC916355 UPE916272:UPG916355 UFI916272:UFK916355 TVM916272:TVO916355 TLQ916272:TLS916355 TBU916272:TBW916355 SRY916272:SSA916355 SIC916272:SIE916355 RYG916272:RYI916355 ROK916272:ROM916355 REO916272:REQ916355 QUS916272:QUU916355 QKW916272:QKY916355 QBA916272:QBC916355 PRE916272:PRG916355 PHI916272:PHK916355 OXM916272:OXO916355 ONQ916272:ONS916355 ODU916272:ODW916355 NTY916272:NUA916355 NKC916272:NKE916355 NAG916272:NAI916355 MQK916272:MQM916355 MGO916272:MGQ916355 LWS916272:LWU916355 LMW916272:LMY916355 LDA916272:LDC916355 KTE916272:KTG916355 KJI916272:KJK916355 JZM916272:JZO916355 JPQ916272:JPS916355 JFU916272:JFW916355 IVY916272:IWA916355 IMC916272:IME916355 ICG916272:ICI916355 HSK916272:HSM916355 HIO916272:HIQ916355 GYS916272:GYU916355 GOW916272:GOY916355 GFA916272:GFC916355 FVE916272:FVG916355 FLI916272:FLK916355 FBM916272:FBO916355 ERQ916272:ERS916355 EHU916272:EHW916355 DXY916272:DYA916355 DOC916272:DOE916355 DEG916272:DEI916355 CUK916272:CUM916355 CKO916272:CKQ916355 CAS916272:CAU916355 BQW916272:BQY916355 BHA916272:BHC916355 AXE916272:AXG916355 ANI916272:ANK916355 ADM916272:ADO916355 TQ916272:TS916355 JU916272:JW916355 Y916272:AA916355 WWG850736:WWI850819 WMK850736:WMM850819 WCO850736:WCQ850819 VSS850736:VSU850819 VIW850736:VIY850819 UZA850736:UZC850819 UPE850736:UPG850819 UFI850736:UFK850819 TVM850736:TVO850819 TLQ850736:TLS850819 TBU850736:TBW850819 SRY850736:SSA850819 SIC850736:SIE850819 RYG850736:RYI850819 ROK850736:ROM850819 REO850736:REQ850819 QUS850736:QUU850819 QKW850736:QKY850819 QBA850736:QBC850819 PRE850736:PRG850819 PHI850736:PHK850819 OXM850736:OXO850819 ONQ850736:ONS850819 ODU850736:ODW850819 NTY850736:NUA850819 NKC850736:NKE850819 NAG850736:NAI850819 MQK850736:MQM850819 MGO850736:MGQ850819 LWS850736:LWU850819 LMW850736:LMY850819 LDA850736:LDC850819 KTE850736:KTG850819 KJI850736:KJK850819 JZM850736:JZO850819 JPQ850736:JPS850819 JFU850736:JFW850819 IVY850736:IWA850819 IMC850736:IME850819 ICG850736:ICI850819 HSK850736:HSM850819 HIO850736:HIQ850819 GYS850736:GYU850819 GOW850736:GOY850819 GFA850736:GFC850819 FVE850736:FVG850819 FLI850736:FLK850819 FBM850736:FBO850819 ERQ850736:ERS850819 EHU850736:EHW850819 DXY850736:DYA850819 DOC850736:DOE850819 DEG850736:DEI850819 CUK850736:CUM850819 CKO850736:CKQ850819 CAS850736:CAU850819 BQW850736:BQY850819 BHA850736:BHC850819 AXE850736:AXG850819 ANI850736:ANK850819 ADM850736:ADO850819 TQ850736:TS850819 JU850736:JW850819 Y850736:AA850819 WWG785200:WWI785283 WMK785200:WMM785283 WCO785200:WCQ785283 VSS785200:VSU785283 VIW785200:VIY785283 UZA785200:UZC785283 UPE785200:UPG785283 UFI785200:UFK785283 TVM785200:TVO785283 TLQ785200:TLS785283 TBU785200:TBW785283 SRY785200:SSA785283 SIC785200:SIE785283 RYG785200:RYI785283 ROK785200:ROM785283 REO785200:REQ785283 QUS785200:QUU785283 QKW785200:QKY785283 QBA785200:QBC785283 PRE785200:PRG785283 PHI785200:PHK785283 OXM785200:OXO785283 ONQ785200:ONS785283 ODU785200:ODW785283 NTY785200:NUA785283 NKC785200:NKE785283 NAG785200:NAI785283 MQK785200:MQM785283 MGO785200:MGQ785283 LWS785200:LWU785283 LMW785200:LMY785283 LDA785200:LDC785283 KTE785200:KTG785283 KJI785200:KJK785283 JZM785200:JZO785283 JPQ785200:JPS785283 JFU785200:JFW785283 IVY785200:IWA785283 IMC785200:IME785283 ICG785200:ICI785283 HSK785200:HSM785283 HIO785200:HIQ785283 GYS785200:GYU785283 GOW785200:GOY785283 GFA785200:GFC785283 FVE785200:FVG785283 FLI785200:FLK785283 FBM785200:FBO785283 ERQ785200:ERS785283 EHU785200:EHW785283 DXY785200:DYA785283 DOC785200:DOE785283 DEG785200:DEI785283 CUK785200:CUM785283 CKO785200:CKQ785283 CAS785200:CAU785283 BQW785200:BQY785283 BHA785200:BHC785283 AXE785200:AXG785283 ANI785200:ANK785283 ADM785200:ADO785283 TQ785200:TS785283 JU785200:JW785283 Y785200:AA785283 WWG719664:WWI719747 WMK719664:WMM719747 WCO719664:WCQ719747 VSS719664:VSU719747 VIW719664:VIY719747 UZA719664:UZC719747 UPE719664:UPG719747 UFI719664:UFK719747 TVM719664:TVO719747 TLQ719664:TLS719747 TBU719664:TBW719747 SRY719664:SSA719747 SIC719664:SIE719747 RYG719664:RYI719747 ROK719664:ROM719747 REO719664:REQ719747 QUS719664:QUU719747 QKW719664:QKY719747 QBA719664:QBC719747 PRE719664:PRG719747 PHI719664:PHK719747 OXM719664:OXO719747 ONQ719664:ONS719747 ODU719664:ODW719747 NTY719664:NUA719747 NKC719664:NKE719747 NAG719664:NAI719747 MQK719664:MQM719747 MGO719664:MGQ719747 LWS719664:LWU719747 LMW719664:LMY719747 LDA719664:LDC719747 KTE719664:KTG719747 KJI719664:KJK719747 JZM719664:JZO719747 JPQ719664:JPS719747 JFU719664:JFW719747 IVY719664:IWA719747 IMC719664:IME719747 ICG719664:ICI719747 HSK719664:HSM719747 HIO719664:HIQ719747 GYS719664:GYU719747 GOW719664:GOY719747 GFA719664:GFC719747 FVE719664:FVG719747 FLI719664:FLK719747 FBM719664:FBO719747 ERQ719664:ERS719747 EHU719664:EHW719747 DXY719664:DYA719747 DOC719664:DOE719747 DEG719664:DEI719747 CUK719664:CUM719747 CKO719664:CKQ719747 CAS719664:CAU719747 BQW719664:BQY719747 BHA719664:BHC719747 AXE719664:AXG719747 ANI719664:ANK719747 ADM719664:ADO719747 TQ719664:TS719747 JU719664:JW719747 Y719664:AA719747 WWG654128:WWI654211 WMK654128:WMM654211 WCO654128:WCQ654211 VSS654128:VSU654211 VIW654128:VIY654211 UZA654128:UZC654211 UPE654128:UPG654211 UFI654128:UFK654211 TVM654128:TVO654211 TLQ654128:TLS654211 TBU654128:TBW654211 SRY654128:SSA654211 SIC654128:SIE654211 RYG654128:RYI654211 ROK654128:ROM654211 REO654128:REQ654211 QUS654128:QUU654211 QKW654128:QKY654211 QBA654128:QBC654211 PRE654128:PRG654211 PHI654128:PHK654211 OXM654128:OXO654211 ONQ654128:ONS654211 ODU654128:ODW654211 NTY654128:NUA654211 NKC654128:NKE654211 NAG654128:NAI654211 MQK654128:MQM654211 MGO654128:MGQ654211 LWS654128:LWU654211 LMW654128:LMY654211 LDA654128:LDC654211 KTE654128:KTG654211 KJI654128:KJK654211 JZM654128:JZO654211 JPQ654128:JPS654211 JFU654128:JFW654211 IVY654128:IWA654211 IMC654128:IME654211 ICG654128:ICI654211 HSK654128:HSM654211 HIO654128:HIQ654211 GYS654128:GYU654211 GOW654128:GOY654211 GFA654128:GFC654211 FVE654128:FVG654211 FLI654128:FLK654211 FBM654128:FBO654211 ERQ654128:ERS654211 EHU654128:EHW654211 DXY654128:DYA654211 DOC654128:DOE654211 DEG654128:DEI654211 CUK654128:CUM654211 CKO654128:CKQ654211 CAS654128:CAU654211 BQW654128:BQY654211 BHA654128:BHC654211 AXE654128:AXG654211 ANI654128:ANK654211 ADM654128:ADO654211 TQ654128:TS654211 JU654128:JW654211 Y654128:AA654211 WWG588592:WWI588675 WMK588592:WMM588675 WCO588592:WCQ588675 VSS588592:VSU588675 VIW588592:VIY588675 UZA588592:UZC588675 UPE588592:UPG588675 UFI588592:UFK588675 TVM588592:TVO588675 TLQ588592:TLS588675 TBU588592:TBW588675 SRY588592:SSA588675 SIC588592:SIE588675 RYG588592:RYI588675 ROK588592:ROM588675 REO588592:REQ588675 QUS588592:QUU588675 QKW588592:QKY588675 QBA588592:QBC588675 PRE588592:PRG588675 PHI588592:PHK588675 OXM588592:OXO588675 ONQ588592:ONS588675 ODU588592:ODW588675 NTY588592:NUA588675 NKC588592:NKE588675 NAG588592:NAI588675 MQK588592:MQM588675 MGO588592:MGQ588675 LWS588592:LWU588675 LMW588592:LMY588675 LDA588592:LDC588675 KTE588592:KTG588675 KJI588592:KJK588675 JZM588592:JZO588675 JPQ588592:JPS588675 JFU588592:JFW588675 IVY588592:IWA588675 IMC588592:IME588675 ICG588592:ICI588675 HSK588592:HSM588675 HIO588592:HIQ588675 GYS588592:GYU588675 GOW588592:GOY588675 GFA588592:GFC588675 FVE588592:FVG588675 FLI588592:FLK588675 FBM588592:FBO588675 ERQ588592:ERS588675 EHU588592:EHW588675 DXY588592:DYA588675 DOC588592:DOE588675 DEG588592:DEI588675 CUK588592:CUM588675 CKO588592:CKQ588675 CAS588592:CAU588675 BQW588592:BQY588675 BHA588592:BHC588675 AXE588592:AXG588675 ANI588592:ANK588675 ADM588592:ADO588675 TQ588592:TS588675 JU588592:JW588675 Y588592:AA588675 WWG523056:WWI523139 WMK523056:WMM523139 WCO523056:WCQ523139 VSS523056:VSU523139 VIW523056:VIY523139 UZA523056:UZC523139 UPE523056:UPG523139 UFI523056:UFK523139 TVM523056:TVO523139 TLQ523056:TLS523139 TBU523056:TBW523139 SRY523056:SSA523139 SIC523056:SIE523139 RYG523056:RYI523139 ROK523056:ROM523139 REO523056:REQ523139 QUS523056:QUU523139 QKW523056:QKY523139 QBA523056:QBC523139 PRE523056:PRG523139 PHI523056:PHK523139 OXM523056:OXO523139 ONQ523056:ONS523139 ODU523056:ODW523139 NTY523056:NUA523139 NKC523056:NKE523139 NAG523056:NAI523139 MQK523056:MQM523139 MGO523056:MGQ523139 LWS523056:LWU523139 LMW523056:LMY523139 LDA523056:LDC523139 KTE523056:KTG523139 KJI523056:KJK523139 JZM523056:JZO523139 JPQ523056:JPS523139 JFU523056:JFW523139 IVY523056:IWA523139 IMC523056:IME523139 ICG523056:ICI523139 HSK523056:HSM523139 HIO523056:HIQ523139 GYS523056:GYU523139 GOW523056:GOY523139 GFA523056:GFC523139 FVE523056:FVG523139 FLI523056:FLK523139 FBM523056:FBO523139 ERQ523056:ERS523139 EHU523056:EHW523139 DXY523056:DYA523139 DOC523056:DOE523139 DEG523056:DEI523139 CUK523056:CUM523139 CKO523056:CKQ523139 CAS523056:CAU523139 BQW523056:BQY523139 BHA523056:BHC523139 AXE523056:AXG523139 ANI523056:ANK523139 ADM523056:ADO523139 TQ523056:TS523139 JU523056:JW523139 Y523056:AA523139 WWG457520:WWI457603 WMK457520:WMM457603 WCO457520:WCQ457603 VSS457520:VSU457603 VIW457520:VIY457603 UZA457520:UZC457603 UPE457520:UPG457603 UFI457520:UFK457603 TVM457520:TVO457603 TLQ457520:TLS457603 TBU457520:TBW457603 SRY457520:SSA457603 SIC457520:SIE457603 RYG457520:RYI457603 ROK457520:ROM457603 REO457520:REQ457603 QUS457520:QUU457603 QKW457520:QKY457603 QBA457520:QBC457603 PRE457520:PRG457603 PHI457520:PHK457603 OXM457520:OXO457603 ONQ457520:ONS457603 ODU457520:ODW457603 NTY457520:NUA457603 NKC457520:NKE457603 NAG457520:NAI457603 MQK457520:MQM457603 MGO457520:MGQ457603 LWS457520:LWU457603 LMW457520:LMY457603 LDA457520:LDC457603 KTE457520:KTG457603 KJI457520:KJK457603 JZM457520:JZO457603 JPQ457520:JPS457603 JFU457520:JFW457603 IVY457520:IWA457603 IMC457520:IME457603 ICG457520:ICI457603 HSK457520:HSM457603 HIO457520:HIQ457603 GYS457520:GYU457603 GOW457520:GOY457603 GFA457520:GFC457603 FVE457520:FVG457603 FLI457520:FLK457603 FBM457520:FBO457603 ERQ457520:ERS457603 EHU457520:EHW457603 DXY457520:DYA457603 DOC457520:DOE457603 DEG457520:DEI457603 CUK457520:CUM457603 CKO457520:CKQ457603 CAS457520:CAU457603 BQW457520:BQY457603 BHA457520:BHC457603 AXE457520:AXG457603 ANI457520:ANK457603 ADM457520:ADO457603 TQ457520:TS457603 JU457520:JW457603 Y457520:AA457603 WWG391984:WWI392067 WMK391984:WMM392067 WCO391984:WCQ392067 VSS391984:VSU392067 VIW391984:VIY392067 UZA391984:UZC392067 UPE391984:UPG392067 UFI391984:UFK392067 TVM391984:TVO392067 TLQ391984:TLS392067 TBU391984:TBW392067 SRY391984:SSA392067 SIC391984:SIE392067 RYG391984:RYI392067 ROK391984:ROM392067 REO391984:REQ392067 QUS391984:QUU392067 QKW391984:QKY392067 QBA391984:QBC392067 PRE391984:PRG392067 PHI391984:PHK392067 OXM391984:OXO392067 ONQ391984:ONS392067 ODU391984:ODW392067 NTY391984:NUA392067 NKC391984:NKE392067 NAG391984:NAI392067 MQK391984:MQM392067 MGO391984:MGQ392067 LWS391984:LWU392067 LMW391984:LMY392067 LDA391984:LDC392067 KTE391984:KTG392067 KJI391984:KJK392067 JZM391984:JZO392067 JPQ391984:JPS392067 JFU391984:JFW392067 IVY391984:IWA392067 IMC391984:IME392067 ICG391984:ICI392067 HSK391984:HSM392067 HIO391984:HIQ392067 GYS391984:GYU392067 GOW391984:GOY392067 GFA391984:GFC392067 FVE391984:FVG392067 FLI391984:FLK392067 FBM391984:FBO392067 ERQ391984:ERS392067 EHU391984:EHW392067 DXY391984:DYA392067 DOC391984:DOE392067 DEG391984:DEI392067 CUK391984:CUM392067 CKO391984:CKQ392067 CAS391984:CAU392067 BQW391984:BQY392067 BHA391984:BHC392067 AXE391984:AXG392067 ANI391984:ANK392067 ADM391984:ADO392067 TQ391984:TS392067 JU391984:JW392067 Y391984:AA392067 WWG326448:WWI326531 WMK326448:WMM326531 WCO326448:WCQ326531 VSS326448:VSU326531 VIW326448:VIY326531 UZA326448:UZC326531 UPE326448:UPG326531 UFI326448:UFK326531 TVM326448:TVO326531 TLQ326448:TLS326531 TBU326448:TBW326531 SRY326448:SSA326531 SIC326448:SIE326531 RYG326448:RYI326531 ROK326448:ROM326531 REO326448:REQ326531 QUS326448:QUU326531 QKW326448:QKY326531 QBA326448:QBC326531 PRE326448:PRG326531 PHI326448:PHK326531 OXM326448:OXO326531 ONQ326448:ONS326531 ODU326448:ODW326531 NTY326448:NUA326531 NKC326448:NKE326531 NAG326448:NAI326531 MQK326448:MQM326531 MGO326448:MGQ326531 LWS326448:LWU326531 LMW326448:LMY326531 LDA326448:LDC326531 KTE326448:KTG326531 KJI326448:KJK326531 JZM326448:JZO326531 JPQ326448:JPS326531 JFU326448:JFW326531 IVY326448:IWA326531 IMC326448:IME326531 ICG326448:ICI326531 HSK326448:HSM326531 HIO326448:HIQ326531 GYS326448:GYU326531 GOW326448:GOY326531 GFA326448:GFC326531 FVE326448:FVG326531 FLI326448:FLK326531 FBM326448:FBO326531 ERQ326448:ERS326531 EHU326448:EHW326531 DXY326448:DYA326531 DOC326448:DOE326531 DEG326448:DEI326531 CUK326448:CUM326531 CKO326448:CKQ326531 CAS326448:CAU326531 BQW326448:BQY326531 BHA326448:BHC326531 AXE326448:AXG326531 ANI326448:ANK326531 ADM326448:ADO326531 TQ326448:TS326531 JU326448:JW326531 Y326448:AA326531 WWG260912:WWI260995 WMK260912:WMM260995 WCO260912:WCQ260995 VSS260912:VSU260995 VIW260912:VIY260995 UZA260912:UZC260995 UPE260912:UPG260995 UFI260912:UFK260995 TVM260912:TVO260995 TLQ260912:TLS260995 TBU260912:TBW260995 SRY260912:SSA260995 SIC260912:SIE260995 RYG260912:RYI260995 ROK260912:ROM260995 REO260912:REQ260995 QUS260912:QUU260995 QKW260912:QKY260995 QBA260912:QBC260995 PRE260912:PRG260995 PHI260912:PHK260995 OXM260912:OXO260995 ONQ260912:ONS260995 ODU260912:ODW260995 NTY260912:NUA260995 NKC260912:NKE260995 NAG260912:NAI260995 MQK260912:MQM260995 MGO260912:MGQ260995 LWS260912:LWU260995 LMW260912:LMY260995 LDA260912:LDC260995 KTE260912:KTG260995 KJI260912:KJK260995 JZM260912:JZO260995 JPQ260912:JPS260995 JFU260912:JFW260995 IVY260912:IWA260995 IMC260912:IME260995 ICG260912:ICI260995 HSK260912:HSM260995 HIO260912:HIQ260995 GYS260912:GYU260995 GOW260912:GOY260995 GFA260912:GFC260995 FVE260912:FVG260995 FLI260912:FLK260995 FBM260912:FBO260995 ERQ260912:ERS260995 EHU260912:EHW260995 DXY260912:DYA260995 DOC260912:DOE260995 DEG260912:DEI260995 CUK260912:CUM260995 CKO260912:CKQ260995 CAS260912:CAU260995 BQW260912:BQY260995 BHA260912:BHC260995 AXE260912:AXG260995 ANI260912:ANK260995 ADM260912:ADO260995 TQ260912:TS260995 JU260912:JW260995 Y260912:AA260995 WWG195376:WWI195459 WMK195376:WMM195459 WCO195376:WCQ195459 VSS195376:VSU195459 VIW195376:VIY195459 UZA195376:UZC195459 UPE195376:UPG195459 UFI195376:UFK195459 TVM195376:TVO195459 TLQ195376:TLS195459 TBU195376:TBW195459 SRY195376:SSA195459 SIC195376:SIE195459 RYG195376:RYI195459 ROK195376:ROM195459 REO195376:REQ195459 QUS195376:QUU195459 QKW195376:QKY195459 QBA195376:QBC195459 PRE195376:PRG195459 PHI195376:PHK195459 OXM195376:OXO195459 ONQ195376:ONS195459 ODU195376:ODW195459 NTY195376:NUA195459 NKC195376:NKE195459 NAG195376:NAI195459 MQK195376:MQM195459 MGO195376:MGQ195459 LWS195376:LWU195459 LMW195376:LMY195459 LDA195376:LDC195459 KTE195376:KTG195459 KJI195376:KJK195459 JZM195376:JZO195459 JPQ195376:JPS195459 JFU195376:JFW195459 IVY195376:IWA195459 IMC195376:IME195459 ICG195376:ICI195459 HSK195376:HSM195459 HIO195376:HIQ195459 GYS195376:GYU195459 GOW195376:GOY195459 GFA195376:GFC195459 FVE195376:FVG195459 FLI195376:FLK195459 FBM195376:FBO195459 ERQ195376:ERS195459 EHU195376:EHW195459 DXY195376:DYA195459 DOC195376:DOE195459 DEG195376:DEI195459 CUK195376:CUM195459 CKO195376:CKQ195459 CAS195376:CAU195459 BQW195376:BQY195459 BHA195376:BHC195459 AXE195376:AXG195459 ANI195376:ANK195459 ADM195376:ADO195459 TQ195376:TS195459 JU195376:JW195459 Y195376:AA195459 WWG129840:WWI129923 WMK129840:WMM129923 WCO129840:WCQ129923 VSS129840:VSU129923 VIW129840:VIY129923 UZA129840:UZC129923 UPE129840:UPG129923 UFI129840:UFK129923 TVM129840:TVO129923 TLQ129840:TLS129923 TBU129840:TBW129923 SRY129840:SSA129923 SIC129840:SIE129923 RYG129840:RYI129923 ROK129840:ROM129923 REO129840:REQ129923 QUS129840:QUU129923 QKW129840:QKY129923 QBA129840:QBC129923 PRE129840:PRG129923 PHI129840:PHK129923 OXM129840:OXO129923 ONQ129840:ONS129923 ODU129840:ODW129923 NTY129840:NUA129923 NKC129840:NKE129923 NAG129840:NAI129923 MQK129840:MQM129923 MGO129840:MGQ129923 LWS129840:LWU129923 LMW129840:LMY129923 LDA129840:LDC129923 KTE129840:KTG129923 KJI129840:KJK129923 JZM129840:JZO129923 JPQ129840:JPS129923 JFU129840:JFW129923 IVY129840:IWA129923 IMC129840:IME129923 ICG129840:ICI129923 HSK129840:HSM129923 HIO129840:HIQ129923 GYS129840:GYU129923 GOW129840:GOY129923 GFA129840:GFC129923 FVE129840:FVG129923 FLI129840:FLK129923 FBM129840:FBO129923 ERQ129840:ERS129923 EHU129840:EHW129923 DXY129840:DYA129923 DOC129840:DOE129923 DEG129840:DEI129923 CUK129840:CUM129923 CKO129840:CKQ129923 CAS129840:CAU129923 BQW129840:BQY129923 BHA129840:BHC129923 AXE129840:AXG129923 ANI129840:ANK129923 ADM129840:ADO129923 TQ129840:TS129923 JU129840:JW129923 Y129840:AA129923 WWG64304:WWI64387 WMK64304:WMM64387 WCO64304:WCQ64387 VSS64304:VSU64387 VIW64304:VIY64387 UZA64304:UZC64387 UPE64304:UPG64387 UFI64304:UFK64387 TVM64304:TVO64387 TLQ64304:TLS64387 TBU64304:TBW64387 SRY64304:SSA64387 SIC64304:SIE64387 RYG64304:RYI64387 ROK64304:ROM64387 REO64304:REQ64387 QUS64304:QUU64387 QKW64304:QKY64387 QBA64304:QBC64387 PRE64304:PRG64387 PHI64304:PHK64387 OXM64304:OXO64387 ONQ64304:ONS64387 ODU64304:ODW64387 NTY64304:NUA64387 NKC64304:NKE64387 NAG64304:NAI64387 MQK64304:MQM64387 MGO64304:MGQ64387 LWS64304:LWU64387 LMW64304:LMY64387 LDA64304:LDC64387 KTE64304:KTG64387 KJI64304:KJK64387 JZM64304:JZO64387 JPQ64304:JPS64387 JFU64304:JFW64387 IVY64304:IWA64387 IMC64304:IME64387 ICG64304:ICI64387 HSK64304:HSM64387 HIO64304:HIQ64387 GYS64304:GYU64387 GOW64304:GOY64387 GFA64304:GFC64387 FVE64304:FVG64387 FLI64304:FLK64387 FBM64304:FBO64387 ERQ64304:ERS64387 EHU64304:EHW64387 DXY64304:DYA64387 DOC64304:DOE64387 DEG64304:DEI64387 CUK64304:CUM64387 CKO64304:CKQ64387 CAS64304:CAU64387 BQW64304:BQY64387 BHA64304:BHC64387 AXE64304:AXG64387 ANI64304:ANK64387 ADM64304:ADO64387 TQ64304:TS64387 JU64304:JW64387 Y64304:AA64387 WMK981808:WMM981891 JU2:JW76 TQ2:TS76 ADM2:ADO76 ANI2:ANK76 AXE2:AXG76 BHA2:BHC76 BQW2:BQY76 CAS2:CAU76 CKO2:CKQ76 CUK2:CUM76 DEG2:DEI76 DOC2:DOE76 DXY2:DYA76 EHU2:EHW76 ERQ2:ERS76 FBM2:FBO76 FLI2:FLK76 FVE2:FVG76 GFA2:GFC76 GOW2:GOY76 GYS2:GYU76 HIO2:HIQ76 HSK2:HSM76 ICG2:ICI76 IMC2:IME76 IVY2:IWA76 JFU2:JFW76 JPQ2:JPS76 JZM2:JZO76 KJI2:KJK76 KTE2:KTG76 LDA2:LDC76 LMW2:LMY76 LWS2:LWU76 MGO2:MGQ76 MQK2:MQM76 NAG2:NAI76 NKC2:NKE76 NTY2:NUA76 ODU2:ODW76 ONQ2:ONS76 OXM2:OXO76 PHI2:PHK76 PRE2:PRG76 QBA2:QBC76 QKW2:QKY76 QUS2:QUU76 REO2:REQ76 ROK2:ROM76 RYG2:RYI76 SIC2:SIE76 SRY2:SSA76 TBU2:TBW76 TLQ2:TLS76 TVM2:TVO76 UFI2:UFK76 UPE2:UPG76 UZA2:UZC76 VIW2:VIY76 VSS2:VSU76 WCO2:WCQ76 WMK2:WMM76 WWG2:WWI76" xr:uid="{E938BF90-4CA3-4909-8DF8-8AD73B15038B}">
      <formula1>$AV$2:$AV$25</formula1>
    </dataValidation>
    <dataValidation type="list" allowBlank="1" showInputMessage="1" showErrorMessage="1" sqref="F101:F505 F2:F99" xr:uid="{42CEB88E-55A9-4E47-B201-A097612F8F23}">
      <formula1>$AH$2:$AH$13</formula1>
    </dataValidation>
    <dataValidation type="list" allowBlank="1" showInputMessage="1" showErrorMessage="1" sqref="E101:E505 E2:E99" xr:uid="{890D7E18-7FE9-4DEF-920C-A1EA04051D3B}">
      <formula1>$AG$2:$AG$14</formula1>
    </dataValidation>
    <dataValidation type="list" allowBlank="1" showInputMessage="1" showErrorMessage="1" sqref="A99:A503 A2:A97" xr:uid="{21014E73-61BD-499C-A990-FD3582246C6D}">
      <formula1>$AE$2:$AE$22</formula1>
    </dataValidation>
    <dataValidation type="list" allowBlank="1" showInputMessage="1" showErrorMessage="1" sqref="H99:H503 H2:H97" xr:uid="{6585B3D5-0816-4CCF-AA71-A8607D2904FD}">
      <formula1>$AL$2:$AL$11</formula1>
    </dataValidation>
    <dataValidation type="list" allowBlank="1" showInputMessage="1" showErrorMessage="1" sqref="Y99:AA503 Y2:AA97" xr:uid="{A322B782-44E3-43FE-8C57-59AEAF554F7C}">
      <formula1>$AV$2:$AV$24</formula1>
    </dataValidation>
    <dataValidation type="decimal" allowBlank="1" showInputMessage="1" showErrorMessage="1" error="硬度を正しく入力して下さい。" sqref="O99:P503 O21:P22 P18 P16 O32:P34 O74:P97 O26:P28 O38:P49" xr:uid="{B59FE8DC-22B8-4F6E-BA0D-EF79A52F6D73}">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1AD16-68A2-4FDC-BC40-F1A9DC5DA9DD}">
  <dimension ref="A1:BA142"/>
  <sheetViews>
    <sheetView topLeftCell="A25" zoomScale="85" zoomScaleNormal="85" workbookViewId="0">
      <selection activeCell="M28" sqref="M28"/>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314</v>
      </c>
      <c r="O1" s="56" t="s">
        <v>14</v>
      </c>
      <c r="P1" s="56" t="s">
        <v>15</v>
      </c>
      <c r="Q1" s="3" t="s">
        <v>16</v>
      </c>
      <c r="R1" s="56" t="s">
        <v>17</v>
      </c>
      <c r="S1" s="56" t="s">
        <v>18</v>
      </c>
      <c r="T1" s="3" t="s">
        <v>19</v>
      </c>
      <c r="U1" s="58" t="s">
        <v>315</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234</v>
      </c>
      <c r="C2" s="62">
        <v>2019</v>
      </c>
      <c r="D2" s="137" t="s">
        <v>167</v>
      </c>
      <c r="E2" s="53" t="s">
        <v>316</v>
      </c>
      <c r="F2" s="53" t="s">
        <v>317</v>
      </c>
      <c r="G2" s="53" t="s">
        <v>36</v>
      </c>
      <c r="H2" s="53" t="s">
        <v>164</v>
      </c>
      <c r="I2" s="53" t="s">
        <v>159</v>
      </c>
      <c r="J2" s="53" t="s">
        <v>38</v>
      </c>
      <c r="K2" s="53" t="s">
        <v>161</v>
      </c>
      <c r="L2" s="53">
        <v>1</v>
      </c>
      <c r="N2" s="53">
        <v>5</v>
      </c>
      <c r="O2" s="53">
        <v>0.35</v>
      </c>
      <c r="P2" s="53">
        <v>0.42</v>
      </c>
      <c r="Q2" s="75">
        <f>IF(OR(O2="",P2=""),"",AVERAGE(O2,P2))</f>
        <v>0.38500000000000001</v>
      </c>
      <c r="R2" s="53">
        <v>14.4</v>
      </c>
      <c r="S2" s="53">
        <v>91</v>
      </c>
      <c r="T2" s="16">
        <f t="shared" ref="T2:T64" si="0">IF(H2="","",IF(OR(H2="GREEN",H2="GK"),IF(S2&gt;=$AX$2,VLOOKUP(S2,$AX$2:$AY$12,2,1),""),IF(S2&gt;=$AZ$2,VLOOKUP(S2,$AZ$2:$BA$12,2,1),"")))</f>
        <v>36</v>
      </c>
      <c r="U2" s="53">
        <v>348</v>
      </c>
      <c r="V2" s="16">
        <f t="shared" ref="V2:V64" si="1">IF(J2="","",IF(OR(J2="GREEN",J2="GK"),IF(U2&gt;=$AX$2,VLOOKUP(U2,$AX$2:$AY$12,2,1),""),IF(U2&gt;=$AZ$2,VLOOKUP(U2,$AZ$2:$BA$12,2,1),"")))</f>
        <v>16</v>
      </c>
      <c r="W2" s="53">
        <v>2</v>
      </c>
      <c r="X2" s="53" t="s">
        <v>46</v>
      </c>
      <c r="Y2" s="53" t="s">
        <v>90</v>
      </c>
      <c r="Z2" s="53" t="s">
        <v>84</v>
      </c>
      <c r="AA2" s="53" t="s">
        <v>78</v>
      </c>
      <c r="AB2" s="53" t="s">
        <v>318</v>
      </c>
      <c r="AE2" s="64" t="s">
        <v>35</v>
      </c>
      <c r="AG2" s="138" t="s">
        <v>319</v>
      </c>
      <c r="AH2" s="139" t="s">
        <v>320</v>
      </c>
      <c r="AJ2" s="67" t="s">
        <v>36</v>
      </c>
      <c r="AL2" s="67" t="s">
        <v>127</v>
      </c>
      <c r="AN2" s="67" t="s">
        <v>321</v>
      </c>
      <c r="AP2" s="67" t="s">
        <v>38</v>
      </c>
      <c r="AR2" s="67" t="s">
        <v>120</v>
      </c>
      <c r="AT2" s="67" t="s">
        <v>39</v>
      </c>
      <c r="AV2" s="23" t="s">
        <v>55</v>
      </c>
      <c r="AX2" s="68">
        <v>1</v>
      </c>
      <c r="AY2" s="69">
        <v>50</v>
      </c>
      <c r="AZ2" s="69">
        <v>1</v>
      </c>
      <c r="BA2" s="70">
        <v>50</v>
      </c>
    </row>
    <row r="3" spans="1:53" x14ac:dyDescent="0.15">
      <c r="A3" s="53" t="s">
        <v>59</v>
      </c>
      <c r="B3" s="53" t="s">
        <v>234</v>
      </c>
      <c r="C3" s="62">
        <v>2019</v>
      </c>
      <c r="D3" s="137" t="s">
        <v>167</v>
      </c>
      <c r="E3" s="53" t="s">
        <v>316</v>
      </c>
      <c r="F3" s="53" t="s">
        <v>317</v>
      </c>
      <c r="G3" s="53" t="s">
        <v>36</v>
      </c>
      <c r="H3" s="53" t="s">
        <v>164</v>
      </c>
      <c r="I3" s="53" t="s">
        <v>159</v>
      </c>
      <c r="J3" s="53" t="s">
        <v>38</v>
      </c>
      <c r="K3" s="53" t="s">
        <v>161</v>
      </c>
      <c r="L3" s="53">
        <v>2</v>
      </c>
      <c r="N3" s="53">
        <v>5</v>
      </c>
      <c r="O3" s="53">
        <v>0.32</v>
      </c>
      <c r="P3" s="53">
        <v>0.32</v>
      </c>
      <c r="Q3" s="75">
        <f t="shared" ref="Q3:Q64" si="2">IF(OR(O3="",P3=""),"",AVERAGE(O3,P3))</f>
        <v>0.32</v>
      </c>
      <c r="R3" s="53">
        <v>14.3</v>
      </c>
      <c r="S3" s="53">
        <v>94</v>
      </c>
      <c r="T3" s="16">
        <f t="shared" si="0"/>
        <v>36</v>
      </c>
      <c r="U3" s="53">
        <v>348</v>
      </c>
      <c r="V3" s="16">
        <f t="shared" si="1"/>
        <v>16</v>
      </c>
      <c r="W3" s="53">
        <v>2</v>
      </c>
      <c r="X3" s="53" t="s">
        <v>46</v>
      </c>
      <c r="Y3" s="53" t="s">
        <v>90</v>
      </c>
      <c r="Z3" s="53" t="s">
        <v>84</v>
      </c>
      <c r="AA3" s="53" t="s">
        <v>78</v>
      </c>
      <c r="AB3" s="53" t="s">
        <v>318</v>
      </c>
      <c r="AE3" s="22" t="s">
        <v>41</v>
      </c>
      <c r="AG3" s="138" t="s">
        <v>322</v>
      </c>
      <c r="AH3" s="139" t="s">
        <v>317</v>
      </c>
      <c r="AJ3" s="23" t="s">
        <v>42</v>
      </c>
      <c r="AL3" s="23" t="s">
        <v>128</v>
      </c>
      <c r="AN3" s="23" t="s">
        <v>43</v>
      </c>
      <c r="AP3" s="23" t="s">
        <v>44</v>
      </c>
      <c r="AR3" s="23" t="s">
        <v>45</v>
      </c>
      <c r="AT3" s="23" t="s">
        <v>46</v>
      </c>
      <c r="AV3" s="23" t="s">
        <v>323</v>
      </c>
      <c r="AX3" s="24">
        <v>72</v>
      </c>
      <c r="AY3" s="25">
        <v>46</v>
      </c>
      <c r="AZ3" s="25">
        <v>71</v>
      </c>
      <c r="BA3" s="26">
        <v>42</v>
      </c>
    </row>
    <row r="4" spans="1:53" x14ac:dyDescent="0.15">
      <c r="A4" s="53" t="s">
        <v>59</v>
      </c>
      <c r="B4" s="53" t="s">
        <v>234</v>
      </c>
      <c r="C4" s="62">
        <v>2019</v>
      </c>
      <c r="D4" s="137" t="s">
        <v>167</v>
      </c>
      <c r="E4" s="53" t="s">
        <v>316</v>
      </c>
      <c r="F4" s="53" t="s">
        <v>317</v>
      </c>
      <c r="G4" s="53" t="s">
        <v>36</v>
      </c>
      <c r="H4" s="53" t="s">
        <v>164</v>
      </c>
      <c r="I4" s="53" t="s">
        <v>324</v>
      </c>
      <c r="J4" s="53" t="s">
        <v>38</v>
      </c>
      <c r="K4" s="53" t="s">
        <v>161</v>
      </c>
      <c r="L4" s="53">
        <v>3</v>
      </c>
      <c r="N4" s="53">
        <v>5</v>
      </c>
      <c r="O4" s="53">
        <v>0.39</v>
      </c>
      <c r="P4" s="53">
        <v>0.37</v>
      </c>
      <c r="Q4" s="75">
        <f t="shared" si="2"/>
        <v>0.38</v>
      </c>
      <c r="R4" s="53">
        <v>14.1</v>
      </c>
      <c r="S4" s="53">
        <v>89</v>
      </c>
      <c r="T4" s="16">
        <f t="shared" si="0"/>
        <v>36</v>
      </c>
      <c r="U4" s="53">
        <v>348</v>
      </c>
      <c r="V4" s="16">
        <f t="shared" si="1"/>
        <v>16</v>
      </c>
      <c r="W4" s="53">
        <v>2</v>
      </c>
      <c r="X4" s="53" t="s">
        <v>46</v>
      </c>
      <c r="Y4" s="53" t="s">
        <v>90</v>
      </c>
      <c r="Z4" s="53" t="s">
        <v>84</v>
      </c>
      <c r="AA4" s="53" t="s">
        <v>78</v>
      </c>
      <c r="AB4" s="53" t="s">
        <v>318</v>
      </c>
      <c r="AE4" s="22" t="s">
        <v>34</v>
      </c>
      <c r="AG4" s="138" t="s">
        <v>325</v>
      </c>
      <c r="AH4" s="139" t="s">
        <v>326</v>
      </c>
      <c r="AJ4" s="27" t="s">
        <v>48</v>
      </c>
      <c r="AL4" s="27" t="s">
        <v>129</v>
      </c>
      <c r="AN4" s="28" t="s">
        <v>49</v>
      </c>
      <c r="AP4" s="23" t="s">
        <v>93</v>
      </c>
      <c r="AR4" s="23" t="s">
        <v>327</v>
      </c>
      <c r="AT4" s="28"/>
      <c r="AV4" s="23" t="s">
        <v>313</v>
      </c>
      <c r="AX4" s="24">
        <v>75</v>
      </c>
      <c r="AY4" s="25">
        <v>42</v>
      </c>
      <c r="AZ4" s="25">
        <v>76</v>
      </c>
      <c r="BA4" s="26">
        <v>39</v>
      </c>
    </row>
    <row r="5" spans="1:53" x14ac:dyDescent="0.15">
      <c r="A5" s="53" t="s">
        <v>59</v>
      </c>
      <c r="B5" s="53" t="s">
        <v>234</v>
      </c>
      <c r="C5" s="62">
        <v>2019</v>
      </c>
      <c r="D5" s="137" t="s">
        <v>167</v>
      </c>
      <c r="E5" s="53" t="s">
        <v>316</v>
      </c>
      <c r="F5" s="53" t="s">
        <v>317</v>
      </c>
      <c r="G5" s="53" t="s">
        <v>36</v>
      </c>
      <c r="H5" s="53" t="s">
        <v>128</v>
      </c>
      <c r="I5" s="53" t="s">
        <v>159</v>
      </c>
      <c r="J5" s="53" t="s">
        <v>328</v>
      </c>
      <c r="K5" s="53" t="s">
        <v>327</v>
      </c>
      <c r="L5" s="53">
        <v>1</v>
      </c>
      <c r="N5" s="53">
        <v>3</v>
      </c>
      <c r="O5" s="53">
        <v>0.25</v>
      </c>
      <c r="P5" s="53">
        <v>0.24</v>
      </c>
      <c r="Q5" s="75">
        <f t="shared" si="2"/>
        <v>0.245</v>
      </c>
      <c r="R5" s="53">
        <v>16</v>
      </c>
      <c r="S5" s="53">
        <v>155</v>
      </c>
      <c r="T5" s="16">
        <f t="shared" si="0"/>
        <v>18</v>
      </c>
      <c r="U5" s="53">
        <v>450</v>
      </c>
      <c r="V5" s="16">
        <f t="shared" si="1"/>
        <v>16</v>
      </c>
      <c r="W5" s="53">
        <v>1</v>
      </c>
      <c r="X5" s="53" t="s">
        <v>46</v>
      </c>
      <c r="Y5" s="53" t="s">
        <v>90</v>
      </c>
      <c r="Z5" s="53" t="s">
        <v>84</v>
      </c>
      <c r="AA5" s="53" t="s">
        <v>78</v>
      </c>
      <c r="AB5" s="53" t="s">
        <v>318</v>
      </c>
      <c r="AE5" s="22" t="s">
        <v>51</v>
      </c>
      <c r="AG5" s="138" t="s">
        <v>329</v>
      </c>
      <c r="AH5" s="139" t="s">
        <v>330</v>
      </c>
      <c r="AJ5" s="28"/>
      <c r="AL5" s="73" t="s">
        <v>66</v>
      </c>
      <c r="AN5" s="73" t="s">
        <v>52</v>
      </c>
      <c r="AP5" s="23" t="s">
        <v>248</v>
      </c>
      <c r="AR5" s="23" t="s">
        <v>54</v>
      </c>
      <c r="AV5" s="23" t="s">
        <v>331</v>
      </c>
      <c r="AX5" s="24">
        <v>84</v>
      </c>
      <c r="AY5" s="25">
        <v>39</v>
      </c>
      <c r="AZ5" s="25">
        <v>84</v>
      </c>
      <c r="BA5" s="26">
        <v>36</v>
      </c>
    </row>
    <row r="6" spans="1:53" x14ac:dyDescent="0.15">
      <c r="A6" s="53" t="s">
        <v>59</v>
      </c>
      <c r="B6" s="53" t="s">
        <v>234</v>
      </c>
      <c r="C6" s="62">
        <v>2019</v>
      </c>
      <c r="D6" s="137" t="s">
        <v>167</v>
      </c>
      <c r="E6" s="53" t="s">
        <v>316</v>
      </c>
      <c r="F6" s="53" t="s">
        <v>317</v>
      </c>
      <c r="G6" s="53" t="s">
        <v>36</v>
      </c>
      <c r="H6" s="53" t="s">
        <v>128</v>
      </c>
      <c r="I6" s="53" t="s">
        <v>159</v>
      </c>
      <c r="J6" s="53" t="s">
        <v>328</v>
      </c>
      <c r="K6" s="53" t="s">
        <v>327</v>
      </c>
      <c r="L6" s="53">
        <v>2</v>
      </c>
      <c r="N6" s="53">
        <v>3</v>
      </c>
      <c r="O6" s="53">
        <v>0.37</v>
      </c>
      <c r="P6" s="53">
        <v>0.3</v>
      </c>
      <c r="Q6" s="75">
        <f t="shared" si="2"/>
        <v>0.33499999999999996</v>
      </c>
      <c r="R6" s="53">
        <v>15.4</v>
      </c>
      <c r="S6" s="53">
        <v>159</v>
      </c>
      <c r="T6" s="16">
        <f t="shared" si="0"/>
        <v>18</v>
      </c>
      <c r="U6" s="53">
        <v>450</v>
      </c>
      <c r="V6" s="16">
        <f t="shared" si="1"/>
        <v>16</v>
      </c>
      <c r="W6" s="53">
        <v>1</v>
      </c>
      <c r="X6" s="53" t="s">
        <v>46</v>
      </c>
      <c r="Y6" s="53" t="s">
        <v>90</v>
      </c>
      <c r="Z6" s="53" t="s">
        <v>84</v>
      </c>
      <c r="AA6" s="53" t="s">
        <v>78</v>
      </c>
      <c r="AB6" s="53" t="s">
        <v>318</v>
      </c>
      <c r="AE6" s="22" t="s">
        <v>56</v>
      </c>
      <c r="AG6" s="138" t="s">
        <v>332</v>
      </c>
      <c r="AH6" s="139" t="s">
        <v>333</v>
      </c>
      <c r="AL6" s="73" t="s">
        <v>99</v>
      </c>
      <c r="AN6" s="73" t="s">
        <v>57</v>
      </c>
      <c r="AP6" s="23" t="s">
        <v>53</v>
      </c>
      <c r="AR6" s="23" t="s">
        <v>334</v>
      </c>
      <c r="AV6" s="23" t="s">
        <v>60</v>
      </c>
      <c r="AX6" s="24">
        <v>97</v>
      </c>
      <c r="AY6" s="25">
        <v>36</v>
      </c>
      <c r="AZ6" s="25">
        <v>99</v>
      </c>
      <c r="BA6" s="26">
        <v>33</v>
      </c>
    </row>
    <row r="7" spans="1:53" x14ac:dyDescent="0.15">
      <c r="A7" s="53" t="s">
        <v>59</v>
      </c>
      <c r="B7" s="53" t="s">
        <v>234</v>
      </c>
      <c r="C7" s="62">
        <v>2019</v>
      </c>
      <c r="D7" s="137" t="s">
        <v>167</v>
      </c>
      <c r="E7" s="53" t="s">
        <v>316</v>
      </c>
      <c r="F7" s="53" t="s">
        <v>317</v>
      </c>
      <c r="G7" s="53" t="s">
        <v>36</v>
      </c>
      <c r="H7" s="53" t="s">
        <v>128</v>
      </c>
      <c r="I7" s="53" t="s">
        <v>159</v>
      </c>
      <c r="J7" s="53" t="s">
        <v>328</v>
      </c>
      <c r="K7" s="53" t="s">
        <v>327</v>
      </c>
      <c r="L7" s="53">
        <v>3</v>
      </c>
      <c r="N7" s="53">
        <v>3</v>
      </c>
      <c r="O7" s="53">
        <v>0.28000000000000003</v>
      </c>
      <c r="P7" s="53">
        <v>0.27</v>
      </c>
      <c r="Q7" s="75">
        <f t="shared" si="2"/>
        <v>0.27500000000000002</v>
      </c>
      <c r="R7" s="53">
        <v>14.7</v>
      </c>
      <c r="S7" s="53">
        <v>155</v>
      </c>
      <c r="T7" s="16">
        <f t="shared" si="0"/>
        <v>18</v>
      </c>
      <c r="U7" s="53">
        <v>450</v>
      </c>
      <c r="V7" s="16">
        <f t="shared" si="1"/>
        <v>16</v>
      </c>
      <c r="W7" s="53">
        <v>1</v>
      </c>
      <c r="X7" s="53" t="s">
        <v>46</v>
      </c>
      <c r="Y7" s="53" t="s">
        <v>90</v>
      </c>
      <c r="Z7" s="53" t="s">
        <v>84</v>
      </c>
      <c r="AA7" s="53" t="s">
        <v>78</v>
      </c>
      <c r="AB7" s="53" t="s">
        <v>318</v>
      </c>
      <c r="AE7" s="22" t="s">
        <v>61</v>
      </c>
      <c r="AG7" s="138" t="s">
        <v>335</v>
      </c>
      <c r="AH7" s="139" t="s">
        <v>336</v>
      </c>
      <c r="AL7" s="34" t="s">
        <v>109</v>
      </c>
      <c r="AP7" s="23" t="s">
        <v>58</v>
      </c>
      <c r="AR7" s="23" t="s">
        <v>337</v>
      </c>
      <c r="AV7" s="23" t="s">
        <v>64</v>
      </c>
      <c r="AX7" s="24">
        <v>109</v>
      </c>
      <c r="AY7" s="25">
        <v>33</v>
      </c>
      <c r="AZ7" s="25">
        <v>113</v>
      </c>
      <c r="BA7" s="26">
        <v>30</v>
      </c>
    </row>
    <row r="8" spans="1:53" x14ac:dyDescent="0.15">
      <c r="A8" s="53" t="s">
        <v>59</v>
      </c>
      <c r="B8" s="53" t="s">
        <v>234</v>
      </c>
      <c r="C8" s="62">
        <v>2019</v>
      </c>
      <c r="D8" s="137" t="s">
        <v>167</v>
      </c>
      <c r="E8" s="53" t="s">
        <v>316</v>
      </c>
      <c r="F8" s="53" t="s">
        <v>317</v>
      </c>
      <c r="G8" s="53" t="s">
        <v>36</v>
      </c>
      <c r="H8" s="53" t="s">
        <v>127</v>
      </c>
      <c r="I8" s="53" t="s">
        <v>159</v>
      </c>
      <c r="J8" s="53" t="s">
        <v>80</v>
      </c>
      <c r="K8" s="53" t="s">
        <v>334</v>
      </c>
      <c r="L8" s="53">
        <v>1</v>
      </c>
      <c r="N8" s="53">
        <v>4</v>
      </c>
      <c r="O8" s="53">
        <v>1.1000000000000001</v>
      </c>
      <c r="P8" s="53">
        <v>1.1200000000000001</v>
      </c>
      <c r="Q8" s="75">
        <f t="shared" si="2"/>
        <v>1.1100000000000001</v>
      </c>
      <c r="R8" s="53">
        <v>10.199999999999999</v>
      </c>
      <c r="S8" s="53">
        <v>140</v>
      </c>
      <c r="T8" s="16">
        <f t="shared" si="0"/>
        <v>22</v>
      </c>
      <c r="U8" s="53">
        <v>298</v>
      </c>
      <c r="V8" s="16">
        <f t="shared" si="1"/>
        <v>16</v>
      </c>
      <c r="W8" s="53">
        <v>1</v>
      </c>
      <c r="X8" s="53" t="s">
        <v>46</v>
      </c>
      <c r="Y8" s="53" t="s">
        <v>90</v>
      </c>
      <c r="Z8" s="53" t="s">
        <v>84</v>
      </c>
      <c r="AA8" s="53" t="s">
        <v>78</v>
      </c>
      <c r="AB8" s="53" t="s">
        <v>318</v>
      </c>
      <c r="AE8" s="22" t="s">
        <v>59</v>
      </c>
      <c r="AG8" s="140" t="s">
        <v>162</v>
      </c>
      <c r="AH8" s="139" t="s">
        <v>338</v>
      </c>
      <c r="AL8" s="34" t="s">
        <v>134</v>
      </c>
      <c r="AP8" s="23" t="s">
        <v>62</v>
      </c>
      <c r="AR8" s="23" t="s">
        <v>81</v>
      </c>
      <c r="AV8" s="23" t="s">
        <v>97</v>
      </c>
      <c r="AX8" s="24">
        <v>119</v>
      </c>
      <c r="AY8" s="25">
        <v>30</v>
      </c>
      <c r="AZ8" s="25">
        <v>121</v>
      </c>
      <c r="BA8" s="26">
        <v>27</v>
      </c>
    </row>
    <row r="9" spans="1:53" x14ac:dyDescent="0.15">
      <c r="A9" s="53" t="s">
        <v>59</v>
      </c>
      <c r="B9" s="53" t="s">
        <v>234</v>
      </c>
      <c r="C9" s="62">
        <v>2019</v>
      </c>
      <c r="D9" s="137" t="s">
        <v>167</v>
      </c>
      <c r="E9" s="53" t="s">
        <v>316</v>
      </c>
      <c r="F9" s="53" t="s">
        <v>317</v>
      </c>
      <c r="G9" s="53" t="s">
        <v>36</v>
      </c>
      <c r="H9" s="53" t="s">
        <v>127</v>
      </c>
      <c r="I9" s="53" t="s">
        <v>159</v>
      </c>
      <c r="J9" s="53" t="s">
        <v>80</v>
      </c>
      <c r="K9" s="53" t="s">
        <v>334</v>
      </c>
      <c r="L9" s="53">
        <v>2</v>
      </c>
      <c r="N9" s="53">
        <v>4</v>
      </c>
      <c r="O9" s="53">
        <v>0.3</v>
      </c>
      <c r="P9" s="53">
        <v>0.35</v>
      </c>
      <c r="Q9" s="75">
        <f t="shared" si="2"/>
        <v>0.32499999999999996</v>
      </c>
      <c r="R9" s="53">
        <v>11.7</v>
      </c>
      <c r="S9" s="53">
        <v>120</v>
      </c>
      <c r="T9" s="16">
        <f t="shared" si="0"/>
        <v>30</v>
      </c>
      <c r="U9" s="53">
        <v>298</v>
      </c>
      <c r="V9" s="16">
        <f t="shared" si="1"/>
        <v>16</v>
      </c>
      <c r="W9" s="53">
        <v>1</v>
      </c>
      <c r="X9" s="53" t="s">
        <v>46</v>
      </c>
      <c r="Y9" s="53" t="s">
        <v>90</v>
      </c>
      <c r="Z9" s="53" t="s">
        <v>84</v>
      </c>
      <c r="AA9" s="53" t="s">
        <v>78</v>
      </c>
      <c r="AB9" s="53" t="s">
        <v>318</v>
      </c>
      <c r="AE9" s="22" t="s">
        <v>98</v>
      </c>
      <c r="AG9" s="140" t="s">
        <v>339</v>
      </c>
      <c r="AH9" s="139" t="s">
        <v>338</v>
      </c>
      <c r="AL9" s="73"/>
      <c r="AP9" s="23" t="s">
        <v>340</v>
      </c>
      <c r="AR9" s="23" t="s">
        <v>89</v>
      </c>
      <c r="AV9" s="23" t="s">
        <v>102</v>
      </c>
      <c r="AX9" s="24">
        <v>128</v>
      </c>
      <c r="AY9" s="25">
        <v>27</v>
      </c>
      <c r="AZ9" s="25">
        <v>129</v>
      </c>
      <c r="BA9" s="26">
        <v>25</v>
      </c>
    </row>
    <row r="10" spans="1:53" x14ac:dyDescent="0.15">
      <c r="A10" s="53" t="s">
        <v>59</v>
      </c>
      <c r="B10" s="53" t="s">
        <v>234</v>
      </c>
      <c r="C10" s="62">
        <v>2019</v>
      </c>
      <c r="D10" s="137" t="s">
        <v>167</v>
      </c>
      <c r="E10" s="53" t="s">
        <v>316</v>
      </c>
      <c r="F10" s="53" t="s">
        <v>317</v>
      </c>
      <c r="G10" s="53" t="s">
        <v>36</v>
      </c>
      <c r="H10" s="53" t="s">
        <v>127</v>
      </c>
      <c r="I10" s="53" t="s">
        <v>159</v>
      </c>
      <c r="J10" s="53" t="s">
        <v>80</v>
      </c>
      <c r="K10" s="53" t="s">
        <v>334</v>
      </c>
      <c r="L10" s="53">
        <v>3</v>
      </c>
      <c r="N10" s="53">
        <v>4</v>
      </c>
      <c r="O10" s="53">
        <v>0.32</v>
      </c>
      <c r="P10" s="53">
        <v>0.34</v>
      </c>
      <c r="Q10" s="75">
        <f t="shared" si="2"/>
        <v>0.33</v>
      </c>
      <c r="R10" s="53">
        <v>13.2</v>
      </c>
      <c r="S10" s="53">
        <v>125</v>
      </c>
      <c r="T10" s="16">
        <f t="shared" si="0"/>
        <v>27</v>
      </c>
      <c r="U10" s="53">
        <v>298</v>
      </c>
      <c r="V10" s="16">
        <f t="shared" si="1"/>
        <v>16</v>
      </c>
      <c r="W10" s="53">
        <v>1</v>
      </c>
      <c r="X10" s="53" t="s">
        <v>46</v>
      </c>
      <c r="Y10" s="53" t="s">
        <v>90</v>
      </c>
      <c r="Z10" s="53" t="s">
        <v>84</v>
      </c>
      <c r="AA10" s="53" t="s">
        <v>78</v>
      </c>
      <c r="AB10" s="53" t="s">
        <v>318</v>
      </c>
      <c r="AE10" s="22" t="s">
        <v>103</v>
      </c>
      <c r="AG10" s="138" t="s">
        <v>341</v>
      </c>
      <c r="AH10" s="139" t="s">
        <v>330</v>
      </c>
      <c r="AL10" s="83"/>
      <c r="AP10" s="23" t="s">
        <v>100</v>
      </c>
      <c r="AR10" s="23" t="s">
        <v>123</v>
      </c>
      <c r="AV10" s="23" t="s">
        <v>106</v>
      </c>
      <c r="AX10" s="24">
        <v>138</v>
      </c>
      <c r="AY10" s="25">
        <v>25</v>
      </c>
      <c r="AZ10" s="25">
        <v>138</v>
      </c>
      <c r="BA10" s="26">
        <v>22</v>
      </c>
    </row>
    <row r="11" spans="1:53" x14ac:dyDescent="0.15">
      <c r="A11" s="53" t="s">
        <v>59</v>
      </c>
      <c r="B11" s="53" t="s">
        <v>234</v>
      </c>
      <c r="C11" s="62">
        <v>2019</v>
      </c>
      <c r="D11" s="137" t="s">
        <v>167</v>
      </c>
      <c r="E11" s="53" t="s">
        <v>319</v>
      </c>
      <c r="F11" s="53" t="s">
        <v>320</v>
      </c>
      <c r="G11" s="53" t="s">
        <v>36</v>
      </c>
      <c r="H11" s="53" t="s">
        <v>160</v>
      </c>
      <c r="I11" s="53" t="s">
        <v>159</v>
      </c>
      <c r="J11" s="53" t="s">
        <v>38</v>
      </c>
      <c r="K11" s="53" t="s">
        <v>161</v>
      </c>
      <c r="L11" s="53">
        <v>1</v>
      </c>
      <c r="N11" s="53">
        <v>4</v>
      </c>
      <c r="O11" s="53">
        <v>0.4</v>
      </c>
      <c r="P11" s="53">
        <v>0.41</v>
      </c>
      <c r="Q11" s="75">
        <f t="shared" si="2"/>
        <v>0.40500000000000003</v>
      </c>
      <c r="R11" s="53">
        <v>15.3</v>
      </c>
      <c r="S11" s="53">
        <v>100</v>
      </c>
      <c r="T11" s="16">
        <f t="shared" si="0"/>
        <v>33</v>
      </c>
      <c r="U11" s="53">
        <v>297</v>
      </c>
      <c r="V11" s="16">
        <f t="shared" si="1"/>
        <v>16</v>
      </c>
      <c r="W11" s="53">
        <v>4</v>
      </c>
      <c r="X11" s="53" t="s">
        <v>46</v>
      </c>
      <c r="Y11" s="53" t="s">
        <v>90</v>
      </c>
      <c r="Z11" s="53" t="s">
        <v>342</v>
      </c>
      <c r="AA11" s="53" t="s">
        <v>84</v>
      </c>
      <c r="AB11" s="53" t="s">
        <v>318</v>
      </c>
      <c r="AE11" s="22" t="s">
        <v>65</v>
      </c>
      <c r="AG11" s="140" t="s">
        <v>343</v>
      </c>
      <c r="AH11" s="139" t="s">
        <v>344</v>
      </c>
      <c r="AL11" s="83"/>
      <c r="AP11" s="23" t="s">
        <v>328</v>
      </c>
      <c r="AR11" s="23" t="s">
        <v>345</v>
      </c>
      <c r="AV11" s="23" t="s">
        <v>346</v>
      </c>
      <c r="AX11" s="24">
        <v>151</v>
      </c>
      <c r="AY11" s="25">
        <v>22</v>
      </c>
      <c r="AZ11" s="25">
        <v>152</v>
      </c>
      <c r="BA11" s="26">
        <v>18</v>
      </c>
    </row>
    <row r="12" spans="1:53" x14ac:dyDescent="0.15">
      <c r="A12" s="53" t="s">
        <v>59</v>
      </c>
      <c r="B12" s="53" t="s">
        <v>234</v>
      </c>
      <c r="C12" s="62">
        <v>2019</v>
      </c>
      <c r="D12" s="137" t="s">
        <v>167</v>
      </c>
      <c r="E12" s="53" t="s">
        <v>319</v>
      </c>
      <c r="F12" s="53" t="s">
        <v>320</v>
      </c>
      <c r="G12" s="53" t="s">
        <v>36</v>
      </c>
      <c r="H12" s="53" t="s">
        <v>160</v>
      </c>
      <c r="I12" s="53" t="s">
        <v>159</v>
      </c>
      <c r="J12" s="53" t="s">
        <v>38</v>
      </c>
      <c r="K12" s="53" t="s">
        <v>161</v>
      </c>
      <c r="L12" s="53">
        <v>2</v>
      </c>
      <c r="N12" s="53">
        <v>4</v>
      </c>
      <c r="O12" s="53">
        <v>0.35</v>
      </c>
      <c r="P12" s="53">
        <v>0.41</v>
      </c>
      <c r="Q12" s="75">
        <f t="shared" si="2"/>
        <v>0.38</v>
      </c>
      <c r="R12" s="53">
        <v>15.9</v>
      </c>
      <c r="S12" s="53">
        <v>100</v>
      </c>
      <c r="T12" s="16">
        <f t="shared" si="0"/>
        <v>33</v>
      </c>
      <c r="U12" s="53">
        <v>297</v>
      </c>
      <c r="V12" s="16">
        <f t="shared" si="1"/>
        <v>16</v>
      </c>
      <c r="W12" s="53">
        <v>4</v>
      </c>
      <c r="X12" s="53" t="s">
        <v>46</v>
      </c>
      <c r="Y12" s="53" t="s">
        <v>90</v>
      </c>
      <c r="Z12" s="53" t="s">
        <v>342</v>
      </c>
      <c r="AA12" s="53" t="s">
        <v>84</v>
      </c>
      <c r="AB12" s="53" t="s">
        <v>318</v>
      </c>
      <c r="AE12" s="22" t="s">
        <v>70</v>
      </c>
      <c r="AG12" s="23"/>
      <c r="AH12" s="141"/>
      <c r="AL12" s="83"/>
      <c r="AP12" s="23" t="s">
        <v>67</v>
      </c>
      <c r="AR12" s="23" t="s">
        <v>124</v>
      </c>
      <c r="AV12" s="23" t="s">
        <v>72</v>
      </c>
      <c r="AX12" s="31">
        <v>180</v>
      </c>
      <c r="AY12" s="32">
        <v>18</v>
      </c>
      <c r="AZ12" s="32">
        <v>181</v>
      </c>
      <c r="BA12" s="33">
        <v>16</v>
      </c>
    </row>
    <row r="13" spans="1:53" x14ac:dyDescent="0.15">
      <c r="A13" s="53" t="s">
        <v>59</v>
      </c>
      <c r="B13" s="53" t="s">
        <v>234</v>
      </c>
      <c r="C13" s="62">
        <v>2019</v>
      </c>
      <c r="D13" s="137" t="s">
        <v>167</v>
      </c>
      <c r="E13" s="53" t="s">
        <v>319</v>
      </c>
      <c r="F13" s="53" t="s">
        <v>320</v>
      </c>
      <c r="G13" s="53" t="s">
        <v>36</v>
      </c>
      <c r="H13" s="53" t="s">
        <v>160</v>
      </c>
      <c r="I13" s="53" t="s">
        <v>159</v>
      </c>
      <c r="J13" s="53" t="s">
        <v>38</v>
      </c>
      <c r="K13" s="53" t="s">
        <v>161</v>
      </c>
      <c r="L13" s="53">
        <v>3</v>
      </c>
      <c r="N13" s="53">
        <v>4</v>
      </c>
      <c r="O13" s="53">
        <v>0.44</v>
      </c>
      <c r="P13" s="53">
        <v>0.4</v>
      </c>
      <c r="Q13" s="75">
        <f t="shared" si="2"/>
        <v>0.42000000000000004</v>
      </c>
      <c r="R13" s="53">
        <v>15.3</v>
      </c>
      <c r="S13" s="53">
        <v>106</v>
      </c>
      <c r="T13" s="16">
        <f t="shared" si="0"/>
        <v>33</v>
      </c>
      <c r="U13" s="53">
        <v>297</v>
      </c>
      <c r="V13" s="16">
        <f t="shared" si="1"/>
        <v>16</v>
      </c>
      <c r="W13" s="53">
        <v>4</v>
      </c>
      <c r="X13" s="53" t="s">
        <v>46</v>
      </c>
      <c r="Y13" s="53" t="s">
        <v>90</v>
      </c>
      <c r="Z13" s="53" t="s">
        <v>342</v>
      </c>
      <c r="AA13" s="53" t="s">
        <v>84</v>
      </c>
      <c r="AB13" s="53" t="s">
        <v>318</v>
      </c>
      <c r="AE13" s="22" t="s">
        <v>73</v>
      </c>
      <c r="AG13" s="23"/>
      <c r="AH13" s="23"/>
      <c r="AP13" s="23" t="s">
        <v>71</v>
      </c>
      <c r="AR13" s="23" t="s">
        <v>103</v>
      </c>
      <c r="AV13" s="23" t="s">
        <v>75</v>
      </c>
    </row>
    <row r="14" spans="1:53" x14ac:dyDescent="0.15">
      <c r="A14" s="53" t="s">
        <v>59</v>
      </c>
      <c r="B14" s="53" t="s">
        <v>234</v>
      </c>
      <c r="C14" s="62">
        <v>2019</v>
      </c>
      <c r="D14" s="137" t="s">
        <v>167</v>
      </c>
      <c r="E14" s="53" t="s">
        <v>319</v>
      </c>
      <c r="F14" s="53" t="s">
        <v>320</v>
      </c>
      <c r="G14" s="53" t="s">
        <v>36</v>
      </c>
      <c r="H14" s="53" t="s">
        <v>164</v>
      </c>
      <c r="I14" s="53" t="s">
        <v>159</v>
      </c>
      <c r="J14" s="53" t="s">
        <v>38</v>
      </c>
      <c r="K14" s="53" t="s">
        <v>161</v>
      </c>
      <c r="L14" s="53">
        <v>1</v>
      </c>
      <c r="N14" s="53">
        <v>4</v>
      </c>
      <c r="O14" s="53">
        <v>0.42</v>
      </c>
      <c r="P14" s="53">
        <v>0.35</v>
      </c>
      <c r="Q14" s="75">
        <f t="shared" si="2"/>
        <v>0.38500000000000001</v>
      </c>
      <c r="R14" s="53">
        <v>13.7</v>
      </c>
      <c r="S14" s="53">
        <v>87</v>
      </c>
      <c r="T14" s="16">
        <f t="shared" si="0"/>
        <v>36</v>
      </c>
      <c r="U14" s="53">
        <v>297</v>
      </c>
      <c r="V14" s="16">
        <f t="shared" si="1"/>
        <v>16</v>
      </c>
      <c r="W14" s="53">
        <v>6</v>
      </c>
      <c r="X14" s="53" t="s">
        <v>46</v>
      </c>
      <c r="Y14" s="53" t="s">
        <v>90</v>
      </c>
      <c r="Z14" s="53" t="s">
        <v>342</v>
      </c>
      <c r="AA14" s="53" t="s">
        <v>84</v>
      </c>
      <c r="AB14" s="53" t="s">
        <v>318</v>
      </c>
      <c r="AE14" s="22" t="s">
        <v>76</v>
      </c>
      <c r="AG14" s="23"/>
      <c r="AH14" s="23"/>
      <c r="AP14" s="23" t="s">
        <v>347</v>
      </c>
      <c r="AR14" s="23" t="s">
        <v>125</v>
      </c>
      <c r="AV14" s="23" t="s">
        <v>78</v>
      </c>
    </row>
    <row r="15" spans="1:53" x14ac:dyDescent="0.15">
      <c r="A15" s="53" t="s">
        <v>59</v>
      </c>
      <c r="B15" s="53" t="s">
        <v>234</v>
      </c>
      <c r="C15" s="62">
        <v>2019</v>
      </c>
      <c r="D15" s="137" t="s">
        <v>167</v>
      </c>
      <c r="E15" s="53" t="s">
        <v>319</v>
      </c>
      <c r="F15" s="53" t="s">
        <v>320</v>
      </c>
      <c r="G15" s="53" t="s">
        <v>36</v>
      </c>
      <c r="H15" s="53" t="s">
        <v>164</v>
      </c>
      <c r="I15" s="53" t="s">
        <v>159</v>
      </c>
      <c r="J15" s="53" t="s">
        <v>38</v>
      </c>
      <c r="K15" s="53" t="s">
        <v>161</v>
      </c>
      <c r="L15" s="53">
        <v>2</v>
      </c>
      <c r="N15" s="53">
        <v>4</v>
      </c>
      <c r="O15" s="53">
        <v>0.56000000000000005</v>
      </c>
      <c r="P15" s="53">
        <v>0.6</v>
      </c>
      <c r="Q15" s="75">
        <f t="shared" si="2"/>
        <v>0.58000000000000007</v>
      </c>
      <c r="R15" s="53">
        <v>14.1</v>
      </c>
      <c r="S15" s="53">
        <v>91</v>
      </c>
      <c r="T15" s="16">
        <f t="shared" si="0"/>
        <v>36</v>
      </c>
      <c r="U15" s="53">
        <v>297</v>
      </c>
      <c r="V15" s="16">
        <f t="shared" si="1"/>
        <v>16</v>
      </c>
      <c r="W15" s="53">
        <v>6</v>
      </c>
      <c r="X15" s="53" t="s">
        <v>46</v>
      </c>
      <c r="Y15" s="53" t="s">
        <v>90</v>
      </c>
      <c r="Z15" s="53" t="s">
        <v>342</v>
      </c>
      <c r="AA15" s="53" t="s">
        <v>84</v>
      </c>
      <c r="AB15" s="53" t="s">
        <v>318</v>
      </c>
      <c r="AE15" s="22" t="s">
        <v>79</v>
      </c>
      <c r="AG15" s="23"/>
      <c r="AH15" s="23"/>
      <c r="AP15" s="23" t="s">
        <v>348</v>
      </c>
      <c r="AR15" s="23" t="s">
        <v>94</v>
      </c>
      <c r="AV15" s="23" t="s">
        <v>107</v>
      </c>
    </row>
    <row r="16" spans="1:53" x14ac:dyDescent="0.15">
      <c r="A16" s="53" t="s">
        <v>59</v>
      </c>
      <c r="B16" s="53" t="s">
        <v>234</v>
      </c>
      <c r="C16" s="62">
        <v>2019</v>
      </c>
      <c r="D16" s="137" t="s">
        <v>167</v>
      </c>
      <c r="E16" s="53" t="s">
        <v>319</v>
      </c>
      <c r="F16" s="53" t="s">
        <v>320</v>
      </c>
      <c r="G16" s="53" t="s">
        <v>36</v>
      </c>
      <c r="H16" s="53" t="s">
        <v>164</v>
      </c>
      <c r="I16" s="53" t="s">
        <v>159</v>
      </c>
      <c r="J16" s="53" t="s">
        <v>38</v>
      </c>
      <c r="K16" s="53" t="s">
        <v>161</v>
      </c>
      <c r="L16" s="53">
        <v>3</v>
      </c>
      <c r="N16" s="53">
        <v>4</v>
      </c>
      <c r="O16" s="53">
        <v>0.45</v>
      </c>
      <c r="P16" s="53">
        <v>0.48</v>
      </c>
      <c r="Q16" s="75">
        <f t="shared" si="2"/>
        <v>0.46499999999999997</v>
      </c>
      <c r="R16" s="53">
        <v>14.4</v>
      </c>
      <c r="S16" s="53">
        <v>109</v>
      </c>
      <c r="T16" s="16">
        <f t="shared" si="0"/>
        <v>33</v>
      </c>
      <c r="U16" s="53">
        <v>297</v>
      </c>
      <c r="V16" s="16">
        <f t="shared" si="1"/>
        <v>16</v>
      </c>
      <c r="W16" s="53">
        <v>6</v>
      </c>
      <c r="X16" s="53" t="s">
        <v>46</v>
      </c>
      <c r="Y16" s="53" t="s">
        <v>90</v>
      </c>
      <c r="Z16" s="53" t="s">
        <v>342</v>
      </c>
      <c r="AA16" s="53" t="s">
        <v>84</v>
      </c>
      <c r="AB16" s="53" t="s">
        <v>318</v>
      </c>
      <c r="AE16" s="22" t="s">
        <v>82</v>
      </c>
      <c r="AG16" s="28"/>
      <c r="AH16" s="28"/>
      <c r="AP16" s="23" t="s">
        <v>80</v>
      </c>
      <c r="AR16" s="23" t="s">
        <v>63</v>
      </c>
      <c r="AV16" s="23" t="s">
        <v>84</v>
      </c>
    </row>
    <row r="17" spans="1:48" x14ac:dyDescent="0.15">
      <c r="A17" s="53" t="s">
        <v>59</v>
      </c>
      <c r="B17" s="53" t="s">
        <v>234</v>
      </c>
      <c r="C17" s="62">
        <v>2019</v>
      </c>
      <c r="D17" s="137" t="s">
        <v>167</v>
      </c>
      <c r="E17" s="53" t="s">
        <v>329</v>
      </c>
      <c r="F17" s="53" t="s">
        <v>330</v>
      </c>
      <c r="G17" s="53" t="s">
        <v>36</v>
      </c>
      <c r="H17" s="53" t="s">
        <v>160</v>
      </c>
      <c r="I17" s="53" t="s">
        <v>159</v>
      </c>
      <c r="J17" s="53" t="s">
        <v>38</v>
      </c>
      <c r="K17" s="53" t="s">
        <v>161</v>
      </c>
      <c r="L17" s="53">
        <v>1</v>
      </c>
      <c r="N17" s="53">
        <v>2</v>
      </c>
      <c r="O17" s="53">
        <v>0.28999999999999998</v>
      </c>
      <c r="P17" s="53">
        <v>0.32</v>
      </c>
      <c r="Q17" s="75">
        <f t="shared" si="2"/>
        <v>0.30499999999999999</v>
      </c>
      <c r="R17" s="53">
        <v>16</v>
      </c>
      <c r="S17" s="53">
        <v>164</v>
      </c>
      <c r="T17" s="16">
        <f t="shared" si="0"/>
        <v>18</v>
      </c>
      <c r="U17" s="53">
        <v>399</v>
      </c>
      <c r="V17" s="16">
        <f t="shared" si="1"/>
        <v>16</v>
      </c>
      <c r="W17" s="53">
        <v>4</v>
      </c>
      <c r="X17" s="53" t="s">
        <v>39</v>
      </c>
      <c r="Y17" s="53" t="s">
        <v>84</v>
      </c>
      <c r="Z17" s="53" t="s">
        <v>90</v>
      </c>
      <c r="AA17" s="53" t="s">
        <v>69</v>
      </c>
      <c r="AB17" s="53" t="s">
        <v>318</v>
      </c>
      <c r="AE17" s="22" t="s">
        <v>85</v>
      </c>
      <c r="AP17" s="27" t="s">
        <v>110</v>
      </c>
      <c r="AR17" s="23" t="s">
        <v>96</v>
      </c>
      <c r="AV17" s="23" t="s">
        <v>86</v>
      </c>
    </row>
    <row r="18" spans="1:48" x14ac:dyDescent="0.15">
      <c r="A18" s="53" t="s">
        <v>59</v>
      </c>
      <c r="B18" s="53" t="s">
        <v>234</v>
      </c>
      <c r="C18" s="62">
        <v>2019</v>
      </c>
      <c r="D18" s="137" t="s">
        <v>167</v>
      </c>
      <c r="E18" s="53" t="s">
        <v>329</v>
      </c>
      <c r="F18" s="53" t="s">
        <v>330</v>
      </c>
      <c r="G18" s="53" t="s">
        <v>36</v>
      </c>
      <c r="H18" s="53" t="s">
        <v>160</v>
      </c>
      <c r="I18" s="53" t="s">
        <v>159</v>
      </c>
      <c r="J18" s="53" t="s">
        <v>38</v>
      </c>
      <c r="K18" s="53" t="s">
        <v>161</v>
      </c>
      <c r="L18" s="53">
        <v>2</v>
      </c>
      <c r="N18" s="53">
        <v>2</v>
      </c>
      <c r="O18" s="53">
        <v>0.23</v>
      </c>
      <c r="P18" s="53">
        <v>0.27</v>
      </c>
      <c r="Q18" s="75">
        <f t="shared" si="2"/>
        <v>0.25</v>
      </c>
      <c r="R18" s="53">
        <v>16.8</v>
      </c>
      <c r="S18" s="53">
        <v>150</v>
      </c>
      <c r="T18" s="16">
        <f t="shared" si="0"/>
        <v>22</v>
      </c>
      <c r="U18" s="53">
        <v>399</v>
      </c>
      <c r="V18" s="16">
        <f t="shared" si="1"/>
        <v>16</v>
      </c>
      <c r="W18" s="53">
        <v>4</v>
      </c>
      <c r="X18" s="53" t="s">
        <v>39</v>
      </c>
      <c r="Y18" s="53" t="s">
        <v>84</v>
      </c>
      <c r="Z18" s="53" t="s">
        <v>90</v>
      </c>
      <c r="AA18" s="53" t="s">
        <v>69</v>
      </c>
      <c r="AB18" s="53" t="s">
        <v>318</v>
      </c>
      <c r="AE18" s="22" t="s">
        <v>87</v>
      </c>
      <c r="AP18" s="27" t="s">
        <v>349</v>
      </c>
      <c r="AR18" s="23" t="s">
        <v>101</v>
      </c>
      <c r="AV18" s="23" t="s">
        <v>88</v>
      </c>
    </row>
    <row r="19" spans="1:48" x14ac:dyDescent="0.15">
      <c r="A19" s="53" t="s">
        <v>59</v>
      </c>
      <c r="B19" s="53" t="s">
        <v>234</v>
      </c>
      <c r="C19" s="62">
        <v>2019</v>
      </c>
      <c r="D19" s="137" t="s">
        <v>167</v>
      </c>
      <c r="E19" s="53" t="s">
        <v>329</v>
      </c>
      <c r="F19" s="53" t="s">
        <v>330</v>
      </c>
      <c r="G19" s="53" t="s">
        <v>36</v>
      </c>
      <c r="H19" s="53" t="s">
        <v>160</v>
      </c>
      <c r="I19" s="53" t="s">
        <v>159</v>
      </c>
      <c r="J19" s="53" t="s">
        <v>38</v>
      </c>
      <c r="K19" s="53" t="s">
        <v>161</v>
      </c>
      <c r="L19" s="53">
        <v>3</v>
      </c>
      <c r="N19" s="53">
        <v>2</v>
      </c>
      <c r="O19" s="53">
        <v>0.3</v>
      </c>
      <c r="P19" s="53">
        <v>0.28000000000000003</v>
      </c>
      <c r="Q19" s="75">
        <f t="shared" si="2"/>
        <v>0.29000000000000004</v>
      </c>
      <c r="R19" s="53">
        <v>16.899999999999999</v>
      </c>
      <c r="S19" s="53">
        <v>158</v>
      </c>
      <c r="T19" s="16">
        <f t="shared" si="0"/>
        <v>18</v>
      </c>
      <c r="U19" s="53">
        <v>399</v>
      </c>
      <c r="V19" s="16">
        <f t="shared" si="1"/>
        <v>16</v>
      </c>
      <c r="W19" s="53">
        <v>4</v>
      </c>
      <c r="X19" s="53" t="s">
        <v>39</v>
      </c>
      <c r="Y19" s="53" t="s">
        <v>84</v>
      </c>
      <c r="Z19" s="53" t="s">
        <v>90</v>
      </c>
      <c r="AA19" s="53" t="s">
        <v>69</v>
      </c>
      <c r="AB19" s="53" t="s">
        <v>318</v>
      </c>
      <c r="AE19" s="35" t="s">
        <v>89</v>
      </c>
      <c r="AP19" s="27" t="s">
        <v>112</v>
      </c>
      <c r="AR19" s="23" t="s">
        <v>126</v>
      </c>
      <c r="AV19" s="23" t="s">
        <v>342</v>
      </c>
    </row>
    <row r="20" spans="1:48" x14ac:dyDescent="0.15">
      <c r="A20" s="53" t="s">
        <v>59</v>
      </c>
      <c r="B20" s="53" t="s">
        <v>234</v>
      </c>
      <c r="C20" s="62">
        <v>2019</v>
      </c>
      <c r="D20" s="137" t="s">
        <v>167</v>
      </c>
      <c r="E20" s="53" t="s">
        <v>329</v>
      </c>
      <c r="F20" s="53" t="s">
        <v>330</v>
      </c>
      <c r="G20" s="53" t="s">
        <v>36</v>
      </c>
      <c r="H20" s="53" t="s">
        <v>164</v>
      </c>
      <c r="I20" s="53" t="s">
        <v>159</v>
      </c>
      <c r="J20" s="53" t="s">
        <v>38</v>
      </c>
      <c r="K20" s="53" t="s">
        <v>161</v>
      </c>
      <c r="L20" s="53">
        <v>1</v>
      </c>
      <c r="N20" s="53">
        <v>4</v>
      </c>
      <c r="O20" s="53">
        <v>0.69</v>
      </c>
      <c r="P20" s="53">
        <v>0.57999999999999996</v>
      </c>
      <c r="Q20" s="75">
        <f t="shared" si="2"/>
        <v>0.63500000000000001</v>
      </c>
      <c r="R20" s="53">
        <v>15.1</v>
      </c>
      <c r="S20" s="53">
        <v>100</v>
      </c>
      <c r="T20" s="16">
        <f t="shared" si="0"/>
        <v>33</v>
      </c>
      <c r="U20" s="53">
        <v>399</v>
      </c>
      <c r="V20" s="16">
        <f t="shared" si="1"/>
        <v>16</v>
      </c>
      <c r="W20" s="53">
        <v>4</v>
      </c>
      <c r="X20" s="53" t="s">
        <v>39</v>
      </c>
      <c r="Y20" s="53" t="s">
        <v>84</v>
      </c>
      <c r="Z20" s="53" t="s">
        <v>90</v>
      </c>
      <c r="AA20" s="53" t="s">
        <v>69</v>
      </c>
      <c r="AB20" s="53" t="s">
        <v>318</v>
      </c>
      <c r="AE20" s="35"/>
      <c r="AP20" s="27" t="s">
        <v>113</v>
      </c>
      <c r="AR20" s="23" t="s">
        <v>105</v>
      </c>
      <c r="AV20" s="27" t="s">
        <v>135</v>
      </c>
    </row>
    <row r="21" spans="1:48" x14ac:dyDescent="0.15">
      <c r="A21" s="53" t="s">
        <v>59</v>
      </c>
      <c r="B21" s="53" t="s">
        <v>234</v>
      </c>
      <c r="C21" s="62">
        <v>2019</v>
      </c>
      <c r="D21" s="137" t="s">
        <v>167</v>
      </c>
      <c r="E21" s="53" t="s">
        <v>329</v>
      </c>
      <c r="F21" s="53" t="s">
        <v>330</v>
      </c>
      <c r="G21" s="53" t="s">
        <v>36</v>
      </c>
      <c r="H21" s="53" t="s">
        <v>164</v>
      </c>
      <c r="I21" s="53" t="s">
        <v>159</v>
      </c>
      <c r="J21" s="53" t="s">
        <v>38</v>
      </c>
      <c r="K21" s="53" t="s">
        <v>161</v>
      </c>
      <c r="L21" s="53">
        <v>2</v>
      </c>
      <c r="N21" s="53">
        <v>4</v>
      </c>
      <c r="O21" s="53">
        <v>0.51</v>
      </c>
      <c r="P21" s="53">
        <v>0.53</v>
      </c>
      <c r="Q21" s="75">
        <f t="shared" si="2"/>
        <v>0.52</v>
      </c>
      <c r="R21" s="53">
        <v>14.7</v>
      </c>
      <c r="S21" s="53">
        <v>106</v>
      </c>
      <c r="T21" s="16">
        <f t="shared" si="0"/>
        <v>33</v>
      </c>
      <c r="U21" s="53">
        <v>399</v>
      </c>
      <c r="V21" s="16">
        <f t="shared" si="1"/>
        <v>16</v>
      </c>
      <c r="W21" s="53">
        <v>4</v>
      </c>
      <c r="X21" s="53" t="s">
        <v>39</v>
      </c>
      <c r="Y21" s="53" t="s">
        <v>84</v>
      </c>
      <c r="Z21" s="53" t="s">
        <v>90</v>
      </c>
      <c r="AA21" s="53" t="s">
        <v>69</v>
      </c>
      <c r="AB21" s="53" t="s">
        <v>318</v>
      </c>
      <c r="AE21" s="28"/>
      <c r="AP21" s="27" t="s">
        <v>350</v>
      </c>
      <c r="AR21" s="23" t="s">
        <v>68</v>
      </c>
      <c r="AV21" s="27" t="s">
        <v>136</v>
      </c>
    </row>
    <row r="22" spans="1:48" x14ac:dyDescent="0.15">
      <c r="A22" s="53" t="s">
        <v>59</v>
      </c>
      <c r="B22" s="53" t="s">
        <v>234</v>
      </c>
      <c r="C22" s="62">
        <v>2019</v>
      </c>
      <c r="D22" s="137" t="s">
        <v>167</v>
      </c>
      <c r="E22" s="53" t="s">
        <v>329</v>
      </c>
      <c r="F22" s="53" t="s">
        <v>330</v>
      </c>
      <c r="G22" s="53" t="s">
        <v>36</v>
      </c>
      <c r="H22" s="53" t="s">
        <v>164</v>
      </c>
      <c r="I22" s="53" t="s">
        <v>159</v>
      </c>
      <c r="J22" s="53" t="s">
        <v>38</v>
      </c>
      <c r="K22" s="53" t="s">
        <v>161</v>
      </c>
      <c r="L22" s="53">
        <v>3</v>
      </c>
      <c r="N22" s="53">
        <v>4</v>
      </c>
      <c r="O22" s="53">
        <v>0.54</v>
      </c>
      <c r="P22" s="53">
        <v>0.57999999999999996</v>
      </c>
      <c r="Q22" s="75">
        <f t="shared" si="2"/>
        <v>0.56000000000000005</v>
      </c>
      <c r="R22" s="53">
        <v>14.7</v>
      </c>
      <c r="S22" s="53">
        <v>110</v>
      </c>
      <c r="T22" s="16">
        <f t="shared" si="0"/>
        <v>33</v>
      </c>
      <c r="U22" s="53">
        <v>399</v>
      </c>
      <c r="V22" s="16">
        <f t="shared" si="1"/>
        <v>16</v>
      </c>
      <c r="W22" s="53">
        <v>4</v>
      </c>
      <c r="X22" s="53" t="s">
        <v>39</v>
      </c>
      <c r="Y22" s="53" t="s">
        <v>84</v>
      </c>
      <c r="Z22" s="53" t="s">
        <v>90</v>
      </c>
      <c r="AA22" s="53" t="s">
        <v>69</v>
      </c>
      <c r="AB22" s="53" t="s">
        <v>318</v>
      </c>
      <c r="AP22" s="27" t="s">
        <v>351</v>
      </c>
      <c r="AR22" s="23" t="s">
        <v>83</v>
      </c>
      <c r="AV22" s="27" t="s">
        <v>352</v>
      </c>
    </row>
    <row r="23" spans="1:48" x14ac:dyDescent="0.15">
      <c r="A23" s="53" t="s">
        <v>59</v>
      </c>
      <c r="B23" s="53" t="s">
        <v>234</v>
      </c>
      <c r="C23" s="62">
        <v>2019</v>
      </c>
      <c r="D23" s="137" t="s">
        <v>167</v>
      </c>
      <c r="E23" s="53" t="s">
        <v>341</v>
      </c>
      <c r="F23" s="53" t="s">
        <v>330</v>
      </c>
      <c r="G23" s="53" t="s">
        <v>36</v>
      </c>
      <c r="H23" s="53" t="s">
        <v>160</v>
      </c>
      <c r="I23" s="53" t="s">
        <v>159</v>
      </c>
      <c r="J23" s="53" t="s">
        <v>38</v>
      </c>
      <c r="K23" s="53" t="s">
        <v>161</v>
      </c>
      <c r="L23" s="53">
        <v>1</v>
      </c>
      <c r="N23" s="53">
        <v>2</v>
      </c>
      <c r="O23" s="53">
        <v>0.28000000000000003</v>
      </c>
      <c r="P23" s="53">
        <v>0.35</v>
      </c>
      <c r="Q23" s="75">
        <f t="shared" si="2"/>
        <v>0.315</v>
      </c>
      <c r="R23" s="53">
        <v>16.3</v>
      </c>
      <c r="S23" s="53">
        <v>155</v>
      </c>
      <c r="T23" s="16">
        <f t="shared" si="0"/>
        <v>18</v>
      </c>
      <c r="U23" s="53">
        <v>429</v>
      </c>
      <c r="V23" s="16">
        <f t="shared" si="1"/>
        <v>16</v>
      </c>
      <c r="W23" s="53">
        <v>1</v>
      </c>
      <c r="X23" s="53" t="s">
        <v>46</v>
      </c>
      <c r="Y23" s="53" t="s">
        <v>84</v>
      </c>
      <c r="Z23" s="53" t="s">
        <v>78</v>
      </c>
      <c r="AA23" s="53" t="s">
        <v>90</v>
      </c>
      <c r="AB23" s="53" t="s">
        <v>318</v>
      </c>
      <c r="AP23" s="27" t="s">
        <v>137</v>
      </c>
      <c r="AR23" s="23" t="s">
        <v>61</v>
      </c>
      <c r="AV23" s="27" t="s">
        <v>353</v>
      </c>
    </row>
    <row r="24" spans="1:48" x14ac:dyDescent="0.15">
      <c r="A24" s="53" t="s">
        <v>59</v>
      </c>
      <c r="B24" s="53" t="s">
        <v>234</v>
      </c>
      <c r="C24" s="62">
        <v>2019</v>
      </c>
      <c r="D24" s="137" t="s">
        <v>167</v>
      </c>
      <c r="E24" s="53" t="s">
        <v>341</v>
      </c>
      <c r="F24" s="53" t="s">
        <v>330</v>
      </c>
      <c r="G24" s="53" t="s">
        <v>36</v>
      </c>
      <c r="H24" s="53" t="s">
        <v>160</v>
      </c>
      <c r="I24" s="53" t="s">
        <v>159</v>
      </c>
      <c r="J24" s="53" t="s">
        <v>38</v>
      </c>
      <c r="K24" s="53" t="s">
        <v>161</v>
      </c>
      <c r="L24" s="53">
        <v>2</v>
      </c>
      <c r="N24" s="53">
        <v>2</v>
      </c>
      <c r="O24" s="53">
        <v>0.39</v>
      </c>
      <c r="P24" s="53">
        <v>0.36</v>
      </c>
      <c r="Q24" s="75">
        <f t="shared" si="2"/>
        <v>0.375</v>
      </c>
      <c r="R24" s="53">
        <v>17.2</v>
      </c>
      <c r="S24" s="53">
        <v>150</v>
      </c>
      <c r="T24" s="16">
        <f t="shared" si="0"/>
        <v>22</v>
      </c>
      <c r="U24" s="53">
        <v>429</v>
      </c>
      <c r="V24" s="16">
        <f t="shared" si="1"/>
        <v>16</v>
      </c>
      <c r="W24" s="53">
        <v>1</v>
      </c>
      <c r="X24" s="53" t="s">
        <v>46</v>
      </c>
      <c r="Y24" s="53" t="s">
        <v>84</v>
      </c>
      <c r="Z24" s="53" t="s">
        <v>78</v>
      </c>
      <c r="AA24" s="53" t="s">
        <v>90</v>
      </c>
      <c r="AB24" s="53" t="s">
        <v>318</v>
      </c>
      <c r="AP24" s="27" t="s">
        <v>138</v>
      </c>
      <c r="AR24" s="23" t="s">
        <v>91</v>
      </c>
      <c r="AV24" s="27" t="s">
        <v>354</v>
      </c>
    </row>
    <row r="25" spans="1:48" x14ac:dyDescent="0.15">
      <c r="A25" s="53" t="s">
        <v>59</v>
      </c>
      <c r="B25" s="53" t="s">
        <v>234</v>
      </c>
      <c r="C25" s="62">
        <v>2019</v>
      </c>
      <c r="D25" s="137" t="s">
        <v>167</v>
      </c>
      <c r="E25" s="53" t="s">
        <v>341</v>
      </c>
      <c r="F25" s="53" t="s">
        <v>330</v>
      </c>
      <c r="G25" s="53" t="s">
        <v>36</v>
      </c>
      <c r="H25" s="53" t="s">
        <v>160</v>
      </c>
      <c r="I25" s="53" t="s">
        <v>159</v>
      </c>
      <c r="J25" s="53" t="s">
        <v>38</v>
      </c>
      <c r="K25" s="53" t="s">
        <v>161</v>
      </c>
      <c r="L25" s="53">
        <v>3</v>
      </c>
      <c r="N25" s="53">
        <v>2</v>
      </c>
      <c r="O25" s="53">
        <v>0.32</v>
      </c>
      <c r="P25" s="53">
        <v>0.35</v>
      </c>
      <c r="Q25" s="75">
        <f t="shared" si="2"/>
        <v>0.33499999999999996</v>
      </c>
      <c r="R25" s="53">
        <v>16.899999999999999</v>
      </c>
      <c r="S25" s="53">
        <v>154</v>
      </c>
      <c r="T25" s="16">
        <f t="shared" si="0"/>
        <v>18</v>
      </c>
      <c r="U25" s="53">
        <v>429</v>
      </c>
      <c r="V25" s="16">
        <f t="shared" si="1"/>
        <v>16</v>
      </c>
      <c r="W25" s="53">
        <v>1</v>
      </c>
      <c r="X25" s="53" t="s">
        <v>46</v>
      </c>
      <c r="Y25" s="53" t="s">
        <v>84</v>
      </c>
      <c r="Z25" s="53" t="s">
        <v>78</v>
      </c>
      <c r="AA25" s="53" t="s">
        <v>90</v>
      </c>
      <c r="AB25" s="53" t="s">
        <v>318</v>
      </c>
      <c r="AP25" s="27" t="s">
        <v>116</v>
      </c>
      <c r="AR25" s="27" t="s">
        <v>92</v>
      </c>
      <c r="AV25" s="27" t="s">
        <v>355</v>
      </c>
    </row>
    <row r="26" spans="1:48" x14ac:dyDescent="0.15">
      <c r="A26" s="53" t="s">
        <v>59</v>
      </c>
      <c r="B26" s="53" t="s">
        <v>234</v>
      </c>
      <c r="C26" s="62">
        <v>2019</v>
      </c>
      <c r="D26" s="137" t="s">
        <v>167</v>
      </c>
      <c r="E26" s="53" t="s">
        <v>341</v>
      </c>
      <c r="F26" s="53" t="s">
        <v>330</v>
      </c>
      <c r="G26" s="53" t="s">
        <v>36</v>
      </c>
      <c r="H26" s="53" t="s">
        <v>164</v>
      </c>
      <c r="I26" s="53" t="s">
        <v>159</v>
      </c>
      <c r="J26" s="53" t="s">
        <v>38</v>
      </c>
      <c r="K26" s="53" t="s">
        <v>161</v>
      </c>
      <c r="L26" s="53">
        <v>1</v>
      </c>
      <c r="N26" s="53">
        <v>10</v>
      </c>
      <c r="O26" s="53">
        <v>0.4</v>
      </c>
      <c r="P26" s="53">
        <v>0.47</v>
      </c>
      <c r="Q26" s="75">
        <f t="shared" si="2"/>
        <v>0.435</v>
      </c>
      <c r="R26" s="53">
        <v>15</v>
      </c>
      <c r="S26" s="53">
        <v>86</v>
      </c>
      <c r="T26" s="16">
        <f t="shared" si="0"/>
        <v>36</v>
      </c>
      <c r="U26" s="53">
        <v>518</v>
      </c>
      <c r="V26" s="16">
        <f t="shared" si="1"/>
        <v>16</v>
      </c>
      <c r="W26" s="53">
        <v>1</v>
      </c>
      <c r="X26" s="53" t="s">
        <v>46</v>
      </c>
      <c r="Y26" s="53" t="s">
        <v>84</v>
      </c>
      <c r="Z26" s="53" t="s">
        <v>78</v>
      </c>
      <c r="AA26" s="53" t="s">
        <v>90</v>
      </c>
      <c r="AB26" s="53" t="s">
        <v>318</v>
      </c>
      <c r="AP26" s="27" t="s">
        <v>117</v>
      </c>
      <c r="AR26" s="27" t="s">
        <v>356</v>
      </c>
      <c r="AV26" s="27"/>
    </row>
    <row r="27" spans="1:48" x14ac:dyDescent="0.15">
      <c r="A27" s="53" t="s">
        <v>59</v>
      </c>
      <c r="B27" s="53" t="s">
        <v>234</v>
      </c>
      <c r="C27" s="62">
        <v>2019</v>
      </c>
      <c r="D27" s="137" t="s">
        <v>167</v>
      </c>
      <c r="E27" s="53" t="s">
        <v>341</v>
      </c>
      <c r="F27" s="53" t="s">
        <v>330</v>
      </c>
      <c r="G27" s="53" t="s">
        <v>36</v>
      </c>
      <c r="H27" s="53" t="s">
        <v>164</v>
      </c>
      <c r="I27" s="53" t="s">
        <v>159</v>
      </c>
      <c r="J27" s="53" t="s">
        <v>38</v>
      </c>
      <c r="K27" s="53" t="s">
        <v>161</v>
      </c>
      <c r="L27" s="53">
        <v>2</v>
      </c>
      <c r="N27" s="53">
        <v>10</v>
      </c>
      <c r="O27" s="53">
        <v>0.39</v>
      </c>
      <c r="P27" s="53">
        <v>0.38</v>
      </c>
      <c r="Q27" s="75">
        <f t="shared" si="2"/>
        <v>0.38500000000000001</v>
      </c>
      <c r="R27" s="53">
        <v>14.8</v>
      </c>
      <c r="S27" s="53">
        <v>80</v>
      </c>
      <c r="T27" s="16">
        <f t="shared" si="0"/>
        <v>39</v>
      </c>
      <c r="U27" s="53">
        <v>518</v>
      </c>
      <c r="V27" s="16">
        <f t="shared" si="1"/>
        <v>16</v>
      </c>
      <c r="W27" s="53">
        <v>1</v>
      </c>
      <c r="X27" s="53" t="s">
        <v>46</v>
      </c>
      <c r="Y27" s="53" t="s">
        <v>84</v>
      </c>
      <c r="Z27" s="53" t="s">
        <v>78</v>
      </c>
      <c r="AA27" s="53" t="s">
        <v>90</v>
      </c>
      <c r="AB27" s="53" t="s">
        <v>318</v>
      </c>
      <c r="AP27" s="27" t="s">
        <v>118</v>
      </c>
      <c r="AR27" s="28" t="s">
        <v>153</v>
      </c>
      <c r="AV27" s="27"/>
    </row>
    <row r="28" spans="1:48" x14ac:dyDescent="0.15">
      <c r="A28" s="53" t="s">
        <v>59</v>
      </c>
      <c r="B28" s="53" t="s">
        <v>234</v>
      </c>
      <c r="C28" s="62">
        <v>2019</v>
      </c>
      <c r="D28" s="137" t="s">
        <v>167</v>
      </c>
      <c r="E28" s="53" t="s">
        <v>341</v>
      </c>
      <c r="F28" s="53" t="s">
        <v>330</v>
      </c>
      <c r="G28" s="53" t="s">
        <v>36</v>
      </c>
      <c r="H28" s="53" t="s">
        <v>164</v>
      </c>
      <c r="I28" s="53" t="s">
        <v>159</v>
      </c>
      <c r="J28" s="53" t="s">
        <v>38</v>
      </c>
      <c r="K28" s="53" t="s">
        <v>161</v>
      </c>
      <c r="L28" s="53">
        <v>3</v>
      </c>
      <c r="N28" s="53">
        <v>10</v>
      </c>
      <c r="O28" s="53">
        <v>0.42</v>
      </c>
      <c r="P28" s="53">
        <v>0.36</v>
      </c>
      <c r="Q28" s="75">
        <f t="shared" si="2"/>
        <v>0.39</v>
      </c>
      <c r="R28" s="53">
        <v>14.2</v>
      </c>
      <c r="S28" s="53">
        <v>84</v>
      </c>
      <c r="T28" s="16">
        <f t="shared" si="0"/>
        <v>36</v>
      </c>
      <c r="U28" s="53">
        <v>518</v>
      </c>
      <c r="V28" s="16">
        <f t="shared" si="1"/>
        <v>16</v>
      </c>
      <c r="W28" s="53">
        <v>1</v>
      </c>
      <c r="X28" s="53" t="s">
        <v>46</v>
      </c>
      <c r="Y28" s="53" t="s">
        <v>84</v>
      </c>
      <c r="Z28" s="53" t="s">
        <v>78</v>
      </c>
      <c r="AA28" s="53" t="s">
        <v>90</v>
      </c>
      <c r="AB28" s="53" t="s">
        <v>318</v>
      </c>
      <c r="AV28" s="27"/>
    </row>
    <row r="29" spans="1:48" x14ac:dyDescent="0.15">
      <c r="A29" s="53" t="s">
        <v>59</v>
      </c>
      <c r="B29" s="53" t="s">
        <v>234</v>
      </c>
      <c r="C29" s="62">
        <v>2019</v>
      </c>
      <c r="D29" s="137" t="s">
        <v>167</v>
      </c>
      <c r="E29" s="53" t="s">
        <v>339</v>
      </c>
      <c r="F29" s="53" t="s">
        <v>338</v>
      </c>
      <c r="G29" s="53" t="s">
        <v>36</v>
      </c>
      <c r="H29" s="53" t="s">
        <v>164</v>
      </c>
      <c r="I29" s="53" t="s">
        <v>159</v>
      </c>
      <c r="J29" s="53" t="s">
        <v>38</v>
      </c>
      <c r="K29" s="53" t="s">
        <v>161</v>
      </c>
      <c r="L29" s="53">
        <v>1</v>
      </c>
      <c r="N29" s="53">
        <v>5</v>
      </c>
      <c r="O29" s="53">
        <v>0.66</v>
      </c>
      <c r="P29" s="53">
        <v>0.56999999999999995</v>
      </c>
      <c r="Q29" s="75">
        <f t="shared" si="2"/>
        <v>0.61499999999999999</v>
      </c>
      <c r="R29" s="53">
        <v>15.2</v>
      </c>
      <c r="S29" s="53">
        <v>97</v>
      </c>
      <c r="T29" s="16">
        <f t="shared" si="0"/>
        <v>36</v>
      </c>
      <c r="U29" s="53">
        <v>480</v>
      </c>
      <c r="V29" s="16">
        <f t="shared" si="1"/>
        <v>16</v>
      </c>
      <c r="W29" s="53">
        <v>5</v>
      </c>
      <c r="X29" s="53" t="s">
        <v>39</v>
      </c>
      <c r="Y29" s="53" t="s">
        <v>84</v>
      </c>
      <c r="Z29" s="53" t="s">
        <v>78</v>
      </c>
      <c r="AA29" s="53" t="s">
        <v>90</v>
      </c>
      <c r="AB29" s="53" t="s">
        <v>318</v>
      </c>
      <c r="AP29" s="27" t="s">
        <v>117</v>
      </c>
      <c r="AR29" s="27" t="s">
        <v>356</v>
      </c>
      <c r="AV29" s="27"/>
    </row>
    <row r="30" spans="1:48" x14ac:dyDescent="0.15">
      <c r="A30" s="53" t="s">
        <v>59</v>
      </c>
      <c r="B30" s="53" t="s">
        <v>234</v>
      </c>
      <c r="C30" s="62">
        <v>2019</v>
      </c>
      <c r="D30" s="137" t="s">
        <v>167</v>
      </c>
      <c r="E30" s="53" t="s">
        <v>339</v>
      </c>
      <c r="F30" s="53" t="s">
        <v>338</v>
      </c>
      <c r="G30" s="53" t="s">
        <v>36</v>
      </c>
      <c r="H30" s="53" t="s">
        <v>164</v>
      </c>
      <c r="I30" s="53" t="s">
        <v>159</v>
      </c>
      <c r="J30" s="53" t="s">
        <v>38</v>
      </c>
      <c r="K30" s="53" t="s">
        <v>161</v>
      </c>
      <c r="L30" s="53">
        <v>2</v>
      </c>
      <c r="N30" s="53">
        <v>5</v>
      </c>
      <c r="O30" s="53">
        <v>0.54</v>
      </c>
      <c r="P30" s="53">
        <v>0.62</v>
      </c>
      <c r="Q30" s="75">
        <f t="shared" si="2"/>
        <v>0.58000000000000007</v>
      </c>
      <c r="R30" s="53">
        <v>15.2</v>
      </c>
      <c r="S30" s="53">
        <v>90</v>
      </c>
      <c r="T30" s="16">
        <f t="shared" si="0"/>
        <v>36</v>
      </c>
      <c r="U30" s="53">
        <v>480</v>
      </c>
      <c r="V30" s="16">
        <f t="shared" si="1"/>
        <v>16</v>
      </c>
      <c r="W30" s="53">
        <v>5</v>
      </c>
      <c r="X30" s="53" t="s">
        <v>39</v>
      </c>
      <c r="Y30" s="53" t="s">
        <v>84</v>
      </c>
      <c r="Z30" s="53" t="s">
        <v>78</v>
      </c>
      <c r="AA30" s="53" t="s">
        <v>90</v>
      </c>
      <c r="AB30" s="53" t="s">
        <v>318</v>
      </c>
      <c r="AP30" s="27" t="s">
        <v>118</v>
      </c>
      <c r="AR30" s="28" t="s">
        <v>153</v>
      </c>
      <c r="AV30" s="27"/>
    </row>
    <row r="31" spans="1:48" x14ac:dyDescent="0.15">
      <c r="A31" s="53" t="s">
        <v>59</v>
      </c>
      <c r="B31" s="53" t="s">
        <v>234</v>
      </c>
      <c r="C31" s="62">
        <v>2019</v>
      </c>
      <c r="D31" s="137" t="s">
        <v>167</v>
      </c>
      <c r="E31" s="53" t="s">
        <v>339</v>
      </c>
      <c r="F31" s="53" t="s">
        <v>338</v>
      </c>
      <c r="G31" s="53" t="s">
        <v>36</v>
      </c>
      <c r="H31" s="53" t="s">
        <v>164</v>
      </c>
      <c r="I31" s="53" t="s">
        <v>159</v>
      </c>
      <c r="J31" s="53" t="s">
        <v>38</v>
      </c>
      <c r="K31" s="53" t="s">
        <v>161</v>
      </c>
      <c r="L31" s="53">
        <v>3</v>
      </c>
      <c r="N31" s="53">
        <v>5</v>
      </c>
      <c r="O31" s="53">
        <v>0.61</v>
      </c>
      <c r="P31" s="53">
        <v>0.53</v>
      </c>
      <c r="Q31" s="75">
        <f t="shared" si="2"/>
        <v>0.57000000000000006</v>
      </c>
      <c r="R31" s="53">
        <v>15</v>
      </c>
      <c r="S31" s="53">
        <v>96</v>
      </c>
      <c r="T31" s="16">
        <f t="shared" si="0"/>
        <v>36</v>
      </c>
      <c r="U31" s="53">
        <v>480</v>
      </c>
      <c r="V31" s="16">
        <f t="shared" si="1"/>
        <v>16</v>
      </c>
      <c r="W31" s="53">
        <v>5</v>
      </c>
      <c r="X31" s="53" t="s">
        <v>39</v>
      </c>
      <c r="Y31" s="53" t="s">
        <v>84</v>
      </c>
      <c r="Z31" s="53" t="s">
        <v>78</v>
      </c>
      <c r="AA31" s="53" t="s">
        <v>90</v>
      </c>
      <c r="AB31" s="53" t="s">
        <v>318</v>
      </c>
      <c r="AV31" s="27"/>
    </row>
    <row r="32" spans="1:48" x14ac:dyDescent="0.15">
      <c r="A32" s="53" t="s">
        <v>59</v>
      </c>
      <c r="B32" s="53" t="s">
        <v>234</v>
      </c>
      <c r="C32" s="62">
        <v>2019</v>
      </c>
      <c r="D32" s="137" t="s">
        <v>167</v>
      </c>
      <c r="E32" s="53" t="s">
        <v>162</v>
      </c>
      <c r="F32" s="53" t="s">
        <v>338</v>
      </c>
      <c r="G32" s="53" t="s">
        <v>36</v>
      </c>
      <c r="H32" s="53" t="s">
        <v>160</v>
      </c>
      <c r="I32" s="53" t="s">
        <v>159</v>
      </c>
      <c r="J32" s="53" t="s">
        <v>38</v>
      </c>
      <c r="K32" s="53" t="s">
        <v>161</v>
      </c>
      <c r="L32" s="53">
        <v>1</v>
      </c>
      <c r="N32" s="53">
        <v>4</v>
      </c>
      <c r="O32" s="53">
        <v>0.34</v>
      </c>
      <c r="P32" s="53">
        <v>0.33</v>
      </c>
      <c r="Q32" s="75">
        <f t="shared" si="2"/>
        <v>0.33500000000000002</v>
      </c>
      <c r="R32" s="53">
        <v>14.6</v>
      </c>
      <c r="S32" s="53">
        <v>110</v>
      </c>
      <c r="T32" s="16">
        <f t="shared" si="0"/>
        <v>33</v>
      </c>
      <c r="U32" s="53">
        <v>498</v>
      </c>
      <c r="V32" s="16">
        <f t="shared" si="1"/>
        <v>16</v>
      </c>
      <c r="W32" s="53">
        <v>1</v>
      </c>
      <c r="X32" s="53" t="s">
        <v>46</v>
      </c>
      <c r="Y32" s="53" t="s">
        <v>90</v>
      </c>
      <c r="Z32" s="53" t="s">
        <v>84</v>
      </c>
      <c r="AA32" s="53" t="s">
        <v>342</v>
      </c>
      <c r="AB32" s="53" t="s">
        <v>318</v>
      </c>
      <c r="AV32" s="27"/>
    </row>
    <row r="33" spans="1:48" x14ac:dyDescent="0.15">
      <c r="A33" s="53" t="s">
        <v>59</v>
      </c>
      <c r="B33" s="53" t="s">
        <v>234</v>
      </c>
      <c r="C33" s="62">
        <v>2019</v>
      </c>
      <c r="D33" s="137" t="s">
        <v>167</v>
      </c>
      <c r="E33" s="53" t="s">
        <v>162</v>
      </c>
      <c r="F33" s="53" t="s">
        <v>338</v>
      </c>
      <c r="G33" s="53" t="s">
        <v>36</v>
      </c>
      <c r="H33" s="53" t="s">
        <v>160</v>
      </c>
      <c r="I33" s="53" t="s">
        <v>159</v>
      </c>
      <c r="J33" s="53" t="s">
        <v>38</v>
      </c>
      <c r="K33" s="53" t="s">
        <v>161</v>
      </c>
      <c r="L33" s="53">
        <v>2</v>
      </c>
      <c r="N33" s="53">
        <v>4</v>
      </c>
      <c r="O33" s="53">
        <v>0.26</v>
      </c>
      <c r="P33" s="53">
        <v>0.33</v>
      </c>
      <c r="Q33" s="75">
        <f t="shared" si="2"/>
        <v>0.29500000000000004</v>
      </c>
      <c r="R33" s="53">
        <v>14.4</v>
      </c>
      <c r="S33" s="53">
        <v>106</v>
      </c>
      <c r="T33" s="16">
        <f t="shared" si="0"/>
        <v>33</v>
      </c>
      <c r="U33" s="53">
        <v>498</v>
      </c>
      <c r="V33" s="16">
        <f t="shared" si="1"/>
        <v>16</v>
      </c>
      <c r="W33" s="53">
        <v>1</v>
      </c>
      <c r="X33" s="53" t="s">
        <v>46</v>
      </c>
      <c r="Y33" s="53" t="s">
        <v>90</v>
      </c>
      <c r="Z33" s="53" t="s">
        <v>84</v>
      </c>
      <c r="AA33" s="53" t="s">
        <v>342</v>
      </c>
      <c r="AB33" s="53" t="s">
        <v>318</v>
      </c>
      <c r="AV33" s="27"/>
    </row>
    <row r="34" spans="1:48" x14ac:dyDescent="0.15">
      <c r="A34" s="53" t="s">
        <v>59</v>
      </c>
      <c r="B34" s="53" t="s">
        <v>234</v>
      </c>
      <c r="C34" s="62">
        <v>2019</v>
      </c>
      <c r="D34" s="137" t="s">
        <v>167</v>
      </c>
      <c r="E34" s="53" t="s">
        <v>162</v>
      </c>
      <c r="F34" s="53" t="s">
        <v>338</v>
      </c>
      <c r="G34" s="53" t="s">
        <v>36</v>
      </c>
      <c r="H34" s="53" t="s">
        <v>160</v>
      </c>
      <c r="I34" s="53" t="s">
        <v>159</v>
      </c>
      <c r="J34" s="53" t="s">
        <v>38</v>
      </c>
      <c r="K34" s="53" t="s">
        <v>161</v>
      </c>
      <c r="L34" s="53">
        <v>3</v>
      </c>
      <c r="N34" s="53">
        <v>4</v>
      </c>
      <c r="O34" s="53">
        <v>0.31</v>
      </c>
      <c r="P34" s="53">
        <v>0.27</v>
      </c>
      <c r="Q34" s="75">
        <f t="shared" si="2"/>
        <v>0.29000000000000004</v>
      </c>
      <c r="R34" s="53">
        <v>14.9</v>
      </c>
      <c r="S34" s="53">
        <v>105</v>
      </c>
      <c r="T34" s="16">
        <f t="shared" si="0"/>
        <v>33</v>
      </c>
      <c r="U34" s="53">
        <v>498</v>
      </c>
      <c r="V34" s="16">
        <f t="shared" si="1"/>
        <v>16</v>
      </c>
      <c r="W34" s="53">
        <v>1</v>
      </c>
      <c r="X34" s="53" t="s">
        <v>46</v>
      </c>
      <c r="Y34" s="53" t="s">
        <v>90</v>
      </c>
      <c r="Z34" s="53" t="s">
        <v>84</v>
      </c>
      <c r="AA34" s="53" t="s">
        <v>342</v>
      </c>
      <c r="AB34" s="53" t="s">
        <v>318</v>
      </c>
      <c r="AV34" s="27"/>
    </row>
    <row r="35" spans="1:48" x14ac:dyDescent="0.15">
      <c r="A35" s="53" t="s">
        <v>59</v>
      </c>
      <c r="B35" s="53" t="s">
        <v>234</v>
      </c>
      <c r="C35" s="62">
        <v>2019</v>
      </c>
      <c r="D35" s="137" t="s">
        <v>167</v>
      </c>
      <c r="E35" s="53" t="s">
        <v>162</v>
      </c>
      <c r="F35" s="53" t="s">
        <v>338</v>
      </c>
      <c r="G35" s="53" t="s">
        <v>36</v>
      </c>
      <c r="H35" s="53" t="s">
        <v>164</v>
      </c>
      <c r="I35" s="53" t="s">
        <v>159</v>
      </c>
      <c r="J35" s="53" t="s">
        <v>38</v>
      </c>
      <c r="K35" s="53" t="s">
        <v>161</v>
      </c>
      <c r="L35" s="53">
        <v>1</v>
      </c>
      <c r="N35" s="53">
        <v>4</v>
      </c>
      <c r="O35" s="53">
        <v>0.4</v>
      </c>
      <c r="P35" s="53">
        <v>0.48</v>
      </c>
      <c r="Q35" s="75">
        <f t="shared" si="2"/>
        <v>0.44</v>
      </c>
      <c r="R35" s="53">
        <v>14.4</v>
      </c>
      <c r="S35" s="53">
        <v>99</v>
      </c>
      <c r="T35" s="16">
        <f t="shared" si="0"/>
        <v>33</v>
      </c>
      <c r="U35" s="53">
        <v>398</v>
      </c>
      <c r="V35" s="16">
        <f t="shared" si="1"/>
        <v>16</v>
      </c>
      <c r="W35" s="53">
        <v>3</v>
      </c>
      <c r="X35" s="53" t="s">
        <v>46</v>
      </c>
      <c r="Y35" s="53" t="s">
        <v>90</v>
      </c>
      <c r="Z35" s="53" t="s">
        <v>84</v>
      </c>
      <c r="AA35" s="53" t="s">
        <v>342</v>
      </c>
      <c r="AB35" s="53" t="s">
        <v>318</v>
      </c>
      <c r="AV35" s="27"/>
    </row>
    <row r="36" spans="1:48" x14ac:dyDescent="0.15">
      <c r="A36" s="53" t="s">
        <v>59</v>
      </c>
      <c r="B36" s="53" t="s">
        <v>234</v>
      </c>
      <c r="C36" s="62">
        <v>2019</v>
      </c>
      <c r="D36" s="137" t="s">
        <v>167</v>
      </c>
      <c r="E36" s="53" t="s">
        <v>162</v>
      </c>
      <c r="F36" s="53" t="s">
        <v>338</v>
      </c>
      <c r="G36" s="53" t="s">
        <v>36</v>
      </c>
      <c r="H36" s="53" t="s">
        <v>164</v>
      </c>
      <c r="I36" s="53" t="s">
        <v>159</v>
      </c>
      <c r="J36" s="53" t="s">
        <v>38</v>
      </c>
      <c r="K36" s="53" t="s">
        <v>161</v>
      </c>
      <c r="L36" s="53">
        <v>2</v>
      </c>
      <c r="N36" s="53">
        <v>4</v>
      </c>
      <c r="O36" s="53">
        <v>0.5</v>
      </c>
      <c r="P36" s="53">
        <v>0.43</v>
      </c>
      <c r="Q36" s="75">
        <f t="shared" si="2"/>
        <v>0.46499999999999997</v>
      </c>
      <c r="R36" s="53">
        <v>14.3</v>
      </c>
      <c r="S36" s="53">
        <v>105</v>
      </c>
      <c r="T36" s="16">
        <f t="shared" si="0"/>
        <v>33</v>
      </c>
      <c r="U36" s="53">
        <v>398</v>
      </c>
      <c r="V36" s="16">
        <f t="shared" si="1"/>
        <v>16</v>
      </c>
      <c r="W36" s="53">
        <v>3</v>
      </c>
      <c r="X36" s="53" t="s">
        <v>46</v>
      </c>
      <c r="Y36" s="53" t="s">
        <v>90</v>
      </c>
      <c r="Z36" s="53" t="s">
        <v>84</v>
      </c>
      <c r="AA36" s="53" t="s">
        <v>342</v>
      </c>
      <c r="AB36" s="53" t="s">
        <v>318</v>
      </c>
      <c r="AV36" s="27"/>
    </row>
    <row r="37" spans="1:48" x14ac:dyDescent="0.15">
      <c r="A37" s="53" t="s">
        <v>59</v>
      </c>
      <c r="B37" s="53" t="s">
        <v>234</v>
      </c>
      <c r="C37" s="62">
        <v>2019</v>
      </c>
      <c r="D37" s="137" t="s">
        <v>167</v>
      </c>
      <c r="E37" s="53" t="s">
        <v>162</v>
      </c>
      <c r="F37" s="53" t="s">
        <v>338</v>
      </c>
      <c r="G37" s="53" t="s">
        <v>36</v>
      </c>
      <c r="H37" s="53" t="s">
        <v>164</v>
      </c>
      <c r="I37" s="53" t="s">
        <v>159</v>
      </c>
      <c r="J37" s="53" t="s">
        <v>38</v>
      </c>
      <c r="K37" s="53" t="s">
        <v>161</v>
      </c>
      <c r="L37" s="53">
        <v>3</v>
      </c>
      <c r="N37" s="53">
        <v>4</v>
      </c>
      <c r="O37" s="53">
        <v>0.48</v>
      </c>
      <c r="P37" s="53">
        <v>0.46</v>
      </c>
      <c r="Q37" s="75">
        <f t="shared" si="2"/>
        <v>0.47</v>
      </c>
      <c r="R37" s="53">
        <v>14.1</v>
      </c>
      <c r="S37" s="53">
        <v>105</v>
      </c>
      <c r="T37" s="16">
        <f t="shared" si="0"/>
        <v>33</v>
      </c>
      <c r="U37" s="53">
        <v>398</v>
      </c>
      <c r="V37" s="16">
        <f t="shared" si="1"/>
        <v>16</v>
      </c>
      <c r="W37" s="53">
        <v>3</v>
      </c>
      <c r="X37" s="53" t="s">
        <v>46</v>
      </c>
      <c r="Y37" s="53" t="s">
        <v>90</v>
      </c>
      <c r="Z37" s="53" t="s">
        <v>84</v>
      </c>
      <c r="AA37" s="53" t="s">
        <v>342</v>
      </c>
      <c r="AB37" s="53" t="s">
        <v>318</v>
      </c>
      <c r="AV37" s="27"/>
    </row>
    <row r="38" spans="1:48" x14ac:dyDescent="0.15">
      <c r="A38" s="53" t="s">
        <v>59</v>
      </c>
      <c r="B38" s="53" t="s">
        <v>234</v>
      </c>
      <c r="C38" s="62">
        <v>2019</v>
      </c>
      <c r="D38" s="137" t="s">
        <v>167</v>
      </c>
      <c r="E38" s="53" t="s">
        <v>162</v>
      </c>
      <c r="F38" s="53" t="s">
        <v>338</v>
      </c>
      <c r="G38" s="53" t="s">
        <v>36</v>
      </c>
      <c r="H38" s="53" t="s">
        <v>164</v>
      </c>
      <c r="I38" s="53" t="s">
        <v>165</v>
      </c>
      <c r="J38" s="53" t="s">
        <v>38</v>
      </c>
      <c r="K38" s="53" t="s">
        <v>161</v>
      </c>
      <c r="L38" s="53">
        <v>1</v>
      </c>
      <c r="N38" s="53">
        <v>5</v>
      </c>
      <c r="O38" s="53">
        <v>0.6</v>
      </c>
      <c r="P38" s="53">
        <v>0.65</v>
      </c>
      <c r="Q38" s="75">
        <f t="shared" si="2"/>
        <v>0.625</v>
      </c>
      <c r="R38" s="53">
        <v>14.9</v>
      </c>
      <c r="S38" s="53">
        <v>86</v>
      </c>
      <c r="T38" s="16">
        <f t="shared" si="0"/>
        <v>36</v>
      </c>
      <c r="U38" s="53">
        <v>398</v>
      </c>
      <c r="V38" s="16">
        <f t="shared" si="1"/>
        <v>16</v>
      </c>
      <c r="W38" s="53">
        <v>1</v>
      </c>
      <c r="X38" s="53" t="s">
        <v>46</v>
      </c>
      <c r="Y38" s="53" t="s">
        <v>90</v>
      </c>
      <c r="Z38" s="53" t="s">
        <v>84</v>
      </c>
      <c r="AA38" s="53" t="s">
        <v>342</v>
      </c>
      <c r="AB38" s="53" t="s">
        <v>318</v>
      </c>
      <c r="AV38" s="27"/>
    </row>
    <row r="39" spans="1:48" x14ac:dyDescent="0.15">
      <c r="A39" s="53" t="s">
        <v>59</v>
      </c>
      <c r="B39" s="53" t="s">
        <v>234</v>
      </c>
      <c r="C39" s="62">
        <v>2019</v>
      </c>
      <c r="D39" s="137" t="s">
        <v>167</v>
      </c>
      <c r="E39" s="53" t="s">
        <v>162</v>
      </c>
      <c r="F39" s="53" t="s">
        <v>338</v>
      </c>
      <c r="G39" s="53" t="s">
        <v>36</v>
      </c>
      <c r="H39" s="53" t="s">
        <v>164</v>
      </c>
      <c r="I39" s="53" t="s">
        <v>165</v>
      </c>
      <c r="J39" s="53" t="s">
        <v>38</v>
      </c>
      <c r="K39" s="53" t="s">
        <v>161</v>
      </c>
      <c r="L39" s="53">
        <v>2</v>
      </c>
      <c r="N39" s="53">
        <v>5</v>
      </c>
      <c r="O39" s="53">
        <v>0.43</v>
      </c>
      <c r="P39" s="53">
        <v>0.48</v>
      </c>
      <c r="Q39" s="75">
        <f t="shared" si="2"/>
        <v>0.45499999999999996</v>
      </c>
      <c r="R39" s="53">
        <v>14.4</v>
      </c>
      <c r="S39" s="53">
        <v>90</v>
      </c>
      <c r="T39" s="16">
        <f t="shared" si="0"/>
        <v>36</v>
      </c>
      <c r="U39" s="53">
        <v>398</v>
      </c>
      <c r="V39" s="16">
        <f t="shared" si="1"/>
        <v>16</v>
      </c>
      <c r="W39" s="53">
        <v>1</v>
      </c>
      <c r="X39" s="53" t="s">
        <v>46</v>
      </c>
      <c r="Y39" s="53" t="s">
        <v>90</v>
      </c>
      <c r="Z39" s="53" t="s">
        <v>84</v>
      </c>
      <c r="AA39" s="53" t="s">
        <v>342</v>
      </c>
      <c r="AB39" s="53" t="s">
        <v>318</v>
      </c>
      <c r="AV39" s="27"/>
    </row>
    <row r="40" spans="1:48" x14ac:dyDescent="0.15">
      <c r="A40" s="53" t="s">
        <v>59</v>
      </c>
      <c r="B40" s="53" t="s">
        <v>234</v>
      </c>
      <c r="C40" s="62">
        <v>2019</v>
      </c>
      <c r="D40" s="137" t="s">
        <v>167</v>
      </c>
      <c r="E40" s="53" t="s">
        <v>162</v>
      </c>
      <c r="F40" s="53" t="s">
        <v>338</v>
      </c>
      <c r="G40" s="53" t="s">
        <v>36</v>
      </c>
      <c r="H40" s="53" t="s">
        <v>164</v>
      </c>
      <c r="I40" s="53" t="s">
        <v>165</v>
      </c>
      <c r="J40" s="53" t="s">
        <v>38</v>
      </c>
      <c r="K40" s="53" t="s">
        <v>161</v>
      </c>
      <c r="L40" s="53">
        <v>3</v>
      </c>
      <c r="N40" s="53">
        <v>5</v>
      </c>
      <c r="O40" s="53">
        <v>0.46</v>
      </c>
      <c r="P40" s="53">
        <v>0.52</v>
      </c>
      <c r="Q40" s="75">
        <f t="shared" si="2"/>
        <v>0.49</v>
      </c>
      <c r="R40" s="53">
        <v>13.6</v>
      </c>
      <c r="S40" s="53">
        <v>94</v>
      </c>
      <c r="T40" s="16">
        <f t="shared" si="0"/>
        <v>36</v>
      </c>
      <c r="U40" s="53">
        <v>398</v>
      </c>
      <c r="V40" s="16">
        <f t="shared" si="1"/>
        <v>16</v>
      </c>
      <c r="W40" s="53">
        <v>1</v>
      </c>
      <c r="X40" s="53" t="s">
        <v>46</v>
      </c>
      <c r="Y40" s="53" t="s">
        <v>90</v>
      </c>
      <c r="Z40" s="53" t="s">
        <v>84</v>
      </c>
      <c r="AA40" s="53" t="s">
        <v>342</v>
      </c>
      <c r="AB40" s="53" t="s">
        <v>318</v>
      </c>
      <c r="AV40" s="27"/>
    </row>
    <row r="41" spans="1:48" x14ac:dyDescent="0.15">
      <c r="A41" s="53" t="s">
        <v>59</v>
      </c>
      <c r="B41" s="53" t="s">
        <v>234</v>
      </c>
      <c r="C41" s="62">
        <v>2019</v>
      </c>
      <c r="D41" s="137" t="s">
        <v>167</v>
      </c>
      <c r="E41" s="53" t="s">
        <v>335</v>
      </c>
      <c r="F41" s="53" t="s">
        <v>336</v>
      </c>
      <c r="G41" s="53" t="s">
        <v>36</v>
      </c>
      <c r="H41" s="53" t="s">
        <v>160</v>
      </c>
      <c r="I41" s="53" t="s">
        <v>159</v>
      </c>
      <c r="J41" s="53" t="s">
        <v>38</v>
      </c>
      <c r="K41" s="53" t="s">
        <v>161</v>
      </c>
      <c r="L41" s="53">
        <v>1</v>
      </c>
      <c r="N41" s="53">
        <v>3</v>
      </c>
      <c r="O41" s="53">
        <v>0.22</v>
      </c>
      <c r="P41" s="53">
        <v>0.24</v>
      </c>
      <c r="Q41" s="75">
        <f t="shared" si="2"/>
        <v>0.22999999999999998</v>
      </c>
      <c r="R41" s="53">
        <v>16.5</v>
      </c>
      <c r="S41" s="53">
        <v>126</v>
      </c>
      <c r="T41" s="16">
        <f t="shared" si="0"/>
        <v>27</v>
      </c>
      <c r="U41" s="53">
        <v>399</v>
      </c>
      <c r="V41" s="16">
        <f t="shared" si="1"/>
        <v>16</v>
      </c>
      <c r="W41" s="53">
        <v>3</v>
      </c>
      <c r="X41" s="53" t="s">
        <v>39</v>
      </c>
      <c r="Y41" s="53" t="s">
        <v>84</v>
      </c>
      <c r="Z41" s="53" t="s">
        <v>90</v>
      </c>
      <c r="AA41" s="53" t="s">
        <v>69</v>
      </c>
      <c r="AB41" s="53" t="s">
        <v>318</v>
      </c>
      <c r="AV41" s="27"/>
    </row>
    <row r="42" spans="1:48" x14ac:dyDescent="0.15">
      <c r="A42" s="53" t="s">
        <v>59</v>
      </c>
      <c r="B42" s="53" t="s">
        <v>234</v>
      </c>
      <c r="C42" s="62">
        <v>2019</v>
      </c>
      <c r="D42" s="137" t="s">
        <v>167</v>
      </c>
      <c r="E42" s="53" t="s">
        <v>335</v>
      </c>
      <c r="F42" s="53" t="s">
        <v>336</v>
      </c>
      <c r="G42" s="53" t="s">
        <v>36</v>
      </c>
      <c r="H42" s="53" t="s">
        <v>160</v>
      </c>
      <c r="I42" s="53" t="s">
        <v>159</v>
      </c>
      <c r="J42" s="53" t="s">
        <v>38</v>
      </c>
      <c r="K42" s="53" t="s">
        <v>161</v>
      </c>
      <c r="L42" s="53">
        <v>2</v>
      </c>
      <c r="N42" s="53">
        <v>3</v>
      </c>
      <c r="O42" s="53">
        <v>0.24</v>
      </c>
      <c r="P42" s="53">
        <v>0.24</v>
      </c>
      <c r="Q42" s="75">
        <f t="shared" si="2"/>
        <v>0.24</v>
      </c>
      <c r="R42" s="53">
        <v>17</v>
      </c>
      <c r="S42" s="53">
        <v>132</v>
      </c>
      <c r="T42" s="16">
        <f t="shared" si="0"/>
        <v>25</v>
      </c>
      <c r="U42" s="53">
        <v>399</v>
      </c>
      <c r="V42" s="16">
        <f t="shared" si="1"/>
        <v>16</v>
      </c>
      <c r="W42" s="53">
        <v>3</v>
      </c>
      <c r="X42" s="53" t="s">
        <v>39</v>
      </c>
      <c r="Y42" s="53" t="s">
        <v>84</v>
      </c>
      <c r="Z42" s="53" t="s">
        <v>90</v>
      </c>
      <c r="AA42" s="53" t="s">
        <v>69</v>
      </c>
      <c r="AB42" s="53" t="s">
        <v>318</v>
      </c>
      <c r="AV42" s="27"/>
    </row>
    <row r="43" spans="1:48" x14ac:dyDescent="0.15">
      <c r="A43" s="53" t="s">
        <v>59</v>
      </c>
      <c r="B43" s="53" t="s">
        <v>234</v>
      </c>
      <c r="C43" s="62">
        <v>2019</v>
      </c>
      <c r="D43" s="137" t="s">
        <v>167</v>
      </c>
      <c r="E43" s="53" t="s">
        <v>335</v>
      </c>
      <c r="F43" s="53" t="s">
        <v>336</v>
      </c>
      <c r="G43" s="53" t="s">
        <v>36</v>
      </c>
      <c r="H43" s="53" t="s">
        <v>160</v>
      </c>
      <c r="I43" s="53" t="s">
        <v>159</v>
      </c>
      <c r="J43" s="53" t="s">
        <v>38</v>
      </c>
      <c r="K43" s="53" t="s">
        <v>161</v>
      </c>
      <c r="L43" s="53">
        <v>3</v>
      </c>
      <c r="N43" s="53">
        <v>3</v>
      </c>
      <c r="O43" s="53">
        <v>0.23</v>
      </c>
      <c r="P43" s="53">
        <v>0.23</v>
      </c>
      <c r="Q43" s="75">
        <f t="shared" si="2"/>
        <v>0.23</v>
      </c>
      <c r="R43" s="53">
        <v>16.2</v>
      </c>
      <c r="S43" s="53">
        <v>134</v>
      </c>
      <c r="T43" s="16">
        <f t="shared" si="0"/>
        <v>25</v>
      </c>
      <c r="U43" s="53">
        <v>399</v>
      </c>
      <c r="V43" s="16">
        <f t="shared" si="1"/>
        <v>16</v>
      </c>
      <c r="W43" s="53">
        <v>3</v>
      </c>
      <c r="X43" s="53" t="s">
        <v>39</v>
      </c>
      <c r="Y43" s="53" t="s">
        <v>84</v>
      </c>
      <c r="Z43" s="53" t="s">
        <v>90</v>
      </c>
      <c r="AA43" s="53" t="s">
        <v>69</v>
      </c>
      <c r="AB43" s="53" t="s">
        <v>318</v>
      </c>
      <c r="AV43" s="27"/>
    </row>
    <row r="44" spans="1:48" x14ac:dyDescent="0.15">
      <c r="A44" s="53" t="s">
        <v>59</v>
      </c>
      <c r="B44" s="53" t="s">
        <v>234</v>
      </c>
      <c r="C44" s="62">
        <v>2019</v>
      </c>
      <c r="D44" s="137" t="s">
        <v>167</v>
      </c>
      <c r="E44" s="53" t="s">
        <v>335</v>
      </c>
      <c r="F44" s="53" t="s">
        <v>336</v>
      </c>
      <c r="G44" s="53" t="s">
        <v>36</v>
      </c>
      <c r="H44" s="53" t="s">
        <v>164</v>
      </c>
      <c r="I44" s="53" t="s">
        <v>159</v>
      </c>
      <c r="J44" s="53" t="s">
        <v>38</v>
      </c>
      <c r="K44" s="53" t="s">
        <v>161</v>
      </c>
      <c r="L44" s="53">
        <v>1</v>
      </c>
      <c r="N44" s="53">
        <v>3</v>
      </c>
      <c r="O44" s="53">
        <v>0.35</v>
      </c>
      <c r="P44" s="53">
        <v>0.32</v>
      </c>
      <c r="Q44" s="75">
        <f t="shared" si="2"/>
        <v>0.33499999999999996</v>
      </c>
      <c r="R44" s="53">
        <v>14.6</v>
      </c>
      <c r="S44" s="53">
        <v>138</v>
      </c>
      <c r="T44" s="16">
        <f t="shared" si="0"/>
        <v>22</v>
      </c>
      <c r="U44" s="53">
        <v>350</v>
      </c>
      <c r="V44" s="16">
        <f t="shared" si="1"/>
        <v>16</v>
      </c>
      <c r="W44" s="53">
        <v>3</v>
      </c>
      <c r="X44" s="53" t="s">
        <v>39</v>
      </c>
      <c r="Y44" s="53" t="s">
        <v>84</v>
      </c>
      <c r="Z44" s="53" t="s">
        <v>90</v>
      </c>
      <c r="AA44" s="53" t="s">
        <v>69</v>
      </c>
      <c r="AB44" s="53" t="s">
        <v>318</v>
      </c>
      <c r="AV44" s="27"/>
    </row>
    <row r="45" spans="1:48" x14ac:dyDescent="0.15">
      <c r="A45" s="53" t="s">
        <v>59</v>
      </c>
      <c r="B45" s="53" t="s">
        <v>234</v>
      </c>
      <c r="C45" s="62">
        <v>2019</v>
      </c>
      <c r="D45" s="137" t="s">
        <v>167</v>
      </c>
      <c r="E45" s="53" t="s">
        <v>335</v>
      </c>
      <c r="F45" s="53" t="s">
        <v>336</v>
      </c>
      <c r="G45" s="53" t="s">
        <v>36</v>
      </c>
      <c r="H45" s="53" t="s">
        <v>164</v>
      </c>
      <c r="I45" s="53" t="s">
        <v>159</v>
      </c>
      <c r="J45" s="53" t="s">
        <v>38</v>
      </c>
      <c r="K45" s="53" t="s">
        <v>161</v>
      </c>
      <c r="L45" s="53">
        <v>2</v>
      </c>
      <c r="N45" s="53">
        <v>3</v>
      </c>
      <c r="O45" s="53">
        <v>0.34</v>
      </c>
      <c r="P45" s="53">
        <v>0.38</v>
      </c>
      <c r="Q45" s="75">
        <f t="shared" si="2"/>
        <v>0.36</v>
      </c>
      <c r="R45" s="53">
        <v>14.1</v>
      </c>
      <c r="S45" s="53">
        <v>134</v>
      </c>
      <c r="T45" s="16">
        <f t="shared" si="0"/>
        <v>25</v>
      </c>
      <c r="U45" s="53">
        <v>350</v>
      </c>
      <c r="V45" s="16">
        <f t="shared" si="1"/>
        <v>16</v>
      </c>
      <c r="W45" s="53">
        <v>3</v>
      </c>
      <c r="X45" s="53" t="s">
        <v>39</v>
      </c>
      <c r="Y45" s="53" t="s">
        <v>84</v>
      </c>
      <c r="Z45" s="53" t="s">
        <v>90</v>
      </c>
      <c r="AA45" s="53" t="s">
        <v>69</v>
      </c>
      <c r="AB45" s="53" t="s">
        <v>318</v>
      </c>
      <c r="AV45" s="27"/>
    </row>
    <row r="46" spans="1:48" x14ac:dyDescent="0.15">
      <c r="A46" s="53" t="s">
        <v>59</v>
      </c>
      <c r="B46" s="53" t="s">
        <v>234</v>
      </c>
      <c r="C46" s="62">
        <v>2019</v>
      </c>
      <c r="D46" s="137" t="s">
        <v>167</v>
      </c>
      <c r="E46" s="53" t="s">
        <v>335</v>
      </c>
      <c r="F46" s="53" t="s">
        <v>336</v>
      </c>
      <c r="G46" s="53" t="s">
        <v>36</v>
      </c>
      <c r="H46" s="53" t="s">
        <v>164</v>
      </c>
      <c r="I46" s="53" t="s">
        <v>159</v>
      </c>
      <c r="J46" s="53" t="s">
        <v>38</v>
      </c>
      <c r="K46" s="53" t="s">
        <v>161</v>
      </c>
      <c r="L46" s="53">
        <v>3</v>
      </c>
      <c r="N46" s="53">
        <v>3</v>
      </c>
      <c r="O46" s="53">
        <v>0.32</v>
      </c>
      <c r="P46" s="53">
        <v>0.39</v>
      </c>
      <c r="Q46" s="75">
        <f t="shared" si="2"/>
        <v>0.35499999999999998</v>
      </c>
      <c r="R46" s="53">
        <v>15.6</v>
      </c>
      <c r="S46" s="53">
        <v>135</v>
      </c>
      <c r="T46" s="16">
        <f t="shared" si="0"/>
        <v>25</v>
      </c>
      <c r="U46" s="53">
        <v>350</v>
      </c>
      <c r="V46" s="16">
        <f t="shared" si="1"/>
        <v>16</v>
      </c>
      <c r="W46" s="53">
        <v>3</v>
      </c>
      <c r="X46" s="53" t="s">
        <v>39</v>
      </c>
      <c r="Y46" s="53" t="s">
        <v>84</v>
      </c>
      <c r="Z46" s="53" t="s">
        <v>90</v>
      </c>
      <c r="AA46" s="53" t="s">
        <v>69</v>
      </c>
      <c r="AB46" s="53" t="s">
        <v>318</v>
      </c>
      <c r="AV46" s="27"/>
    </row>
    <row r="47" spans="1:48" x14ac:dyDescent="0.15">
      <c r="A47" s="53" t="s">
        <v>59</v>
      </c>
      <c r="B47" s="53" t="s">
        <v>234</v>
      </c>
      <c r="C47" s="62">
        <v>2019</v>
      </c>
      <c r="D47" s="137" t="s">
        <v>167</v>
      </c>
      <c r="E47" s="53" t="s">
        <v>335</v>
      </c>
      <c r="F47" s="53" t="s">
        <v>336</v>
      </c>
      <c r="G47" s="53" t="s">
        <v>36</v>
      </c>
      <c r="H47" s="53" t="s">
        <v>164</v>
      </c>
      <c r="I47" s="53" t="s">
        <v>165</v>
      </c>
      <c r="J47" s="53" t="s">
        <v>38</v>
      </c>
      <c r="K47" s="53" t="s">
        <v>161</v>
      </c>
      <c r="L47" s="53">
        <v>1</v>
      </c>
      <c r="N47" s="53">
        <v>4</v>
      </c>
      <c r="O47" s="53">
        <v>0.5</v>
      </c>
      <c r="P47" s="53">
        <v>0.47</v>
      </c>
      <c r="Q47" s="75">
        <f t="shared" si="2"/>
        <v>0.48499999999999999</v>
      </c>
      <c r="R47" s="53">
        <v>17.100000000000001</v>
      </c>
      <c r="S47" s="53">
        <v>94</v>
      </c>
      <c r="T47" s="16">
        <f t="shared" si="0"/>
        <v>36</v>
      </c>
      <c r="U47" s="53">
        <v>399</v>
      </c>
      <c r="V47" s="16">
        <f t="shared" si="1"/>
        <v>16</v>
      </c>
      <c r="W47" s="53">
        <v>3</v>
      </c>
      <c r="X47" s="53" t="s">
        <v>39</v>
      </c>
      <c r="Y47" s="53" t="s">
        <v>84</v>
      </c>
      <c r="Z47" s="53" t="s">
        <v>90</v>
      </c>
      <c r="AA47" s="53" t="s">
        <v>69</v>
      </c>
      <c r="AB47" s="53" t="s">
        <v>318</v>
      </c>
      <c r="AV47" s="27"/>
    </row>
    <row r="48" spans="1:48" x14ac:dyDescent="0.15">
      <c r="A48" s="53" t="s">
        <v>59</v>
      </c>
      <c r="B48" s="53" t="s">
        <v>234</v>
      </c>
      <c r="C48" s="62">
        <v>2019</v>
      </c>
      <c r="D48" s="137" t="s">
        <v>167</v>
      </c>
      <c r="E48" s="53" t="s">
        <v>335</v>
      </c>
      <c r="F48" s="53" t="s">
        <v>336</v>
      </c>
      <c r="G48" s="53" t="s">
        <v>36</v>
      </c>
      <c r="H48" s="53" t="s">
        <v>164</v>
      </c>
      <c r="I48" s="53" t="s">
        <v>165</v>
      </c>
      <c r="J48" s="53" t="s">
        <v>38</v>
      </c>
      <c r="K48" s="53" t="s">
        <v>161</v>
      </c>
      <c r="L48" s="53">
        <v>2</v>
      </c>
      <c r="N48" s="53">
        <v>4</v>
      </c>
      <c r="O48" s="53">
        <v>0.48</v>
      </c>
      <c r="P48" s="53">
        <v>0.56000000000000005</v>
      </c>
      <c r="Q48" s="75">
        <f t="shared" si="2"/>
        <v>0.52</v>
      </c>
      <c r="R48" s="53">
        <v>16</v>
      </c>
      <c r="S48" s="53">
        <v>105</v>
      </c>
      <c r="T48" s="16">
        <f t="shared" si="0"/>
        <v>33</v>
      </c>
      <c r="U48" s="53">
        <v>399</v>
      </c>
      <c r="V48" s="16">
        <f t="shared" si="1"/>
        <v>16</v>
      </c>
      <c r="W48" s="53">
        <v>3</v>
      </c>
      <c r="X48" s="53" t="s">
        <v>39</v>
      </c>
      <c r="Y48" s="53" t="s">
        <v>84</v>
      </c>
      <c r="Z48" s="53" t="s">
        <v>90</v>
      </c>
      <c r="AA48" s="53" t="s">
        <v>69</v>
      </c>
      <c r="AB48" s="53" t="s">
        <v>318</v>
      </c>
      <c r="AV48" s="27"/>
    </row>
    <row r="49" spans="1:48" x14ac:dyDescent="0.15">
      <c r="A49" s="53" t="s">
        <v>59</v>
      </c>
      <c r="B49" s="53" t="s">
        <v>234</v>
      </c>
      <c r="C49" s="62">
        <v>2019</v>
      </c>
      <c r="D49" s="137" t="s">
        <v>167</v>
      </c>
      <c r="E49" s="53" t="s">
        <v>335</v>
      </c>
      <c r="F49" s="53" t="s">
        <v>336</v>
      </c>
      <c r="G49" s="53" t="s">
        <v>36</v>
      </c>
      <c r="H49" s="53" t="s">
        <v>164</v>
      </c>
      <c r="I49" s="53" t="s">
        <v>165</v>
      </c>
      <c r="J49" s="53" t="s">
        <v>38</v>
      </c>
      <c r="K49" s="53" t="s">
        <v>161</v>
      </c>
      <c r="L49" s="53">
        <v>3</v>
      </c>
      <c r="N49" s="53">
        <v>4</v>
      </c>
      <c r="O49" s="53">
        <v>0.41</v>
      </c>
      <c r="P49" s="53">
        <v>0.49</v>
      </c>
      <c r="Q49" s="75">
        <f t="shared" si="2"/>
        <v>0.44999999999999996</v>
      </c>
      <c r="R49" s="53">
        <v>16.3</v>
      </c>
      <c r="S49" s="53">
        <v>100</v>
      </c>
      <c r="T49" s="16">
        <f t="shared" si="0"/>
        <v>33</v>
      </c>
      <c r="U49" s="53">
        <v>399</v>
      </c>
      <c r="V49" s="16">
        <f t="shared" si="1"/>
        <v>16</v>
      </c>
      <c r="W49" s="53">
        <v>3</v>
      </c>
      <c r="X49" s="53" t="s">
        <v>39</v>
      </c>
      <c r="Y49" s="53" t="s">
        <v>84</v>
      </c>
      <c r="Z49" s="53" t="s">
        <v>90</v>
      </c>
      <c r="AA49" s="53" t="s">
        <v>69</v>
      </c>
      <c r="AB49" s="53" t="s">
        <v>318</v>
      </c>
      <c r="AV49" s="27"/>
    </row>
    <row r="50" spans="1:48" x14ac:dyDescent="0.15">
      <c r="A50" s="53" t="s">
        <v>59</v>
      </c>
      <c r="B50" s="53" t="s">
        <v>234</v>
      </c>
      <c r="C50" s="62">
        <v>2019</v>
      </c>
      <c r="D50" s="137" t="s">
        <v>167</v>
      </c>
      <c r="E50" s="53" t="s">
        <v>325</v>
      </c>
      <c r="F50" s="53" t="s">
        <v>326</v>
      </c>
      <c r="G50" s="53" t="s">
        <v>36</v>
      </c>
      <c r="H50" s="53" t="s">
        <v>160</v>
      </c>
      <c r="I50" s="53" t="s">
        <v>159</v>
      </c>
      <c r="J50" s="53" t="s">
        <v>38</v>
      </c>
      <c r="K50" s="53" t="s">
        <v>161</v>
      </c>
      <c r="L50" s="53">
        <v>1</v>
      </c>
      <c r="N50" s="53">
        <v>4</v>
      </c>
      <c r="O50" s="53">
        <v>0.31</v>
      </c>
      <c r="P50" s="53">
        <v>0.28999999999999998</v>
      </c>
      <c r="Q50" s="75">
        <f t="shared" si="2"/>
        <v>0.3</v>
      </c>
      <c r="R50" s="53">
        <v>16</v>
      </c>
      <c r="S50" s="53">
        <v>112</v>
      </c>
      <c r="T50" s="16">
        <f t="shared" si="0"/>
        <v>33</v>
      </c>
      <c r="U50" s="53">
        <v>450</v>
      </c>
      <c r="V50" s="16">
        <f t="shared" si="1"/>
        <v>16</v>
      </c>
      <c r="W50" s="53">
        <v>1</v>
      </c>
      <c r="X50" s="53" t="s">
        <v>39</v>
      </c>
      <c r="Y50" s="53" t="s">
        <v>84</v>
      </c>
      <c r="Z50" s="53" t="s">
        <v>90</v>
      </c>
      <c r="AA50" s="53" t="s">
        <v>102</v>
      </c>
      <c r="AB50" s="53" t="s">
        <v>318</v>
      </c>
      <c r="AV50" s="27"/>
    </row>
    <row r="51" spans="1:48" x14ac:dyDescent="0.15">
      <c r="A51" s="53" t="s">
        <v>59</v>
      </c>
      <c r="B51" s="53" t="s">
        <v>234</v>
      </c>
      <c r="C51" s="62">
        <v>2019</v>
      </c>
      <c r="D51" s="137" t="s">
        <v>167</v>
      </c>
      <c r="E51" s="53" t="s">
        <v>325</v>
      </c>
      <c r="F51" s="53" t="s">
        <v>326</v>
      </c>
      <c r="G51" s="53" t="s">
        <v>36</v>
      </c>
      <c r="H51" s="53" t="s">
        <v>160</v>
      </c>
      <c r="I51" s="53" t="s">
        <v>159</v>
      </c>
      <c r="J51" s="53" t="s">
        <v>38</v>
      </c>
      <c r="K51" s="53" t="s">
        <v>161</v>
      </c>
      <c r="L51" s="53">
        <v>2</v>
      </c>
      <c r="N51" s="53">
        <v>4</v>
      </c>
      <c r="O51" s="53">
        <v>0.31</v>
      </c>
      <c r="P51" s="53">
        <v>0.35</v>
      </c>
      <c r="Q51" s="75">
        <f t="shared" si="2"/>
        <v>0.32999999999999996</v>
      </c>
      <c r="R51" s="53">
        <v>15.6</v>
      </c>
      <c r="S51" s="53">
        <v>109</v>
      </c>
      <c r="T51" s="16">
        <f t="shared" si="0"/>
        <v>33</v>
      </c>
      <c r="U51" s="53">
        <v>450</v>
      </c>
      <c r="V51" s="16">
        <f t="shared" si="1"/>
        <v>16</v>
      </c>
      <c r="W51" s="53">
        <v>1</v>
      </c>
      <c r="X51" s="53" t="s">
        <v>39</v>
      </c>
      <c r="Y51" s="53" t="s">
        <v>84</v>
      </c>
      <c r="Z51" s="53" t="s">
        <v>90</v>
      </c>
      <c r="AA51" s="53" t="s">
        <v>102</v>
      </c>
      <c r="AB51" s="53" t="s">
        <v>318</v>
      </c>
      <c r="AV51" s="27"/>
    </row>
    <row r="52" spans="1:48" x14ac:dyDescent="0.15">
      <c r="A52" s="53" t="s">
        <v>59</v>
      </c>
      <c r="B52" s="53" t="s">
        <v>234</v>
      </c>
      <c r="C52" s="62">
        <v>2019</v>
      </c>
      <c r="D52" s="137" t="s">
        <v>167</v>
      </c>
      <c r="E52" s="53" t="s">
        <v>325</v>
      </c>
      <c r="F52" s="53" t="s">
        <v>326</v>
      </c>
      <c r="G52" s="53" t="s">
        <v>36</v>
      </c>
      <c r="H52" s="53" t="s">
        <v>160</v>
      </c>
      <c r="I52" s="53" t="s">
        <v>159</v>
      </c>
      <c r="J52" s="53" t="s">
        <v>38</v>
      </c>
      <c r="K52" s="53" t="s">
        <v>161</v>
      </c>
      <c r="L52" s="53">
        <v>3</v>
      </c>
      <c r="N52" s="53">
        <v>4</v>
      </c>
      <c r="O52" s="53">
        <v>0.32</v>
      </c>
      <c r="P52" s="53">
        <v>0.32</v>
      </c>
      <c r="Q52" s="75">
        <f t="shared" si="2"/>
        <v>0.32</v>
      </c>
      <c r="R52" s="53">
        <v>16.2</v>
      </c>
      <c r="S52" s="53">
        <v>110</v>
      </c>
      <c r="T52" s="16">
        <f t="shared" si="0"/>
        <v>33</v>
      </c>
      <c r="U52" s="53">
        <v>450</v>
      </c>
      <c r="V52" s="16">
        <f t="shared" si="1"/>
        <v>16</v>
      </c>
      <c r="W52" s="53">
        <v>1</v>
      </c>
      <c r="X52" s="53" t="s">
        <v>39</v>
      </c>
      <c r="Y52" s="53" t="s">
        <v>84</v>
      </c>
      <c r="Z52" s="53" t="s">
        <v>90</v>
      </c>
      <c r="AA52" s="53" t="s">
        <v>102</v>
      </c>
      <c r="AB52" s="53" t="s">
        <v>318</v>
      </c>
      <c r="AV52" s="27"/>
    </row>
    <row r="53" spans="1:48" x14ac:dyDescent="0.15">
      <c r="A53" s="53" t="s">
        <v>59</v>
      </c>
      <c r="B53" s="53" t="s">
        <v>234</v>
      </c>
      <c r="C53" s="62">
        <v>2019</v>
      </c>
      <c r="D53" s="137" t="s">
        <v>167</v>
      </c>
      <c r="E53" s="53" t="s">
        <v>325</v>
      </c>
      <c r="F53" s="53" t="s">
        <v>326</v>
      </c>
      <c r="G53" s="53" t="s">
        <v>36</v>
      </c>
      <c r="H53" s="53" t="s">
        <v>164</v>
      </c>
      <c r="I53" s="53" t="s">
        <v>159</v>
      </c>
      <c r="J53" s="53" t="s">
        <v>38</v>
      </c>
      <c r="K53" s="53" t="s">
        <v>161</v>
      </c>
      <c r="L53" s="53">
        <v>1</v>
      </c>
      <c r="N53" s="53">
        <v>4</v>
      </c>
      <c r="O53" s="53">
        <v>0.56999999999999995</v>
      </c>
      <c r="P53" s="53">
        <v>0.57999999999999996</v>
      </c>
      <c r="Q53" s="75">
        <f t="shared" si="2"/>
        <v>0.57499999999999996</v>
      </c>
      <c r="R53" s="53">
        <v>15</v>
      </c>
      <c r="S53" s="53">
        <v>90</v>
      </c>
      <c r="T53" s="16">
        <f t="shared" si="0"/>
        <v>36</v>
      </c>
      <c r="U53" s="53">
        <v>298</v>
      </c>
      <c r="V53" s="16">
        <f t="shared" si="1"/>
        <v>16</v>
      </c>
      <c r="W53" s="53">
        <v>1</v>
      </c>
      <c r="X53" s="53" t="s">
        <v>39</v>
      </c>
      <c r="Y53" s="53" t="s">
        <v>84</v>
      </c>
      <c r="Z53" s="53" t="s">
        <v>90</v>
      </c>
      <c r="AA53" s="53" t="s">
        <v>102</v>
      </c>
      <c r="AB53" s="53" t="s">
        <v>318</v>
      </c>
      <c r="AV53" s="27"/>
    </row>
    <row r="54" spans="1:48" x14ac:dyDescent="0.15">
      <c r="A54" s="53" t="s">
        <v>59</v>
      </c>
      <c r="B54" s="53" t="s">
        <v>234</v>
      </c>
      <c r="C54" s="62">
        <v>2019</v>
      </c>
      <c r="D54" s="137" t="s">
        <v>167</v>
      </c>
      <c r="E54" s="53" t="s">
        <v>325</v>
      </c>
      <c r="F54" s="53" t="s">
        <v>326</v>
      </c>
      <c r="G54" s="53" t="s">
        <v>36</v>
      </c>
      <c r="H54" s="53" t="s">
        <v>164</v>
      </c>
      <c r="I54" s="53" t="s">
        <v>159</v>
      </c>
      <c r="J54" s="53" t="s">
        <v>38</v>
      </c>
      <c r="K54" s="53" t="s">
        <v>161</v>
      </c>
      <c r="L54" s="53">
        <v>2</v>
      </c>
      <c r="N54" s="53">
        <v>4</v>
      </c>
      <c r="O54" s="53">
        <v>0.46</v>
      </c>
      <c r="P54" s="53">
        <v>0.5</v>
      </c>
      <c r="Q54" s="75">
        <f t="shared" si="2"/>
        <v>0.48</v>
      </c>
      <c r="R54" s="53">
        <v>15</v>
      </c>
      <c r="S54" s="53">
        <v>87</v>
      </c>
      <c r="T54" s="16">
        <f t="shared" si="0"/>
        <v>36</v>
      </c>
      <c r="U54" s="53">
        <v>298</v>
      </c>
      <c r="V54" s="16">
        <f t="shared" si="1"/>
        <v>16</v>
      </c>
      <c r="W54" s="53">
        <v>1</v>
      </c>
      <c r="X54" s="53" t="s">
        <v>39</v>
      </c>
      <c r="Y54" s="53" t="s">
        <v>84</v>
      </c>
      <c r="Z54" s="53" t="s">
        <v>90</v>
      </c>
      <c r="AA54" s="53" t="s">
        <v>102</v>
      </c>
      <c r="AB54" s="53" t="s">
        <v>318</v>
      </c>
      <c r="AV54" s="27"/>
    </row>
    <row r="55" spans="1:48" x14ac:dyDescent="0.15">
      <c r="A55" s="53" t="s">
        <v>59</v>
      </c>
      <c r="B55" s="53" t="s">
        <v>234</v>
      </c>
      <c r="C55" s="62">
        <v>2019</v>
      </c>
      <c r="D55" s="137" t="s">
        <v>167</v>
      </c>
      <c r="E55" s="53" t="s">
        <v>325</v>
      </c>
      <c r="F55" s="53" t="s">
        <v>326</v>
      </c>
      <c r="G55" s="53" t="s">
        <v>36</v>
      </c>
      <c r="H55" s="53" t="s">
        <v>164</v>
      </c>
      <c r="I55" s="53" t="s">
        <v>159</v>
      </c>
      <c r="J55" s="53" t="s">
        <v>38</v>
      </c>
      <c r="K55" s="53" t="s">
        <v>161</v>
      </c>
      <c r="L55" s="53">
        <v>3</v>
      </c>
      <c r="N55" s="53">
        <v>4</v>
      </c>
      <c r="O55" s="53">
        <v>0.53</v>
      </c>
      <c r="P55" s="53">
        <v>0.53</v>
      </c>
      <c r="Q55" s="75">
        <f t="shared" si="2"/>
        <v>0.53</v>
      </c>
      <c r="R55" s="53">
        <v>14.7</v>
      </c>
      <c r="S55" s="53">
        <v>90</v>
      </c>
      <c r="T55" s="16">
        <f t="shared" si="0"/>
        <v>36</v>
      </c>
      <c r="U55" s="53">
        <v>298</v>
      </c>
      <c r="V55" s="16">
        <f t="shared" si="1"/>
        <v>16</v>
      </c>
      <c r="W55" s="53">
        <v>1</v>
      </c>
      <c r="X55" s="53" t="s">
        <v>39</v>
      </c>
      <c r="Y55" s="53" t="s">
        <v>84</v>
      </c>
      <c r="Z55" s="53" t="s">
        <v>90</v>
      </c>
      <c r="AA55" s="53" t="s">
        <v>102</v>
      </c>
      <c r="AB55" s="53" t="s">
        <v>318</v>
      </c>
      <c r="AV55" s="27"/>
    </row>
    <row r="56" spans="1:48" x14ac:dyDescent="0.15">
      <c r="A56" s="53" t="s">
        <v>59</v>
      </c>
      <c r="B56" s="53" t="s">
        <v>234</v>
      </c>
      <c r="C56" s="62">
        <v>2019</v>
      </c>
      <c r="D56" s="137" t="s">
        <v>167</v>
      </c>
      <c r="E56" s="53" t="s">
        <v>343</v>
      </c>
      <c r="F56" s="53" t="s">
        <v>344</v>
      </c>
      <c r="G56" s="53" t="s">
        <v>36</v>
      </c>
      <c r="H56" s="53" t="s">
        <v>160</v>
      </c>
      <c r="I56" s="53" t="s">
        <v>159</v>
      </c>
      <c r="J56" s="53" t="s">
        <v>38</v>
      </c>
      <c r="K56" s="53" t="s">
        <v>161</v>
      </c>
      <c r="L56" s="53">
        <v>1</v>
      </c>
      <c r="N56" s="53">
        <v>5</v>
      </c>
      <c r="O56" s="53">
        <v>0.27</v>
      </c>
      <c r="P56" s="53">
        <v>0.28000000000000003</v>
      </c>
      <c r="Q56" s="75">
        <f t="shared" si="2"/>
        <v>0.27500000000000002</v>
      </c>
      <c r="R56" s="53">
        <v>15.8</v>
      </c>
      <c r="S56" s="53">
        <v>100</v>
      </c>
      <c r="T56" s="16">
        <f t="shared" si="0"/>
        <v>33</v>
      </c>
      <c r="U56" s="53">
        <v>398</v>
      </c>
      <c r="V56" s="16">
        <f t="shared" si="1"/>
        <v>16</v>
      </c>
      <c r="W56" s="53">
        <v>2</v>
      </c>
      <c r="X56" s="53" t="s">
        <v>39</v>
      </c>
      <c r="Y56" s="53" t="s">
        <v>90</v>
      </c>
      <c r="Z56" s="53" t="s">
        <v>84</v>
      </c>
      <c r="AA56" s="53" t="s">
        <v>342</v>
      </c>
      <c r="AB56" s="53" t="s">
        <v>318</v>
      </c>
      <c r="AV56" s="27"/>
    </row>
    <row r="57" spans="1:48" x14ac:dyDescent="0.15">
      <c r="A57" s="53" t="s">
        <v>59</v>
      </c>
      <c r="B57" s="53" t="s">
        <v>234</v>
      </c>
      <c r="C57" s="62">
        <v>2019</v>
      </c>
      <c r="D57" s="137" t="s">
        <v>167</v>
      </c>
      <c r="E57" s="53" t="s">
        <v>343</v>
      </c>
      <c r="F57" s="53" t="s">
        <v>344</v>
      </c>
      <c r="G57" s="53" t="s">
        <v>36</v>
      </c>
      <c r="H57" s="53" t="s">
        <v>160</v>
      </c>
      <c r="I57" s="53" t="s">
        <v>159</v>
      </c>
      <c r="J57" s="53" t="s">
        <v>38</v>
      </c>
      <c r="K57" s="53" t="s">
        <v>161</v>
      </c>
      <c r="L57" s="53">
        <v>2</v>
      </c>
      <c r="N57" s="53">
        <v>5</v>
      </c>
      <c r="O57" s="53">
        <v>0.25</v>
      </c>
      <c r="P57" s="53">
        <v>0.28999999999999998</v>
      </c>
      <c r="Q57" s="75">
        <f t="shared" si="2"/>
        <v>0.27</v>
      </c>
      <c r="R57" s="53">
        <v>15.6</v>
      </c>
      <c r="S57" s="53">
        <v>100</v>
      </c>
      <c r="T57" s="16">
        <f t="shared" si="0"/>
        <v>33</v>
      </c>
      <c r="U57" s="53">
        <v>398</v>
      </c>
      <c r="V57" s="16">
        <f t="shared" si="1"/>
        <v>16</v>
      </c>
      <c r="W57" s="53">
        <v>2</v>
      </c>
      <c r="X57" s="53" t="s">
        <v>39</v>
      </c>
      <c r="Y57" s="53" t="s">
        <v>90</v>
      </c>
      <c r="Z57" s="53" t="s">
        <v>84</v>
      </c>
      <c r="AA57" s="53" t="s">
        <v>342</v>
      </c>
      <c r="AB57" s="53" t="s">
        <v>318</v>
      </c>
      <c r="AV57" s="27"/>
    </row>
    <row r="58" spans="1:48" x14ac:dyDescent="0.15">
      <c r="A58" s="53" t="s">
        <v>59</v>
      </c>
      <c r="B58" s="53" t="s">
        <v>234</v>
      </c>
      <c r="C58" s="62">
        <v>2019</v>
      </c>
      <c r="D58" s="137" t="s">
        <v>167</v>
      </c>
      <c r="E58" s="53" t="s">
        <v>343</v>
      </c>
      <c r="F58" s="53" t="s">
        <v>344</v>
      </c>
      <c r="G58" s="53" t="s">
        <v>36</v>
      </c>
      <c r="H58" s="53" t="s">
        <v>160</v>
      </c>
      <c r="I58" s="53" t="s">
        <v>159</v>
      </c>
      <c r="J58" s="53" t="s">
        <v>38</v>
      </c>
      <c r="K58" s="53" t="s">
        <v>161</v>
      </c>
      <c r="L58" s="53">
        <v>3</v>
      </c>
      <c r="N58" s="53">
        <v>5</v>
      </c>
      <c r="O58" s="53">
        <v>0.3</v>
      </c>
      <c r="P58" s="53">
        <v>0.26</v>
      </c>
      <c r="Q58" s="75">
        <f t="shared" si="2"/>
        <v>0.28000000000000003</v>
      </c>
      <c r="R58" s="53">
        <v>15.5</v>
      </c>
      <c r="S58" s="53">
        <v>95</v>
      </c>
      <c r="T58" s="16">
        <f t="shared" si="0"/>
        <v>36</v>
      </c>
      <c r="U58" s="53">
        <v>398</v>
      </c>
      <c r="V58" s="16">
        <f t="shared" si="1"/>
        <v>16</v>
      </c>
      <c r="W58" s="53">
        <v>2</v>
      </c>
      <c r="X58" s="53" t="s">
        <v>39</v>
      </c>
      <c r="Y58" s="53" t="s">
        <v>90</v>
      </c>
      <c r="Z58" s="53" t="s">
        <v>84</v>
      </c>
      <c r="AA58" s="53" t="s">
        <v>342</v>
      </c>
      <c r="AB58" s="53" t="s">
        <v>318</v>
      </c>
      <c r="AV58" s="27"/>
    </row>
    <row r="59" spans="1:48" x14ac:dyDescent="0.15">
      <c r="A59" s="53" t="s">
        <v>59</v>
      </c>
      <c r="B59" s="53" t="s">
        <v>234</v>
      </c>
      <c r="C59" s="62">
        <v>2019</v>
      </c>
      <c r="D59" s="137" t="s">
        <v>167</v>
      </c>
      <c r="E59" s="53" t="s">
        <v>343</v>
      </c>
      <c r="F59" s="53" t="s">
        <v>344</v>
      </c>
      <c r="G59" s="53" t="s">
        <v>36</v>
      </c>
      <c r="H59" s="53" t="s">
        <v>164</v>
      </c>
      <c r="I59" s="53" t="s">
        <v>159</v>
      </c>
      <c r="J59" s="53" t="s">
        <v>38</v>
      </c>
      <c r="K59" s="53" t="s">
        <v>161</v>
      </c>
      <c r="L59" s="53">
        <v>1</v>
      </c>
      <c r="N59" s="53">
        <v>4</v>
      </c>
      <c r="O59" s="53">
        <v>0.52</v>
      </c>
      <c r="P59" s="53">
        <v>0.6</v>
      </c>
      <c r="Q59" s="75">
        <f t="shared" si="2"/>
        <v>0.56000000000000005</v>
      </c>
      <c r="R59" s="53">
        <v>16.5</v>
      </c>
      <c r="S59" s="53">
        <v>136</v>
      </c>
      <c r="T59" s="16">
        <f t="shared" si="0"/>
        <v>25</v>
      </c>
      <c r="U59" s="53">
        <v>298</v>
      </c>
      <c r="V59" s="16">
        <f t="shared" si="1"/>
        <v>16</v>
      </c>
      <c r="W59" s="53">
        <v>2</v>
      </c>
      <c r="X59" s="53" t="s">
        <v>39</v>
      </c>
      <c r="Y59" s="53" t="s">
        <v>90</v>
      </c>
      <c r="Z59" s="53" t="s">
        <v>84</v>
      </c>
      <c r="AA59" s="53" t="s">
        <v>342</v>
      </c>
      <c r="AB59" s="53" t="s">
        <v>318</v>
      </c>
      <c r="AV59" s="27"/>
    </row>
    <row r="60" spans="1:48" x14ac:dyDescent="0.15">
      <c r="A60" s="53" t="s">
        <v>59</v>
      </c>
      <c r="B60" s="53" t="s">
        <v>234</v>
      </c>
      <c r="C60" s="62">
        <v>2019</v>
      </c>
      <c r="D60" s="137" t="s">
        <v>167</v>
      </c>
      <c r="E60" s="53" t="s">
        <v>343</v>
      </c>
      <c r="F60" s="53" t="s">
        <v>344</v>
      </c>
      <c r="G60" s="53" t="s">
        <v>36</v>
      </c>
      <c r="H60" s="53" t="s">
        <v>164</v>
      </c>
      <c r="I60" s="53" t="s">
        <v>159</v>
      </c>
      <c r="J60" s="53" t="s">
        <v>38</v>
      </c>
      <c r="K60" s="53" t="s">
        <v>161</v>
      </c>
      <c r="L60" s="53">
        <v>2</v>
      </c>
      <c r="N60" s="53">
        <v>4</v>
      </c>
      <c r="O60" s="53">
        <v>0.7</v>
      </c>
      <c r="P60" s="53">
        <v>0.65</v>
      </c>
      <c r="Q60" s="75">
        <f t="shared" si="2"/>
        <v>0.67500000000000004</v>
      </c>
      <c r="R60" s="53">
        <v>15.9</v>
      </c>
      <c r="S60" s="53">
        <v>145</v>
      </c>
      <c r="T60" s="16">
        <f t="shared" si="0"/>
        <v>22</v>
      </c>
      <c r="U60" s="53">
        <v>298</v>
      </c>
      <c r="V60" s="16">
        <f t="shared" si="1"/>
        <v>16</v>
      </c>
      <c r="W60" s="53">
        <v>2</v>
      </c>
      <c r="X60" s="53" t="s">
        <v>39</v>
      </c>
      <c r="Y60" s="53" t="s">
        <v>90</v>
      </c>
      <c r="Z60" s="53" t="s">
        <v>84</v>
      </c>
      <c r="AA60" s="53" t="s">
        <v>342</v>
      </c>
      <c r="AB60" s="53" t="s">
        <v>318</v>
      </c>
      <c r="AV60" s="27"/>
    </row>
    <row r="61" spans="1:48" x14ac:dyDescent="0.15">
      <c r="A61" s="53" t="s">
        <v>59</v>
      </c>
      <c r="B61" s="53" t="s">
        <v>234</v>
      </c>
      <c r="C61" s="62">
        <v>2019</v>
      </c>
      <c r="D61" s="137" t="s">
        <v>167</v>
      </c>
      <c r="E61" s="53" t="s">
        <v>343</v>
      </c>
      <c r="F61" s="53" t="s">
        <v>344</v>
      </c>
      <c r="G61" s="53" t="s">
        <v>36</v>
      </c>
      <c r="H61" s="53" t="s">
        <v>164</v>
      </c>
      <c r="I61" s="53" t="s">
        <v>159</v>
      </c>
      <c r="J61" s="53" t="s">
        <v>38</v>
      </c>
      <c r="K61" s="53" t="s">
        <v>161</v>
      </c>
      <c r="L61" s="53">
        <v>3</v>
      </c>
      <c r="N61" s="53">
        <v>4</v>
      </c>
      <c r="O61" s="53">
        <v>0.67</v>
      </c>
      <c r="P61" s="53">
        <v>0.61</v>
      </c>
      <c r="Q61" s="75">
        <f t="shared" si="2"/>
        <v>0.64</v>
      </c>
      <c r="R61" s="53">
        <v>15.7</v>
      </c>
      <c r="S61" s="53">
        <v>135</v>
      </c>
      <c r="T61" s="16">
        <f t="shared" si="0"/>
        <v>25</v>
      </c>
      <c r="U61" s="53">
        <v>298</v>
      </c>
      <c r="V61" s="16">
        <f t="shared" si="1"/>
        <v>16</v>
      </c>
      <c r="W61" s="53">
        <v>2</v>
      </c>
      <c r="X61" s="53" t="s">
        <v>39</v>
      </c>
      <c r="Y61" s="53" t="s">
        <v>90</v>
      </c>
      <c r="Z61" s="53" t="s">
        <v>84</v>
      </c>
      <c r="AA61" s="53" t="s">
        <v>342</v>
      </c>
      <c r="AB61" s="53" t="s">
        <v>318</v>
      </c>
      <c r="AV61" s="27"/>
    </row>
    <row r="62" spans="1:48" x14ac:dyDescent="0.15">
      <c r="A62" s="53" t="s">
        <v>59</v>
      </c>
      <c r="B62" s="53" t="s">
        <v>234</v>
      </c>
      <c r="C62" s="62">
        <v>2019</v>
      </c>
      <c r="D62" s="137" t="s">
        <v>167</v>
      </c>
      <c r="E62" s="53" t="s">
        <v>332</v>
      </c>
      <c r="F62" s="53" t="s">
        <v>333</v>
      </c>
      <c r="G62" s="53" t="s">
        <v>36</v>
      </c>
      <c r="H62" s="53" t="s">
        <v>164</v>
      </c>
      <c r="I62" s="53" t="s">
        <v>159</v>
      </c>
      <c r="J62" s="53" t="s">
        <v>38</v>
      </c>
      <c r="K62" s="53" t="s">
        <v>161</v>
      </c>
      <c r="L62" s="53">
        <v>1</v>
      </c>
      <c r="N62" s="53">
        <v>5</v>
      </c>
      <c r="O62" s="53">
        <v>0.28999999999999998</v>
      </c>
      <c r="P62" s="53">
        <v>0.34</v>
      </c>
      <c r="Q62" s="75">
        <f t="shared" si="2"/>
        <v>0.315</v>
      </c>
      <c r="R62" s="53">
        <v>14.1</v>
      </c>
      <c r="S62" s="53">
        <v>88</v>
      </c>
      <c r="T62" s="16">
        <f t="shared" si="0"/>
        <v>36</v>
      </c>
      <c r="U62" s="53">
        <v>321</v>
      </c>
      <c r="V62" s="16">
        <f t="shared" si="1"/>
        <v>16</v>
      </c>
      <c r="W62" s="53">
        <v>3</v>
      </c>
      <c r="X62" s="53" t="s">
        <v>39</v>
      </c>
      <c r="Y62" s="53" t="s">
        <v>84</v>
      </c>
      <c r="Z62" s="53" t="s">
        <v>90</v>
      </c>
      <c r="AA62" s="53" t="s">
        <v>342</v>
      </c>
      <c r="AB62" s="53" t="s">
        <v>318</v>
      </c>
      <c r="AV62" s="27"/>
    </row>
    <row r="63" spans="1:48" x14ac:dyDescent="0.15">
      <c r="A63" s="53" t="s">
        <v>59</v>
      </c>
      <c r="B63" s="53" t="s">
        <v>234</v>
      </c>
      <c r="C63" s="62">
        <v>2019</v>
      </c>
      <c r="D63" s="137" t="s">
        <v>167</v>
      </c>
      <c r="E63" s="53" t="s">
        <v>332</v>
      </c>
      <c r="F63" s="53" t="s">
        <v>333</v>
      </c>
      <c r="G63" s="53" t="s">
        <v>36</v>
      </c>
      <c r="H63" s="53" t="s">
        <v>164</v>
      </c>
      <c r="I63" s="53" t="s">
        <v>159</v>
      </c>
      <c r="J63" s="53" t="s">
        <v>38</v>
      </c>
      <c r="K63" s="53" t="s">
        <v>161</v>
      </c>
      <c r="L63" s="53">
        <v>2</v>
      </c>
      <c r="N63" s="53">
        <v>5</v>
      </c>
      <c r="O63" s="53">
        <v>0.46</v>
      </c>
      <c r="P63" s="53">
        <v>0.42</v>
      </c>
      <c r="Q63" s="75">
        <f t="shared" si="2"/>
        <v>0.44</v>
      </c>
      <c r="R63" s="53">
        <v>15.4</v>
      </c>
      <c r="S63" s="53">
        <v>86</v>
      </c>
      <c r="T63" s="16">
        <f t="shared" si="0"/>
        <v>36</v>
      </c>
      <c r="U63" s="53">
        <v>321</v>
      </c>
      <c r="V63" s="16">
        <f t="shared" si="1"/>
        <v>16</v>
      </c>
      <c r="W63" s="53">
        <v>3</v>
      </c>
      <c r="X63" s="53" t="s">
        <v>39</v>
      </c>
      <c r="Y63" s="53" t="s">
        <v>84</v>
      </c>
      <c r="Z63" s="53" t="s">
        <v>90</v>
      </c>
      <c r="AA63" s="53" t="s">
        <v>342</v>
      </c>
      <c r="AB63" s="53" t="s">
        <v>318</v>
      </c>
      <c r="AV63" s="27"/>
    </row>
    <row r="64" spans="1:48" x14ac:dyDescent="0.15">
      <c r="A64" s="53" t="s">
        <v>59</v>
      </c>
      <c r="B64" s="53" t="s">
        <v>234</v>
      </c>
      <c r="C64" s="62">
        <v>2019</v>
      </c>
      <c r="D64" s="137" t="s">
        <v>167</v>
      </c>
      <c r="E64" s="53" t="s">
        <v>332</v>
      </c>
      <c r="F64" s="53" t="s">
        <v>333</v>
      </c>
      <c r="G64" s="53" t="s">
        <v>36</v>
      </c>
      <c r="H64" s="53" t="s">
        <v>164</v>
      </c>
      <c r="I64" s="53" t="s">
        <v>159</v>
      </c>
      <c r="J64" s="53" t="s">
        <v>38</v>
      </c>
      <c r="K64" s="53" t="s">
        <v>161</v>
      </c>
      <c r="L64" s="53">
        <v>3</v>
      </c>
      <c r="N64" s="53">
        <v>5</v>
      </c>
      <c r="O64" s="53">
        <v>0.35</v>
      </c>
      <c r="P64" s="53">
        <v>0.41</v>
      </c>
      <c r="Q64" s="75">
        <f t="shared" si="2"/>
        <v>0.38</v>
      </c>
      <c r="R64" s="53">
        <v>14.3</v>
      </c>
      <c r="S64" s="53">
        <v>84</v>
      </c>
      <c r="T64" s="16">
        <f t="shared" si="0"/>
        <v>36</v>
      </c>
      <c r="U64" s="53">
        <v>321</v>
      </c>
      <c r="V64" s="16">
        <f t="shared" si="1"/>
        <v>16</v>
      </c>
      <c r="W64" s="53">
        <v>3</v>
      </c>
      <c r="X64" s="53" t="s">
        <v>39</v>
      </c>
      <c r="Y64" s="53" t="s">
        <v>84</v>
      </c>
      <c r="Z64" s="53" t="s">
        <v>90</v>
      </c>
      <c r="AA64" s="53" t="s">
        <v>342</v>
      </c>
      <c r="AB64" s="53" t="s">
        <v>318</v>
      </c>
      <c r="AV64" s="27"/>
    </row>
    <row r="65" spans="3:48" x14ac:dyDescent="0.15">
      <c r="C65" s="62"/>
      <c r="D65" s="137"/>
      <c r="Q65" s="75"/>
      <c r="AV65" s="27"/>
    </row>
    <row r="66" spans="3:48" x14ac:dyDescent="0.15">
      <c r="C66" s="62"/>
      <c r="D66" s="137"/>
      <c r="Q66" s="75"/>
      <c r="AV66" s="27"/>
    </row>
    <row r="67" spans="3:48" x14ac:dyDescent="0.15">
      <c r="C67" s="62"/>
      <c r="D67" s="137"/>
      <c r="Q67" s="75"/>
      <c r="AV67" s="27"/>
    </row>
    <row r="68" spans="3:48" x14ac:dyDescent="0.15">
      <c r="C68" s="62"/>
      <c r="D68" s="137"/>
      <c r="Q68" s="75"/>
      <c r="AV68" s="27"/>
    </row>
    <row r="69" spans="3:48" x14ac:dyDescent="0.15">
      <c r="C69" s="62"/>
      <c r="D69" s="137"/>
      <c r="Q69" s="75"/>
      <c r="AV69" s="27"/>
    </row>
    <row r="70" spans="3:48" x14ac:dyDescent="0.15">
      <c r="C70" s="62"/>
      <c r="D70" s="137"/>
      <c r="Q70" s="75"/>
    </row>
    <row r="71" spans="3:48" x14ac:dyDescent="0.15">
      <c r="C71" s="62"/>
      <c r="D71" s="137"/>
      <c r="Q71" s="75"/>
    </row>
    <row r="72" spans="3:48" x14ac:dyDescent="0.15">
      <c r="C72" s="62"/>
      <c r="D72" s="137"/>
      <c r="Q72" s="75"/>
    </row>
    <row r="73" spans="3:48" x14ac:dyDescent="0.15">
      <c r="C73" s="62"/>
      <c r="Q73" s="75"/>
    </row>
    <row r="74" spans="3:48" x14ac:dyDescent="0.15">
      <c r="C74" s="62"/>
      <c r="Q74" s="75"/>
    </row>
    <row r="75" spans="3:48" x14ac:dyDescent="0.15">
      <c r="C75" s="62"/>
      <c r="Q75" s="75"/>
    </row>
    <row r="76" spans="3:48" x14ac:dyDescent="0.15">
      <c r="C76" s="62"/>
      <c r="Q76" s="75"/>
    </row>
    <row r="77" spans="3:48" x14ac:dyDescent="0.15">
      <c r="C77" s="62"/>
      <c r="Q77" s="75"/>
    </row>
    <row r="78" spans="3:48" x14ac:dyDescent="0.15">
      <c r="C78" s="62"/>
      <c r="Q78" s="75"/>
    </row>
    <row r="79" spans="3:48" x14ac:dyDescent="0.15">
      <c r="C79" s="62"/>
      <c r="Q79" s="75"/>
    </row>
    <row r="80" spans="3:48" x14ac:dyDescent="0.15">
      <c r="C80" s="62"/>
      <c r="Q80" s="75"/>
    </row>
    <row r="81" spans="3:22" x14ac:dyDescent="0.15">
      <c r="C81" s="62"/>
      <c r="Q81" s="75"/>
    </row>
    <row r="82" spans="3:22" x14ac:dyDescent="0.15">
      <c r="C82" s="62"/>
      <c r="Q82" s="75"/>
    </row>
    <row r="83" spans="3:22" x14ac:dyDescent="0.15">
      <c r="C83" s="62"/>
      <c r="Q83" s="75"/>
    </row>
    <row r="84" spans="3:22" x14ac:dyDescent="0.15">
      <c r="C84" s="62"/>
      <c r="Q84" s="75"/>
    </row>
    <row r="85" spans="3:22" x14ac:dyDescent="0.15">
      <c r="C85" s="62"/>
      <c r="Q85" s="75"/>
    </row>
    <row r="86" spans="3:22" x14ac:dyDescent="0.15">
      <c r="C86" s="62"/>
      <c r="Q86" s="75"/>
    </row>
    <row r="87" spans="3:22" x14ac:dyDescent="0.15">
      <c r="C87" s="62"/>
      <c r="Q87" s="75"/>
    </row>
    <row r="88" spans="3:22" x14ac:dyDescent="0.15">
      <c r="C88" s="62"/>
      <c r="Q88" s="75"/>
    </row>
    <row r="89" spans="3:22" x14ac:dyDescent="0.15">
      <c r="C89" s="62"/>
    </row>
    <row r="90" spans="3:22" x14ac:dyDescent="0.15">
      <c r="C90" s="62"/>
    </row>
    <row r="91" spans="3:22" x14ac:dyDescent="0.15">
      <c r="Q91" s="16" t="str">
        <f t="shared" ref="Q91:Q142" si="3">IF(OR(O91="",P91=""),"",AVERAGE(O91,P91))</f>
        <v/>
      </c>
      <c r="T91" s="16" t="str">
        <f t="shared" ref="T91:T142" si="4">IF(H91="","",IF(OR(H91="GREEN",H91="GK"),IF(S91&gt;=$AX$2,VLOOKUP(S91,$AX$2:$AY$12,2,1),""),IF(S91&gt;=$AZ$2,VLOOKUP(S91,$AZ$2:$BA$12,2,1),"")))</f>
        <v/>
      </c>
      <c r="V91" s="16" t="str">
        <f t="shared" ref="V91:V142" si="5">IF(J91="","",IF(OR(J91="GREEN",J91="GK"),IF(U91&gt;=$AX$2,VLOOKUP(U91,$AX$2:$AY$12,2,1),""),IF(U91&gt;=$AZ$2,VLOOKUP(U91,$AZ$2:$BA$12,2,1),"")))</f>
        <v/>
      </c>
    </row>
    <row r="92" spans="3:22" x14ac:dyDescent="0.15">
      <c r="Q92" s="16" t="str">
        <f t="shared" si="3"/>
        <v/>
      </c>
      <c r="T92" s="16" t="str">
        <f t="shared" si="4"/>
        <v/>
      </c>
      <c r="V92" s="16" t="str">
        <f t="shared" si="5"/>
        <v/>
      </c>
    </row>
    <row r="93" spans="3:22" x14ac:dyDescent="0.15">
      <c r="Q93" s="16" t="str">
        <f t="shared" si="3"/>
        <v/>
      </c>
      <c r="T93" s="16" t="str">
        <f t="shared" si="4"/>
        <v/>
      </c>
      <c r="V93" s="16" t="str">
        <f t="shared" si="5"/>
        <v/>
      </c>
    </row>
    <row r="94" spans="3:22" x14ac:dyDescent="0.15">
      <c r="Q94" s="16" t="str">
        <f t="shared" si="3"/>
        <v/>
      </c>
      <c r="T94" s="16" t="str">
        <f t="shared" si="4"/>
        <v/>
      </c>
      <c r="V94" s="16" t="str">
        <f t="shared" si="5"/>
        <v/>
      </c>
    </row>
    <row r="95" spans="3:22" x14ac:dyDescent="0.15">
      <c r="Q95" s="16" t="str">
        <f t="shared" si="3"/>
        <v/>
      </c>
      <c r="T95" s="16" t="str">
        <f t="shared" si="4"/>
        <v/>
      </c>
      <c r="V95" s="16" t="str">
        <f t="shared" si="5"/>
        <v/>
      </c>
    </row>
    <row r="96" spans="3: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sheetData>
  <autoFilter ref="A1:BA142" xr:uid="{00000000-0009-0000-0000-000000000000}"/>
  <phoneticPr fontId="3"/>
  <dataValidations count="19">
    <dataValidation type="list" allowBlank="1" showInputMessage="1" showErrorMessage="1" sqref="K2:K424" xr:uid="{3CD95B61-8959-44D7-A947-3CD9AC12768F}">
      <formula1>$AR$2:$AR$27</formula1>
    </dataValidation>
    <dataValidation type="list" allowBlank="1" showInputMessage="1" showErrorMessage="1" sqref="E2:E482" xr:uid="{998F5A21-99D8-4A5E-987F-D4A5DE0F75B4}">
      <formula1>$AG$2:$AG$11</formula1>
    </dataValidation>
    <dataValidation type="list" allowBlank="1" showInputMessage="1" showErrorMessage="1" sqref="H2:H482" xr:uid="{DA41681D-6F03-4B08-ADC5-EFCB3C241AFC}">
      <formula1>$AL$2:$AL$8</formula1>
    </dataValidation>
    <dataValidation type="decimal" allowBlank="1" showInputMessage="1" showErrorMessage="1" error="硬度を正しく入力して下さい。" sqref="O2:P482" xr:uid="{E4603549-F017-4FA3-8BC9-9CEA573B0F49}">
      <formula1>0</formula1>
      <formula2>7</formula2>
    </dataValidation>
    <dataValidation type="list" allowBlank="1" showInputMessage="1" showErrorMessage="1" sqref="F2:F1436" xr:uid="{F7E45E8C-F24D-4AEB-A211-0D13F3C9A978}">
      <formula1>$AH$2:$AH$11</formula1>
    </dataValidation>
    <dataValidation type="list" allowBlank="1" showInputMessage="1" showErrorMessage="1" sqref="Y2:AA573" xr:uid="{64F44743-B3B4-408F-A65E-3A47A000FF99}">
      <formula1>$AV$2:$AV$38</formula1>
    </dataValidation>
    <dataValidation type="list" allowBlank="1" showInputMessage="1" showErrorMessage="1" sqref="J2:J69" xr:uid="{65B17E02-F743-449B-9F4B-DCE5B03F9A05}">
      <formula1>$AP$2:$AP$38</formula1>
    </dataValidation>
    <dataValidation type="list" allowBlank="1" showInputMessage="1" showErrorMessage="1" sqref="WVS983024:WVS983089 K65520:K65585 JG65520:JG65585 TC65520:TC65585 ACY65520:ACY65585 AMU65520:AMU65585 AWQ65520:AWQ65585 BGM65520:BGM65585 BQI65520:BQI65585 CAE65520:CAE65585 CKA65520:CKA65585 CTW65520:CTW65585 DDS65520:DDS65585 DNO65520:DNO65585 DXK65520:DXK65585 EHG65520:EHG65585 ERC65520:ERC65585 FAY65520:FAY65585 FKU65520:FKU65585 FUQ65520:FUQ65585 GEM65520:GEM65585 GOI65520:GOI65585 GYE65520:GYE65585 HIA65520:HIA65585 HRW65520:HRW65585 IBS65520:IBS65585 ILO65520:ILO65585 IVK65520:IVK65585 JFG65520:JFG65585 JPC65520:JPC65585 JYY65520:JYY65585 KIU65520:KIU65585 KSQ65520:KSQ65585 LCM65520:LCM65585 LMI65520:LMI65585 LWE65520:LWE65585 MGA65520:MGA65585 MPW65520:MPW65585 MZS65520:MZS65585 NJO65520:NJO65585 NTK65520:NTK65585 ODG65520:ODG65585 ONC65520:ONC65585 OWY65520:OWY65585 PGU65520:PGU65585 PQQ65520:PQQ65585 QAM65520:QAM65585 QKI65520:QKI65585 QUE65520:QUE65585 REA65520:REA65585 RNW65520:RNW65585 RXS65520:RXS65585 SHO65520:SHO65585 SRK65520:SRK65585 TBG65520:TBG65585 TLC65520:TLC65585 TUY65520:TUY65585 UEU65520:UEU65585 UOQ65520:UOQ65585 UYM65520:UYM65585 VII65520:VII65585 VSE65520:VSE65585 WCA65520:WCA65585 WLW65520:WLW65585 WVS65520:WVS65585 K131056:K131121 JG131056:JG131121 TC131056:TC131121 ACY131056:ACY131121 AMU131056:AMU131121 AWQ131056:AWQ131121 BGM131056:BGM131121 BQI131056:BQI131121 CAE131056:CAE131121 CKA131056:CKA131121 CTW131056:CTW131121 DDS131056:DDS131121 DNO131056:DNO131121 DXK131056:DXK131121 EHG131056:EHG131121 ERC131056:ERC131121 FAY131056:FAY131121 FKU131056:FKU131121 FUQ131056:FUQ131121 GEM131056:GEM131121 GOI131056:GOI131121 GYE131056:GYE131121 HIA131056:HIA131121 HRW131056:HRW131121 IBS131056:IBS131121 ILO131056:ILO131121 IVK131056:IVK131121 JFG131056:JFG131121 JPC131056:JPC131121 JYY131056:JYY131121 KIU131056:KIU131121 KSQ131056:KSQ131121 LCM131056:LCM131121 LMI131056:LMI131121 LWE131056:LWE131121 MGA131056:MGA131121 MPW131056:MPW131121 MZS131056:MZS131121 NJO131056:NJO131121 NTK131056:NTK131121 ODG131056:ODG131121 ONC131056:ONC131121 OWY131056:OWY131121 PGU131056:PGU131121 PQQ131056:PQQ131121 QAM131056:QAM131121 QKI131056:QKI131121 QUE131056:QUE131121 REA131056:REA131121 RNW131056:RNW131121 RXS131056:RXS131121 SHO131056:SHO131121 SRK131056:SRK131121 TBG131056:TBG131121 TLC131056:TLC131121 TUY131056:TUY131121 UEU131056:UEU131121 UOQ131056:UOQ131121 UYM131056:UYM131121 VII131056:VII131121 VSE131056:VSE131121 WCA131056:WCA131121 WLW131056:WLW131121 WVS131056:WVS131121 K196592:K196657 JG196592:JG196657 TC196592:TC196657 ACY196592:ACY196657 AMU196592:AMU196657 AWQ196592:AWQ196657 BGM196592:BGM196657 BQI196592:BQI196657 CAE196592:CAE196657 CKA196592:CKA196657 CTW196592:CTW196657 DDS196592:DDS196657 DNO196592:DNO196657 DXK196592:DXK196657 EHG196592:EHG196657 ERC196592:ERC196657 FAY196592:FAY196657 FKU196592:FKU196657 FUQ196592:FUQ196657 GEM196592:GEM196657 GOI196592:GOI196657 GYE196592:GYE196657 HIA196592:HIA196657 HRW196592:HRW196657 IBS196592:IBS196657 ILO196592:ILO196657 IVK196592:IVK196657 JFG196592:JFG196657 JPC196592:JPC196657 JYY196592:JYY196657 KIU196592:KIU196657 KSQ196592:KSQ196657 LCM196592:LCM196657 LMI196592:LMI196657 LWE196592:LWE196657 MGA196592:MGA196657 MPW196592:MPW196657 MZS196592:MZS196657 NJO196592:NJO196657 NTK196592:NTK196657 ODG196592:ODG196657 ONC196592:ONC196657 OWY196592:OWY196657 PGU196592:PGU196657 PQQ196592:PQQ196657 QAM196592:QAM196657 QKI196592:QKI196657 QUE196592:QUE196657 REA196592:REA196657 RNW196592:RNW196657 RXS196592:RXS196657 SHO196592:SHO196657 SRK196592:SRK196657 TBG196592:TBG196657 TLC196592:TLC196657 TUY196592:TUY196657 UEU196592:UEU196657 UOQ196592:UOQ196657 UYM196592:UYM196657 VII196592:VII196657 VSE196592:VSE196657 WCA196592:WCA196657 WLW196592:WLW196657 WVS196592:WVS196657 K262128:K262193 JG262128:JG262193 TC262128:TC262193 ACY262128:ACY262193 AMU262128:AMU262193 AWQ262128:AWQ262193 BGM262128:BGM262193 BQI262128:BQI262193 CAE262128:CAE262193 CKA262128:CKA262193 CTW262128:CTW262193 DDS262128:DDS262193 DNO262128:DNO262193 DXK262128:DXK262193 EHG262128:EHG262193 ERC262128:ERC262193 FAY262128:FAY262193 FKU262128:FKU262193 FUQ262128:FUQ262193 GEM262128:GEM262193 GOI262128:GOI262193 GYE262128:GYE262193 HIA262128:HIA262193 HRW262128:HRW262193 IBS262128:IBS262193 ILO262128:ILO262193 IVK262128:IVK262193 JFG262128:JFG262193 JPC262128:JPC262193 JYY262128:JYY262193 KIU262128:KIU262193 KSQ262128:KSQ262193 LCM262128:LCM262193 LMI262128:LMI262193 LWE262128:LWE262193 MGA262128:MGA262193 MPW262128:MPW262193 MZS262128:MZS262193 NJO262128:NJO262193 NTK262128:NTK262193 ODG262128:ODG262193 ONC262128:ONC262193 OWY262128:OWY262193 PGU262128:PGU262193 PQQ262128:PQQ262193 QAM262128:QAM262193 QKI262128:QKI262193 QUE262128:QUE262193 REA262128:REA262193 RNW262128:RNW262193 RXS262128:RXS262193 SHO262128:SHO262193 SRK262128:SRK262193 TBG262128:TBG262193 TLC262128:TLC262193 TUY262128:TUY262193 UEU262128:UEU262193 UOQ262128:UOQ262193 UYM262128:UYM262193 VII262128:VII262193 VSE262128:VSE262193 WCA262128:WCA262193 WLW262128:WLW262193 WVS262128:WVS262193 K327664:K327729 JG327664:JG327729 TC327664:TC327729 ACY327664:ACY327729 AMU327664:AMU327729 AWQ327664:AWQ327729 BGM327664:BGM327729 BQI327664:BQI327729 CAE327664:CAE327729 CKA327664:CKA327729 CTW327664:CTW327729 DDS327664:DDS327729 DNO327664:DNO327729 DXK327664:DXK327729 EHG327664:EHG327729 ERC327664:ERC327729 FAY327664:FAY327729 FKU327664:FKU327729 FUQ327664:FUQ327729 GEM327664:GEM327729 GOI327664:GOI327729 GYE327664:GYE327729 HIA327664:HIA327729 HRW327664:HRW327729 IBS327664:IBS327729 ILO327664:ILO327729 IVK327664:IVK327729 JFG327664:JFG327729 JPC327664:JPC327729 JYY327664:JYY327729 KIU327664:KIU327729 KSQ327664:KSQ327729 LCM327664:LCM327729 LMI327664:LMI327729 LWE327664:LWE327729 MGA327664:MGA327729 MPW327664:MPW327729 MZS327664:MZS327729 NJO327664:NJO327729 NTK327664:NTK327729 ODG327664:ODG327729 ONC327664:ONC327729 OWY327664:OWY327729 PGU327664:PGU327729 PQQ327664:PQQ327729 QAM327664:QAM327729 QKI327664:QKI327729 QUE327664:QUE327729 REA327664:REA327729 RNW327664:RNW327729 RXS327664:RXS327729 SHO327664:SHO327729 SRK327664:SRK327729 TBG327664:TBG327729 TLC327664:TLC327729 TUY327664:TUY327729 UEU327664:UEU327729 UOQ327664:UOQ327729 UYM327664:UYM327729 VII327664:VII327729 VSE327664:VSE327729 WCA327664:WCA327729 WLW327664:WLW327729 WVS327664:WVS327729 K393200:K393265 JG393200:JG393265 TC393200:TC393265 ACY393200:ACY393265 AMU393200:AMU393265 AWQ393200:AWQ393265 BGM393200:BGM393265 BQI393200:BQI393265 CAE393200:CAE393265 CKA393200:CKA393265 CTW393200:CTW393265 DDS393200:DDS393265 DNO393200:DNO393265 DXK393200:DXK393265 EHG393200:EHG393265 ERC393200:ERC393265 FAY393200:FAY393265 FKU393200:FKU393265 FUQ393200:FUQ393265 GEM393200:GEM393265 GOI393200:GOI393265 GYE393200:GYE393265 HIA393200:HIA393265 HRW393200:HRW393265 IBS393200:IBS393265 ILO393200:ILO393265 IVK393200:IVK393265 JFG393200:JFG393265 JPC393200:JPC393265 JYY393200:JYY393265 KIU393200:KIU393265 KSQ393200:KSQ393265 LCM393200:LCM393265 LMI393200:LMI393265 LWE393200:LWE393265 MGA393200:MGA393265 MPW393200:MPW393265 MZS393200:MZS393265 NJO393200:NJO393265 NTK393200:NTK393265 ODG393200:ODG393265 ONC393200:ONC393265 OWY393200:OWY393265 PGU393200:PGU393265 PQQ393200:PQQ393265 QAM393200:QAM393265 QKI393200:QKI393265 QUE393200:QUE393265 REA393200:REA393265 RNW393200:RNW393265 RXS393200:RXS393265 SHO393200:SHO393265 SRK393200:SRK393265 TBG393200:TBG393265 TLC393200:TLC393265 TUY393200:TUY393265 UEU393200:UEU393265 UOQ393200:UOQ393265 UYM393200:UYM393265 VII393200:VII393265 VSE393200:VSE393265 WCA393200:WCA393265 WLW393200:WLW393265 WVS393200:WVS393265 K458736:K458801 JG458736:JG458801 TC458736:TC458801 ACY458736:ACY458801 AMU458736:AMU458801 AWQ458736:AWQ458801 BGM458736:BGM458801 BQI458736:BQI458801 CAE458736:CAE458801 CKA458736:CKA458801 CTW458736:CTW458801 DDS458736:DDS458801 DNO458736:DNO458801 DXK458736:DXK458801 EHG458736:EHG458801 ERC458736:ERC458801 FAY458736:FAY458801 FKU458736:FKU458801 FUQ458736:FUQ458801 GEM458736:GEM458801 GOI458736:GOI458801 GYE458736:GYE458801 HIA458736:HIA458801 HRW458736:HRW458801 IBS458736:IBS458801 ILO458736:ILO458801 IVK458736:IVK458801 JFG458736:JFG458801 JPC458736:JPC458801 JYY458736:JYY458801 KIU458736:KIU458801 KSQ458736:KSQ458801 LCM458736:LCM458801 LMI458736:LMI458801 LWE458736:LWE458801 MGA458736:MGA458801 MPW458736:MPW458801 MZS458736:MZS458801 NJO458736:NJO458801 NTK458736:NTK458801 ODG458736:ODG458801 ONC458736:ONC458801 OWY458736:OWY458801 PGU458736:PGU458801 PQQ458736:PQQ458801 QAM458736:QAM458801 QKI458736:QKI458801 QUE458736:QUE458801 REA458736:REA458801 RNW458736:RNW458801 RXS458736:RXS458801 SHO458736:SHO458801 SRK458736:SRK458801 TBG458736:TBG458801 TLC458736:TLC458801 TUY458736:TUY458801 UEU458736:UEU458801 UOQ458736:UOQ458801 UYM458736:UYM458801 VII458736:VII458801 VSE458736:VSE458801 WCA458736:WCA458801 WLW458736:WLW458801 WVS458736:WVS458801 K524272:K524337 JG524272:JG524337 TC524272:TC524337 ACY524272:ACY524337 AMU524272:AMU524337 AWQ524272:AWQ524337 BGM524272:BGM524337 BQI524272:BQI524337 CAE524272:CAE524337 CKA524272:CKA524337 CTW524272:CTW524337 DDS524272:DDS524337 DNO524272:DNO524337 DXK524272:DXK524337 EHG524272:EHG524337 ERC524272:ERC524337 FAY524272:FAY524337 FKU524272:FKU524337 FUQ524272:FUQ524337 GEM524272:GEM524337 GOI524272:GOI524337 GYE524272:GYE524337 HIA524272:HIA524337 HRW524272:HRW524337 IBS524272:IBS524337 ILO524272:ILO524337 IVK524272:IVK524337 JFG524272:JFG524337 JPC524272:JPC524337 JYY524272:JYY524337 KIU524272:KIU524337 KSQ524272:KSQ524337 LCM524272:LCM524337 LMI524272:LMI524337 LWE524272:LWE524337 MGA524272:MGA524337 MPW524272:MPW524337 MZS524272:MZS524337 NJO524272:NJO524337 NTK524272:NTK524337 ODG524272:ODG524337 ONC524272:ONC524337 OWY524272:OWY524337 PGU524272:PGU524337 PQQ524272:PQQ524337 QAM524272:QAM524337 QKI524272:QKI524337 QUE524272:QUE524337 REA524272:REA524337 RNW524272:RNW524337 RXS524272:RXS524337 SHO524272:SHO524337 SRK524272:SRK524337 TBG524272:TBG524337 TLC524272:TLC524337 TUY524272:TUY524337 UEU524272:UEU524337 UOQ524272:UOQ524337 UYM524272:UYM524337 VII524272:VII524337 VSE524272:VSE524337 WCA524272:WCA524337 WLW524272:WLW524337 WVS524272:WVS524337 K589808:K589873 JG589808:JG589873 TC589808:TC589873 ACY589808:ACY589873 AMU589808:AMU589873 AWQ589808:AWQ589873 BGM589808:BGM589873 BQI589808:BQI589873 CAE589808:CAE589873 CKA589808:CKA589873 CTW589808:CTW589873 DDS589808:DDS589873 DNO589808:DNO589873 DXK589808:DXK589873 EHG589808:EHG589873 ERC589808:ERC589873 FAY589808:FAY589873 FKU589808:FKU589873 FUQ589808:FUQ589873 GEM589808:GEM589873 GOI589808:GOI589873 GYE589808:GYE589873 HIA589808:HIA589873 HRW589808:HRW589873 IBS589808:IBS589873 ILO589808:ILO589873 IVK589808:IVK589873 JFG589808:JFG589873 JPC589808:JPC589873 JYY589808:JYY589873 KIU589808:KIU589873 KSQ589808:KSQ589873 LCM589808:LCM589873 LMI589808:LMI589873 LWE589808:LWE589873 MGA589808:MGA589873 MPW589808:MPW589873 MZS589808:MZS589873 NJO589808:NJO589873 NTK589808:NTK589873 ODG589808:ODG589873 ONC589808:ONC589873 OWY589808:OWY589873 PGU589808:PGU589873 PQQ589808:PQQ589873 QAM589808:QAM589873 QKI589808:QKI589873 QUE589808:QUE589873 REA589808:REA589873 RNW589808:RNW589873 RXS589808:RXS589873 SHO589808:SHO589873 SRK589808:SRK589873 TBG589808:TBG589873 TLC589808:TLC589873 TUY589808:TUY589873 UEU589808:UEU589873 UOQ589808:UOQ589873 UYM589808:UYM589873 VII589808:VII589873 VSE589808:VSE589873 WCA589808:WCA589873 WLW589808:WLW589873 WVS589808:WVS589873 K655344:K655409 JG655344:JG655409 TC655344:TC655409 ACY655344:ACY655409 AMU655344:AMU655409 AWQ655344:AWQ655409 BGM655344:BGM655409 BQI655344:BQI655409 CAE655344:CAE655409 CKA655344:CKA655409 CTW655344:CTW655409 DDS655344:DDS655409 DNO655344:DNO655409 DXK655344:DXK655409 EHG655344:EHG655409 ERC655344:ERC655409 FAY655344:FAY655409 FKU655344:FKU655409 FUQ655344:FUQ655409 GEM655344:GEM655409 GOI655344:GOI655409 GYE655344:GYE655409 HIA655344:HIA655409 HRW655344:HRW655409 IBS655344:IBS655409 ILO655344:ILO655409 IVK655344:IVK655409 JFG655344:JFG655409 JPC655344:JPC655409 JYY655344:JYY655409 KIU655344:KIU655409 KSQ655344:KSQ655409 LCM655344:LCM655409 LMI655344:LMI655409 LWE655344:LWE655409 MGA655344:MGA655409 MPW655344:MPW655409 MZS655344:MZS655409 NJO655344:NJO655409 NTK655344:NTK655409 ODG655344:ODG655409 ONC655344:ONC655409 OWY655344:OWY655409 PGU655344:PGU655409 PQQ655344:PQQ655409 QAM655344:QAM655409 QKI655344:QKI655409 QUE655344:QUE655409 REA655344:REA655409 RNW655344:RNW655409 RXS655344:RXS655409 SHO655344:SHO655409 SRK655344:SRK655409 TBG655344:TBG655409 TLC655344:TLC655409 TUY655344:TUY655409 UEU655344:UEU655409 UOQ655344:UOQ655409 UYM655344:UYM655409 VII655344:VII655409 VSE655344:VSE655409 WCA655344:WCA655409 WLW655344:WLW655409 WVS655344:WVS655409 K720880:K720945 JG720880:JG720945 TC720880:TC720945 ACY720880:ACY720945 AMU720880:AMU720945 AWQ720880:AWQ720945 BGM720880:BGM720945 BQI720880:BQI720945 CAE720880:CAE720945 CKA720880:CKA720945 CTW720880:CTW720945 DDS720880:DDS720945 DNO720880:DNO720945 DXK720880:DXK720945 EHG720880:EHG720945 ERC720880:ERC720945 FAY720880:FAY720945 FKU720880:FKU720945 FUQ720880:FUQ720945 GEM720880:GEM720945 GOI720880:GOI720945 GYE720880:GYE720945 HIA720880:HIA720945 HRW720880:HRW720945 IBS720880:IBS720945 ILO720880:ILO720945 IVK720880:IVK720945 JFG720880:JFG720945 JPC720880:JPC720945 JYY720880:JYY720945 KIU720880:KIU720945 KSQ720880:KSQ720945 LCM720880:LCM720945 LMI720880:LMI720945 LWE720880:LWE720945 MGA720880:MGA720945 MPW720880:MPW720945 MZS720880:MZS720945 NJO720880:NJO720945 NTK720880:NTK720945 ODG720880:ODG720945 ONC720880:ONC720945 OWY720880:OWY720945 PGU720880:PGU720945 PQQ720880:PQQ720945 QAM720880:QAM720945 QKI720880:QKI720945 QUE720880:QUE720945 REA720880:REA720945 RNW720880:RNW720945 RXS720880:RXS720945 SHO720880:SHO720945 SRK720880:SRK720945 TBG720880:TBG720945 TLC720880:TLC720945 TUY720880:TUY720945 UEU720880:UEU720945 UOQ720880:UOQ720945 UYM720880:UYM720945 VII720880:VII720945 VSE720880:VSE720945 WCA720880:WCA720945 WLW720880:WLW720945 WVS720880:WVS720945 K786416:K786481 JG786416:JG786481 TC786416:TC786481 ACY786416:ACY786481 AMU786416:AMU786481 AWQ786416:AWQ786481 BGM786416:BGM786481 BQI786416:BQI786481 CAE786416:CAE786481 CKA786416:CKA786481 CTW786416:CTW786481 DDS786416:DDS786481 DNO786416:DNO786481 DXK786416:DXK786481 EHG786416:EHG786481 ERC786416:ERC786481 FAY786416:FAY786481 FKU786416:FKU786481 FUQ786416:FUQ786481 GEM786416:GEM786481 GOI786416:GOI786481 GYE786416:GYE786481 HIA786416:HIA786481 HRW786416:HRW786481 IBS786416:IBS786481 ILO786416:ILO786481 IVK786416:IVK786481 JFG786416:JFG786481 JPC786416:JPC786481 JYY786416:JYY786481 KIU786416:KIU786481 KSQ786416:KSQ786481 LCM786416:LCM786481 LMI786416:LMI786481 LWE786416:LWE786481 MGA786416:MGA786481 MPW786416:MPW786481 MZS786416:MZS786481 NJO786416:NJO786481 NTK786416:NTK786481 ODG786416:ODG786481 ONC786416:ONC786481 OWY786416:OWY786481 PGU786416:PGU786481 PQQ786416:PQQ786481 QAM786416:QAM786481 QKI786416:QKI786481 QUE786416:QUE786481 REA786416:REA786481 RNW786416:RNW786481 RXS786416:RXS786481 SHO786416:SHO786481 SRK786416:SRK786481 TBG786416:TBG786481 TLC786416:TLC786481 TUY786416:TUY786481 UEU786416:UEU786481 UOQ786416:UOQ786481 UYM786416:UYM786481 VII786416:VII786481 VSE786416:VSE786481 WCA786416:WCA786481 WLW786416:WLW786481 WVS786416:WVS786481 K851952:K852017 JG851952:JG852017 TC851952:TC852017 ACY851952:ACY852017 AMU851952:AMU852017 AWQ851952:AWQ852017 BGM851952:BGM852017 BQI851952:BQI852017 CAE851952:CAE852017 CKA851952:CKA852017 CTW851952:CTW852017 DDS851952:DDS852017 DNO851952:DNO852017 DXK851952:DXK852017 EHG851952:EHG852017 ERC851952:ERC852017 FAY851952:FAY852017 FKU851952:FKU852017 FUQ851952:FUQ852017 GEM851952:GEM852017 GOI851952:GOI852017 GYE851952:GYE852017 HIA851952:HIA852017 HRW851952:HRW852017 IBS851952:IBS852017 ILO851952:ILO852017 IVK851952:IVK852017 JFG851952:JFG852017 JPC851952:JPC852017 JYY851952:JYY852017 KIU851952:KIU852017 KSQ851952:KSQ852017 LCM851952:LCM852017 LMI851952:LMI852017 LWE851952:LWE852017 MGA851952:MGA852017 MPW851952:MPW852017 MZS851952:MZS852017 NJO851952:NJO852017 NTK851952:NTK852017 ODG851952:ODG852017 ONC851952:ONC852017 OWY851952:OWY852017 PGU851952:PGU852017 PQQ851952:PQQ852017 QAM851952:QAM852017 QKI851952:QKI852017 QUE851952:QUE852017 REA851952:REA852017 RNW851952:RNW852017 RXS851952:RXS852017 SHO851952:SHO852017 SRK851952:SRK852017 TBG851952:TBG852017 TLC851952:TLC852017 TUY851952:TUY852017 UEU851952:UEU852017 UOQ851952:UOQ852017 UYM851952:UYM852017 VII851952:VII852017 VSE851952:VSE852017 WCA851952:WCA852017 WLW851952:WLW852017 WVS851952:WVS852017 K917488:K917553 JG917488:JG917553 TC917488:TC917553 ACY917488:ACY917553 AMU917488:AMU917553 AWQ917488:AWQ917553 BGM917488:BGM917553 BQI917488:BQI917553 CAE917488:CAE917553 CKA917488:CKA917553 CTW917488:CTW917553 DDS917488:DDS917553 DNO917488:DNO917553 DXK917488:DXK917553 EHG917488:EHG917553 ERC917488:ERC917553 FAY917488:FAY917553 FKU917488:FKU917553 FUQ917488:FUQ917553 GEM917488:GEM917553 GOI917488:GOI917553 GYE917488:GYE917553 HIA917488:HIA917553 HRW917488:HRW917553 IBS917488:IBS917553 ILO917488:ILO917553 IVK917488:IVK917553 JFG917488:JFG917553 JPC917488:JPC917553 JYY917488:JYY917553 KIU917488:KIU917553 KSQ917488:KSQ917553 LCM917488:LCM917553 LMI917488:LMI917553 LWE917488:LWE917553 MGA917488:MGA917553 MPW917488:MPW917553 MZS917488:MZS917553 NJO917488:NJO917553 NTK917488:NTK917553 ODG917488:ODG917553 ONC917488:ONC917553 OWY917488:OWY917553 PGU917488:PGU917553 PQQ917488:PQQ917553 QAM917488:QAM917553 QKI917488:QKI917553 QUE917488:QUE917553 REA917488:REA917553 RNW917488:RNW917553 RXS917488:RXS917553 SHO917488:SHO917553 SRK917488:SRK917553 TBG917488:TBG917553 TLC917488:TLC917553 TUY917488:TUY917553 UEU917488:UEU917553 UOQ917488:UOQ917553 UYM917488:UYM917553 VII917488:VII917553 VSE917488:VSE917553 WCA917488:WCA917553 WLW917488:WLW917553 WVS917488:WVS917553 K983024:K983089 JG983024:JG983089 TC983024:TC983089 ACY983024:ACY983089 AMU983024:AMU983089 AWQ983024:AWQ983089 BGM983024:BGM983089 BQI983024:BQI983089 CAE983024:CAE983089 CKA983024:CKA983089 CTW983024:CTW983089 DDS983024:DDS983089 DNO983024:DNO983089 DXK983024:DXK983089 EHG983024:EHG983089 ERC983024:ERC983089 FAY983024:FAY983089 FKU983024:FKU983089 FUQ983024:FUQ983089 GEM983024:GEM983089 GOI983024:GOI983089 GYE983024:GYE983089 HIA983024:HIA983089 HRW983024:HRW983089 IBS983024:IBS983089 ILO983024:ILO983089 IVK983024:IVK983089 JFG983024:JFG983089 JPC983024:JPC983089 JYY983024:JYY983089 KIU983024:KIU983089 KSQ983024:KSQ983089 LCM983024:LCM983089 LMI983024:LMI983089 LWE983024:LWE983089 MGA983024:MGA983089 MPW983024:MPW983089 MZS983024:MZS983089 NJO983024:NJO983089 NTK983024:NTK983089 ODG983024:ODG983089 ONC983024:ONC983089 OWY983024:OWY983089 PGU983024:PGU983089 PQQ983024:PQQ983089 QAM983024:QAM983089 QKI983024:QKI983089 QUE983024:QUE983089 REA983024:REA983089 RNW983024:RNW983089 RXS983024:RXS983089 SHO983024:SHO983089 SRK983024:SRK983089 TBG983024:TBG983089 TLC983024:TLC983089 TUY983024:TUY983089 UEU983024:UEU983089 UOQ983024:UOQ983089 UYM983024:UYM983089 VII983024:VII983089 VSE983024:VSE983089 WCA983024:WCA983089 WLW983024:WLW983089 K425:K482 JG2:JG69 TC2:TC69 ACY2:ACY69 AMU2:AMU69 AWQ2:AWQ69 BGM2:BGM69 BQI2:BQI69 CAE2:CAE69 CKA2:CKA69 CTW2:CTW69 DDS2:DDS69 DNO2:DNO69 DXK2:DXK69 EHG2:EHG69 ERC2:ERC69 FAY2:FAY69 FKU2:FKU69 FUQ2:FUQ69 GEM2:GEM69 GOI2:GOI69 GYE2:GYE69 HIA2:HIA69 HRW2:HRW69 IBS2:IBS69 ILO2:ILO69 IVK2:IVK69 JFG2:JFG69 JPC2:JPC69 JYY2:JYY69 KIU2:KIU69 KSQ2:KSQ69 LCM2:LCM69 LMI2:LMI69 LWE2:LWE69 MGA2:MGA69 MPW2:MPW69 MZS2:MZS69 NJO2:NJO69 NTK2:NTK69 ODG2:ODG69 ONC2:ONC69 OWY2:OWY69 PGU2:PGU69 PQQ2:PQQ69 QAM2:QAM69 QKI2:QKI69 QUE2:QUE69 REA2:REA69 RNW2:RNW69 RXS2:RXS69 SHO2:SHO69 SRK2:SRK69 TBG2:TBG69 TLC2:TLC69 TUY2:TUY69 UEU2:UEU69 UOQ2:UOQ69 UYM2:UYM69 VII2:VII69 VSE2:VSE69 WCA2:WCA69 WLW2:WLW69 WVS2:WVS69" xr:uid="{A6F41A1F-BF24-4012-82A8-557AEAC52984}">
      <formula1>$AR$2:$AR$25</formula1>
    </dataValidation>
    <dataValidation type="list" allowBlank="1" showInputMessage="1" showErrorMessage="1" sqref="WVR983024:WVR983089 J65520:J65585 JF65520:JF65585 TB65520:TB65585 ACX65520:ACX65585 AMT65520:AMT65585 AWP65520:AWP65585 BGL65520:BGL65585 BQH65520:BQH65585 CAD65520:CAD65585 CJZ65520:CJZ65585 CTV65520:CTV65585 DDR65520:DDR65585 DNN65520:DNN65585 DXJ65520:DXJ65585 EHF65520:EHF65585 ERB65520:ERB65585 FAX65520:FAX65585 FKT65520:FKT65585 FUP65520:FUP65585 GEL65520:GEL65585 GOH65520:GOH65585 GYD65520:GYD65585 HHZ65520:HHZ65585 HRV65520:HRV65585 IBR65520:IBR65585 ILN65520:ILN65585 IVJ65520:IVJ65585 JFF65520:JFF65585 JPB65520:JPB65585 JYX65520:JYX65585 KIT65520:KIT65585 KSP65520:KSP65585 LCL65520:LCL65585 LMH65520:LMH65585 LWD65520:LWD65585 MFZ65520:MFZ65585 MPV65520:MPV65585 MZR65520:MZR65585 NJN65520:NJN65585 NTJ65520:NTJ65585 ODF65520:ODF65585 ONB65520:ONB65585 OWX65520:OWX65585 PGT65520:PGT65585 PQP65520:PQP65585 QAL65520:QAL65585 QKH65520:QKH65585 QUD65520:QUD65585 RDZ65520:RDZ65585 RNV65520:RNV65585 RXR65520:RXR65585 SHN65520:SHN65585 SRJ65520:SRJ65585 TBF65520:TBF65585 TLB65520:TLB65585 TUX65520:TUX65585 UET65520:UET65585 UOP65520:UOP65585 UYL65520:UYL65585 VIH65520:VIH65585 VSD65520:VSD65585 WBZ65520:WBZ65585 WLV65520:WLV65585 WVR65520:WVR65585 J131056:J131121 JF131056:JF131121 TB131056:TB131121 ACX131056:ACX131121 AMT131056:AMT131121 AWP131056:AWP131121 BGL131056:BGL131121 BQH131056:BQH131121 CAD131056:CAD131121 CJZ131056:CJZ131121 CTV131056:CTV131121 DDR131056:DDR131121 DNN131056:DNN131121 DXJ131056:DXJ131121 EHF131056:EHF131121 ERB131056:ERB131121 FAX131056:FAX131121 FKT131056:FKT131121 FUP131056:FUP131121 GEL131056:GEL131121 GOH131056:GOH131121 GYD131056:GYD131121 HHZ131056:HHZ131121 HRV131056:HRV131121 IBR131056:IBR131121 ILN131056:ILN131121 IVJ131056:IVJ131121 JFF131056:JFF131121 JPB131056:JPB131121 JYX131056:JYX131121 KIT131056:KIT131121 KSP131056:KSP131121 LCL131056:LCL131121 LMH131056:LMH131121 LWD131056:LWD131121 MFZ131056:MFZ131121 MPV131056:MPV131121 MZR131056:MZR131121 NJN131056:NJN131121 NTJ131056:NTJ131121 ODF131056:ODF131121 ONB131056:ONB131121 OWX131056:OWX131121 PGT131056:PGT131121 PQP131056:PQP131121 QAL131056:QAL131121 QKH131056:QKH131121 QUD131056:QUD131121 RDZ131056:RDZ131121 RNV131056:RNV131121 RXR131056:RXR131121 SHN131056:SHN131121 SRJ131056:SRJ131121 TBF131056:TBF131121 TLB131056:TLB131121 TUX131056:TUX131121 UET131056:UET131121 UOP131056:UOP131121 UYL131056:UYL131121 VIH131056:VIH131121 VSD131056:VSD131121 WBZ131056:WBZ131121 WLV131056:WLV131121 WVR131056:WVR131121 J196592:J196657 JF196592:JF196657 TB196592:TB196657 ACX196592:ACX196657 AMT196592:AMT196657 AWP196592:AWP196657 BGL196592:BGL196657 BQH196592:BQH196657 CAD196592:CAD196657 CJZ196592:CJZ196657 CTV196592:CTV196657 DDR196592:DDR196657 DNN196592:DNN196657 DXJ196592:DXJ196657 EHF196592:EHF196657 ERB196592:ERB196657 FAX196592:FAX196657 FKT196592:FKT196657 FUP196592:FUP196657 GEL196592:GEL196657 GOH196592:GOH196657 GYD196592:GYD196657 HHZ196592:HHZ196657 HRV196592:HRV196657 IBR196592:IBR196657 ILN196592:ILN196657 IVJ196592:IVJ196657 JFF196592:JFF196657 JPB196592:JPB196657 JYX196592:JYX196657 KIT196592:KIT196657 KSP196592:KSP196657 LCL196592:LCL196657 LMH196592:LMH196657 LWD196592:LWD196657 MFZ196592:MFZ196657 MPV196592:MPV196657 MZR196592:MZR196657 NJN196592:NJN196657 NTJ196592:NTJ196657 ODF196592:ODF196657 ONB196592:ONB196657 OWX196592:OWX196657 PGT196592:PGT196657 PQP196592:PQP196657 QAL196592:QAL196657 QKH196592:QKH196657 QUD196592:QUD196657 RDZ196592:RDZ196657 RNV196592:RNV196657 RXR196592:RXR196657 SHN196592:SHN196657 SRJ196592:SRJ196657 TBF196592:TBF196657 TLB196592:TLB196657 TUX196592:TUX196657 UET196592:UET196657 UOP196592:UOP196657 UYL196592:UYL196657 VIH196592:VIH196657 VSD196592:VSD196657 WBZ196592:WBZ196657 WLV196592:WLV196657 WVR196592:WVR196657 J262128:J262193 JF262128:JF262193 TB262128:TB262193 ACX262128:ACX262193 AMT262128:AMT262193 AWP262128:AWP262193 BGL262128:BGL262193 BQH262128:BQH262193 CAD262128:CAD262193 CJZ262128:CJZ262193 CTV262128:CTV262193 DDR262128:DDR262193 DNN262128:DNN262193 DXJ262128:DXJ262193 EHF262128:EHF262193 ERB262128:ERB262193 FAX262128:FAX262193 FKT262128:FKT262193 FUP262128:FUP262193 GEL262128:GEL262193 GOH262128:GOH262193 GYD262128:GYD262193 HHZ262128:HHZ262193 HRV262128:HRV262193 IBR262128:IBR262193 ILN262128:ILN262193 IVJ262128:IVJ262193 JFF262128:JFF262193 JPB262128:JPB262193 JYX262128:JYX262193 KIT262128:KIT262193 KSP262128:KSP262193 LCL262128:LCL262193 LMH262128:LMH262193 LWD262128:LWD262193 MFZ262128:MFZ262193 MPV262128:MPV262193 MZR262128:MZR262193 NJN262128:NJN262193 NTJ262128:NTJ262193 ODF262128:ODF262193 ONB262128:ONB262193 OWX262128:OWX262193 PGT262128:PGT262193 PQP262128:PQP262193 QAL262128:QAL262193 QKH262128:QKH262193 QUD262128:QUD262193 RDZ262128:RDZ262193 RNV262128:RNV262193 RXR262128:RXR262193 SHN262128:SHN262193 SRJ262128:SRJ262193 TBF262128:TBF262193 TLB262128:TLB262193 TUX262128:TUX262193 UET262128:UET262193 UOP262128:UOP262193 UYL262128:UYL262193 VIH262128:VIH262193 VSD262128:VSD262193 WBZ262128:WBZ262193 WLV262128:WLV262193 WVR262128:WVR262193 J327664:J327729 JF327664:JF327729 TB327664:TB327729 ACX327664:ACX327729 AMT327664:AMT327729 AWP327664:AWP327729 BGL327664:BGL327729 BQH327664:BQH327729 CAD327664:CAD327729 CJZ327664:CJZ327729 CTV327664:CTV327729 DDR327664:DDR327729 DNN327664:DNN327729 DXJ327664:DXJ327729 EHF327664:EHF327729 ERB327664:ERB327729 FAX327664:FAX327729 FKT327664:FKT327729 FUP327664:FUP327729 GEL327664:GEL327729 GOH327664:GOH327729 GYD327664:GYD327729 HHZ327664:HHZ327729 HRV327664:HRV327729 IBR327664:IBR327729 ILN327664:ILN327729 IVJ327664:IVJ327729 JFF327664:JFF327729 JPB327664:JPB327729 JYX327664:JYX327729 KIT327664:KIT327729 KSP327664:KSP327729 LCL327664:LCL327729 LMH327664:LMH327729 LWD327664:LWD327729 MFZ327664:MFZ327729 MPV327664:MPV327729 MZR327664:MZR327729 NJN327664:NJN327729 NTJ327664:NTJ327729 ODF327664:ODF327729 ONB327664:ONB327729 OWX327664:OWX327729 PGT327664:PGT327729 PQP327664:PQP327729 QAL327664:QAL327729 QKH327664:QKH327729 QUD327664:QUD327729 RDZ327664:RDZ327729 RNV327664:RNV327729 RXR327664:RXR327729 SHN327664:SHN327729 SRJ327664:SRJ327729 TBF327664:TBF327729 TLB327664:TLB327729 TUX327664:TUX327729 UET327664:UET327729 UOP327664:UOP327729 UYL327664:UYL327729 VIH327664:VIH327729 VSD327664:VSD327729 WBZ327664:WBZ327729 WLV327664:WLV327729 WVR327664:WVR327729 J393200:J393265 JF393200:JF393265 TB393200:TB393265 ACX393200:ACX393265 AMT393200:AMT393265 AWP393200:AWP393265 BGL393200:BGL393265 BQH393200:BQH393265 CAD393200:CAD393265 CJZ393200:CJZ393265 CTV393200:CTV393265 DDR393200:DDR393265 DNN393200:DNN393265 DXJ393200:DXJ393265 EHF393200:EHF393265 ERB393200:ERB393265 FAX393200:FAX393265 FKT393200:FKT393265 FUP393200:FUP393265 GEL393200:GEL393265 GOH393200:GOH393265 GYD393200:GYD393265 HHZ393200:HHZ393265 HRV393200:HRV393265 IBR393200:IBR393265 ILN393200:ILN393265 IVJ393200:IVJ393265 JFF393200:JFF393265 JPB393200:JPB393265 JYX393200:JYX393265 KIT393200:KIT393265 KSP393200:KSP393265 LCL393200:LCL393265 LMH393200:LMH393265 LWD393200:LWD393265 MFZ393200:MFZ393265 MPV393200:MPV393265 MZR393200:MZR393265 NJN393200:NJN393265 NTJ393200:NTJ393265 ODF393200:ODF393265 ONB393200:ONB393265 OWX393200:OWX393265 PGT393200:PGT393265 PQP393200:PQP393265 QAL393200:QAL393265 QKH393200:QKH393265 QUD393200:QUD393265 RDZ393200:RDZ393265 RNV393200:RNV393265 RXR393200:RXR393265 SHN393200:SHN393265 SRJ393200:SRJ393265 TBF393200:TBF393265 TLB393200:TLB393265 TUX393200:TUX393265 UET393200:UET393265 UOP393200:UOP393265 UYL393200:UYL393265 VIH393200:VIH393265 VSD393200:VSD393265 WBZ393200:WBZ393265 WLV393200:WLV393265 WVR393200:WVR393265 J458736:J458801 JF458736:JF458801 TB458736:TB458801 ACX458736:ACX458801 AMT458736:AMT458801 AWP458736:AWP458801 BGL458736:BGL458801 BQH458736:BQH458801 CAD458736:CAD458801 CJZ458736:CJZ458801 CTV458736:CTV458801 DDR458736:DDR458801 DNN458736:DNN458801 DXJ458736:DXJ458801 EHF458736:EHF458801 ERB458736:ERB458801 FAX458736:FAX458801 FKT458736:FKT458801 FUP458736:FUP458801 GEL458736:GEL458801 GOH458736:GOH458801 GYD458736:GYD458801 HHZ458736:HHZ458801 HRV458736:HRV458801 IBR458736:IBR458801 ILN458736:ILN458801 IVJ458736:IVJ458801 JFF458736:JFF458801 JPB458736:JPB458801 JYX458736:JYX458801 KIT458736:KIT458801 KSP458736:KSP458801 LCL458736:LCL458801 LMH458736:LMH458801 LWD458736:LWD458801 MFZ458736:MFZ458801 MPV458736:MPV458801 MZR458736:MZR458801 NJN458736:NJN458801 NTJ458736:NTJ458801 ODF458736:ODF458801 ONB458736:ONB458801 OWX458736:OWX458801 PGT458736:PGT458801 PQP458736:PQP458801 QAL458736:QAL458801 QKH458736:QKH458801 QUD458736:QUD458801 RDZ458736:RDZ458801 RNV458736:RNV458801 RXR458736:RXR458801 SHN458736:SHN458801 SRJ458736:SRJ458801 TBF458736:TBF458801 TLB458736:TLB458801 TUX458736:TUX458801 UET458736:UET458801 UOP458736:UOP458801 UYL458736:UYL458801 VIH458736:VIH458801 VSD458736:VSD458801 WBZ458736:WBZ458801 WLV458736:WLV458801 WVR458736:WVR458801 J524272:J524337 JF524272:JF524337 TB524272:TB524337 ACX524272:ACX524337 AMT524272:AMT524337 AWP524272:AWP524337 BGL524272:BGL524337 BQH524272:BQH524337 CAD524272:CAD524337 CJZ524272:CJZ524337 CTV524272:CTV524337 DDR524272:DDR524337 DNN524272:DNN524337 DXJ524272:DXJ524337 EHF524272:EHF524337 ERB524272:ERB524337 FAX524272:FAX524337 FKT524272:FKT524337 FUP524272:FUP524337 GEL524272:GEL524337 GOH524272:GOH524337 GYD524272:GYD524337 HHZ524272:HHZ524337 HRV524272:HRV524337 IBR524272:IBR524337 ILN524272:ILN524337 IVJ524272:IVJ524337 JFF524272:JFF524337 JPB524272:JPB524337 JYX524272:JYX524337 KIT524272:KIT524337 KSP524272:KSP524337 LCL524272:LCL524337 LMH524272:LMH524337 LWD524272:LWD524337 MFZ524272:MFZ524337 MPV524272:MPV524337 MZR524272:MZR524337 NJN524272:NJN524337 NTJ524272:NTJ524337 ODF524272:ODF524337 ONB524272:ONB524337 OWX524272:OWX524337 PGT524272:PGT524337 PQP524272:PQP524337 QAL524272:QAL524337 QKH524272:QKH524337 QUD524272:QUD524337 RDZ524272:RDZ524337 RNV524272:RNV524337 RXR524272:RXR524337 SHN524272:SHN524337 SRJ524272:SRJ524337 TBF524272:TBF524337 TLB524272:TLB524337 TUX524272:TUX524337 UET524272:UET524337 UOP524272:UOP524337 UYL524272:UYL524337 VIH524272:VIH524337 VSD524272:VSD524337 WBZ524272:WBZ524337 WLV524272:WLV524337 WVR524272:WVR524337 J589808:J589873 JF589808:JF589873 TB589808:TB589873 ACX589808:ACX589873 AMT589808:AMT589873 AWP589808:AWP589873 BGL589808:BGL589873 BQH589808:BQH589873 CAD589808:CAD589873 CJZ589808:CJZ589873 CTV589808:CTV589873 DDR589808:DDR589873 DNN589808:DNN589873 DXJ589808:DXJ589873 EHF589808:EHF589873 ERB589808:ERB589873 FAX589808:FAX589873 FKT589808:FKT589873 FUP589808:FUP589873 GEL589808:GEL589873 GOH589808:GOH589873 GYD589808:GYD589873 HHZ589808:HHZ589873 HRV589808:HRV589873 IBR589808:IBR589873 ILN589808:ILN589873 IVJ589808:IVJ589873 JFF589808:JFF589873 JPB589808:JPB589873 JYX589808:JYX589873 KIT589808:KIT589873 KSP589808:KSP589873 LCL589808:LCL589873 LMH589808:LMH589873 LWD589808:LWD589873 MFZ589808:MFZ589873 MPV589808:MPV589873 MZR589808:MZR589873 NJN589808:NJN589873 NTJ589808:NTJ589873 ODF589808:ODF589873 ONB589808:ONB589873 OWX589808:OWX589873 PGT589808:PGT589873 PQP589808:PQP589873 QAL589808:QAL589873 QKH589808:QKH589873 QUD589808:QUD589873 RDZ589808:RDZ589873 RNV589808:RNV589873 RXR589808:RXR589873 SHN589808:SHN589873 SRJ589808:SRJ589873 TBF589808:TBF589873 TLB589808:TLB589873 TUX589808:TUX589873 UET589808:UET589873 UOP589808:UOP589873 UYL589808:UYL589873 VIH589808:VIH589873 VSD589808:VSD589873 WBZ589808:WBZ589873 WLV589808:WLV589873 WVR589808:WVR589873 J655344:J655409 JF655344:JF655409 TB655344:TB655409 ACX655344:ACX655409 AMT655344:AMT655409 AWP655344:AWP655409 BGL655344:BGL655409 BQH655344:BQH655409 CAD655344:CAD655409 CJZ655344:CJZ655409 CTV655344:CTV655409 DDR655344:DDR655409 DNN655344:DNN655409 DXJ655344:DXJ655409 EHF655344:EHF655409 ERB655344:ERB655409 FAX655344:FAX655409 FKT655344:FKT655409 FUP655344:FUP655409 GEL655344:GEL655409 GOH655344:GOH655409 GYD655344:GYD655409 HHZ655344:HHZ655409 HRV655344:HRV655409 IBR655344:IBR655409 ILN655344:ILN655409 IVJ655344:IVJ655409 JFF655344:JFF655409 JPB655344:JPB655409 JYX655344:JYX655409 KIT655344:KIT655409 KSP655344:KSP655409 LCL655344:LCL655409 LMH655344:LMH655409 LWD655344:LWD655409 MFZ655344:MFZ655409 MPV655344:MPV655409 MZR655344:MZR655409 NJN655344:NJN655409 NTJ655344:NTJ655409 ODF655344:ODF655409 ONB655344:ONB655409 OWX655344:OWX655409 PGT655344:PGT655409 PQP655344:PQP655409 QAL655344:QAL655409 QKH655344:QKH655409 QUD655344:QUD655409 RDZ655344:RDZ655409 RNV655344:RNV655409 RXR655344:RXR655409 SHN655344:SHN655409 SRJ655344:SRJ655409 TBF655344:TBF655409 TLB655344:TLB655409 TUX655344:TUX655409 UET655344:UET655409 UOP655344:UOP655409 UYL655344:UYL655409 VIH655344:VIH655409 VSD655344:VSD655409 WBZ655344:WBZ655409 WLV655344:WLV655409 WVR655344:WVR655409 J720880:J720945 JF720880:JF720945 TB720880:TB720945 ACX720880:ACX720945 AMT720880:AMT720945 AWP720880:AWP720945 BGL720880:BGL720945 BQH720880:BQH720945 CAD720880:CAD720945 CJZ720880:CJZ720945 CTV720880:CTV720945 DDR720880:DDR720945 DNN720880:DNN720945 DXJ720880:DXJ720945 EHF720880:EHF720945 ERB720880:ERB720945 FAX720880:FAX720945 FKT720880:FKT720945 FUP720880:FUP720945 GEL720880:GEL720945 GOH720880:GOH720945 GYD720880:GYD720945 HHZ720880:HHZ720945 HRV720880:HRV720945 IBR720880:IBR720945 ILN720880:ILN720945 IVJ720880:IVJ720945 JFF720880:JFF720945 JPB720880:JPB720945 JYX720880:JYX720945 KIT720880:KIT720945 KSP720880:KSP720945 LCL720880:LCL720945 LMH720880:LMH720945 LWD720880:LWD720945 MFZ720880:MFZ720945 MPV720880:MPV720945 MZR720880:MZR720945 NJN720880:NJN720945 NTJ720880:NTJ720945 ODF720880:ODF720945 ONB720880:ONB720945 OWX720880:OWX720945 PGT720880:PGT720945 PQP720880:PQP720945 QAL720880:QAL720945 QKH720880:QKH720945 QUD720880:QUD720945 RDZ720880:RDZ720945 RNV720880:RNV720945 RXR720880:RXR720945 SHN720880:SHN720945 SRJ720880:SRJ720945 TBF720880:TBF720945 TLB720880:TLB720945 TUX720880:TUX720945 UET720880:UET720945 UOP720880:UOP720945 UYL720880:UYL720945 VIH720880:VIH720945 VSD720880:VSD720945 WBZ720880:WBZ720945 WLV720880:WLV720945 WVR720880:WVR720945 J786416:J786481 JF786416:JF786481 TB786416:TB786481 ACX786416:ACX786481 AMT786416:AMT786481 AWP786416:AWP786481 BGL786416:BGL786481 BQH786416:BQH786481 CAD786416:CAD786481 CJZ786416:CJZ786481 CTV786416:CTV786481 DDR786416:DDR786481 DNN786416:DNN786481 DXJ786416:DXJ786481 EHF786416:EHF786481 ERB786416:ERB786481 FAX786416:FAX786481 FKT786416:FKT786481 FUP786416:FUP786481 GEL786416:GEL786481 GOH786416:GOH786481 GYD786416:GYD786481 HHZ786416:HHZ786481 HRV786416:HRV786481 IBR786416:IBR786481 ILN786416:ILN786481 IVJ786416:IVJ786481 JFF786416:JFF786481 JPB786416:JPB786481 JYX786416:JYX786481 KIT786416:KIT786481 KSP786416:KSP786481 LCL786416:LCL786481 LMH786416:LMH786481 LWD786416:LWD786481 MFZ786416:MFZ786481 MPV786416:MPV786481 MZR786416:MZR786481 NJN786416:NJN786481 NTJ786416:NTJ786481 ODF786416:ODF786481 ONB786416:ONB786481 OWX786416:OWX786481 PGT786416:PGT786481 PQP786416:PQP786481 QAL786416:QAL786481 QKH786416:QKH786481 QUD786416:QUD786481 RDZ786416:RDZ786481 RNV786416:RNV786481 RXR786416:RXR786481 SHN786416:SHN786481 SRJ786416:SRJ786481 TBF786416:TBF786481 TLB786416:TLB786481 TUX786416:TUX786481 UET786416:UET786481 UOP786416:UOP786481 UYL786416:UYL786481 VIH786416:VIH786481 VSD786416:VSD786481 WBZ786416:WBZ786481 WLV786416:WLV786481 WVR786416:WVR786481 J851952:J852017 JF851952:JF852017 TB851952:TB852017 ACX851952:ACX852017 AMT851952:AMT852017 AWP851952:AWP852017 BGL851952:BGL852017 BQH851952:BQH852017 CAD851952:CAD852017 CJZ851952:CJZ852017 CTV851952:CTV852017 DDR851952:DDR852017 DNN851952:DNN852017 DXJ851952:DXJ852017 EHF851952:EHF852017 ERB851952:ERB852017 FAX851952:FAX852017 FKT851952:FKT852017 FUP851952:FUP852017 GEL851952:GEL852017 GOH851952:GOH852017 GYD851952:GYD852017 HHZ851952:HHZ852017 HRV851952:HRV852017 IBR851952:IBR852017 ILN851952:ILN852017 IVJ851952:IVJ852017 JFF851952:JFF852017 JPB851952:JPB852017 JYX851952:JYX852017 KIT851952:KIT852017 KSP851952:KSP852017 LCL851952:LCL852017 LMH851952:LMH852017 LWD851952:LWD852017 MFZ851952:MFZ852017 MPV851952:MPV852017 MZR851952:MZR852017 NJN851952:NJN852017 NTJ851952:NTJ852017 ODF851952:ODF852017 ONB851952:ONB852017 OWX851952:OWX852017 PGT851952:PGT852017 PQP851952:PQP852017 QAL851952:QAL852017 QKH851952:QKH852017 QUD851952:QUD852017 RDZ851952:RDZ852017 RNV851952:RNV852017 RXR851952:RXR852017 SHN851952:SHN852017 SRJ851952:SRJ852017 TBF851952:TBF852017 TLB851952:TLB852017 TUX851952:TUX852017 UET851952:UET852017 UOP851952:UOP852017 UYL851952:UYL852017 VIH851952:VIH852017 VSD851952:VSD852017 WBZ851952:WBZ852017 WLV851952:WLV852017 WVR851952:WVR852017 J917488:J917553 JF917488:JF917553 TB917488:TB917553 ACX917488:ACX917553 AMT917488:AMT917553 AWP917488:AWP917553 BGL917488:BGL917553 BQH917488:BQH917553 CAD917488:CAD917553 CJZ917488:CJZ917553 CTV917488:CTV917553 DDR917488:DDR917553 DNN917488:DNN917553 DXJ917488:DXJ917553 EHF917488:EHF917553 ERB917488:ERB917553 FAX917488:FAX917553 FKT917488:FKT917553 FUP917488:FUP917553 GEL917488:GEL917553 GOH917488:GOH917553 GYD917488:GYD917553 HHZ917488:HHZ917553 HRV917488:HRV917553 IBR917488:IBR917553 ILN917488:ILN917553 IVJ917488:IVJ917553 JFF917488:JFF917553 JPB917488:JPB917553 JYX917488:JYX917553 KIT917488:KIT917553 KSP917488:KSP917553 LCL917488:LCL917553 LMH917488:LMH917553 LWD917488:LWD917553 MFZ917488:MFZ917553 MPV917488:MPV917553 MZR917488:MZR917553 NJN917488:NJN917553 NTJ917488:NTJ917553 ODF917488:ODF917553 ONB917488:ONB917553 OWX917488:OWX917553 PGT917488:PGT917553 PQP917488:PQP917553 QAL917488:QAL917553 QKH917488:QKH917553 QUD917488:QUD917553 RDZ917488:RDZ917553 RNV917488:RNV917553 RXR917488:RXR917553 SHN917488:SHN917553 SRJ917488:SRJ917553 TBF917488:TBF917553 TLB917488:TLB917553 TUX917488:TUX917553 UET917488:UET917553 UOP917488:UOP917553 UYL917488:UYL917553 VIH917488:VIH917553 VSD917488:VSD917553 WBZ917488:WBZ917553 WLV917488:WLV917553 WVR917488:WVR917553 J983024:J983089 JF983024:JF983089 TB983024:TB983089 ACX983024:ACX983089 AMT983024:AMT983089 AWP983024:AWP983089 BGL983024:BGL983089 BQH983024:BQH983089 CAD983024:CAD983089 CJZ983024:CJZ983089 CTV983024:CTV983089 DDR983024:DDR983089 DNN983024:DNN983089 DXJ983024:DXJ983089 EHF983024:EHF983089 ERB983024:ERB983089 FAX983024:FAX983089 FKT983024:FKT983089 FUP983024:FUP983089 GEL983024:GEL983089 GOH983024:GOH983089 GYD983024:GYD983089 HHZ983024:HHZ983089 HRV983024:HRV983089 IBR983024:IBR983089 ILN983024:ILN983089 IVJ983024:IVJ983089 JFF983024:JFF983089 JPB983024:JPB983089 JYX983024:JYX983089 KIT983024:KIT983089 KSP983024:KSP983089 LCL983024:LCL983089 LMH983024:LMH983089 LWD983024:LWD983089 MFZ983024:MFZ983089 MPV983024:MPV983089 MZR983024:MZR983089 NJN983024:NJN983089 NTJ983024:NTJ983089 ODF983024:ODF983089 ONB983024:ONB983089 OWX983024:OWX983089 PGT983024:PGT983089 PQP983024:PQP983089 QAL983024:QAL983089 QKH983024:QKH983089 QUD983024:QUD983089 RDZ983024:RDZ983089 RNV983024:RNV983089 RXR983024:RXR983089 SHN983024:SHN983089 SRJ983024:SRJ983089 TBF983024:TBF983089 TLB983024:TLB983089 TUX983024:TUX983089 UET983024:UET983089 UOP983024:UOP983089 UYL983024:UYL983089 VIH983024:VIH983089 VSD983024:VSD983089 WBZ983024:WBZ983089 WLV983024:WLV983089 J70:J482 WVR2:WVR69 JF2:JF69 TB2:TB69 ACX2:ACX69 AMT2:AMT69 AWP2:AWP69 BGL2:BGL69 BQH2:BQH69 CAD2:CAD69 CJZ2:CJZ69 CTV2:CTV69 DDR2:DDR69 DNN2:DNN69 DXJ2:DXJ69 EHF2:EHF69 ERB2:ERB69 FAX2:FAX69 FKT2:FKT69 FUP2:FUP69 GEL2:GEL69 GOH2:GOH69 GYD2:GYD69 HHZ2:HHZ69 HRV2:HRV69 IBR2:IBR69 ILN2:ILN69 IVJ2:IVJ69 JFF2:JFF69 JPB2:JPB69 JYX2:JYX69 KIT2:KIT69 KSP2:KSP69 LCL2:LCL69 LMH2:LMH69 LWD2:LWD69 MFZ2:MFZ69 MPV2:MPV69 MZR2:MZR69 NJN2:NJN69 NTJ2:NTJ69 ODF2:ODF69 ONB2:ONB69 OWX2:OWX69 PGT2:PGT69 PQP2:PQP69 QAL2:QAL69 QKH2:QKH69 QUD2:QUD69 RDZ2:RDZ69 RNV2:RNV69 RXR2:RXR69 SHN2:SHN69 SRJ2:SRJ69 TBF2:TBF69 TLB2:TLB69 TUX2:TUX69 UET2:UET69 UOP2:UOP69 UYL2:UYL69 VIH2:VIH69 VSD2:VSD69 WBZ2:WBZ69 WLV2:WLV69" xr:uid="{0AE2233B-ACFE-45F2-93A3-E73DF86EF5A2}">
      <formula1>$AP$2:$AP$27</formula1>
    </dataValidation>
    <dataValidation type="list" allowBlank="1" showInputMessage="1" showErrorMessage="1" sqref="WVP983024:WVP983089 H65520:H65585 JD65520:JD65585 SZ65520:SZ65585 ACV65520:ACV65585 AMR65520:AMR65585 AWN65520:AWN65585 BGJ65520:BGJ65585 BQF65520:BQF65585 CAB65520:CAB65585 CJX65520:CJX65585 CTT65520:CTT65585 DDP65520:DDP65585 DNL65520:DNL65585 DXH65520:DXH65585 EHD65520:EHD65585 EQZ65520:EQZ65585 FAV65520:FAV65585 FKR65520:FKR65585 FUN65520:FUN65585 GEJ65520:GEJ65585 GOF65520:GOF65585 GYB65520:GYB65585 HHX65520:HHX65585 HRT65520:HRT65585 IBP65520:IBP65585 ILL65520:ILL65585 IVH65520:IVH65585 JFD65520:JFD65585 JOZ65520:JOZ65585 JYV65520:JYV65585 KIR65520:KIR65585 KSN65520:KSN65585 LCJ65520:LCJ65585 LMF65520:LMF65585 LWB65520:LWB65585 MFX65520:MFX65585 MPT65520:MPT65585 MZP65520:MZP65585 NJL65520:NJL65585 NTH65520:NTH65585 ODD65520:ODD65585 OMZ65520:OMZ65585 OWV65520:OWV65585 PGR65520:PGR65585 PQN65520:PQN65585 QAJ65520:QAJ65585 QKF65520:QKF65585 QUB65520:QUB65585 RDX65520:RDX65585 RNT65520:RNT65585 RXP65520:RXP65585 SHL65520:SHL65585 SRH65520:SRH65585 TBD65520:TBD65585 TKZ65520:TKZ65585 TUV65520:TUV65585 UER65520:UER65585 UON65520:UON65585 UYJ65520:UYJ65585 VIF65520:VIF65585 VSB65520:VSB65585 WBX65520:WBX65585 WLT65520:WLT65585 WVP65520:WVP65585 H131056:H131121 JD131056:JD131121 SZ131056:SZ131121 ACV131056:ACV131121 AMR131056:AMR131121 AWN131056:AWN131121 BGJ131056:BGJ131121 BQF131056:BQF131121 CAB131056:CAB131121 CJX131056:CJX131121 CTT131056:CTT131121 DDP131056:DDP131121 DNL131056:DNL131121 DXH131056:DXH131121 EHD131056:EHD131121 EQZ131056:EQZ131121 FAV131056:FAV131121 FKR131056:FKR131121 FUN131056:FUN131121 GEJ131056:GEJ131121 GOF131056:GOF131121 GYB131056:GYB131121 HHX131056:HHX131121 HRT131056:HRT131121 IBP131056:IBP131121 ILL131056:ILL131121 IVH131056:IVH131121 JFD131056:JFD131121 JOZ131056:JOZ131121 JYV131056:JYV131121 KIR131056:KIR131121 KSN131056:KSN131121 LCJ131056:LCJ131121 LMF131056:LMF131121 LWB131056:LWB131121 MFX131056:MFX131121 MPT131056:MPT131121 MZP131056:MZP131121 NJL131056:NJL131121 NTH131056:NTH131121 ODD131056:ODD131121 OMZ131056:OMZ131121 OWV131056:OWV131121 PGR131056:PGR131121 PQN131056:PQN131121 QAJ131056:QAJ131121 QKF131056:QKF131121 QUB131056:QUB131121 RDX131056:RDX131121 RNT131056:RNT131121 RXP131056:RXP131121 SHL131056:SHL131121 SRH131056:SRH131121 TBD131056:TBD131121 TKZ131056:TKZ131121 TUV131056:TUV131121 UER131056:UER131121 UON131056:UON131121 UYJ131056:UYJ131121 VIF131056:VIF131121 VSB131056:VSB131121 WBX131056:WBX131121 WLT131056:WLT131121 WVP131056:WVP131121 H196592:H196657 JD196592:JD196657 SZ196592:SZ196657 ACV196592:ACV196657 AMR196592:AMR196657 AWN196592:AWN196657 BGJ196592:BGJ196657 BQF196592:BQF196657 CAB196592:CAB196657 CJX196592:CJX196657 CTT196592:CTT196657 DDP196592:DDP196657 DNL196592:DNL196657 DXH196592:DXH196657 EHD196592:EHD196657 EQZ196592:EQZ196657 FAV196592:FAV196657 FKR196592:FKR196657 FUN196592:FUN196657 GEJ196592:GEJ196657 GOF196592:GOF196657 GYB196592:GYB196657 HHX196592:HHX196657 HRT196592:HRT196657 IBP196592:IBP196657 ILL196592:ILL196657 IVH196592:IVH196657 JFD196592:JFD196657 JOZ196592:JOZ196657 JYV196592:JYV196657 KIR196592:KIR196657 KSN196592:KSN196657 LCJ196592:LCJ196657 LMF196592:LMF196657 LWB196592:LWB196657 MFX196592:MFX196657 MPT196592:MPT196657 MZP196592:MZP196657 NJL196592:NJL196657 NTH196592:NTH196657 ODD196592:ODD196657 OMZ196592:OMZ196657 OWV196592:OWV196657 PGR196592:PGR196657 PQN196592:PQN196657 QAJ196592:QAJ196657 QKF196592:QKF196657 QUB196592:QUB196657 RDX196592:RDX196657 RNT196592:RNT196657 RXP196592:RXP196657 SHL196592:SHL196657 SRH196592:SRH196657 TBD196592:TBD196657 TKZ196592:TKZ196657 TUV196592:TUV196657 UER196592:UER196657 UON196592:UON196657 UYJ196592:UYJ196657 VIF196592:VIF196657 VSB196592:VSB196657 WBX196592:WBX196657 WLT196592:WLT196657 WVP196592:WVP196657 H262128:H262193 JD262128:JD262193 SZ262128:SZ262193 ACV262128:ACV262193 AMR262128:AMR262193 AWN262128:AWN262193 BGJ262128:BGJ262193 BQF262128:BQF262193 CAB262128:CAB262193 CJX262128:CJX262193 CTT262128:CTT262193 DDP262128:DDP262193 DNL262128:DNL262193 DXH262128:DXH262193 EHD262128:EHD262193 EQZ262128:EQZ262193 FAV262128:FAV262193 FKR262128:FKR262193 FUN262128:FUN262193 GEJ262128:GEJ262193 GOF262128:GOF262193 GYB262128:GYB262193 HHX262128:HHX262193 HRT262128:HRT262193 IBP262128:IBP262193 ILL262128:ILL262193 IVH262128:IVH262193 JFD262128:JFD262193 JOZ262128:JOZ262193 JYV262128:JYV262193 KIR262128:KIR262193 KSN262128:KSN262193 LCJ262128:LCJ262193 LMF262128:LMF262193 LWB262128:LWB262193 MFX262128:MFX262193 MPT262128:MPT262193 MZP262128:MZP262193 NJL262128:NJL262193 NTH262128:NTH262193 ODD262128:ODD262193 OMZ262128:OMZ262193 OWV262128:OWV262193 PGR262128:PGR262193 PQN262128:PQN262193 QAJ262128:QAJ262193 QKF262128:QKF262193 QUB262128:QUB262193 RDX262128:RDX262193 RNT262128:RNT262193 RXP262128:RXP262193 SHL262128:SHL262193 SRH262128:SRH262193 TBD262128:TBD262193 TKZ262128:TKZ262193 TUV262128:TUV262193 UER262128:UER262193 UON262128:UON262193 UYJ262128:UYJ262193 VIF262128:VIF262193 VSB262128:VSB262193 WBX262128:WBX262193 WLT262128:WLT262193 WVP262128:WVP262193 H327664:H327729 JD327664:JD327729 SZ327664:SZ327729 ACV327664:ACV327729 AMR327664:AMR327729 AWN327664:AWN327729 BGJ327664:BGJ327729 BQF327664:BQF327729 CAB327664:CAB327729 CJX327664:CJX327729 CTT327664:CTT327729 DDP327664:DDP327729 DNL327664:DNL327729 DXH327664:DXH327729 EHD327664:EHD327729 EQZ327664:EQZ327729 FAV327664:FAV327729 FKR327664:FKR327729 FUN327664:FUN327729 GEJ327664:GEJ327729 GOF327664:GOF327729 GYB327664:GYB327729 HHX327664:HHX327729 HRT327664:HRT327729 IBP327664:IBP327729 ILL327664:ILL327729 IVH327664:IVH327729 JFD327664:JFD327729 JOZ327664:JOZ327729 JYV327664:JYV327729 KIR327664:KIR327729 KSN327664:KSN327729 LCJ327664:LCJ327729 LMF327664:LMF327729 LWB327664:LWB327729 MFX327664:MFX327729 MPT327664:MPT327729 MZP327664:MZP327729 NJL327664:NJL327729 NTH327664:NTH327729 ODD327664:ODD327729 OMZ327664:OMZ327729 OWV327664:OWV327729 PGR327664:PGR327729 PQN327664:PQN327729 QAJ327664:QAJ327729 QKF327664:QKF327729 QUB327664:QUB327729 RDX327664:RDX327729 RNT327664:RNT327729 RXP327664:RXP327729 SHL327664:SHL327729 SRH327664:SRH327729 TBD327664:TBD327729 TKZ327664:TKZ327729 TUV327664:TUV327729 UER327664:UER327729 UON327664:UON327729 UYJ327664:UYJ327729 VIF327664:VIF327729 VSB327664:VSB327729 WBX327664:WBX327729 WLT327664:WLT327729 WVP327664:WVP327729 H393200:H393265 JD393200:JD393265 SZ393200:SZ393265 ACV393200:ACV393265 AMR393200:AMR393265 AWN393200:AWN393265 BGJ393200:BGJ393265 BQF393200:BQF393265 CAB393200:CAB393265 CJX393200:CJX393265 CTT393200:CTT393265 DDP393200:DDP393265 DNL393200:DNL393265 DXH393200:DXH393265 EHD393200:EHD393265 EQZ393200:EQZ393265 FAV393200:FAV393265 FKR393200:FKR393265 FUN393200:FUN393265 GEJ393200:GEJ393265 GOF393200:GOF393265 GYB393200:GYB393265 HHX393200:HHX393265 HRT393200:HRT393265 IBP393200:IBP393265 ILL393200:ILL393265 IVH393200:IVH393265 JFD393200:JFD393265 JOZ393200:JOZ393265 JYV393200:JYV393265 KIR393200:KIR393265 KSN393200:KSN393265 LCJ393200:LCJ393265 LMF393200:LMF393265 LWB393200:LWB393265 MFX393200:MFX393265 MPT393200:MPT393265 MZP393200:MZP393265 NJL393200:NJL393265 NTH393200:NTH393265 ODD393200:ODD393265 OMZ393200:OMZ393265 OWV393200:OWV393265 PGR393200:PGR393265 PQN393200:PQN393265 QAJ393200:QAJ393265 QKF393200:QKF393265 QUB393200:QUB393265 RDX393200:RDX393265 RNT393200:RNT393265 RXP393200:RXP393265 SHL393200:SHL393265 SRH393200:SRH393265 TBD393200:TBD393265 TKZ393200:TKZ393265 TUV393200:TUV393265 UER393200:UER393265 UON393200:UON393265 UYJ393200:UYJ393265 VIF393200:VIF393265 VSB393200:VSB393265 WBX393200:WBX393265 WLT393200:WLT393265 WVP393200:WVP393265 H458736:H458801 JD458736:JD458801 SZ458736:SZ458801 ACV458736:ACV458801 AMR458736:AMR458801 AWN458736:AWN458801 BGJ458736:BGJ458801 BQF458736:BQF458801 CAB458736:CAB458801 CJX458736:CJX458801 CTT458736:CTT458801 DDP458736:DDP458801 DNL458736:DNL458801 DXH458736:DXH458801 EHD458736:EHD458801 EQZ458736:EQZ458801 FAV458736:FAV458801 FKR458736:FKR458801 FUN458736:FUN458801 GEJ458736:GEJ458801 GOF458736:GOF458801 GYB458736:GYB458801 HHX458736:HHX458801 HRT458736:HRT458801 IBP458736:IBP458801 ILL458736:ILL458801 IVH458736:IVH458801 JFD458736:JFD458801 JOZ458736:JOZ458801 JYV458736:JYV458801 KIR458736:KIR458801 KSN458736:KSN458801 LCJ458736:LCJ458801 LMF458736:LMF458801 LWB458736:LWB458801 MFX458736:MFX458801 MPT458736:MPT458801 MZP458736:MZP458801 NJL458736:NJL458801 NTH458736:NTH458801 ODD458736:ODD458801 OMZ458736:OMZ458801 OWV458736:OWV458801 PGR458736:PGR458801 PQN458736:PQN458801 QAJ458736:QAJ458801 QKF458736:QKF458801 QUB458736:QUB458801 RDX458736:RDX458801 RNT458736:RNT458801 RXP458736:RXP458801 SHL458736:SHL458801 SRH458736:SRH458801 TBD458736:TBD458801 TKZ458736:TKZ458801 TUV458736:TUV458801 UER458736:UER458801 UON458736:UON458801 UYJ458736:UYJ458801 VIF458736:VIF458801 VSB458736:VSB458801 WBX458736:WBX458801 WLT458736:WLT458801 WVP458736:WVP458801 H524272:H524337 JD524272:JD524337 SZ524272:SZ524337 ACV524272:ACV524337 AMR524272:AMR524337 AWN524272:AWN524337 BGJ524272:BGJ524337 BQF524272:BQF524337 CAB524272:CAB524337 CJX524272:CJX524337 CTT524272:CTT524337 DDP524272:DDP524337 DNL524272:DNL524337 DXH524272:DXH524337 EHD524272:EHD524337 EQZ524272:EQZ524337 FAV524272:FAV524337 FKR524272:FKR524337 FUN524272:FUN524337 GEJ524272:GEJ524337 GOF524272:GOF524337 GYB524272:GYB524337 HHX524272:HHX524337 HRT524272:HRT524337 IBP524272:IBP524337 ILL524272:ILL524337 IVH524272:IVH524337 JFD524272:JFD524337 JOZ524272:JOZ524337 JYV524272:JYV524337 KIR524272:KIR524337 KSN524272:KSN524337 LCJ524272:LCJ524337 LMF524272:LMF524337 LWB524272:LWB524337 MFX524272:MFX524337 MPT524272:MPT524337 MZP524272:MZP524337 NJL524272:NJL524337 NTH524272:NTH524337 ODD524272:ODD524337 OMZ524272:OMZ524337 OWV524272:OWV524337 PGR524272:PGR524337 PQN524272:PQN524337 QAJ524272:QAJ524337 QKF524272:QKF524337 QUB524272:QUB524337 RDX524272:RDX524337 RNT524272:RNT524337 RXP524272:RXP524337 SHL524272:SHL524337 SRH524272:SRH524337 TBD524272:TBD524337 TKZ524272:TKZ524337 TUV524272:TUV524337 UER524272:UER524337 UON524272:UON524337 UYJ524272:UYJ524337 VIF524272:VIF524337 VSB524272:VSB524337 WBX524272:WBX524337 WLT524272:WLT524337 WVP524272:WVP524337 H589808:H589873 JD589808:JD589873 SZ589808:SZ589873 ACV589808:ACV589873 AMR589808:AMR589873 AWN589808:AWN589873 BGJ589808:BGJ589873 BQF589808:BQF589873 CAB589808:CAB589873 CJX589808:CJX589873 CTT589808:CTT589873 DDP589808:DDP589873 DNL589808:DNL589873 DXH589808:DXH589873 EHD589808:EHD589873 EQZ589808:EQZ589873 FAV589808:FAV589873 FKR589808:FKR589873 FUN589808:FUN589873 GEJ589808:GEJ589873 GOF589808:GOF589873 GYB589808:GYB589873 HHX589808:HHX589873 HRT589808:HRT589873 IBP589808:IBP589873 ILL589808:ILL589873 IVH589808:IVH589873 JFD589808:JFD589873 JOZ589808:JOZ589873 JYV589808:JYV589873 KIR589808:KIR589873 KSN589808:KSN589873 LCJ589808:LCJ589873 LMF589808:LMF589873 LWB589808:LWB589873 MFX589808:MFX589873 MPT589808:MPT589873 MZP589808:MZP589873 NJL589808:NJL589873 NTH589808:NTH589873 ODD589808:ODD589873 OMZ589808:OMZ589873 OWV589808:OWV589873 PGR589808:PGR589873 PQN589808:PQN589873 QAJ589808:QAJ589873 QKF589808:QKF589873 QUB589808:QUB589873 RDX589808:RDX589873 RNT589808:RNT589873 RXP589808:RXP589873 SHL589808:SHL589873 SRH589808:SRH589873 TBD589808:TBD589873 TKZ589808:TKZ589873 TUV589808:TUV589873 UER589808:UER589873 UON589808:UON589873 UYJ589808:UYJ589873 VIF589808:VIF589873 VSB589808:VSB589873 WBX589808:WBX589873 WLT589808:WLT589873 WVP589808:WVP589873 H655344:H655409 JD655344:JD655409 SZ655344:SZ655409 ACV655344:ACV655409 AMR655344:AMR655409 AWN655344:AWN655409 BGJ655344:BGJ655409 BQF655344:BQF655409 CAB655344:CAB655409 CJX655344:CJX655409 CTT655344:CTT655409 DDP655344:DDP655409 DNL655344:DNL655409 DXH655344:DXH655409 EHD655344:EHD655409 EQZ655344:EQZ655409 FAV655344:FAV655409 FKR655344:FKR655409 FUN655344:FUN655409 GEJ655344:GEJ655409 GOF655344:GOF655409 GYB655344:GYB655409 HHX655344:HHX655409 HRT655344:HRT655409 IBP655344:IBP655409 ILL655344:ILL655409 IVH655344:IVH655409 JFD655344:JFD655409 JOZ655344:JOZ655409 JYV655344:JYV655409 KIR655344:KIR655409 KSN655344:KSN655409 LCJ655344:LCJ655409 LMF655344:LMF655409 LWB655344:LWB655409 MFX655344:MFX655409 MPT655344:MPT655409 MZP655344:MZP655409 NJL655344:NJL655409 NTH655344:NTH655409 ODD655344:ODD655409 OMZ655344:OMZ655409 OWV655344:OWV655409 PGR655344:PGR655409 PQN655344:PQN655409 QAJ655344:QAJ655409 QKF655344:QKF655409 QUB655344:QUB655409 RDX655344:RDX655409 RNT655344:RNT655409 RXP655344:RXP655409 SHL655344:SHL655409 SRH655344:SRH655409 TBD655344:TBD655409 TKZ655344:TKZ655409 TUV655344:TUV655409 UER655344:UER655409 UON655344:UON655409 UYJ655344:UYJ655409 VIF655344:VIF655409 VSB655344:VSB655409 WBX655344:WBX655409 WLT655344:WLT655409 WVP655344:WVP655409 H720880:H720945 JD720880:JD720945 SZ720880:SZ720945 ACV720880:ACV720945 AMR720880:AMR720945 AWN720880:AWN720945 BGJ720880:BGJ720945 BQF720880:BQF720945 CAB720880:CAB720945 CJX720880:CJX720945 CTT720880:CTT720945 DDP720880:DDP720945 DNL720880:DNL720945 DXH720880:DXH720945 EHD720880:EHD720945 EQZ720880:EQZ720945 FAV720880:FAV720945 FKR720880:FKR720945 FUN720880:FUN720945 GEJ720880:GEJ720945 GOF720880:GOF720945 GYB720880:GYB720945 HHX720880:HHX720945 HRT720880:HRT720945 IBP720880:IBP720945 ILL720880:ILL720945 IVH720880:IVH720945 JFD720880:JFD720945 JOZ720880:JOZ720945 JYV720880:JYV720945 KIR720880:KIR720945 KSN720880:KSN720945 LCJ720880:LCJ720945 LMF720880:LMF720945 LWB720880:LWB720945 MFX720880:MFX720945 MPT720880:MPT720945 MZP720880:MZP720945 NJL720880:NJL720945 NTH720880:NTH720945 ODD720880:ODD720945 OMZ720880:OMZ720945 OWV720880:OWV720945 PGR720880:PGR720945 PQN720880:PQN720945 QAJ720880:QAJ720945 QKF720880:QKF720945 QUB720880:QUB720945 RDX720880:RDX720945 RNT720880:RNT720945 RXP720880:RXP720945 SHL720880:SHL720945 SRH720880:SRH720945 TBD720880:TBD720945 TKZ720880:TKZ720945 TUV720880:TUV720945 UER720880:UER720945 UON720880:UON720945 UYJ720880:UYJ720945 VIF720880:VIF720945 VSB720880:VSB720945 WBX720880:WBX720945 WLT720880:WLT720945 WVP720880:WVP720945 H786416:H786481 JD786416:JD786481 SZ786416:SZ786481 ACV786416:ACV786481 AMR786416:AMR786481 AWN786416:AWN786481 BGJ786416:BGJ786481 BQF786416:BQF786481 CAB786416:CAB786481 CJX786416:CJX786481 CTT786416:CTT786481 DDP786416:DDP786481 DNL786416:DNL786481 DXH786416:DXH786481 EHD786416:EHD786481 EQZ786416:EQZ786481 FAV786416:FAV786481 FKR786416:FKR786481 FUN786416:FUN786481 GEJ786416:GEJ786481 GOF786416:GOF786481 GYB786416:GYB786481 HHX786416:HHX786481 HRT786416:HRT786481 IBP786416:IBP786481 ILL786416:ILL786481 IVH786416:IVH786481 JFD786416:JFD786481 JOZ786416:JOZ786481 JYV786416:JYV786481 KIR786416:KIR786481 KSN786416:KSN786481 LCJ786416:LCJ786481 LMF786416:LMF786481 LWB786416:LWB786481 MFX786416:MFX786481 MPT786416:MPT786481 MZP786416:MZP786481 NJL786416:NJL786481 NTH786416:NTH786481 ODD786416:ODD786481 OMZ786416:OMZ786481 OWV786416:OWV786481 PGR786416:PGR786481 PQN786416:PQN786481 QAJ786416:QAJ786481 QKF786416:QKF786481 QUB786416:QUB786481 RDX786416:RDX786481 RNT786416:RNT786481 RXP786416:RXP786481 SHL786416:SHL786481 SRH786416:SRH786481 TBD786416:TBD786481 TKZ786416:TKZ786481 TUV786416:TUV786481 UER786416:UER786481 UON786416:UON786481 UYJ786416:UYJ786481 VIF786416:VIF786481 VSB786416:VSB786481 WBX786416:WBX786481 WLT786416:WLT786481 WVP786416:WVP786481 H851952:H852017 JD851952:JD852017 SZ851952:SZ852017 ACV851952:ACV852017 AMR851952:AMR852017 AWN851952:AWN852017 BGJ851952:BGJ852017 BQF851952:BQF852017 CAB851952:CAB852017 CJX851952:CJX852017 CTT851952:CTT852017 DDP851952:DDP852017 DNL851952:DNL852017 DXH851952:DXH852017 EHD851952:EHD852017 EQZ851952:EQZ852017 FAV851952:FAV852017 FKR851952:FKR852017 FUN851952:FUN852017 GEJ851952:GEJ852017 GOF851952:GOF852017 GYB851952:GYB852017 HHX851952:HHX852017 HRT851952:HRT852017 IBP851952:IBP852017 ILL851952:ILL852017 IVH851952:IVH852017 JFD851952:JFD852017 JOZ851952:JOZ852017 JYV851952:JYV852017 KIR851952:KIR852017 KSN851952:KSN852017 LCJ851952:LCJ852017 LMF851952:LMF852017 LWB851952:LWB852017 MFX851952:MFX852017 MPT851952:MPT852017 MZP851952:MZP852017 NJL851952:NJL852017 NTH851952:NTH852017 ODD851952:ODD852017 OMZ851952:OMZ852017 OWV851952:OWV852017 PGR851952:PGR852017 PQN851952:PQN852017 QAJ851952:QAJ852017 QKF851952:QKF852017 QUB851952:QUB852017 RDX851952:RDX852017 RNT851952:RNT852017 RXP851952:RXP852017 SHL851952:SHL852017 SRH851952:SRH852017 TBD851952:TBD852017 TKZ851952:TKZ852017 TUV851952:TUV852017 UER851952:UER852017 UON851952:UON852017 UYJ851952:UYJ852017 VIF851952:VIF852017 VSB851952:VSB852017 WBX851952:WBX852017 WLT851952:WLT852017 WVP851952:WVP852017 H917488:H917553 JD917488:JD917553 SZ917488:SZ917553 ACV917488:ACV917553 AMR917488:AMR917553 AWN917488:AWN917553 BGJ917488:BGJ917553 BQF917488:BQF917553 CAB917488:CAB917553 CJX917488:CJX917553 CTT917488:CTT917553 DDP917488:DDP917553 DNL917488:DNL917553 DXH917488:DXH917553 EHD917488:EHD917553 EQZ917488:EQZ917553 FAV917488:FAV917553 FKR917488:FKR917553 FUN917488:FUN917553 GEJ917488:GEJ917553 GOF917488:GOF917553 GYB917488:GYB917553 HHX917488:HHX917553 HRT917488:HRT917553 IBP917488:IBP917553 ILL917488:ILL917553 IVH917488:IVH917553 JFD917488:JFD917553 JOZ917488:JOZ917553 JYV917488:JYV917553 KIR917488:KIR917553 KSN917488:KSN917553 LCJ917488:LCJ917553 LMF917488:LMF917553 LWB917488:LWB917553 MFX917488:MFX917553 MPT917488:MPT917553 MZP917488:MZP917553 NJL917488:NJL917553 NTH917488:NTH917553 ODD917488:ODD917553 OMZ917488:OMZ917553 OWV917488:OWV917553 PGR917488:PGR917553 PQN917488:PQN917553 QAJ917488:QAJ917553 QKF917488:QKF917553 QUB917488:QUB917553 RDX917488:RDX917553 RNT917488:RNT917553 RXP917488:RXP917553 SHL917488:SHL917553 SRH917488:SRH917553 TBD917488:TBD917553 TKZ917488:TKZ917553 TUV917488:TUV917553 UER917488:UER917553 UON917488:UON917553 UYJ917488:UYJ917553 VIF917488:VIF917553 VSB917488:VSB917553 WBX917488:WBX917553 WLT917488:WLT917553 WVP917488:WVP917553 H983024:H983089 JD983024:JD983089 SZ983024:SZ983089 ACV983024:ACV983089 AMR983024:AMR983089 AWN983024:AWN983089 BGJ983024:BGJ983089 BQF983024:BQF983089 CAB983024:CAB983089 CJX983024:CJX983089 CTT983024:CTT983089 DDP983024:DDP983089 DNL983024:DNL983089 DXH983024:DXH983089 EHD983024:EHD983089 EQZ983024:EQZ983089 FAV983024:FAV983089 FKR983024:FKR983089 FUN983024:FUN983089 GEJ983024:GEJ983089 GOF983024:GOF983089 GYB983024:GYB983089 HHX983024:HHX983089 HRT983024:HRT983089 IBP983024:IBP983089 ILL983024:ILL983089 IVH983024:IVH983089 JFD983024:JFD983089 JOZ983024:JOZ983089 JYV983024:JYV983089 KIR983024:KIR983089 KSN983024:KSN983089 LCJ983024:LCJ983089 LMF983024:LMF983089 LWB983024:LWB983089 MFX983024:MFX983089 MPT983024:MPT983089 MZP983024:MZP983089 NJL983024:NJL983089 NTH983024:NTH983089 ODD983024:ODD983089 OMZ983024:OMZ983089 OWV983024:OWV983089 PGR983024:PGR983089 PQN983024:PQN983089 QAJ983024:QAJ983089 QKF983024:QKF983089 QUB983024:QUB983089 RDX983024:RDX983089 RNT983024:RNT983089 RXP983024:RXP983089 SHL983024:SHL983089 SRH983024:SRH983089 TBD983024:TBD983089 TKZ983024:TKZ983089 TUV983024:TUV983089 UER983024:UER983089 UON983024:UON983089 UYJ983024:UYJ983089 VIF983024:VIF983089 VSB983024:VSB983089 WBX983024:WBX983089 WLT983024:WLT983089 WVP2:WVP69 JD2:JD69 SZ2:SZ69 ACV2:ACV69 AMR2:AMR69 AWN2:AWN69 BGJ2:BGJ69 BQF2:BQF69 CAB2:CAB69 CJX2:CJX69 CTT2:CTT69 DDP2:DDP69 DNL2:DNL69 DXH2:DXH69 EHD2:EHD69 EQZ2:EQZ69 FAV2:FAV69 FKR2:FKR69 FUN2:FUN69 GEJ2:GEJ69 GOF2:GOF69 GYB2:GYB69 HHX2:HHX69 HRT2:HRT69 IBP2:IBP69 ILL2:ILL69 IVH2:IVH69 JFD2:JFD69 JOZ2:JOZ69 JYV2:JYV69 KIR2:KIR69 KSN2:KSN69 LCJ2:LCJ69 LMF2:LMF69 LWB2:LWB69 MFX2:MFX69 MPT2:MPT69 MZP2:MZP69 NJL2:NJL69 NTH2:NTH69 ODD2:ODD69 OMZ2:OMZ69 OWV2:OWV69 PGR2:PGR69 PQN2:PQN69 QAJ2:QAJ69 QKF2:QKF69 QUB2:QUB69 RDX2:RDX69 RNT2:RNT69 RXP2:RXP69 SHL2:SHL69 SRH2:SRH69 TBD2:TBD69 TKZ2:TKZ69 TUV2:TUV69 UER2:UER69 UON2:UON69 UYJ2:UYJ69 VIF2:VIF69 VSB2:VSB69 WBX2:WBX69 WLT2:WLT69" xr:uid="{24248549-E1F6-4683-A108-6656C1567714}">
      <formula1>$AL$4:$AL$12</formula1>
    </dataValidation>
    <dataValidation type="list" allowBlank="1" showInputMessage="1" showErrorMessage="1" sqref="A64345:A64410 IW64345:IW64410 SS64345:SS64410 ACO64345:ACO64410 AMK64345:AMK64410 AWG64345:AWG64410 BGC64345:BGC64410 BPY64345:BPY64410 BZU64345:BZU64410 CJQ64345:CJQ64410 CTM64345:CTM64410 DDI64345:DDI64410 DNE64345:DNE64410 DXA64345:DXA64410 EGW64345:EGW64410 EQS64345:EQS64410 FAO64345:FAO64410 FKK64345:FKK64410 FUG64345:FUG64410 GEC64345:GEC64410 GNY64345:GNY64410 GXU64345:GXU64410 HHQ64345:HHQ64410 HRM64345:HRM64410 IBI64345:IBI64410 ILE64345:ILE64410 IVA64345:IVA64410 JEW64345:JEW64410 JOS64345:JOS64410 JYO64345:JYO64410 KIK64345:KIK64410 KSG64345:KSG64410 LCC64345:LCC64410 LLY64345:LLY64410 LVU64345:LVU64410 MFQ64345:MFQ64410 MPM64345:MPM64410 MZI64345:MZI64410 NJE64345:NJE64410 NTA64345:NTA64410 OCW64345:OCW64410 OMS64345:OMS64410 OWO64345:OWO64410 PGK64345:PGK64410 PQG64345:PQG64410 QAC64345:QAC64410 QJY64345:QJY64410 QTU64345:QTU64410 RDQ64345:RDQ64410 RNM64345:RNM64410 RXI64345:RXI64410 SHE64345:SHE64410 SRA64345:SRA64410 TAW64345:TAW64410 TKS64345:TKS64410 TUO64345:TUO64410 UEK64345:UEK64410 UOG64345:UOG64410 UYC64345:UYC64410 VHY64345:VHY64410 VRU64345:VRU64410 WBQ64345:WBQ64410 WLM64345:WLM64410 WVI64345:WVI64410 A129881:A129946 IW129881:IW129946 SS129881:SS129946 ACO129881:ACO129946 AMK129881:AMK129946 AWG129881:AWG129946 BGC129881:BGC129946 BPY129881:BPY129946 BZU129881:BZU129946 CJQ129881:CJQ129946 CTM129881:CTM129946 DDI129881:DDI129946 DNE129881:DNE129946 DXA129881:DXA129946 EGW129881:EGW129946 EQS129881:EQS129946 FAO129881:FAO129946 FKK129881:FKK129946 FUG129881:FUG129946 GEC129881:GEC129946 GNY129881:GNY129946 GXU129881:GXU129946 HHQ129881:HHQ129946 HRM129881:HRM129946 IBI129881:IBI129946 ILE129881:ILE129946 IVA129881:IVA129946 JEW129881:JEW129946 JOS129881:JOS129946 JYO129881:JYO129946 KIK129881:KIK129946 KSG129881:KSG129946 LCC129881:LCC129946 LLY129881:LLY129946 LVU129881:LVU129946 MFQ129881:MFQ129946 MPM129881:MPM129946 MZI129881:MZI129946 NJE129881:NJE129946 NTA129881:NTA129946 OCW129881:OCW129946 OMS129881:OMS129946 OWO129881:OWO129946 PGK129881:PGK129946 PQG129881:PQG129946 QAC129881:QAC129946 QJY129881:QJY129946 QTU129881:QTU129946 RDQ129881:RDQ129946 RNM129881:RNM129946 RXI129881:RXI129946 SHE129881:SHE129946 SRA129881:SRA129946 TAW129881:TAW129946 TKS129881:TKS129946 TUO129881:TUO129946 UEK129881:UEK129946 UOG129881:UOG129946 UYC129881:UYC129946 VHY129881:VHY129946 VRU129881:VRU129946 WBQ129881:WBQ129946 WLM129881:WLM129946 WVI129881:WVI129946 A195417:A195482 IW195417:IW195482 SS195417:SS195482 ACO195417:ACO195482 AMK195417:AMK195482 AWG195417:AWG195482 BGC195417:BGC195482 BPY195417:BPY195482 BZU195417:BZU195482 CJQ195417:CJQ195482 CTM195417:CTM195482 DDI195417:DDI195482 DNE195417:DNE195482 DXA195417:DXA195482 EGW195417:EGW195482 EQS195417:EQS195482 FAO195417:FAO195482 FKK195417:FKK195482 FUG195417:FUG195482 GEC195417:GEC195482 GNY195417:GNY195482 GXU195417:GXU195482 HHQ195417:HHQ195482 HRM195417:HRM195482 IBI195417:IBI195482 ILE195417:ILE195482 IVA195417:IVA195482 JEW195417:JEW195482 JOS195417:JOS195482 JYO195417:JYO195482 KIK195417:KIK195482 KSG195417:KSG195482 LCC195417:LCC195482 LLY195417:LLY195482 LVU195417:LVU195482 MFQ195417:MFQ195482 MPM195417:MPM195482 MZI195417:MZI195482 NJE195417:NJE195482 NTA195417:NTA195482 OCW195417:OCW195482 OMS195417:OMS195482 OWO195417:OWO195482 PGK195417:PGK195482 PQG195417:PQG195482 QAC195417:QAC195482 QJY195417:QJY195482 QTU195417:QTU195482 RDQ195417:RDQ195482 RNM195417:RNM195482 RXI195417:RXI195482 SHE195417:SHE195482 SRA195417:SRA195482 TAW195417:TAW195482 TKS195417:TKS195482 TUO195417:TUO195482 UEK195417:UEK195482 UOG195417:UOG195482 UYC195417:UYC195482 VHY195417:VHY195482 VRU195417:VRU195482 WBQ195417:WBQ195482 WLM195417:WLM195482 WVI195417:WVI195482 A260953:A261018 IW260953:IW261018 SS260953:SS261018 ACO260953:ACO261018 AMK260953:AMK261018 AWG260953:AWG261018 BGC260953:BGC261018 BPY260953:BPY261018 BZU260953:BZU261018 CJQ260953:CJQ261018 CTM260953:CTM261018 DDI260953:DDI261018 DNE260953:DNE261018 DXA260953:DXA261018 EGW260953:EGW261018 EQS260953:EQS261018 FAO260953:FAO261018 FKK260953:FKK261018 FUG260953:FUG261018 GEC260953:GEC261018 GNY260953:GNY261018 GXU260953:GXU261018 HHQ260953:HHQ261018 HRM260953:HRM261018 IBI260953:IBI261018 ILE260953:ILE261018 IVA260953:IVA261018 JEW260953:JEW261018 JOS260953:JOS261018 JYO260953:JYO261018 KIK260953:KIK261018 KSG260953:KSG261018 LCC260953:LCC261018 LLY260953:LLY261018 LVU260953:LVU261018 MFQ260953:MFQ261018 MPM260953:MPM261018 MZI260953:MZI261018 NJE260953:NJE261018 NTA260953:NTA261018 OCW260953:OCW261018 OMS260953:OMS261018 OWO260953:OWO261018 PGK260953:PGK261018 PQG260953:PQG261018 QAC260953:QAC261018 QJY260953:QJY261018 QTU260953:QTU261018 RDQ260953:RDQ261018 RNM260953:RNM261018 RXI260953:RXI261018 SHE260953:SHE261018 SRA260953:SRA261018 TAW260953:TAW261018 TKS260953:TKS261018 TUO260953:TUO261018 UEK260953:UEK261018 UOG260953:UOG261018 UYC260953:UYC261018 VHY260953:VHY261018 VRU260953:VRU261018 WBQ260953:WBQ261018 WLM260953:WLM261018 WVI260953:WVI261018 A326489:A326554 IW326489:IW326554 SS326489:SS326554 ACO326489:ACO326554 AMK326489:AMK326554 AWG326489:AWG326554 BGC326489:BGC326554 BPY326489:BPY326554 BZU326489:BZU326554 CJQ326489:CJQ326554 CTM326489:CTM326554 DDI326489:DDI326554 DNE326489:DNE326554 DXA326489:DXA326554 EGW326489:EGW326554 EQS326489:EQS326554 FAO326489:FAO326554 FKK326489:FKK326554 FUG326489:FUG326554 GEC326489:GEC326554 GNY326489:GNY326554 GXU326489:GXU326554 HHQ326489:HHQ326554 HRM326489:HRM326554 IBI326489:IBI326554 ILE326489:ILE326554 IVA326489:IVA326554 JEW326489:JEW326554 JOS326489:JOS326554 JYO326489:JYO326554 KIK326489:KIK326554 KSG326489:KSG326554 LCC326489:LCC326554 LLY326489:LLY326554 LVU326489:LVU326554 MFQ326489:MFQ326554 MPM326489:MPM326554 MZI326489:MZI326554 NJE326489:NJE326554 NTA326489:NTA326554 OCW326489:OCW326554 OMS326489:OMS326554 OWO326489:OWO326554 PGK326489:PGK326554 PQG326489:PQG326554 QAC326489:QAC326554 QJY326489:QJY326554 QTU326489:QTU326554 RDQ326489:RDQ326554 RNM326489:RNM326554 RXI326489:RXI326554 SHE326489:SHE326554 SRA326489:SRA326554 TAW326489:TAW326554 TKS326489:TKS326554 TUO326489:TUO326554 UEK326489:UEK326554 UOG326489:UOG326554 UYC326489:UYC326554 VHY326489:VHY326554 VRU326489:VRU326554 WBQ326489:WBQ326554 WLM326489:WLM326554 WVI326489:WVI326554 A392025:A392090 IW392025:IW392090 SS392025:SS392090 ACO392025:ACO392090 AMK392025:AMK392090 AWG392025:AWG392090 BGC392025:BGC392090 BPY392025:BPY392090 BZU392025:BZU392090 CJQ392025:CJQ392090 CTM392025:CTM392090 DDI392025:DDI392090 DNE392025:DNE392090 DXA392025:DXA392090 EGW392025:EGW392090 EQS392025:EQS392090 FAO392025:FAO392090 FKK392025:FKK392090 FUG392025:FUG392090 GEC392025:GEC392090 GNY392025:GNY392090 GXU392025:GXU392090 HHQ392025:HHQ392090 HRM392025:HRM392090 IBI392025:IBI392090 ILE392025:ILE392090 IVA392025:IVA392090 JEW392025:JEW392090 JOS392025:JOS392090 JYO392025:JYO392090 KIK392025:KIK392090 KSG392025:KSG392090 LCC392025:LCC392090 LLY392025:LLY392090 LVU392025:LVU392090 MFQ392025:MFQ392090 MPM392025:MPM392090 MZI392025:MZI392090 NJE392025:NJE392090 NTA392025:NTA392090 OCW392025:OCW392090 OMS392025:OMS392090 OWO392025:OWO392090 PGK392025:PGK392090 PQG392025:PQG392090 QAC392025:QAC392090 QJY392025:QJY392090 QTU392025:QTU392090 RDQ392025:RDQ392090 RNM392025:RNM392090 RXI392025:RXI392090 SHE392025:SHE392090 SRA392025:SRA392090 TAW392025:TAW392090 TKS392025:TKS392090 TUO392025:TUO392090 UEK392025:UEK392090 UOG392025:UOG392090 UYC392025:UYC392090 VHY392025:VHY392090 VRU392025:VRU392090 WBQ392025:WBQ392090 WLM392025:WLM392090 WVI392025:WVI392090 A457561:A457626 IW457561:IW457626 SS457561:SS457626 ACO457561:ACO457626 AMK457561:AMK457626 AWG457561:AWG457626 BGC457561:BGC457626 BPY457561:BPY457626 BZU457561:BZU457626 CJQ457561:CJQ457626 CTM457561:CTM457626 DDI457561:DDI457626 DNE457561:DNE457626 DXA457561:DXA457626 EGW457561:EGW457626 EQS457561:EQS457626 FAO457561:FAO457626 FKK457561:FKK457626 FUG457561:FUG457626 GEC457561:GEC457626 GNY457561:GNY457626 GXU457561:GXU457626 HHQ457561:HHQ457626 HRM457561:HRM457626 IBI457561:IBI457626 ILE457561:ILE457626 IVA457561:IVA457626 JEW457561:JEW457626 JOS457561:JOS457626 JYO457561:JYO457626 KIK457561:KIK457626 KSG457561:KSG457626 LCC457561:LCC457626 LLY457561:LLY457626 LVU457561:LVU457626 MFQ457561:MFQ457626 MPM457561:MPM457626 MZI457561:MZI457626 NJE457561:NJE457626 NTA457561:NTA457626 OCW457561:OCW457626 OMS457561:OMS457626 OWO457561:OWO457626 PGK457561:PGK457626 PQG457561:PQG457626 QAC457561:QAC457626 QJY457561:QJY457626 QTU457561:QTU457626 RDQ457561:RDQ457626 RNM457561:RNM457626 RXI457561:RXI457626 SHE457561:SHE457626 SRA457561:SRA457626 TAW457561:TAW457626 TKS457561:TKS457626 TUO457561:TUO457626 UEK457561:UEK457626 UOG457561:UOG457626 UYC457561:UYC457626 VHY457561:VHY457626 VRU457561:VRU457626 WBQ457561:WBQ457626 WLM457561:WLM457626 WVI457561:WVI457626 A523097:A523162 IW523097:IW523162 SS523097:SS523162 ACO523097:ACO523162 AMK523097:AMK523162 AWG523097:AWG523162 BGC523097:BGC523162 BPY523097:BPY523162 BZU523097:BZU523162 CJQ523097:CJQ523162 CTM523097:CTM523162 DDI523097:DDI523162 DNE523097:DNE523162 DXA523097:DXA523162 EGW523097:EGW523162 EQS523097:EQS523162 FAO523097:FAO523162 FKK523097:FKK523162 FUG523097:FUG523162 GEC523097:GEC523162 GNY523097:GNY523162 GXU523097:GXU523162 HHQ523097:HHQ523162 HRM523097:HRM523162 IBI523097:IBI523162 ILE523097:ILE523162 IVA523097:IVA523162 JEW523097:JEW523162 JOS523097:JOS523162 JYO523097:JYO523162 KIK523097:KIK523162 KSG523097:KSG523162 LCC523097:LCC523162 LLY523097:LLY523162 LVU523097:LVU523162 MFQ523097:MFQ523162 MPM523097:MPM523162 MZI523097:MZI523162 NJE523097:NJE523162 NTA523097:NTA523162 OCW523097:OCW523162 OMS523097:OMS523162 OWO523097:OWO523162 PGK523097:PGK523162 PQG523097:PQG523162 QAC523097:QAC523162 QJY523097:QJY523162 QTU523097:QTU523162 RDQ523097:RDQ523162 RNM523097:RNM523162 RXI523097:RXI523162 SHE523097:SHE523162 SRA523097:SRA523162 TAW523097:TAW523162 TKS523097:TKS523162 TUO523097:TUO523162 UEK523097:UEK523162 UOG523097:UOG523162 UYC523097:UYC523162 VHY523097:VHY523162 VRU523097:VRU523162 WBQ523097:WBQ523162 WLM523097:WLM523162 WVI523097:WVI523162 A588633:A588698 IW588633:IW588698 SS588633:SS588698 ACO588633:ACO588698 AMK588633:AMK588698 AWG588633:AWG588698 BGC588633:BGC588698 BPY588633:BPY588698 BZU588633:BZU588698 CJQ588633:CJQ588698 CTM588633:CTM588698 DDI588633:DDI588698 DNE588633:DNE588698 DXA588633:DXA588698 EGW588633:EGW588698 EQS588633:EQS588698 FAO588633:FAO588698 FKK588633:FKK588698 FUG588633:FUG588698 GEC588633:GEC588698 GNY588633:GNY588698 GXU588633:GXU588698 HHQ588633:HHQ588698 HRM588633:HRM588698 IBI588633:IBI588698 ILE588633:ILE588698 IVA588633:IVA588698 JEW588633:JEW588698 JOS588633:JOS588698 JYO588633:JYO588698 KIK588633:KIK588698 KSG588633:KSG588698 LCC588633:LCC588698 LLY588633:LLY588698 LVU588633:LVU588698 MFQ588633:MFQ588698 MPM588633:MPM588698 MZI588633:MZI588698 NJE588633:NJE588698 NTA588633:NTA588698 OCW588633:OCW588698 OMS588633:OMS588698 OWO588633:OWO588698 PGK588633:PGK588698 PQG588633:PQG588698 QAC588633:QAC588698 QJY588633:QJY588698 QTU588633:QTU588698 RDQ588633:RDQ588698 RNM588633:RNM588698 RXI588633:RXI588698 SHE588633:SHE588698 SRA588633:SRA588698 TAW588633:TAW588698 TKS588633:TKS588698 TUO588633:TUO588698 UEK588633:UEK588698 UOG588633:UOG588698 UYC588633:UYC588698 VHY588633:VHY588698 VRU588633:VRU588698 WBQ588633:WBQ588698 WLM588633:WLM588698 WVI588633:WVI588698 A654169:A654234 IW654169:IW654234 SS654169:SS654234 ACO654169:ACO654234 AMK654169:AMK654234 AWG654169:AWG654234 BGC654169:BGC654234 BPY654169:BPY654234 BZU654169:BZU654234 CJQ654169:CJQ654234 CTM654169:CTM654234 DDI654169:DDI654234 DNE654169:DNE654234 DXA654169:DXA654234 EGW654169:EGW654234 EQS654169:EQS654234 FAO654169:FAO654234 FKK654169:FKK654234 FUG654169:FUG654234 GEC654169:GEC654234 GNY654169:GNY654234 GXU654169:GXU654234 HHQ654169:HHQ654234 HRM654169:HRM654234 IBI654169:IBI654234 ILE654169:ILE654234 IVA654169:IVA654234 JEW654169:JEW654234 JOS654169:JOS654234 JYO654169:JYO654234 KIK654169:KIK654234 KSG654169:KSG654234 LCC654169:LCC654234 LLY654169:LLY654234 LVU654169:LVU654234 MFQ654169:MFQ654234 MPM654169:MPM654234 MZI654169:MZI654234 NJE654169:NJE654234 NTA654169:NTA654234 OCW654169:OCW654234 OMS654169:OMS654234 OWO654169:OWO654234 PGK654169:PGK654234 PQG654169:PQG654234 QAC654169:QAC654234 QJY654169:QJY654234 QTU654169:QTU654234 RDQ654169:RDQ654234 RNM654169:RNM654234 RXI654169:RXI654234 SHE654169:SHE654234 SRA654169:SRA654234 TAW654169:TAW654234 TKS654169:TKS654234 TUO654169:TUO654234 UEK654169:UEK654234 UOG654169:UOG654234 UYC654169:UYC654234 VHY654169:VHY654234 VRU654169:VRU654234 WBQ654169:WBQ654234 WLM654169:WLM654234 WVI654169:WVI654234 A719705:A719770 IW719705:IW719770 SS719705:SS719770 ACO719705:ACO719770 AMK719705:AMK719770 AWG719705:AWG719770 BGC719705:BGC719770 BPY719705:BPY719770 BZU719705:BZU719770 CJQ719705:CJQ719770 CTM719705:CTM719770 DDI719705:DDI719770 DNE719705:DNE719770 DXA719705:DXA719770 EGW719705:EGW719770 EQS719705:EQS719770 FAO719705:FAO719770 FKK719705:FKK719770 FUG719705:FUG719770 GEC719705:GEC719770 GNY719705:GNY719770 GXU719705:GXU719770 HHQ719705:HHQ719770 HRM719705:HRM719770 IBI719705:IBI719770 ILE719705:ILE719770 IVA719705:IVA719770 JEW719705:JEW719770 JOS719705:JOS719770 JYO719705:JYO719770 KIK719705:KIK719770 KSG719705:KSG719770 LCC719705:LCC719770 LLY719705:LLY719770 LVU719705:LVU719770 MFQ719705:MFQ719770 MPM719705:MPM719770 MZI719705:MZI719770 NJE719705:NJE719770 NTA719705:NTA719770 OCW719705:OCW719770 OMS719705:OMS719770 OWO719705:OWO719770 PGK719705:PGK719770 PQG719705:PQG719770 QAC719705:QAC719770 QJY719705:QJY719770 QTU719705:QTU719770 RDQ719705:RDQ719770 RNM719705:RNM719770 RXI719705:RXI719770 SHE719705:SHE719770 SRA719705:SRA719770 TAW719705:TAW719770 TKS719705:TKS719770 TUO719705:TUO719770 UEK719705:UEK719770 UOG719705:UOG719770 UYC719705:UYC719770 VHY719705:VHY719770 VRU719705:VRU719770 WBQ719705:WBQ719770 WLM719705:WLM719770 WVI719705:WVI719770 A785241:A785306 IW785241:IW785306 SS785241:SS785306 ACO785241:ACO785306 AMK785241:AMK785306 AWG785241:AWG785306 BGC785241:BGC785306 BPY785241:BPY785306 BZU785241:BZU785306 CJQ785241:CJQ785306 CTM785241:CTM785306 DDI785241:DDI785306 DNE785241:DNE785306 DXA785241:DXA785306 EGW785241:EGW785306 EQS785241:EQS785306 FAO785241:FAO785306 FKK785241:FKK785306 FUG785241:FUG785306 GEC785241:GEC785306 GNY785241:GNY785306 GXU785241:GXU785306 HHQ785241:HHQ785306 HRM785241:HRM785306 IBI785241:IBI785306 ILE785241:ILE785306 IVA785241:IVA785306 JEW785241:JEW785306 JOS785241:JOS785306 JYO785241:JYO785306 KIK785241:KIK785306 KSG785241:KSG785306 LCC785241:LCC785306 LLY785241:LLY785306 LVU785241:LVU785306 MFQ785241:MFQ785306 MPM785241:MPM785306 MZI785241:MZI785306 NJE785241:NJE785306 NTA785241:NTA785306 OCW785241:OCW785306 OMS785241:OMS785306 OWO785241:OWO785306 PGK785241:PGK785306 PQG785241:PQG785306 QAC785241:QAC785306 QJY785241:QJY785306 QTU785241:QTU785306 RDQ785241:RDQ785306 RNM785241:RNM785306 RXI785241:RXI785306 SHE785241:SHE785306 SRA785241:SRA785306 TAW785241:TAW785306 TKS785241:TKS785306 TUO785241:TUO785306 UEK785241:UEK785306 UOG785241:UOG785306 UYC785241:UYC785306 VHY785241:VHY785306 VRU785241:VRU785306 WBQ785241:WBQ785306 WLM785241:WLM785306 WVI785241:WVI785306 A850777:A850842 IW850777:IW850842 SS850777:SS850842 ACO850777:ACO850842 AMK850777:AMK850842 AWG850777:AWG850842 BGC850777:BGC850842 BPY850777:BPY850842 BZU850777:BZU850842 CJQ850777:CJQ850842 CTM850777:CTM850842 DDI850777:DDI850842 DNE850777:DNE850842 DXA850777:DXA850842 EGW850777:EGW850842 EQS850777:EQS850842 FAO850777:FAO850842 FKK850777:FKK850842 FUG850777:FUG850842 GEC850777:GEC850842 GNY850777:GNY850842 GXU850777:GXU850842 HHQ850777:HHQ850842 HRM850777:HRM850842 IBI850777:IBI850842 ILE850777:ILE850842 IVA850777:IVA850842 JEW850777:JEW850842 JOS850777:JOS850842 JYO850777:JYO850842 KIK850777:KIK850842 KSG850777:KSG850842 LCC850777:LCC850842 LLY850777:LLY850842 LVU850777:LVU850842 MFQ850777:MFQ850842 MPM850777:MPM850842 MZI850777:MZI850842 NJE850777:NJE850842 NTA850777:NTA850842 OCW850777:OCW850842 OMS850777:OMS850842 OWO850777:OWO850842 PGK850777:PGK850842 PQG850777:PQG850842 QAC850777:QAC850842 QJY850777:QJY850842 QTU850777:QTU850842 RDQ850777:RDQ850842 RNM850777:RNM850842 RXI850777:RXI850842 SHE850777:SHE850842 SRA850777:SRA850842 TAW850777:TAW850842 TKS850777:TKS850842 TUO850777:TUO850842 UEK850777:UEK850842 UOG850777:UOG850842 UYC850777:UYC850842 VHY850777:VHY850842 VRU850777:VRU850842 WBQ850777:WBQ850842 WLM850777:WLM850842 WVI850777:WVI850842 A916313:A916378 IW916313:IW916378 SS916313:SS916378 ACO916313:ACO916378 AMK916313:AMK916378 AWG916313:AWG916378 BGC916313:BGC916378 BPY916313:BPY916378 BZU916313:BZU916378 CJQ916313:CJQ916378 CTM916313:CTM916378 DDI916313:DDI916378 DNE916313:DNE916378 DXA916313:DXA916378 EGW916313:EGW916378 EQS916313:EQS916378 FAO916313:FAO916378 FKK916313:FKK916378 FUG916313:FUG916378 GEC916313:GEC916378 GNY916313:GNY916378 GXU916313:GXU916378 HHQ916313:HHQ916378 HRM916313:HRM916378 IBI916313:IBI916378 ILE916313:ILE916378 IVA916313:IVA916378 JEW916313:JEW916378 JOS916313:JOS916378 JYO916313:JYO916378 KIK916313:KIK916378 KSG916313:KSG916378 LCC916313:LCC916378 LLY916313:LLY916378 LVU916313:LVU916378 MFQ916313:MFQ916378 MPM916313:MPM916378 MZI916313:MZI916378 NJE916313:NJE916378 NTA916313:NTA916378 OCW916313:OCW916378 OMS916313:OMS916378 OWO916313:OWO916378 PGK916313:PGK916378 PQG916313:PQG916378 QAC916313:QAC916378 QJY916313:QJY916378 QTU916313:QTU916378 RDQ916313:RDQ916378 RNM916313:RNM916378 RXI916313:RXI916378 SHE916313:SHE916378 SRA916313:SRA916378 TAW916313:TAW916378 TKS916313:TKS916378 TUO916313:TUO916378 UEK916313:UEK916378 UOG916313:UOG916378 UYC916313:UYC916378 VHY916313:VHY916378 VRU916313:VRU916378 WBQ916313:WBQ916378 WLM916313:WLM916378 WVI916313:WVI916378 A981849:A981914 IW981849:IW981914 SS981849:SS981914 ACO981849:ACO981914 AMK981849:AMK981914 AWG981849:AWG981914 BGC981849:BGC981914 BPY981849:BPY981914 BZU981849:BZU981914 CJQ981849:CJQ981914 CTM981849:CTM981914 DDI981849:DDI981914 DNE981849:DNE981914 DXA981849:DXA981914 EGW981849:EGW981914 EQS981849:EQS981914 FAO981849:FAO981914 FKK981849:FKK981914 FUG981849:FUG981914 GEC981849:GEC981914 GNY981849:GNY981914 GXU981849:GXU981914 HHQ981849:HHQ981914 HRM981849:HRM981914 IBI981849:IBI981914 ILE981849:ILE981914 IVA981849:IVA981914 JEW981849:JEW981914 JOS981849:JOS981914 JYO981849:JYO981914 KIK981849:KIK981914 KSG981849:KSG981914 LCC981849:LCC981914 LLY981849:LLY981914 LVU981849:LVU981914 MFQ981849:MFQ981914 MPM981849:MPM981914 MZI981849:MZI981914 NJE981849:NJE981914 NTA981849:NTA981914 OCW981849:OCW981914 OMS981849:OMS981914 OWO981849:OWO981914 PGK981849:PGK981914 PQG981849:PQG981914 QAC981849:QAC981914 QJY981849:QJY981914 QTU981849:QTU981914 RDQ981849:RDQ981914 RNM981849:RNM981914 RXI981849:RXI981914 SHE981849:SHE981914 SRA981849:SRA981914 TAW981849:TAW981914 TKS981849:TKS981914 TUO981849:TUO981914 UEK981849:UEK981914 UOG981849:UOG981914 UYC981849:UYC981914 VHY981849:VHY981914 VRU981849:VRU981914 WBQ981849:WBQ981914 WLM981849:WLM981914 WVI981849:WVI981914 A1047385:A1047450 IW1047385:IW1047450 SS1047385:SS1047450 ACO1047385:ACO1047450 AMK1047385:AMK1047450 AWG1047385:AWG1047450 BGC1047385:BGC1047450 BPY1047385:BPY1047450 BZU1047385:BZU1047450 CJQ1047385:CJQ1047450 CTM1047385:CTM1047450 DDI1047385:DDI1047450 DNE1047385:DNE1047450 DXA1047385:DXA1047450 EGW1047385:EGW1047450 EQS1047385:EQS1047450 FAO1047385:FAO1047450 FKK1047385:FKK1047450 FUG1047385:FUG1047450 GEC1047385:GEC1047450 GNY1047385:GNY1047450 GXU1047385:GXU1047450 HHQ1047385:HHQ1047450 HRM1047385:HRM1047450 IBI1047385:IBI1047450 ILE1047385:ILE1047450 IVA1047385:IVA1047450 JEW1047385:JEW1047450 JOS1047385:JOS1047450 JYO1047385:JYO1047450 KIK1047385:KIK1047450 KSG1047385:KSG1047450 LCC1047385:LCC1047450 LLY1047385:LLY1047450 LVU1047385:LVU1047450 MFQ1047385:MFQ1047450 MPM1047385:MPM1047450 MZI1047385:MZI1047450 NJE1047385:NJE1047450 NTA1047385:NTA1047450 OCW1047385:OCW1047450 OMS1047385:OMS1047450 OWO1047385:OWO1047450 PGK1047385:PGK1047450 PQG1047385:PQG1047450 QAC1047385:QAC1047450 QJY1047385:QJY1047450 QTU1047385:QTU1047450 RDQ1047385:RDQ1047450 RNM1047385:RNM1047450 RXI1047385:RXI1047450 SHE1047385:SHE1047450 SRA1047385:SRA1047450 TAW1047385:TAW1047450 TKS1047385:TKS1047450 TUO1047385:TUO1047450 UEK1047385:UEK1047450 UOG1047385:UOG1047450 UYC1047385:UYC1047450 VHY1047385:VHY1047450 VRU1047385:VRU1047450 WBQ1047385:WBQ1047450 WLM1047385:WLM1047450 WVI1047385:WVI1047450 WVI983024:WVI983095 A65520:A65591 IW65520:IW65591 SS65520:SS65591 ACO65520:ACO65591 AMK65520:AMK65591 AWG65520:AWG65591 BGC65520:BGC65591 BPY65520:BPY65591 BZU65520:BZU65591 CJQ65520:CJQ65591 CTM65520:CTM65591 DDI65520:DDI65591 DNE65520:DNE65591 DXA65520:DXA65591 EGW65520:EGW65591 EQS65520:EQS65591 FAO65520:FAO65591 FKK65520:FKK65591 FUG65520:FUG65591 GEC65520:GEC65591 GNY65520:GNY65591 GXU65520:GXU65591 HHQ65520:HHQ65591 HRM65520:HRM65591 IBI65520:IBI65591 ILE65520:ILE65591 IVA65520:IVA65591 JEW65520:JEW65591 JOS65520:JOS65591 JYO65520:JYO65591 KIK65520:KIK65591 KSG65520:KSG65591 LCC65520:LCC65591 LLY65520:LLY65591 LVU65520:LVU65591 MFQ65520:MFQ65591 MPM65520:MPM65591 MZI65520:MZI65591 NJE65520:NJE65591 NTA65520:NTA65591 OCW65520:OCW65591 OMS65520:OMS65591 OWO65520:OWO65591 PGK65520:PGK65591 PQG65520:PQG65591 QAC65520:QAC65591 QJY65520:QJY65591 QTU65520:QTU65591 RDQ65520:RDQ65591 RNM65520:RNM65591 RXI65520:RXI65591 SHE65520:SHE65591 SRA65520:SRA65591 TAW65520:TAW65591 TKS65520:TKS65591 TUO65520:TUO65591 UEK65520:UEK65591 UOG65520:UOG65591 UYC65520:UYC65591 VHY65520:VHY65591 VRU65520:VRU65591 WBQ65520:WBQ65591 WLM65520:WLM65591 WVI65520:WVI65591 A131056:A131127 IW131056:IW131127 SS131056:SS131127 ACO131056:ACO131127 AMK131056:AMK131127 AWG131056:AWG131127 BGC131056:BGC131127 BPY131056:BPY131127 BZU131056:BZU131127 CJQ131056:CJQ131127 CTM131056:CTM131127 DDI131056:DDI131127 DNE131056:DNE131127 DXA131056:DXA131127 EGW131056:EGW131127 EQS131056:EQS131127 FAO131056:FAO131127 FKK131056:FKK131127 FUG131056:FUG131127 GEC131056:GEC131127 GNY131056:GNY131127 GXU131056:GXU131127 HHQ131056:HHQ131127 HRM131056:HRM131127 IBI131056:IBI131127 ILE131056:ILE131127 IVA131056:IVA131127 JEW131056:JEW131127 JOS131056:JOS131127 JYO131056:JYO131127 KIK131056:KIK131127 KSG131056:KSG131127 LCC131056:LCC131127 LLY131056:LLY131127 LVU131056:LVU131127 MFQ131056:MFQ131127 MPM131056:MPM131127 MZI131056:MZI131127 NJE131056:NJE131127 NTA131056:NTA131127 OCW131056:OCW131127 OMS131056:OMS131127 OWO131056:OWO131127 PGK131056:PGK131127 PQG131056:PQG131127 QAC131056:QAC131127 QJY131056:QJY131127 QTU131056:QTU131127 RDQ131056:RDQ131127 RNM131056:RNM131127 RXI131056:RXI131127 SHE131056:SHE131127 SRA131056:SRA131127 TAW131056:TAW131127 TKS131056:TKS131127 TUO131056:TUO131127 UEK131056:UEK131127 UOG131056:UOG131127 UYC131056:UYC131127 VHY131056:VHY131127 VRU131056:VRU131127 WBQ131056:WBQ131127 WLM131056:WLM131127 WVI131056:WVI131127 A196592:A196663 IW196592:IW196663 SS196592:SS196663 ACO196592:ACO196663 AMK196592:AMK196663 AWG196592:AWG196663 BGC196592:BGC196663 BPY196592:BPY196663 BZU196592:BZU196663 CJQ196592:CJQ196663 CTM196592:CTM196663 DDI196592:DDI196663 DNE196592:DNE196663 DXA196592:DXA196663 EGW196592:EGW196663 EQS196592:EQS196663 FAO196592:FAO196663 FKK196592:FKK196663 FUG196592:FUG196663 GEC196592:GEC196663 GNY196592:GNY196663 GXU196592:GXU196663 HHQ196592:HHQ196663 HRM196592:HRM196663 IBI196592:IBI196663 ILE196592:ILE196663 IVA196592:IVA196663 JEW196592:JEW196663 JOS196592:JOS196663 JYO196592:JYO196663 KIK196592:KIK196663 KSG196592:KSG196663 LCC196592:LCC196663 LLY196592:LLY196663 LVU196592:LVU196663 MFQ196592:MFQ196663 MPM196592:MPM196663 MZI196592:MZI196663 NJE196592:NJE196663 NTA196592:NTA196663 OCW196592:OCW196663 OMS196592:OMS196663 OWO196592:OWO196663 PGK196592:PGK196663 PQG196592:PQG196663 QAC196592:QAC196663 QJY196592:QJY196663 QTU196592:QTU196663 RDQ196592:RDQ196663 RNM196592:RNM196663 RXI196592:RXI196663 SHE196592:SHE196663 SRA196592:SRA196663 TAW196592:TAW196663 TKS196592:TKS196663 TUO196592:TUO196663 UEK196592:UEK196663 UOG196592:UOG196663 UYC196592:UYC196663 VHY196592:VHY196663 VRU196592:VRU196663 WBQ196592:WBQ196663 WLM196592:WLM196663 WVI196592:WVI196663 A262128:A262199 IW262128:IW262199 SS262128:SS262199 ACO262128:ACO262199 AMK262128:AMK262199 AWG262128:AWG262199 BGC262128:BGC262199 BPY262128:BPY262199 BZU262128:BZU262199 CJQ262128:CJQ262199 CTM262128:CTM262199 DDI262128:DDI262199 DNE262128:DNE262199 DXA262128:DXA262199 EGW262128:EGW262199 EQS262128:EQS262199 FAO262128:FAO262199 FKK262128:FKK262199 FUG262128:FUG262199 GEC262128:GEC262199 GNY262128:GNY262199 GXU262128:GXU262199 HHQ262128:HHQ262199 HRM262128:HRM262199 IBI262128:IBI262199 ILE262128:ILE262199 IVA262128:IVA262199 JEW262128:JEW262199 JOS262128:JOS262199 JYO262128:JYO262199 KIK262128:KIK262199 KSG262128:KSG262199 LCC262128:LCC262199 LLY262128:LLY262199 LVU262128:LVU262199 MFQ262128:MFQ262199 MPM262128:MPM262199 MZI262128:MZI262199 NJE262128:NJE262199 NTA262128:NTA262199 OCW262128:OCW262199 OMS262128:OMS262199 OWO262128:OWO262199 PGK262128:PGK262199 PQG262128:PQG262199 QAC262128:QAC262199 QJY262128:QJY262199 QTU262128:QTU262199 RDQ262128:RDQ262199 RNM262128:RNM262199 RXI262128:RXI262199 SHE262128:SHE262199 SRA262128:SRA262199 TAW262128:TAW262199 TKS262128:TKS262199 TUO262128:TUO262199 UEK262128:UEK262199 UOG262128:UOG262199 UYC262128:UYC262199 VHY262128:VHY262199 VRU262128:VRU262199 WBQ262128:WBQ262199 WLM262128:WLM262199 WVI262128:WVI262199 A327664:A327735 IW327664:IW327735 SS327664:SS327735 ACO327664:ACO327735 AMK327664:AMK327735 AWG327664:AWG327735 BGC327664:BGC327735 BPY327664:BPY327735 BZU327664:BZU327735 CJQ327664:CJQ327735 CTM327664:CTM327735 DDI327664:DDI327735 DNE327664:DNE327735 DXA327664:DXA327735 EGW327664:EGW327735 EQS327664:EQS327735 FAO327664:FAO327735 FKK327664:FKK327735 FUG327664:FUG327735 GEC327664:GEC327735 GNY327664:GNY327735 GXU327664:GXU327735 HHQ327664:HHQ327735 HRM327664:HRM327735 IBI327664:IBI327735 ILE327664:ILE327735 IVA327664:IVA327735 JEW327664:JEW327735 JOS327664:JOS327735 JYO327664:JYO327735 KIK327664:KIK327735 KSG327664:KSG327735 LCC327664:LCC327735 LLY327664:LLY327735 LVU327664:LVU327735 MFQ327664:MFQ327735 MPM327664:MPM327735 MZI327664:MZI327735 NJE327664:NJE327735 NTA327664:NTA327735 OCW327664:OCW327735 OMS327664:OMS327735 OWO327664:OWO327735 PGK327664:PGK327735 PQG327664:PQG327735 QAC327664:QAC327735 QJY327664:QJY327735 QTU327664:QTU327735 RDQ327664:RDQ327735 RNM327664:RNM327735 RXI327664:RXI327735 SHE327664:SHE327735 SRA327664:SRA327735 TAW327664:TAW327735 TKS327664:TKS327735 TUO327664:TUO327735 UEK327664:UEK327735 UOG327664:UOG327735 UYC327664:UYC327735 VHY327664:VHY327735 VRU327664:VRU327735 WBQ327664:WBQ327735 WLM327664:WLM327735 WVI327664:WVI327735 A393200:A393271 IW393200:IW393271 SS393200:SS393271 ACO393200:ACO393271 AMK393200:AMK393271 AWG393200:AWG393271 BGC393200:BGC393271 BPY393200:BPY393271 BZU393200:BZU393271 CJQ393200:CJQ393271 CTM393200:CTM393271 DDI393200:DDI393271 DNE393200:DNE393271 DXA393200:DXA393271 EGW393200:EGW393271 EQS393200:EQS393271 FAO393200:FAO393271 FKK393200:FKK393271 FUG393200:FUG393271 GEC393200:GEC393271 GNY393200:GNY393271 GXU393200:GXU393271 HHQ393200:HHQ393271 HRM393200:HRM393271 IBI393200:IBI393271 ILE393200:ILE393271 IVA393200:IVA393271 JEW393200:JEW393271 JOS393200:JOS393271 JYO393200:JYO393271 KIK393200:KIK393271 KSG393200:KSG393271 LCC393200:LCC393271 LLY393200:LLY393271 LVU393200:LVU393271 MFQ393200:MFQ393271 MPM393200:MPM393271 MZI393200:MZI393271 NJE393200:NJE393271 NTA393200:NTA393271 OCW393200:OCW393271 OMS393200:OMS393271 OWO393200:OWO393271 PGK393200:PGK393271 PQG393200:PQG393271 QAC393200:QAC393271 QJY393200:QJY393271 QTU393200:QTU393271 RDQ393200:RDQ393271 RNM393200:RNM393271 RXI393200:RXI393271 SHE393200:SHE393271 SRA393200:SRA393271 TAW393200:TAW393271 TKS393200:TKS393271 TUO393200:TUO393271 UEK393200:UEK393271 UOG393200:UOG393271 UYC393200:UYC393271 VHY393200:VHY393271 VRU393200:VRU393271 WBQ393200:WBQ393271 WLM393200:WLM393271 WVI393200:WVI393271 A458736:A458807 IW458736:IW458807 SS458736:SS458807 ACO458736:ACO458807 AMK458736:AMK458807 AWG458736:AWG458807 BGC458736:BGC458807 BPY458736:BPY458807 BZU458736:BZU458807 CJQ458736:CJQ458807 CTM458736:CTM458807 DDI458736:DDI458807 DNE458736:DNE458807 DXA458736:DXA458807 EGW458736:EGW458807 EQS458736:EQS458807 FAO458736:FAO458807 FKK458736:FKK458807 FUG458736:FUG458807 GEC458736:GEC458807 GNY458736:GNY458807 GXU458736:GXU458807 HHQ458736:HHQ458807 HRM458736:HRM458807 IBI458736:IBI458807 ILE458736:ILE458807 IVA458736:IVA458807 JEW458736:JEW458807 JOS458736:JOS458807 JYO458736:JYO458807 KIK458736:KIK458807 KSG458736:KSG458807 LCC458736:LCC458807 LLY458736:LLY458807 LVU458736:LVU458807 MFQ458736:MFQ458807 MPM458736:MPM458807 MZI458736:MZI458807 NJE458736:NJE458807 NTA458736:NTA458807 OCW458736:OCW458807 OMS458736:OMS458807 OWO458736:OWO458807 PGK458736:PGK458807 PQG458736:PQG458807 QAC458736:QAC458807 QJY458736:QJY458807 QTU458736:QTU458807 RDQ458736:RDQ458807 RNM458736:RNM458807 RXI458736:RXI458807 SHE458736:SHE458807 SRA458736:SRA458807 TAW458736:TAW458807 TKS458736:TKS458807 TUO458736:TUO458807 UEK458736:UEK458807 UOG458736:UOG458807 UYC458736:UYC458807 VHY458736:VHY458807 VRU458736:VRU458807 WBQ458736:WBQ458807 WLM458736:WLM458807 WVI458736:WVI458807 A524272:A524343 IW524272:IW524343 SS524272:SS524343 ACO524272:ACO524343 AMK524272:AMK524343 AWG524272:AWG524343 BGC524272:BGC524343 BPY524272:BPY524343 BZU524272:BZU524343 CJQ524272:CJQ524343 CTM524272:CTM524343 DDI524272:DDI524343 DNE524272:DNE524343 DXA524272:DXA524343 EGW524272:EGW524343 EQS524272:EQS524343 FAO524272:FAO524343 FKK524272:FKK524343 FUG524272:FUG524343 GEC524272:GEC524343 GNY524272:GNY524343 GXU524272:GXU524343 HHQ524272:HHQ524343 HRM524272:HRM524343 IBI524272:IBI524343 ILE524272:ILE524343 IVA524272:IVA524343 JEW524272:JEW524343 JOS524272:JOS524343 JYO524272:JYO524343 KIK524272:KIK524343 KSG524272:KSG524343 LCC524272:LCC524343 LLY524272:LLY524343 LVU524272:LVU524343 MFQ524272:MFQ524343 MPM524272:MPM524343 MZI524272:MZI524343 NJE524272:NJE524343 NTA524272:NTA524343 OCW524272:OCW524343 OMS524272:OMS524343 OWO524272:OWO524343 PGK524272:PGK524343 PQG524272:PQG524343 QAC524272:QAC524343 QJY524272:QJY524343 QTU524272:QTU524343 RDQ524272:RDQ524343 RNM524272:RNM524343 RXI524272:RXI524343 SHE524272:SHE524343 SRA524272:SRA524343 TAW524272:TAW524343 TKS524272:TKS524343 TUO524272:TUO524343 UEK524272:UEK524343 UOG524272:UOG524343 UYC524272:UYC524343 VHY524272:VHY524343 VRU524272:VRU524343 WBQ524272:WBQ524343 WLM524272:WLM524343 WVI524272:WVI524343 A589808:A589879 IW589808:IW589879 SS589808:SS589879 ACO589808:ACO589879 AMK589808:AMK589879 AWG589808:AWG589879 BGC589808:BGC589879 BPY589808:BPY589879 BZU589808:BZU589879 CJQ589808:CJQ589879 CTM589808:CTM589879 DDI589808:DDI589879 DNE589808:DNE589879 DXA589808:DXA589879 EGW589808:EGW589879 EQS589808:EQS589879 FAO589808:FAO589879 FKK589808:FKK589879 FUG589808:FUG589879 GEC589808:GEC589879 GNY589808:GNY589879 GXU589808:GXU589879 HHQ589808:HHQ589879 HRM589808:HRM589879 IBI589808:IBI589879 ILE589808:ILE589879 IVA589808:IVA589879 JEW589808:JEW589879 JOS589808:JOS589879 JYO589808:JYO589879 KIK589808:KIK589879 KSG589808:KSG589879 LCC589808:LCC589879 LLY589808:LLY589879 LVU589808:LVU589879 MFQ589808:MFQ589879 MPM589808:MPM589879 MZI589808:MZI589879 NJE589808:NJE589879 NTA589808:NTA589879 OCW589808:OCW589879 OMS589808:OMS589879 OWO589808:OWO589879 PGK589808:PGK589879 PQG589808:PQG589879 QAC589808:QAC589879 QJY589808:QJY589879 QTU589808:QTU589879 RDQ589808:RDQ589879 RNM589808:RNM589879 RXI589808:RXI589879 SHE589808:SHE589879 SRA589808:SRA589879 TAW589808:TAW589879 TKS589808:TKS589879 TUO589808:TUO589879 UEK589808:UEK589879 UOG589808:UOG589879 UYC589808:UYC589879 VHY589808:VHY589879 VRU589808:VRU589879 WBQ589808:WBQ589879 WLM589808:WLM589879 WVI589808:WVI589879 A655344:A655415 IW655344:IW655415 SS655344:SS655415 ACO655344:ACO655415 AMK655344:AMK655415 AWG655344:AWG655415 BGC655344:BGC655415 BPY655344:BPY655415 BZU655344:BZU655415 CJQ655344:CJQ655415 CTM655344:CTM655415 DDI655344:DDI655415 DNE655344:DNE655415 DXA655344:DXA655415 EGW655344:EGW655415 EQS655344:EQS655415 FAO655344:FAO655415 FKK655344:FKK655415 FUG655344:FUG655415 GEC655344:GEC655415 GNY655344:GNY655415 GXU655344:GXU655415 HHQ655344:HHQ655415 HRM655344:HRM655415 IBI655344:IBI655415 ILE655344:ILE655415 IVA655344:IVA655415 JEW655344:JEW655415 JOS655344:JOS655415 JYO655344:JYO655415 KIK655344:KIK655415 KSG655344:KSG655415 LCC655344:LCC655415 LLY655344:LLY655415 LVU655344:LVU655415 MFQ655344:MFQ655415 MPM655344:MPM655415 MZI655344:MZI655415 NJE655344:NJE655415 NTA655344:NTA655415 OCW655344:OCW655415 OMS655344:OMS655415 OWO655344:OWO655415 PGK655344:PGK655415 PQG655344:PQG655415 QAC655344:QAC655415 QJY655344:QJY655415 QTU655344:QTU655415 RDQ655344:RDQ655415 RNM655344:RNM655415 RXI655344:RXI655415 SHE655344:SHE655415 SRA655344:SRA655415 TAW655344:TAW655415 TKS655344:TKS655415 TUO655344:TUO655415 UEK655344:UEK655415 UOG655344:UOG655415 UYC655344:UYC655415 VHY655344:VHY655415 VRU655344:VRU655415 WBQ655344:WBQ655415 WLM655344:WLM655415 WVI655344:WVI655415 A720880:A720951 IW720880:IW720951 SS720880:SS720951 ACO720880:ACO720951 AMK720880:AMK720951 AWG720880:AWG720951 BGC720880:BGC720951 BPY720880:BPY720951 BZU720880:BZU720951 CJQ720880:CJQ720951 CTM720880:CTM720951 DDI720880:DDI720951 DNE720880:DNE720951 DXA720880:DXA720951 EGW720880:EGW720951 EQS720880:EQS720951 FAO720880:FAO720951 FKK720880:FKK720951 FUG720880:FUG720951 GEC720880:GEC720951 GNY720880:GNY720951 GXU720880:GXU720951 HHQ720880:HHQ720951 HRM720880:HRM720951 IBI720880:IBI720951 ILE720880:ILE720951 IVA720880:IVA720951 JEW720880:JEW720951 JOS720880:JOS720951 JYO720880:JYO720951 KIK720880:KIK720951 KSG720880:KSG720951 LCC720880:LCC720951 LLY720880:LLY720951 LVU720880:LVU720951 MFQ720880:MFQ720951 MPM720880:MPM720951 MZI720880:MZI720951 NJE720880:NJE720951 NTA720880:NTA720951 OCW720880:OCW720951 OMS720880:OMS720951 OWO720880:OWO720951 PGK720880:PGK720951 PQG720880:PQG720951 QAC720880:QAC720951 QJY720880:QJY720951 QTU720880:QTU720951 RDQ720880:RDQ720951 RNM720880:RNM720951 RXI720880:RXI720951 SHE720880:SHE720951 SRA720880:SRA720951 TAW720880:TAW720951 TKS720880:TKS720951 TUO720880:TUO720951 UEK720880:UEK720951 UOG720880:UOG720951 UYC720880:UYC720951 VHY720880:VHY720951 VRU720880:VRU720951 WBQ720880:WBQ720951 WLM720880:WLM720951 WVI720880:WVI720951 A786416:A786487 IW786416:IW786487 SS786416:SS786487 ACO786416:ACO786487 AMK786416:AMK786487 AWG786416:AWG786487 BGC786416:BGC786487 BPY786416:BPY786487 BZU786416:BZU786487 CJQ786416:CJQ786487 CTM786416:CTM786487 DDI786416:DDI786487 DNE786416:DNE786487 DXA786416:DXA786487 EGW786416:EGW786487 EQS786416:EQS786487 FAO786416:FAO786487 FKK786416:FKK786487 FUG786416:FUG786487 GEC786416:GEC786487 GNY786416:GNY786487 GXU786416:GXU786487 HHQ786416:HHQ786487 HRM786416:HRM786487 IBI786416:IBI786487 ILE786416:ILE786487 IVA786416:IVA786487 JEW786416:JEW786487 JOS786416:JOS786487 JYO786416:JYO786487 KIK786416:KIK786487 KSG786416:KSG786487 LCC786416:LCC786487 LLY786416:LLY786487 LVU786416:LVU786487 MFQ786416:MFQ786487 MPM786416:MPM786487 MZI786416:MZI786487 NJE786416:NJE786487 NTA786416:NTA786487 OCW786416:OCW786487 OMS786416:OMS786487 OWO786416:OWO786487 PGK786416:PGK786487 PQG786416:PQG786487 QAC786416:QAC786487 QJY786416:QJY786487 QTU786416:QTU786487 RDQ786416:RDQ786487 RNM786416:RNM786487 RXI786416:RXI786487 SHE786416:SHE786487 SRA786416:SRA786487 TAW786416:TAW786487 TKS786416:TKS786487 TUO786416:TUO786487 UEK786416:UEK786487 UOG786416:UOG786487 UYC786416:UYC786487 VHY786416:VHY786487 VRU786416:VRU786487 WBQ786416:WBQ786487 WLM786416:WLM786487 WVI786416:WVI786487 A851952:A852023 IW851952:IW852023 SS851952:SS852023 ACO851952:ACO852023 AMK851952:AMK852023 AWG851952:AWG852023 BGC851952:BGC852023 BPY851952:BPY852023 BZU851952:BZU852023 CJQ851952:CJQ852023 CTM851952:CTM852023 DDI851952:DDI852023 DNE851952:DNE852023 DXA851952:DXA852023 EGW851952:EGW852023 EQS851952:EQS852023 FAO851952:FAO852023 FKK851952:FKK852023 FUG851952:FUG852023 GEC851952:GEC852023 GNY851952:GNY852023 GXU851952:GXU852023 HHQ851952:HHQ852023 HRM851952:HRM852023 IBI851952:IBI852023 ILE851952:ILE852023 IVA851952:IVA852023 JEW851952:JEW852023 JOS851952:JOS852023 JYO851952:JYO852023 KIK851952:KIK852023 KSG851952:KSG852023 LCC851952:LCC852023 LLY851952:LLY852023 LVU851952:LVU852023 MFQ851952:MFQ852023 MPM851952:MPM852023 MZI851952:MZI852023 NJE851952:NJE852023 NTA851952:NTA852023 OCW851952:OCW852023 OMS851952:OMS852023 OWO851952:OWO852023 PGK851952:PGK852023 PQG851952:PQG852023 QAC851952:QAC852023 QJY851952:QJY852023 QTU851952:QTU852023 RDQ851952:RDQ852023 RNM851952:RNM852023 RXI851952:RXI852023 SHE851952:SHE852023 SRA851952:SRA852023 TAW851952:TAW852023 TKS851952:TKS852023 TUO851952:TUO852023 UEK851952:UEK852023 UOG851952:UOG852023 UYC851952:UYC852023 VHY851952:VHY852023 VRU851952:VRU852023 WBQ851952:WBQ852023 WLM851952:WLM852023 WVI851952:WVI852023 A917488:A917559 IW917488:IW917559 SS917488:SS917559 ACO917488:ACO917559 AMK917488:AMK917559 AWG917488:AWG917559 BGC917488:BGC917559 BPY917488:BPY917559 BZU917488:BZU917559 CJQ917488:CJQ917559 CTM917488:CTM917559 DDI917488:DDI917559 DNE917488:DNE917559 DXA917488:DXA917559 EGW917488:EGW917559 EQS917488:EQS917559 FAO917488:FAO917559 FKK917488:FKK917559 FUG917488:FUG917559 GEC917488:GEC917559 GNY917488:GNY917559 GXU917488:GXU917559 HHQ917488:HHQ917559 HRM917488:HRM917559 IBI917488:IBI917559 ILE917488:ILE917559 IVA917488:IVA917559 JEW917488:JEW917559 JOS917488:JOS917559 JYO917488:JYO917559 KIK917488:KIK917559 KSG917488:KSG917559 LCC917488:LCC917559 LLY917488:LLY917559 LVU917488:LVU917559 MFQ917488:MFQ917559 MPM917488:MPM917559 MZI917488:MZI917559 NJE917488:NJE917559 NTA917488:NTA917559 OCW917488:OCW917559 OMS917488:OMS917559 OWO917488:OWO917559 PGK917488:PGK917559 PQG917488:PQG917559 QAC917488:QAC917559 QJY917488:QJY917559 QTU917488:QTU917559 RDQ917488:RDQ917559 RNM917488:RNM917559 RXI917488:RXI917559 SHE917488:SHE917559 SRA917488:SRA917559 TAW917488:TAW917559 TKS917488:TKS917559 TUO917488:TUO917559 UEK917488:UEK917559 UOG917488:UOG917559 UYC917488:UYC917559 VHY917488:VHY917559 VRU917488:VRU917559 WBQ917488:WBQ917559 WLM917488:WLM917559 WVI917488:WVI917559 A983024:A983095 IW983024:IW983095 SS983024:SS983095 ACO983024:ACO983095 AMK983024:AMK983095 AWG983024:AWG983095 BGC983024:BGC983095 BPY983024:BPY983095 BZU983024:BZU983095 CJQ983024:CJQ983095 CTM983024:CTM983095 DDI983024:DDI983095 DNE983024:DNE983095 DXA983024:DXA983095 EGW983024:EGW983095 EQS983024:EQS983095 FAO983024:FAO983095 FKK983024:FKK983095 FUG983024:FUG983095 GEC983024:GEC983095 GNY983024:GNY983095 GXU983024:GXU983095 HHQ983024:HHQ983095 HRM983024:HRM983095 IBI983024:IBI983095 ILE983024:ILE983095 IVA983024:IVA983095 JEW983024:JEW983095 JOS983024:JOS983095 JYO983024:JYO983095 KIK983024:KIK983095 KSG983024:KSG983095 LCC983024:LCC983095 LLY983024:LLY983095 LVU983024:LVU983095 MFQ983024:MFQ983095 MPM983024:MPM983095 MZI983024:MZI983095 NJE983024:NJE983095 NTA983024:NTA983095 OCW983024:OCW983095 OMS983024:OMS983095 OWO983024:OWO983095 PGK983024:PGK983095 PQG983024:PQG983095 QAC983024:QAC983095 QJY983024:QJY983095 QTU983024:QTU983095 RDQ983024:RDQ983095 RNM983024:RNM983095 RXI983024:RXI983095 SHE983024:SHE983095 SRA983024:SRA983095 TAW983024:TAW983095 TKS983024:TKS983095 TUO983024:TUO983095 UEK983024:UEK983095 UOG983024:UOG983095 UYC983024:UYC983095 VHY983024:VHY983095 VRU983024:VRU983095 WBQ983024:WBQ983095 WLM983024:WLM983095 A2:A482 IW2:IW69 WVI2:WVI69 WLM2:WLM69 WBQ2:WBQ69 VRU2:VRU69 VHY2:VHY69 UYC2:UYC69 UOG2:UOG69 UEK2:UEK69 TUO2:TUO69 TKS2:TKS69 TAW2:TAW69 SRA2:SRA69 SHE2:SHE69 RXI2:RXI69 RNM2:RNM69 RDQ2:RDQ69 QTU2:QTU69 QJY2:QJY69 QAC2:QAC69 PQG2:PQG69 PGK2:PGK69 OWO2:OWO69 OMS2:OMS69 OCW2:OCW69 NTA2:NTA69 NJE2:NJE69 MZI2:MZI69 MPM2:MPM69 MFQ2:MFQ69 LVU2:LVU69 LLY2:LLY69 LCC2:LCC69 KSG2:KSG69 KIK2:KIK69 JYO2:JYO69 JOS2:JOS69 JEW2:JEW69 IVA2:IVA69 ILE2:ILE69 IBI2:IBI69 HRM2:HRM69 HHQ2:HHQ69 GXU2:GXU69 GNY2:GNY69 GEC2:GEC69 FUG2:FUG69 FKK2:FKK69 FAO2:FAO69 EQS2:EQS69 EGW2:EGW69 DXA2:DXA69 DNE2:DNE69 DDI2:DDI69 CTM2:CTM69 CJQ2:CJQ69 BZU2:BZU69 BPY2:BPY69 BGC2:BGC69 AWG2:AWG69 AMK2:AMK69 ACO2:ACO69 SS2:SS69" xr:uid="{F1B13199-FE1E-4039-85D4-029390FC6589}">
      <formula1>$AE$2:$AE$19</formula1>
    </dataValidation>
    <dataValidation type="list" allowBlank="1" showInputMessage="1" showErrorMessage="1" sqref="X64345:X64410 JT64345:JT64410 TP64345:TP64410 ADL64345:ADL64410 ANH64345:ANH64410 AXD64345:AXD64410 BGZ64345:BGZ64410 BQV64345:BQV64410 CAR64345:CAR64410 CKN64345:CKN64410 CUJ64345:CUJ64410 DEF64345:DEF64410 DOB64345:DOB64410 DXX64345:DXX64410 EHT64345:EHT64410 ERP64345:ERP64410 FBL64345:FBL64410 FLH64345:FLH64410 FVD64345:FVD64410 GEZ64345:GEZ64410 GOV64345:GOV64410 GYR64345:GYR64410 HIN64345:HIN64410 HSJ64345:HSJ64410 ICF64345:ICF64410 IMB64345:IMB64410 IVX64345:IVX64410 JFT64345:JFT64410 JPP64345:JPP64410 JZL64345:JZL64410 KJH64345:KJH64410 KTD64345:KTD64410 LCZ64345:LCZ64410 LMV64345:LMV64410 LWR64345:LWR64410 MGN64345:MGN64410 MQJ64345:MQJ64410 NAF64345:NAF64410 NKB64345:NKB64410 NTX64345:NTX64410 ODT64345:ODT64410 ONP64345:ONP64410 OXL64345:OXL64410 PHH64345:PHH64410 PRD64345:PRD64410 QAZ64345:QAZ64410 QKV64345:QKV64410 QUR64345:QUR64410 REN64345:REN64410 ROJ64345:ROJ64410 RYF64345:RYF64410 SIB64345:SIB64410 SRX64345:SRX64410 TBT64345:TBT64410 TLP64345:TLP64410 TVL64345:TVL64410 UFH64345:UFH64410 UPD64345:UPD64410 UYZ64345:UYZ64410 VIV64345:VIV64410 VSR64345:VSR64410 WCN64345:WCN64410 WMJ64345:WMJ64410 WWF64345:WWF64410 X129881:X129946 JT129881:JT129946 TP129881:TP129946 ADL129881:ADL129946 ANH129881:ANH129946 AXD129881:AXD129946 BGZ129881:BGZ129946 BQV129881:BQV129946 CAR129881:CAR129946 CKN129881:CKN129946 CUJ129881:CUJ129946 DEF129881:DEF129946 DOB129881:DOB129946 DXX129881:DXX129946 EHT129881:EHT129946 ERP129881:ERP129946 FBL129881:FBL129946 FLH129881:FLH129946 FVD129881:FVD129946 GEZ129881:GEZ129946 GOV129881:GOV129946 GYR129881:GYR129946 HIN129881:HIN129946 HSJ129881:HSJ129946 ICF129881:ICF129946 IMB129881:IMB129946 IVX129881:IVX129946 JFT129881:JFT129946 JPP129881:JPP129946 JZL129881:JZL129946 KJH129881:KJH129946 KTD129881:KTD129946 LCZ129881:LCZ129946 LMV129881:LMV129946 LWR129881:LWR129946 MGN129881:MGN129946 MQJ129881:MQJ129946 NAF129881:NAF129946 NKB129881:NKB129946 NTX129881:NTX129946 ODT129881:ODT129946 ONP129881:ONP129946 OXL129881:OXL129946 PHH129881:PHH129946 PRD129881:PRD129946 QAZ129881:QAZ129946 QKV129881:QKV129946 QUR129881:QUR129946 REN129881:REN129946 ROJ129881:ROJ129946 RYF129881:RYF129946 SIB129881:SIB129946 SRX129881:SRX129946 TBT129881:TBT129946 TLP129881:TLP129946 TVL129881:TVL129946 UFH129881:UFH129946 UPD129881:UPD129946 UYZ129881:UYZ129946 VIV129881:VIV129946 VSR129881:VSR129946 WCN129881:WCN129946 WMJ129881:WMJ129946 WWF129881:WWF129946 X195417:X195482 JT195417:JT195482 TP195417:TP195482 ADL195417:ADL195482 ANH195417:ANH195482 AXD195417:AXD195482 BGZ195417:BGZ195482 BQV195417:BQV195482 CAR195417:CAR195482 CKN195417:CKN195482 CUJ195417:CUJ195482 DEF195417:DEF195482 DOB195417:DOB195482 DXX195417:DXX195482 EHT195417:EHT195482 ERP195417:ERP195482 FBL195417:FBL195482 FLH195417:FLH195482 FVD195417:FVD195482 GEZ195417:GEZ195482 GOV195417:GOV195482 GYR195417:GYR195482 HIN195417:HIN195482 HSJ195417:HSJ195482 ICF195417:ICF195482 IMB195417:IMB195482 IVX195417:IVX195482 JFT195417:JFT195482 JPP195417:JPP195482 JZL195417:JZL195482 KJH195417:KJH195482 KTD195417:KTD195482 LCZ195417:LCZ195482 LMV195417:LMV195482 LWR195417:LWR195482 MGN195417:MGN195482 MQJ195417:MQJ195482 NAF195417:NAF195482 NKB195417:NKB195482 NTX195417:NTX195482 ODT195417:ODT195482 ONP195417:ONP195482 OXL195417:OXL195482 PHH195417:PHH195482 PRD195417:PRD195482 QAZ195417:QAZ195482 QKV195417:QKV195482 QUR195417:QUR195482 REN195417:REN195482 ROJ195417:ROJ195482 RYF195417:RYF195482 SIB195417:SIB195482 SRX195417:SRX195482 TBT195417:TBT195482 TLP195417:TLP195482 TVL195417:TVL195482 UFH195417:UFH195482 UPD195417:UPD195482 UYZ195417:UYZ195482 VIV195417:VIV195482 VSR195417:VSR195482 WCN195417:WCN195482 WMJ195417:WMJ195482 WWF195417:WWF195482 X260953:X261018 JT260953:JT261018 TP260953:TP261018 ADL260953:ADL261018 ANH260953:ANH261018 AXD260953:AXD261018 BGZ260953:BGZ261018 BQV260953:BQV261018 CAR260953:CAR261018 CKN260953:CKN261018 CUJ260953:CUJ261018 DEF260953:DEF261018 DOB260953:DOB261018 DXX260953:DXX261018 EHT260953:EHT261018 ERP260953:ERP261018 FBL260953:FBL261018 FLH260953:FLH261018 FVD260953:FVD261018 GEZ260953:GEZ261018 GOV260953:GOV261018 GYR260953:GYR261018 HIN260953:HIN261018 HSJ260953:HSJ261018 ICF260953:ICF261018 IMB260953:IMB261018 IVX260953:IVX261018 JFT260953:JFT261018 JPP260953:JPP261018 JZL260953:JZL261018 KJH260953:KJH261018 KTD260953:KTD261018 LCZ260953:LCZ261018 LMV260953:LMV261018 LWR260953:LWR261018 MGN260953:MGN261018 MQJ260953:MQJ261018 NAF260953:NAF261018 NKB260953:NKB261018 NTX260953:NTX261018 ODT260953:ODT261018 ONP260953:ONP261018 OXL260953:OXL261018 PHH260953:PHH261018 PRD260953:PRD261018 QAZ260953:QAZ261018 QKV260953:QKV261018 QUR260953:QUR261018 REN260953:REN261018 ROJ260953:ROJ261018 RYF260953:RYF261018 SIB260953:SIB261018 SRX260953:SRX261018 TBT260953:TBT261018 TLP260953:TLP261018 TVL260953:TVL261018 UFH260953:UFH261018 UPD260953:UPD261018 UYZ260953:UYZ261018 VIV260953:VIV261018 VSR260953:VSR261018 WCN260953:WCN261018 WMJ260953:WMJ261018 WWF260953:WWF261018 X326489:X326554 JT326489:JT326554 TP326489:TP326554 ADL326489:ADL326554 ANH326489:ANH326554 AXD326489:AXD326554 BGZ326489:BGZ326554 BQV326489:BQV326554 CAR326489:CAR326554 CKN326489:CKN326554 CUJ326489:CUJ326554 DEF326489:DEF326554 DOB326489:DOB326554 DXX326489:DXX326554 EHT326489:EHT326554 ERP326489:ERP326554 FBL326489:FBL326554 FLH326489:FLH326554 FVD326489:FVD326554 GEZ326489:GEZ326554 GOV326489:GOV326554 GYR326489:GYR326554 HIN326489:HIN326554 HSJ326489:HSJ326554 ICF326489:ICF326554 IMB326489:IMB326554 IVX326489:IVX326554 JFT326489:JFT326554 JPP326489:JPP326554 JZL326489:JZL326554 KJH326489:KJH326554 KTD326489:KTD326554 LCZ326489:LCZ326554 LMV326489:LMV326554 LWR326489:LWR326554 MGN326489:MGN326554 MQJ326489:MQJ326554 NAF326489:NAF326554 NKB326489:NKB326554 NTX326489:NTX326554 ODT326489:ODT326554 ONP326489:ONP326554 OXL326489:OXL326554 PHH326489:PHH326554 PRD326489:PRD326554 QAZ326489:QAZ326554 QKV326489:QKV326554 QUR326489:QUR326554 REN326489:REN326554 ROJ326489:ROJ326554 RYF326489:RYF326554 SIB326489:SIB326554 SRX326489:SRX326554 TBT326489:TBT326554 TLP326489:TLP326554 TVL326489:TVL326554 UFH326489:UFH326554 UPD326489:UPD326554 UYZ326489:UYZ326554 VIV326489:VIV326554 VSR326489:VSR326554 WCN326489:WCN326554 WMJ326489:WMJ326554 WWF326489:WWF326554 X392025:X392090 JT392025:JT392090 TP392025:TP392090 ADL392025:ADL392090 ANH392025:ANH392090 AXD392025:AXD392090 BGZ392025:BGZ392090 BQV392025:BQV392090 CAR392025:CAR392090 CKN392025:CKN392090 CUJ392025:CUJ392090 DEF392025:DEF392090 DOB392025:DOB392090 DXX392025:DXX392090 EHT392025:EHT392090 ERP392025:ERP392090 FBL392025:FBL392090 FLH392025:FLH392090 FVD392025:FVD392090 GEZ392025:GEZ392090 GOV392025:GOV392090 GYR392025:GYR392090 HIN392025:HIN392090 HSJ392025:HSJ392090 ICF392025:ICF392090 IMB392025:IMB392090 IVX392025:IVX392090 JFT392025:JFT392090 JPP392025:JPP392090 JZL392025:JZL392090 KJH392025:KJH392090 KTD392025:KTD392090 LCZ392025:LCZ392090 LMV392025:LMV392090 LWR392025:LWR392090 MGN392025:MGN392090 MQJ392025:MQJ392090 NAF392025:NAF392090 NKB392025:NKB392090 NTX392025:NTX392090 ODT392025:ODT392090 ONP392025:ONP392090 OXL392025:OXL392090 PHH392025:PHH392090 PRD392025:PRD392090 QAZ392025:QAZ392090 QKV392025:QKV392090 QUR392025:QUR392090 REN392025:REN392090 ROJ392025:ROJ392090 RYF392025:RYF392090 SIB392025:SIB392090 SRX392025:SRX392090 TBT392025:TBT392090 TLP392025:TLP392090 TVL392025:TVL392090 UFH392025:UFH392090 UPD392025:UPD392090 UYZ392025:UYZ392090 VIV392025:VIV392090 VSR392025:VSR392090 WCN392025:WCN392090 WMJ392025:WMJ392090 WWF392025:WWF392090 X457561:X457626 JT457561:JT457626 TP457561:TP457626 ADL457561:ADL457626 ANH457561:ANH457626 AXD457561:AXD457626 BGZ457561:BGZ457626 BQV457561:BQV457626 CAR457561:CAR457626 CKN457561:CKN457626 CUJ457561:CUJ457626 DEF457561:DEF457626 DOB457561:DOB457626 DXX457561:DXX457626 EHT457561:EHT457626 ERP457561:ERP457626 FBL457561:FBL457626 FLH457561:FLH457626 FVD457561:FVD457626 GEZ457561:GEZ457626 GOV457561:GOV457626 GYR457561:GYR457626 HIN457561:HIN457626 HSJ457561:HSJ457626 ICF457561:ICF457626 IMB457561:IMB457626 IVX457561:IVX457626 JFT457561:JFT457626 JPP457561:JPP457626 JZL457561:JZL457626 KJH457561:KJH457626 KTD457561:KTD457626 LCZ457561:LCZ457626 LMV457561:LMV457626 LWR457561:LWR457626 MGN457561:MGN457626 MQJ457561:MQJ457626 NAF457561:NAF457626 NKB457561:NKB457626 NTX457561:NTX457626 ODT457561:ODT457626 ONP457561:ONP457626 OXL457561:OXL457626 PHH457561:PHH457626 PRD457561:PRD457626 QAZ457561:QAZ457626 QKV457561:QKV457626 QUR457561:QUR457626 REN457561:REN457626 ROJ457561:ROJ457626 RYF457561:RYF457626 SIB457561:SIB457626 SRX457561:SRX457626 TBT457561:TBT457626 TLP457561:TLP457626 TVL457561:TVL457626 UFH457561:UFH457626 UPD457561:UPD457626 UYZ457561:UYZ457626 VIV457561:VIV457626 VSR457561:VSR457626 WCN457561:WCN457626 WMJ457561:WMJ457626 WWF457561:WWF457626 X523097:X523162 JT523097:JT523162 TP523097:TP523162 ADL523097:ADL523162 ANH523097:ANH523162 AXD523097:AXD523162 BGZ523097:BGZ523162 BQV523097:BQV523162 CAR523097:CAR523162 CKN523097:CKN523162 CUJ523097:CUJ523162 DEF523097:DEF523162 DOB523097:DOB523162 DXX523097:DXX523162 EHT523097:EHT523162 ERP523097:ERP523162 FBL523097:FBL523162 FLH523097:FLH523162 FVD523097:FVD523162 GEZ523097:GEZ523162 GOV523097:GOV523162 GYR523097:GYR523162 HIN523097:HIN523162 HSJ523097:HSJ523162 ICF523097:ICF523162 IMB523097:IMB523162 IVX523097:IVX523162 JFT523097:JFT523162 JPP523097:JPP523162 JZL523097:JZL523162 KJH523097:KJH523162 KTD523097:KTD523162 LCZ523097:LCZ523162 LMV523097:LMV523162 LWR523097:LWR523162 MGN523097:MGN523162 MQJ523097:MQJ523162 NAF523097:NAF523162 NKB523097:NKB523162 NTX523097:NTX523162 ODT523097:ODT523162 ONP523097:ONP523162 OXL523097:OXL523162 PHH523097:PHH523162 PRD523097:PRD523162 QAZ523097:QAZ523162 QKV523097:QKV523162 QUR523097:QUR523162 REN523097:REN523162 ROJ523097:ROJ523162 RYF523097:RYF523162 SIB523097:SIB523162 SRX523097:SRX523162 TBT523097:TBT523162 TLP523097:TLP523162 TVL523097:TVL523162 UFH523097:UFH523162 UPD523097:UPD523162 UYZ523097:UYZ523162 VIV523097:VIV523162 VSR523097:VSR523162 WCN523097:WCN523162 WMJ523097:WMJ523162 WWF523097:WWF523162 X588633:X588698 JT588633:JT588698 TP588633:TP588698 ADL588633:ADL588698 ANH588633:ANH588698 AXD588633:AXD588698 BGZ588633:BGZ588698 BQV588633:BQV588698 CAR588633:CAR588698 CKN588633:CKN588698 CUJ588633:CUJ588698 DEF588633:DEF588698 DOB588633:DOB588698 DXX588633:DXX588698 EHT588633:EHT588698 ERP588633:ERP588698 FBL588633:FBL588698 FLH588633:FLH588698 FVD588633:FVD588698 GEZ588633:GEZ588698 GOV588633:GOV588698 GYR588633:GYR588698 HIN588633:HIN588698 HSJ588633:HSJ588698 ICF588633:ICF588698 IMB588633:IMB588698 IVX588633:IVX588698 JFT588633:JFT588698 JPP588633:JPP588698 JZL588633:JZL588698 KJH588633:KJH588698 KTD588633:KTD588698 LCZ588633:LCZ588698 LMV588633:LMV588698 LWR588633:LWR588698 MGN588633:MGN588698 MQJ588633:MQJ588698 NAF588633:NAF588698 NKB588633:NKB588698 NTX588633:NTX588698 ODT588633:ODT588698 ONP588633:ONP588698 OXL588633:OXL588698 PHH588633:PHH588698 PRD588633:PRD588698 QAZ588633:QAZ588698 QKV588633:QKV588698 QUR588633:QUR588698 REN588633:REN588698 ROJ588633:ROJ588698 RYF588633:RYF588698 SIB588633:SIB588698 SRX588633:SRX588698 TBT588633:TBT588698 TLP588633:TLP588698 TVL588633:TVL588698 UFH588633:UFH588698 UPD588633:UPD588698 UYZ588633:UYZ588698 VIV588633:VIV588698 VSR588633:VSR588698 WCN588633:WCN588698 WMJ588633:WMJ588698 WWF588633:WWF588698 X654169:X654234 JT654169:JT654234 TP654169:TP654234 ADL654169:ADL654234 ANH654169:ANH654234 AXD654169:AXD654234 BGZ654169:BGZ654234 BQV654169:BQV654234 CAR654169:CAR654234 CKN654169:CKN654234 CUJ654169:CUJ654234 DEF654169:DEF654234 DOB654169:DOB654234 DXX654169:DXX654234 EHT654169:EHT654234 ERP654169:ERP654234 FBL654169:FBL654234 FLH654169:FLH654234 FVD654169:FVD654234 GEZ654169:GEZ654234 GOV654169:GOV654234 GYR654169:GYR654234 HIN654169:HIN654234 HSJ654169:HSJ654234 ICF654169:ICF654234 IMB654169:IMB654234 IVX654169:IVX654234 JFT654169:JFT654234 JPP654169:JPP654234 JZL654169:JZL654234 KJH654169:KJH654234 KTD654169:KTD654234 LCZ654169:LCZ654234 LMV654169:LMV654234 LWR654169:LWR654234 MGN654169:MGN654234 MQJ654169:MQJ654234 NAF654169:NAF654234 NKB654169:NKB654234 NTX654169:NTX654234 ODT654169:ODT654234 ONP654169:ONP654234 OXL654169:OXL654234 PHH654169:PHH654234 PRD654169:PRD654234 QAZ654169:QAZ654234 QKV654169:QKV654234 QUR654169:QUR654234 REN654169:REN654234 ROJ654169:ROJ654234 RYF654169:RYF654234 SIB654169:SIB654234 SRX654169:SRX654234 TBT654169:TBT654234 TLP654169:TLP654234 TVL654169:TVL654234 UFH654169:UFH654234 UPD654169:UPD654234 UYZ654169:UYZ654234 VIV654169:VIV654234 VSR654169:VSR654234 WCN654169:WCN654234 WMJ654169:WMJ654234 WWF654169:WWF654234 X719705:X719770 JT719705:JT719770 TP719705:TP719770 ADL719705:ADL719770 ANH719705:ANH719770 AXD719705:AXD719770 BGZ719705:BGZ719770 BQV719705:BQV719770 CAR719705:CAR719770 CKN719705:CKN719770 CUJ719705:CUJ719770 DEF719705:DEF719770 DOB719705:DOB719770 DXX719705:DXX719770 EHT719705:EHT719770 ERP719705:ERP719770 FBL719705:FBL719770 FLH719705:FLH719770 FVD719705:FVD719770 GEZ719705:GEZ719770 GOV719705:GOV719770 GYR719705:GYR719770 HIN719705:HIN719770 HSJ719705:HSJ719770 ICF719705:ICF719770 IMB719705:IMB719770 IVX719705:IVX719770 JFT719705:JFT719770 JPP719705:JPP719770 JZL719705:JZL719770 KJH719705:KJH719770 KTD719705:KTD719770 LCZ719705:LCZ719770 LMV719705:LMV719770 LWR719705:LWR719770 MGN719705:MGN719770 MQJ719705:MQJ719770 NAF719705:NAF719770 NKB719705:NKB719770 NTX719705:NTX719770 ODT719705:ODT719770 ONP719705:ONP719770 OXL719705:OXL719770 PHH719705:PHH719770 PRD719705:PRD719770 QAZ719705:QAZ719770 QKV719705:QKV719770 QUR719705:QUR719770 REN719705:REN719770 ROJ719705:ROJ719770 RYF719705:RYF719770 SIB719705:SIB719770 SRX719705:SRX719770 TBT719705:TBT719770 TLP719705:TLP719770 TVL719705:TVL719770 UFH719705:UFH719770 UPD719705:UPD719770 UYZ719705:UYZ719770 VIV719705:VIV719770 VSR719705:VSR719770 WCN719705:WCN719770 WMJ719705:WMJ719770 WWF719705:WWF719770 X785241:X785306 JT785241:JT785306 TP785241:TP785306 ADL785241:ADL785306 ANH785241:ANH785306 AXD785241:AXD785306 BGZ785241:BGZ785306 BQV785241:BQV785306 CAR785241:CAR785306 CKN785241:CKN785306 CUJ785241:CUJ785306 DEF785241:DEF785306 DOB785241:DOB785306 DXX785241:DXX785306 EHT785241:EHT785306 ERP785241:ERP785306 FBL785241:FBL785306 FLH785241:FLH785306 FVD785241:FVD785306 GEZ785241:GEZ785306 GOV785241:GOV785306 GYR785241:GYR785306 HIN785241:HIN785306 HSJ785241:HSJ785306 ICF785241:ICF785306 IMB785241:IMB785306 IVX785241:IVX785306 JFT785241:JFT785306 JPP785241:JPP785306 JZL785241:JZL785306 KJH785241:KJH785306 KTD785241:KTD785306 LCZ785241:LCZ785306 LMV785241:LMV785306 LWR785241:LWR785306 MGN785241:MGN785306 MQJ785241:MQJ785306 NAF785241:NAF785306 NKB785241:NKB785306 NTX785241:NTX785306 ODT785241:ODT785306 ONP785241:ONP785306 OXL785241:OXL785306 PHH785241:PHH785306 PRD785241:PRD785306 QAZ785241:QAZ785306 QKV785241:QKV785306 QUR785241:QUR785306 REN785241:REN785306 ROJ785241:ROJ785306 RYF785241:RYF785306 SIB785241:SIB785306 SRX785241:SRX785306 TBT785241:TBT785306 TLP785241:TLP785306 TVL785241:TVL785306 UFH785241:UFH785306 UPD785241:UPD785306 UYZ785241:UYZ785306 VIV785241:VIV785306 VSR785241:VSR785306 WCN785241:WCN785306 WMJ785241:WMJ785306 WWF785241:WWF785306 X850777:X850842 JT850777:JT850842 TP850777:TP850842 ADL850777:ADL850842 ANH850777:ANH850842 AXD850777:AXD850842 BGZ850777:BGZ850842 BQV850777:BQV850842 CAR850777:CAR850842 CKN850777:CKN850842 CUJ850777:CUJ850842 DEF850777:DEF850842 DOB850777:DOB850842 DXX850777:DXX850842 EHT850777:EHT850842 ERP850777:ERP850842 FBL850777:FBL850842 FLH850777:FLH850842 FVD850777:FVD850842 GEZ850777:GEZ850842 GOV850777:GOV850842 GYR850777:GYR850842 HIN850777:HIN850842 HSJ850777:HSJ850842 ICF850777:ICF850842 IMB850777:IMB850842 IVX850777:IVX850842 JFT850777:JFT850842 JPP850777:JPP850842 JZL850777:JZL850842 KJH850777:KJH850842 KTD850777:KTD850842 LCZ850777:LCZ850842 LMV850777:LMV850842 LWR850777:LWR850842 MGN850777:MGN850842 MQJ850777:MQJ850842 NAF850777:NAF850842 NKB850777:NKB850842 NTX850777:NTX850842 ODT850777:ODT850842 ONP850777:ONP850842 OXL850777:OXL850842 PHH850777:PHH850842 PRD850777:PRD850842 QAZ850777:QAZ850842 QKV850777:QKV850842 QUR850777:QUR850842 REN850777:REN850842 ROJ850777:ROJ850842 RYF850777:RYF850842 SIB850777:SIB850842 SRX850777:SRX850842 TBT850777:TBT850842 TLP850777:TLP850842 TVL850777:TVL850842 UFH850777:UFH850842 UPD850777:UPD850842 UYZ850777:UYZ850842 VIV850777:VIV850842 VSR850777:VSR850842 WCN850777:WCN850842 WMJ850777:WMJ850842 WWF850777:WWF850842 X916313:X916378 JT916313:JT916378 TP916313:TP916378 ADL916313:ADL916378 ANH916313:ANH916378 AXD916313:AXD916378 BGZ916313:BGZ916378 BQV916313:BQV916378 CAR916313:CAR916378 CKN916313:CKN916378 CUJ916313:CUJ916378 DEF916313:DEF916378 DOB916313:DOB916378 DXX916313:DXX916378 EHT916313:EHT916378 ERP916313:ERP916378 FBL916313:FBL916378 FLH916313:FLH916378 FVD916313:FVD916378 GEZ916313:GEZ916378 GOV916313:GOV916378 GYR916313:GYR916378 HIN916313:HIN916378 HSJ916313:HSJ916378 ICF916313:ICF916378 IMB916313:IMB916378 IVX916313:IVX916378 JFT916313:JFT916378 JPP916313:JPP916378 JZL916313:JZL916378 KJH916313:KJH916378 KTD916313:KTD916378 LCZ916313:LCZ916378 LMV916313:LMV916378 LWR916313:LWR916378 MGN916313:MGN916378 MQJ916313:MQJ916378 NAF916313:NAF916378 NKB916313:NKB916378 NTX916313:NTX916378 ODT916313:ODT916378 ONP916313:ONP916378 OXL916313:OXL916378 PHH916313:PHH916378 PRD916313:PRD916378 QAZ916313:QAZ916378 QKV916313:QKV916378 QUR916313:QUR916378 REN916313:REN916378 ROJ916313:ROJ916378 RYF916313:RYF916378 SIB916313:SIB916378 SRX916313:SRX916378 TBT916313:TBT916378 TLP916313:TLP916378 TVL916313:TVL916378 UFH916313:UFH916378 UPD916313:UPD916378 UYZ916313:UYZ916378 VIV916313:VIV916378 VSR916313:VSR916378 WCN916313:WCN916378 WMJ916313:WMJ916378 WWF916313:WWF916378 X981849:X981914 JT981849:JT981914 TP981849:TP981914 ADL981849:ADL981914 ANH981849:ANH981914 AXD981849:AXD981914 BGZ981849:BGZ981914 BQV981849:BQV981914 CAR981849:CAR981914 CKN981849:CKN981914 CUJ981849:CUJ981914 DEF981849:DEF981914 DOB981849:DOB981914 DXX981849:DXX981914 EHT981849:EHT981914 ERP981849:ERP981914 FBL981849:FBL981914 FLH981849:FLH981914 FVD981849:FVD981914 GEZ981849:GEZ981914 GOV981849:GOV981914 GYR981849:GYR981914 HIN981849:HIN981914 HSJ981849:HSJ981914 ICF981849:ICF981914 IMB981849:IMB981914 IVX981849:IVX981914 JFT981849:JFT981914 JPP981849:JPP981914 JZL981849:JZL981914 KJH981849:KJH981914 KTD981849:KTD981914 LCZ981849:LCZ981914 LMV981849:LMV981914 LWR981849:LWR981914 MGN981849:MGN981914 MQJ981849:MQJ981914 NAF981849:NAF981914 NKB981849:NKB981914 NTX981849:NTX981914 ODT981849:ODT981914 ONP981849:ONP981914 OXL981849:OXL981914 PHH981849:PHH981914 PRD981849:PRD981914 QAZ981849:QAZ981914 QKV981849:QKV981914 QUR981849:QUR981914 REN981849:REN981914 ROJ981849:ROJ981914 RYF981849:RYF981914 SIB981849:SIB981914 SRX981849:SRX981914 TBT981849:TBT981914 TLP981849:TLP981914 TVL981849:TVL981914 UFH981849:UFH981914 UPD981849:UPD981914 UYZ981849:UYZ981914 VIV981849:VIV981914 VSR981849:VSR981914 WCN981849:WCN981914 WMJ981849:WMJ981914 WWF981849:WWF981914 X1047385:X1047450 JT1047385:JT1047450 TP1047385:TP1047450 ADL1047385:ADL1047450 ANH1047385:ANH1047450 AXD1047385:AXD1047450 BGZ1047385:BGZ1047450 BQV1047385:BQV1047450 CAR1047385:CAR1047450 CKN1047385:CKN1047450 CUJ1047385:CUJ1047450 DEF1047385:DEF1047450 DOB1047385:DOB1047450 DXX1047385:DXX1047450 EHT1047385:EHT1047450 ERP1047385:ERP1047450 FBL1047385:FBL1047450 FLH1047385:FLH1047450 FVD1047385:FVD1047450 GEZ1047385:GEZ1047450 GOV1047385:GOV1047450 GYR1047385:GYR1047450 HIN1047385:HIN1047450 HSJ1047385:HSJ1047450 ICF1047385:ICF1047450 IMB1047385:IMB1047450 IVX1047385:IVX1047450 JFT1047385:JFT1047450 JPP1047385:JPP1047450 JZL1047385:JZL1047450 KJH1047385:KJH1047450 KTD1047385:KTD1047450 LCZ1047385:LCZ1047450 LMV1047385:LMV1047450 LWR1047385:LWR1047450 MGN1047385:MGN1047450 MQJ1047385:MQJ1047450 NAF1047385:NAF1047450 NKB1047385:NKB1047450 NTX1047385:NTX1047450 ODT1047385:ODT1047450 ONP1047385:ONP1047450 OXL1047385:OXL1047450 PHH1047385:PHH1047450 PRD1047385:PRD1047450 QAZ1047385:QAZ1047450 QKV1047385:QKV1047450 QUR1047385:QUR1047450 REN1047385:REN1047450 ROJ1047385:ROJ1047450 RYF1047385:RYF1047450 SIB1047385:SIB1047450 SRX1047385:SRX1047450 TBT1047385:TBT1047450 TLP1047385:TLP1047450 TVL1047385:TVL1047450 UFH1047385:UFH1047450 UPD1047385:UPD1047450 UYZ1047385:UYZ1047450 VIV1047385:VIV1047450 VSR1047385:VSR1047450 WCN1047385:WCN1047450 WMJ1047385:WMJ1047450 WWF1047385:WWF1047450 WWF983024:WWF983089 X65520:X65585 JT65520:JT65585 TP65520:TP65585 ADL65520:ADL65585 ANH65520:ANH65585 AXD65520:AXD65585 BGZ65520:BGZ65585 BQV65520:BQV65585 CAR65520:CAR65585 CKN65520:CKN65585 CUJ65520:CUJ65585 DEF65520:DEF65585 DOB65520:DOB65585 DXX65520:DXX65585 EHT65520:EHT65585 ERP65520:ERP65585 FBL65520:FBL65585 FLH65520:FLH65585 FVD65520:FVD65585 GEZ65520:GEZ65585 GOV65520:GOV65585 GYR65520:GYR65585 HIN65520:HIN65585 HSJ65520:HSJ65585 ICF65520:ICF65585 IMB65520:IMB65585 IVX65520:IVX65585 JFT65520:JFT65585 JPP65520:JPP65585 JZL65520:JZL65585 KJH65520:KJH65585 KTD65520:KTD65585 LCZ65520:LCZ65585 LMV65520:LMV65585 LWR65520:LWR65585 MGN65520:MGN65585 MQJ65520:MQJ65585 NAF65520:NAF65585 NKB65520:NKB65585 NTX65520:NTX65585 ODT65520:ODT65585 ONP65520:ONP65585 OXL65520:OXL65585 PHH65520:PHH65585 PRD65520:PRD65585 QAZ65520:QAZ65585 QKV65520:QKV65585 QUR65520:QUR65585 REN65520:REN65585 ROJ65520:ROJ65585 RYF65520:RYF65585 SIB65520:SIB65585 SRX65520:SRX65585 TBT65520:TBT65585 TLP65520:TLP65585 TVL65520:TVL65585 UFH65520:UFH65585 UPD65520:UPD65585 UYZ65520:UYZ65585 VIV65520:VIV65585 VSR65520:VSR65585 WCN65520:WCN65585 WMJ65520:WMJ65585 WWF65520:WWF65585 X131056:X131121 JT131056:JT131121 TP131056:TP131121 ADL131056:ADL131121 ANH131056:ANH131121 AXD131056:AXD131121 BGZ131056:BGZ131121 BQV131056:BQV131121 CAR131056:CAR131121 CKN131056:CKN131121 CUJ131056:CUJ131121 DEF131056:DEF131121 DOB131056:DOB131121 DXX131056:DXX131121 EHT131056:EHT131121 ERP131056:ERP131121 FBL131056:FBL131121 FLH131056:FLH131121 FVD131056:FVD131121 GEZ131056:GEZ131121 GOV131056:GOV131121 GYR131056:GYR131121 HIN131056:HIN131121 HSJ131056:HSJ131121 ICF131056:ICF131121 IMB131056:IMB131121 IVX131056:IVX131121 JFT131056:JFT131121 JPP131056:JPP131121 JZL131056:JZL131121 KJH131056:KJH131121 KTD131056:KTD131121 LCZ131056:LCZ131121 LMV131056:LMV131121 LWR131056:LWR131121 MGN131056:MGN131121 MQJ131056:MQJ131121 NAF131056:NAF131121 NKB131056:NKB131121 NTX131056:NTX131121 ODT131056:ODT131121 ONP131056:ONP131121 OXL131056:OXL131121 PHH131056:PHH131121 PRD131056:PRD131121 QAZ131056:QAZ131121 QKV131056:QKV131121 QUR131056:QUR131121 REN131056:REN131121 ROJ131056:ROJ131121 RYF131056:RYF131121 SIB131056:SIB131121 SRX131056:SRX131121 TBT131056:TBT131121 TLP131056:TLP131121 TVL131056:TVL131121 UFH131056:UFH131121 UPD131056:UPD131121 UYZ131056:UYZ131121 VIV131056:VIV131121 VSR131056:VSR131121 WCN131056:WCN131121 WMJ131056:WMJ131121 WWF131056:WWF131121 X196592:X196657 JT196592:JT196657 TP196592:TP196657 ADL196592:ADL196657 ANH196592:ANH196657 AXD196592:AXD196657 BGZ196592:BGZ196657 BQV196592:BQV196657 CAR196592:CAR196657 CKN196592:CKN196657 CUJ196592:CUJ196657 DEF196592:DEF196657 DOB196592:DOB196657 DXX196592:DXX196657 EHT196592:EHT196657 ERP196592:ERP196657 FBL196592:FBL196657 FLH196592:FLH196657 FVD196592:FVD196657 GEZ196592:GEZ196657 GOV196592:GOV196657 GYR196592:GYR196657 HIN196592:HIN196657 HSJ196592:HSJ196657 ICF196592:ICF196657 IMB196592:IMB196657 IVX196592:IVX196657 JFT196592:JFT196657 JPP196592:JPP196657 JZL196592:JZL196657 KJH196592:KJH196657 KTD196592:KTD196657 LCZ196592:LCZ196657 LMV196592:LMV196657 LWR196592:LWR196657 MGN196592:MGN196657 MQJ196592:MQJ196657 NAF196592:NAF196657 NKB196592:NKB196657 NTX196592:NTX196657 ODT196592:ODT196657 ONP196592:ONP196657 OXL196592:OXL196657 PHH196592:PHH196657 PRD196592:PRD196657 QAZ196592:QAZ196657 QKV196592:QKV196657 QUR196592:QUR196657 REN196592:REN196657 ROJ196592:ROJ196657 RYF196592:RYF196657 SIB196592:SIB196657 SRX196592:SRX196657 TBT196592:TBT196657 TLP196592:TLP196657 TVL196592:TVL196657 UFH196592:UFH196657 UPD196592:UPD196657 UYZ196592:UYZ196657 VIV196592:VIV196657 VSR196592:VSR196657 WCN196592:WCN196657 WMJ196592:WMJ196657 WWF196592:WWF196657 X262128:X262193 JT262128:JT262193 TP262128:TP262193 ADL262128:ADL262193 ANH262128:ANH262193 AXD262128:AXD262193 BGZ262128:BGZ262193 BQV262128:BQV262193 CAR262128:CAR262193 CKN262128:CKN262193 CUJ262128:CUJ262193 DEF262128:DEF262193 DOB262128:DOB262193 DXX262128:DXX262193 EHT262128:EHT262193 ERP262128:ERP262193 FBL262128:FBL262193 FLH262128:FLH262193 FVD262128:FVD262193 GEZ262128:GEZ262193 GOV262128:GOV262193 GYR262128:GYR262193 HIN262128:HIN262193 HSJ262128:HSJ262193 ICF262128:ICF262193 IMB262128:IMB262193 IVX262128:IVX262193 JFT262128:JFT262193 JPP262128:JPP262193 JZL262128:JZL262193 KJH262128:KJH262193 KTD262128:KTD262193 LCZ262128:LCZ262193 LMV262128:LMV262193 LWR262128:LWR262193 MGN262128:MGN262193 MQJ262128:MQJ262193 NAF262128:NAF262193 NKB262128:NKB262193 NTX262128:NTX262193 ODT262128:ODT262193 ONP262128:ONP262193 OXL262128:OXL262193 PHH262128:PHH262193 PRD262128:PRD262193 QAZ262128:QAZ262193 QKV262128:QKV262193 QUR262128:QUR262193 REN262128:REN262193 ROJ262128:ROJ262193 RYF262128:RYF262193 SIB262128:SIB262193 SRX262128:SRX262193 TBT262128:TBT262193 TLP262128:TLP262193 TVL262128:TVL262193 UFH262128:UFH262193 UPD262128:UPD262193 UYZ262128:UYZ262193 VIV262128:VIV262193 VSR262128:VSR262193 WCN262128:WCN262193 WMJ262128:WMJ262193 WWF262128:WWF262193 X327664:X327729 JT327664:JT327729 TP327664:TP327729 ADL327664:ADL327729 ANH327664:ANH327729 AXD327664:AXD327729 BGZ327664:BGZ327729 BQV327664:BQV327729 CAR327664:CAR327729 CKN327664:CKN327729 CUJ327664:CUJ327729 DEF327664:DEF327729 DOB327664:DOB327729 DXX327664:DXX327729 EHT327664:EHT327729 ERP327664:ERP327729 FBL327664:FBL327729 FLH327664:FLH327729 FVD327664:FVD327729 GEZ327664:GEZ327729 GOV327664:GOV327729 GYR327664:GYR327729 HIN327664:HIN327729 HSJ327664:HSJ327729 ICF327664:ICF327729 IMB327664:IMB327729 IVX327664:IVX327729 JFT327664:JFT327729 JPP327664:JPP327729 JZL327664:JZL327729 KJH327664:KJH327729 KTD327664:KTD327729 LCZ327664:LCZ327729 LMV327664:LMV327729 LWR327664:LWR327729 MGN327664:MGN327729 MQJ327664:MQJ327729 NAF327664:NAF327729 NKB327664:NKB327729 NTX327664:NTX327729 ODT327664:ODT327729 ONP327664:ONP327729 OXL327664:OXL327729 PHH327664:PHH327729 PRD327664:PRD327729 QAZ327664:QAZ327729 QKV327664:QKV327729 QUR327664:QUR327729 REN327664:REN327729 ROJ327664:ROJ327729 RYF327664:RYF327729 SIB327664:SIB327729 SRX327664:SRX327729 TBT327664:TBT327729 TLP327664:TLP327729 TVL327664:TVL327729 UFH327664:UFH327729 UPD327664:UPD327729 UYZ327664:UYZ327729 VIV327664:VIV327729 VSR327664:VSR327729 WCN327664:WCN327729 WMJ327664:WMJ327729 WWF327664:WWF327729 X393200:X393265 JT393200:JT393265 TP393200:TP393265 ADL393200:ADL393265 ANH393200:ANH393265 AXD393200:AXD393265 BGZ393200:BGZ393265 BQV393200:BQV393265 CAR393200:CAR393265 CKN393200:CKN393265 CUJ393200:CUJ393265 DEF393200:DEF393265 DOB393200:DOB393265 DXX393200:DXX393265 EHT393200:EHT393265 ERP393200:ERP393265 FBL393200:FBL393265 FLH393200:FLH393265 FVD393200:FVD393265 GEZ393200:GEZ393265 GOV393200:GOV393265 GYR393200:GYR393265 HIN393200:HIN393265 HSJ393200:HSJ393265 ICF393200:ICF393265 IMB393200:IMB393265 IVX393200:IVX393265 JFT393200:JFT393265 JPP393200:JPP393265 JZL393200:JZL393265 KJH393200:KJH393265 KTD393200:KTD393265 LCZ393200:LCZ393265 LMV393200:LMV393265 LWR393200:LWR393265 MGN393200:MGN393265 MQJ393200:MQJ393265 NAF393200:NAF393265 NKB393200:NKB393265 NTX393200:NTX393265 ODT393200:ODT393265 ONP393200:ONP393265 OXL393200:OXL393265 PHH393200:PHH393265 PRD393200:PRD393265 QAZ393200:QAZ393265 QKV393200:QKV393265 QUR393200:QUR393265 REN393200:REN393265 ROJ393200:ROJ393265 RYF393200:RYF393265 SIB393200:SIB393265 SRX393200:SRX393265 TBT393200:TBT393265 TLP393200:TLP393265 TVL393200:TVL393265 UFH393200:UFH393265 UPD393200:UPD393265 UYZ393200:UYZ393265 VIV393200:VIV393265 VSR393200:VSR393265 WCN393200:WCN393265 WMJ393200:WMJ393265 WWF393200:WWF393265 X458736:X458801 JT458736:JT458801 TP458736:TP458801 ADL458736:ADL458801 ANH458736:ANH458801 AXD458736:AXD458801 BGZ458736:BGZ458801 BQV458736:BQV458801 CAR458736:CAR458801 CKN458736:CKN458801 CUJ458736:CUJ458801 DEF458736:DEF458801 DOB458736:DOB458801 DXX458736:DXX458801 EHT458736:EHT458801 ERP458736:ERP458801 FBL458736:FBL458801 FLH458736:FLH458801 FVD458736:FVD458801 GEZ458736:GEZ458801 GOV458736:GOV458801 GYR458736:GYR458801 HIN458736:HIN458801 HSJ458736:HSJ458801 ICF458736:ICF458801 IMB458736:IMB458801 IVX458736:IVX458801 JFT458736:JFT458801 JPP458736:JPP458801 JZL458736:JZL458801 KJH458736:KJH458801 KTD458736:KTD458801 LCZ458736:LCZ458801 LMV458736:LMV458801 LWR458736:LWR458801 MGN458736:MGN458801 MQJ458736:MQJ458801 NAF458736:NAF458801 NKB458736:NKB458801 NTX458736:NTX458801 ODT458736:ODT458801 ONP458736:ONP458801 OXL458736:OXL458801 PHH458736:PHH458801 PRD458736:PRD458801 QAZ458736:QAZ458801 QKV458736:QKV458801 QUR458736:QUR458801 REN458736:REN458801 ROJ458736:ROJ458801 RYF458736:RYF458801 SIB458736:SIB458801 SRX458736:SRX458801 TBT458736:TBT458801 TLP458736:TLP458801 TVL458736:TVL458801 UFH458736:UFH458801 UPD458736:UPD458801 UYZ458736:UYZ458801 VIV458736:VIV458801 VSR458736:VSR458801 WCN458736:WCN458801 WMJ458736:WMJ458801 WWF458736:WWF458801 X524272:X524337 JT524272:JT524337 TP524272:TP524337 ADL524272:ADL524337 ANH524272:ANH524337 AXD524272:AXD524337 BGZ524272:BGZ524337 BQV524272:BQV524337 CAR524272:CAR524337 CKN524272:CKN524337 CUJ524272:CUJ524337 DEF524272:DEF524337 DOB524272:DOB524337 DXX524272:DXX524337 EHT524272:EHT524337 ERP524272:ERP524337 FBL524272:FBL524337 FLH524272:FLH524337 FVD524272:FVD524337 GEZ524272:GEZ524337 GOV524272:GOV524337 GYR524272:GYR524337 HIN524272:HIN524337 HSJ524272:HSJ524337 ICF524272:ICF524337 IMB524272:IMB524337 IVX524272:IVX524337 JFT524272:JFT524337 JPP524272:JPP524337 JZL524272:JZL524337 KJH524272:KJH524337 KTD524272:KTD524337 LCZ524272:LCZ524337 LMV524272:LMV524337 LWR524272:LWR524337 MGN524272:MGN524337 MQJ524272:MQJ524337 NAF524272:NAF524337 NKB524272:NKB524337 NTX524272:NTX524337 ODT524272:ODT524337 ONP524272:ONP524337 OXL524272:OXL524337 PHH524272:PHH524337 PRD524272:PRD524337 QAZ524272:QAZ524337 QKV524272:QKV524337 QUR524272:QUR524337 REN524272:REN524337 ROJ524272:ROJ524337 RYF524272:RYF524337 SIB524272:SIB524337 SRX524272:SRX524337 TBT524272:TBT524337 TLP524272:TLP524337 TVL524272:TVL524337 UFH524272:UFH524337 UPD524272:UPD524337 UYZ524272:UYZ524337 VIV524272:VIV524337 VSR524272:VSR524337 WCN524272:WCN524337 WMJ524272:WMJ524337 WWF524272:WWF524337 X589808:X589873 JT589808:JT589873 TP589808:TP589873 ADL589808:ADL589873 ANH589808:ANH589873 AXD589808:AXD589873 BGZ589808:BGZ589873 BQV589808:BQV589873 CAR589808:CAR589873 CKN589808:CKN589873 CUJ589808:CUJ589873 DEF589808:DEF589873 DOB589808:DOB589873 DXX589808:DXX589873 EHT589808:EHT589873 ERP589808:ERP589873 FBL589808:FBL589873 FLH589808:FLH589873 FVD589808:FVD589873 GEZ589808:GEZ589873 GOV589808:GOV589873 GYR589808:GYR589873 HIN589808:HIN589873 HSJ589808:HSJ589873 ICF589808:ICF589873 IMB589808:IMB589873 IVX589808:IVX589873 JFT589808:JFT589873 JPP589808:JPP589873 JZL589808:JZL589873 KJH589808:KJH589873 KTD589808:KTD589873 LCZ589808:LCZ589873 LMV589808:LMV589873 LWR589808:LWR589873 MGN589808:MGN589873 MQJ589808:MQJ589873 NAF589808:NAF589873 NKB589808:NKB589873 NTX589808:NTX589873 ODT589808:ODT589873 ONP589808:ONP589873 OXL589808:OXL589873 PHH589808:PHH589873 PRD589808:PRD589873 QAZ589808:QAZ589873 QKV589808:QKV589873 QUR589808:QUR589873 REN589808:REN589873 ROJ589808:ROJ589873 RYF589808:RYF589873 SIB589808:SIB589873 SRX589808:SRX589873 TBT589808:TBT589873 TLP589808:TLP589873 TVL589808:TVL589873 UFH589808:UFH589873 UPD589808:UPD589873 UYZ589808:UYZ589873 VIV589808:VIV589873 VSR589808:VSR589873 WCN589808:WCN589873 WMJ589808:WMJ589873 WWF589808:WWF589873 X655344:X655409 JT655344:JT655409 TP655344:TP655409 ADL655344:ADL655409 ANH655344:ANH655409 AXD655344:AXD655409 BGZ655344:BGZ655409 BQV655344:BQV655409 CAR655344:CAR655409 CKN655344:CKN655409 CUJ655344:CUJ655409 DEF655344:DEF655409 DOB655344:DOB655409 DXX655344:DXX655409 EHT655344:EHT655409 ERP655344:ERP655409 FBL655344:FBL655409 FLH655344:FLH655409 FVD655344:FVD655409 GEZ655344:GEZ655409 GOV655344:GOV655409 GYR655344:GYR655409 HIN655344:HIN655409 HSJ655344:HSJ655409 ICF655344:ICF655409 IMB655344:IMB655409 IVX655344:IVX655409 JFT655344:JFT655409 JPP655344:JPP655409 JZL655344:JZL655409 KJH655344:KJH655409 KTD655344:KTD655409 LCZ655344:LCZ655409 LMV655344:LMV655409 LWR655344:LWR655409 MGN655344:MGN655409 MQJ655344:MQJ655409 NAF655344:NAF655409 NKB655344:NKB655409 NTX655344:NTX655409 ODT655344:ODT655409 ONP655344:ONP655409 OXL655344:OXL655409 PHH655344:PHH655409 PRD655344:PRD655409 QAZ655344:QAZ655409 QKV655344:QKV655409 QUR655344:QUR655409 REN655344:REN655409 ROJ655344:ROJ655409 RYF655344:RYF655409 SIB655344:SIB655409 SRX655344:SRX655409 TBT655344:TBT655409 TLP655344:TLP655409 TVL655344:TVL655409 UFH655344:UFH655409 UPD655344:UPD655409 UYZ655344:UYZ655409 VIV655344:VIV655409 VSR655344:VSR655409 WCN655344:WCN655409 WMJ655344:WMJ655409 WWF655344:WWF655409 X720880:X720945 JT720880:JT720945 TP720880:TP720945 ADL720880:ADL720945 ANH720880:ANH720945 AXD720880:AXD720945 BGZ720880:BGZ720945 BQV720880:BQV720945 CAR720880:CAR720945 CKN720880:CKN720945 CUJ720880:CUJ720945 DEF720880:DEF720945 DOB720880:DOB720945 DXX720880:DXX720945 EHT720880:EHT720945 ERP720880:ERP720945 FBL720880:FBL720945 FLH720880:FLH720945 FVD720880:FVD720945 GEZ720880:GEZ720945 GOV720880:GOV720945 GYR720880:GYR720945 HIN720880:HIN720945 HSJ720880:HSJ720945 ICF720880:ICF720945 IMB720880:IMB720945 IVX720880:IVX720945 JFT720880:JFT720945 JPP720880:JPP720945 JZL720880:JZL720945 KJH720880:KJH720945 KTD720880:KTD720945 LCZ720880:LCZ720945 LMV720880:LMV720945 LWR720880:LWR720945 MGN720880:MGN720945 MQJ720880:MQJ720945 NAF720880:NAF720945 NKB720880:NKB720945 NTX720880:NTX720945 ODT720880:ODT720945 ONP720880:ONP720945 OXL720880:OXL720945 PHH720880:PHH720945 PRD720880:PRD720945 QAZ720880:QAZ720945 QKV720880:QKV720945 QUR720880:QUR720945 REN720880:REN720945 ROJ720880:ROJ720945 RYF720880:RYF720945 SIB720880:SIB720945 SRX720880:SRX720945 TBT720880:TBT720945 TLP720880:TLP720945 TVL720880:TVL720945 UFH720880:UFH720945 UPD720880:UPD720945 UYZ720880:UYZ720945 VIV720880:VIV720945 VSR720880:VSR720945 WCN720880:WCN720945 WMJ720880:WMJ720945 WWF720880:WWF720945 X786416:X786481 JT786416:JT786481 TP786416:TP786481 ADL786416:ADL786481 ANH786416:ANH786481 AXD786416:AXD786481 BGZ786416:BGZ786481 BQV786416:BQV786481 CAR786416:CAR786481 CKN786416:CKN786481 CUJ786416:CUJ786481 DEF786416:DEF786481 DOB786416:DOB786481 DXX786416:DXX786481 EHT786416:EHT786481 ERP786416:ERP786481 FBL786416:FBL786481 FLH786416:FLH786481 FVD786416:FVD786481 GEZ786416:GEZ786481 GOV786416:GOV786481 GYR786416:GYR786481 HIN786416:HIN786481 HSJ786416:HSJ786481 ICF786416:ICF786481 IMB786416:IMB786481 IVX786416:IVX786481 JFT786416:JFT786481 JPP786416:JPP786481 JZL786416:JZL786481 KJH786416:KJH786481 KTD786416:KTD786481 LCZ786416:LCZ786481 LMV786416:LMV786481 LWR786416:LWR786481 MGN786416:MGN786481 MQJ786416:MQJ786481 NAF786416:NAF786481 NKB786416:NKB786481 NTX786416:NTX786481 ODT786416:ODT786481 ONP786416:ONP786481 OXL786416:OXL786481 PHH786416:PHH786481 PRD786416:PRD786481 QAZ786416:QAZ786481 QKV786416:QKV786481 QUR786416:QUR786481 REN786416:REN786481 ROJ786416:ROJ786481 RYF786416:RYF786481 SIB786416:SIB786481 SRX786416:SRX786481 TBT786416:TBT786481 TLP786416:TLP786481 TVL786416:TVL786481 UFH786416:UFH786481 UPD786416:UPD786481 UYZ786416:UYZ786481 VIV786416:VIV786481 VSR786416:VSR786481 WCN786416:WCN786481 WMJ786416:WMJ786481 WWF786416:WWF786481 X851952:X852017 JT851952:JT852017 TP851952:TP852017 ADL851952:ADL852017 ANH851952:ANH852017 AXD851952:AXD852017 BGZ851952:BGZ852017 BQV851952:BQV852017 CAR851952:CAR852017 CKN851952:CKN852017 CUJ851952:CUJ852017 DEF851952:DEF852017 DOB851952:DOB852017 DXX851952:DXX852017 EHT851952:EHT852017 ERP851952:ERP852017 FBL851952:FBL852017 FLH851952:FLH852017 FVD851952:FVD852017 GEZ851952:GEZ852017 GOV851952:GOV852017 GYR851952:GYR852017 HIN851952:HIN852017 HSJ851952:HSJ852017 ICF851952:ICF852017 IMB851952:IMB852017 IVX851952:IVX852017 JFT851952:JFT852017 JPP851952:JPP852017 JZL851952:JZL852017 KJH851952:KJH852017 KTD851952:KTD852017 LCZ851952:LCZ852017 LMV851952:LMV852017 LWR851952:LWR852017 MGN851952:MGN852017 MQJ851952:MQJ852017 NAF851952:NAF852017 NKB851952:NKB852017 NTX851952:NTX852017 ODT851952:ODT852017 ONP851952:ONP852017 OXL851952:OXL852017 PHH851952:PHH852017 PRD851952:PRD852017 QAZ851952:QAZ852017 QKV851952:QKV852017 QUR851952:QUR852017 REN851952:REN852017 ROJ851952:ROJ852017 RYF851952:RYF852017 SIB851952:SIB852017 SRX851952:SRX852017 TBT851952:TBT852017 TLP851952:TLP852017 TVL851952:TVL852017 UFH851952:UFH852017 UPD851952:UPD852017 UYZ851952:UYZ852017 VIV851952:VIV852017 VSR851952:VSR852017 WCN851952:WCN852017 WMJ851952:WMJ852017 WWF851952:WWF852017 X917488:X917553 JT917488:JT917553 TP917488:TP917553 ADL917488:ADL917553 ANH917488:ANH917553 AXD917488:AXD917553 BGZ917488:BGZ917553 BQV917488:BQV917553 CAR917488:CAR917553 CKN917488:CKN917553 CUJ917488:CUJ917553 DEF917488:DEF917553 DOB917488:DOB917553 DXX917488:DXX917553 EHT917488:EHT917553 ERP917488:ERP917553 FBL917488:FBL917553 FLH917488:FLH917553 FVD917488:FVD917553 GEZ917488:GEZ917553 GOV917488:GOV917553 GYR917488:GYR917553 HIN917488:HIN917553 HSJ917488:HSJ917553 ICF917488:ICF917553 IMB917488:IMB917553 IVX917488:IVX917553 JFT917488:JFT917553 JPP917488:JPP917553 JZL917488:JZL917553 KJH917488:KJH917553 KTD917488:KTD917553 LCZ917488:LCZ917553 LMV917488:LMV917553 LWR917488:LWR917553 MGN917488:MGN917553 MQJ917488:MQJ917553 NAF917488:NAF917553 NKB917488:NKB917553 NTX917488:NTX917553 ODT917488:ODT917553 ONP917488:ONP917553 OXL917488:OXL917553 PHH917488:PHH917553 PRD917488:PRD917553 QAZ917488:QAZ917553 QKV917488:QKV917553 QUR917488:QUR917553 REN917488:REN917553 ROJ917488:ROJ917553 RYF917488:RYF917553 SIB917488:SIB917553 SRX917488:SRX917553 TBT917488:TBT917553 TLP917488:TLP917553 TVL917488:TVL917553 UFH917488:UFH917553 UPD917488:UPD917553 UYZ917488:UYZ917553 VIV917488:VIV917553 VSR917488:VSR917553 WCN917488:WCN917553 WMJ917488:WMJ917553 WWF917488:WWF917553 X983024:X983089 JT983024:JT983089 TP983024:TP983089 ADL983024:ADL983089 ANH983024:ANH983089 AXD983024:AXD983089 BGZ983024:BGZ983089 BQV983024:BQV983089 CAR983024:CAR983089 CKN983024:CKN983089 CUJ983024:CUJ983089 DEF983024:DEF983089 DOB983024:DOB983089 DXX983024:DXX983089 EHT983024:EHT983089 ERP983024:ERP983089 FBL983024:FBL983089 FLH983024:FLH983089 FVD983024:FVD983089 GEZ983024:GEZ983089 GOV983024:GOV983089 GYR983024:GYR983089 HIN983024:HIN983089 HSJ983024:HSJ983089 ICF983024:ICF983089 IMB983024:IMB983089 IVX983024:IVX983089 JFT983024:JFT983089 JPP983024:JPP983089 JZL983024:JZL983089 KJH983024:KJH983089 KTD983024:KTD983089 LCZ983024:LCZ983089 LMV983024:LMV983089 LWR983024:LWR983089 MGN983024:MGN983089 MQJ983024:MQJ983089 NAF983024:NAF983089 NKB983024:NKB983089 NTX983024:NTX983089 ODT983024:ODT983089 ONP983024:ONP983089 OXL983024:OXL983089 PHH983024:PHH983089 PRD983024:PRD983089 QAZ983024:QAZ983089 QKV983024:QKV983089 QUR983024:QUR983089 REN983024:REN983089 ROJ983024:ROJ983089 RYF983024:RYF983089 SIB983024:SIB983089 SRX983024:SRX983089 TBT983024:TBT983089 TLP983024:TLP983089 TVL983024:TVL983089 UFH983024:UFH983089 UPD983024:UPD983089 UYZ983024:UYZ983089 VIV983024:VIV983089 VSR983024:VSR983089 WCN983024:WCN983089 WMJ983024:WMJ983089 WWF2:WWF69 JT2:JT69 TP2:TP69 ADL2:ADL69 ANH2:ANH69 AXD2:AXD69 BGZ2:BGZ69 BQV2:BQV69 CAR2:CAR69 CKN2:CKN69 CUJ2:CUJ69 DEF2:DEF69 DOB2:DOB69 DXX2:DXX69 EHT2:EHT69 ERP2:ERP69 FBL2:FBL69 FLH2:FLH69 FVD2:FVD69 GEZ2:GEZ69 GOV2:GOV69 GYR2:GYR69 HIN2:HIN69 HSJ2:HSJ69 ICF2:ICF69 IMB2:IMB69 IVX2:IVX69 JFT2:JFT69 JPP2:JPP69 JZL2:JZL69 KJH2:KJH69 KTD2:KTD69 LCZ2:LCZ69 LMV2:LMV69 LWR2:LWR69 MGN2:MGN69 MQJ2:MQJ69 NAF2:NAF69 NKB2:NKB69 NTX2:NTX69 ODT2:ODT69 ONP2:ONP69 OXL2:OXL69 PHH2:PHH69 PRD2:PRD69 QAZ2:QAZ69 QKV2:QKV69 QUR2:QUR69 REN2:REN69 ROJ2:ROJ69 RYF2:RYF69 SIB2:SIB69 SRX2:SRX69 TBT2:TBT69 TLP2:TLP69 TVL2:TVL69 UFH2:UFH69 UPD2:UPD69 UYZ2:UYZ69 VIV2:VIV69 VSR2:VSR69 WCN2:WCN69 WMJ2:WMJ69 X2:X482" xr:uid="{827AF632-49D0-45E4-B7D5-497930F0E2DD}">
      <formula1>$AT$2:$AT$3</formula1>
    </dataValidation>
    <dataValidation type="list" allowBlank="1" showInputMessage="1" showErrorMessage="1" sqref="G64345:G64412 JC64345:JC64412 SY64345:SY64412 ACU64345:ACU64412 AMQ64345:AMQ64412 AWM64345:AWM64412 BGI64345:BGI64412 BQE64345:BQE64412 CAA64345:CAA64412 CJW64345:CJW64412 CTS64345:CTS64412 DDO64345:DDO64412 DNK64345:DNK64412 DXG64345:DXG64412 EHC64345:EHC64412 EQY64345:EQY64412 FAU64345:FAU64412 FKQ64345:FKQ64412 FUM64345:FUM64412 GEI64345:GEI64412 GOE64345:GOE64412 GYA64345:GYA64412 HHW64345:HHW64412 HRS64345:HRS64412 IBO64345:IBO64412 ILK64345:ILK64412 IVG64345:IVG64412 JFC64345:JFC64412 JOY64345:JOY64412 JYU64345:JYU64412 KIQ64345:KIQ64412 KSM64345:KSM64412 LCI64345:LCI64412 LME64345:LME64412 LWA64345:LWA64412 MFW64345:MFW64412 MPS64345:MPS64412 MZO64345:MZO64412 NJK64345:NJK64412 NTG64345:NTG64412 ODC64345:ODC64412 OMY64345:OMY64412 OWU64345:OWU64412 PGQ64345:PGQ64412 PQM64345:PQM64412 QAI64345:QAI64412 QKE64345:QKE64412 QUA64345:QUA64412 RDW64345:RDW64412 RNS64345:RNS64412 RXO64345:RXO64412 SHK64345:SHK64412 SRG64345:SRG64412 TBC64345:TBC64412 TKY64345:TKY64412 TUU64345:TUU64412 UEQ64345:UEQ64412 UOM64345:UOM64412 UYI64345:UYI64412 VIE64345:VIE64412 VSA64345:VSA64412 WBW64345:WBW64412 WLS64345:WLS64412 WVO64345:WVO64412 G129881:G129948 JC129881:JC129948 SY129881:SY129948 ACU129881:ACU129948 AMQ129881:AMQ129948 AWM129881:AWM129948 BGI129881:BGI129948 BQE129881:BQE129948 CAA129881:CAA129948 CJW129881:CJW129948 CTS129881:CTS129948 DDO129881:DDO129948 DNK129881:DNK129948 DXG129881:DXG129948 EHC129881:EHC129948 EQY129881:EQY129948 FAU129881:FAU129948 FKQ129881:FKQ129948 FUM129881:FUM129948 GEI129881:GEI129948 GOE129881:GOE129948 GYA129881:GYA129948 HHW129881:HHW129948 HRS129881:HRS129948 IBO129881:IBO129948 ILK129881:ILK129948 IVG129881:IVG129948 JFC129881:JFC129948 JOY129881:JOY129948 JYU129881:JYU129948 KIQ129881:KIQ129948 KSM129881:KSM129948 LCI129881:LCI129948 LME129881:LME129948 LWA129881:LWA129948 MFW129881:MFW129948 MPS129881:MPS129948 MZO129881:MZO129948 NJK129881:NJK129948 NTG129881:NTG129948 ODC129881:ODC129948 OMY129881:OMY129948 OWU129881:OWU129948 PGQ129881:PGQ129948 PQM129881:PQM129948 QAI129881:QAI129948 QKE129881:QKE129948 QUA129881:QUA129948 RDW129881:RDW129948 RNS129881:RNS129948 RXO129881:RXO129948 SHK129881:SHK129948 SRG129881:SRG129948 TBC129881:TBC129948 TKY129881:TKY129948 TUU129881:TUU129948 UEQ129881:UEQ129948 UOM129881:UOM129948 UYI129881:UYI129948 VIE129881:VIE129948 VSA129881:VSA129948 WBW129881:WBW129948 WLS129881:WLS129948 WVO129881:WVO129948 G195417:G195484 JC195417:JC195484 SY195417:SY195484 ACU195417:ACU195484 AMQ195417:AMQ195484 AWM195417:AWM195484 BGI195417:BGI195484 BQE195417:BQE195484 CAA195417:CAA195484 CJW195417:CJW195484 CTS195417:CTS195484 DDO195417:DDO195484 DNK195417:DNK195484 DXG195417:DXG195484 EHC195417:EHC195484 EQY195417:EQY195484 FAU195417:FAU195484 FKQ195417:FKQ195484 FUM195417:FUM195484 GEI195417:GEI195484 GOE195417:GOE195484 GYA195417:GYA195484 HHW195417:HHW195484 HRS195417:HRS195484 IBO195417:IBO195484 ILK195417:ILK195484 IVG195417:IVG195484 JFC195417:JFC195484 JOY195417:JOY195484 JYU195417:JYU195484 KIQ195417:KIQ195484 KSM195417:KSM195484 LCI195417:LCI195484 LME195417:LME195484 LWA195417:LWA195484 MFW195417:MFW195484 MPS195417:MPS195484 MZO195417:MZO195484 NJK195417:NJK195484 NTG195417:NTG195484 ODC195417:ODC195484 OMY195417:OMY195484 OWU195417:OWU195484 PGQ195417:PGQ195484 PQM195417:PQM195484 QAI195417:QAI195484 QKE195417:QKE195484 QUA195417:QUA195484 RDW195417:RDW195484 RNS195417:RNS195484 RXO195417:RXO195484 SHK195417:SHK195484 SRG195417:SRG195484 TBC195417:TBC195484 TKY195417:TKY195484 TUU195417:TUU195484 UEQ195417:UEQ195484 UOM195417:UOM195484 UYI195417:UYI195484 VIE195417:VIE195484 VSA195417:VSA195484 WBW195417:WBW195484 WLS195417:WLS195484 WVO195417:WVO195484 G260953:G261020 JC260953:JC261020 SY260953:SY261020 ACU260953:ACU261020 AMQ260953:AMQ261020 AWM260953:AWM261020 BGI260953:BGI261020 BQE260953:BQE261020 CAA260953:CAA261020 CJW260953:CJW261020 CTS260953:CTS261020 DDO260953:DDO261020 DNK260953:DNK261020 DXG260953:DXG261020 EHC260953:EHC261020 EQY260953:EQY261020 FAU260953:FAU261020 FKQ260953:FKQ261020 FUM260953:FUM261020 GEI260953:GEI261020 GOE260953:GOE261020 GYA260953:GYA261020 HHW260953:HHW261020 HRS260953:HRS261020 IBO260953:IBO261020 ILK260953:ILK261020 IVG260953:IVG261020 JFC260953:JFC261020 JOY260953:JOY261020 JYU260953:JYU261020 KIQ260953:KIQ261020 KSM260953:KSM261020 LCI260953:LCI261020 LME260953:LME261020 LWA260953:LWA261020 MFW260953:MFW261020 MPS260953:MPS261020 MZO260953:MZO261020 NJK260953:NJK261020 NTG260953:NTG261020 ODC260953:ODC261020 OMY260953:OMY261020 OWU260953:OWU261020 PGQ260953:PGQ261020 PQM260953:PQM261020 QAI260953:QAI261020 QKE260953:QKE261020 QUA260953:QUA261020 RDW260953:RDW261020 RNS260953:RNS261020 RXO260953:RXO261020 SHK260953:SHK261020 SRG260953:SRG261020 TBC260953:TBC261020 TKY260953:TKY261020 TUU260953:TUU261020 UEQ260953:UEQ261020 UOM260953:UOM261020 UYI260953:UYI261020 VIE260953:VIE261020 VSA260953:VSA261020 WBW260953:WBW261020 WLS260953:WLS261020 WVO260953:WVO261020 G326489:G326556 JC326489:JC326556 SY326489:SY326556 ACU326489:ACU326556 AMQ326489:AMQ326556 AWM326489:AWM326556 BGI326489:BGI326556 BQE326489:BQE326556 CAA326489:CAA326556 CJW326489:CJW326556 CTS326489:CTS326556 DDO326489:DDO326556 DNK326489:DNK326556 DXG326489:DXG326556 EHC326489:EHC326556 EQY326489:EQY326556 FAU326489:FAU326556 FKQ326489:FKQ326556 FUM326489:FUM326556 GEI326489:GEI326556 GOE326489:GOE326556 GYA326489:GYA326556 HHW326489:HHW326556 HRS326489:HRS326556 IBO326489:IBO326556 ILK326489:ILK326556 IVG326489:IVG326556 JFC326489:JFC326556 JOY326489:JOY326556 JYU326489:JYU326556 KIQ326489:KIQ326556 KSM326489:KSM326556 LCI326489:LCI326556 LME326489:LME326556 LWA326489:LWA326556 MFW326489:MFW326556 MPS326489:MPS326556 MZO326489:MZO326556 NJK326489:NJK326556 NTG326489:NTG326556 ODC326489:ODC326556 OMY326489:OMY326556 OWU326489:OWU326556 PGQ326489:PGQ326556 PQM326489:PQM326556 QAI326489:QAI326556 QKE326489:QKE326556 QUA326489:QUA326556 RDW326489:RDW326556 RNS326489:RNS326556 RXO326489:RXO326556 SHK326489:SHK326556 SRG326489:SRG326556 TBC326489:TBC326556 TKY326489:TKY326556 TUU326489:TUU326556 UEQ326489:UEQ326556 UOM326489:UOM326556 UYI326489:UYI326556 VIE326489:VIE326556 VSA326489:VSA326556 WBW326489:WBW326556 WLS326489:WLS326556 WVO326489:WVO326556 G392025:G392092 JC392025:JC392092 SY392025:SY392092 ACU392025:ACU392092 AMQ392025:AMQ392092 AWM392025:AWM392092 BGI392025:BGI392092 BQE392025:BQE392092 CAA392025:CAA392092 CJW392025:CJW392092 CTS392025:CTS392092 DDO392025:DDO392092 DNK392025:DNK392092 DXG392025:DXG392092 EHC392025:EHC392092 EQY392025:EQY392092 FAU392025:FAU392092 FKQ392025:FKQ392092 FUM392025:FUM392092 GEI392025:GEI392092 GOE392025:GOE392092 GYA392025:GYA392092 HHW392025:HHW392092 HRS392025:HRS392092 IBO392025:IBO392092 ILK392025:ILK392092 IVG392025:IVG392092 JFC392025:JFC392092 JOY392025:JOY392092 JYU392025:JYU392092 KIQ392025:KIQ392092 KSM392025:KSM392092 LCI392025:LCI392092 LME392025:LME392092 LWA392025:LWA392092 MFW392025:MFW392092 MPS392025:MPS392092 MZO392025:MZO392092 NJK392025:NJK392092 NTG392025:NTG392092 ODC392025:ODC392092 OMY392025:OMY392092 OWU392025:OWU392092 PGQ392025:PGQ392092 PQM392025:PQM392092 QAI392025:QAI392092 QKE392025:QKE392092 QUA392025:QUA392092 RDW392025:RDW392092 RNS392025:RNS392092 RXO392025:RXO392092 SHK392025:SHK392092 SRG392025:SRG392092 TBC392025:TBC392092 TKY392025:TKY392092 TUU392025:TUU392092 UEQ392025:UEQ392092 UOM392025:UOM392092 UYI392025:UYI392092 VIE392025:VIE392092 VSA392025:VSA392092 WBW392025:WBW392092 WLS392025:WLS392092 WVO392025:WVO392092 G457561:G457628 JC457561:JC457628 SY457561:SY457628 ACU457561:ACU457628 AMQ457561:AMQ457628 AWM457561:AWM457628 BGI457561:BGI457628 BQE457561:BQE457628 CAA457561:CAA457628 CJW457561:CJW457628 CTS457561:CTS457628 DDO457561:DDO457628 DNK457561:DNK457628 DXG457561:DXG457628 EHC457561:EHC457628 EQY457561:EQY457628 FAU457561:FAU457628 FKQ457561:FKQ457628 FUM457561:FUM457628 GEI457561:GEI457628 GOE457561:GOE457628 GYA457561:GYA457628 HHW457561:HHW457628 HRS457561:HRS457628 IBO457561:IBO457628 ILK457561:ILK457628 IVG457561:IVG457628 JFC457561:JFC457628 JOY457561:JOY457628 JYU457561:JYU457628 KIQ457561:KIQ457628 KSM457561:KSM457628 LCI457561:LCI457628 LME457561:LME457628 LWA457561:LWA457628 MFW457561:MFW457628 MPS457561:MPS457628 MZO457561:MZO457628 NJK457561:NJK457628 NTG457561:NTG457628 ODC457561:ODC457628 OMY457561:OMY457628 OWU457561:OWU457628 PGQ457561:PGQ457628 PQM457561:PQM457628 QAI457561:QAI457628 QKE457561:QKE457628 QUA457561:QUA457628 RDW457561:RDW457628 RNS457561:RNS457628 RXO457561:RXO457628 SHK457561:SHK457628 SRG457561:SRG457628 TBC457561:TBC457628 TKY457561:TKY457628 TUU457561:TUU457628 UEQ457561:UEQ457628 UOM457561:UOM457628 UYI457561:UYI457628 VIE457561:VIE457628 VSA457561:VSA457628 WBW457561:WBW457628 WLS457561:WLS457628 WVO457561:WVO457628 G523097:G523164 JC523097:JC523164 SY523097:SY523164 ACU523097:ACU523164 AMQ523097:AMQ523164 AWM523097:AWM523164 BGI523097:BGI523164 BQE523097:BQE523164 CAA523097:CAA523164 CJW523097:CJW523164 CTS523097:CTS523164 DDO523097:DDO523164 DNK523097:DNK523164 DXG523097:DXG523164 EHC523097:EHC523164 EQY523097:EQY523164 FAU523097:FAU523164 FKQ523097:FKQ523164 FUM523097:FUM523164 GEI523097:GEI523164 GOE523097:GOE523164 GYA523097:GYA523164 HHW523097:HHW523164 HRS523097:HRS523164 IBO523097:IBO523164 ILK523097:ILK523164 IVG523097:IVG523164 JFC523097:JFC523164 JOY523097:JOY523164 JYU523097:JYU523164 KIQ523097:KIQ523164 KSM523097:KSM523164 LCI523097:LCI523164 LME523097:LME523164 LWA523097:LWA523164 MFW523097:MFW523164 MPS523097:MPS523164 MZO523097:MZO523164 NJK523097:NJK523164 NTG523097:NTG523164 ODC523097:ODC523164 OMY523097:OMY523164 OWU523097:OWU523164 PGQ523097:PGQ523164 PQM523097:PQM523164 QAI523097:QAI523164 QKE523097:QKE523164 QUA523097:QUA523164 RDW523097:RDW523164 RNS523097:RNS523164 RXO523097:RXO523164 SHK523097:SHK523164 SRG523097:SRG523164 TBC523097:TBC523164 TKY523097:TKY523164 TUU523097:TUU523164 UEQ523097:UEQ523164 UOM523097:UOM523164 UYI523097:UYI523164 VIE523097:VIE523164 VSA523097:VSA523164 WBW523097:WBW523164 WLS523097:WLS523164 WVO523097:WVO523164 G588633:G588700 JC588633:JC588700 SY588633:SY588700 ACU588633:ACU588700 AMQ588633:AMQ588700 AWM588633:AWM588700 BGI588633:BGI588700 BQE588633:BQE588700 CAA588633:CAA588700 CJW588633:CJW588700 CTS588633:CTS588700 DDO588633:DDO588700 DNK588633:DNK588700 DXG588633:DXG588700 EHC588633:EHC588700 EQY588633:EQY588700 FAU588633:FAU588700 FKQ588633:FKQ588700 FUM588633:FUM588700 GEI588633:GEI588700 GOE588633:GOE588700 GYA588633:GYA588700 HHW588633:HHW588700 HRS588633:HRS588700 IBO588633:IBO588700 ILK588633:ILK588700 IVG588633:IVG588700 JFC588633:JFC588700 JOY588633:JOY588700 JYU588633:JYU588700 KIQ588633:KIQ588700 KSM588633:KSM588700 LCI588633:LCI588700 LME588633:LME588700 LWA588633:LWA588700 MFW588633:MFW588700 MPS588633:MPS588700 MZO588633:MZO588700 NJK588633:NJK588700 NTG588633:NTG588700 ODC588633:ODC588700 OMY588633:OMY588700 OWU588633:OWU588700 PGQ588633:PGQ588700 PQM588633:PQM588700 QAI588633:QAI588700 QKE588633:QKE588700 QUA588633:QUA588700 RDW588633:RDW588700 RNS588633:RNS588700 RXO588633:RXO588700 SHK588633:SHK588700 SRG588633:SRG588700 TBC588633:TBC588700 TKY588633:TKY588700 TUU588633:TUU588700 UEQ588633:UEQ588700 UOM588633:UOM588700 UYI588633:UYI588700 VIE588633:VIE588700 VSA588633:VSA588700 WBW588633:WBW588700 WLS588633:WLS588700 WVO588633:WVO588700 G654169:G654236 JC654169:JC654236 SY654169:SY654236 ACU654169:ACU654236 AMQ654169:AMQ654236 AWM654169:AWM654236 BGI654169:BGI654236 BQE654169:BQE654236 CAA654169:CAA654236 CJW654169:CJW654236 CTS654169:CTS654236 DDO654169:DDO654236 DNK654169:DNK654236 DXG654169:DXG654236 EHC654169:EHC654236 EQY654169:EQY654236 FAU654169:FAU654236 FKQ654169:FKQ654236 FUM654169:FUM654236 GEI654169:GEI654236 GOE654169:GOE654236 GYA654169:GYA654236 HHW654169:HHW654236 HRS654169:HRS654236 IBO654169:IBO654236 ILK654169:ILK654236 IVG654169:IVG654236 JFC654169:JFC654236 JOY654169:JOY654236 JYU654169:JYU654236 KIQ654169:KIQ654236 KSM654169:KSM654236 LCI654169:LCI654236 LME654169:LME654236 LWA654169:LWA654236 MFW654169:MFW654236 MPS654169:MPS654236 MZO654169:MZO654236 NJK654169:NJK654236 NTG654169:NTG654236 ODC654169:ODC654236 OMY654169:OMY654236 OWU654169:OWU654236 PGQ654169:PGQ654236 PQM654169:PQM654236 QAI654169:QAI654236 QKE654169:QKE654236 QUA654169:QUA654236 RDW654169:RDW654236 RNS654169:RNS654236 RXO654169:RXO654236 SHK654169:SHK654236 SRG654169:SRG654236 TBC654169:TBC654236 TKY654169:TKY654236 TUU654169:TUU654236 UEQ654169:UEQ654236 UOM654169:UOM654236 UYI654169:UYI654236 VIE654169:VIE654236 VSA654169:VSA654236 WBW654169:WBW654236 WLS654169:WLS654236 WVO654169:WVO654236 G719705:G719772 JC719705:JC719772 SY719705:SY719772 ACU719705:ACU719772 AMQ719705:AMQ719772 AWM719705:AWM719772 BGI719705:BGI719772 BQE719705:BQE719772 CAA719705:CAA719772 CJW719705:CJW719772 CTS719705:CTS719772 DDO719705:DDO719772 DNK719705:DNK719772 DXG719705:DXG719772 EHC719705:EHC719772 EQY719705:EQY719772 FAU719705:FAU719772 FKQ719705:FKQ719772 FUM719705:FUM719772 GEI719705:GEI719772 GOE719705:GOE719772 GYA719705:GYA719772 HHW719705:HHW719772 HRS719705:HRS719772 IBO719705:IBO719772 ILK719705:ILK719772 IVG719705:IVG719772 JFC719705:JFC719772 JOY719705:JOY719772 JYU719705:JYU719772 KIQ719705:KIQ719772 KSM719705:KSM719772 LCI719705:LCI719772 LME719705:LME719772 LWA719705:LWA719772 MFW719705:MFW719772 MPS719705:MPS719772 MZO719705:MZO719772 NJK719705:NJK719772 NTG719705:NTG719772 ODC719705:ODC719772 OMY719705:OMY719772 OWU719705:OWU719772 PGQ719705:PGQ719772 PQM719705:PQM719772 QAI719705:QAI719772 QKE719705:QKE719772 QUA719705:QUA719772 RDW719705:RDW719772 RNS719705:RNS719772 RXO719705:RXO719772 SHK719705:SHK719772 SRG719705:SRG719772 TBC719705:TBC719772 TKY719705:TKY719772 TUU719705:TUU719772 UEQ719705:UEQ719772 UOM719705:UOM719772 UYI719705:UYI719772 VIE719705:VIE719772 VSA719705:VSA719772 WBW719705:WBW719772 WLS719705:WLS719772 WVO719705:WVO719772 G785241:G785308 JC785241:JC785308 SY785241:SY785308 ACU785241:ACU785308 AMQ785241:AMQ785308 AWM785241:AWM785308 BGI785241:BGI785308 BQE785241:BQE785308 CAA785241:CAA785308 CJW785241:CJW785308 CTS785241:CTS785308 DDO785241:DDO785308 DNK785241:DNK785308 DXG785241:DXG785308 EHC785241:EHC785308 EQY785241:EQY785308 FAU785241:FAU785308 FKQ785241:FKQ785308 FUM785241:FUM785308 GEI785241:GEI785308 GOE785241:GOE785308 GYA785241:GYA785308 HHW785241:HHW785308 HRS785241:HRS785308 IBO785241:IBO785308 ILK785241:ILK785308 IVG785241:IVG785308 JFC785241:JFC785308 JOY785241:JOY785308 JYU785241:JYU785308 KIQ785241:KIQ785308 KSM785241:KSM785308 LCI785241:LCI785308 LME785241:LME785308 LWA785241:LWA785308 MFW785241:MFW785308 MPS785241:MPS785308 MZO785241:MZO785308 NJK785241:NJK785308 NTG785241:NTG785308 ODC785241:ODC785308 OMY785241:OMY785308 OWU785241:OWU785308 PGQ785241:PGQ785308 PQM785241:PQM785308 QAI785241:QAI785308 QKE785241:QKE785308 QUA785241:QUA785308 RDW785241:RDW785308 RNS785241:RNS785308 RXO785241:RXO785308 SHK785241:SHK785308 SRG785241:SRG785308 TBC785241:TBC785308 TKY785241:TKY785308 TUU785241:TUU785308 UEQ785241:UEQ785308 UOM785241:UOM785308 UYI785241:UYI785308 VIE785241:VIE785308 VSA785241:VSA785308 WBW785241:WBW785308 WLS785241:WLS785308 WVO785241:WVO785308 G850777:G850844 JC850777:JC850844 SY850777:SY850844 ACU850777:ACU850844 AMQ850777:AMQ850844 AWM850777:AWM850844 BGI850777:BGI850844 BQE850777:BQE850844 CAA850777:CAA850844 CJW850777:CJW850844 CTS850777:CTS850844 DDO850777:DDO850844 DNK850777:DNK850844 DXG850777:DXG850844 EHC850777:EHC850844 EQY850777:EQY850844 FAU850777:FAU850844 FKQ850777:FKQ850844 FUM850777:FUM850844 GEI850777:GEI850844 GOE850777:GOE850844 GYA850777:GYA850844 HHW850777:HHW850844 HRS850777:HRS850844 IBO850777:IBO850844 ILK850777:ILK850844 IVG850777:IVG850844 JFC850777:JFC850844 JOY850777:JOY850844 JYU850777:JYU850844 KIQ850777:KIQ850844 KSM850777:KSM850844 LCI850777:LCI850844 LME850777:LME850844 LWA850777:LWA850844 MFW850777:MFW850844 MPS850777:MPS850844 MZO850777:MZO850844 NJK850777:NJK850844 NTG850777:NTG850844 ODC850777:ODC850844 OMY850777:OMY850844 OWU850777:OWU850844 PGQ850777:PGQ850844 PQM850777:PQM850844 QAI850777:QAI850844 QKE850777:QKE850844 QUA850777:QUA850844 RDW850777:RDW850844 RNS850777:RNS850844 RXO850777:RXO850844 SHK850777:SHK850844 SRG850777:SRG850844 TBC850777:TBC850844 TKY850777:TKY850844 TUU850777:TUU850844 UEQ850777:UEQ850844 UOM850777:UOM850844 UYI850777:UYI850844 VIE850777:VIE850844 VSA850777:VSA850844 WBW850777:WBW850844 WLS850777:WLS850844 WVO850777:WVO850844 G916313:G916380 JC916313:JC916380 SY916313:SY916380 ACU916313:ACU916380 AMQ916313:AMQ916380 AWM916313:AWM916380 BGI916313:BGI916380 BQE916313:BQE916380 CAA916313:CAA916380 CJW916313:CJW916380 CTS916313:CTS916380 DDO916313:DDO916380 DNK916313:DNK916380 DXG916313:DXG916380 EHC916313:EHC916380 EQY916313:EQY916380 FAU916313:FAU916380 FKQ916313:FKQ916380 FUM916313:FUM916380 GEI916313:GEI916380 GOE916313:GOE916380 GYA916313:GYA916380 HHW916313:HHW916380 HRS916313:HRS916380 IBO916313:IBO916380 ILK916313:ILK916380 IVG916313:IVG916380 JFC916313:JFC916380 JOY916313:JOY916380 JYU916313:JYU916380 KIQ916313:KIQ916380 KSM916313:KSM916380 LCI916313:LCI916380 LME916313:LME916380 LWA916313:LWA916380 MFW916313:MFW916380 MPS916313:MPS916380 MZO916313:MZO916380 NJK916313:NJK916380 NTG916313:NTG916380 ODC916313:ODC916380 OMY916313:OMY916380 OWU916313:OWU916380 PGQ916313:PGQ916380 PQM916313:PQM916380 QAI916313:QAI916380 QKE916313:QKE916380 QUA916313:QUA916380 RDW916313:RDW916380 RNS916313:RNS916380 RXO916313:RXO916380 SHK916313:SHK916380 SRG916313:SRG916380 TBC916313:TBC916380 TKY916313:TKY916380 TUU916313:TUU916380 UEQ916313:UEQ916380 UOM916313:UOM916380 UYI916313:UYI916380 VIE916313:VIE916380 VSA916313:VSA916380 WBW916313:WBW916380 WLS916313:WLS916380 WVO916313:WVO916380 G981849:G981916 JC981849:JC981916 SY981849:SY981916 ACU981849:ACU981916 AMQ981849:AMQ981916 AWM981849:AWM981916 BGI981849:BGI981916 BQE981849:BQE981916 CAA981849:CAA981916 CJW981849:CJW981916 CTS981849:CTS981916 DDO981849:DDO981916 DNK981849:DNK981916 DXG981849:DXG981916 EHC981849:EHC981916 EQY981849:EQY981916 FAU981849:FAU981916 FKQ981849:FKQ981916 FUM981849:FUM981916 GEI981849:GEI981916 GOE981849:GOE981916 GYA981849:GYA981916 HHW981849:HHW981916 HRS981849:HRS981916 IBO981849:IBO981916 ILK981849:ILK981916 IVG981849:IVG981916 JFC981849:JFC981916 JOY981849:JOY981916 JYU981849:JYU981916 KIQ981849:KIQ981916 KSM981849:KSM981916 LCI981849:LCI981916 LME981849:LME981916 LWA981849:LWA981916 MFW981849:MFW981916 MPS981849:MPS981916 MZO981849:MZO981916 NJK981849:NJK981916 NTG981849:NTG981916 ODC981849:ODC981916 OMY981849:OMY981916 OWU981849:OWU981916 PGQ981849:PGQ981916 PQM981849:PQM981916 QAI981849:QAI981916 QKE981849:QKE981916 QUA981849:QUA981916 RDW981849:RDW981916 RNS981849:RNS981916 RXO981849:RXO981916 SHK981849:SHK981916 SRG981849:SRG981916 TBC981849:TBC981916 TKY981849:TKY981916 TUU981849:TUU981916 UEQ981849:UEQ981916 UOM981849:UOM981916 UYI981849:UYI981916 VIE981849:VIE981916 VSA981849:VSA981916 WBW981849:WBW981916 WLS981849:WLS981916 WVO981849:WVO981916 G1047385:G1047452 JC1047385:JC1047452 SY1047385:SY1047452 ACU1047385:ACU1047452 AMQ1047385:AMQ1047452 AWM1047385:AWM1047452 BGI1047385:BGI1047452 BQE1047385:BQE1047452 CAA1047385:CAA1047452 CJW1047385:CJW1047452 CTS1047385:CTS1047452 DDO1047385:DDO1047452 DNK1047385:DNK1047452 DXG1047385:DXG1047452 EHC1047385:EHC1047452 EQY1047385:EQY1047452 FAU1047385:FAU1047452 FKQ1047385:FKQ1047452 FUM1047385:FUM1047452 GEI1047385:GEI1047452 GOE1047385:GOE1047452 GYA1047385:GYA1047452 HHW1047385:HHW1047452 HRS1047385:HRS1047452 IBO1047385:IBO1047452 ILK1047385:ILK1047452 IVG1047385:IVG1047452 JFC1047385:JFC1047452 JOY1047385:JOY1047452 JYU1047385:JYU1047452 KIQ1047385:KIQ1047452 KSM1047385:KSM1047452 LCI1047385:LCI1047452 LME1047385:LME1047452 LWA1047385:LWA1047452 MFW1047385:MFW1047452 MPS1047385:MPS1047452 MZO1047385:MZO1047452 NJK1047385:NJK1047452 NTG1047385:NTG1047452 ODC1047385:ODC1047452 OMY1047385:OMY1047452 OWU1047385:OWU1047452 PGQ1047385:PGQ1047452 PQM1047385:PQM1047452 QAI1047385:QAI1047452 QKE1047385:QKE1047452 QUA1047385:QUA1047452 RDW1047385:RDW1047452 RNS1047385:RNS1047452 RXO1047385:RXO1047452 SHK1047385:SHK1047452 SRG1047385:SRG1047452 TBC1047385:TBC1047452 TKY1047385:TKY1047452 TUU1047385:TUU1047452 UEQ1047385:UEQ1047452 UOM1047385:UOM1047452 UYI1047385:UYI1047452 VIE1047385:VIE1047452 VSA1047385:VSA1047452 WBW1047385:WBW1047452 WLS1047385:WLS1047452 WVO1047385:WVO1047452 WVO983024:WVO983095 G65520:G65591 JC65520:JC65591 SY65520:SY65591 ACU65520:ACU65591 AMQ65520:AMQ65591 AWM65520:AWM65591 BGI65520:BGI65591 BQE65520:BQE65591 CAA65520:CAA65591 CJW65520:CJW65591 CTS65520:CTS65591 DDO65520:DDO65591 DNK65520:DNK65591 DXG65520:DXG65591 EHC65520:EHC65591 EQY65520:EQY65591 FAU65520:FAU65591 FKQ65520:FKQ65591 FUM65520:FUM65591 GEI65520:GEI65591 GOE65520:GOE65591 GYA65520:GYA65591 HHW65520:HHW65591 HRS65520:HRS65591 IBO65520:IBO65591 ILK65520:ILK65591 IVG65520:IVG65591 JFC65520:JFC65591 JOY65520:JOY65591 JYU65520:JYU65591 KIQ65520:KIQ65591 KSM65520:KSM65591 LCI65520:LCI65591 LME65520:LME65591 LWA65520:LWA65591 MFW65520:MFW65591 MPS65520:MPS65591 MZO65520:MZO65591 NJK65520:NJK65591 NTG65520:NTG65591 ODC65520:ODC65591 OMY65520:OMY65591 OWU65520:OWU65591 PGQ65520:PGQ65591 PQM65520:PQM65591 QAI65520:QAI65591 QKE65520:QKE65591 QUA65520:QUA65591 RDW65520:RDW65591 RNS65520:RNS65591 RXO65520:RXO65591 SHK65520:SHK65591 SRG65520:SRG65591 TBC65520:TBC65591 TKY65520:TKY65591 TUU65520:TUU65591 UEQ65520:UEQ65591 UOM65520:UOM65591 UYI65520:UYI65591 VIE65520:VIE65591 VSA65520:VSA65591 WBW65520:WBW65591 WLS65520:WLS65591 WVO65520:WVO65591 G131056:G131127 JC131056:JC131127 SY131056:SY131127 ACU131056:ACU131127 AMQ131056:AMQ131127 AWM131056:AWM131127 BGI131056:BGI131127 BQE131056:BQE131127 CAA131056:CAA131127 CJW131056:CJW131127 CTS131056:CTS131127 DDO131056:DDO131127 DNK131056:DNK131127 DXG131056:DXG131127 EHC131056:EHC131127 EQY131056:EQY131127 FAU131056:FAU131127 FKQ131056:FKQ131127 FUM131056:FUM131127 GEI131056:GEI131127 GOE131056:GOE131127 GYA131056:GYA131127 HHW131056:HHW131127 HRS131056:HRS131127 IBO131056:IBO131127 ILK131056:ILK131127 IVG131056:IVG131127 JFC131056:JFC131127 JOY131056:JOY131127 JYU131056:JYU131127 KIQ131056:KIQ131127 KSM131056:KSM131127 LCI131056:LCI131127 LME131056:LME131127 LWA131056:LWA131127 MFW131056:MFW131127 MPS131056:MPS131127 MZO131056:MZO131127 NJK131056:NJK131127 NTG131056:NTG131127 ODC131056:ODC131127 OMY131056:OMY131127 OWU131056:OWU131127 PGQ131056:PGQ131127 PQM131056:PQM131127 QAI131056:QAI131127 QKE131056:QKE131127 QUA131056:QUA131127 RDW131056:RDW131127 RNS131056:RNS131127 RXO131056:RXO131127 SHK131056:SHK131127 SRG131056:SRG131127 TBC131056:TBC131127 TKY131056:TKY131127 TUU131056:TUU131127 UEQ131056:UEQ131127 UOM131056:UOM131127 UYI131056:UYI131127 VIE131056:VIE131127 VSA131056:VSA131127 WBW131056:WBW131127 WLS131056:WLS131127 WVO131056:WVO131127 G196592:G196663 JC196592:JC196663 SY196592:SY196663 ACU196592:ACU196663 AMQ196592:AMQ196663 AWM196592:AWM196663 BGI196592:BGI196663 BQE196592:BQE196663 CAA196592:CAA196663 CJW196592:CJW196663 CTS196592:CTS196663 DDO196592:DDO196663 DNK196592:DNK196663 DXG196592:DXG196663 EHC196592:EHC196663 EQY196592:EQY196663 FAU196592:FAU196663 FKQ196592:FKQ196663 FUM196592:FUM196663 GEI196592:GEI196663 GOE196592:GOE196663 GYA196592:GYA196663 HHW196592:HHW196663 HRS196592:HRS196663 IBO196592:IBO196663 ILK196592:ILK196663 IVG196592:IVG196663 JFC196592:JFC196663 JOY196592:JOY196663 JYU196592:JYU196663 KIQ196592:KIQ196663 KSM196592:KSM196663 LCI196592:LCI196663 LME196592:LME196663 LWA196592:LWA196663 MFW196592:MFW196663 MPS196592:MPS196663 MZO196592:MZO196663 NJK196592:NJK196663 NTG196592:NTG196663 ODC196592:ODC196663 OMY196592:OMY196663 OWU196592:OWU196663 PGQ196592:PGQ196663 PQM196592:PQM196663 QAI196592:QAI196663 QKE196592:QKE196663 QUA196592:QUA196663 RDW196592:RDW196663 RNS196592:RNS196663 RXO196592:RXO196663 SHK196592:SHK196663 SRG196592:SRG196663 TBC196592:TBC196663 TKY196592:TKY196663 TUU196592:TUU196663 UEQ196592:UEQ196663 UOM196592:UOM196663 UYI196592:UYI196663 VIE196592:VIE196663 VSA196592:VSA196663 WBW196592:WBW196663 WLS196592:WLS196663 WVO196592:WVO196663 G262128:G262199 JC262128:JC262199 SY262128:SY262199 ACU262128:ACU262199 AMQ262128:AMQ262199 AWM262128:AWM262199 BGI262128:BGI262199 BQE262128:BQE262199 CAA262128:CAA262199 CJW262128:CJW262199 CTS262128:CTS262199 DDO262128:DDO262199 DNK262128:DNK262199 DXG262128:DXG262199 EHC262128:EHC262199 EQY262128:EQY262199 FAU262128:FAU262199 FKQ262128:FKQ262199 FUM262128:FUM262199 GEI262128:GEI262199 GOE262128:GOE262199 GYA262128:GYA262199 HHW262128:HHW262199 HRS262128:HRS262199 IBO262128:IBO262199 ILK262128:ILK262199 IVG262128:IVG262199 JFC262128:JFC262199 JOY262128:JOY262199 JYU262128:JYU262199 KIQ262128:KIQ262199 KSM262128:KSM262199 LCI262128:LCI262199 LME262128:LME262199 LWA262128:LWA262199 MFW262128:MFW262199 MPS262128:MPS262199 MZO262128:MZO262199 NJK262128:NJK262199 NTG262128:NTG262199 ODC262128:ODC262199 OMY262128:OMY262199 OWU262128:OWU262199 PGQ262128:PGQ262199 PQM262128:PQM262199 QAI262128:QAI262199 QKE262128:QKE262199 QUA262128:QUA262199 RDW262128:RDW262199 RNS262128:RNS262199 RXO262128:RXO262199 SHK262128:SHK262199 SRG262128:SRG262199 TBC262128:TBC262199 TKY262128:TKY262199 TUU262128:TUU262199 UEQ262128:UEQ262199 UOM262128:UOM262199 UYI262128:UYI262199 VIE262128:VIE262199 VSA262128:VSA262199 WBW262128:WBW262199 WLS262128:WLS262199 WVO262128:WVO262199 G327664:G327735 JC327664:JC327735 SY327664:SY327735 ACU327664:ACU327735 AMQ327664:AMQ327735 AWM327664:AWM327735 BGI327664:BGI327735 BQE327664:BQE327735 CAA327664:CAA327735 CJW327664:CJW327735 CTS327664:CTS327735 DDO327664:DDO327735 DNK327664:DNK327735 DXG327664:DXG327735 EHC327664:EHC327735 EQY327664:EQY327735 FAU327664:FAU327735 FKQ327664:FKQ327735 FUM327664:FUM327735 GEI327664:GEI327735 GOE327664:GOE327735 GYA327664:GYA327735 HHW327664:HHW327735 HRS327664:HRS327735 IBO327664:IBO327735 ILK327664:ILK327735 IVG327664:IVG327735 JFC327664:JFC327735 JOY327664:JOY327735 JYU327664:JYU327735 KIQ327664:KIQ327735 KSM327664:KSM327735 LCI327664:LCI327735 LME327664:LME327735 LWA327664:LWA327735 MFW327664:MFW327735 MPS327664:MPS327735 MZO327664:MZO327735 NJK327664:NJK327735 NTG327664:NTG327735 ODC327664:ODC327735 OMY327664:OMY327735 OWU327664:OWU327735 PGQ327664:PGQ327735 PQM327664:PQM327735 QAI327664:QAI327735 QKE327664:QKE327735 QUA327664:QUA327735 RDW327664:RDW327735 RNS327664:RNS327735 RXO327664:RXO327735 SHK327664:SHK327735 SRG327664:SRG327735 TBC327664:TBC327735 TKY327664:TKY327735 TUU327664:TUU327735 UEQ327664:UEQ327735 UOM327664:UOM327735 UYI327664:UYI327735 VIE327664:VIE327735 VSA327664:VSA327735 WBW327664:WBW327735 WLS327664:WLS327735 WVO327664:WVO327735 G393200:G393271 JC393200:JC393271 SY393200:SY393271 ACU393200:ACU393271 AMQ393200:AMQ393271 AWM393200:AWM393271 BGI393200:BGI393271 BQE393200:BQE393271 CAA393200:CAA393271 CJW393200:CJW393271 CTS393200:CTS393271 DDO393200:DDO393271 DNK393200:DNK393271 DXG393200:DXG393271 EHC393200:EHC393271 EQY393200:EQY393271 FAU393200:FAU393271 FKQ393200:FKQ393271 FUM393200:FUM393271 GEI393200:GEI393271 GOE393200:GOE393271 GYA393200:GYA393271 HHW393200:HHW393271 HRS393200:HRS393271 IBO393200:IBO393271 ILK393200:ILK393271 IVG393200:IVG393271 JFC393200:JFC393271 JOY393200:JOY393271 JYU393200:JYU393271 KIQ393200:KIQ393271 KSM393200:KSM393271 LCI393200:LCI393271 LME393200:LME393271 LWA393200:LWA393271 MFW393200:MFW393271 MPS393200:MPS393271 MZO393200:MZO393271 NJK393200:NJK393271 NTG393200:NTG393271 ODC393200:ODC393271 OMY393200:OMY393271 OWU393200:OWU393271 PGQ393200:PGQ393271 PQM393200:PQM393271 QAI393200:QAI393271 QKE393200:QKE393271 QUA393200:QUA393271 RDW393200:RDW393271 RNS393200:RNS393271 RXO393200:RXO393271 SHK393200:SHK393271 SRG393200:SRG393271 TBC393200:TBC393271 TKY393200:TKY393271 TUU393200:TUU393271 UEQ393200:UEQ393271 UOM393200:UOM393271 UYI393200:UYI393271 VIE393200:VIE393271 VSA393200:VSA393271 WBW393200:WBW393271 WLS393200:WLS393271 WVO393200:WVO393271 G458736:G458807 JC458736:JC458807 SY458736:SY458807 ACU458736:ACU458807 AMQ458736:AMQ458807 AWM458736:AWM458807 BGI458736:BGI458807 BQE458736:BQE458807 CAA458736:CAA458807 CJW458736:CJW458807 CTS458736:CTS458807 DDO458736:DDO458807 DNK458736:DNK458807 DXG458736:DXG458807 EHC458736:EHC458807 EQY458736:EQY458807 FAU458736:FAU458807 FKQ458736:FKQ458807 FUM458736:FUM458807 GEI458736:GEI458807 GOE458736:GOE458807 GYA458736:GYA458807 HHW458736:HHW458807 HRS458736:HRS458807 IBO458736:IBO458807 ILK458736:ILK458807 IVG458736:IVG458807 JFC458736:JFC458807 JOY458736:JOY458807 JYU458736:JYU458807 KIQ458736:KIQ458807 KSM458736:KSM458807 LCI458736:LCI458807 LME458736:LME458807 LWA458736:LWA458807 MFW458736:MFW458807 MPS458736:MPS458807 MZO458736:MZO458807 NJK458736:NJK458807 NTG458736:NTG458807 ODC458736:ODC458807 OMY458736:OMY458807 OWU458736:OWU458807 PGQ458736:PGQ458807 PQM458736:PQM458807 QAI458736:QAI458807 QKE458736:QKE458807 QUA458736:QUA458807 RDW458736:RDW458807 RNS458736:RNS458807 RXO458736:RXO458807 SHK458736:SHK458807 SRG458736:SRG458807 TBC458736:TBC458807 TKY458736:TKY458807 TUU458736:TUU458807 UEQ458736:UEQ458807 UOM458736:UOM458807 UYI458736:UYI458807 VIE458736:VIE458807 VSA458736:VSA458807 WBW458736:WBW458807 WLS458736:WLS458807 WVO458736:WVO458807 G524272:G524343 JC524272:JC524343 SY524272:SY524343 ACU524272:ACU524343 AMQ524272:AMQ524343 AWM524272:AWM524343 BGI524272:BGI524343 BQE524272:BQE524343 CAA524272:CAA524343 CJW524272:CJW524343 CTS524272:CTS524343 DDO524272:DDO524343 DNK524272:DNK524343 DXG524272:DXG524343 EHC524272:EHC524343 EQY524272:EQY524343 FAU524272:FAU524343 FKQ524272:FKQ524343 FUM524272:FUM524343 GEI524272:GEI524343 GOE524272:GOE524343 GYA524272:GYA524343 HHW524272:HHW524343 HRS524272:HRS524343 IBO524272:IBO524343 ILK524272:ILK524343 IVG524272:IVG524343 JFC524272:JFC524343 JOY524272:JOY524343 JYU524272:JYU524343 KIQ524272:KIQ524343 KSM524272:KSM524343 LCI524272:LCI524343 LME524272:LME524343 LWA524272:LWA524343 MFW524272:MFW524343 MPS524272:MPS524343 MZO524272:MZO524343 NJK524272:NJK524343 NTG524272:NTG524343 ODC524272:ODC524343 OMY524272:OMY524343 OWU524272:OWU524343 PGQ524272:PGQ524343 PQM524272:PQM524343 QAI524272:QAI524343 QKE524272:QKE524343 QUA524272:QUA524343 RDW524272:RDW524343 RNS524272:RNS524343 RXO524272:RXO524343 SHK524272:SHK524343 SRG524272:SRG524343 TBC524272:TBC524343 TKY524272:TKY524343 TUU524272:TUU524343 UEQ524272:UEQ524343 UOM524272:UOM524343 UYI524272:UYI524343 VIE524272:VIE524343 VSA524272:VSA524343 WBW524272:WBW524343 WLS524272:WLS524343 WVO524272:WVO524343 G589808:G589879 JC589808:JC589879 SY589808:SY589879 ACU589808:ACU589879 AMQ589808:AMQ589879 AWM589808:AWM589879 BGI589808:BGI589879 BQE589808:BQE589879 CAA589808:CAA589879 CJW589808:CJW589879 CTS589808:CTS589879 DDO589808:DDO589879 DNK589808:DNK589879 DXG589808:DXG589879 EHC589808:EHC589879 EQY589808:EQY589879 FAU589808:FAU589879 FKQ589808:FKQ589879 FUM589808:FUM589879 GEI589808:GEI589879 GOE589808:GOE589879 GYA589808:GYA589879 HHW589808:HHW589879 HRS589808:HRS589879 IBO589808:IBO589879 ILK589808:ILK589879 IVG589808:IVG589879 JFC589808:JFC589879 JOY589808:JOY589879 JYU589808:JYU589879 KIQ589808:KIQ589879 KSM589808:KSM589879 LCI589808:LCI589879 LME589808:LME589879 LWA589808:LWA589879 MFW589808:MFW589879 MPS589808:MPS589879 MZO589808:MZO589879 NJK589808:NJK589879 NTG589808:NTG589879 ODC589808:ODC589879 OMY589808:OMY589879 OWU589808:OWU589879 PGQ589808:PGQ589879 PQM589808:PQM589879 QAI589808:QAI589879 QKE589808:QKE589879 QUA589808:QUA589879 RDW589808:RDW589879 RNS589808:RNS589879 RXO589808:RXO589879 SHK589808:SHK589879 SRG589808:SRG589879 TBC589808:TBC589879 TKY589808:TKY589879 TUU589808:TUU589879 UEQ589808:UEQ589879 UOM589808:UOM589879 UYI589808:UYI589879 VIE589808:VIE589879 VSA589808:VSA589879 WBW589808:WBW589879 WLS589808:WLS589879 WVO589808:WVO589879 G655344:G655415 JC655344:JC655415 SY655344:SY655415 ACU655344:ACU655415 AMQ655344:AMQ655415 AWM655344:AWM655415 BGI655344:BGI655415 BQE655344:BQE655415 CAA655344:CAA655415 CJW655344:CJW655415 CTS655344:CTS655415 DDO655344:DDO655415 DNK655344:DNK655415 DXG655344:DXG655415 EHC655344:EHC655415 EQY655344:EQY655415 FAU655344:FAU655415 FKQ655344:FKQ655415 FUM655344:FUM655415 GEI655344:GEI655415 GOE655344:GOE655415 GYA655344:GYA655415 HHW655344:HHW655415 HRS655344:HRS655415 IBO655344:IBO655415 ILK655344:ILK655415 IVG655344:IVG655415 JFC655344:JFC655415 JOY655344:JOY655415 JYU655344:JYU655415 KIQ655344:KIQ655415 KSM655344:KSM655415 LCI655344:LCI655415 LME655344:LME655415 LWA655344:LWA655415 MFW655344:MFW655415 MPS655344:MPS655415 MZO655344:MZO655415 NJK655344:NJK655415 NTG655344:NTG655415 ODC655344:ODC655415 OMY655344:OMY655415 OWU655344:OWU655415 PGQ655344:PGQ655415 PQM655344:PQM655415 QAI655344:QAI655415 QKE655344:QKE655415 QUA655344:QUA655415 RDW655344:RDW655415 RNS655344:RNS655415 RXO655344:RXO655415 SHK655344:SHK655415 SRG655344:SRG655415 TBC655344:TBC655415 TKY655344:TKY655415 TUU655344:TUU655415 UEQ655344:UEQ655415 UOM655344:UOM655415 UYI655344:UYI655415 VIE655344:VIE655415 VSA655344:VSA655415 WBW655344:WBW655415 WLS655344:WLS655415 WVO655344:WVO655415 G720880:G720951 JC720880:JC720951 SY720880:SY720951 ACU720880:ACU720951 AMQ720880:AMQ720951 AWM720880:AWM720951 BGI720880:BGI720951 BQE720880:BQE720951 CAA720880:CAA720951 CJW720880:CJW720951 CTS720880:CTS720951 DDO720880:DDO720951 DNK720880:DNK720951 DXG720880:DXG720951 EHC720880:EHC720951 EQY720880:EQY720951 FAU720880:FAU720951 FKQ720880:FKQ720951 FUM720880:FUM720951 GEI720880:GEI720951 GOE720880:GOE720951 GYA720880:GYA720951 HHW720880:HHW720951 HRS720880:HRS720951 IBO720880:IBO720951 ILK720880:ILK720951 IVG720880:IVG720951 JFC720880:JFC720951 JOY720880:JOY720951 JYU720880:JYU720951 KIQ720880:KIQ720951 KSM720880:KSM720951 LCI720880:LCI720951 LME720880:LME720951 LWA720880:LWA720951 MFW720880:MFW720951 MPS720880:MPS720951 MZO720880:MZO720951 NJK720880:NJK720951 NTG720880:NTG720951 ODC720880:ODC720951 OMY720880:OMY720951 OWU720880:OWU720951 PGQ720880:PGQ720951 PQM720880:PQM720951 QAI720880:QAI720951 QKE720880:QKE720951 QUA720880:QUA720951 RDW720880:RDW720951 RNS720880:RNS720951 RXO720880:RXO720951 SHK720880:SHK720951 SRG720880:SRG720951 TBC720880:TBC720951 TKY720880:TKY720951 TUU720880:TUU720951 UEQ720880:UEQ720951 UOM720880:UOM720951 UYI720880:UYI720951 VIE720880:VIE720951 VSA720880:VSA720951 WBW720880:WBW720951 WLS720880:WLS720951 WVO720880:WVO720951 G786416:G786487 JC786416:JC786487 SY786416:SY786487 ACU786416:ACU786487 AMQ786416:AMQ786487 AWM786416:AWM786487 BGI786416:BGI786487 BQE786416:BQE786487 CAA786416:CAA786487 CJW786416:CJW786487 CTS786416:CTS786487 DDO786416:DDO786487 DNK786416:DNK786487 DXG786416:DXG786487 EHC786416:EHC786487 EQY786416:EQY786487 FAU786416:FAU786487 FKQ786416:FKQ786487 FUM786416:FUM786487 GEI786416:GEI786487 GOE786416:GOE786487 GYA786416:GYA786487 HHW786416:HHW786487 HRS786416:HRS786487 IBO786416:IBO786487 ILK786416:ILK786487 IVG786416:IVG786487 JFC786416:JFC786487 JOY786416:JOY786487 JYU786416:JYU786487 KIQ786416:KIQ786487 KSM786416:KSM786487 LCI786416:LCI786487 LME786416:LME786487 LWA786416:LWA786487 MFW786416:MFW786487 MPS786416:MPS786487 MZO786416:MZO786487 NJK786416:NJK786487 NTG786416:NTG786487 ODC786416:ODC786487 OMY786416:OMY786487 OWU786416:OWU786487 PGQ786416:PGQ786487 PQM786416:PQM786487 QAI786416:QAI786487 QKE786416:QKE786487 QUA786416:QUA786487 RDW786416:RDW786487 RNS786416:RNS786487 RXO786416:RXO786487 SHK786416:SHK786487 SRG786416:SRG786487 TBC786416:TBC786487 TKY786416:TKY786487 TUU786416:TUU786487 UEQ786416:UEQ786487 UOM786416:UOM786487 UYI786416:UYI786487 VIE786416:VIE786487 VSA786416:VSA786487 WBW786416:WBW786487 WLS786416:WLS786487 WVO786416:WVO786487 G851952:G852023 JC851952:JC852023 SY851952:SY852023 ACU851952:ACU852023 AMQ851952:AMQ852023 AWM851952:AWM852023 BGI851952:BGI852023 BQE851952:BQE852023 CAA851952:CAA852023 CJW851952:CJW852023 CTS851952:CTS852023 DDO851952:DDO852023 DNK851952:DNK852023 DXG851952:DXG852023 EHC851952:EHC852023 EQY851952:EQY852023 FAU851952:FAU852023 FKQ851952:FKQ852023 FUM851952:FUM852023 GEI851952:GEI852023 GOE851952:GOE852023 GYA851952:GYA852023 HHW851952:HHW852023 HRS851952:HRS852023 IBO851952:IBO852023 ILK851952:ILK852023 IVG851952:IVG852023 JFC851952:JFC852023 JOY851952:JOY852023 JYU851952:JYU852023 KIQ851952:KIQ852023 KSM851952:KSM852023 LCI851952:LCI852023 LME851952:LME852023 LWA851952:LWA852023 MFW851952:MFW852023 MPS851952:MPS852023 MZO851952:MZO852023 NJK851952:NJK852023 NTG851952:NTG852023 ODC851952:ODC852023 OMY851952:OMY852023 OWU851952:OWU852023 PGQ851952:PGQ852023 PQM851952:PQM852023 QAI851952:QAI852023 QKE851952:QKE852023 QUA851952:QUA852023 RDW851952:RDW852023 RNS851952:RNS852023 RXO851952:RXO852023 SHK851952:SHK852023 SRG851952:SRG852023 TBC851952:TBC852023 TKY851952:TKY852023 TUU851952:TUU852023 UEQ851952:UEQ852023 UOM851952:UOM852023 UYI851952:UYI852023 VIE851952:VIE852023 VSA851952:VSA852023 WBW851952:WBW852023 WLS851952:WLS852023 WVO851952:WVO852023 G917488:G917559 JC917488:JC917559 SY917488:SY917559 ACU917488:ACU917559 AMQ917488:AMQ917559 AWM917488:AWM917559 BGI917488:BGI917559 BQE917488:BQE917559 CAA917488:CAA917559 CJW917488:CJW917559 CTS917488:CTS917559 DDO917488:DDO917559 DNK917488:DNK917559 DXG917488:DXG917559 EHC917488:EHC917559 EQY917488:EQY917559 FAU917488:FAU917559 FKQ917488:FKQ917559 FUM917488:FUM917559 GEI917488:GEI917559 GOE917488:GOE917559 GYA917488:GYA917559 HHW917488:HHW917559 HRS917488:HRS917559 IBO917488:IBO917559 ILK917488:ILK917559 IVG917488:IVG917559 JFC917488:JFC917559 JOY917488:JOY917559 JYU917488:JYU917559 KIQ917488:KIQ917559 KSM917488:KSM917559 LCI917488:LCI917559 LME917488:LME917559 LWA917488:LWA917559 MFW917488:MFW917559 MPS917488:MPS917559 MZO917488:MZO917559 NJK917488:NJK917559 NTG917488:NTG917559 ODC917488:ODC917559 OMY917488:OMY917559 OWU917488:OWU917559 PGQ917488:PGQ917559 PQM917488:PQM917559 QAI917488:QAI917559 QKE917488:QKE917559 QUA917488:QUA917559 RDW917488:RDW917559 RNS917488:RNS917559 RXO917488:RXO917559 SHK917488:SHK917559 SRG917488:SRG917559 TBC917488:TBC917559 TKY917488:TKY917559 TUU917488:TUU917559 UEQ917488:UEQ917559 UOM917488:UOM917559 UYI917488:UYI917559 VIE917488:VIE917559 VSA917488:VSA917559 WBW917488:WBW917559 WLS917488:WLS917559 WVO917488:WVO917559 G983024:G983095 JC983024:JC983095 SY983024:SY983095 ACU983024:ACU983095 AMQ983024:AMQ983095 AWM983024:AWM983095 BGI983024:BGI983095 BQE983024:BQE983095 CAA983024:CAA983095 CJW983024:CJW983095 CTS983024:CTS983095 DDO983024:DDO983095 DNK983024:DNK983095 DXG983024:DXG983095 EHC983024:EHC983095 EQY983024:EQY983095 FAU983024:FAU983095 FKQ983024:FKQ983095 FUM983024:FUM983095 GEI983024:GEI983095 GOE983024:GOE983095 GYA983024:GYA983095 HHW983024:HHW983095 HRS983024:HRS983095 IBO983024:IBO983095 ILK983024:ILK983095 IVG983024:IVG983095 JFC983024:JFC983095 JOY983024:JOY983095 JYU983024:JYU983095 KIQ983024:KIQ983095 KSM983024:KSM983095 LCI983024:LCI983095 LME983024:LME983095 LWA983024:LWA983095 MFW983024:MFW983095 MPS983024:MPS983095 MZO983024:MZO983095 NJK983024:NJK983095 NTG983024:NTG983095 ODC983024:ODC983095 OMY983024:OMY983095 OWU983024:OWU983095 PGQ983024:PGQ983095 PQM983024:PQM983095 QAI983024:QAI983095 QKE983024:QKE983095 QUA983024:QUA983095 RDW983024:RDW983095 RNS983024:RNS983095 RXO983024:RXO983095 SHK983024:SHK983095 SRG983024:SRG983095 TBC983024:TBC983095 TKY983024:TKY983095 TUU983024:TUU983095 UEQ983024:UEQ983095 UOM983024:UOM983095 UYI983024:UYI983095 VIE983024:VIE983095 VSA983024:VSA983095 WBW983024:WBW983095 WLS983024:WLS983095 G2:G482 JC2:JC69 WVO2:WVO69 WLS2:WLS69 WBW2:WBW69 VSA2:VSA69 VIE2:VIE69 UYI2:UYI69 UOM2:UOM69 UEQ2:UEQ69 TUU2:TUU69 TKY2:TKY69 TBC2:TBC69 SRG2:SRG69 SHK2:SHK69 RXO2:RXO69 RNS2:RNS69 RDW2:RDW69 QUA2:QUA69 QKE2:QKE69 QAI2:QAI69 PQM2:PQM69 PGQ2:PGQ69 OWU2:OWU69 OMY2:OMY69 ODC2:ODC69 NTG2:NTG69 NJK2:NJK69 MZO2:MZO69 MPS2:MPS69 MFW2:MFW69 LWA2:LWA69 LME2:LME69 LCI2:LCI69 KSM2:KSM69 KIQ2:KIQ69 JYU2:JYU69 JOY2:JOY69 JFC2:JFC69 IVG2:IVG69 ILK2:ILK69 IBO2:IBO69 HRS2:HRS69 HHW2:HHW69 GYA2:GYA69 GOE2:GOE69 GEI2:GEI69 FUM2:FUM69 FKQ2:FKQ69 FAU2:FAU69 EQY2:EQY69 EHC2:EHC69 DXG2:DXG69 DNK2:DNK69 DDO2:DDO69 CTS2:CTS69 CJW2:CJW69 CAA2:CAA69 BQE2:BQE69 BGI2:BGI69 AWM2:AWM69 AMQ2:AMQ69 ACU2:ACU69 SY2:SY69" xr:uid="{52017921-F45F-47E1-B293-F848D8098069}">
      <formula1>$AJ$2:$AJ$4</formula1>
    </dataValidation>
    <dataValidation type="list" allowBlank="1" showInputMessage="1" showErrorMessage="1" sqref="I64345:I64410 JE64345:JE64410 TA64345:TA64410 ACW64345:ACW64410 AMS64345:AMS64410 AWO64345:AWO64410 BGK64345:BGK64410 BQG64345:BQG64410 CAC64345:CAC64410 CJY64345:CJY64410 CTU64345:CTU64410 DDQ64345:DDQ64410 DNM64345:DNM64410 DXI64345:DXI64410 EHE64345:EHE64410 ERA64345:ERA64410 FAW64345:FAW64410 FKS64345:FKS64410 FUO64345:FUO64410 GEK64345:GEK64410 GOG64345:GOG64410 GYC64345:GYC64410 HHY64345:HHY64410 HRU64345:HRU64410 IBQ64345:IBQ64410 ILM64345:ILM64410 IVI64345:IVI64410 JFE64345:JFE64410 JPA64345:JPA64410 JYW64345:JYW64410 KIS64345:KIS64410 KSO64345:KSO64410 LCK64345:LCK64410 LMG64345:LMG64410 LWC64345:LWC64410 MFY64345:MFY64410 MPU64345:MPU64410 MZQ64345:MZQ64410 NJM64345:NJM64410 NTI64345:NTI64410 ODE64345:ODE64410 ONA64345:ONA64410 OWW64345:OWW64410 PGS64345:PGS64410 PQO64345:PQO64410 QAK64345:QAK64410 QKG64345:QKG64410 QUC64345:QUC64410 RDY64345:RDY64410 RNU64345:RNU64410 RXQ64345:RXQ64410 SHM64345:SHM64410 SRI64345:SRI64410 TBE64345:TBE64410 TLA64345:TLA64410 TUW64345:TUW64410 UES64345:UES64410 UOO64345:UOO64410 UYK64345:UYK64410 VIG64345:VIG64410 VSC64345:VSC64410 WBY64345:WBY64410 WLU64345:WLU64410 WVQ64345:WVQ64410 I129881:I129946 JE129881:JE129946 TA129881:TA129946 ACW129881:ACW129946 AMS129881:AMS129946 AWO129881:AWO129946 BGK129881:BGK129946 BQG129881:BQG129946 CAC129881:CAC129946 CJY129881:CJY129946 CTU129881:CTU129946 DDQ129881:DDQ129946 DNM129881:DNM129946 DXI129881:DXI129946 EHE129881:EHE129946 ERA129881:ERA129946 FAW129881:FAW129946 FKS129881:FKS129946 FUO129881:FUO129946 GEK129881:GEK129946 GOG129881:GOG129946 GYC129881:GYC129946 HHY129881:HHY129946 HRU129881:HRU129946 IBQ129881:IBQ129946 ILM129881:ILM129946 IVI129881:IVI129946 JFE129881:JFE129946 JPA129881:JPA129946 JYW129881:JYW129946 KIS129881:KIS129946 KSO129881:KSO129946 LCK129881:LCK129946 LMG129881:LMG129946 LWC129881:LWC129946 MFY129881:MFY129946 MPU129881:MPU129946 MZQ129881:MZQ129946 NJM129881:NJM129946 NTI129881:NTI129946 ODE129881:ODE129946 ONA129881:ONA129946 OWW129881:OWW129946 PGS129881:PGS129946 PQO129881:PQO129946 QAK129881:QAK129946 QKG129881:QKG129946 QUC129881:QUC129946 RDY129881:RDY129946 RNU129881:RNU129946 RXQ129881:RXQ129946 SHM129881:SHM129946 SRI129881:SRI129946 TBE129881:TBE129946 TLA129881:TLA129946 TUW129881:TUW129946 UES129881:UES129946 UOO129881:UOO129946 UYK129881:UYK129946 VIG129881:VIG129946 VSC129881:VSC129946 WBY129881:WBY129946 WLU129881:WLU129946 WVQ129881:WVQ129946 I195417:I195482 JE195417:JE195482 TA195417:TA195482 ACW195417:ACW195482 AMS195417:AMS195482 AWO195417:AWO195482 BGK195417:BGK195482 BQG195417:BQG195482 CAC195417:CAC195482 CJY195417:CJY195482 CTU195417:CTU195482 DDQ195417:DDQ195482 DNM195417:DNM195482 DXI195417:DXI195482 EHE195417:EHE195482 ERA195417:ERA195482 FAW195417:FAW195482 FKS195417:FKS195482 FUO195417:FUO195482 GEK195417:GEK195482 GOG195417:GOG195482 GYC195417:GYC195482 HHY195417:HHY195482 HRU195417:HRU195482 IBQ195417:IBQ195482 ILM195417:ILM195482 IVI195417:IVI195482 JFE195417:JFE195482 JPA195417:JPA195482 JYW195417:JYW195482 KIS195417:KIS195482 KSO195417:KSO195482 LCK195417:LCK195482 LMG195417:LMG195482 LWC195417:LWC195482 MFY195417:MFY195482 MPU195417:MPU195482 MZQ195417:MZQ195482 NJM195417:NJM195482 NTI195417:NTI195482 ODE195417:ODE195482 ONA195417:ONA195482 OWW195417:OWW195482 PGS195417:PGS195482 PQO195417:PQO195482 QAK195417:QAK195482 QKG195417:QKG195482 QUC195417:QUC195482 RDY195417:RDY195482 RNU195417:RNU195482 RXQ195417:RXQ195482 SHM195417:SHM195482 SRI195417:SRI195482 TBE195417:TBE195482 TLA195417:TLA195482 TUW195417:TUW195482 UES195417:UES195482 UOO195417:UOO195482 UYK195417:UYK195482 VIG195417:VIG195482 VSC195417:VSC195482 WBY195417:WBY195482 WLU195417:WLU195482 WVQ195417:WVQ195482 I260953:I261018 JE260953:JE261018 TA260953:TA261018 ACW260953:ACW261018 AMS260953:AMS261018 AWO260953:AWO261018 BGK260953:BGK261018 BQG260953:BQG261018 CAC260953:CAC261018 CJY260953:CJY261018 CTU260953:CTU261018 DDQ260953:DDQ261018 DNM260953:DNM261018 DXI260953:DXI261018 EHE260953:EHE261018 ERA260953:ERA261018 FAW260953:FAW261018 FKS260953:FKS261018 FUO260953:FUO261018 GEK260953:GEK261018 GOG260953:GOG261018 GYC260953:GYC261018 HHY260953:HHY261018 HRU260953:HRU261018 IBQ260953:IBQ261018 ILM260953:ILM261018 IVI260953:IVI261018 JFE260953:JFE261018 JPA260953:JPA261018 JYW260953:JYW261018 KIS260953:KIS261018 KSO260953:KSO261018 LCK260953:LCK261018 LMG260953:LMG261018 LWC260953:LWC261018 MFY260953:MFY261018 MPU260953:MPU261018 MZQ260953:MZQ261018 NJM260953:NJM261018 NTI260953:NTI261018 ODE260953:ODE261018 ONA260953:ONA261018 OWW260953:OWW261018 PGS260953:PGS261018 PQO260953:PQO261018 QAK260953:QAK261018 QKG260953:QKG261018 QUC260953:QUC261018 RDY260953:RDY261018 RNU260953:RNU261018 RXQ260953:RXQ261018 SHM260953:SHM261018 SRI260953:SRI261018 TBE260953:TBE261018 TLA260953:TLA261018 TUW260953:TUW261018 UES260953:UES261018 UOO260953:UOO261018 UYK260953:UYK261018 VIG260953:VIG261018 VSC260953:VSC261018 WBY260953:WBY261018 WLU260953:WLU261018 WVQ260953:WVQ261018 I326489:I326554 JE326489:JE326554 TA326489:TA326554 ACW326489:ACW326554 AMS326489:AMS326554 AWO326489:AWO326554 BGK326489:BGK326554 BQG326489:BQG326554 CAC326489:CAC326554 CJY326489:CJY326554 CTU326489:CTU326554 DDQ326489:DDQ326554 DNM326489:DNM326554 DXI326489:DXI326554 EHE326489:EHE326554 ERA326489:ERA326554 FAW326489:FAW326554 FKS326489:FKS326554 FUO326489:FUO326554 GEK326489:GEK326554 GOG326489:GOG326554 GYC326489:GYC326554 HHY326489:HHY326554 HRU326489:HRU326554 IBQ326489:IBQ326554 ILM326489:ILM326554 IVI326489:IVI326554 JFE326489:JFE326554 JPA326489:JPA326554 JYW326489:JYW326554 KIS326489:KIS326554 KSO326489:KSO326554 LCK326489:LCK326554 LMG326489:LMG326554 LWC326489:LWC326554 MFY326489:MFY326554 MPU326489:MPU326554 MZQ326489:MZQ326554 NJM326489:NJM326554 NTI326489:NTI326554 ODE326489:ODE326554 ONA326489:ONA326554 OWW326489:OWW326554 PGS326489:PGS326554 PQO326489:PQO326554 QAK326489:QAK326554 QKG326489:QKG326554 QUC326489:QUC326554 RDY326489:RDY326554 RNU326489:RNU326554 RXQ326489:RXQ326554 SHM326489:SHM326554 SRI326489:SRI326554 TBE326489:TBE326554 TLA326489:TLA326554 TUW326489:TUW326554 UES326489:UES326554 UOO326489:UOO326554 UYK326489:UYK326554 VIG326489:VIG326554 VSC326489:VSC326554 WBY326489:WBY326554 WLU326489:WLU326554 WVQ326489:WVQ326554 I392025:I392090 JE392025:JE392090 TA392025:TA392090 ACW392025:ACW392090 AMS392025:AMS392090 AWO392025:AWO392090 BGK392025:BGK392090 BQG392025:BQG392090 CAC392025:CAC392090 CJY392025:CJY392090 CTU392025:CTU392090 DDQ392025:DDQ392090 DNM392025:DNM392090 DXI392025:DXI392090 EHE392025:EHE392090 ERA392025:ERA392090 FAW392025:FAW392090 FKS392025:FKS392090 FUO392025:FUO392090 GEK392025:GEK392090 GOG392025:GOG392090 GYC392025:GYC392090 HHY392025:HHY392090 HRU392025:HRU392090 IBQ392025:IBQ392090 ILM392025:ILM392090 IVI392025:IVI392090 JFE392025:JFE392090 JPA392025:JPA392090 JYW392025:JYW392090 KIS392025:KIS392090 KSO392025:KSO392090 LCK392025:LCK392090 LMG392025:LMG392090 LWC392025:LWC392090 MFY392025:MFY392090 MPU392025:MPU392090 MZQ392025:MZQ392090 NJM392025:NJM392090 NTI392025:NTI392090 ODE392025:ODE392090 ONA392025:ONA392090 OWW392025:OWW392090 PGS392025:PGS392090 PQO392025:PQO392090 QAK392025:QAK392090 QKG392025:QKG392090 QUC392025:QUC392090 RDY392025:RDY392090 RNU392025:RNU392090 RXQ392025:RXQ392090 SHM392025:SHM392090 SRI392025:SRI392090 TBE392025:TBE392090 TLA392025:TLA392090 TUW392025:TUW392090 UES392025:UES392090 UOO392025:UOO392090 UYK392025:UYK392090 VIG392025:VIG392090 VSC392025:VSC392090 WBY392025:WBY392090 WLU392025:WLU392090 WVQ392025:WVQ392090 I457561:I457626 JE457561:JE457626 TA457561:TA457626 ACW457561:ACW457626 AMS457561:AMS457626 AWO457561:AWO457626 BGK457561:BGK457626 BQG457561:BQG457626 CAC457561:CAC457626 CJY457561:CJY457626 CTU457561:CTU457626 DDQ457561:DDQ457626 DNM457561:DNM457626 DXI457561:DXI457626 EHE457561:EHE457626 ERA457561:ERA457626 FAW457561:FAW457626 FKS457561:FKS457626 FUO457561:FUO457626 GEK457561:GEK457626 GOG457561:GOG457626 GYC457561:GYC457626 HHY457561:HHY457626 HRU457561:HRU457626 IBQ457561:IBQ457626 ILM457561:ILM457626 IVI457561:IVI457626 JFE457561:JFE457626 JPA457561:JPA457626 JYW457561:JYW457626 KIS457561:KIS457626 KSO457561:KSO457626 LCK457561:LCK457626 LMG457561:LMG457626 LWC457561:LWC457626 MFY457561:MFY457626 MPU457561:MPU457626 MZQ457561:MZQ457626 NJM457561:NJM457626 NTI457561:NTI457626 ODE457561:ODE457626 ONA457561:ONA457626 OWW457561:OWW457626 PGS457561:PGS457626 PQO457561:PQO457626 QAK457561:QAK457626 QKG457561:QKG457626 QUC457561:QUC457626 RDY457561:RDY457626 RNU457561:RNU457626 RXQ457561:RXQ457626 SHM457561:SHM457626 SRI457561:SRI457626 TBE457561:TBE457626 TLA457561:TLA457626 TUW457561:TUW457626 UES457561:UES457626 UOO457561:UOO457626 UYK457561:UYK457626 VIG457561:VIG457626 VSC457561:VSC457626 WBY457561:WBY457626 WLU457561:WLU457626 WVQ457561:WVQ457626 I523097:I523162 JE523097:JE523162 TA523097:TA523162 ACW523097:ACW523162 AMS523097:AMS523162 AWO523097:AWO523162 BGK523097:BGK523162 BQG523097:BQG523162 CAC523097:CAC523162 CJY523097:CJY523162 CTU523097:CTU523162 DDQ523097:DDQ523162 DNM523097:DNM523162 DXI523097:DXI523162 EHE523097:EHE523162 ERA523097:ERA523162 FAW523097:FAW523162 FKS523097:FKS523162 FUO523097:FUO523162 GEK523097:GEK523162 GOG523097:GOG523162 GYC523097:GYC523162 HHY523097:HHY523162 HRU523097:HRU523162 IBQ523097:IBQ523162 ILM523097:ILM523162 IVI523097:IVI523162 JFE523097:JFE523162 JPA523097:JPA523162 JYW523097:JYW523162 KIS523097:KIS523162 KSO523097:KSO523162 LCK523097:LCK523162 LMG523097:LMG523162 LWC523097:LWC523162 MFY523097:MFY523162 MPU523097:MPU523162 MZQ523097:MZQ523162 NJM523097:NJM523162 NTI523097:NTI523162 ODE523097:ODE523162 ONA523097:ONA523162 OWW523097:OWW523162 PGS523097:PGS523162 PQO523097:PQO523162 QAK523097:QAK523162 QKG523097:QKG523162 QUC523097:QUC523162 RDY523097:RDY523162 RNU523097:RNU523162 RXQ523097:RXQ523162 SHM523097:SHM523162 SRI523097:SRI523162 TBE523097:TBE523162 TLA523097:TLA523162 TUW523097:TUW523162 UES523097:UES523162 UOO523097:UOO523162 UYK523097:UYK523162 VIG523097:VIG523162 VSC523097:VSC523162 WBY523097:WBY523162 WLU523097:WLU523162 WVQ523097:WVQ523162 I588633:I588698 JE588633:JE588698 TA588633:TA588698 ACW588633:ACW588698 AMS588633:AMS588698 AWO588633:AWO588698 BGK588633:BGK588698 BQG588633:BQG588698 CAC588633:CAC588698 CJY588633:CJY588698 CTU588633:CTU588698 DDQ588633:DDQ588698 DNM588633:DNM588698 DXI588633:DXI588698 EHE588633:EHE588698 ERA588633:ERA588698 FAW588633:FAW588698 FKS588633:FKS588698 FUO588633:FUO588698 GEK588633:GEK588698 GOG588633:GOG588698 GYC588633:GYC588698 HHY588633:HHY588698 HRU588633:HRU588698 IBQ588633:IBQ588698 ILM588633:ILM588698 IVI588633:IVI588698 JFE588633:JFE588698 JPA588633:JPA588698 JYW588633:JYW588698 KIS588633:KIS588698 KSO588633:KSO588698 LCK588633:LCK588698 LMG588633:LMG588698 LWC588633:LWC588698 MFY588633:MFY588698 MPU588633:MPU588698 MZQ588633:MZQ588698 NJM588633:NJM588698 NTI588633:NTI588698 ODE588633:ODE588698 ONA588633:ONA588698 OWW588633:OWW588698 PGS588633:PGS588698 PQO588633:PQO588698 QAK588633:QAK588698 QKG588633:QKG588698 QUC588633:QUC588698 RDY588633:RDY588698 RNU588633:RNU588698 RXQ588633:RXQ588698 SHM588633:SHM588698 SRI588633:SRI588698 TBE588633:TBE588698 TLA588633:TLA588698 TUW588633:TUW588698 UES588633:UES588698 UOO588633:UOO588698 UYK588633:UYK588698 VIG588633:VIG588698 VSC588633:VSC588698 WBY588633:WBY588698 WLU588633:WLU588698 WVQ588633:WVQ588698 I654169:I654234 JE654169:JE654234 TA654169:TA654234 ACW654169:ACW654234 AMS654169:AMS654234 AWO654169:AWO654234 BGK654169:BGK654234 BQG654169:BQG654234 CAC654169:CAC654234 CJY654169:CJY654234 CTU654169:CTU654234 DDQ654169:DDQ654234 DNM654169:DNM654234 DXI654169:DXI654234 EHE654169:EHE654234 ERA654169:ERA654234 FAW654169:FAW654234 FKS654169:FKS654234 FUO654169:FUO654234 GEK654169:GEK654234 GOG654169:GOG654234 GYC654169:GYC654234 HHY654169:HHY654234 HRU654169:HRU654234 IBQ654169:IBQ654234 ILM654169:ILM654234 IVI654169:IVI654234 JFE654169:JFE654234 JPA654169:JPA654234 JYW654169:JYW654234 KIS654169:KIS654234 KSO654169:KSO654234 LCK654169:LCK654234 LMG654169:LMG654234 LWC654169:LWC654234 MFY654169:MFY654234 MPU654169:MPU654234 MZQ654169:MZQ654234 NJM654169:NJM654234 NTI654169:NTI654234 ODE654169:ODE654234 ONA654169:ONA654234 OWW654169:OWW654234 PGS654169:PGS654234 PQO654169:PQO654234 QAK654169:QAK654234 QKG654169:QKG654234 QUC654169:QUC654234 RDY654169:RDY654234 RNU654169:RNU654234 RXQ654169:RXQ654234 SHM654169:SHM654234 SRI654169:SRI654234 TBE654169:TBE654234 TLA654169:TLA654234 TUW654169:TUW654234 UES654169:UES654234 UOO654169:UOO654234 UYK654169:UYK654234 VIG654169:VIG654234 VSC654169:VSC654234 WBY654169:WBY654234 WLU654169:WLU654234 WVQ654169:WVQ654234 I719705:I719770 JE719705:JE719770 TA719705:TA719770 ACW719705:ACW719770 AMS719705:AMS719770 AWO719705:AWO719770 BGK719705:BGK719770 BQG719705:BQG719770 CAC719705:CAC719770 CJY719705:CJY719770 CTU719705:CTU719770 DDQ719705:DDQ719770 DNM719705:DNM719770 DXI719705:DXI719770 EHE719705:EHE719770 ERA719705:ERA719770 FAW719705:FAW719770 FKS719705:FKS719770 FUO719705:FUO719770 GEK719705:GEK719770 GOG719705:GOG719770 GYC719705:GYC719770 HHY719705:HHY719770 HRU719705:HRU719770 IBQ719705:IBQ719770 ILM719705:ILM719770 IVI719705:IVI719770 JFE719705:JFE719770 JPA719705:JPA719770 JYW719705:JYW719770 KIS719705:KIS719770 KSO719705:KSO719770 LCK719705:LCK719770 LMG719705:LMG719770 LWC719705:LWC719770 MFY719705:MFY719770 MPU719705:MPU719770 MZQ719705:MZQ719770 NJM719705:NJM719770 NTI719705:NTI719770 ODE719705:ODE719770 ONA719705:ONA719770 OWW719705:OWW719770 PGS719705:PGS719770 PQO719705:PQO719770 QAK719705:QAK719770 QKG719705:QKG719770 QUC719705:QUC719770 RDY719705:RDY719770 RNU719705:RNU719770 RXQ719705:RXQ719770 SHM719705:SHM719770 SRI719705:SRI719770 TBE719705:TBE719770 TLA719705:TLA719770 TUW719705:TUW719770 UES719705:UES719770 UOO719705:UOO719770 UYK719705:UYK719770 VIG719705:VIG719770 VSC719705:VSC719770 WBY719705:WBY719770 WLU719705:WLU719770 WVQ719705:WVQ719770 I785241:I785306 JE785241:JE785306 TA785241:TA785306 ACW785241:ACW785306 AMS785241:AMS785306 AWO785241:AWO785306 BGK785241:BGK785306 BQG785241:BQG785306 CAC785241:CAC785306 CJY785241:CJY785306 CTU785241:CTU785306 DDQ785241:DDQ785306 DNM785241:DNM785306 DXI785241:DXI785306 EHE785241:EHE785306 ERA785241:ERA785306 FAW785241:FAW785306 FKS785241:FKS785306 FUO785241:FUO785306 GEK785241:GEK785306 GOG785241:GOG785306 GYC785241:GYC785306 HHY785241:HHY785306 HRU785241:HRU785306 IBQ785241:IBQ785306 ILM785241:ILM785306 IVI785241:IVI785306 JFE785241:JFE785306 JPA785241:JPA785306 JYW785241:JYW785306 KIS785241:KIS785306 KSO785241:KSO785306 LCK785241:LCK785306 LMG785241:LMG785306 LWC785241:LWC785306 MFY785241:MFY785306 MPU785241:MPU785306 MZQ785241:MZQ785306 NJM785241:NJM785306 NTI785241:NTI785306 ODE785241:ODE785306 ONA785241:ONA785306 OWW785241:OWW785306 PGS785241:PGS785306 PQO785241:PQO785306 QAK785241:QAK785306 QKG785241:QKG785306 QUC785241:QUC785306 RDY785241:RDY785306 RNU785241:RNU785306 RXQ785241:RXQ785306 SHM785241:SHM785306 SRI785241:SRI785306 TBE785241:TBE785306 TLA785241:TLA785306 TUW785241:TUW785306 UES785241:UES785306 UOO785241:UOO785306 UYK785241:UYK785306 VIG785241:VIG785306 VSC785241:VSC785306 WBY785241:WBY785306 WLU785241:WLU785306 WVQ785241:WVQ785306 I850777:I850842 JE850777:JE850842 TA850777:TA850842 ACW850777:ACW850842 AMS850777:AMS850842 AWO850777:AWO850842 BGK850777:BGK850842 BQG850777:BQG850842 CAC850777:CAC850842 CJY850777:CJY850842 CTU850777:CTU850842 DDQ850777:DDQ850842 DNM850777:DNM850842 DXI850777:DXI850842 EHE850777:EHE850842 ERA850777:ERA850842 FAW850777:FAW850842 FKS850777:FKS850842 FUO850777:FUO850842 GEK850777:GEK850842 GOG850777:GOG850842 GYC850777:GYC850842 HHY850777:HHY850842 HRU850777:HRU850842 IBQ850777:IBQ850842 ILM850777:ILM850842 IVI850777:IVI850842 JFE850777:JFE850842 JPA850777:JPA850842 JYW850777:JYW850842 KIS850777:KIS850842 KSO850777:KSO850842 LCK850777:LCK850842 LMG850777:LMG850842 LWC850777:LWC850842 MFY850777:MFY850842 MPU850777:MPU850842 MZQ850777:MZQ850842 NJM850777:NJM850842 NTI850777:NTI850842 ODE850777:ODE850842 ONA850777:ONA850842 OWW850777:OWW850842 PGS850777:PGS850842 PQO850777:PQO850842 QAK850777:QAK850842 QKG850777:QKG850842 QUC850777:QUC850842 RDY850777:RDY850842 RNU850777:RNU850842 RXQ850777:RXQ850842 SHM850777:SHM850842 SRI850777:SRI850842 TBE850777:TBE850842 TLA850777:TLA850842 TUW850777:TUW850842 UES850777:UES850842 UOO850777:UOO850842 UYK850777:UYK850842 VIG850777:VIG850842 VSC850777:VSC850842 WBY850777:WBY850842 WLU850777:WLU850842 WVQ850777:WVQ850842 I916313:I916378 JE916313:JE916378 TA916313:TA916378 ACW916313:ACW916378 AMS916313:AMS916378 AWO916313:AWO916378 BGK916313:BGK916378 BQG916313:BQG916378 CAC916313:CAC916378 CJY916313:CJY916378 CTU916313:CTU916378 DDQ916313:DDQ916378 DNM916313:DNM916378 DXI916313:DXI916378 EHE916313:EHE916378 ERA916313:ERA916378 FAW916313:FAW916378 FKS916313:FKS916378 FUO916313:FUO916378 GEK916313:GEK916378 GOG916313:GOG916378 GYC916313:GYC916378 HHY916313:HHY916378 HRU916313:HRU916378 IBQ916313:IBQ916378 ILM916313:ILM916378 IVI916313:IVI916378 JFE916313:JFE916378 JPA916313:JPA916378 JYW916313:JYW916378 KIS916313:KIS916378 KSO916313:KSO916378 LCK916313:LCK916378 LMG916313:LMG916378 LWC916313:LWC916378 MFY916313:MFY916378 MPU916313:MPU916378 MZQ916313:MZQ916378 NJM916313:NJM916378 NTI916313:NTI916378 ODE916313:ODE916378 ONA916313:ONA916378 OWW916313:OWW916378 PGS916313:PGS916378 PQO916313:PQO916378 QAK916313:QAK916378 QKG916313:QKG916378 QUC916313:QUC916378 RDY916313:RDY916378 RNU916313:RNU916378 RXQ916313:RXQ916378 SHM916313:SHM916378 SRI916313:SRI916378 TBE916313:TBE916378 TLA916313:TLA916378 TUW916313:TUW916378 UES916313:UES916378 UOO916313:UOO916378 UYK916313:UYK916378 VIG916313:VIG916378 VSC916313:VSC916378 WBY916313:WBY916378 WLU916313:WLU916378 WVQ916313:WVQ916378 I981849:I981914 JE981849:JE981914 TA981849:TA981914 ACW981849:ACW981914 AMS981849:AMS981914 AWO981849:AWO981914 BGK981849:BGK981914 BQG981849:BQG981914 CAC981849:CAC981914 CJY981849:CJY981914 CTU981849:CTU981914 DDQ981849:DDQ981914 DNM981849:DNM981914 DXI981849:DXI981914 EHE981849:EHE981914 ERA981849:ERA981914 FAW981849:FAW981914 FKS981849:FKS981914 FUO981849:FUO981914 GEK981849:GEK981914 GOG981849:GOG981914 GYC981849:GYC981914 HHY981849:HHY981914 HRU981849:HRU981914 IBQ981849:IBQ981914 ILM981849:ILM981914 IVI981849:IVI981914 JFE981849:JFE981914 JPA981849:JPA981914 JYW981849:JYW981914 KIS981849:KIS981914 KSO981849:KSO981914 LCK981849:LCK981914 LMG981849:LMG981914 LWC981849:LWC981914 MFY981849:MFY981914 MPU981849:MPU981914 MZQ981849:MZQ981914 NJM981849:NJM981914 NTI981849:NTI981914 ODE981849:ODE981914 ONA981849:ONA981914 OWW981849:OWW981914 PGS981849:PGS981914 PQO981849:PQO981914 QAK981849:QAK981914 QKG981849:QKG981914 QUC981849:QUC981914 RDY981849:RDY981914 RNU981849:RNU981914 RXQ981849:RXQ981914 SHM981849:SHM981914 SRI981849:SRI981914 TBE981849:TBE981914 TLA981849:TLA981914 TUW981849:TUW981914 UES981849:UES981914 UOO981849:UOO981914 UYK981849:UYK981914 VIG981849:VIG981914 VSC981849:VSC981914 WBY981849:WBY981914 WLU981849:WLU981914 WVQ981849:WVQ981914 I1047385:I1047450 JE1047385:JE1047450 TA1047385:TA1047450 ACW1047385:ACW1047450 AMS1047385:AMS1047450 AWO1047385:AWO1047450 BGK1047385:BGK1047450 BQG1047385:BQG1047450 CAC1047385:CAC1047450 CJY1047385:CJY1047450 CTU1047385:CTU1047450 DDQ1047385:DDQ1047450 DNM1047385:DNM1047450 DXI1047385:DXI1047450 EHE1047385:EHE1047450 ERA1047385:ERA1047450 FAW1047385:FAW1047450 FKS1047385:FKS1047450 FUO1047385:FUO1047450 GEK1047385:GEK1047450 GOG1047385:GOG1047450 GYC1047385:GYC1047450 HHY1047385:HHY1047450 HRU1047385:HRU1047450 IBQ1047385:IBQ1047450 ILM1047385:ILM1047450 IVI1047385:IVI1047450 JFE1047385:JFE1047450 JPA1047385:JPA1047450 JYW1047385:JYW1047450 KIS1047385:KIS1047450 KSO1047385:KSO1047450 LCK1047385:LCK1047450 LMG1047385:LMG1047450 LWC1047385:LWC1047450 MFY1047385:MFY1047450 MPU1047385:MPU1047450 MZQ1047385:MZQ1047450 NJM1047385:NJM1047450 NTI1047385:NTI1047450 ODE1047385:ODE1047450 ONA1047385:ONA1047450 OWW1047385:OWW1047450 PGS1047385:PGS1047450 PQO1047385:PQO1047450 QAK1047385:QAK1047450 QKG1047385:QKG1047450 QUC1047385:QUC1047450 RDY1047385:RDY1047450 RNU1047385:RNU1047450 RXQ1047385:RXQ1047450 SHM1047385:SHM1047450 SRI1047385:SRI1047450 TBE1047385:TBE1047450 TLA1047385:TLA1047450 TUW1047385:TUW1047450 UES1047385:UES1047450 UOO1047385:UOO1047450 UYK1047385:UYK1047450 VIG1047385:VIG1047450 VSC1047385:VSC1047450 WBY1047385:WBY1047450 WLU1047385:WLU1047450 WVQ1047385:WVQ1047450 WVQ983024:WVQ983089 I65520:I65585 JE65520:JE65585 TA65520:TA65585 ACW65520:ACW65585 AMS65520:AMS65585 AWO65520:AWO65585 BGK65520:BGK65585 BQG65520:BQG65585 CAC65520:CAC65585 CJY65520:CJY65585 CTU65520:CTU65585 DDQ65520:DDQ65585 DNM65520:DNM65585 DXI65520:DXI65585 EHE65520:EHE65585 ERA65520:ERA65585 FAW65520:FAW65585 FKS65520:FKS65585 FUO65520:FUO65585 GEK65520:GEK65585 GOG65520:GOG65585 GYC65520:GYC65585 HHY65520:HHY65585 HRU65520:HRU65585 IBQ65520:IBQ65585 ILM65520:ILM65585 IVI65520:IVI65585 JFE65520:JFE65585 JPA65520:JPA65585 JYW65520:JYW65585 KIS65520:KIS65585 KSO65520:KSO65585 LCK65520:LCK65585 LMG65520:LMG65585 LWC65520:LWC65585 MFY65520:MFY65585 MPU65520:MPU65585 MZQ65520:MZQ65585 NJM65520:NJM65585 NTI65520:NTI65585 ODE65520:ODE65585 ONA65520:ONA65585 OWW65520:OWW65585 PGS65520:PGS65585 PQO65520:PQO65585 QAK65520:QAK65585 QKG65520:QKG65585 QUC65520:QUC65585 RDY65520:RDY65585 RNU65520:RNU65585 RXQ65520:RXQ65585 SHM65520:SHM65585 SRI65520:SRI65585 TBE65520:TBE65585 TLA65520:TLA65585 TUW65520:TUW65585 UES65520:UES65585 UOO65520:UOO65585 UYK65520:UYK65585 VIG65520:VIG65585 VSC65520:VSC65585 WBY65520:WBY65585 WLU65520:WLU65585 WVQ65520:WVQ65585 I131056:I131121 JE131056:JE131121 TA131056:TA131121 ACW131056:ACW131121 AMS131056:AMS131121 AWO131056:AWO131121 BGK131056:BGK131121 BQG131056:BQG131121 CAC131056:CAC131121 CJY131056:CJY131121 CTU131056:CTU131121 DDQ131056:DDQ131121 DNM131056:DNM131121 DXI131056:DXI131121 EHE131056:EHE131121 ERA131056:ERA131121 FAW131056:FAW131121 FKS131056:FKS131121 FUO131056:FUO131121 GEK131056:GEK131121 GOG131056:GOG131121 GYC131056:GYC131121 HHY131056:HHY131121 HRU131056:HRU131121 IBQ131056:IBQ131121 ILM131056:ILM131121 IVI131056:IVI131121 JFE131056:JFE131121 JPA131056:JPA131121 JYW131056:JYW131121 KIS131056:KIS131121 KSO131056:KSO131121 LCK131056:LCK131121 LMG131056:LMG131121 LWC131056:LWC131121 MFY131056:MFY131121 MPU131056:MPU131121 MZQ131056:MZQ131121 NJM131056:NJM131121 NTI131056:NTI131121 ODE131056:ODE131121 ONA131056:ONA131121 OWW131056:OWW131121 PGS131056:PGS131121 PQO131056:PQO131121 QAK131056:QAK131121 QKG131056:QKG131121 QUC131056:QUC131121 RDY131056:RDY131121 RNU131056:RNU131121 RXQ131056:RXQ131121 SHM131056:SHM131121 SRI131056:SRI131121 TBE131056:TBE131121 TLA131056:TLA131121 TUW131056:TUW131121 UES131056:UES131121 UOO131056:UOO131121 UYK131056:UYK131121 VIG131056:VIG131121 VSC131056:VSC131121 WBY131056:WBY131121 WLU131056:WLU131121 WVQ131056:WVQ131121 I196592:I196657 JE196592:JE196657 TA196592:TA196657 ACW196592:ACW196657 AMS196592:AMS196657 AWO196592:AWO196657 BGK196592:BGK196657 BQG196592:BQG196657 CAC196592:CAC196657 CJY196592:CJY196657 CTU196592:CTU196657 DDQ196592:DDQ196657 DNM196592:DNM196657 DXI196592:DXI196657 EHE196592:EHE196657 ERA196592:ERA196657 FAW196592:FAW196657 FKS196592:FKS196657 FUO196592:FUO196657 GEK196592:GEK196657 GOG196592:GOG196657 GYC196592:GYC196657 HHY196592:HHY196657 HRU196592:HRU196657 IBQ196592:IBQ196657 ILM196592:ILM196657 IVI196592:IVI196657 JFE196592:JFE196657 JPA196592:JPA196657 JYW196592:JYW196657 KIS196592:KIS196657 KSO196592:KSO196657 LCK196592:LCK196657 LMG196592:LMG196657 LWC196592:LWC196657 MFY196592:MFY196657 MPU196592:MPU196657 MZQ196592:MZQ196657 NJM196592:NJM196657 NTI196592:NTI196657 ODE196592:ODE196657 ONA196592:ONA196657 OWW196592:OWW196657 PGS196592:PGS196657 PQO196592:PQO196657 QAK196592:QAK196657 QKG196592:QKG196657 QUC196592:QUC196657 RDY196592:RDY196657 RNU196592:RNU196657 RXQ196592:RXQ196657 SHM196592:SHM196657 SRI196592:SRI196657 TBE196592:TBE196657 TLA196592:TLA196657 TUW196592:TUW196657 UES196592:UES196657 UOO196592:UOO196657 UYK196592:UYK196657 VIG196592:VIG196657 VSC196592:VSC196657 WBY196592:WBY196657 WLU196592:WLU196657 WVQ196592:WVQ196657 I262128:I262193 JE262128:JE262193 TA262128:TA262193 ACW262128:ACW262193 AMS262128:AMS262193 AWO262128:AWO262193 BGK262128:BGK262193 BQG262128:BQG262193 CAC262128:CAC262193 CJY262128:CJY262193 CTU262128:CTU262193 DDQ262128:DDQ262193 DNM262128:DNM262193 DXI262128:DXI262193 EHE262128:EHE262193 ERA262128:ERA262193 FAW262128:FAW262193 FKS262128:FKS262193 FUO262128:FUO262193 GEK262128:GEK262193 GOG262128:GOG262193 GYC262128:GYC262193 HHY262128:HHY262193 HRU262128:HRU262193 IBQ262128:IBQ262193 ILM262128:ILM262193 IVI262128:IVI262193 JFE262128:JFE262193 JPA262128:JPA262193 JYW262128:JYW262193 KIS262128:KIS262193 KSO262128:KSO262193 LCK262128:LCK262193 LMG262128:LMG262193 LWC262128:LWC262193 MFY262128:MFY262193 MPU262128:MPU262193 MZQ262128:MZQ262193 NJM262128:NJM262193 NTI262128:NTI262193 ODE262128:ODE262193 ONA262128:ONA262193 OWW262128:OWW262193 PGS262128:PGS262193 PQO262128:PQO262193 QAK262128:QAK262193 QKG262128:QKG262193 QUC262128:QUC262193 RDY262128:RDY262193 RNU262128:RNU262193 RXQ262128:RXQ262193 SHM262128:SHM262193 SRI262128:SRI262193 TBE262128:TBE262193 TLA262128:TLA262193 TUW262128:TUW262193 UES262128:UES262193 UOO262128:UOO262193 UYK262128:UYK262193 VIG262128:VIG262193 VSC262128:VSC262193 WBY262128:WBY262193 WLU262128:WLU262193 WVQ262128:WVQ262193 I327664:I327729 JE327664:JE327729 TA327664:TA327729 ACW327664:ACW327729 AMS327664:AMS327729 AWO327664:AWO327729 BGK327664:BGK327729 BQG327664:BQG327729 CAC327664:CAC327729 CJY327664:CJY327729 CTU327664:CTU327729 DDQ327664:DDQ327729 DNM327664:DNM327729 DXI327664:DXI327729 EHE327664:EHE327729 ERA327664:ERA327729 FAW327664:FAW327729 FKS327664:FKS327729 FUO327664:FUO327729 GEK327664:GEK327729 GOG327664:GOG327729 GYC327664:GYC327729 HHY327664:HHY327729 HRU327664:HRU327729 IBQ327664:IBQ327729 ILM327664:ILM327729 IVI327664:IVI327729 JFE327664:JFE327729 JPA327664:JPA327729 JYW327664:JYW327729 KIS327664:KIS327729 KSO327664:KSO327729 LCK327664:LCK327729 LMG327664:LMG327729 LWC327664:LWC327729 MFY327664:MFY327729 MPU327664:MPU327729 MZQ327664:MZQ327729 NJM327664:NJM327729 NTI327664:NTI327729 ODE327664:ODE327729 ONA327664:ONA327729 OWW327664:OWW327729 PGS327664:PGS327729 PQO327664:PQO327729 QAK327664:QAK327729 QKG327664:QKG327729 QUC327664:QUC327729 RDY327664:RDY327729 RNU327664:RNU327729 RXQ327664:RXQ327729 SHM327664:SHM327729 SRI327664:SRI327729 TBE327664:TBE327729 TLA327664:TLA327729 TUW327664:TUW327729 UES327664:UES327729 UOO327664:UOO327729 UYK327664:UYK327729 VIG327664:VIG327729 VSC327664:VSC327729 WBY327664:WBY327729 WLU327664:WLU327729 WVQ327664:WVQ327729 I393200:I393265 JE393200:JE393265 TA393200:TA393265 ACW393200:ACW393265 AMS393200:AMS393265 AWO393200:AWO393265 BGK393200:BGK393265 BQG393200:BQG393265 CAC393200:CAC393265 CJY393200:CJY393265 CTU393200:CTU393265 DDQ393200:DDQ393265 DNM393200:DNM393265 DXI393200:DXI393265 EHE393200:EHE393265 ERA393200:ERA393265 FAW393200:FAW393265 FKS393200:FKS393265 FUO393200:FUO393265 GEK393200:GEK393265 GOG393200:GOG393265 GYC393200:GYC393265 HHY393200:HHY393265 HRU393200:HRU393265 IBQ393200:IBQ393265 ILM393200:ILM393265 IVI393200:IVI393265 JFE393200:JFE393265 JPA393200:JPA393265 JYW393200:JYW393265 KIS393200:KIS393265 KSO393200:KSO393265 LCK393200:LCK393265 LMG393200:LMG393265 LWC393200:LWC393265 MFY393200:MFY393265 MPU393200:MPU393265 MZQ393200:MZQ393265 NJM393200:NJM393265 NTI393200:NTI393265 ODE393200:ODE393265 ONA393200:ONA393265 OWW393200:OWW393265 PGS393200:PGS393265 PQO393200:PQO393265 QAK393200:QAK393265 QKG393200:QKG393265 QUC393200:QUC393265 RDY393200:RDY393265 RNU393200:RNU393265 RXQ393200:RXQ393265 SHM393200:SHM393265 SRI393200:SRI393265 TBE393200:TBE393265 TLA393200:TLA393265 TUW393200:TUW393265 UES393200:UES393265 UOO393200:UOO393265 UYK393200:UYK393265 VIG393200:VIG393265 VSC393200:VSC393265 WBY393200:WBY393265 WLU393200:WLU393265 WVQ393200:WVQ393265 I458736:I458801 JE458736:JE458801 TA458736:TA458801 ACW458736:ACW458801 AMS458736:AMS458801 AWO458736:AWO458801 BGK458736:BGK458801 BQG458736:BQG458801 CAC458736:CAC458801 CJY458736:CJY458801 CTU458736:CTU458801 DDQ458736:DDQ458801 DNM458736:DNM458801 DXI458736:DXI458801 EHE458736:EHE458801 ERA458736:ERA458801 FAW458736:FAW458801 FKS458736:FKS458801 FUO458736:FUO458801 GEK458736:GEK458801 GOG458736:GOG458801 GYC458736:GYC458801 HHY458736:HHY458801 HRU458736:HRU458801 IBQ458736:IBQ458801 ILM458736:ILM458801 IVI458736:IVI458801 JFE458736:JFE458801 JPA458736:JPA458801 JYW458736:JYW458801 KIS458736:KIS458801 KSO458736:KSO458801 LCK458736:LCK458801 LMG458736:LMG458801 LWC458736:LWC458801 MFY458736:MFY458801 MPU458736:MPU458801 MZQ458736:MZQ458801 NJM458736:NJM458801 NTI458736:NTI458801 ODE458736:ODE458801 ONA458736:ONA458801 OWW458736:OWW458801 PGS458736:PGS458801 PQO458736:PQO458801 QAK458736:QAK458801 QKG458736:QKG458801 QUC458736:QUC458801 RDY458736:RDY458801 RNU458736:RNU458801 RXQ458736:RXQ458801 SHM458736:SHM458801 SRI458736:SRI458801 TBE458736:TBE458801 TLA458736:TLA458801 TUW458736:TUW458801 UES458736:UES458801 UOO458736:UOO458801 UYK458736:UYK458801 VIG458736:VIG458801 VSC458736:VSC458801 WBY458736:WBY458801 WLU458736:WLU458801 WVQ458736:WVQ458801 I524272:I524337 JE524272:JE524337 TA524272:TA524337 ACW524272:ACW524337 AMS524272:AMS524337 AWO524272:AWO524337 BGK524272:BGK524337 BQG524272:BQG524337 CAC524272:CAC524337 CJY524272:CJY524337 CTU524272:CTU524337 DDQ524272:DDQ524337 DNM524272:DNM524337 DXI524272:DXI524337 EHE524272:EHE524337 ERA524272:ERA524337 FAW524272:FAW524337 FKS524272:FKS524337 FUO524272:FUO524337 GEK524272:GEK524337 GOG524272:GOG524337 GYC524272:GYC524337 HHY524272:HHY524337 HRU524272:HRU524337 IBQ524272:IBQ524337 ILM524272:ILM524337 IVI524272:IVI524337 JFE524272:JFE524337 JPA524272:JPA524337 JYW524272:JYW524337 KIS524272:KIS524337 KSO524272:KSO524337 LCK524272:LCK524337 LMG524272:LMG524337 LWC524272:LWC524337 MFY524272:MFY524337 MPU524272:MPU524337 MZQ524272:MZQ524337 NJM524272:NJM524337 NTI524272:NTI524337 ODE524272:ODE524337 ONA524272:ONA524337 OWW524272:OWW524337 PGS524272:PGS524337 PQO524272:PQO524337 QAK524272:QAK524337 QKG524272:QKG524337 QUC524272:QUC524337 RDY524272:RDY524337 RNU524272:RNU524337 RXQ524272:RXQ524337 SHM524272:SHM524337 SRI524272:SRI524337 TBE524272:TBE524337 TLA524272:TLA524337 TUW524272:TUW524337 UES524272:UES524337 UOO524272:UOO524337 UYK524272:UYK524337 VIG524272:VIG524337 VSC524272:VSC524337 WBY524272:WBY524337 WLU524272:WLU524337 WVQ524272:WVQ524337 I589808:I589873 JE589808:JE589873 TA589808:TA589873 ACW589808:ACW589873 AMS589808:AMS589873 AWO589808:AWO589873 BGK589808:BGK589873 BQG589808:BQG589873 CAC589808:CAC589873 CJY589808:CJY589873 CTU589808:CTU589873 DDQ589808:DDQ589873 DNM589808:DNM589873 DXI589808:DXI589873 EHE589808:EHE589873 ERA589808:ERA589873 FAW589808:FAW589873 FKS589808:FKS589873 FUO589808:FUO589873 GEK589808:GEK589873 GOG589808:GOG589873 GYC589808:GYC589873 HHY589808:HHY589873 HRU589808:HRU589873 IBQ589808:IBQ589873 ILM589808:ILM589873 IVI589808:IVI589873 JFE589808:JFE589873 JPA589808:JPA589873 JYW589808:JYW589873 KIS589808:KIS589873 KSO589808:KSO589873 LCK589808:LCK589873 LMG589808:LMG589873 LWC589808:LWC589873 MFY589808:MFY589873 MPU589808:MPU589873 MZQ589808:MZQ589873 NJM589808:NJM589873 NTI589808:NTI589873 ODE589808:ODE589873 ONA589808:ONA589873 OWW589808:OWW589873 PGS589808:PGS589873 PQO589808:PQO589873 QAK589808:QAK589873 QKG589808:QKG589873 QUC589808:QUC589873 RDY589808:RDY589873 RNU589808:RNU589873 RXQ589808:RXQ589873 SHM589808:SHM589873 SRI589808:SRI589873 TBE589808:TBE589873 TLA589808:TLA589873 TUW589808:TUW589873 UES589808:UES589873 UOO589808:UOO589873 UYK589808:UYK589873 VIG589808:VIG589873 VSC589808:VSC589873 WBY589808:WBY589873 WLU589808:WLU589873 WVQ589808:WVQ589873 I655344:I655409 JE655344:JE655409 TA655344:TA655409 ACW655344:ACW655409 AMS655344:AMS655409 AWO655344:AWO655409 BGK655344:BGK655409 BQG655344:BQG655409 CAC655344:CAC655409 CJY655344:CJY655409 CTU655344:CTU655409 DDQ655344:DDQ655409 DNM655344:DNM655409 DXI655344:DXI655409 EHE655344:EHE655409 ERA655344:ERA655409 FAW655344:FAW655409 FKS655344:FKS655409 FUO655344:FUO655409 GEK655344:GEK655409 GOG655344:GOG655409 GYC655344:GYC655409 HHY655344:HHY655409 HRU655344:HRU655409 IBQ655344:IBQ655409 ILM655344:ILM655409 IVI655344:IVI655409 JFE655344:JFE655409 JPA655344:JPA655409 JYW655344:JYW655409 KIS655344:KIS655409 KSO655344:KSO655409 LCK655344:LCK655409 LMG655344:LMG655409 LWC655344:LWC655409 MFY655344:MFY655409 MPU655344:MPU655409 MZQ655344:MZQ655409 NJM655344:NJM655409 NTI655344:NTI655409 ODE655344:ODE655409 ONA655344:ONA655409 OWW655344:OWW655409 PGS655344:PGS655409 PQO655344:PQO655409 QAK655344:QAK655409 QKG655344:QKG655409 QUC655344:QUC655409 RDY655344:RDY655409 RNU655344:RNU655409 RXQ655344:RXQ655409 SHM655344:SHM655409 SRI655344:SRI655409 TBE655344:TBE655409 TLA655344:TLA655409 TUW655344:TUW655409 UES655344:UES655409 UOO655344:UOO655409 UYK655344:UYK655409 VIG655344:VIG655409 VSC655344:VSC655409 WBY655344:WBY655409 WLU655344:WLU655409 WVQ655344:WVQ655409 I720880:I720945 JE720880:JE720945 TA720880:TA720945 ACW720880:ACW720945 AMS720880:AMS720945 AWO720880:AWO720945 BGK720880:BGK720945 BQG720880:BQG720945 CAC720880:CAC720945 CJY720880:CJY720945 CTU720880:CTU720945 DDQ720880:DDQ720945 DNM720880:DNM720945 DXI720880:DXI720945 EHE720880:EHE720945 ERA720880:ERA720945 FAW720880:FAW720945 FKS720880:FKS720945 FUO720880:FUO720945 GEK720880:GEK720945 GOG720880:GOG720945 GYC720880:GYC720945 HHY720880:HHY720945 HRU720880:HRU720945 IBQ720880:IBQ720945 ILM720880:ILM720945 IVI720880:IVI720945 JFE720880:JFE720945 JPA720880:JPA720945 JYW720880:JYW720945 KIS720880:KIS720945 KSO720880:KSO720945 LCK720880:LCK720945 LMG720880:LMG720945 LWC720880:LWC720945 MFY720880:MFY720945 MPU720880:MPU720945 MZQ720880:MZQ720945 NJM720880:NJM720945 NTI720880:NTI720945 ODE720880:ODE720945 ONA720880:ONA720945 OWW720880:OWW720945 PGS720880:PGS720945 PQO720880:PQO720945 QAK720880:QAK720945 QKG720880:QKG720945 QUC720880:QUC720945 RDY720880:RDY720945 RNU720880:RNU720945 RXQ720880:RXQ720945 SHM720880:SHM720945 SRI720880:SRI720945 TBE720880:TBE720945 TLA720880:TLA720945 TUW720880:TUW720945 UES720880:UES720945 UOO720880:UOO720945 UYK720880:UYK720945 VIG720880:VIG720945 VSC720880:VSC720945 WBY720880:WBY720945 WLU720880:WLU720945 WVQ720880:WVQ720945 I786416:I786481 JE786416:JE786481 TA786416:TA786481 ACW786416:ACW786481 AMS786416:AMS786481 AWO786416:AWO786481 BGK786416:BGK786481 BQG786416:BQG786481 CAC786416:CAC786481 CJY786416:CJY786481 CTU786416:CTU786481 DDQ786416:DDQ786481 DNM786416:DNM786481 DXI786416:DXI786481 EHE786416:EHE786481 ERA786416:ERA786481 FAW786416:FAW786481 FKS786416:FKS786481 FUO786416:FUO786481 GEK786416:GEK786481 GOG786416:GOG786481 GYC786416:GYC786481 HHY786416:HHY786481 HRU786416:HRU786481 IBQ786416:IBQ786481 ILM786416:ILM786481 IVI786416:IVI786481 JFE786416:JFE786481 JPA786416:JPA786481 JYW786416:JYW786481 KIS786416:KIS786481 KSO786416:KSO786481 LCK786416:LCK786481 LMG786416:LMG786481 LWC786416:LWC786481 MFY786416:MFY786481 MPU786416:MPU786481 MZQ786416:MZQ786481 NJM786416:NJM786481 NTI786416:NTI786481 ODE786416:ODE786481 ONA786416:ONA786481 OWW786416:OWW786481 PGS786416:PGS786481 PQO786416:PQO786481 QAK786416:QAK786481 QKG786416:QKG786481 QUC786416:QUC786481 RDY786416:RDY786481 RNU786416:RNU786481 RXQ786416:RXQ786481 SHM786416:SHM786481 SRI786416:SRI786481 TBE786416:TBE786481 TLA786416:TLA786481 TUW786416:TUW786481 UES786416:UES786481 UOO786416:UOO786481 UYK786416:UYK786481 VIG786416:VIG786481 VSC786416:VSC786481 WBY786416:WBY786481 WLU786416:WLU786481 WVQ786416:WVQ786481 I851952:I852017 JE851952:JE852017 TA851952:TA852017 ACW851952:ACW852017 AMS851952:AMS852017 AWO851952:AWO852017 BGK851952:BGK852017 BQG851952:BQG852017 CAC851952:CAC852017 CJY851952:CJY852017 CTU851952:CTU852017 DDQ851952:DDQ852017 DNM851952:DNM852017 DXI851952:DXI852017 EHE851952:EHE852017 ERA851952:ERA852017 FAW851952:FAW852017 FKS851952:FKS852017 FUO851952:FUO852017 GEK851952:GEK852017 GOG851952:GOG852017 GYC851952:GYC852017 HHY851952:HHY852017 HRU851952:HRU852017 IBQ851952:IBQ852017 ILM851952:ILM852017 IVI851952:IVI852017 JFE851952:JFE852017 JPA851952:JPA852017 JYW851952:JYW852017 KIS851952:KIS852017 KSO851952:KSO852017 LCK851952:LCK852017 LMG851952:LMG852017 LWC851952:LWC852017 MFY851952:MFY852017 MPU851952:MPU852017 MZQ851952:MZQ852017 NJM851952:NJM852017 NTI851952:NTI852017 ODE851952:ODE852017 ONA851952:ONA852017 OWW851952:OWW852017 PGS851952:PGS852017 PQO851952:PQO852017 QAK851952:QAK852017 QKG851952:QKG852017 QUC851952:QUC852017 RDY851952:RDY852017 RNU851952:RNU852017 RXQ851952:RXQ852017 SHM851952:SHM852017 SRI851952:SRI852017 TBE851952:TBE852017 TLA851952:TLA852017 TUW851952:TUW852017 UES851952:UES852017 UOO851952:UOO852017 UYK851952:UYK852017 VIG851952:VIG852017 VSC851952:VSC852017 WBY851952:WBY852017 WLU851952:WLU852017 WVQ851952:WVQ852017 I917488:I917553 JE917488:JE917553 TA917488:TA917553 ACW917488:ACW917553 AMS917488:AMS917553 AWO917488:AWO917553 BGK917488:BGK917553 BQG917488:BQG917553 CAC917488:CAC917553 CJY917488:CJY917553 CTU917488:CTU917553 DDQ917488:DDQ917553 DNM917488:DNM917553 DXI917488:DXI917553 EHE917488:EHE917553 ERA917488:ERA917553 FAW917488:FAW917553 FKS917488:FKS917553 FUO917488:FUO917553 GEK917488:GEK917553 GOG917488:GOG917553 GYC917488:GYC917553 HHY917488:HHY917553 HRU917488:HRU917553 IBQ917488:IBQ917553 ILM917488:ILM917553 IVI917488:IVI917553 JFE917488:JFE917553 JPA917488:JPA917553 JYW917488:JYW917553 KIS917488:KIS917553 KSO917488:KSO917553 LCK917488:LCK917553 LMG917488:LMG917553 LWC917488:LWC917553 MFY917488:MFY917553 MPU917488:MPU917553 MZQ917488:MZQ917553 NJM917488:NJM917553 NTI917488:NTI917553 ODE917488:ODE917553 ONA917488:ONA917553 OWW917488:OWW917553 PGS917488:PGS917553 PQO917488:PQO917553 QAK917488:QAK917553 QKG917488:QKG917553 QUC917488:QUC917553 RDY917488:RDY917553 RNU917488:RNU917553 RXQ917488:RXQ917553 SHM917488:SHM917553 SRI917488:SRI917553 TBE917488:TBE917553 TLA917488:TLA917553 TUW917488:TUW917553 UES917488:UES917553 UOO917488:UOO917553 UYK917488:UYK917553 VIG917488:VIG917553 VSC917488:VSC917553 WBY917488:WBY917553 WLU917488:WLU917553 WVQ917488:WVQ917553 I983024:I983089 JE983024:JE983089 TA983024:TA983089 ACW983024:ACW983089 AMS983024:AMS983089 AWO983024:AWO983089 BGK983024:BGK983089 BQG983024:BQG983089 CAC983024:CAC983089 CJY983024:CJY983089 CTU983024:CTU983089 DDQ983024:DDQ983089 DNM983024:DNM983089 DXI983024:DXI983089 EHE983024:EHE983089 ERA983024:ERA983089 FAW983024:FAW983089 FKS983024:FKS983089 FUO983024:FUO983089 GEK983024:GEK983089 GOG983024:GOG983089 GYC983024:GYC983089 HHY983024:HHY983089 HRU983024:HRU983089 IBQ983024:IBQ983089 ILM983024:ILM983089 IVI983024:IVI983089 JFE983024:JFE983089 JPA983024:JPA983089 JYW983024:JYW983089 KIS983024:KIS983089 KSO983024:KSO983089 LCK983024:LCK983089 LMG983024:LMG983089 LWC983024:LWC983089 MFY983024:MFY983089 MPU983024:MPU983089 MZQ983024:MZQ983089 NJM983024:NJM983089 NTI983024:NTI983089 ODE983024:ODE983089 ONA983024:ONA983089 OWW983024:OWW983089 PGS983024:PGS983089 PQO983024:PQO983089 QAK983024:QAK983089 QKG983024:QKG983089 QUC983024:QUC983089 RDY983024:RDY983089 RNU983024:RNU983089 RXQ983024:RXQ983089 SHM983024:SHM983089 SRI983024:SRI983089 TBE983024:TBE983089 TLA983024:TLA983089 TUW983024:TUW983089 UES983024:UES983089 UOO983024:UOO983089 UYK983024:UYK983089 VIG983024:VIG983089 VSC983024:VSC983089 WBY983024:WBY983089 WLU983024:WLU983089 WVQ2:WVQ69 JE2:JE69 TA2:TA69 ACW2:ACW69 AMS2:AMS69 AWO2:AWO69 BGK2:BGK69 BQG2:BQG69 CAC2:CAC69 CJY2:CJY69 CTU2:CTU69 DDQ2:DDQ69 DNM2:DNM69 DXI2:DXI69 EHE2:EHE69 ERA2:ERA69 FAW2:FAW69 FKS2:FKS69 FUO2:FUO69 GEK2:GEK69 GOG2:GOG69 GYC2:GYC69 HHY2:HHY69 HRU2:HRU69 IBQ2:IBQ69 ILM2:ILM69 IVI2:IVI69 JFE2:JFE69 JPA2:JPA69 JYW2:JYW69 KIS2:KIS69 KSO2:KSO69 LCK2:LCK69 LMG2:LMG69 LWC2:LWC69 MFY2:MFY69 MPU2:MPU69 MZQ2:MZQ69 NJM2:NJM69 NTI2:NTI69 ODE2:ODE69 ONA2:ONA69 OWW2:OWW69 PGS2:PGS69 PQO2:PQO69 QAK2:QAK69 QKG2:QKG69 QUC2:QUC69 RDY2:RDY69 RNU2:RNU69 RXQ2:RXQ69 SHM2:SHM69 SRI2:SRI69 TBE2:TBE69 TLA2:TLA69 TUW2:TUW69 UES2:UES69 UOO2:UOO69 UYK2:UYK69 VIG2:VIG69 VSC2:VSC69 WBY2:WBY69 WLU2:WLU69 I2:I482" xr:uid="{297E7F89-4ACC-48A6-A62F-3050B98176DE}">
      <formula1>$AN$5:$AN$6</formula1>
    </dataValidation>
    <dataValidation type="list" allowBlank="1" showInputMessage="1" showErrorMessage="1" sqref="J64345:J64410 JF64345:JF64410 TB64345:TB64410 ACX64345:ACX64410 AMT64345:AMT64410 AWP64345:AWP64410 BGL64345:BGL64410 BQH64345:BQH64410 CAD64345:CAD64410 CJZ64345:CJZ64410 CTV64345:CTV64410 DDR64345:DDR64410 DNN64345:DNN64410 DXJ64345:DXJ64410 EHF64345:EHF64410 ERB64345:ERB64410 FAX64345:FAX64410 FKT64345:FKT64410 FUP64345:FUP64410 GEL64345:GEL64410 GOH64345:GOH64410 GYD64345:GYD64410 HHZ64345:HHZ64410 HRV64345:HRV64410 IBR64345:IBR64410 ILN64345:ILN64410 IVJ64345:IVJ64410 JFF64345:JFF64410 JPB64345:JPB64410 JYX64345:JYX64410 KIT64345:KIT64410 KSP64345:KSP64410 LCL64345:LCL64410 LMH64345:LMH64410 LWD64345:LWD64410 MFZ64345:MFZ64410 MPV64345:MPV64410 MZR64345:MZR64410 NJN64345:NJN64410 NTJ64345:NTJ64410 ODF64345:ODF64410 ONB64345:ONB64410 OWX64345:OWX64410 PGT64345:PGT64410 PQP64345:PQP64410 QAL64345:QAL64410 QKH64345:QKH64410 QUD64345:QUD64410 RDZ64345:RDZ64410 RNV64345:RNV64410 RXR64345:RXR64410 SHN64345:SHN64410 SRJ64345:SRJ64410 TBF64345:TBF64410 TLB64345:TLB64410 TUX64345:TUX64410 UET64345:UET64410 UOP64345:UOP64410 UYL64345:UYL64410 VIH64345:VIH64410 VSD64345:VSD64410 WBZ64345:WBZ64410 WLV64345:WLV64410 WVR64345:WVR64410 J129881:J129946 JF129881:JF129946 TB129881:TB129946 ACX129881:ACX129946 AMT129881:AMT129946 AWP129881:AWP129946 BGL129881:BGL129946 BQH129881:BQH129946 CAD129881:CAD129946 CJZ129881:CJZ129946 CTV129881:CTV129946 DDR129881:DDR129946 DNN129881:DNN129946 DXJ129881:DXJ129946 EHF129881:EHF129946 ERB129881:ERB129946 FAX129881:FAX129946 FKT129881:FKT129946 FUP129881:FUP129946 GEL129881:GEL129946 GOH129881:GOH129946 GYD129881:GYD129946 HHZ129881:HHZ129946 HRV129881:HRV129946 IBR129881:IBR129946 ILN129881:ILN129946 IVJ129881:IVJ129946 JFF129881:JFF129946 JPB129881:JPB129946 JYX129881:JYX129946 KIT129881:KIT129946 KSP129881:KSP129946 LCL129881:LCL129946 LMH129881:LMH129946 LWD129881:LWD129946 MFZ129881:MFZ129946 MPV129881:MPV129946 MZR129881:MZR129946 NJN129881:NJN129946 NTJ129881:NTJ129946 ODF129881:ODF129946 ONB129881:ONB129946 OWX129881:OWX129946 PGT129881:PGT129946 PQP129881:PQP129946 QAL129881:QAL129946 QKH129881:QKH129946 QUD129881:QUD129946 RDZ129881:RDZ129946 RNV129881:RNV129946 RXR129881:RXR129946 SHN129881:SHN129946 SRJ129881:SRJ129946 TBF129881:TBF129946 TLB129881:TLB129946 TUX129881:TUX129946 UET129881:UET129946 UOP129881:UOP129946 UYL129881:UYL129946 VIH129881:VIH129946 VSD129881:VSD129946 WBZ129881:WBZ129946 WLV129881:WLV129946 WVR129881:WVR129946 J195417:J195482 JF195417:JF195482 TB195417:TB195482 ACX195417:ACX195482 AMT195417:AMT195482 AWP195417:AWP195482 BGL195417:BGL195482 BQH195417:BQH195482 CAD195417:CAD195482 CJZ195417:CJZ195482 CTV195417:CTV195482 DDR195417:DDR195482 DNN195417:DNN195482 DXJ195417:DXJ195482 EHF195417:EHF195482 ERB195417:ERB195482 FAX195417:FAX195482 FKT195417:FKT195482 FUP195417:FUP195482 GEL195417:GEL195482 GOH195417:GOH195482 GYD195417:GYD195482 HHZ195417:HHZ195482 HRV195417:HRV195482 IBR195417:IBR195482 ILN195417:ILN195482 IVJ195417:IVJ195482 JFF195417:JFF195482 JPB195417:JPB195482 JYX195417:JYX195482 KIT195417:KIT195482 KSP195417:KSP195482 LCL195417:LCL195482 LMH195417:LMH195482 LWD195417:LWD195482 MFZ195417:MFZ195482 MPV195417:MPV195482 MZR195417:MZR195482 NJN195417:NJN195482 NTJ195417:NTJ195482 ODF195417:ODF195482 ONB195417:ONB195482 OWX195417:OWX195482 PGT195417:PGT195482 PQP195417:PQP195482 QAL195417:QAL195482 QKH195417:QKH195482 QUD195417:QUD195482 RDZ195417:RDZ195482 RNV195417:RNV195482 RXR195417:RXR195482 SHN195417:SHN195482 SRJ195417:SRJ195482 TBF195417:TBF195482 TLB195417:TLB195482 TUX195417:TUX195482 UET195417:UET195482 UOP195417:UOP195482 UYL195417:UYL195482 VIH195417:VIH195482 VSD195417:VSD195482 WBZ195417:WBZ195482 WLV195417:WLV195482 WVR195417:WVR195482 J260953:J261018 JF260953:JF261018 TB260953:TB261018 ACX260953:ACX261018 AMT260953:AMT261018 AWP260953:AWP261018 BGL260953:BGL261018 BQH260953:BQH261018 CAD260953:CAD261018 CJZ260953:CJZ261018 CTV260953:CTV261018 DDR260953:DDR261018 DNN260953:DNN261018 DXJ260953:DXJ261018 EHF260953:EHF261018 ERB260953:ERB261018 FAX260953:FAX261018 FKT260953:FKT261018 FUP260953:FUP261018 GEL260953:GEL261018 GOH260953:GOH261018 GYD260953:GYD261018 HHZ260953:HHZ261018 HRV260953:HRV261018 IBR260953:IBR261018 ILN260953:ILN261018 IVJ260953:IVJ261018 JFF260953:JFF261018 JPB260953:JPB261018 JYX260953:JYX261018 KIT260953:KIT261018 KSP260953:KSP261018 LCL260953:LCL261018 LMH260953:LMH261018 LWD260953:LWD261018 MFZ260953:MFZ261018 MPV260953:MPV261018 MZR260953:MZR261018 NJN260953:NJN261018 NTJ260953:NTJ261018 ODF260953:ODF261018 ONB260953:ONB261018 OWX260953:OWX261018 PGT260953:PGT261018 PQP260953:PQP261018 QAL260953:QAL261018 QKH260953:QKH261018 QUD260953:QUD261018 RDZ260953:RDZ261018 RNV260953:RNV261018 RXR260953:RXR261018 SHN260953:SHN261018 SRJ260953:SRJ261018 TBF260953:TBF261018 TLB260953:TLB261018 TUX260953:TUX261018 UET260953:UET261018 UOP260953:UOP261018 UYL260953:UYL261018 VIH260953:VIH261018 VSD260953:VSD261018 WBZ260953:WBZ261018 WLV260953:WLV261018 WVR260953:WVR261018 J326489:J326554 JF326489:JF326554 TB326489:TB326554 ACX326489:ACX326554 AMT326489:AMT326554 AWP326489:AWP326554 BGL326489:BGL326554 BQH326489:BQH326554 CAD326489:CAD326554 CJZ326489:CJZ326554 CTV326489:CTV326554 DDR326489:DDR326554 DNN326489:DNN326554 DXJ326489:DXJ326554 EHF326489:EHF326554 ERB326489:ERB326554 FAX326489:FAX326554 FKT326489:FKT326554 FUP326489:FUP326554 GEL326489:GEL326554 GOH326489:GOH326554 GYD326489:GYD326554 HHZ326489:HHZ326554 HRV326489:HRV326554 IBR326489:IBR326554 ILN326489:ILN326554 IVJ326489:IVJ326554 JFF326489:JFF326554 JPB326489:JPB326554 JYX326489:JYX326554 KIT326489:KIT326554 KSP326489:KSP326554 LCL326489:LCL326554 LMH326489:LMH326554 LWD326489:LWD326554 MFZ326489:MFZ326554 MPV326489:MPV326554 MZR326489:MZR326554 NJN326489:NJN326554 NTJ326489:NTJ326554 ODF326489:ODF326554 ONB326489:ONB326554 OWX326489:OWX326554 PGT326489:PGT326554 PQP326489:PQP326554 QAL326489:QAL326554 QKH326489:QKH326554 QUD326489:QUD326554 RDZ326489:RDZ326554 RNV326489:RNV326554 RXR326489:RXR326554 SHN326489:SHN326554 SRJ326489:SRJ326554 TBF326489:TBF326554 TLB326489:TLB326554 TUX326489:TUX326554 UET326489:UET326554 UOP326489:UOP326554 UYL326489:UYL326554 VIH326489:VIH326554 VSD326489:VSD326554 WBZ326489:WBZ326554 WLV326489:WLV326554 WVR326489:WVR326554 J392025:J392090 JF392025:JF392090 TB392025:TB392090 ACX392025:ACX392090 AMT392025:AMT392090 AWP392025:AWP392090 BGL392025:BGL392090 BQH392025:BQH392090 CAD392025:CAD392090 CJZ392025:CJZ392090 CTV392025:CTV392090 DDR392025:DDR392090 DNN392025:DNN392090 DXJ392025:DXJ392090 EHF392025:EHF392090 ERB392025:ERB392090 FAX392025:FAX392090 FKT392025:FKT392090 FUP392025:FUP392090 GEL392025:GEL392090 GOH392025:GOH392090 GYD392025:GYD392090 HHZ392025:HHZ392090 HRV392025:HRV392090 IBR392025:IBR392090 ILN392025:ILN392090 IVJ392025:IVJ392090 JFF392025:JFF392090 JPB392025:JPB392090 JYX392025:JYX392090 KIT392025:KIT392090 KSP392025:KSP392090 LCL392025:LCL392090 LMH392025:LMH392090 LWD392025:LWD392090 MFZ392025:MFZ392090 MPV392025:MPV392090 MZR392025:MZR392090 NJN392025:NJN392090 NTJ392025:NTJ392090 ODF392025:ODF392090 ONB392025:ONB392090 OWX392025:OWX392090 PGT392025:PGT392090 PQP392025:PQP392090 QAL392025:QAL392090 QKH392025:QKH392090 QUD392025:QUD392090 RDZ392025:RDZ392090 RNV392025:RNV392090 RXR392025:RXR392090 SHN392025:SHN392090 SRJ392025:SRJ392090 TBF392025:TBF392090 TLB392025:TLB392090 TUX392025:TUX392090 UET392025:UET392090 UOP392025:UOP392090 UYL392025:UYL392090 VIH392025:VIH392090 VSD392025:VSD392090 WBZ392025:WBZ392090 WLV392025:WLV392090 WVR392025:WVR392090 J457561:J457626 JF457561:JF457626 TB457561:TB457626 ACX457561:ACX457626 AMT457561:AMT457626 AWP457561:AWP457626 BGL457561:BGL457626 BQH457561:BQH457626 CAD457561:CAD457626 CJZ457561:CJZ457626 CTV457561:CTV457626 DDR457561:DDR457626 DNN457561:DNN457626 DXJ457561:DXJ457626 EHF457561:EHF457626 ERB457561:ERB457626 FAX457561:FAX457626 FKT457561:FKT457626 FUP457561:FUP457626 GEL457561:GEL457626 GOH457561:GOH457626 GYD457561:GYD457626 HHZ457561:HHZ457626 HRV457561:HRV457626 IBR457561:IBR457626 ILN457561:ILN457626 IVJ457561:IVJ457626 JFF457561:JFF457626 JPB457561:JPB457626 JYX457561:JYX457626 KIT457561:KIT457626 KSP457561:KSP457626 LCL457561:LCL457626 LMH457561:LMH457626 LWD457561:LWD457626 MFZ457561:MFZ457626 MPV457561:MPV457626 MZR457561:MZR457626 NJN457561:NJN457626 NTJ457561:NTJ457626 ODF457561:ODF457626 ONB457561:ONB457626 OWX457561:OWX457626 PGT457561:PGT457626 PQP457561:PQP457626 QAL457561:QAL457626 QKH457561:QKH457626 QUD457561:QUD457626 RDZ457561:RDZ457626 RNV457561:RNV457626 RXR457561:RXR457626 SHN457561:SHN457626 SRJ457561:SRJ457626 TBF457561:TBF457626 TLB457561:TLB457626 TUX457561:TUX457626 UET457561:UET457626 UOP457561:UOP457626 UYL457561:UYL457626 VIH457561:VIH457626 VSD457561:VSD457626 WBZ457561:WBZ457626 WLV457561:WLV457626 WVR457561:WVR457626 J523097:J523162 JF523097:JF523162 TB523097:TB523162 ACX523097:ACX523162 AMT523097:AMT523162 AWP523097:AWP523162 BGL523097:BGL523162 BQH523097:BQH523162 CAD523097:CAD523162 CJZ523097:CJZ523162 CTV523097:CTV523162 DDR523097:DDR523162 DNN523097:DNN523162 DXJ523097:DXJ523162 EHF523097:EHF523162 ERB523097:ERB523162 FAX523097:FAX523162 FKT523097:FKT523162 FUP523097:FUP523162 GEL523097:GEL523162 GOH523097:GOH523162 GYD523097:GYD523162 HHZ523097:HHZ523162 HRV523097:HRV523162 IBR523097:IBR523162 ILN523097:ILN523162 IVJ523097:IVJ523162 JFF523097:JFF523162 JPB523097:JPB523162 JYX523097:JYX523162 KIT523097:KIT523162 KSP523097:KSP523162 LCL523097:LCL523162 LMH523097:LMH523162 LWD523097:LWD523162 MFZ523097:MFZ523162 MPV523097:MPV523162 MZR523097:MZR523162 NJN523097:NJN523162 NTJ523097:NTJ523162 ODF523097:ODF523162 ONB523097:ONB523162 OWX523097:OWX523162 PGT523097:PGT523162 PQP523097:PQP523162 QAL523097:QAL523162 QKH523097:QKH523162 QUD523097:QUD523162 RDZ523097:RDZ523162 RNV523097:RNV523162 RXR523097:RXR523162 SHN523097:SHN523162 SRJ523097:SRJ523162 TBF523097:TBF523162 TLB523097:TLB523162 TUX523097:TUX523162 UET523097:UET523162 UOP523097:UOP523162 UYL523097:UYL523162 VIH523097:VIH523162 VSD523097:VSD523162 WBZ523097:WBZ523162 WLV523097:WLV523162 WVR523097:WVR523162 J588633:J588698 JF588633:JF588698 TB588633:TB588698 ACX588633:ACX588698 AMT588633:AMT588698 AWP588633:AWP588698 BGL588633:BGL588698 BQH588633:BQH588698 CAD588633:CAD588698 CJZ588633:CJZ588698 CTV588633:CTV588698 DDR588633:DDR588698 DNN588633:DNN588698 DXJ588633:DXJ588698 EHF588633:EHF588698 ERB588633:ERB588698 FAX588633:FAX588698 FKT588633:FKT588698 FUP588633:FUP588698 GEL588633:GEL588698 GOH588633:GOH588698 GYD588633:GYD588698 HHZ588633:HHZ588698 HRV588633:HRV588698 IBR588633:IBR588698 ILN588633:ILN588698 IVJ588633:IVJ588698 JFF588633:JFF588698 JPB588633:JPB588698 JYX588633:JYX588698 KIT588633:KIT588698 KSP588633:KSP588698 LCL588633:LCL588698 LMH588633:LMH588698 LWD588633:LWD588698 MFZ588633:MFZ588698 MPV588633:MPV588698 MZR588633:MZR588698 NJN588633:NJN588698 NTJ588633:NTJ588698 ODF588633:ODF588698 ONB588633:ONB588698 OWX588633:OWX588698 PGT588633:PGT588698 PQP588633:PQP588698 QAL588633:QAL588698 QKH588633:QKH588698 QUD588633:QUD588698 RDZ588633:RDZ588698 RNV588633:RNV588698 RXR588633:RXR588698 SHN588633:SHN588698 SRJ588633:SRJ588698 TBF588633:TBF588698 TLB588633:TLB588698 TUX588633:TUX588698 UET588633:UET588698 UOP588633:UOP588698 UYL588633:UYL588698 VIH588633:VIH588698 VSD588633:VSD588698 WBZ588633:WBZ588698 WLV588633:WLV588698 WVR588633:WVR588698 J654169:J654234 JF654169:JF654234 TB654169:TB654234 ACX654169:ACX654234 AMT654169:AMT654234 AWP654169:AWP654234 BGL654169:BGL654234 BQH654169:BQH654234 CAD654169:CAD654234 CJZ654169:CJZ654234 CTV654169:CTV654234 DDR654169:DDR654234 DNN654169:DNN654234 DXJ654169:DXJ654234 EHF654169:EHF654234 ERB654169:ERB654234 FAX654169:FAX654234 FKT654169:FKT654234 FUP654169:FUP654234 GEL654169:GEL654234 GOH654169:GOH654234 GYD654169:GYD654234 HHZ654169:HHZ654234 HRV654169:HRV654234 IBR654169:IBR654234 ILN654169:ILN654234 IVJ654169:IVJ654234 JFF654169:JFF654234 JPB654169:JPB654234 JYX654169:JYX654234 KIT654169:KIT654234 KSP654169:KSP654234 LCL654169:LCL654234 LMH654169:LMH654234 LWD654169:LWD654234 MFZ654169:MFZ654234 MPV654169:MPV654234 MZR654169:MZR654234 NJN654169:NJN654234 NTJ654169:NTJ654234 ODF654169:ODF654234 ONB654169:ONB654234 OWX654169:OWX654234 PGT654169:PGT654234 PQP654169:PQP654234 QAL654169:QAL654234 QKH654169:QKH654234 QUD654169:QUD654234 RDZ654169:RDZ654234 RNV654169:RNV654234 RXR654169:RXR654234 SHN654169:SHN654234 SRJ654169:SRJ654234 TBF654169:TBF654234 TLB654169:TLB654234 TUX654169:TUX654234 UET654169:UET654234 UOP654169:UOP654234 UYL654169:UYL654234 VIH654169:VIH654234 VSD654169:VSD654234 WBZ654169:WBZ654234 WLV654169:WLV654234 WVR654169:WVR654234 J719705:J719770 JF719705:JF719770 TB719705:TB719770 ACX719705:ACX719770 AMT719705:AMT719770 AWP719705:AWP719770 BGL719705:BGL719770 BQH719705:BQH719770 CAD719705:CAD719770 CJZ719705:CJZ719770 CTV719705:CTV719770 DDR719705:DDR719770 DNN719705:DNN719770 DXJ719705:DXJ719770 EHF719705:EHF719770 ERB719705:ERB719770 FAX719705:FAX719770 FKT719705:FKT719770 FUP719705:FUP719770 GEL719705:GEL719770 GOH719705:GOH719770 GYD719705:GYD719770 HHZ719705:HHZ719770 HRV719705:HRV719770 IBR719705:IBR719770 ILN719705:ILN719770 IVJ719705:IVJ719770 JFF719705:JFF719770 JPB719705:JPB719770 JYX719705:JYX719770 KIT719705:KIT719770 KSP719705:KSP719770 LCL719705:LCL719770 LMH719705:LMH719770 LWD719705:LWD719770 MFZ719705:MFZ719770 MPV719705:MPV719770 MZR719705:MZR719770 NJN719705:NJN719770 NTJ719705:NTJ719770 ODF719705:ODF719770 ONB719705:ONB719770 OWX719705:OWX719770 PGT719705:PGT719770 PQP719705:PQP719770 QAL719705:QAL719770 QKH719705:QKH719770 QUD719705:QUD719770 RDZ719705:RDZ719770 RNV719705:RNV719770 RXR719705:RXR719770 SHN719705:SHN719770 SRJ719705:SRJ719770 TBF719705:TBF719770 TLB719705:TLB719770 TUX719705:TUX719770 UET719705:UET719770 UOP719705:UOP719770 UYL719705:UYL719770 VIH719705:VIH719770 VSD719705:VSD719770 WBZ719705:WBZ719770 WLV719705:WLV719770 WVR719705:WVR719770 J785241:J785306 JF785241:JF785306 TB785241:TB785306 ACX785241:ACX785306 AMT785241:AMT785306 AWP785241:AWP785306 BGL785241:BGL785306 BQH785241:BQH785306 CAD785241:CAD785306 CJZ785241:CJZ785306 CTV785241:CTV785306 DDR785241:DDR785306 DNN785241:DNN785306 DXJ785241:DXJ785306 EHF785241:EHF785306 ERB785241:ERB785306 FAX785241:FAX785306 FKT785241:FKT785306 FUP785241:FUP785306 GEL785241:GEL785306 GOH785241:GOH785306 GYD785241:GYD785306 HHZ785241:HHZ785306 HRV785241:HRV785306 IBR785241:IBR785306 ILN785241:ILN785306 IVJ785241:IVJ785306 JFF785241:JFF785306 JPB785241:JPB785306 JYX785241:JYX785306 KIT785241:KIT785306 KSP785241:KSP785306 LCL785241:LCL785306 LMH785241:LMH785306 LWD785241:LWD785306 MFZ785241:MFZ785306 MPV785241:MPV785306 MZR785241:MZR785306 NJN785241:NJN785306 NTJ785241:NTJ785306 ODF785241:ODF785306 ONB785241:ONB785306 OWX785241:OWX785306 PGT785241:PGT785306 PQP785241:PQP785306 QAL785241:QAL785306 QKH785241:QKH785306 QUD785241:QUD785306 RDZ785241:RDZ785306 RNV785241:RNV785306 RXR785241:RXR785306 SHN785241:SHN785306 SRJ785241:SRJ785306 TBF785241:TBF785306 TLB785241:TLB785306 TUX785241:TUX785306 UET785241:UET785306 UOP785241:UOP785306 UYL785241:UYL785306 VIH785241:VIH785306 VSD785241:VSD785306 WBZ785241:WBZ785306 WLV785241:WLV785306 WVR785241:WVR785306 J850777:J850842 JF850777:JF850842 TB850777:TB850842 ACX850777:ACX850842 AMT850777:AMT850842 AWP850777:AWP850842 BGL850777:BGL850842 BQH850777:BQH850842 CAD850777:CAD850842 CJZ850777:CJZ850842 CTV850777:CTV850842 DDR850777:DDR850842 DNN850777:DNN850842 DXJ850777:DXJ850842 EHF850777:EHF850842 ERB850777:ERB850842 FAX850777:FAX850842 FKT850777:FKT850842 FUP850777:FUP850842 GEL850777:GEL850842 GOH850777:GOH850842 GYD850777:GYD850842 HHZ850777:HHZ850842 HRV850777:HRV850842 IBR850777:IBR850842 ILN850777:ILN850842 IVJ850777:IVJ850842 JFF850777:JFF850842 JPB850777:JPB850842 JYX850777:JYX850842 KIT850777:KIT850842 KSP850777:KSP850842 LCL850777:LCL850842 LMH850777:LMH850842 LWD850777:LWD850842 MFZ850777:MFZ850842 MPV850777:MPV850842 MZR850777:MZR850842 NJN850777:NJN850842 NTJ850777:NTJ850842 ODF850777:ODF850842 ONB850777:ONB850842 OWX850777:OWX850842 PGT850777:PGT850842 PQP850777:PQP850842 QAL850777:QAL850842 QKH850777:QKH850842 QUD850777:QUD850842 RDZ850777:RDZ850842 RNV850777:RNV850842 RXR850777:RXR850842 SHN850777:SHN850842 SRJ850777:SRJ850842 TBF850777:TBF850842 TLB850777:TLB850842 TUX850777:TUX850842 UET850777:UET850842 UOP850777:UOP850842 UYL850777:UYL850842 VIH850777:VIH850842 VSD850777:VSD850842 WBZ850777:WBZ850842 WLV850777:WLV850842 WVR850777:WVR850842 J916313:J916378 JF916313:JF916378 TB916313:TB916378 ACX916313:ACX916378 AMT916313:AMT916378 AWP916313:AWP916378 BGL916313:BGL916378 BQH916313:BQH916378 CAD916313:CAD916378 CJZ916313:CJZ916378 CTV916313:CTV916378 DDR916313:DDR916378 DNN916313:DNN916378 DXJ916313:DXJ916378 EHF916313:EHF916378 ERB916313:ERB916378 FAX916313:FAX916378 FKT916313:FKT916378 FUP916313:FUP916378 GEL916313:GEL916378 GOH916313:GOH916378 GYD916313:GYD916378 HHZ916313:HHZ916378 HRV916313:HRV916378 IBR916313:IBR916378 ILN916313:ILN916378 IVJ916313:IVJ916378 JFF916313:JFF916378 JPB916313:JPB916378 JYX916313:JYX916378 KIT916313:KIT916378 KSP916313:KSP916378 LCL916313:LCL916378 LMH916313:LMH916378 LWD916313:LWD916378 MFZ916313:MFZ916378 MPV916313:MPV916378 MZR916313:MZR916378 NJN916313:NJN916378 NTJ916313:NTJ916378 ODF916313:ODF916378 ONB916313:ONB916378 OWX916313:OWX916378 PGT916313:PGT916378 PQP916313:PQP916378 QAL916313:QAL916378 QKH916313:QKH916378 QUD916313:QUD916378 RDZ916313:RDZ916378 RNV916313:RNV916378 RXR916313:RXR916378 SHN916313:SHN916378 SRJ916313:SRJ916378 TBF916313:TBF916378 TLB916313:TLB916378 TUX916313:TUX916378 UET916313:UET916378 UOP916313:UOP916378 UYL916313:UYL916378 VIH916313:VIH916378 VSD916313:VSD916378 WBZ916313:WBZ916378 WLV916313:WLV916378 WVR916313:WVR916378 J981849:J981914 JF981849:JF981914 TB981849:TB981914 ACX981849:ACX981914 AMT981849:AMT981914 AWP981849:AWP981914 BGL981849:BGL981914 BQH981849:BQH981914 CAD981849:CAD981914 CJZ981849:CJZ981914 CTV981849:CTV981914 DDR981849:DDR981914 DNN981849:DNN981914 DXJ981849:DXJ981914 EHF981849:EHF981914 ERB981849:ERB981914 FAX981849:FAX981914 FKT981849:FKT981914 FUP981849:FUP981914 GEL981849:GEL981914 GOH981849:GOH981914 GYD981849:GYD981914 HHZ981849:HHZ981914 HRV981849:HRV981914 IBR981849:IBR981914 ILN981849:ILN981914 IVJ981849:IVJ981914 JFF981849:JFF981914 JPB981849:JPB981914 JYX981849:JYX981914 KIT981849:KIT981914 KSP981849:KSP981914 LCL981849:LCL981914 LMH981849:LMH981914 LWD981849:LWD981914 MFZ981849:MFZ981914 MPV981849:MPV981914 MZR981849:MZR981914 NJN981849:NJN981914 NTJ981849:NTJ981914 ODF981849:ODF981914 ONB981849:ONB981914 OWX981849:OWX981914 PGT981849:PGT981914 PQP981849:PQP981914 QAL981849:QAL981914 QKH981849:QKH981914 QUD981849:QUD981914 RDZ981849:RDZ981914 RNV981849:RNV981914 RXR981849:RXR981914 SHN981849:SHN981914 SRJ981849:SRJ981914 TBF981849:TBF981914 TLB981849:TLB981914 TUX981849:TUX981914 UET981849:UET981914 UOP981849:UOP981914 UYL981849:UYL981914 VIH981849:VIH981914 VSD981849:VSD981914 WBZ981849:WBZ981914 WLV981849:WLV981914 WVR981849:WVR981914 J1047385:J1047450 JF1047385:JF1047450 TB1047385:TB1047450 ACX1047385:ACX1047450 AMT1047385:AMT1047450 AWP1047385:AWP1047450 BGL1047385:BGL1047450 BQH1047385:BQH1047450 CAD1047385:CAD1047450 CJZ1047385:CJZ1047450 CTV1047385:CTV1047450 DDR1047385:DDR1047450 DNN1047385:DNN1047450 DXJ1047385:DXJ1047450 EHF1047385:EHF1047450 ERB1047385:ERB1047450 FAX1047385:FAX1047450 FKT1047385:FKT1047450 FUP1047385:FUP1047450 GEL1047385:GEL1047450 GOH1047385:GOH1047450 GYD1047385:GYD1047450 HHZ1047385:HHZ1047450 HRV1047385:HRV1047450 IBR1047385:IBR1047450 ILN1047385:ILN1047450 IVJ1047385:IVJ1047450 JFF1047385:JFF1047450 JPB1047385:JPB1047450 JYX1047385:JYX1047450 KIT1047385:KIT1047450 KSP1047385:KSP1047450 LCL1047385:LCL1047450 LMH1047385:LMH1047450 LWD1047385:LWD1047450 MFZ1047385:MFZ1047450 MPV1047385:MPV1047450 MZR1047385:MZR1047450 NJN1047385:NJN1047450 NTJ1047385:NTJ1047450 ODF1047385:ODF1047450 ONB1047385:ONB1047450 OWX1047385:OWX1047450 PGT1047385:PGT1047450 PQP1047385:PQP1047450 QAL1047385:QAL1047450 QKH1047385:QKH1047450 QUD1047385:QUD1047450 RDZ1047385:RDZ1047450 RNV1047385:RNV1047450 RXR1047385:RXR1047450 SHN1047385:SHN1047450 SRJ1047385:SRJ1047450 TBF1047385:TBF1047450 TLB1047385:TLB1047450 TUX1047385:TUX1047450 UET1047385:UET1047450 UOP1047385:UOP1047450 UYL1047385:UYL1047450 VIH1047385:VIH1047450 VSD1047385:VSD1047450 WBZ1047385:WBZ1047450 WLV1047385:WLV1047450 WVR1047385:WVR1047450" xr:uid="{2B1B6CA4-CA24-4C43-B644-1B4C6D460C38}">
      <formula1>$AP$2:$AP$15</formula1>
    </dataValidation>
    <dataValidation type="list" allowBlank="1" showInputMessage="1" showErrorMessage="1" sqref="K64345:K64410 JG64345:JG64410 TC64345:TC64410 ACY64345:ACY64410 AMU64345:AMU64410 AWQ64345:AWQ64410 BGM64345:BGM64410 BQI64345:BQI64410 CAE64345:CAE64410 CKA64345:CKA64410 CTW64345:CTW64410 DDS64345:DDS64410 DNO64345:DNO64410 DXK64345:DXK64410 EHG64345:EHG64410 ERC64345:ERC64410 FAY64345:FAY64410 FKU64345:FKU64410 FUQ64345:FUQ64410 GEM64345:GEM64410 GOI64345:GOI64410 GYE64345:GYE64410 HIA64345:HIA64410 HRW64345:HRW64410 IBS64345:IBS64410 ILO64345:ILO64410 IVK64345:IVK64410 JFG64345:JFG64410 JPC64345:JPC64410 JYY64345:JYY64410 KIU64345:KIU64410 KSQ64345:KSQ64410 LCM64345:LCM64410 LMI64345:LMI64410 LWE64345:LWE64410 MGA64345:MGA64410 MPW64345:MPW64410 MZS64345:MZS64410 NJO64345:NJO64410 NTK64345:NTK64410 ODG64345:ODG64410 ONC64345:ONC64410 OWY64345:OWY64410 PGU64345:PGU64410 PQQ64345:PQQ64410 QAM64345:QAM64410 QKI64345:QKI64410 QUE64345:QUE64410 REA64345:REA64410 RNW64345:RNW64410 RXS64345:RXS64410 SHO64345:SHO64410 SRK64345:SRK64410 TBG64345:TBG64410 TLC64345:TLC64410 TUY64345:TUY64410 UEU64345:UEU64410 UOQ64345:UOQ64410 UYM64345:UYM64410 VII64345:VII64410 VSE64345:VSE64410 WCA64345:WCA64410 WLW64345:WLW64410 WVS64345:WVS64410 K129881:K129946 JG129881:JG129946 TC129881:TC129946 ACY129881:ACY129946 AMU129881:AMU129946 AWQ129881:AWQ129946 BGM129881:BGM129946 BQI129881:BQI129946 CAE129881:CAE129946 CKA129881:CKA129946 CTW129881:CTW129946 DDS129881:DDS129946 DNO129881:DNO129946 DXK129881:DXK129946 EHG129881:EHG129946 ERC129881:ERC129946 FAY129881:FAY129946 FKU129881:FKU129946 FUQ129881:FUQ129946 GEM129881:GEM129946 GOI129881:GOI129946 GYE129881:GYE129946 HIA129881:HIA129946 HRW129881:HRW129946 IBS129881:IBS129946 ILO129881:ILO129946 IVK129881:IVK129946 JFG129881:JFG129946 JPC129881:JPC129946 JYY129881:JYY129946 KIU129881:KIU129946 KSQ129881:KSQ129946 LCM129881:LCM129946 LMI129881:LMI129946 LWE129881:LWE129946 MGA129881:MGA129946 MPW129881:MPW129946 MZS129881:MZS129946 NJO129881:NJO129946 NTK129881:NTK129946 ODG129881:ODG129946 ONC129881:ONC129946 OWY129881:OWY129946 PGU129881:PGU129946 PQQ129881:PQQ129946 QAM129881:QAM129946 QKI129881:QKI129946 QUE129881:QUE129946 REA129881:REA129946 RNW129881:RNW129946 RXS129881:RXS129946 SHO129881:SHO129946 SRK129881:SRK129946 TBG129881:TBG129946 TLC129881:TLC129946 TUY129881:TUY129946 UEU129881:UEU129946 UOQ129881:UOQ129946 UYM129881:UYM129946 VII129881:VII129946 VSE129881:VSE129946 WCA129881:WCA129946 WLW129881:WLW129946 WVS129881:WVS129946 K195417:K195482 JG195417:JG195482 TC195417:TC195482 ACY195417:ACY195482 AMU195417:AMU195482 AWQ195417:AWQ195482 BGM195417:BGM195482 BQI195417:BQI195482 CAE195417:CAE195482 CKA195417:CKA195482 CTW195417:CTW195482 DDS195417:DDS195482 DNO195417:DNO195482 DXK195417:DXK195482 EHG195417:EHG195482 ERC195417:ERC195482 FAY195417:FAY195482 FKU195417:FKU195482 FUQ195417:FUQ195482 GEM195417:GEM195482 GOI195417:GOI195482 GYE195417:GYE195482 HIA195417:HIA195482 HRW195417:HRW195482 IBS195417:IBS195482 ILO195417:ILO195482 IVK195417:IVK195482 JFG195417:JFG195482 JPC195417:JPC195482 JYY195417:JYY195482 KIU195417:KIU195482 KSQ195417:KSQ195482 LCM195417:LCM195482 LMI195417:LMI195482 LWE195417:LWE195482 MGA195417:MGA195482 MPW195417:MPW195482 MZS195417:MZS195482 NJO195417:NJO195482 NTK195417:NTK195482 ODG195417:ODG195482 ONC195417:ONC195482 OWY195417:OWY195482 PGU195417:PGU195482 PQQ195417:PQQ195482 QAM195417:QAM195482 QKI195417:QKI195482 QUE195417:QUE195482 REA195417:REA195482 RNW195417:RNW195482 RXS195417:RXS195482 SHO195417:SHO195482 SRK195417:SRK195482 TBG195417:TBG195482 TLC195417:TLC195482 TUY195417:TUY195482 UEU195417:UEU195482 UOQ195417:UOQ195482 UYM195417:UYM195482 VII195417:VII195482 VSE195417:VSE195482 WCA195417:WCA195482 WLW195417:WLW195482 WVS195417:WVS195482 K260953:K261018 JG260953:JG261018 TC260953:TC261018 ACY260953:ACY261018 AMU260953:AMU261018 AWQ260953:AWQ261018 BGM260953:BGM261018 BQI260953:BQI261018 CAE260953:CAE261018 CKA260953:CKA261018 CTW260953:CTW261018 DDS260953:DDS261018 DNO260953:DNO261018 DXK260953:DXK261018 EHG260953:EHG261018 ERC260953:ERC261018 FAY260953:FAY261018 FKU260953:FKU261018 FUQ260953:FUQ261018 GEM260953:GEM261018 GOI260953:GOI261018 GYE260953:GYE261018 HIA260953:HIA261018 HRW260953:HRW261018 IBS260953:IBS261018 ILO260953:ILO261018 IVK260953:IVK261018 JFG260953:JFG261018 JPC260953:JPC261018 JYY260953:JYY261018 KIU260953:KIU261018 KSQ260953:KSQ261018 LCM260953:LCM261018 LMI260953:LMI261018 LWE260953:LWE261018 MGA260953:MGA261018 MPW260953:MPW261018 MZS260953:MZS261018 NJO260953:NJO261018 NTK260953:NTK261018 ODG260953:ODG261018 ONC260953:ONC261018 OWY260953:OWY261018 PGU260953:PGU261018 PQQ260953:PQQ261018 QAM260953:QAM261018 QKI260953:QKI261018 QUE260953:QUE261018 REA260953:REA261018 RNW260953:RNW261018 RXS260953:RXS261018 SHO260953:SHO261018 SRK260953:SRK261018 TBG260953:TBG261018 TLC260953:TLC261018 TUY260953:TUY261018 UEU260953:UEU261018 UOQ260953:UOQ261018 UYM260953:UYM261018 VII260953:VII261018 VSE260953:VSE261018 WCA260953:WCA261018 WLW260953:WLW261018 WVS260953:WVS261018 K326489:K326554 JG326489:JG326554 TC326489:TC326554 ACY326489:ACY326554 AMU326489:AMU326554 AWQ326489:AWQ326554 BGM326489:BGM326554 BQI326489:BQI326554 CAE326489:CAE326554 CKA326489:CKA326554 CTW326489:CTW326554 DDS326489:DDS326554 DNO326489:DNO326554 DXK326489:DXK326554 EHG326489:EHG326554 ERC326489:ERC326554 FAY326489:FAY326554 FKU326489:FKU326554 FUQ326489:FUQ326554 GEM326489:GEM326554 GOI326489:GOI326554 GYE326489:GYE326554 HIA326489:HIA326554 HRW326489:HRW326554 IBS326489:IBS326554 ILO326489:ILO326554 IVK326489:IVK326554 JFG326489:JFG326554 JPC326489:JPC326554 JYY326489:JYY326554 KIU326489:KIU326554 KSQ326489:KSQ326554 LCM326489:LCM326554 LMI326489:LMI326554 LWE326489:LWE326554 MGA326489:MGA326554 MPW326489:MPW326554 MZS326489:MZS326554 NJO326489:NJO326554 NTK326489:NTK326554 ODG326489:ODG326554 ONC326489:ONC326554 OWY326489:OWY326554 PGU326489:PGU326554 PQQ326489:PQQ326554 QAM326489:QAM326554 QKI326489:QKI326554 QUE326489:QUE326554 REA326489:REA326554 RNW326489:RNW326554 RXS326489:RXS326554 SHO326489:SHO326554 SRK326489:SRK326554 TBG326489:TBG326554 TLC326489:TLC326554 TUY326489:TUY326554 UEU326489:UEU326554 UOQ326489:UOQ326554 UYM326489:UYM326554 VII326489:VII326554 VSE326489:VSE326554 WCA326489:WCA326554 WLW326489:WLW326554 WVS326489:WVS326554 K392025:K392090 JG392025:JG392090 TC392025:TC392090 ACY392025:ACY392090 AMU392025:AMU392090 AWQ392025:AWQ392090 BGM392025:BGM392090 BQI392025:BQI392090 CAE392025:CAE392090 CKA392025:CKA392090 CTW392025:CTW392090 DDS392025:DDS392090 DNO392025:DNO392090 DXK392025:DXK392090 EHG392025:EHG392090 ERC392025:ERC392090 FAY392025:FAY392090 FKU392025:FKU392090 FUQ392025:FUQ392090 GEM392025:GEM392090 GOI392025:GOI392090 GYE392025:GYE392090 HIA392025:HIA392090 HRW392025:HRW392090 IBS392025:IBS392090 ILO392025:ILO392090 IVK392025:IVK392090 JFG392025:JFG392090 JPC392025:JPC392090 JYY392025:JYY392090 KIU392025:KIU392090 KSQ392025:KSQ392090 LCM392025:LCM392090 LMI392025:LMI392090 LWE392025:LWE392090 MGA392025:MGA392090 MPW392025:MPW392090 MZS392025:MZS392090 NJO392025:NJO392090 NTK392025:NTK392090 ODG392025:ODG392090 ONC392025:ONC392090 OWY392025:OWY392090 PGU392025:PGU392090 PQQ392025:PQQ392090 QAM392025:QAM392090 QKI392025:QKI392090 QUE392025:QUE392090 REA392025:REA392090 RNW392025:RNW392090 RXS392025:RXS392090 SHO392025:SHO392090 SRK392025:SRK392090 TBG392025:TBG392090 TLC392025:TLC392090 TUY392025:TUY392090 UEU392025:UEU392090 UOQ392025:UOQ392090 UYM392025:UYM392090 VII392025:VII392090 VSE392025:VSE392090 WCA392025:WCA392090 WLW392025:WLW392090 WVS392025:WVS392090 K457561:K457626 JG457561:JG457626 TC457561:TC457626 ACY457561:ACY457626 AMU457561:AMU457626 AWQ457561:AWQ457626 BGM457561:BGM457626 BQI457561:BQI457626 CAE457561:CAE457626 CKA457561:CKA457626 CTW457561:CTW457626 DDS457561:DDS457626 DNO457561:DNO457626 DXK457561:DXK457626 EHG457561:EHG457626 ERC457561:ERC457626 FAY457561:FAY457626 FKU457561:FKU457626 FUQ457561:FUQ457626 GEM457561:GEM457626 GOI457561:GOI457626 GYE457561:GYE457626 HIA457561:HIA457626 HRW457561:HRW457626 IBS457561:IBS457626 ILO457561:ILO457626 IVK457561:IVK457626 JFG457561:JFG457626 JPC457561:JPC457626 JYY457561:JYY457626 KIU457561:KIU457626 KSQ457561:KSQ457626 LCM457561:LCM457626 LMI457561:LMI457626 LWE457561:LWE457626 MGA457561:MGA457626 MPW457561:MPW457626 MZS457561:MZS457626 NJO457561:NJO457626 NTK457561:NTK457626 ODG457561:ODG457626 ONC457561:ONC457626 OWY457561:OWY457626 PGU457561:PGU457626 PQQ457561:PQQ457626 QAM457561:QAM457626 QKI457561:QKI457626 QUE457561:QUE457626 REA457561:REA457626 RNW457561:RNW457626 RXS457561:RXS457626 SHO457561:SHO457626 SRK457561:SRK457626 TBG457561:TBG457626 TLC457561:TLC457626 TUY457561:TUY457626 UEU457561:UEU457626 UOQ457561:UOQ457626 UYM457561:UYM457626 VII457561:VII457626 VSE457561:VSE457626 WCA457561:WCA457626 WLW457561:WLW457626 WVS457561:WVS457626 K523097:K523162 JG523097:JG523162 TC523097:TC523162 ACY523097:ACY523162 AMU523097:AMU523162 AWQ523097:AWQ523162 BGM523097:BGM523162 BQI523097:BQI523162 CAE523097:CAE523162 CKA523097:CKA523162 CTW523097:CTW523162 DDS523097:DDS523162 DNO523097:DNO523162 DXK523097:DXK523162 EHG523097:EHG523162 ERC523097:ERC523162 FAY523097:FAY523162 FKU523097:FKU523162 FUQ523097:FUQ523162 GEM523097:GEM523162 GOI523097:GOI523162 GYE523097:GYE523162 HIA523097:HIA523162 HRW523097:HRW523162 IBS523097:IBS523162 ILO523097:ILO523162 IVK523097:IVK523162 JFG523097:JFG523162 JPC523097:JPC523162 JYY523097:JYY523162 KIU523097:KIU523162 KSQ523097:KSQ523162 LCM523097:LCM523162 LMI523097:LMI523162 LWE523097:LWE523162 MGA523097:MGA523162 MPW523097:MPW523162 MZS523097:MZS523162 NJO523097:NJO523162 NTK523097:NTK523162 ODG523097:ODG523162 ONC523097:ONC523162 OWY523097:OWY523162 PGU523097:PGU523162 PQQ523097:PQQ523162 QAM523097:QAM523162 QKI523097:QKI523162 QUE523097:QUE523162 REA523097:REA523162 RNW523097:RNW523162 RXS523097:RXS523162 SHO523097:SHO523162 SRK523097:SRK523162 TBG523097:TBG523162 TLC523097:TLC523162 TUY523097:TUY523162 UEU523097:UEU523162 UOQ523097:UOQ523162 UYM523097:UYM523162 VII523097:VII523162 VSE523097:VSE523162 WCA523097:WCA523162 WLW523097:WLW523162 WVS523097:WVS523162 K588633:K588698 JG588633:JG588698 TC588633:TC588698 ACY588633:ACY588698 AMU588633:AMU588698 AWQ588633:AWQ588698 BGM588633:BGM588698 BQI588633:BQI588698 CAE588633:CAE588698 CKA588633:CKA588698 CTW588633:CTW588698 DDS588633:DDS588698 DNO588633:DNO588698 DXK588633:DXK588698 EHG588633:EHG588698 ERC588633:ERC588698 FAY588633:FAY588698 FKU588633:FKU588698 FUQ588633:FUQ588698 GEM588633:GEM588698 GOI588633:GOI588698 GYE588633:GYE588698 HIA588633:HIA588698 HRW588633:HRW588698 IBS588633:IBS588698 ILO588633:ILO588698 IVK588633:IVK588698 JFG588633:JFG588698 JPC588633:JPC588698 JYY588633:JYY588698 KIU588633:KIU588698 KSQ588633:KSQ588698 LCM588633:LCM588698 LMI588633:LMI588698 LWE588633:LWE588698 MGA588633:MGA588698 MPW588633:MPW588698 MZS588633:MZS588698 NJO588633:NJO588698 NTK588633:NTK588698 ODG588633:ODG588698 ONC588633:ONC588698 OWY588633:OWY588698 PGU588633:PGU588698 PQQ588633:PQQ588698 QAM588633:QAM588698 QKI588633:QKI588698 QUE588633:QUE588698 REA588633:REA588698 RNW588633:RNW588698 RXS588633:RXS588698 SHO588633:SHO588698 SRK588633:SRK588698 TBG588633:TBG588698 TLC588633:TLC588698 TUY588633:TUY588698 UEU588633:UEU588698 UOQ588633:UOQ588698 UYM588633:UYM588698 VII588633:VII588698 VSE588633:VSE588698 WCA588633:WCA588698 WLW588633:WLW588698 WVS588633:WVS588698 K654169:K654234 JG654169:JG654234 TC654169:TC654234 ACY654169:ACY654234 AMU654169:AMU654234 AWQ654169:AWQ654234 BGM654169:BGM654234 BQI654169:BQI654234 CAE654169:CAE654234 CKA654169:CKA654234 CTW654169:CTW654234 DDS654169:DDS654234 DNO654169:DNO654234 DXK654169:DXK654234 EHG654169:EHG654234 ERC654169:ERC654234 FAY654169:FAY654234 FKU654169:FKU654234 FUQ654169:FUQ654234 GEM654169:GEM654234 GOI654169:GOI654234 GYE654169:GYE654234 HIA654169:HIA654234 HRW654169:HRW654234 IBS654169:IBS654234 ILO654169:ILO654234 IVK654169:IVK654234 JFG654169:JFG654234 JPC654169:JPC654234 JYY654169:JYY654234 KIU654169:KIU654234 KSQ654169:KSQ654234 LCM654169:LCM654234 LMI654169:LMI654234 LWE654169:LWE654234 MGA654169:MGA654234 MPW654169:MPW654234 MZS654169:MZS654234 NJO654169:NJO654234 NTK654169:NTK654234 ODG654169:ODG654234 ONC654169:ONC654234 OWY654169:OWY654234 PGU654169:PGU654234 PQQ654169:PQQ654234 QAM654169:QAM654234 QKI654169:QKI654234 QUE654169:QUE654234 REA654169:REA654234 RNW654169:RNW654234 RXS654169:RXS654234 SHO654169:SHO654234 SRK654169:SRK654234 TBG654169:TBG654234 TLC654169:TLC654234 TUY654169:TUY654234 UEU654169:UEU654234 UOQ654169:UOQ654234 UYM654169:UYM654234 VII654169:VII654234 VSE654169:VSE654234 WCA654169:WCA654234 WLW654169:WLW654234 WVS654169:WVS654234 K719705:K719770 JG719705:JG719770 TC719705:TC719770 ACY719705:ACY719770 AMU719705:AMU719770 AWQ719705:AWQ719770 BGM719705:BGM719770 BQI719705:BQI719770 CAE719705:CAE719770 CKA719705:CKA719770 CTW719705:CTW719770 DDS719705:DDS719770 DNO719705:DNO719770 DXK719705:DXK719770 EHG719705:EHG719770 ERC719705:ERC719770 FAY719705:FAY719770 FKU719705:FKU719770 FUQ719705:FUQ719770 GEM719705:GEM719770 GOI719705:GOI719770 GYE719705:GYE719770 HIA719705:HIA719770 HRW719705:HRW719770 IBS719705:IBS719770 ILO719705:ILO719770 IVK719705:IVK719770 JFG719705:JFG719770 JPC719705:JPC719770 JYY719705:JYY719770 KIU719705:KIU719770 KSQ719705:KSQ719770 LCM719705:LCM719770 LMI719705:LMI719770 LWE719705:LWE719770 MGA719705:MGA719770 MPW719705:MPW719770 MZS719705:MZS719770 NJO719705:NJO719770 NTK719705:NTK719770 ODG719705:ODG719770 ONC719705:ONC719770 OWY719705:OWY719770 PGU719705:PGU719770 PQQ719705:PQQ719770 QAM719705:QAM719770 QKI719705:QKI719770 QUE719705:QUE719770 REA719705:REA719770 RNW719705:RNW719770 RXS719705:RXS719770 SHO719705:SHO719770 SRK719705:SRK719770 TBG719705:TBG719770 TLC719705:TLC719770 TUY719705:TUY719770 UEU719705:UEU719770 UOQ719705:UOQ719770 UYM719705:UYM719770 VII719705:VII719770 VSE719705:VSE719770 WCA719705:WCA719770 WLW719705:WLW719770 WVS719705:WVS719770 K785241:K785306 JG785241:JG785306 TC785241:TC785306 ACY785241:ACY785306 AMU785241:AMU785306 AWQ785241:AWQ785306 BGM785241:BGM785306 BQI785241:BQI785306 CAE785241:CAE785306 CKA785241:CKA785306 CTW785241:CTW785306 DDS785241:DDS785306 DNO785241:DNO785306 DXK785241:DXK785306 EHG785241:EHG785306 ERC785241:ERC785306 FAY785241:FAY785306 FKU785241:FKU785306 FUQ785241:FUQ785306 GEM785241:GEM785306 GOI785241:GOI785306 GYE785241:GYE785306 HIA785241:HIA785306 HRW785241:HRW785306 IBS785241:IBS785306 ILO785241:ILO785306 IVK785241:IVK785306 JFG785241:JFG785306 JPC785241:JPC785306 JYY785241:JYY785306 KIU785241:KIU785306 KSQ785241:KSQ785306 LCM785241:LCM785306 LMI785241:LMI785306 LWE785241:LWE785306 MGA785241:MGA785306 MPW785241:MPW785306 MZS785241:MZS785306 NJO785241:NJO785306 NTK785241:NTK785306 ODG785241:ODG785306 ONC785241:ONC785306 OWY785241:OWY785306 PGU785241:PGU785306 PQQ785241:PQQ785306 QAM785241:QAM785306 QKI785241:QKI785306 QUE785241:QUE785306 REA785241:REA785306 RNW785241:RNW785306 RXS785241:RXS785306 SHO785241:SHO785306 SRK785241:SRK785306 TBG785241:TBG785306 TLC785241:TLC785306 TUY785241:TUY785306 UEU785241:UEU785306 UOQ785241:UOQ785306 UYM785241:UYM785306 VII785241:VII785306 VSE785241:VSE785306 WCA785241:WCA785306 WLW785241:WLW785306 WVS785241:WVS785306 K850777:K850842 JG850777:JG850842 TC850777:TC850842 ACY850777:ACY850842 AMU850777:AMU850842 AWQ850777:AWQ850842 BGM850777:BGM850842 BQI850777:BQI850842 CAE850777:CAE850842 CKA850777:CKA850842 CTW850777:CTW850842 DDS850777:DDS850842 DNO850777:DNO850842 DXK850777:DXK850842 EHG850777:EHG850842 ERC850777:ERC850842 FAY850777:FAY850842 FKU850777:FKU850842 FUQ850777:FUQ850842 GEM850777:GEM850842 GOI850777:GOI850842 GYE850777:GYE850842 HIA850777:HIA850842 HRW850777:HRW850842 IBS850777:IBS850842 ILO850777:ILO850842 IVK850777:IVK850842 JFG850777:JFG850842 JPC850777:JPC850842 JYY850777:JYY850842 KIU850777:KIU850842 KSQ850777:KSQ850842 LCM850777:LCM850842 LMI850777:LMI850842 LWE850777:LWE850842 MGA850777:MGA850842 MPW850777:MPW850842 MZS850777:MZS850842 NJO850777:NJO850842 NTK850777:NTK850842 ODG850777:ODG850842 ONC850777:ONC850842 OWY850777:OWY850842 PGU850777:PGU850842 PQQ850777:PQQ850842 QAM850777:QAM850842 QKI850777:QKI850842 QUE850777:QUE850842 REA850777:REA850842 RNW850777:RNW850842 RXS850777:RXS850842 SHO850777:SHO850842 SRK850777:SRK850842 TBG850777:TBG850842 TLC850777:TLC850842 TUY850777:TUY850842 UEU850777:UEU850842 UOQ850777:UOQ850842 UYM850777:UYM850842 VII850777:VII850842 VSE850777:VSE850842 WCA850777:WCA850842 WLW850777:WLW850842 WVS850777:WVS850842 K916313:K916378 JG916313:JG916378 TC916313:TC916378 ACY916313:ACY916378 AMU916313:AMU916378 AWQ916313:AWQ916378 BGM916313:BGM916378 BQI916313:BQI916378 CAE916313:CAE916378 CKA916313:CKA916378 CTW916313:CTW916378 DDS916313:DDS916378 DNO916313:DNO916378 DXK916313:DXK916378 EHG916313:EHG916378 ERC916313:ERC916378 FAY916313:FAY916378 FKU916313:FKU916378 FUQ916313:FUQ916378 GEM916313:GEM916378 GOI916313:GOI916378 GYE916313:GYE916378 HIA916313:HIA916378 HRW916313:HRW916378 IBS916313:IBS916378 ILO916313:ILO916378 IVK916313:IVK916378 JFG916313:JFG916378 JPC916313:JPC916378 JYY916313:JYY916378 KIU916313:KIU916378 KSQ916313:KSQ916378 LCM916313:LCM916378 LMI916313:LMI916378 LWE916313:LWE916378 MGA916313:MGA916378 MPW916313:MPW916378 MZS916313:MZS916378 NJO916313:NJO916378 NTK916313:NTK916378 ODG916313:ODG916378 ONC916313:ONC916378 OWY916313:OWY916378 PGU916313:PGU916378 PQQ916313:PQQ916378 QAM916313:QAM916378 QKI916313:QKI916378 QUE916313:QUE916378 REA916313:REA916378 RNW916313:RNW916378 RXS916313:RXS916378 SHO916313:SHO916378 SRK916313:SRK916378 TBG916313:TBG916378 TLC916313:TLC916378 TUY916313:TUY916378 UEU916313:UEU916378 UOQ916313:UOQ916378 UYM916313:UYM916378 VII916313:VII916378 VSE916313:VSE916378 WCA916313:WCA916378 WLW916313:WLW916378 WVS916313:WVS916378 K981849:K981914 JG981849:JG981914 TC981849:TC981914 ACY981849:ACY981914 AMU981849:AMU981914 AWQ981849:AWQ981914 BGM981849:BGM981914 BQI981849:BQI981914 CAE981849:CAE981914 CKA981849:CKA981914 CTW981849:CTW981914 DDS981849:DDS981914 DNO981849:DNO981914 DXK981849:DXK981914 EHG981849:EHG981914 ERC981849:ERC981914 FAY981849:FAY981914 FKU981849:FKU981914 FUQ981849:FUQ981914 GEM981849:GEM981914 GOI981849:GOI981914 GYE981849:GYE981914 HIA981849:HIA981914 HRW981849:HRW981914 IBS981849:IBS981914 ILO981849:ILO981914 IVK981849:IVK981914 JFG981849:JFG981914 JPC981849:JPC981914 JYY981849:JYY981914 KIU981849:KIU981914 KSQ981849:KSQ981914 LCM981849:LCM981914 LMI981849:LMI981914 LWE981849:LWE981914 MGA981849:MGA981914 MPW981849:MPW981914 MZS981849:MZS981914 NJO981849:NJO981914 NTK981849:NTK981914 ODG981849:ODG981914 ONC981849:ONC981914 OWY981849:OWY981914 PGU981849:PGU981914 PQQ981849:PQQ981914 QAM981849:QAM981914 QKI981849:QKI981914 QUE981849:QUE981914 REA981849:REA981914 RNW981849:RNW981914 RXS981849:RXS981914 SHO981849:SHO981914 SRK981849:SRK981914 TBG981849:TBG981914 TLC981849:TLC981914 TUY981849:TUY981914 UEU981849:UEU981914 UOQ981849:UOQ981914 UYM981849:UYM981914 VII981849:VII981914 VSE981849:VSE981914 WCA981849:WCA981914 WLW981849:WLW981914 WVS981849:WVS981914 K1047385:K1047450 JG1047385:JG1047450 TC1047385:TC1047450 ACY1047385:ACY1047450 AMU1047385:AMU1047450 AWQ1047385:AWQ1047450 BGM1047385:BGM1047450 BQI1047385:BQI1047450 CAE1047385:CAE1047450 CKA1047385:CKA1047450 CTW1047385:CTW1047450 DDS1047385:DDS1047450 DNO1047385:DNO1047450 DXK1047385:DXK1047450 EHG1047385:EHG1047450 ERC1047385:ERC1047450 FAY1047385:FAY1047450 FKU1047385:FKU1047450 FUQ1047385:FUQ1047450 GEM1047385:GEM1047450 GOI1047385:GOI1047450 GYE1047385:GYE1047450 HIA1047385:HIA1047450 HRW1047385:HRW1047450 IBS1047385:IBS1047450 ILO1047385:ILO1047450 IVK1047385:IVK1047450 JFG1047385:JFG1047450 JPC1047385:JPC1047450 JYY1047385:JYY1047450 KIU1047385:KIU1047450 KSQ1047385:KSQ1047450 LCM1047385:LCM1047450 LMI1047385:LMI1047450 LWE1047385:LWE1047450 MGA1047385:MGA1047450 MPW1047385:MPW1047450 MZS1047385:MZS1047450 NJO1047385:NJO1047450 NTK1047385:NTK1047450 ODG1047385:ODG1047450 ONC1047385:ONC1047450 OWY1047385:OWY1047450 PGU1047385:PGU1047450 PQQ1047385:PQQ1047450 QAM1047385:QAM1047450 QKI1047385:QKI1047450 QUE1047385:QUE1047450 REA1047385:REA1047450 RNW1047385:RNW1047450 RXS1047385:RXS1047450 SHO1047385:SHO1047450 SRK1047385:SRK1047450 TBG1047385:TBG1047450 TLC1047385:TLC1047450 TUY1047385:TUY1047450 UEU1047385:UEU1047450 UOQ1047385:UOQ1047450 UYM1047385:UYM1047450 VII1047385:VII1047450 VSE1047385:VSE1047450 WCA1047385:WCA1047450 WLW1047385:WLW1047450 WVS1047385:WVS1047450" xr:uid="{727F7A5F-58F7-4CD7-B3C6-8F0A7142E2E8}">
      <formula1>$AR$2:$AR$24</formula1>
    </dataValidation>
    <dataValidation type="list" allowBlank="1" showInputMessage="1" showErrorMessage="1" sqref="Y64345:AA64410 JU64345:JW64410 TQ64345:TS64410 ADM64345:ADO64410 ANI64345:ANK64410 AXE64345:AXG64410 BHA64345:BHC64410 BQW64345:BQY64410 CAS64345:CAU64410 CKO64345:CKQ64410 CUK64345:CUM64410 DEG64345:DEI64410 DOC64345:DOE64410 DXY64345:DYA64410 EHU64345:EHW64410 ERQ64345:ERS64410 FBM64345:FBO64410 FLI64345:FLK64410 FVE64345:FVG64410 GFA64345:GFC64410 GOW64345:GOY64410 GYS64345:GYU64410 HIO64345:HIQ64410 HSK64345:HSM64410 ICG64345:ICI64410 IMC64345:IME64410 IVY64345:IWA64410 JFU64345:JFW64410 JPQ64345:JPS64410 JZM64345:JZO64410 KJI64345:KJK64410 KTE64345:KTG64410 LDA64345:LDC64410 LMW64345:LMY64410 LWS64345:LWU64410 MGO64345:MGQ64410 MQK64345:MQM64410 NAG64345:NAI64410 NKC64345:NKE64410 NTY64345:NUA64410 ODU64345:ODW64410 ONQ64345:ONS64410 OXM64345:OXO64410 PHI64345:PHK64410 PRE64345:PRG64410 QBA64345:QBC64410 QKW64345:QKY64410 QUS64345:QUU64410 REO64345:REQ64410 ROK64345:ROM64410 RYG64345:RYI64410 SIC64345:SIE64410 SRY64345:SSA64410 TBU64345:TBW64410 TLQ64345:TLS64410 TVM64345:TVO64410 UFI64345:UFK64410 UPE64345:UPG64410 UZA64345:UZC64410 VIW64345:VIY64410 VSS64345:VSU64410 WCO64345:WCQ64410 WMK64345:WMM64410 WWG64345:WWI64410 Y129881:AA129946 JU129881:JW129946 TQ129881:TS129946 ADM129881:ADO129946 ANI129881:ANK129946 AXE129881:AXG129946 BHA129881:BHC129946 BQW129881:BQY129946 CAS129881:CAU129946 CKO129881:CKQ129946 CUK129881:CUM129946 DEG129881:DEI129946 DOC129881:DOE129946 DXY129881:DYA129946 EHU129881:EHW129946 ERQ129881:ERS129946 FBM129881:FBO129946 FLI129881:FLK129946 FVE129881:FVG129946 GFA129881:GFC129946 GOW129881:GOY129946 GYS129881:GYU129946 HIO129881:HIQ129946 HSK129881:HSM129946 ICG129881:ICI129946 IMC129881:IME129946 IVY129881:IWA129946 JFU129881:JFW129946 JPQ129881:JPS129946 JZM129881:JZO129946 KJI129881:KJK129946 KTE129881:KTG129946 LDA129881:LDC129946 LMW129881:LMY129946 LWS129881:LWU129946 MGO129881:MGQ129946 MQK129881:MQM129946 NAG129881:NAI129946 NKC129881:NKE129946 NTY129881:NUA129946 ODU129881:ODW129946 ONQ129881:ONS129946 OXM129881:OXO129946 PHI129881:PHK129946 PRE129881:PRG129946 QBA129881:QBC129946 QKW129881:QKY129946 QUS129881:QUU129946 REO129881:REQ129946 ROK129881:ROM129946 RYG129881:RYI129946 SIC129881:SIE129946 SRY129881:SSA129946 TBU129881:TBW129946 TLQ129881:TLS129946 TVM129881:TVO129946 UFI129881:UFK129946 UPE129881:UPG129946 UZA129881:UZC129946 VIW129881:VIY129946 VSS129881:VSU129946 WCO129881:WCQ129946 WMK129881:WMM129946 WWG129881:WWI129946 Y195417:AA195482 JU195417:JW195482 TQ195417:TS195482 ADM195417:ADO195482 ANI195417:ANK195482 AXE195417:AXG195482 BHA195417:BHC195482 BQW195417:BQY195482 CAS195417:CAU195482 CKO195417:CKQ195482 CUK195417:CUM195482 DEG195417:DEI195482 DOC195417:DOE195482 DXY195417:DYA195482 EHU195417:EHW195482 ERQ195417:ERS195482 FBM195417:FBO195482 FLI195417:FLK195482 FVE195417:FVG195482 GFA195417:GFC195482 GOW195417:GOY195482 GYS195417:GYU195482 HIO195417:HIQ195482 HSK195417:HSM195482 ICG195417:ICI195482 IMC195417:IME195482 IVY195417:IWA195482 JFU195417:JFW195482 JPQ195417:JPS195482 JZM195417:JZO195482 KJI195417:KJK195482 KTE195417:KTG195482 LDA195417:LDC195482 LMW195417:LMY195482 LWS195417:LWU195482 MGO195417:MGQ195482 MQK195417:MQM195482 NAG195417:NAI195482 NKC195417:NKE195482 NTY195417:NUA195482 ODU195417:ODW195482 ONQ195417:ONS195482 OXM195417:OXO195482 PHI195417:PHK195482 PRE195417:PRG195482 QBA195417:QBC195482 QKW195417:QKY195482 QUS195417:QUU195482 REO195417:REQ195482 ROK195417:ROM195482 RYG195417:RYI195482 SIC195417:SIE195482 SRY195417:SSA195482 TBU195417:TBW195482 TLQ195417:TLS195482 TVM195417:TVO195482 UFI195417:UFK195482 UPE195417:UPG195482 UZA195417:UZC195482 VIW195417:VIY195482 VSS195417:VSU195482 WCO195417:WCQ195482 WMK195417:WMM195482 WWG195417:WWI195482 Y260953:AA261018 JU260953:JW261018 TQ260953:TS261018 ADM260953:ADO261018 ANI260953:ANK261018 AXE260953:AXG261018 BHA260953:BHC261018 BQW260953:BQY261018 CAS260953:CAU261018 CKO260953:CKQ261018 CUK260953:CUM261018 DEG260953:DEI261018 DOC260953:DOE261018 DXY260953:DYA261018 EHU260953:EHW261018 ERQ260953:ERS261018 FBM260953:FBO261018 FLI260953:FLK261018 FVE260953:FVG261018 GFA260953:GFC261018 GOW260953:GOY261018 GYS260953:GYU261018 HIO260953:HIQ261018 HSK260953:HSM261018 ICG260953:ICI261018 IMC260953:IME261018 IVY260953:IWA261018 JFU260953:JFW261018 JPQ260953:JPS261018 JZM260953:JZO261018 KJI260953:KJK261018 KTE260953:KTG261018 LDA260953:LDC261018 LMW260953:LMY261018 LWS260953:LWU261018 MGO260953:MGQ261018 MQK260953:MQM261018 NAG260953:NAI261018 NKC260953:NKE261018 NTY260953:NUA261018 ODU260953:ODW261018 ONQ260953:ONS261018 OXM260953:OXO261018 PHI260953:PHK261018 PRE260953:PRG261018 QBA260953:QBC261018 QKW260953:QKY261018 QUS260953:QUU261018 REO260953:REQ261018 ROK260953:ROM261018 RYG260953:RYI261018 SIC260953:SIE261018 SRY260953:SSA261018 TBU260953:TBW261018 TLQ260953:TLS261018 TVM260953:TVO261018 UFI260953:UFK261018 UPE260953:UPG261018 UZA260953:UZC261018 VIW260953:VIY261018 VSS260953:VSU261018 WCO260953:WCQ261018 WMK260953:WMM261018 WWG260953:WWI261018 Y326489:AA326554 JU326489:JW326554 TQ326489:TS326554 ADM326489:ADO326554 ANI326489:ANK326554 AXE326489:AXG326554 BHA326489:BHC326554 BQW326489:BQY326554 CAS326489:CAU326554 CKO326489:CKQ326554 CUK326489:CUM326554 DEG326489:DEI326554 DOC326489:DOE326554 DXY326489:DYA326554 EHU326489:EHW326554 ERQ326489:ERS326554 FBM326489:FBO326554 FLI326489:FLK326554 FVE326489:FVG326554 GFA326489:GFC326554 GOW326489:GOY326554 GYS326489:GYU326554 HIO326489:HIQ326554 HSK326489:HSM326554 ICG326489:ICI326554 IMC326489:IME326554 IVY326489:IWA326554 JFU326489:JFW326554 JPQ326489:JPS326554 JZM326489:JZO326554 KJI326489:KJK326554 KTE326489:KTG326554 LDA326489:LDC326554 LMW326489:LMY326554 LWS326489:LWU326554 MGO326489:MGQ326554 MQK326489:MQM326554 NAG326489:NAI326554 NKC326489:NKE326554 NTY326489:NUA326554 ODU326489:ODW326554 ONQ326489:ONS326554 OXM326489:OXO326554 PHI326489:PHK326554 PRE326489:PRG326554 QBA326489:QBC326554 QKW326489:QKY326554 QUS326489:QUU326554 REO326489:REQ326554 ROK326489:ROM326554 RYG326489:RYI326554 SIC326489:SIE326554 SRY326489:SSA326554 TBU326489:TBW326554 TLQ326489:TLS326554 TVM326489:TVO326554 UFI326489:UFK326554 UPE326489:UPG326554 UZA326489:UZC326554 VIW326489:VIY326554 VSS326489:VSU326554 WCO326489:WCQ326554 WMK326489:WMM326554 WWG326489:WWI326554 Y392025:AA392090 JU392025:JW392090 TQ392025:TS392090 ADM392025:ADO392090 ANI392025:ANK392090 AXE392025:AXG392090 BHA392025:BHC392090 BQW392025:BQY392090 CAS392025:CAU392090 CKO392025:CKQ392090 CUK392025:CUM392090 DEG392025:DEI392090 DOC392025:DOE392090 DXY392025:DYA392090 EHU392025:EHW392090 ERQ392025:ERS392090 FBM392025:FBO392090 FLI392025:FLK392090 FVE392025:FVG392090 GFA392025:GFC392090 GOW392025:GOY392090 GYS392025:GYU392090 HIO392025:HIQ392090 HSK392025:HSM392090 ICG392025:ICI392090 IMC392025:IME392090 IVY392025:IWA392090 JFU392025:JFW392090 JPQ392025:JPS392090 JZM392025:JZO392090 KJI392025:KJK392090 KTE392025:KTG392090 LDA392025:LDC392090 LMW392025:LMY392090 LWS392025:LWU392090 MGO392025:MGQ392090 MQK392025:MQM392090 NAG392025:NAI392090 NKC392025:NKE392090 NTY392025:NUA392090 ODU392025:ODW392090 ONQ392025:ONS392090 OXM392025:OXO392090 PHI392025:PHK392090 PRE392025:PRG392090 QBA392025:QBC392090 QKW392025:QKY392090 QUS392025:QUU392090 REO392025:REQ392090 ROK392025:ROM392090 RYG392025:RYI392090 SIC392025:SIE392090 SRY392025:SSA392090 TBU392025:TBW392090 TLQ392025:TLS392090 TVM392025:TVO392090 UFI392025:UFK392090 UPE392025:UPG392090 UZA392025:UZC392090 VIW392025:VIY392090 VSS392025:VSU392090 WCO392025:WCQ392090 WMK392025:WMM392090 WWG392025:WWI392090 Y457561:AA457626 JU457561:JW457626 TQ457561:TS457626 ADM457561:ADO457626 ANI457561:ANK457626 AXE457561:AXG457626 BHA457561:BHC457626 BQW457561:BQY457626 CAS457561:CAU457626 CKO457561:CKQ457626 CUK457561:CUM457626 DEG457561:DEI457626 DOC457561:DOE457626 DXY457561:DYA457626 EHU457561:EHW457626 ERQ457561:ERS457626 FBM457561:FBO457626 FLI457561:FLK457626 FVE457561:FVG457626 GFA457561:GFC457626 GOW457561:GOY457626 GYS457561:GYU457626 HIO457561:HIQ457626 HSK457561:HSM457626 ICG457561:ICI457626 IMC457561:IME457626 IVY457561:IWA457626 JFU457561:JFW457626 JPQ457561:JPS457626 JZM457561:JZO457626 KJI457561:KJK457626 KTE457561:KTG457626 LDA457561:LDC457626 LMW457561:LMY457626 LWS457561:LWU457626 MGO457561:MGQ457626 MQK457561:MQM457626 NAG457561:NAI457626 NKC457561:NKE457626 NTY457561:NUA457626 ODU457561:ODW457626 ONQ457561:ONS457626 OXM457561:OXO457626 PHI457561:PHK457626 PRE457561:PRG457626 QBA457561:QBC457626 QKW457561:QKY457626 QUS457561:QUU457626 REO457561:REQ457626 ROK457561:ROM457626 RYG457561:RYI457626 SIC457561:SIE457626 SRY457561:SSA457626 TBU457561:TBW457626 TLQ457561:TLS457626 TVM457561:TVO457626 UFI457561:UFK457626 UPE457561:UPG457626 UZA457561:UZC457626 VIW457561:VIY457626 VSS457561:VSU457626 WCO457561:WCQ457626 WMK457561:WMM457626 WWG457561:WWI457626 Y523097:AA523162 JU523097:JW523162 TQ523097:TS523162 ADM523097:ADO523162 ANI523097:ANK523162 AXE523097:AXG523162 BHA523097:BHC523162 BQW523097:BQY523162 CAS523097:CAU523162 CKO523097:CKQ523162 CUK523097:CUM523162 DEG523097:DEI523162 DOC523097:DOE523162 DXY523097:DYA523162 EHU523097:EHW523162 ERQ523097:ERS523162 FBM523097:FBO523162 FLI523097:FLK523162 FVE523097:FVG523162 GFA523097:GFC523162 GOW523097:GOY523162 GYS523097:GYU523162 HIO523097:HIQ523162 HSK523097:HSM523162 ICG523097:ICI523162 IMC523097:IME523162 IVY523097:IWA523162 JFU523097:JFW523162 JPQ523097:JPS523162 JZM523097:JZO523162 KJI523097:KJK523162 KTE523097:KTG523162 LDA523097:LDC523162 LMW523097:LMY523162 LWS523097:LWU523162 MGO523097:MGQ523162 MQK523097:MQM523162 NAG523097:NAI523162 NKC523097:NKE523162 NTY523097:NUA523162 ODU523097:ODW523162 ONQ523097:ONS523162 OXM523097:OXO523162 PHI523097:PHK523162 PRE523097:PRG523162 QBA523097:QBC523162 QKW523097:QKY523162 QUS523097:QUU523162 REO523097:REQ523162 ROK523097:ROM523162 RYG523097:RYI523162 SIC523097:SIE523162 SRY523097:SSA523162 TBU523097:TBW523162 TLQ523097:TLS523162 TVM523097:TVO523162 UFI523097:UFK523162 UPE523097:UPG523162 UZA523097:UZC523162 VIW523097:VIY523162 VSS523097:VSU523162 WCO523097:WCQ523162 WMK523097:WMM523162 WWG523097:WWI523162 Y588633:AA588698 JU588633:JW588698 TQ588633:TS588698 ADM588633:ADO588698 ANI588633:ANK588698 AXE588633:AXG588698 BHA588633:BHC588698 BQW588633:BQY588698 CAS588633:CAU588698 CKO588633:CKQ588698 CUK588633:CUM588698 DEG588633:DEI588698 DOC588633:DOE588698 DXY588633:DYA588698 EHU588633:EHW588698 ERQ588633:ERS588698 FBM588633:FBO588698 FLI588633:FLK588698 FVE588633:FVG588698 GFA588633:GFC588698 GOW588633:GOY588698 GYS588633:GYU588698 HIO588633:HIQ588698 HSK588633:HSM588698 ICG588633:ICI588698 IMC588633:IME588698 IVY588633:IWA588698 JFU588633:JFW588698 JPQ588633:JPS588698 JZM588633:JZO588698 KJI588633:KJK588698 KTE588633:KTG588698 LDA588633:LDC588698 LMW588633:LMY588698 LWS588633:LWU588698 MGO588633:MGQ588698 MQK588633:MQM588698 NAG588633:NAI588698 NKC588633:NKE588698 NTY588633:NUA588698 ODU588633:ODW588698 ONQ588633:ONS588698 OXM588633:OXO588698 PHI588633:PHK588698 PRE588633:PRG588698 QBA588633:QBC588698 QKW588633:QKY588698 QUS588633:QUU588698 REO588633:REQ588698 ROK588633:ROM588698 RYG588633:RYI588698 SIC588633:SIE588698 SRY588633:SSA588698 TBU588633:TBW588698 TLQ588633:TLS588698 TVM588633:TVO588698 UFI588633:UFK588698 UPE588633:UPG588698 UZA588633:UZC588698 VIW588633:VIY588698 VSS588633:VSU588698 WCO588633:WCQ588698 WMK588633:WMM588698 WWG588633:WWI588698 Y654169:AA654234 JU654169:JW654234 TQ654169:TS654234 ADM654169:ADO654234 ANI654169:ANK654234 AXE654169:AXG654234 BHA654169:BHC654234 BQW654169:BQY654234 CAS654169:CAU654234 CKO654169:CKQ654234 CUK654169:CUM654234 DEG654169:DEI654234 DOC654169:DOE654234 DXY654169:DYA654234 EHU654169:EHW654234 ERQ654169:ERS654234 FBM654169:FBO654234 FLI654169:FLK654234 FVE654169:FVG654234 GFA654169:GFC654234 GOW654169:GOY654234 GYS654169:GYU654234 HIO654169:HIQ654234 HSK654169:HSM654234 ICG654169:ICI654234 IMC654169:IME654234 IVY654169:IWA654234 JFU654169:JFW654234 JPQ654169:JPS654234 JZM654169:JZO654234 KJI654169:KJK654234 KTE654169:KTG654234 LDA654169:LDC654234 LMW654169:LMY654234 LWS654169:LWU654234 MGO654169:MGQ654234 MQK654169:MQM654234 NAG654169:NAI654234 NKC654169:NKE654234 NTY654169:NUA654234 ODU654169:ODW654234 ONQ654169:ONS654234 OXM654169:OXO654234 PHI654169:PHK654234 PRE654169:PRG654234 QBA654169:QBC654234 QKW654169:QKY654234 QUS654169:QUU654234 REO654169:REQ654234 ROK654169:ROM654234 RYG654169:RYI654234 SIC654169:SIE654234 SRY654169:SSA654234 TBU654169:TBW654234 TLQ654169:TLS654234 TVM654169:TVO654234 UFI654169:UFK654234 UPE654169:UPG654234 UZA654169:UZC654234 VIW654169:VIY654234 VSS654169:VSU654234 WCO654169:WCQ654234 WMK654169:WMM654234 WWG654169:WWI654234 Y719705:AA719770 JU719705:JW719770 TQ719705:TS719770 ADM719705:ADO719770 ANI719705:ANK719770 AXE719705:AXG719770 BHA719705:BHC719770 BQW719705:BQY719770 CAS719705:CAU719770 CKO719705:CKQ719770 CUK719705:CUM719770 DEG719705:DEI719770 DOC719705:DOE719770 DXY719705:DYA719770 EHU719705:EHW719770 ERQ719705:ERS719770 FBM719705:FBO719770 FLI719705:FLK719770 FVE719705:FVG719770 GFA719705:GFC719770 GOW719705:GOY719770 GYS719705:GYU719770 HIO719705:HIQ719770 HSK719705:HSM719770 ICG719705:ICI719770 IMC719705:IME719770 IVY719705:IWA719770 JFU719705:JFW719770 JPQ719705:JPS719770 JZM719705:JZO719770 KJI719705:KJK719770 KTE719705:KTG719770 LDA719705:LDC719770 LMW719705:LMY719770 LWS719705:LWU719770 MGO719705:MGQ719770 MQK719705:MQM719770 NAG719705:NAI719770 NKC719705:NKE719770 NTY719705:NUA719770 ODU719705:ODW719770 ONQ719705:ONS719770 OXM719705:OXO719770 PHI719705:PHK719770 PRE719705:PRG719770 QBA719705:QBC719770 QKW719705:QKY719770 QUS719705:QUU719770 REO719705:REQ719770 ROK719705:ROM719770 RYG719705:RYI719770 SIC719705:SIE719770 SRY719705:SSA719770 TBU719705:TBW719770 TLQ719705:TLS719770 TVM719705:TVO719770 UFI719705:UFK719770 UPE719705:UPG719770 UZA719705:UZC719770 VIW719705:VIY719770 VSS719705:VSU719770 WCO719705:WCQ719770 WMK719705:WMM719770 WWG719705:WWI719770 Y785241:AA785306 JU785241:JW785306 TQ785241:TS785306 ADM785241:ADO785306 ANI785241:ANK785306 AXE785241:AXG785306 BHA785241:BHC785306 BQW785241:BQY785306 CAS785241:CAU785306 CKO785241:CKQ785306 CUK785241:CUM785306 DEG785241:DEI785306 DOC785241:DOE785306 DXY785241:DYA785306 EHU785241:EHW785306 ERQ785241:ERS785306 FBM785241:FBO785306 FLI785241:FLK785306 FVE785241:FVG785306 GFA785241:GFC785306 GOW785241:GOY785306 GYS785241:GYU785306 HIO785241:HIQ785306 HSK785241:HSM785306 ICG785241:ICI785306 IMC785241:IME785306 IVY785241:IWA785306 JFU785241:JFW785306 JPQ785241:JPS785306 JZM785241:JZO785306 KJI785241:KJK785306 KTE785241:KTG785306 LDA785241:LDC785306 LMW785241:LMY785306 LWS785241:LWU785306 MGO785241:MGQ785306 MQK785241:MQM785306 NAG785241:NAI785306 NKC785241:NKE785306 NTY785241:NUA785306 ODU785241:ODW785306 ONQ785241:ONS785306 OXM785241:OXO785306 PHI785241:PHK785306 PRE785241:PRG785306 QBA785241:QBC785306 QKW785241:QKY785306 QUS785241:QUU785306 REO785241:REQ785306 ROK785241:ROM785306 RYG785241:RYI785306 SIC785241:SIE785306 SRY785241:SSA785306 TBU785241:TBW785306 TLQ785241:TLS785306 TVM785241:TVO785306 UFI785241:UFK785306 UPE785241:UPG785306 UZA785241:UZC785306 VIW785241:VIY785306 VSS785241:VSU785306 WCO785241:WCQ785306 WMK785241:WMM785306 WWG785241:WWI785306 Y850777:AA850842 JU850777:JW850842 TQ850777:TS850842 ADM850777:ADO850842 ANI850777:ANK850842 AXE850777:AXG850842 BHA850777:BHC850842 BQW850777:BQY850842 CAS850777:CAU850842 CKO850777:CKQ850842 CUK850777:CUM850842 DEG850777:DEI850842 DOC850777:DOE850842 DXY850777:DYA850842 EHU850777:EHW850842 ERQ850777:ERS850842 FBM850777:FBO850842 FLI850777:FLK850842 FVE850777:FVG850842 GFA850777:GFC850842 GOW850777:GOY850842 GYS850777:GYU850842 HIO850777:HIQ850842 HSK850777:HSM850842 ICG850777:ICI850842 IMC850777:IME850842 IVY850777:IWA850842 JFU850777:JFW850842 JPQ850777:JPS850842 JZM850777:JZO850842 KJI850777:KJK850842 KTE850777:KTG850842 LDA850777:LDC850842 LMW850777:LMY850842 LWS850777:LWU850842 MGO850777:MGQ850842 MQK850777:MQM850842 NAG850777:NAI850842 NKC850777:NKE850842 NTY850777:NUA850842 ODU850777:ODW850842 ONQ850777:ONS850842 OXM850777:OXO850842 PHI850777:PHK850842 PRE850777:PRG850842 QBA850777:QBC850842 QKW850777:QKY850842 QUS850777:QUU850842 REO850777:REQ850842 ROK850777:ROM850842 RYG850777:RYI850842 SIC850777:SIE850842 SRY850777:SSA850842 TBU850777:TBW850842 TLQ850777:TLS850842 TVM850777:TVO850842 UFI850777:UFK850842 UPE850777:UPG850842 UZA850777:UZC850842 VIW850777:VIY850842 VSS850777:VSU850842 WCO850777:WCQ850842 WMK850777:WMM850842 WWG850777:WWI850842 Y916313:AA916378 JU916313:JW916378 TQ916313:TS916378 ADM916313:ADO916378 ANI916313:ANK916378 AXE916313:AXG916378 BHA916313:BHC916378 BQW916313:BQY916378 CAS916313:CAU916378 CKO916313:CKQ916378 CUK916313:CUM916378 DEG916313:DEI916378 DOC916313:DOE916378 DXY916313:DYA916378 EHU916313:EHW916378 ERQ916313:ERS916378 FBM916313:FBO916378 FLI916313:FLK916378 FVE916313:FVG916378 GFA916313:GFC916378 GOW916313:GOY916378 GYS916313:GYU916378 HIO916313:HIQ916378 HSK916313:HSM916378 ICG916313:ICI916378 IMC916313:IME916378 IVY916313:IWA916378 JFU916313:JFW916378 JPQ916313:JPS916378 JZM916313:JZO916378 KJI916313:KJK916378 KTE916313:KTG916378 LDA916313:LDC916378 LMW916313:LMY916378 LWS916313:LWU916378 MGO916313:MGQ916378 MQK916313:MQM916378 NAG916313:NAI916378 NKC916313:NKE916378 NTY916313:NUA916378 ODU916313:ODW916378 ONQ916313:ONS916378 OXM916313:OXO916378 PHI916313:PHK916378 PRE916313:PRG916378 QBA916313:QBC916378 QKW916313:QKY916378 QUS916313:QUU916378 REO916313:REQ916378 ROK916313:ROM916378 RYG916313:RYI916378 SIC916313:SIE916378 SRY916313:SSA916378 TBU916313:TBW916378 TLQ916313:TLS916378 TVM916313:TVO916378 UFI916313:UFK916378 UPE916313:UPG916378 UZA916313:UZC916378 VIW916313:VIY916378 VSS916313:VSU916378 WCO916313:WCQ916378 WMK916313:WMM916378 WWG916313:WWI916378 Y981849:AA981914 JU981849:JW981914 TQ981849:TS981914 ADM981849:ADO981914 ANI981849:ANK981914 AXE981849:AXG981914 BHA981849:BHC981914 BQW981849:BQY981914 CAS981849:CAU981914 CKO981849:CKQ981914 CUK981849:CUM981914 DEG981849:DEI981914 DOC981849:DOE981914 DXY981849:DYA981914 EHU981849:EHW981914 ERQ981849:ERS981914 FBM981849:FBO981914 FLI981849:FLK981914 FVE981849:FVG981914 GFA981849:GFC981914 GOW981849:GOY981914 GYS981849:GYU981914 HIO981849:HIQ981914 HSK981849:HSM981914 ICG981849:ICI981914 IMC981849:IME981914 IVY981849:IWA981914 JFU981849:JFW981914 JPQ981849:JPS981914 JZM981849:JZO981914 KJI981849:KJK981914 KTE981849:KTG981914 LDA981849:LDC981914 LMW981849:LMY981914 LWS981849:LWU981914 MGO981849:MGQ981914 MQK981849:MQM981914 NAG981849:NAI981914 NKC981849:NKE981914 NTY981849:NUA981914 ODU981849:ODW981914 ONQ981849:ONS981914 OXM981849:OXO981914 PHI981849:PHK981914 PRE981849:PRG981914 QBA981849:QBC981914 QKW981849:QKY981914 QUS981849:QUU981914 REO981849:REQ981914 ROK981849:ROM981914 RYG981849:RYI981914 SIC981849:SIE981914 SRY981849:SSA981914 TBU981849:TBW981914 TLQ981849:TLS981914 TVM981849:TVO981914 UFI981849:UFK981914 UPE981849:UPG981914 UZA981849:UZC981914 VIW981849:VIY981914 VSS981849:VSU981914 WCO981849:WCQ981914 WMK981849:WMM981914 WWG981849:WWI981914 Y1047385:AA1047450 JU1047385:JW1047450 TQ1047385:TS1047450 ADM1047385:ADO1047450 ANI1047385:ANK1047450 AXE1047385:AXG1047450 BHA1047385:BHC1047450 BQW1047385:BQY1047450 CAS1047385:CAU1047450 CKO1047385:CKQ1047450 CUK1047385:CUM1047450 DEG1047385:DEI1047450 DOC1047385:DOE1047450 DXY1047385:DYA1047450 EHU1047385:EHW1047450 ERQ1047385:ERS1047450 FBM1047385:FBO1047450 FLI1047385:FLK1047450 FVE1047385:FVG1047450 GFA1047385:GFC1047450 GOW1047385:GOY1047450 GYS1047385:GYU1047450 HIO1047385:HIQ1047450 HSK1047385:HSM1047450 ICG1047385:ICI1047450 IMC1047385:IME1047450 IVY1047385:IWA1047450 JFU1047385:JFW1047450 JPQ1047385:JPS1047450 JZM1047385:JZO1047450 KJI1047385:KJK1047450 KTE1047385:KTG1047450 LDA1047385:LDC1047450 LMW1047385:LMY1047450 LWS1047385:LWU1047450 MGO1047385:MGQ1047450 MQK1047385:MQM1047450 NAG1047385:NAI1047450 NKC1047385:NKE1047450 NTY1047385:NUA1047450 ODU1047385:ODW1047450 ONQ1047385:ONS1047450 OXM1047385:OXO1047450 PHI1047385:PHK1047450 PRE1047385:PRG1047450 QBA1047385:QBC1047450 QKW1047385:QKY1047450 QUS1047385:QUU1047450 REO1047385:REQ1047450 ROK1047385:ROM1047450 RYG1047385:RYI1047450 SIC1047385:SIE1047450 SRY1047385:SSA1047450 TBU1047385:TBW1047450 TLQ1047385:TLS1047450 TVM1047385:TVO1047450 UFI1047385:UFK1047450 UPE1047385:UPG1047450 UZA1047385:UZC1047450 VIW1047385:VIY1047450 VSS1047385:VSU1047450 WCO1047385:WCQ1047450 WMK1047385:WMM1047450 WWG1047385:WWI1047450 WWG983024:WWI983089 Y65520:AA65585 JU65520:JW65585 TQ65520:TS65585 ADM65520:ADO65585 ANI65520:ANK65585 AXE65520:AXG65585 BHA65520:BHC65585 BQW65520:BQY65585 CAS65520:CAU65585 CKO65520:CKQ65585 CUK65520:CUM65585 DEG65520:DEI65585 DOC65520:DOE65585 DXY65520:DYA65585 EHU65520:EHW65585 ERQ65520:ERS65585 FBM65520:FBO65585 FLI65520:FLK65585 FVE65520:FVG65585 GFA65520:GFC65585 GOW65520:GOY65585 GYS65520:GYU65585 HIO65520:HIQ65585 HSK65520:HSM65585 ICG65520:ICI65585 IMC65520:IME65585 IVY65520:IWA65585 JFU65520:JFW65585 JPQ65520:JPS65585 JZM65520:JZO65585 KJI65520:KJK65585 KTE65520:KTG65585 LDA65520:LDC65585 LMW65520:LMY65585 LWS65520:LWU65585 MGO65520:MGQ65585 MQK65520:MQM65585 NAG65520:NAI65585 NKC65520:NKE65585 NTY65520:NUA65585 ODU65520:ODW65585 ONQ65520:ONS65585 OXM65520:OXO65585 PHI65520:PHK65585 PRE65520:PRG65585 QBA65520:QBC65585 QKW65520:QKY65585 QUS65520:QUU65585 REO65520:REQ65585 ROK65520:ROM65585 RYG65520:RYI65585 SIC65520:SIE65585 SRY65520:SSA65585 TBU65520:TBW65585 TLQ65520:TLS65585 TVM65520:TVO65585 UFI65520:UFK65585 UPE65520:UPG65585 UZA65520:UZC65585 VIW65520:VIY65585 VSS65520:VSU65585 WCO65520:WCQ65585 WMK65520:WMM65585 WWG65520:WWI65585 Y131056:AA131121 JU131056:JW131121 TQ131056:TS131121 ADM131056:ADO131121 ANI131056:ANK131121 AXE131056:AXG131121 BHA131056:BHC131121 BQW131056:BQY131121 CAS131056:CAU131121 CKO131056:CKQ131121 CUK131056:CUM131121 DEG131056:DEI131121 DOC131056:DOE131121 DXY131056:DYA131121 EHU131056:EHW131121 ERQ131056:ERS131121 FBM131056:FBO131121 FLI131056:FLK131121 FVE131056:FVG131121 GFA131056:GFC131121 GOW131056:GOY131121 GYS131056:GYU131121 HIO131056:HIQ131121 HSK131056:HSM131121 ICG131056:ICI131121 IMC131056:IME131121 IVY131056:IWA131121 JFU131056:JFW131121 JPQ131056:JPS131121 JZM131056:JZO131121 KJI131056:KJK131121 KTE131056:KTG131121 LDA131056:LDC131121 LMW131056:LMY131121 LWS131056:LWU131121 MGO131056:MGQ131121 MQK131056:MQM131121 NAG131056:NAI131121 NKC131056:NKE131121 NTY131056:NUA131121 ODU131056:ODW131121 ONQ131056:ONS131121 OXM131056:OXO131121 PHI131056:PHK131121 PRE131056:PRG131121 QBA131056:QBC131121 QKW131056:QKY131121 QUS131056:QUU131121 REO131056:REQ131121 ROK131056:ROM131121 RYG131056:RYI131121 SIC131056:SIE131121 SRY131056:SSA131121 TBU131056:TBW131121 TLQ131056:TLS131121 TVM131056:TVO131121 UFI131056:UFK131121 UPE131056:UPG131121 UZA131056:UZC131121 VIW131056:VIY131121 VSS131056:VSU131121 WCO131056:WCQ131121 WMK131056:WMM131121 WWG131056:WWI131121 Y196592:AA196657 JU196592:JW196657 TQ196592:TS196657 ADM196592:ADO196657 ANI196592:ANK196657 AXE196592:AXG196657 BHA196592:BHC196657 BQW196592:BQY196657 CAS196592:CAU196657 CKO196592:CKQ196657 CUK196592:CUM196657 DEG196592:DEI196657 DOC196592:DOE196657 DXY196592:DYA196657 EHU196592:EHW196657 ERQ196592:ERS196657 FBM196592:FBO196657 FLI196592:FLK196657 FVE196592:FVG196657 GFA196592:GFC196657 GOW196592:GOY196657 GYS196592:GYU196657 HIO196592:HIQ196657 HSK196592:HSM196657 ICG196592:ICI196657 IMC196592:IME196657 IVY196592:IWA196657 JFU196592:JFW196657 JPQ196592:JPS196657 JZM196592:JZO196657 KJI196592:KJK196657 KTE196592:KTG196657 LDA196592:LDC196657 LMW196592:LMY196657 LWS196592:LWU196657 MGO196592:MGQ196657 MQK196592:MQM196657 NAG196592:NAI196657 NKC196592:NKE196657 NTY196592:NUA196657 ODU196592:ODW196657 ONQ196592:ONS196657 OXM196592:OXO196657 PHI196592:PHK196657 PRE196592:PRG196657 QBA196592:QBC196657 QKW196592:QKY196657 QUS196592:QUU196657 REO196592:REQ196657 ROK196592:ROM196657 RYG196592:RYI196657 SIC196592:SIE196657 SRY196592:SSA196657 TBU196592:TBW196657 TLQ196592:TLS196657 TVM196592:TVO196657 UFI196592:UFK196657 UPE196592:UPG196657 UZA196592:UZC196657 VIW196592:VIY196657 VSS196592:VSU196657 WCO196592:WCQ196657 WMK196592:WMM196657 WWG196592:WWI196657 Y262128:AA262193 JU262128:JW262193 TQ262128:TS262193 ADM262128:ADO262193 ANI262128:ANK262193 AXE262128:AXG262193 BHA262128:BHC262193 BQW262128:BQY262193 CAS262128:CAU262193 CKO262128:CKQ262193 CUK262128:CUM262193 DEG262128:DEI262193 DOC262128:DOE262193 DXY262128:DYA262193 EHU262128:EHW262193 ERQ262128:ERS262193 FBM262128:FBO262193 FLI262128:FLK262193 FVE262128:FVG262193 GFA262128:GFC262193 GOW262128:GOY262193 GYS262128:GYU262193 HIO262128:HIQ262193 HSK262128:HSM262193 ICG262128:ICI262193 IMC262128:IME262193 IVY262128:IWA262193 JFU262128:JFW262193 JPQ262128:JPS262193 JZM262128:JZO262193 KJI262128:KJK262193 KTE262128:KTG262193 LDA262128:LDC262193 LMW262128:LMY262193 LWS262128:LWU262193 MGO262128:MGQ262193 MQK262128:MQM262193 NAG262128:NAI262193 NKC262128:NKE262193 NTY262128:NUA262193 ODU262128:ODW262193 ONQ262128:ONS262193 OXM262128:OXO262193 PHI262128:PHK262193 PRE262128:PRG262193 QBA262128:QBC262193 QKW262128:QKY262193 QUS262128:QUU262193 REO262128:REQ262193 ROK262128:ROM262193 RYG262128:RYI262193 SIC262128:SIE262193 SRY262128:SSA262193 TBU262128:TBW262193 TLQ262128:TLS262193 TVM262128:TVO262193 UFI262128:UFK262193 UPE262128:UPG262193 UZA262128:UZC262193 VIW262128:VIY262193 VSS262128:VSU262193 WCO262128:WCQ262193 WMK262128:WMM262193 WWG262128:WWI262193 Y327664:AA327729 JU327664:JW327729 TQ327664:TS327729 ADM327664:ADO327729 ANI327664:ANK327729 AXE327664:AXG327729 BHA327664:BHC327729 BQW327664:BQY327729 CAS327664:CAU327729 CKO327664:CKQ327729 CUK327664:CUM327729 DEG327664:DEI327729 DOC327664:DOE327729 DXY327664:DYA327729 EHU327664:EHW327729 ERQ327664:ERS327729 FBM327664:FBO327729 FLI327664:FLK327729 FVE327664:FVG327729 GFA327664:GFC327729 GOW327664:GOY327729 GYS327664:GYU327729 HIO327664:HIQ327729 HSK327664:HSM327729 ICG327664:ICI327729 IMC327664:IME327729 IVY327664:IWA327729 JFU327664:JFW327729 JPQ327664:JPS327729 JZM327664:JZO327729 KJI327664:KJK327729 KTE327664:KTG327729 LDA327664:LDC327729 LMW327664:LMY327729 LWS327664:LWU327729 MGO327664:MGQ327729 MQK327664:MQM327729 NAG327664:NAI327729 NKC327664:NKE327729 NTY327664:NUA327729 ODU327664:ODW327729 ONQ327664:ONS327729 OXM327664:OXO327729 PHI327664:PHK327729 PRE327664:PRG327729 QBA327664:QBC327729 QKW327664:QKY327729 QUS327664:QUU327729 REO327664:REQ327729 ROK327664:ROM327729 RYG327664:RYI327729 SIC327664:SIE327729 SRY327664:SSA327729 TBU327664:TBW327729 TLQ327664:TLS327729 TVM327664:TVO327729 UFI327664:UFK327729 UPE327664:UPG327729 UZA327664:UZC327729 VIW327664:VIY327729 VSS327664:VSU327729 WCO327664:WCQ327729 WMK327664:WMM327729 WWG327664:WWI327729 Y393200:AA393265 JU393200:JW393265 TQ393200:TS393265 ADM393200:ADO393265 ANI393200:ANK393265 AXE393200:AXG393265 BHA393200:BHC393265 BQW393200:BQY393265 CAS393200:CAU393265 CKO393200:CKQ393265 CUK393200:CUM393265 DEG393200:DEI393265 DOC393200:DOE393265 DXY393200:DYA393265 EHU393200:EHW393265 ERQ393200:ERS393265 FBM393200:FBO393265 FLI393200:FLK393265 FVE393200:FVG393265 GFA393200:GFC393265 GOW393200:GOY393265 GYS393200:GYU393265 HIO393200:HIQ393265 HSK393200:HSM393265 ICG393200:ICI393265 IMC393200:IME393265 IVY393200:IWA393265 JFU393200:JFW393265 JPQ393200:JPS393265 JZM393200:JZO393265 KJI393200:KJK393265 KTE393200:KTG393265 LDA393200:LDC393265 LMW393200:LMY393265 LWS393200:LWU393265 MGO393200:MGQ393265 MQK393200:MQM393265 NAG393200:NAI393265 NKC393200:NKE393265 NTY393200:NUA393265 ODU393200:ODW393265 ONQ393200:ONS393265 OXM393200:OXO393265 PHI393200:PHK393265 PRE393200:PRG393265 QBA393200:QBC393265 QKW393200:QKY393265 QUS393200:QUU393265 REO393200:REQ393265 ROK393200:ROM393265 RYG393200:RYI393265 SIC393200:SIE393265 SRY393200:SSA393265 TBU393200:TBW393265 TLQ393200:TLS393265 TVM393200:TVO393265 UFI393200:UFK393265 UPE393200:UPG393265 UZA393200:UZC393265 VIW393200:VIY393265 VSS393200:VSU393265 WCO393200:WCQ393265 WMK393200:WMM393265 WWG393200:WWI393265 Y458736:AA458801 JU458736:JW458801 TQ458736:TS458801 ADM458736:ADO458801 ANI458736:ANK458801 AXE458736:AXG458801 BHA458736:BHC458801 BQW458736:BQY458801 CAS458736:CAU458801 CKO458736:CKQ458801 CUK458736:CUM458801 DEG458736:DEI458801 DOC458736:DOE458801 DXY458736:DYA458801 EHU458736:EHW458801 ERQ458736:ERS458801 FBM458736:FBO458801 FLI458736:FLK458801 FVE458736:FVG458801 GFA458736:GFC458801 GOW458736:GOY458801 GYS458736:GYU458801 HIO458736:HIQ458801 HSK458736:HSM458801 ICG458736:ICI458801 IMC458736:IME458801 IVY458736:IWA458801 JFU458736:JFW458801 JPQ458736:JPS458801 JZM458736:JZO458801 KJI458736:KJK458801 KTE458736:KTG458801 LDA458736:LDC458801 LMW458736:LMY458801 LWS458736:LWU458801 MGO458736:MGQ458801 MQK458736:MQM458801 NAG458736:NAI458801 NKC458736:NKE458801 NTY458736:NUA458801 ODU458736:ODW458801 ONQ458736:ONS458801 OXM458736:OXO458801 PHI458736:PHK458801 PRE458736:PRG458801 QBA458736:QBC458801 QKW458736:QKY458801 QUS458736:QUU458801 REO458736:REQ458801 ROK458736:ROM458801 RYG458736:RYI458801 SIC458736:SIE458801 SRY458736:SSA458801 TBU458736:TBW458801 TLQ458736:TLS458801 TVM458736:TVO458801 UFI458736:UFK458801 UPE458736:UPG458801 UZA458736:UZC458801 VIW458736:VIY458801 VSS458736:VSU458801 WCO458736:WCQ458801 WMK458736:WMM458801 WWG458736:WWI458801 Y524272:AA524337 JU524272:JW524337 TQ524272:TS524337 ADM524272:ADO524337 ANI524272:ANK524337 AXE524272:AXG524337 BHA524272:BHC524337 BQW524272:BQY524337 CAS524272:CAU524337 CKO524272:CKQ524337 CUK524272:CUM524337 DEG524272:DEI524337 DOC524272:DOE524337 DXY524272:DYA524337 EHU524272:EHW524337 ERQ524272:ERS524337 FBM524272:FBO524337 FLI524272:FLK524337 FVE524272:FVG524337 GFA524272:GFC524337 GOW524272:GOY524337 GYS524272:GYU524337 HIO524272:HIQ524337 HSK524272:HSM524337 ICG524272:ICI524337 IMC524272:IME524337 IVY524272:IWA524337 JFU524272:JFW524337 JPQ524272:JPS524337 JZM524272:JZO524337 KJI524272:KJK524337 KTE524272:KTG524337 LDA524272:LDC524337 LMW524272:LMY524337 LWS524272:LWU524337 MGO524272:MGQ524337 MQK524272:MQM524337 NAG524272:NAI524337 NKC524272:NKE524337 NTY524272:NUA524337 ODU524272:ODW524337 ONQ524272:ONS524337 OXM524272:OXO524337 PHI524272:PHK524337 PRE524272:PRG524337 QBA524272:QBC524337 QKW524272:QKY524337 QUS524272:QUU524337 REO524272:REQ524337 ROK524272:ROM524337 RYG524272:RYI524337 SIC524272:SIE524337 SRY524272:SSA524337 TBU524272:TBW524337 TLQ524272:TLS524337 TVM524272:TVO524337 UFI524272:UFK524337 UPE524272:UPG524337 UZA524272:UZC524337 VIW524272:VIY524337 VSS524272:VSU524337 WCO524272:WCQ524337 WMK524272:WMM524337 WWG524272:WWI524337 Y589808:AA589873 JU589808:JW589873 TQ589808:TS589873 ADM589808:ADO589873 ANI589808:ANK589873 AXE589808:AXG589873 BHA589808:BHC589873 BQW589808:BQY589873 CAS589808:CAU589873 CKO589808:CKQ589873 CUK589808:CUM589873 DEG589808:DEI589873 DOC589808:DOE589873 DXY589808:DYA589873 EHU589808:EHW589873 ERQ589808:ERS589873 FBM589808:FBO589873 FLI589808:FLK589873 FVE589808:FVG589873 GFA589808:GFC589873 GOW589808:GOY589873 GYS589808:GYU589873 HIO589808:HIQ589873 HSK589808:HSM589873 ICG589808:ICI589873 IMC589808:IME589873 IVY589808:IWA589873 JFU589808:JFW589873 JPQ589808:JPS589873 JZM589808:JZO589873 KJI589808:KJK589873 KTE589808:KTG589873 LDA589808:LDC589873 LMW589808:LMY589873 LWS589808:LWU589873 MGO589808:MGQ589873 MQK589808:MQM589873 NAG589808:NAI589873 NKC589808:NKE589873 NTY589808:NUA589873 ODU589808:ODW589873 ONQ589808:ONS589873 OXM589808:OXO589873 PHI589808:PHK589873 PRE589808:PRG589873 QBA589808:QBC589873 QKW589808:QKY589873 QUS589808:QUU589873 REO589808:REQ589873 ROK589808:ROM589873 RYG589808:RYI589873 SIC589808:SIE589873 SRY589808:SSA589873 TBU589808:TBW589873 TLQ589808:TLS589873 TVM589808:TVO589873 UFI589808:UFK589873 UPE589808:UPG589873 UZA589808:UZC589873 VIW589808:VIY589873 VSS589808:VSU589873 WCO589808:WCQ589873 WMK589808:WMM589873 WWG589808:WWI589873 Y655344:AA655409 JU655344:JW655409 TQ655344:TS655409 ADM655344:ADO655409 ANI655344:ANK655409 AXE655344:AXG655409 BHA655344:BHC655409 BQW655344:BQY655409 CAS655344:CAU655409 CKO655344:CKQ655409 CUK655344:CUM655409 DEG655344:DEI655409 DOC655344:DOE655409 DXY655344:DYA655409 EHU655344:EHW655409 ERQ655344:ERS655409 FBM655344:FBO655409 FLI655344:FLK655409 FVE655344:FVG655409 GFA655344:GFC655409 GOW655344:GOY655409 GYS655344:GYU655409 HIO655344:HIQ655409 HSK655344:HSM655409 ICG655344:ICI655409 IMC655344:IME655409 IVY655344:IWA655409 JFU655344:JFW655409 JPQ655344:JPS655409 JZM655344:JZO655409 KJI655344:KJK655409 KTE655344:KTG655409 LDA655344:LDC655409 LMW655344:LMY655409 LWS655344:LWU655409 MGO655344:MGQ655409 MQK655344:MQM655409 NAG655344:NAI655409 NKC655344:NKE655409 NTY655344:NUA655409 ODU655344:ODW655409 ONQ655344:ONS655409 OXM655344:OXO655409 PHI655344:PHK655409 PRE655344:PRG655409 QBA655344:QBC655409 QKW655344:QKY655409 QUS655344:QUU655409 REO655344:REQ655409 ROK655344:ROM655409 RYG655344:RYI655409 SIC655344:SIE655409 SRY655344:SSA655409 TBU655344:TBW655409 TLQ655344:TLS655409 TVM655344:TVO655409 UFI655344:UFK655409 UPE655344:UPG655409 UZA655344:UZC655409 VIW655344:VIY655409 VSS655344:VSU655409 WCO655344:WCQ655409 WMK655344:WMM655409 WWG655344:WWI655409 Y720880:AA720945 JU720880:JW720945 TQ720880:TS720945 ADM720880:ADO720945 ANI720880:ANK720945 AXE720880:AXG720945 BHA720880:BHC720945 BQW720880:BQY720945 CAS720880:CAU720945 CKO720880:CKQ720945 CUK720880:CUM720945 DEG720880:DEI720945 DOC720880:DOE720945 DXY720880:DYA720945 EHU720880:EHW720945 ERQ720880:ERS720945 FBM720880:FBO720945 FLI720880:FLK720945 FVE720880:FVG720945 GFA720880:GFC720945 GOW720880:GOY720945 GYS720880:GYU720945 HIO720880:HIQ720945 HSK720880:HSM720945 ICG720880:ICI720945 IMC720880:IME720945 IVY720880:IWA720945 JFU720880:JFW720945 JPQ720880:JPS720945 JZM720880:JZO720945 KJI720880:KJK720945 KTE720880:KTG720945 LDA720880:LDC720945 LMW720880:LMY720945 LWS720880:LWU720945 MGO720880:MGQ720945 MQK720880:MQM720945 NAG720880:NAI720945 NKC720880:NKE720945 NTY720880:NUA720945 ODU720880:ODW720945 ONQ720880:ONS720945 OXM720880:OXO720945 PHI720880:PHK720945 PRE720880:PRG720945 QBA720880:QBC720945 QKW720880:QKY720945 QUS720880:QUU720945 REO720880:REQ720945 ROK720880:ROM720945 RYG720880:RYI720945 SIC720880:SIE720945 SRY720880:SSA720945 TBU720880:TBW720945 TLQ720880:TLS720945 TVM720880:TVO720945 UFI720880:UFK720945 UPE720880:UPG720945 UZA720880:UZC720945 VIW720880:VIY720945 VSS720880:VSU720945 WCO720880:WCQ720945 WMK720880:WMM720945 WWG720880:WWI720945 Y786416:AA786481 JU786416:JW786481 TQ786416:TS786481 ADM786416:ADO786481 ANI786416:ANK786481 AXE786416:AXG786481 BHA786416:BHC786481 BQW786416:BQY786481 CAS786416:CAU786481 CKO786416:CKQ786481 CUK786416:CUM786481 DEG786416:DEI786481 DOC786416:DOE786481 DXY786416:DYA786481 EHU786416:EHW786481 ERQ786416:ERS786481 FBM786416:FBO786481 FLI786416:FLK786481 FVE786416:FVG786481 GFA786416:GFC786481 GOW786416:GOY786481 GYS786416:GYU786481 HIO786416:HIQ786481 HSK786416:HSM786481 ICG786416:ICI786481 IMC786416:IME786481 IVY786416:IWA786481 JFU786416:JFW786481 JPQ786416:JPS786481 JZM786416:JZO786481 KJI786416:KJK786481 KTE786416:KTG786481 LDA786416:LDC786481 LMW786416:LMY786481 LWS786416:LWU786481 MGO786416:MGQ786481 MQK786416:MQM786481 NAG786416:NAI786481 NKC786416:NKE786481 NTY786416:NUA786481 ODU786416:ODW786481 ONQ786416:ONS786481 OXM786416:OXO786481 PHI786416:PHK786481 PRE786416:PRG786481 QBA786416:QBC786481 QKW786416:QKY786481 QUS786416:QUU786481 REO786416:REQ786481 ROK786416:ROM786481 RYG786416:RYI786481 SIC786416:SIE786481 SRY786416:SSA786481 TBU786416:TBW786481 TLQ786416:TLS786481 TVM786416:TVO786481 UFI786416:UFK786481 UPE786416:UPG786481 UZA786416:UZC786481 VIW786416:VIY786481 VSS786416:VSU786481 WCO786416:WCQ786481 WMK786416:WMM786481 WWG786416:WWI786481 Y851952:AA852017 JU851952:JW852017 TQ851952:TS852017 ADM851952:ADO852017 ANI851952:ANK852017 AXE851952:AXG852017 BHA851952:BHC852017 BQW851952:BQY852017 CAS851952:CAU852017 CKO851952:CKQ852017 CUK851952:CUM852017 DEG851952:DEI852017 DOC851952:DOE852017 DXY851952:DYA852017 EHU851952:EHW852017 ERQ851952:ERS852017 FBM851952:FBO852017 FLI851952:FLK852017 FVE851952:FVG852017 GFA851952:GFC852017 GOW851952:GOY852017 GYS851952:GYU852017 HIO851952:HIQ852017 HSK851952:HSM852017 ICG851952:ICI852017 IMC851952:IME852017 IVY851952:IWA852017 JFU851952:JFW852017 JPQ851952:JPS852017 JZM851952:JZO852017 KJI851952:KJK852017 KTE851952:KTG852017 LDA851952:LDC852017 LMW851952:LMY852017 LWS851952:LWU852017 MGO851952:MGQ852017 MQK851952:MQM852017 NAG851952:NAI852017 NKC851952:NKE852017 NTY851952:NUA852017 ODU851952:ODW852017 ONQ851952:ONS852017 OXM851952:OXO852017 PHI851952:PHK852017 PRE851952:PRG852017 QBA851952:QBC852017 QKW851952:QKY852017 QUS851952:QUU852017 REO851952:REQ852017 ROK851952:ROM852017 RYG851952:RYI852017 SIC851952:SIE852017 SRY851952:SSA852017 TBU851952:TBW852017 TLQ851952:TLS852017 TVM851952:TVO852017 UFI851952:UFK852017 UPE851952:UPG852017 UZA851952:UZC852017 VIW851952:VIY852017 VSS851952:VSU852017 WCO851952:WCQ852017 WMK851952:WMM852017 WWG851952:WWI852017 Y917488:AA917553 JU917488:JW917553 TQ917488:TS917553 ADM917488:ADO917553 ANI917488:ANK917553 AXE917488:AXG917553 BHA917488:BHC917553 BQW917488:BQY917553 CAS917488:CAU917553 CKO917488:CKQ917553 CUK917488:CUM917553 DEG917488:DEI917553 DOC917488:DOE917553 DXY917488:DYA917553 EHU917488:EHW917553 ERQ917488:ERS917553 FBM917488:FBO917553 FLI917488:FLK917553 FVE917488:FVG917553 GFA917488:GFC917553 GOW917488:GOY917553 GYS917488:GYU917553 HIO917488:HIQ917553 HSK917488:HSM917553 ICG917488:ICI917553 IMC917488:IME917553 IVY917488:IWA917553 JFU917488:JFW917553 JPQ917488:JPS917553 JZM917488:JZO917553 KJI917488:KJK917553 KTE917488:KTG917553 LDA917488:LDC917553 LMW917488:LMY917553 LWS917488:LWU917553 MGO917488:MGQ917553 MQK917488:MQM917553 NAG917488:NAI917553 NKC917488:NKE917553 NTY917488:NUA917553 ODU917488:ODW917553 ONQ917488:ONS917553 OXM917488:OXO917553 PHI917488:PHK917553 PRE917488:PRG917553 QBA917488:QBC917553 QKW917488:QKY917553 QUS917488:QUU917553 REO917488:REQ917553 ROK917488:ROM917553 RYG917488:RYI917553 SIC917488:SIE917553 SRY917488:SSA917553 TBU917488:TBW917553 TLQ917488:TLS917553 TVM917488:TVO917553 UFI917488:UFK917553 UPE917488:UPG917553 UZA917488:UZC917553 VIW917488:VIY917553 VSS917488:VSU917553 WCO917488:WCQ917553 WMK917488:WMM917553 WWG917488:WWI917553 Y983024:AA983089 JU983024:JW983089 TQ983024:TS983089 ADM983024:ADO983089 ANI983024:ANK983089 AXE983024:AXG983089 BHA983024:BHC983089 BQW983024:BQY983089 CAS983024:CAU983089 CKO983024:CKQ983089 CUK983024:CUM983089 DEG983024:DEI983089 DOC983024:DOE983089 DXY983024:DYA983089 EHU983024:EHW983089 ERQ983024:ERS983089 FBM983024:FBO983089 FLI983024:FLK983089 FVE983024:FVG983089 GFA983024:GFC983089 GOW983024:GOY983089 GYS983024:GYU983089 HIO983024:HIQ983089 HSK983024:HSM983089 ICG983024:ICI983089 IMC983024:IME983089 IVY983024:IWA983089 JFU983024:JFW983089 JPQ983024:JPS983089 JZM983024:JZO983089 KJI983024:KJK983089 KTE983024:KTG983089 LDA983024:LDC983089 LMW983024:LMY983089 LWS983024:LWU983089 MGO983024:MGQ983089 MQK983024:MQM983089 NAG983024:NAI983089 NKC983024:NKE983089 NTY983024:NUA983089 ODU983024:ODW983089 ONQ983024:ONS983089 OXM983024:OXO983089 PHI983024:PHK983089 PRE983024:PRG983089 QBA983024:QBC983089 QKW983024:QKY983089 QUS983024:QUU983089 REO983024:REQ983089 ROK983024:ROM983089 RYG983024:RYI983089 SIC983024:SIE983089 SRY983024:SSA983089 TBU983024:TBW983089 TLQ983024:TLS983089 TVM983024:TVO983089 UFI983024:UFK983089 UPE983024:UPG983089 UZA983024:UZC983089 VIW983024:VIY983089 VSS983024:VSU983089 WCO983024:WCQ983089 WMK983024:WMM983089 WWG2:WWI69 JU2:JW69 TQ2:TS69 ADM2:ADO69 ANI2:ANK69 AXE2:AXG69 BHA2:BHC69 BQW2:BQY69 CAS2:CAU69 CKO2:CKQ69 CUK2:CUM69 DEG2:DEI69 DOC2:DOE69 DXY2:DYA69 EHU2:EHW69 ERQ2:ERS69 FBM2:FBO69 FLI2:FLK69 FVE2:FVG69 GFA2:GFC69 GOW2:GOY69 GYS2:GYU69 HIO2:HIQ69 HSK2:HSM69 ICG2:ICI69 IMC2:IME69 IVY2:IWA69 JFU2:JFW69 JPQ2:JPS69 JZM2:JZO69 KJI2:KJK69 KTE2:KTG69 LDA2:LDC69 LMW2:LMY69 LWS2:LWU69 MGO2:MGQ69 MQK2:MQM69 NAG2:NAI69 NKC2:NKE69 NTY2:NUA69 ODU2:ODW69 ONQ2:ONS69 OXM2:OXO69 PHI2:PHK69 PRE2:PRG69 QBA2:QBC69 QKW2:QKY69 QUS2:QUU69 REO2:REQ69 ROK2:ROM69 RYG2:RYI69 SIC2:SIE69 SRY2:SSA69 TBU2:TBW69 TLQ2:TLS69 TVM2:TVO69 UFI2:UFK69 UPE2:UPG69 UZA2:UZC69 VIW2:VIY69 VSS2:VSU69 WCO2:WCQ69 WMK2:WMM69" xr:uid="{235CE303-321D-4456-BD42-6E7054136740}">
      <formula1>$AV$2:$AV$20</formula1>
    </dataValidation>
    <dataValidation type="list" allowBlank="1" showInputMessage="1" showErrorMessage="1" sqref="H64345:H64410 JD64345:JD64410 SZ64345:SZ64410 ACV64345:ACV64410 AMR64345:AMR64410 AWN64345:AWN64410 BGJ64345:BGJ64410 BQF64345:BQF64410 CAB64345:CAB64410 CJX64345:CJX64410 CTT64345:CTT64410 DDP64345:DDP64410 DNL64345:DNL64410 DXH64345:DXH64410 EHD64345:EHD64410 EQZ64345:EQZ64410 FAV64345:FAV64410 FKR64345:FKR64410 FUN64345:FUN64410 GEJ64345:GEJ64410 GOF64345:GOF64410 GYB64345:GYB64410 HHX64345:HHX64410 HRT64345:HRT64410 IBP64345:IBP64410 ILL64345:ILL64410 IVH64345:IVH64410 JFD64345:JFD64410 JOZ64345:JOZ64410 JYV64345:JYV64410 KIR64345:KIR64410 KSN64345:KSN64410 LCJ64345:LCJ64410 LMF64345:LMF64410 LWB64345:LWB64410 MFX64345:MFX64410 MPT64345:MPT64410 MZP64345:MZP64410 NJL64345:NJL64410 NTH64345:NTH64410 ODD64345:ODD64410 OMZ64345:OMZ64410 OWV64345:OWV64410 PGR64345:PGR64410 PQN64345:PQN64410 QAJ64345:QAJ64410 QKF64345:QKF64410 QUB64345:QUB64410 RDX64345:RDX64410 RNT64345:RNT64410 RXP64345:RXP64410 SHL64345:SHL64410 SRH64345:SRH64410 TBD64345:TBD64410 TKZ64345:TKZ64410 TUV64345:TUV64410 UER64345:UER64410 UON64345:UON64410 UYJ64345:UYJ64410 VIF64345:VIF64410 VSB64345:VSB64410 WBX64345:WBX64410 WLT64345:WLT64410 WVP64345:WVP64410 H129881:H129946 JD129881:JD129946 SZ129881:SZ129946 ACV129881:ACV129946 AMR129881:AMR129946 AWN129881:AWN129946 BGJ129881:BGJ129946 BQF129881:BQF129946 CAB129881:CAB129946 CJX129881:CJX129946 CTT129881:CTT129946 DDP129881:DDP129946 DNL129881:DNL129946 DXH129881:DXH129946 EHD129881:EHD129946 EQZ129881:EQZ129946 FAV129881:FAV129946 FKR129881:FKR129946 FUN129881:FUN129946 GEJ129881:GEJ129946 GOF129881:GOF129946 GYB129881:GYB129946 HHX129881:HHX129946 HRT129881:HRT129946 IBP129881:IBP129946 ILL129881:ILL129946 IVH129881:IVH129946 JFD129881:JFD129946 JOZ129881:JOZ129946 JYV129881:JYV129946 KIR129881:KIR129946 KSN129881:KSN129946 LCJ129881:LCJ129946 LMF129881:LMF129946 LWB129881:LWB129946 MFX129881:MFX129946 MPT129881:MPT129946 MZP129881:MZP129946 NJL129881:NJL129946 NTH129881:NTH129946 ODD129881:ODD129946 OMZ129881:OMZ129946 OWV129881:OWV129946 PGR129881:PGR129946 PQN129881:PQN129946 QAJ129881:QAJ129946 QKF129881:QKF129946 QUB129881:QUB129946 RDX129881:RDX129946 RNT129881:RNT129946 RXP129881:RXP129946 SHL129881:SHL129946 SRH129881:SRH129946 TBD129881:TBD129946 TKZ129881:TKZ129946 TUV129881:TUV129946 UER129881:UER129946 UON129881:UON129946 UYJ129881:UYJ129946 VIF129881:VIF129946 VSB129881:VSB129946 WBX129881:WBX129946 WLT129881:WLT129946 WVP129881:WVP129946 H195417:H195482 JD195417:JD195482 SZ195417:SZ195482 ACV195417:ACV195482 AMR195417:AMR195482 AWN195417:AWN195482 BGJ195417:BGJ195482 BQF195417:BQF195482 CAB195417:CAB195482 CJX195417:CJX195482 CTT195417:CTT195482 DDP195417:DDP195482 DNL195417:DNL195482 DXH195417:DXH195482 EHD195417:EHD195482 EQZ195417:EQZ195482 FAV195417:FAV195482 FKR195417:FKR195482 FUN195417:FUN195482 GEJ195417:GEJ195482 GOF195417:GOF195482 GYB195417:GYB195482 HHX195417:HHX195482 HRT195417:HRT195482 IBP195417:IBP195482 ILL195417:ILL195482 IVH195417:IVH195482 JFD195417:JFD195482 JOZ195417:JOZ195482 JYV195417:JYV195482 KIR195417:KIR195482 KSN195417:KSN195482 LCJ195417:LCJ195482 LMF195417:LMF195482 LWB195417:LWB195482 MFX195417:MFX195482 MPT195417:MPT195482 MZP195417:MZP195482 NJL195417:NJL195482 NTH195417:NTH195482 ODD195417:ODD195482 OMZ195417:OMZ195482 OWV195417:OWV195482 PGR195417:PGR195482 PQN195417:PQN195482 QAJ195417:QAJ195482 QKF195417:QKF195482 QUB195417:QUB195482 RDX195417:RDX195482 RNT195417:RNT195482 RXP195417:RXP195482 SHL195417:SHL195482 SRH195417:SRH195482 TBD195417:TBD195482 TKZ195417:TKZ195482 TUV195417:TUV195482 UER195417:UER195482 UON195417:UON195482 UYJ195417:UYJ195482 VIF195417:VIF195482 VSB195417:VSB195482 WBX195417:WBX195482 WLT195417:WLT195482 WVP195417:WVP195482 H260953:H261018 JD260953:JD261018 SZ260953:SZ261018 ACV260953:ACV261018 AMR260953:AMR261018 AWN260953:AWN261018 BGJ260953:BGJ261018 BQF260953:BQF261018 CAB260953:CAB261018 CJX260953:CJX261018 CTT260953:CTT261018 DDP260953:DDP261018 DNL260953:DNL261018 DXH260953:DXH261018 EHD260953:EHD261018 EQZ260953:EQZ261018 FAV260953:FAV261018 FKR260953:FKR261018 FUN260953:FUN261018 GEJ260953:GEJ261018 GOF260953:GOF261018 GYB260953:GYB261018 HHX260953:HHX261018 HRT260953:HRT261018 IBP260953:IBP261018 ILL260953:ILL261018 IVH260953:IVH261018 JFD260953:JFD261018 JOZ260953:JOZ261018 JYV260953:JYV261018 KIR260953:KIR261018 KSN260953:KSN261018 LCJ260953:LCJ261018 LMF260953:LMF261018 LWB260953:LWB261018 MFX260953:MFX261018 MPT260953:MPT261018 MZP260953:MZP261018 NJL260953:NJL261018 NTH260953:NTH261018 ODD260953:ODD261018 OMZ260953:OMZ261018 OWV260953:OWV261018 PGR260953:PGR261018 PQN260953:PQN261018 QAJ260953:QAJ261018 QKF260953:QKF261018 QUB260953:QUB261018 RDX260953:RDX261018 RNT260953:RNT261018 RXP260953:RXP261018 SHL260953:SHL261018 SRH260953:SRH261018 TBD260953:TBD261018 TKZ260953:TKZ261018 TUV260953:TUV261018 UER260953:UER261018 UON260953:UON261018 UYJ260953:UYJ261018 VIF260953:VIF261018 VSB260953:VSB261018 WBX260953:WBX261018 WLT260953:WLT261018 WVP260953:WVP261018 H326489:H326554 JD326489:JD326554 SZ326489:SZ326554 ACV326489:ACV326554 AMR326489:AMR326554 AWN326489:AWN326554 BGJ326489:BGJ326554 BQF326489:BQF326554 CAB326489:CAB326554 CJX326489:CJX326554 CTT326489:CTT326554 DDP326489:DDP326554 DNL326489:DNL326554 DXH326489:DXH326554 EHD326489:EHD326554 EQZ326489:EQZ326554 FAV326489:FAV326554 FKR326489:FKR326554 FUN326489:FUN326554 GEJ326489:GEJ326554 GOF326489:GOF326554 GYB326489:GYB326554 HHX326489:HHX326554 HRT326489:HRT326554 IBP326489:IBP326554 ILL326489:ILL326554 IVH326489:IVH326554 JFD326489:JFD326554 JOZ326489:JOZ326554 JYV326489:JYV326554 KIR326489:KIR326554 KSN326489:KSN326554 LCJ326489:LCJ326554 LMF326489:LMF326554 LWB326489:LWB326554 MFX326489:MFX326554 MPT326489:MPT326554 MZP326489:MZP326554 NJL326489:NJL326554 NTH326489:NTH326554 ODD326489:ODD326554 OMZ326489:OMZ326554 OWV326489:OWV326554 PGR326489:PGR326554 PQN326489:PQN326554 QAJ326489:QAJ326554 QKF326489:QKF326554 QUB326489:QUB326554 RDX326489:RDX326554 RNT326489:RNT326554 RXP326489:RXP326554 SHL326489:SHL326554 SRH326489:SRH326554 TBD326489:TBD326554 TKZ326489:TKZ326554 TUV326489:TUV326554 UER326489:UER326554 UON326489:UON326554 UYJ326489:UYJ326554 VIF326489:VIF326554 VSB326489:VSB326554 WBX326489:WBX326554 WLT326489:WLT326554 WVP326489:WVP326554 H392025:H392090 JD392025:JD392090 SZ392025:SZ392090 ACV392025:ACV392090 AMR392025:AMR392090 AWN392025:AWN392090 BGJ392025:BGJ392090 BQF392025:BQF392090 CAB392025:CAB392090 CJX392025:CJX392090 CTT392025:CTT392090 DDP392025:DDP392090 DNL392025:DNL392090 DXH392025:DXH392090 EHD392025:EHD392090 EQZ392025:EQZ392090 FAV392025:FAV392090 FKR392025:FKR392090 FUN392025:FUN392090 GEJ392025:GEJ392090 GOF392025:GOF392090 GYB392025:GYB392090 HHX392025:HHX392090 HRT392025:HRT392090 IBP392025:IBP392090 ILL392025:ILL392090 IVH392025:IVH392090 JFD392025:JFD392090 JOZ392025:JOZ392090 JYV392025:JYV392090 KIR392025:KIR392090 KSN392025:KSN392090 LCJ392025:LCJ392090 LMF392025:LMF392090 LWB392025:LWB392090 MFX392025:MFX392090 MPT392025:MPT392090 MZP392025:MZP392090 NJL392025:NJL392090 NTH392025:NTH392090 ODD392025:ODD392090 OMZ392025:OMZ392090 OWV392025:OWV392090 PGR392025:PGR392090 PQN392025:PQN392090 QAJ392025:QAJ392090 QKF392025:QKF392090 QUB392025:QUB392090 RDX392025:RDX392090 RNT392025:RNT392090 RXP392025:RXP392090 SHL392025:SHL392090 SRH392025:SRH392090 TBD392025:TBD392090 TKZ392025:TKZ392090 TUV392025:TUV392090 UER392025:UER392090 UON392025:UON392090 UYJ392025:UYJ392090 VIF392025:VIF392090 VSB392025:VSB392090 WBX392025:WBX392090 WLT392025:WLT392090 WVP392025:WVP392090 H457561:H457626 JD457561:JD457626 SZ457561:SZ457626 ACV457561:ACV457626 AMR457561:AMR457626 AWN457561:AWN457626 BGJ457561:BGJ457626 BQF457561:BQF457626 CAB457561:CAB457626 CJX457561:CJX457626 CTT457561:CTT457626 DDP457561:DDP457626 DNL457561:DNL457626 DXH457561:DXH457626 EHD457561:EHD457626 EQZ457561:EQZ457626 FAV457561:FAV457626 FKR457561:FKR457626 FUN457561:FUN457626 GEJ457561:GEJ457626 GOF457561:GOF457626 GYB457561:GYB457626 HHX457561:HHX457626 HRT457561:HRT457626 IBP457561:IBP457626 ILL457561:ILL457626 IVH457561:IVH457626 JFD457561:JFD457626 JOZ457561:JOZ457626 JYV457561:JYV457626 KIR457561:KIR457626 KSN457561:KSN457626 LCJ457561:LCJ457626 LMF457561:LMF457626 LWB457561:LWB457626 MFX457561:MFX457626 MPT457561:MPT457626 MZP457561:MZP457626 NJL457561:NJL457626 NTH457561:NTH457626 ODD457561:ODD457626 OMZ457561:OMZ457626 OWV457561:OWV457626 PGR457561:PGR457626 PQN457561:PQN457626 QAJ457561:QAJ457626 QKF457561:QKF457626 QUB457561:QUB457626 RDX457561:RDX457626 RNT457561:RNT457626 RXP457561:RXP457626 SHL457561:SHL457626 SRH457561:SRH457626 TBD457561:TBD457626 TKZ457561:TKZ457626 TUV457561:TUV457626 UER457561:UER457626 UON457561:UON457626 UYJ457561:UYJ457626 VIF457561:VIF457626 VSB457561:VSB457626 WBX457561:WBX457626 WLT457561:WLT457626 WVP457561:WVP457626 H523097:H523162 JD523097:JD523162 SZ523097:SZ523162 ACV523097:ACV523162 AMR523097:AMR523162 AWN523097:AWN523162 BGJ523097:BGJ523162 BQF523097:BQF523162 CAB523097:CAB523162 CJX523097:CJX523162 CTT523097:CTT523162 DDP523097:DDP523162 DNL523097:DNL523162 DXH523097:DXH523162 EHD523097:EHD523162 EQZ523097:EQZ523162 FAV523097:FAV523162 FKR523097:FKR523162 FUN523097:FUN523162 GEJ523097:GEJ523162 GOF523097:GOF523162 GYB523097:GYB523162 HHX523097:HHX523162 HRT523097:HRT523162 IBP523097:IBP523162 ILL523097:ILL523162 IVH523097:IVH523162 JFD523097:JFD523162 JOZ523097:JOZ523162 JYV523097:JYV523162 KIR523097:KIR523162 KSN523097:KSN523162 LCJ523097:LCJ523162 LMF523097:LMF523162 LWB523097:LWB523162 MFX523097:MFX523162 MPT523097:MPT523162 MZP523097:MZP523162 NJL523097:NJL523162 NTH523097:NTH523162 ODD523097:ODD523162 OMZ523097:OMZ523162 OWV523097:OWV523162 PGR523097:PGR523162 PQN523097:PQN523162 QAJ523097:QAJ523162 QKF523097:QKF523162 QUB523097:QUB523162 RDX523097:RDX523162 RNT523097:RNT523162 RXP523097:RXP523162 SHL523097:SHL523162 SRH523097:SRH523162 TBD523097:TBD523162 TKZ523097:TKZ523162 TUV523097:TUV523162 UER523097:UER523162 UON523097:UON523162 UYJ523097:UYJ523162 VIF523097:VIF523162 VSB523097:VSB523162 WBX523097:WBX523162 WLT523097:WLT523162 WVP523097:WVP523162 H588633:H588698 JD588633:JD588698 SZ588633:SZ588698 ACV588633:ACV588698 AMR588633:AMR588698 AWN588633:AWN588698 BGJ588633:BGJ588698 BQF588633:BQF588698 CAB588633:CAB588698 CJX588633:CJX588698 CTT588633:CTT588698 DDP588633:DDP588698 DNL588633:DNL588698 DXH588633:DXH588698 EHD588633:EHD588698 EQZ588633:EQZ588698 FAV588633:FAV588698 FKR588633:FKR588698 FUN588633:FUN588698 GEJ588633:GEJ588698 GOF588633:GOF588698 GYB588633:GYB588698 HHX588633:HHX588698 HRT588633:HRT588698 IBP588633:IBP588698 ILL588633:ILL588698 IVH588633:IVH588698 JFD588633:JFD588698 JOZ588633:JOZ588698 JYV588633:JYV588698 KIR588633:KIR588698 KSN588633:KSN588698 LCJ588633:LCJ588698 LMF588633:LMF588698 LWB588633:LWB588698 MFX588633:MFX588698 MPT588633:MPT588698 MZP588633:MZP588698 NJL588633:NJL588698 NTH588633:NTH588698 ODD588633:ODD588698 OMZ588633:OMZ588698 OWV588633:OWV588698 PGR588633:PGR588698 PQN588633:PQN588698 QAJ588633:QAJ588698 QKF588633:QKF588698 QUB588633:QUB588698 RDX588633:RDX588698 RNT588633:RNT588698 RXP588633:RXP588698 SHL588633:SHL588698 SRH588633:SRH588698 TBD588633:TBD588698 TKZ588633:TKZ588698 TUV588633:TUV588698 UER588633:UER588698 UON588633:UON588698 UYJ588633:UYJ588698 VIF588633:VIF588698 VSB588633:VSB588698 WBX588633:WBX588698 WLT588633:WLT588698 WVP588633:WVP588698 H654169:H654234 JD654169:JD654234 SZ654169:SZ654234 ACV654169:ACV654234 AMR654169:AMR654234 AWN654169:AWN654234 BGJ654169:BGJ654234 BQF654169:BQF654234 CAB654169:CAB654234 CJX654169:CJX654234 CTT654169:CTT654234 DDP654169:DDP654234 DNL654169:DNL654234 DXH654169:DXH654234 EHD654169:EHD654234 EQZ654169:EQZ654234 FAV654169:FAV654234 FKR654169:FKR654234 FUN654169:FUN654234 GEJ654169:GEJ654234 GOF654169:GOF654234 GYB654169:GYB654234 HHX654169:HHX654234 HRT654169:HRT654234 IBP654169:IBP654234 ILL654169:ILL654234 IVH654169:IVH654234 JFD654169:JFD654234 JOZ654169:JOZ654234 JYV654169:JYV654234 KIR654169:KIR654234 KSN654169:KSN654234 LCJ654169:LCJ654234 LMF654169:LMF654234 LWB654169:LWB654234 MFX654169:MFX654234 MPT654169:MPT654234 MZP654169:MZP654234 NJL654169:NJL654234 NTH654169:NTH654234 ODD654169:ODD654234 OMZ654169:OMZ654234 OWV654169:OWV654234 PGR654169:PGR654234 PQN654169:PQN654234 QAJ654169:QAJ654234 QKF654169:QKF654234 QUB654169:QUB654234 RDX654169:RDX654234 RNT654169:RNT654234 RXP654169:RXP654234 SHL654169:SHL654234 SRH654169:SRH654234 TBD654169:TBD654234 TKZ654169:TKZ654234 TUV654169:TUV654234 UER654169:UER654234 UON654169:UON654234 UYJ654169:UYJ654234 VIF654169:VIF654234 VSB654169:VSB654234 WBX654169:WBX654234 WLT654169:WLT654234 WVP654169:WVP654234 H719705:H719770 JD719705:JD719770 SZ719705:SZ719770 ACV719705:ACV719770 AMR719705:AMR719770 AWN719705:AWN719770 BGJ719705:BGJ719770 BQF719705:BQF719770 CAB719705:CAB719770 CJX719705:CJX719770 CTT719705:CTT719770 DDP719705:DDP719770 DNL719705:DNL719770 DXH719705:DXH719770 EHD719705:EHD719770 EQZ719705:EQZ719770 FAV719705:FAV719770 FKR719705:FKR719770 FUN719705:FUN719770 GEJ719705:GEJ719770 GOF719705:GOF719770 GYB719705:GYB719770 HHX719705:HHX719770 HRT719705:HRT719770 IBP719705:IBP719770 ILL719705:ILL719770 IVH719705:IVH719770 JFD719705:JFD719770 JOZ719705:JOZ719770 JYV719705:JYV719770 KIR719705:KIR719770 KSN719705:KSN719770 LCJ719705:LCJ719770 LMF719705:LMF719770 LWB719705:LWB719770 MFX719705:MFX719770 MPT719705:MPT719770 MZP719705:MZP719770 NJL719705:NJL719770 NTH719705:NTH719770 ODD719705:ODD719770 OMZ719705:OMZ719770 OWV719705:OWV719770 PGR719705:PGR719770 PQN719705:PQN719770 QAJ719705:QAJ719770 QKF719705:QKF719770 QUB719705:QUB719770 RDX719705:RDX719770 RNT719705:RNT719770 RXP719705:RXP719770 SHL719705:SHL719770 SRH719705:SRH719770 TBD719705:TBD719770 TKZ719705:TKZ719770 TUV719705:TUV719770 UER719705:UER719770 UON719705:UON719770 UYJ719705:UYJ719770 VIF719705:VIF719770 VSB719705:VSB719770 WBX719705:WBX719770 WLT719705:WLT719770 WVP719705:WVP719770 H785241:H785306 JD785241:JD785306 SZ785241:SZ785306 ACV785241:ACV785306 AMR785241:AMR785306 AWN785241:AWN785306 BGJ785241:BGJ785306 BQF785241:BQF785306 CAB785241:CAB785306 CJX785241:CJX785306 CTT785241:CTT785306 DDP785241:DDP785306 DNL785241:DNL785306 DXH785241:DXH785306 EHD785241:EHD785306 EQZ785241:EQZ785306 FAV785241:FAV785306 FKR785241:FKR785306 FUN785241:FUN785306 GEJ785241:GEJ785306 GOF785241:GOF785306 GYB785241:GYB785306 HHX785241:HHX785306 HRT785241:HRT785306 IBP785241:IBP785306 ILL785241:ILL785306 IVH785241:IVH785306 JFD785241:JFD785306 JOZ785241:JOZ785306 JYV785241:JYV785306 KIR785241:KIR785306 KSN785241:KSN785306 LCJ785241:LCJ785306 LMF785241:LMF785306 LWB785241:LWB785306 MFX785241:MFX785306 MPT785241:MPT785306 MZP785241:MZP785306 NJL785241:NJL785306 NTH785241:NTH785306 ODD785241:ODD785306 OMZ785241:OMZ785306 OWV785241:OWV785306 PGR785241:PGR785306 PQN785241:PQN785306 QAJ785241:QAJ785306 QKF785241:QKF785306 QUB785241:QUB785306 RDX785241:RDX785306 RNT785241:RNT785306 RXP785241:RXP785306 SHL785241:SHL785306 SRH785241:SRH785306 TBD785241:TBD785306 TKZ785241:TKZ785306 TUV785241:TUV785306 UER785241:UER785306 UON785241:UON785306 UYJ785241:UYJ785306 VIF785241:VIF785306 VSB785241:VSB785306 WBX785241:WBX785306 WLT785241:WLT785306 WVP785241:WVP785306 H850777:H850842 JD850777:JD850842 SZ850777:SZ850842 ACV850777:ACV850842 AMR850777:AMR850842 AWN850777:AWN850842 BGJ850777:BGJ850842 BQF850777:BQF850842 CAB850777:CAB850842 CJX850777:CJX850842 CTT850777:CTT850842 DDP850777:DDP850842 DNL850777:DNL850842 DXH850777:DXH850842 EHD850777:EHD850842 EQZ850777:EQZ850842 FAV850777:FAV850842 FKR850777:FKR850842 FUN850777:FUN850842 GEJ850777:GEJ850842 GOF850777:GOF850842 GYB850777:GYB850842 HHX850777:HHX850842 HRT850777:HRT850842 IBP850777:IBP850842 ILL850777:ILL850842 IVH850777:IVH850842 JFD850777:JFD850842 JOZ850777:JOZ850842 JYV850777:JYV850842 KIR850777:KIR850842 KSN850777:KSN850842 LCJ850777:LCJ850842 LMF850777:LMF850842 LWB850777:LWB850842 MFX850777:MFX850842 MPT850777:MPT850842 MZP850777:MZP850842 NJL850777:NJL850842 NTH850777:NTH850842 ODD850777:ODD850842 OMZ850777:OMZ850842 OWV850777:OWV850842 PGR850777:PGR850842 PQN850777:PQN850842 QAJ850777:QAJ850842 QKF850777:QKF850842 QUB850777:QUB850842 RDX850777:RDX850842 RNT850777:RNT850842 RXP850777:RXP850842 SHL850777:SHL850842 SRH850777:SRH850842 TBD850777:TBD850842 TKZ850777:TKZ850842 TUV850777:TUV850842 UER850777:UER850842 UON850777:UON850842 UYJ850777:UYJ850842 VIF850777:VIF850842 VSB850777:VSB850842 WBX850777:WBX850842 WLT850777:WLT850842 WVP850777:WVP850842 H916313:H916378 JD916313:JD916378 SZ916313:SZ916378 ACV916313:ACV916378 AMR916313:AMR916378 AWN916313:AWN916378 BGJ916313:BGJ916378 BQF916313:BQF916378 CAB916313:CAB916378 CJX916313:CJX916378 CTT916313:CTT916378 DDP916313:DDP916378 DNL916313:DNL916378 DXH916313:DXH916378 EHD916313:EHD916378 EQZ916313:EQZ916378 FAV916313:FAV916378 FKR916313:FKR916378 FUN916313:FUN916378 GEJ916313:GEJ916378 GOF916313:GOF916378 GYB916313:GYB916378 HHX916313:HHX916378 HRT916313:HRT916378 IBP916313:IBP916378 ILL916313:ILL916378 IVH916313:IVH916378 JFD916313:JFD916378 JOZ916313:JOZ916378 JYV916313:JYV916378 KIR916313:KIR916378 KSN916313:KSN916378 LCJ916313:LCJ916378 LMF916313:LMF916378 LWB916313:LWB916378 MFX916313:MFX916378 MPT916313:MPT916378 MZP916313:MZP916378 NJL916313:NJL916378 NTH916313:NTH916378 ODD916313:ODD916378 OMZ916313:OMZ916378 OWV916313:OWV916378 PGR916313:PGR916378 PQN916313:PQN916378 QAJ916313:QAJ916378 QKF916313:QKF916378 QUB916313:QUB916378 RDX916313:RDX916378 RNT916313:RNT916378 RXP916313:RXP916378 SHL916313:SHL916378 SRH916313:SRH916378 TBD916313:TBD916378 TKZ916313:TKZ916378 TUV916313:TUV916378 UER916313:UER916378 UON916313:UON916378 UYJ916313:UYJ916378 VIF916313:VIF916378 VSB916313:VSB916378 WBX916313:WBX916378 WLT916313:WLT916378 WVP916313:WVP916378 H981849:H981914 JD981849:JD981914 SZ981849:SZ981914 ACV981849:ACV981914 AMR981849:AMR981914 AWN981849:AWN981914 BGJ981849:BGJ981914 BQF981849:BQF981914 CAB981849:CAB981914 CJX981849:CJX981914 CTT981849:CTT981914 DDP981849:DDP981914 DNL981849:DNL981914 DXH981849:DXH981914 EHD981849:EHD981914 EQZ981849:EQZ981914 FAV981849:FAV981914 FKR981849:FKR981914 FUN981849:FUN981914 GEJ981849:GEJ981914 GOF981849:GOF981914 GYB981849:GYB981914 HHX981849:HHX981914 HRT981849:HRT981914 IBP981849:IBP981914 ILL981849:ILL981914 IVH981849:IVH981914 JFD981849:JFD981914 JOZ981849:JOZ981914 JYV981849:JYV981914 KIR981849:KIR981914 KSN981849:KSN981914 LCJ981849:LCJ981914 LMF981849:LMF981914 LWB981849:LWB981914 MFX981849:MFX981914 MPT981849:MPT981914 MZP981849:MZP981914 NJL981849:NJL981914 NTH981849:NTH981914 ODD981849:ODD981914 OMZ981849:OMZ981914 OWV981849:OWV981914 PGR981849:PGR981914 PQN981849:PQN981914 QAJ981849:QAJ981914 QKF981849:QKF981914 QUB981849:QUB981914 RDX981849:RDX981914 RNT981849:RNT981914 RXP981849:RXP981914 SHL981849:SHL981914 SRH981849:SRH981914 TBD981849:TBD981914 TKZ981849:TKZ981914 TUV981849:TUV981914 UER981849:UER981914 UON981849:UON981914 UYJ981849:UYJ981914 VIF981849:VIF981914 VSB981849:VSB981914 WBX981849:WBX981914 WLT981849:WLT981914 WVP981849:WVP981914 H1047385:H1047450 JD1047385:JD1047450 SZ1047385:SZ1047450 ACV1047385:ACV1047450 AMR1047385:AMR1047450 AWN1047385:AWN1047450 BGJ1047385:BGJ1047450 BQF1047385:BQF1047450 CAB1047385:CAB1047450 CJX1047385:CJX1047450 CTT1047385:CTT1047450 DDP1047385:DDP1047450 DNL1047385:DNL1047450 DXH1047385:DXH1047450 EHD1047385:EHD1047450 EQZ1047385:EQZ1047450 FAV1047385:FAV1047450 FKR1047385:FKR1047450 FUN1047385:FUN1047450 GEJ1047385:GEJ1047450 GOF1047385:GOF1047450 GYB1047385:GYB1047450 HHX1047385:HHX1047450 HRT1047385:HRT1047450 IBP1047385:IBP1047450 ILL1047385:ILL1047450 IVH1047385:IVH1047450 JFD1047385:JFD1047450 JOZ1047385:JOZ1047450 JYV1047385:JYV1047450 KIR1047385:KIR1047450 KSN1047385:KSN1047450 LCJ1047385:LCJ1047450 LMF1047385:LMF1047450 LWB1047385:LWB1047450 MFX1047385:MFX1047450 MPT1047385:MPT1047450 MZP1047385:MZP1047450 NJL1047385:NJL1047450 NTH1047385:NTH1047450 ODD1047385:ODD1047450 OMZ1047385:OMZ1047450 OWV1047385:OWV1047450 PGR1047385:PGR1047450 PQN1047385:PQN1047450 QAJ1047385:QAJ1047450 QKF1047385:QKF1047450 QUB1047385:QUB1047450 RDX1047385:RDX1047450 RNT1047385:RNT1047450 RXP1047385:RXP1047450 SHL1047385:SHL1047450 SRH1047385:SRH1047450 TBD1047385:TBD1047450 TKZ1047385:TKZ1047450 TUV1047385:TUV1047450 UER1047385:UER1047450 UON1047385:UON1047450 UYJ1047385:UYJ1047450 VIF1047385:VIF1047450 VSB1047385:VSB1047450 WBX1047385:WBX1047450 WLT1047385:WLT1047450 WVP1047385:WVP1047450" xr:uid="{2BF235AC-12FF-46E3-8DDF-92D098991936}">
      <formula1>$AL$5:$AL$12</formula1>
    </dataValidation>
    <dataValidation type="list" allowBlank="1" showInputMessage="1" showErrorMessage="1" sqref="E64345:F64410 WVM983024:WVN983095 WLQ983024:WLR983095 WBU983024:WBV983095 VRY983024:VRZ983095 VIC983024:VID983095 UYG983024:UYH983095 UOK983024:UOL983095 UEO983024:UEP983095 TUS983024:TUT983095 TKW983024:TKX983095 TBA983024:TBB983095 SRE983024:SRF983095 SHI983024:SHJ983095 RXM983024:RXN983095 RNQ983024:RNR983095 RDU983024:RDV983095 QTY983024:QTZ983095 QKC983024:QKD983095 QAG983024:QAH983095 PQK983024:PQL983095 PGO983024:PGP983095 OWS983024:OWT983095 OMW983024:OMX983095 ODA983024:ODB983095 NTE983024:NTF983095 NJI983024:NJJ983095 MZM983024:MZN983095 MPQ983024:MPR983095 MFU983024:MFV983095 LVY983024:LVZ983095 LMC983024:LMD983095 LCG983024:LCH983095 KSK983024:KSL983095 KIO983024:KIP983095 JYS983024:JYT983095 JOW983024:JOX983095 JFA983024:JFB983095 IVE983024:IVF983095 ILI983024:ILJ983095 IBM983024:IBN983095 HRQ983024:HRR983095 HHU983024:HHV983095 GXY983024:GXZ983095 GOC983024:GOD983095 GEG983024:GEH983095 FUK983024:FUL983095 FKO983024:FKP983095 FAS983024:FAT983095 EQW983024:EQX983095 EHA983024:EHB983095 DXE983024:DXF983095 DNI983024:DNJ983095 DDM983024:DDN983095 CTQ983024:CTR983095 CJU983024:CJV983095 BZY983024:BZZ983095 BQC983024:BQD983095 BGG983024:BGH983095 AWK983024:AWL983095 AMO983024:AMP983095 ACS983024:ACT983095 SW983024:SX983095 JA983024:JB983095 E983024:F983095 WVM917488:WVN917559 WLQ917488:WLR917559 WBU917488:WBV917559 VRY917488:VRZ917559 VIC917488:VID917559 UYG917488:UYH917559 UOK917488:UOL917559 UEO917488:UEP917559 TUS917488:TUT917559 TKW917488:TKX917559 TBA917488:TBB917559 SRE917488:SRF917559 SHI917488:SHJ917559 RXM917488:RXN917559 RNQ917488:RNR917559 RDU917488:RDV917559 QTY917488:QTZ917559 QKC917488:QKD917559 QAG917488:QAH917559 PQK917488:PQL917559 PGO917488:PGP917559 OWS917488:OWT917559 OMW917488:OMX917559 ODA917488:ODB917559 NTE917488:NTF917559 NJI917488:NJJ917559 MZM917488:MZN917559 MPQ917488:MPR917559 MFU917488:MFV917559 LVY917488:LVZ917559 LMC917488:LMD917559 LCG917488:LCH917559 KSK917488:KSL917559 KIO917488:KIP917559 JYS917488:JYT917559 JOW917488:JOX917559 JFA917488:JFB917559 IVE917488:IVF917559 ILI917488:ILJ917559 IBM917488:IBN917559 HRQ917488:HRR917559 HHU917488:HHV917559 GXY917488:GXZ917559 GOC917488:GOD917559 GEG917488:GEH917559 FUK917488:FUL917559 FKO917488:FKP917559 FAS917488:FAT917559 EQW917488:EQX917559 EHA917488:EHB917559 DXE917488:DXF917559 DNI917488:DNJ917559 DDM917488:DDN917559 CTQ917488:CTR917559 CJU917488:CJV917559 BZY917488:BZZ917559 BQC917488:BQD917559 BGG917488:BGH917559 AWK917488:AWL917559 AMO917488:AMP917559 ACS917488:ACT917559 SW917488:SX917559 JA917488:JB917559 E917488:F917559 WVM851952:WVN852023 WLQ851952:WLR852023 WBU851952:WBV852023 VRY851952:VRZ852023 VIC851952:VID852023 UYG851952:UYH852023 UOK851952:UOL852023 UEO851952:UEP852023 TUS851952:TUT852023 TKW851952:TKX852023 TBA851952:TBB852023 SRE851952:SRF852023 SHI851952:SHJ852023 RXM851952:RXN852023 RNQ851952:RNR852023 RDU851952:RDV852023 QTY851952:QTZ852023 QKC851952:QKD852023 QAG851952:QAH852023 PQK851952:PQL852023 PGO851952:PGP852023 OWS851952:OWT852023 OMW851952:OMX852023 ODA851952:ODB852023 NTE851952:NTF852023 NJI851952:NJJ852023 MZM851952:MZN852023 MPQ851952:MPR852023 MFU851952:MFV852023 LVY851952:LVZ852023 LMC851952:LMD852023 LCG851952:LCH852023 KSK851952:KSL852023 KIO851952:KIP852023 JYS851952:JYT852023 JOW851952:JOX852023 JFA851952:JFB852023 IVE851952:IVF852023 ILI851952:ILJ852023 IBM851952:IBN852023 HRQ851952:HRR852023 HHU851952:HHV852023 GXY851952:GXZ852023 GOC851952:GOD852023 GEG851952:GEH852023 FUK851952:FUL852023 FKO851952:FKP852023 FAS851952:FAT852023 EQW851952:EQX852023 EHA851952:EHB852023 DXE851952:DXF852023 DNI851952:DNJ852023 DDM851952:DDN852023 CTQ851952:CTR852023 CJU851952:CJV852023 BZY851952:BZZ852023 BQC851952:BQD852023 BGG851952:BGH852023 AWK851952:AWL852023 AMO851952:AMP852023 ACS851952:ACT852023 SW851952:SX852023 JA851952:JB852023 E851952:F852023 WVM786416:WVN786487 WLQ786416:WLR786487 WBU786416:WBV786487 VRY786416:VRZ786487 VIC786416:VID786487 UYG786416:UYH786487 UOK786416:UOL786487 UEO786416:UEP786487 TUS786416:TUT786487 TKW786416:TKX786487 TBA786416:TBB786487 SRE786416:SRF786487 SHI786416:SHJ786487 RXM786416:RXN786487 RNQ786416:RNR786487 RDU786416:RDV786487 QTY786416:QTZ786487 QKC786416:QKD786487 QAG786416:QAH786487 PQK786416:PQL786487 PGO786416:PGP786487 OWS786416:OWT786487 OMW786416:OMX786487 ODA786416:ODB786487 NTE786416:NTF786487 NJI786416:NJJ786487 MZM786416:MZN786487 MPQ786416:MPR786487 MFU786416:MFV786487 LVY786416:LVZ786487 LMC786416:LMD786487 LCG786416:LCH786487 KSK786416:KSL786487 KIO786416:KIP786487 JYS786416:JYT786487 JOW786416:JOX786487 JFA786416:JFB786487 IVE786416:IVF786487 ILI786416:ILJ786487 IBM786416:IBN786487 HRQ786416:HRR786487 HHU786416:HHV786487 GXY786416:GXZ786487 GOC786416:GOD786487 GEG786416:GEH786487 FUK786416:FUL786487 FKO786416:FKP786487 FAS786416:FAT786487 EQW786416:EQX786487 EHA786416:EHB786487 DXE786416:DXF786487 DNI786416:DNJ786487 DDM786416:DDN786487 CTQ786416:CTR786487 CJU786416:CJV786487 BZY786416:BZZ786487 BQC786416:BQD786487 BGG786416:BGH786487 AWK786416:AWL786487 AMO786416:AMP786487 ACS786416:ACT786487 SW786416:SX786487 JA786416:JB786487 E786416:F786487 WVM720880:WVN720951 WLQ720880:WLR720951 WBU720880:WBV720951 VRY720880:VRZ720951 VIC720880:VID720951 UYG720880:UYH720951 UOK720880:UOL720951 UEO720880:UEP720951 TUS720880:TUT720951 TKW720880:TKX720951 TBA720880:TBB720951 SRE720880:SRF720951 SHI720880:SHJ720951 RXM720880:RXN720951 RNQ720880:RNR720951 RDU720880:RDV720951 QTY720880:QTZ720951 QKC720880:QKD720951 QAG720880:QAH720951 PQK720880:PQL720951 PGO720880:PGP720951 OWS720880:OWT720951 OMW720880:OMX720951 ODA720880:ODB720951 NTE720880:NTF720951 NJI720880:NJJ720951 MZM720880:MZN720951 MPQ720880:MPR720951 MFU720880:MFV720951 LVY720880:LVZ720951 LMC720880:LMD720951 LCG720880:LCH720951 KSK720880:KSL720951 KIO720880:KIP720951 JYS720880:JYT720951 JOW720880:JOX720951 JFA720880:JFB720951 IVE720880:IVF720951 ILI720880:ILJ720951 IBM720880:IBN720951 HRQ720880:HRR720951 HHU720880:HHV720951 GXY720880:GXZ720951 GOC720880:GOD720951 GEG720880:GEH720951 FUK720880:FUL720951 FKO720880:FKP720951 FAS720880:FAT720951 EQW720880:EQX720951 EHA720880:EHB720951 DXE720880:DXF720951 DNI720880:DNJ720951 DDM720880:DDN720951 CTQ720880:CTR720951 CJU720880:CJV720951 BZY720880:BZZ720951 BQC720880:BQD720951 BGG720880:BGH720951 AWK720880:AWL720951 AMO720880:AMP720951 ACS720880:ACT720951 SW720880:SX720951 JA720880:JB720951 E720880:F720951 WVM655344:WVN655415 WLQ655344:WLR655415 WBU655344:WBV655415 VRY655344:VRZ655415 VIC655344:VID655415 UYG655344:UYH655415 UOK655344:UOL655415 UEO655344:UEP655415 TUS655344:TUT655415 TKW655344:TKX655415 TBA655344:TBB655415 SRE655344:SRF655415 SHI655344:SHJ655415 RXM655344:RXN655415 RNQ655344:RNR655415 RDU655344:RDV655415 QTY655344:QTZ655415 QKC655344:QKD655415 QAG655344:QAH655415 PQK655344:PQL655415 PGO655344:PGP655415 OWS655344:OWT655415 OMW655344:OMX655415 ODA655344:ODB655415 NTE655344:NTF655415 NJI655344:NJJ655415 MZM655344:MZN655415 MPQ655344:MPR655415 MFU655344:MFV655415 LVY655344:LVZ655415 LMC655344:LMD655415 LCG655344:LCH655415 KSK655344:KSL655415 KIO655344:KIP655415 JYS655344:JYT655415 JOW655344:JOX655415 JFA655344:JFB655415 IVE655344:IVF655415 ILI655344:ILJ655415 IBM655344:IBN655415 HRQ655344:HRR655415 HHU655344:HHV655415 GXY655344:GXZ655415 GOC655344:GOD655415 GEG655344:GEH655415 FUK655344:FUL655415 FKO655344:FKP655415 FAS655344:FAT655415 EQW655344:EQX655415 EHA655344:EHB655415 DXE655344:DXF655415 DNI655344:DNJ655415 DDM655344:DDN655415 CTQ655344:CTR655415 CJU655344:CJV655415 BZY655344:BZZ655415 BQC655344:BQD655415 BGG655344:BGH655415 AWK655344:AWL655415 AMO655344:AMP655415 ACS655344:ACT655415 SW655344:SX655415 JA655344:JB655415 E655344:F655415 WVM589808:WVN589879 WLQ589808:WLR589879 WBU589808:WBV589879 VRY589808:VRZ589879 VIC589808:VID589879 UYG589808:UYH589879 UOK589808:UOL589879 UEO589808:UEP589879 TUS589808:TUT589879 TKW589808:TKX589879 TBA589808:TBB589879 SRE589808:SRF589879 SHI589808:SHJ589879 RXM589808:RXN589879 RNQ589808:RNR589879 RDU589808:RDV589879 QTY589808:QTZ589879 QKC589808:QKD589879 QAG589808:QAH589879 PQK589808:PQL589879 PGO589808:PGP589879 OWS589808:OWT589879 OMW589808:OMX589879 ODA589808:ODB589879 NTE589808:NTF589879 NJI589808:NJJ589879 MZM589808:MZN589879 MPQ589808:MPR589879 MFU589808:MFV589879 LVY589808:LVZ589879 LMC589808:LMD589879 LCG589808:LCH589879 KSK589808:KSL589879 KIO589808:KIP589879 JYS589808:JYT589879 JOW589808:JOX589879 JFA589808:JFB589879 IVE589808:IVF589879 ILI589808:ILJ589879 IBM589808:IBN589879 HRQ589808:HRR589879 HHU589808:HHV589879 GXY589808:GXZ589879 GOC589808:GOD589879 GEG589808:GEH589879 FUK589808:FUL589879 FKO589808:FKP589879 FAS589808:FAT589879 EQW589808:EQX589879 EHA589808:EHB589879 DXE589808:DXF589879 DNI589808:DNJ589879 DDM589808:DDN589879 CTQ589808:CTR589879 CJU589808:CJV589879 BZY589808:BZZ589879 BQC589808:BQD589879 BGG589808:BGH589879 AWK589808:AWL589879 AMO589808:AMP589879 ACS589808:ACT589879 SW589808:SX589879 JA589808:JB589879 E589808:F589879 WVM524272:WVN524343 WLQ524272:WLR524343 WBU524272:WBV524343 VRY524272:VRZ524343 VIC524272:VID524343 UYG524272:UYH524343 UOK524272:UOL524343 UEO524272:UEP524343 TUS524272:TUT524343 TKW524272:TKX524343 TBA524272:TBB524343 SRE524272:SRF524343 SHI524272:SHJ524343 RXM524272:RXN524343 RNQ524272:RNR524343 RDU524272:RDV524343 QTY524272:QTZ524343 QKC524272:QKD524343 QAG524272:QAH524343 PQK524272:PQL524343 PGO524272:PGP524343 OWS524272:OWT524343 OMW524272:OMX524343 ODA524272:ODB524343 NTE524272:NTF524343 NJI524272:NJJ524343 MZM524272:MZN524343 MPQ524272:MPR524343 MFU524272:MFV524343 LVY524272:LVZ524343 LMC524272:LMD524343 LCG524272:LCH524343 KSK524272:KSL524343 KIO524272:KIP524343 JYS524272:JYT524343 JOW524272:JOX524343 JFA524272:JFB524343 IVE524272:IVF524343 ILI524272:ILJ524343 IBM524272:IBN524343 HRQ524272:HRR524343 HHU524272:HHV524343 GXY524272:GXZ524343 GOC524272:GOD524343 GEG524272:GEH524343 FUK524272:FUL524343 FKO524272:FKP524343 FAS524272:FAT524343 EQW524272:EQX524343 EHA524272:EHB524343 DXE524272:DXF524343 DNI524272:DNJ524343 DDM524272:DDN524343 CTQ524272:CTR524343 CJU524272:CJV524343 BZY524272:BZZ524343 BQC524272:BQD524343 BGG524272:BGH524343 AWK524272:AWL524343 AMO524272:AMP524343 ACS524272:ACT524343 SW524272:SX524343 JA524272:JB524343 E524272:F524343 WVM458736:WVN458807 WLQ458736:WLR458807 WBU458736:WBV458807 VRY458736:VRZ458807 VIC458736:VID458807 UYG458736:UYH458807 UOK458736:UOL458807 UEO458736:UEP458807 TUS458736:TUT458807 TKW458736:TKX458807 TBA458736:TBB458807 SRE458736:SRF458807 SHI458736:SHJ458807 RXM458736:RXN458807 RNQ458736:RNR458807 RDU458736:RDV458807 QTY458736:QTZ458807 QKC458736:QKD458807 QAG458736:QAH458807 PQK458736:PQL458807 PGO458736:PGP458807 OWS458736:OWT458807 OMW458736:OMX458807 ODA458736:ODB458807 NTE458736:NTF458807 NJI458736:NJJ458807 MZM458736:MZN458807 MPQ458736:MPR458807 MFU458736:MFV458807 LVY458736:LVZ458807 LMC458736:LMD458807 LCG458736:LCH458807 KSK458736:KSL458807 KIO458736:KIP458807 JYS458736:JYT458807 JOW458736:JOX458807 JFA458736:JFB458807 IVE458736:IVF458807 ILI458736:ILJ458807 IBM458736:IBN458807 HRQ458736:HRR458807 HHU458736:HHV458807 GXY458736:GXZ458807 GOC458736:GOD458807 GEG458736:GEH458807 FUK458736:FUL458807 FKO458736:FKP458807 FAS458736:FAT458807 EQW458736:EQX458807 EHA458736:EHB458807 DXE458736:DXF458807 DNI458736:DNJ458807 DDM458736:DDN458807 CTQ458736:CTR458807 CJU458736:CJV458807 BZY458736:BZZ458807 BQC458736:BQD458807 BGG458736:BGH458807 AWK458736:AWL458807 AMO458736:AMP458807 ACS458736:ACT458807 SW458736:SX458807 JA458736:JB458807 E458736:F458807 WVM393200:WVN393271 WLQ393200:WLR393271 WBU393200:WBV393271 VRY393200:VRZ393271 VIC393200:VID393271 UYG393200:UYH393271 UOK393200:UOL393271 UEO393200:UEP393271 TUS393200:TUT393271 TKW393200:TKX393271 TBA393200:TBB393271 SRE393200:SRF393271 SHI393200:SHJ393271 RXM393200:RXN393271 RNQ393200:RNR393271 RDU393200:RDV393271 QTY393200:QTZ393271 QKC393200:QKD393271 QAG393200:QAH393271 PQK393200:PQL393271 PGO393200:PGP393271 OWS393200:OWT393271 OMW393200:OMX393271 ODA393200:ODB393271 NTE393200:NTF393271 NJI393200:NJJ393271 MZM393200:MZN393271 MPQ393200:MPR393271 MFU393200:MFV393271 LVY393200:LVZ393271 LMC393200:LMD393271 LCG393200:LCH393271 KSK393200:KSL393271 KIO393200:KIP393271 JYS393200:JYT393271 JOW393200:JOX393271 JFA393200:JFB393271 IVE393200:IVF393271 ILI393200:ILJ393271 IBM393200:IBN393271 HRQ393200:HRR393271 HHU393200:HHV393271 GXY393200:GXZ393271 GOC393200:GOD393271 GEG393200:GEH393271 FUK393200:FUL393271 FKO393200:FKP393271 FAS393200:FAT393271 EQW393200:EQX393271 EHA393200:EHB393271 DXE393200:DXF393271 DNI393200:DNJ393271 DDM393200:DDN393271 CTQ393200:CTR393271 CJU393200:CJV393271 BZY393200:BZZ393271 BQC393200:BQD393271 BGG393200:BGH393271 AWK393200:AWL393271 AMO393200:AMP393271 ACS393200:ACT393271 SW393200:SX393271 JA393200:JB393271 E393200:F393271 WVM327664:WVN327735 WLQ327664:WLR327735 WBU327664:WBV327735 VRY327664:VRZ327735 VIC327664:VID327735 UYG327664:UYH327735 UOK327664:UOL327735 UEO327664:UEP327735 TUS327664:TUT327735 TKW327664:TKX327735 TBA327664:TBB327735 SRE327664:SRF327735 SHI327664:SHJ327735 RXM327664:RXN327735 RNQ327664:RNR327735 RDU327664:RDV327735 QTY327664:QTZ327735 QKC327664:QKD327735 QAG327664:QAH327735 PQK327664:PQL327735 PGO327664:PGP327735 OWS327664:OWT327735 OMW327664:OMX327735 ODA327664:ODB327735 NTE327664:NTF327735 NJI327664:NJJ327735 MZM327664:MZN327735 MPQ327664:MPR327735 MFU327664:MFV327735 LVY327664:LVZ327735 LMC327664:LMD327735 LCG327664:LCH327735 KSK327664:KSL327735 KIO327664:KIP327735 JYS327664:JYT327735 JOW327664:JOX327735 JFA327664:JFB327735 IVE327664:IVF327735 ILI327664:ILJ327735 IBM327664:IBN327735 HRQ327664:HRR327735 HHU327664:HHV327735 GXY327664:GXZ327735 GOC327664:GOD327735 GEG327664:GEH327735 FUK327664:FUL327735 FKO327664:FKP327735 FAS327664:FAT327735 EQW327664:EQX327735 EHA327664:EHB327735 DXE327664:DXF327735 DNI327664:DNJ327735 DDM327664:DDN327735 CTQ327664:CTR327735 CJU327664:CJV327735 BZY327664:BZZ327735 BQC327664:BQD327735 BGG327664:BGH327735 AWK327664:AWL327735 AMO327664:AMP327735 ACS327664:ACT327735 SW327664:SX327735 JA327664:JB327735 E327664:F327735 WVM262128:WVN262199 WLQ262128:WLR262199 WBU262128:WBV262199 VRY262128:VRZ262199 VIC262128:VID262199 UYG262128:UYH262199 UOK262128:UOL262199 UEO262128:UEP262199 TUS262128:TUT262199 TKW262128:TKX262199 TBA262128:TBB262199 SRE262128:SRF262199 SHI262128:SHJ262199 RXM262128:RXN262199 RNQ262128:RNR262199 RDU262128:RDV262199 QTY262128:QTZ262199 QKC262128:QKD262199 QAG262128:QAH262199 PQK262128:PQL262199 PGO262128:PGP262199 OWS262128:OWT262199 OMW262128:OMX262199 ODA262128:ODB262199 NTE262128:NTF262199 NJI262128:NJJ262199 MZM262128:MZN262199 MPQ262128:MPR262199 MFU262128:MFV262199 LVY262128:LVZ262199 LMC262128:LMD262199 LCG262128:LCH262199 KSK262128:KSL262199 KIO262128:KIP262199 JYS262128:JYT262199 JOW262128:JOX262199 JFA262128:JFB262199 IVE262128:IVF262199 ILI262128:ILJ262199 IBM262128:IBN262199 HRQ262128:HRR262199 HHU262128:HHV262199 GXY262128:GXZ262199 GOC262128:GOD262199 GEG262128:GEH262199 FUK262128:FUL262199 FKO262128:FKP262199 FAS262128:FAT262199 EQW262128:EQX262199 EHA262128:EHB262199 DXE262128:DXF262199 DNI262128:DNJ262199 DDM262128:DDN262199 CTQ262128:CTR262199 CJU262128:CJV262199 BZY262128:BZZ262199 BQC262128:BQD262199 BGG262128:BGH262199 AWK262128:AWL262199 AMO262128:AMP262199 ACS262128:ACT262199 SW262128:SX262199 JA262128:JB262199 E262128:F262199 WVM196592:WVN196663 WLQ196592:WLR196663 WBU196592:WBV196663 VRY196592:VRZ196663 VIC196592:VID196663 UYG196592:UYH196663 UOK196592:UOL196663 UEO196592:UEP196663 TUS196592:TUT196663 TKW196592:TKX196663 TBA196592:TBB196663 SRE196592:SRF196663 SHI196592:SHJ196663 RXM196592:RXN196663 RNQ196592:RNR196663 RDU196592:RDV196663 QTY196592:QTZ196663 QKC196592:QKD196663 QAG196592:QAH196663 PQK196592:PQL196663 PGO196592:PGP196663 OWS196592:OWT196663 OMW196592:OMX196663 ODA196592:ODB196663 NTE196592:NTF196663 NJI196592:NJJ196663 MZM196592:MZN196663 MPQ196592:MPR196663 MFU196592:MFV196663 LVY196592:LVZ196663 LMC196592:LMD196663 LCG196592:LCH196663 KSK196592:KSL196663 KIO196592:KIP196663 JYS196592:JYT196663 JOW196592:JOX196663 JFA196592:JFB196663 IVE196592:IVF196663 ILI196592:ILJ196663 IBM196592:IBN196663 HRQ196592:HRR196663 HHU196592:HHV196663 GXY196592:GXZ196663 GOC196592:GOD196663 GEG196592:GEH196663 FUK196592:FUL196663 FKO196592:FKP196663 FAS196592:FAT196663 EQW196592:EQX196663 EHA196592:EHB196663 DXE196592:DXF196663 DNI196592:DNJ196663 DDM196592:DDN196663 CTQ196592:CTR196663 CJU196592:CJV196663 BZY196592:BZZ196663 BQC196592:BQD196663 BGG196592:BGH196663 AWK196592:AWL196663 AMO196592:AMP196663 ACS196592:ACT196663 SW196592:SX196663 JA196592:JB196663 E196592:F196663 WVM131056:WVN131127 WLQ131056:WLR131127 WBU131056:WBV131127 VRY131056:VRZ131127 VIC131056:VID131127 UYG131056:UYH131127 UOK131056:UOL131127 UEO131056:UEP131127 TUS131056:TUT131127 TKW131056:TKX131127 TBA131056:TBB131127 SRE131056:SRF131127 SHI131056:SHJ131127 RXM131056:RXN131127 RNQ131056:RNR131127 RDU131056:RDV131127 QTY131056:QTZ131127 QKC131056:QKD131127 QAG131056:QAH131127 PQK131056:PQL131127 PGO131056:PGP131127 OWS131056:OWT131127 OMW131056:OMX131127 ODA131056:ODB131127 NTE131056:NTF131127 NJI131056:NJJ131127 MZM131056:MZN131127 MPQ131056:MPR131127 MFU131056:MFV131127 LVY131056:LVZ131127 LMC131056:LMD131127 LCG131056:LCH131127 KSK131056:KSL131127 KIO131056:KIP131127 JYS131056:JYT131127 JOW131056:JOX131127 JFA131056:JFB131127 IVE131056:IVF131127 ILI131056:ILJ131127 IBM131056:IBN131127 HRQ131056:HRR131127 HHU131056:HHV131127 GXY131056:GXZ131127 GOC131056:GOD131127 GEG131056:GEH131127 FUK131056:FUL131127 FKO131056:FKP131127 FAS131056:FAT131127 EQW131056:EQX131127 EHA131056:EHB131127 DXE131056:DXF131127 DNI131056:DNJ131127 DDM131056:DDN131127 CTQ131056:CTR131127 CJU131056:CJV131127 BZY131056:BZZ131127 BQC131056:BQD131127 BGG131056:BGH131127 AWK131056:AWL131127 AMO131056:AMP131127 ACS131056:ACT131127 SW131056:SX131127 JA131056:JB131127 E131056:F131127 WVM65520:WVN65591 WLQ65520:WLR65591 WBU65520:WBV65591 VRY65520:VRZ65591 VIC65520:VID65591 UYG65520:UYH65591 UOK65520:UOL65591 UEO65520:UEP65591 TUS65520:TUT65591 TKW65520:TKX65591 TBA65520:TBB65591 SRE65520:SRF65591 SHI65520:SHJ65591 RXM65520:RXN65591 RNQ65520:RNR65591 RDU65520:RDV65591 QTY65520:QTZ65591 QKC65520:QKD65591 QAG65520:QAH65591 PQK65520:PQL65591 PGO65520:PGP65591 OWS65520:OWT65591 OMW65520:OMX65591 ODA65520:ODB65591 NTE65520:NTF65591 NJI65520:NJJ65591 MZM65520:MZN65591 MPQ65520:MPR65591 MFU65520:MFV65591 LVY65520:LVZ65591 LMC65520:LMD65591 LCG65520:LCH65591 KSK65520:KSL65591 KIO65520:KIP65591 JYS65520:JYT65591 JOW65520:JOX65591 JFA65520:JFB65591 IVE65520:IVF65591 ILI65520:ILJ65591 IBM65520:IBN65591 HRQ65520:HRR65591 HHU65520:HHV65591 GXY65520:GXZ65591 GOC65520:GOD65591 GEG65520:GEH65591 FUK65520:FUL65591 FKO65520:FKP65591 FAS65520:FAT65591 EQW65520:EQX65591 EHA65520:EHB65591 DXE65520:DXF65591 DNI65520:DNJ65591 DDM65520:DDN65591 CTQ65520:CTR65591 CJU65520:CJV65591 BZY65520:BZZ65591 BQC65520:BQD65591 BGG65520:BGH65591 AWK65520:AWL65591 AMO65520:AMP65591 ACS65520:ACT65591 SW65520:SX65591 JA65520:JB65591 E65520:F65591 JA64345:JB64410 WVM1047385:WVN1047450 WLQ1047385:WLR1047450 WBU1047385:WBV1047450 VRY1047385:VRZ1047450 VIC1047385:VID1047450 UYG1047385:UYH1047450 UOK1047385:UOL1047450 UEO1047385:UEP1047450 TUS1047385:TUT1047450 TKW1047385:TKX1047450 TBA1047385:TBB1047450 SRE1047385:SRF1047450 SHI1047385:SHJ1047450 RXM1047385:RXN1047450 RNQ1047385:RNR1047450 RDU1047385:RDV1047450 QTY1047385:QTZ1047450 QKC1047385:QKD1047450 QAG1047385:QAH1047450 PQK1047385:PQL1047450 PGO1047385:PGP1047450 OWS1047385:OWT1047450 OMW1047385:OMX1047450 ODA1047385:ODB1047450 NTE1047385:NTF1047450 NJI1047385:NJJ1047450 MZM1047385:MZN1047450 MPQ1047385:MPR1047450 MFU1047385:MFV1047450 LVY1047385:LVZ1047450 LMC1047385:LMD1047450 LCG1047385:LCH1047450 KSK1047385:KSL1047450 KIO1047385:KIP1047450 JYS1047385:JYT1047450 JOW1047385:JOX1047450 JFA1047385:JFB1047450 IVE1047385:IVF1047450 ILI1047385:ILJ1047450 IBM1047385:IBN1047450 HRQ1047385:HRR1047450 HHU1047385:HHV1047450 GXY1047385:GXZ1047450 GOC1047385:GOD1047450 GEG1047385:GEH1047450 FUK1047385:FUL1047450 FKO1047385:FKP1047450 FAS1047385:FAT1047450 EQW1047385:EQX1047450 EHA1047385:EHB1047450 DXE1047385:DXF1047450 DNI1047385:DNJ1047450 DDM1047385:DDN1047450 CTQ1047385:CTR1047450 CJU1047385:CJV1047450 BZY1047385:BZZ1047450 BQC1047385:BQD1047450 BGG1047385:BGH1047450 AWK1047385:AWL1047450 AMO1047385:AMP1047450 ACS1047385:ACT1047450 SW1047385:SX1047450 JA1047385:JB1047450 E1047385:F1047450 WVM981849:WVN981914 WLQ981849:WLR981914 WBU981849:WBV981914 VRY981849:VRZ981914 VIC981849:VID981914 UYG981849:UYH981914 UOK981849:UOL981914 UEO981849:UEP981914 TUS981849:TUT981914 TKW981849:TKX981914 TBA981849:TBB981914 SRE981849:SRF981914 SHI981849:SHJ981914 RXM981849:RXN981914 RNQ981849:RNR981914 RDU981849:RDV981914 QTY981849:QTZ981914 QKC981849:QKD981914 QAG981849:QAH981914 PQK981849:PQL981914 PGO981849:PGP981914 OWS981849:OWT981914 OMW981849:OMX981914 ODA981849:ODB981914 NTE981849:NTF981914 NJI981849:NJJ981914 MZM981849:MZN981914 MPQ981849:MPR981914 MFU981849:MFV981914 LVY981849:LVZ981914 LMC981849:LMD981914 LCG981849:LCH981914 KSK981849:KSL981914 KIO981849:KIP981914 JYS981849:JYT981914 JOW981849:JOX981914 JFA981849:JFB981914 IVE981849:IVF981914 ILI981849:ILJ981914 IBM981849:IBN981914 HRQ981849:HRR981914 HHU981849:HHV981914 GXY981849:GXZ981914 GOC981849:GOD981914 GEG981849:GEH981914 FUK981849:FUL981914 FKO981849:FKP981914 FAS981849:FAT981914 EQW981849:EQX981914 EHA981849:EHB981914 DXE981849:DXF981914 DNI981849:DNJ981914 DDM981849:DDN981914 CTQ981849:CTR981914 CJU981849:CJV981914 BZY981849:BZZ981914 BQC981849:BQD981914 BGG981849:BGH981914 AWK981849:AWL981914 AMO981849:AMP981914 ACS981849:ACT981914 SW981849:SX981914 JA981849:JB981914 E981849:F981914 WVM916313:WVN916378 WLQ916313:WLR916378 WBU916313:WBV916378 VRY916313:VRZ916378 VIC916313:VID916378 UYG916313:UYH916378 UOK916313:UOL916378 UEO916313:UEP916378 TUS916313:TUT916378 TKW916313:TKX916378 TBA916313:TBB916378 SRE916313:SRF916378 SHI916313:SHJ916378 RXM916313:RXN916378 RNQ916313:RNR916378 RDU916313:RDV916378 QTY916313:QTZ916378 QKC916313:QKD916378 QAG916313:QAH916378 PQK916313:PQL916378 PGO916313:PGP916378 OWS916313:OWT916378 OMW916313:OMX916378 ODA916313:ODB916378 NTE916313:NTF916378 NJI916313:NJJ916378 MZM916313:MZN916378 MPQ916313:MPR916378 MFU916313:MFV916378 LVY916313:LVZ916378 LMC916313:LMD916378 LCG916313:LCH916378 KSK916313:KSL916378 KIO916313:KIP916378 JYS916313:JYT916378 JOW916313:JOX916378 JFA916313:JFB916378 IVE916313:IVF916378 ILI916313:ILJ916378 IBM916313:IBN916378 HRQ916313:HRR916378 HHU916313:HHV916378 GXY916313:GXZ916378 GOC916313:GOD916378 GEG916313:GEH916378 FUK916313:FUL916378 FKO916313:FKP916378 FAS916313:FAT916378 EQW916313:EQX916378 EHA916313:EHB916378 DXE916313:DXF916378 DNI916313:DNJ916378 DDM916313:DDN916378 CTQ916313:CTR916378 CJU916313:CJV916378 BZY916313:BZZ916378 BQC916313:BQD916378 BGG916313:BGH916378 AWK916313:AWL916378 AMO916313:AMP916378 ACS916313:ACT916378 SW916313:SX916378 JA916313:JB916378 E916313:F916378 WVM850777:WVN850842 WLQ850777:WLR850842 WBU850777:WBV850842 VRY850777:VRZ850842 VIC850777:VID850842 UYG850777:UYH850842 UOK850777:UOL850842 UEO850777:UEP850842 TUS850777:TUT850842 TKW850777:TKX850842 TBA850777:TBB850842 SRE850777:SRF850842 SHI850777:SHJ850842 RXM850777:RXN850842 RNQ850777:RNR850842 RDU850777:RDV850842 QTY850777:QTZ850842 QKC850777:QKD850842 QAG850777:QAH850842 PQK850777:PQL850842 PGO850777:PGP850842 OWS850777:OWT850842 OMW850777:OMX850842 ODA850777:ODB850842 NTE850777:NTF850842 NJI850777:NJJ850842 MZM850777:MZN850842 MPQ850777:MPR850842 MFU850777:MFV850842 LVY850777:LVZ850842 LMC850777:LMD850842 LCG850777:LCH850842 KSK850777:KSL850842 KIO850777:KIP850842 JYS850777:JYT850842 JOW850777:JOX850842 JFA850777:JFB850842 IVE850777:IVF850842 ILI850777:ILJ850842 IBM850777:IBN850842 HRQ850777:HRR850842 HHU850777:HHV850842 GXY850777:GXZ850842 GOC850777:GOD850842 GEG850777:GEH850842 FUK850777:FUL850842 FKO850777:FKP850842 FAS850777:FAT850842 EQW850777:EQX850842 EHA850777:EHB850842 DXE850777:DXF850842 DNI850777:DNJ850842 DDM850777:DDN850842 CTQ850777:CTR850842 CJU850777:CJV850842 BZY850777:BZZ850842 BQC850777:BQD850842 BGG850777:BGH850842 AWK850777:AWL850842 AMO850777:AMP850842 ACS850777:ACT850842 SW850777:SX850842 JA850777:JB850842 E850777:F850842 WVM785241:WVN785306 WLQ785241:WLR785306 WBU785241:WBV785306 VRY785241:VRZ785306 VIC785241:VID785306 UYG785241:UYH785306 UOK785241:UOL785306 UEO785241:UEP785306 TUS785241:TUT785306 TKW785241:TKX785306 TBA785241:TBB785306 SRE785241:SRF785306 SHI785241:SHJ785306 RXM785241:RXN785306 RNQ785241:RNR785306 RDU785241:RDV785306 QTY785241:QTZ785306 QKC785241:QKD785306 QAG785241:QAH785306 PQK785241:PQL785306 PGO785241:PGP785306 OWS785241:OWT785306 OMW785241:OMX785306 ODA785241:ODB785306 NTE785241:NTF785306 NJI785241:NJJ785306 MZM785241:MZN785306 MPQ785241:MPR785306 MFU785241:MFV785306 LVY785241:LVZ785306 LMC785241:LMD785306 LCG785241:LCH785306 KSK785241:KSL785306 KIO785241:KIP785306 JYS785241:JYT785306 JOW785241:JOX785306 JFA785241:JFB785306 IVE785241:IVF785306 ILI785241:ILJ785306 IBM785241:IBN785306 HRQ785241:HRR785306 HHU785241:HHV785306 GXY785241:GXZ785306 GOC785241:GOD785306 GEG785241:GEH785306 FUK785241:FUL785306 FKO785241:FKP785306 FAS785241:FAT785306 EQW785241:EQX785306 EHA785241:EHB785306 DXE785241:DXF785306 DNI785241:DNJ785306 DDM785241:DDN785306 CTQ785241:CTR785306 CJU785241:CJV785306 BZY785241:BZZ785306 BQC785241:BQD785306 BGG785241:BGH785306 AWK785241:AWL785306 AMO785241:AMP785306 ACS785241:ACT785306 SW785241:SX785306 JA785241:JB785306 E785241:F785306 WVM719705:WVN719770 WLQ719705:WLR719770 WBU719705:WBV719770 VRY719705:VRZ719770 VIC719705:VID719770 UYG719705:UYH719770 UOK719705:UOL719770 UEO719705:UEP719770 TUS719705:TUT719770 TKW719705:TKX719770 TBA719705:TBB719770 SRE719705:SRF719770 SHI719705:SHJ719770 RXM719705:RXN719770 RNQ719705:RNR719770 RDU719705:RDV719770 QTY719705:QTZ719770 QKC719705:QKD719770 QAG719705:QAH719770 PQK719705:PQL719770 PGO719705:PGP719770 OWS719705:OWT719770 OMW719705:OMX719770 ODA719705:ODB719770 NTE719705:NTF719770 NJI719705:NJJ719770 MZM719705:MZN719770 MPQ719705:MPR719770 MFU719705:MFV719770 LVY719705:LVZ719770 LMC719705:LMD719770 LCG719705:LCH719770 KSK719705:KSL719770 KIO719705:KIP719770 JYS719705:JYT719770 JOW719705:JOX719770 JFA719705:JFB719770 IVE719705:IVF719770 ILI719705:ILJ719770 IBM719705:IBN719770 HRQ719705:HRR719770 HHU719705:HHV719770 GXY719705:GXZ719770 GOC719705:GOD719770 GEG719705:GEH719770 FUK719705:FUL719770 FKO719705:FKP719770 FAS719705:FAT719770 EQW719705:EQX719770 EHA719705:EHB719770 DXE719705:DXF719770 DNI719705:DNJ719770 DDM719705:DDN719770 CTQ719705:CTR719770 CJU719705:CJV719770 BZY719705:BZZ719770 BQC719705:BQD719770 BGG719705:BGH719770 AWK719705:AWL719770 AMO719705:AMP719770 ACS719705:ACT719770 SW719705:SX719770 JA719705:JB719770 E719705:F719770 WVM654169:WVN654234 WLQ654169:WLR654234 WBU654169:WBV654234 VRY654169:VRZ654234 VIC654169:VID654234 UYG654169:UYH654234 UOK654169:UOL654234 UEO654169:UEP654234 TUS654169:TUT654234 TKW654169:TKX654234 TBA654169:TBB654234 SRE654169:SRF654234 SHI654169:SHJ654234 RXM654169:RXN654234 RNQ654169:RNR654234 RDU654169:RDV654234 QTY654169:QTZ654234 QKC654169:QKD654234 QAG654169:QAH654234 PQK654169:PQL654234 PGO654169:PGP654234 OWS654169:OWT654234 OMW654169:OMX654234 ODA654169:ODB654234 NTE654169:NTF654234 NJI654169:NJJ654234 MZM654169:MZN654234 MPQ654169:MPR654234 MFU654169:MFV654234 LVY654169:LVZ654234 LMC654169:LMD654234 LCG654169:LCH654234 KSK654169:KSL654234 KIO654169:KIP654234 JYS654169:JYT654234 JOW654169:JOX654234 JFA654169:JFB654234 IVE654169:IVF654234 ILI654169:ILJ654234 IBM654169:IBN654234 HRQ654169:HRR654234 HHU654169:HHV654234 GXY654169:GXZ654234 GOC654169:GOD654234 GEG654169:GEH654234 FUK654169:FUL654234 FKO654169:FKP654234 FAS654169:FAT654234 EQW654169:EQX654234 EHA654169:EHB654234 DXE654169:DXF654234 DNI654169:DNJ654234 DDM654169:DDN654234 CTQ654169:CTR654234 CJU654169:CJV654234 BZY654169:BZZ654234 BQC654169:BQD654234 BGG654169:BGH654234 AWK654169:AWL654234 AMO654169:AMP654234 ACS654169:ACT654234 SW654169:SX654234 JA654169:JB654234 E654169:F654234 WVM588633:WVN588698 WLQ588633:WLR588698 WBU588633:WBV588698 VRY588633:VRZ588698 VIC588633:VID588698 UYG588633:UYH588698 UOK588633:UOL588698 UEO588633:UEP588698 TUS588633:TUT588698 TKW588633:TKX588698 TBA588633:TBB588698 SRE588633:SRF588698 SHI588633:SHJ588698 RXM588633:RXN588698 RNQ588633:RNR588698 RDU588633:RDV588698 QTY588633:QTZ588698 QKC588633:QKD588698 QAG588633:QAH588698 PQK588633:PQL588698 PGO588633:PGP588698 OWS588633:OWT588698 OMW588633:OMX588698 ODA588633:ODB588698 NTE588633:NTF588698 NJI588633:NJJ588698 MZM588633:MZN588698 MPQ588633:MPR588698 MFU588633:MFV588698 LVY588633:LVZ588698 LMC588633:LMD588698 LCG588633:LCH588698 KSK588633:KSL588698 KIO588633:KIP588698 JYS588633:JYT588698 JOW588633:JOX588698 JFA588633:JFB588698 IVE588633:IVF588698 ILI588633:ILJ588698 IBM588633:IBN588698 HRQ588633:HRR588698 HHU588633:HHV588698 GXY588633:GXZ588698 GOC588633:GOD588698 GEG588633:GEH588698 FUK588633:FUL588698 FKO588633:FKP588698 FAS588633:FAT588698 EQW588633:EQX588698 EHA588633:EHB588698 DXE588633:DXF588698 DNI588633:DNJ588698 DDM588633:DDN588698 CTQ588633:CTR588698 CJU588633:CJV588698 BZY588633:BZZ588698 BQC588633:BQD588698 BGG588633:BGH588698 AWK588633:AWL588698 AMO588633:AMP588698 ACS588633:ACT588698 SW588633:SX588698 JA588633:JB588698 E588633:F588698 WVM523097:WVN523162 WLQ523097:WLR523162 WBU523097:WBV523162 VRY523097:VRZ523162 VIC523097:VID523162 UYG523097:UYH523162 UOK523097:UOL523162 UEO523097:UEP523162 TUS523097:TUT523162 TKW523097:TKX523162 TBA523097:TBB523162 SRE523097:SRF523162 SHI523097:SHJ523162 RXM523097:RXN523162 RNQ523097:RNR523162 RDU523097:RDV523162 QTY523097:QTZ523162 QKC523097:QKD523162 QAG523097:QAH523162 PQK523097:PQL523162 PGO523097:PGP523162 OWS523097:OWT523162 OMW523097:OMX523162 ODA523097:ODB523162 NTE523097:NTF523162 NJI523097:NJJ523162 MZM523097:MZN523162 MPQ523097:MPR523162 MFU523097:MFV523162 LVY523097:LVZ523162 LMC523097:LMD523162 LCG523097:LCH523162 KSK523097:KSL523162 KIO523097:KIP523162 JYS523097:JYT523162 JOW523097:JOX523162 JFA523097:JFB523162 IVE523097:IVF523162 ILI523097:ILJ523162 IBM523097:IBN523162 HRQ523097:HRR523162 HHU523097:HHV523162 GXY523097:GXZ523162 GOC523097:GOD523162 GEG523097:GEH523162 FUK523097:FUL523162 FKO523097:FKP523162 FAS523097:FAT523162 EQW523097:EQX523162 EHA523097:EHB523162 DXE523097:DXF523162 DNI523097:DNJ523162 DDM523097:DDN523162 CTQ523097:CTR523162 CJU523097:CJV523162 BZY523097:BZZ523162 BQC523097:BQD523162 BGG523097:BGH523162 AWK523097:AWL523162 AMO523097:AMP523162 ACS523097:ACT523162 SW523097:SX523162 JA523097:JB523162 E523097:F523162 WVM457561:WVN457626 WLQ457561:WLR457626 WBU457561:WBV457626 VRY457561:VRZ457626 VIC457561:VID457626 UYG457561:UYH457626 UOK457561:UOL457626 UEO457561:UEP457626 TUS457561:TUT457626 TKW457561:TKX457626 TBA457561:TBB457626 SRE457561:SRF457626 SHI457561:SHJ457626 RXM457561:RXN457626 RNQ457561:RNR457626 RDU457561:RDV457626 QTY457561:QTZ457626 QKC457561:QKD457626 QAG457561:QAH457626 PQK457561:PQL457626 PGO457561:PGP457626 OWS457561:OWT457626 OMW457561:OMX457626 ODA457561:ODB457626 NTE457561:NTF457626 NJI457561:NJJ457626 MZM457561:MZN457626 MPQ457561:MPR457626 MFU457561:MFV457626 LVY457561:LVZ457626 LMC457561:LMD457626 LCG457561:LCH457626 KSK457561:KSL457626 KIO457561:KIP457626 JYS457561:JYT457626 JOW457561:JOX457626 JFA457561:JFB457626 IVE457561:IVF457626 ILI457561:ILJ457626 IBM457561:IBN457626 HRQ457561:HRR457626 HHU457561:HHV457626 GXY457561:GXZ457626 GOC457561:GOD457626 GEG457561:GEH457626 FUK457561:FUL457626 FKO457561:FKP457626 FAS457561:FAT457626 EQW457561:EQX457626 EHA457561:EHB457626 DXE457561:DXF457626 DNI457561:DNJ457626 DDM457561:DDN457626 CTQ457561:CTR457626 CJU457561:CJV457626 BZY457561:BZZ457626 BQC457561:BQD457626 BGG457561:BGH457626 AWK457561:AWL457626 AMO457561:AMP457626 ACS457561:ACT457626 SW457561:SX457626 JA457561:JB457626 E457561:F457626 WVM392025:WVN392090 WLQ392025:WLR392090 WBU392025:WBV392090 VRY392025:VRZ392090 VIC392025:VID392090 UYG392025:UYH392090 UOK392025:UOL392090 UEO392025:UEP392090 TUS392025:TUT392090 TKW392025:TKX392090 TBA392025:TBB392090 SRE392025:SRF392090 SHI392025:SHJ392090 RXM392025:RXN392090 RNQ392025:RNR392090 RDU392025:RDV392090 QTY392025:QTZ392090 QKC392025:QKD392090 QAG392025:QAH392090 PQK392025:PQL392090 PGO392025:PGP392090 OWS392025:OWT392090 OMW392025:OMX392090 ODA392025:ODB392090 NTE392025:NTF392090 NJI392025:NJJ392090 MZM392025:MZN392090 MPQ392025:MPR392090 MFU392025:MFV392090 LVY392025:LVZ392090 LMC392025:LMD392090 LCG392025:LCH392090 KSK392025:KSL392090 KIO392025:KIP392090 JYS392025:JYT392090 JOW392025:JOX392090 JFA392025:JFB392090 IVE392025:IVF392090 ILI392025:ILJ392090 IBM392025:IBN392090 HRQ392025:HRR392090 HHU392025:HHV392090 GXY392025:GXZ392090 GOC392025:GOD392090 GEG392025:GEH392090 FUK392025:FUL392090 FKO392025:FKP392090 FAS392025:FAT392090 EQW392025:EQX392090 EHA392025:EHB392090 DXE392025:DXF392090 DNI392025:DNJ392090 DDM392025:DDN392090 CTQ392025:CTR392090 CJU392025:CJV392090 BZY392025:BZZ392090 BQC392025:BQD392090 BGG392025:BGH392090 AWK392025:AWL392090 AMO392025:AMP392090 ACS392025:ACT392090 SW392025:SX392090 JA392025:JB392090 E392025:F392090 WVM326489:WVN326554 WLQ326489:WLR326554 WBU326489:WBV326554 VRY326489:VRZ326554 VIC326489:VID326554 UYG326489:UYH326554 UOK326489:UOL326554 UEO326489:UEP326554 TUS326489:TUT326554 TKW326489:TKX326554 TBA326489:TBB326554 SRE326489:SRF326554 SHI326489:SHJ326554 RXM326489:RXN326554 RNQ326489:RNR326554 RDU326489:RDV326554 QTY326489:QTZ326554 QKC326489:QKD326554 QAG326489:QAH326554 PQK326489:PQL326554 PGO326489:PGP326554 OWS326489:OWT326554 OMW326489:OMX326554 ODA326489:ODB326554 NTE326489:NTF326554 NJI326489:NJJ326554 MZM326489:MZN326554 MPQ326489:MPR326554 MFU326489:MFV326554 LVY326489:LVZ326554 LMC326489:LMD326554 LCG326489:LCH326554 KSK326489:KSL326554 KIO326489:KIP326554 JYS326489:JYT326554 JOW326489:JOX326554 JFA326489:JFB326554 IVE326489:IVF326554 ILI326489:ILJ326554 IBM326489:IBN326554 HRQ326489:HRR326554 HHU326489:HHV326554 GXY326489:GXZ326554 GOC326489:GOD326554 GEG326489:GEH326554 FUK326489:FUL326554 FKO326489:FKP326554 FAS326489:FAT326554 EQW326489:EQX326554 EHA326489:EHB326554 DXE326489:DXF326554 DNI326489:DNJ326554 DDM326489:DDN326554 CTQ326489:CTR326554 CJU326489:CJV326554 BZY326489:BZZ326554 BQC326489:BQD326554 BGG326489:BGH326554 AWK326489:AWL326554 AMO326489:AMP326554 ACS326489:ACT326554 SW326489:SX326554 JA326489:JB326554 E326489:F326554 WVM260953:WVN261018 WLQ260953:WLR261018 WBU260953:WBV261018 VRY260953:VRZ261018 VIC260953:VID261018 UYG260953:UYH261018 UOK260953:UOL261018 UEO260953:UEP261018 TUS260953:TUT261018 TKW260953:TKX261018 TBA260953:TBB261018 SRE260953:SRF261018 SHI260953:SHJ261018 RXM260953:RXN261018 RNQ260953:RNR261018 RDU260953:RDV261018 QTY260953:QTZ261018 QKC260953:QKD261018 QAG260953:QAH261018 PQK260953:PQL261018 PGO260953:PGP261018 OWS260953:OWT261018 OMW260953:OMX261018 ODA260953:ODB261018 NTE260953:NTF261018 NJI260953:NJJ261018 MZM260953:MZN261018 MPQ260953:MPR261018 MFU260953:MFV261018 LVY260953:LVZ261018 LMC260953:LMD261018 LCG260953:LCH261018 KSK260953:KSL261018 KIO260953:KIP261018 JYS260953:JYT261018 JOW260953:JOX261018 JFA260953:JFB261018 IVE260953:IVF261018 ILI260953:ILJ261018 IBM260953:IBN261018 HRQ260953:HRR261018 HHU260953:HHV261018 GXY260953:GXZ261018 GOC260953:GOD261018 GEG260953:GEH261018 FUK260953:FUL261018 FKO260953:FKP261018 FAS260953:FAT261018 EQW260953:EQX261018 EHA260953:EHB261018 DXE260953:DXF261018 DNI260953:DNJ261018 DDM260953:DDN261018 CTQ260953:CTR261018 CJU260953:CJV261018 BZY260953:BZZ261018 BQC260953:BQD261018 BGG260953:BGH261018 AWK260953:AWL261018 AMO260953:AMP261018 ACS260953:ACT261018 SW260953:SX261018 JA260953:JB261018 E260953:F261018 WVM195417:WVN195482 WLQ195417:WLR195482 WBU195417:WBV195482 VRY195417:VRZ195482 VIC195417:VID195482 UYG195417:UYH195482 UOK195417:UOL195482 UEO195417:UEP195482 TUS195417:TUT195482 TKW195417:TKX195482 TBA195417:TBB195482 SRE195417:SRF195482 SHI195417:SHJ195482 RXM195417:RXN195482 RNQ195417:RNR195482 RDU195417:RDV195482 QTY195417:QTZ195482 QKC195417:QKD195482 QAG195417:QAH195482 PQK195417:PQL195482 PGO195417:PGP195482 OWS195417:OWT195482 OMW195417:OMX195482 ODA195417:ODB195482 NTE195417:NTF195482 NJI195417:NJJ195482 MZM195417:MZN195482 MPQ195417:MPR195482 MFU195417:MFV195482 LVY195417:LVZ195482 LMC195417:LMD195482 LCG195417:LCH195482 KSK195417:KSL195482 KIO195417:KIP195482 JYS195417:JYT195482 JOW195417:JOX195482 JFA195417:JFB195482 IVE195417:IVF195482 ILI195417:ILJ195482 IBM195417:IBN195482 HRQ195417:HRR195482 HHU195417:HHV195482 GXY195417:GXZ195482 GOC195417:GOD195482 GEG195417:GEH195482 FUK195417:FUL195482 FKO195417:FKP195482 FAS195417:FAT195482 EQW195417:EQX195482 EHA195417:EHB195482 DXE195417:DXF195482 DNI195417:DNJ195482 DDM195417:DDN195482 CTQ195417:CTR195482 CJU195417:CJV195482 BZY195417:BZZ195482 BQC195417:BQD195482 BGG195417:BGH195482 AWK195417:AWL195482 AMO195417:AMP195482 ACS195417:ACT195482 SW195417:SX195482 JA195417:JB195482 E195417:F195482 WVM129881:WVN129946 WLQ129881:WLR129946 WBU129881:WBV129946 VRY129881:VRZ129946 VIC129881:VID129946 UYG129881:UYH129946 UOK129881:UOL129946 UEO129881:UEP129946 TUS129881:TUT129946 TKW129881:TKX129946 TBA129881:TBB129946 SRE129881:SRF129946 SHI129881:SHJ129946 RXM129881:RXN129946 RNQ129881:RNR129946 RDU129881:RDV129946 QTY129881:QTZ129946 QKC129881:QKD129946 QAG129881:QAH129946 PQK129881:PQL129946 PGO129881:PGP129946 OWS129881:OWT129946 OMW129881:OMX129946 ODA129881:ODB129946 NTE129881:NTF129946 NJI129881:NJJ129946 MZM129881:MZN129946 MPQ129881:MPR129946 MFU129881:MFV129946 LVY129881:LVZ129946 LMC129881:LMD129946 LCG129881:LCH129946 KSK129881:KSL129946 KIO129881:KIP129946 JYS129881:JYT129946 JOW129881:JOX129946 JFA129881:JFB129946 IVE129881:IVF129946 ILI129881:ILJ129946 IBM129881:IBN129946 HRQ129881:HRR129946 HHU129881:HHV129946 GXY129881:GXZ129946 GOC129881:GOD129946 GEG129881:GEH129946 FUK129881:FUL129946 FKO129881:FKP129946 FAS129881:FAT129946 EQW129881:EQX129946 EHA129881:EHB129946 DXE129881:DXF129946 DNI129881:DNJ129946 DDM129881:DDN129946 CTQ129881:CTR129946 CJU129881:CJV129946 BZY129881:BZZ129946 BQC129881:BQD129946 BGG129881:BGH129946 AWK129881:AWL129946 AMO129881:AMP129946 ACS129881:ACT129946 SW129881:SX129946 JA129881:JB129946 E129881:F129946 WVM64345:WVN64410 WLQ64345:WLR64410 WBU64345:WBV64410 VRY64345:VRZ64410 VIC64345:VID64410 UYG64345:UYH64410 UOK64345:UOL64410 UEO64345:UEP64410 TUS64345:TUT64410 TKW64345:TKX64410 TBA64345:TBB64410 SRE64345:SRF64410 SHI64345:SHJ64410 RXM64345:RXN64410 RNQ64345:RNR64410 RDU64345:RDV64410 QTY64345:QTZ64410 QKC64345:QKD64410 QAG64345:QAH64410 PQK64345:PQL64410 PGO64345:PGP64410 OWS64345:OWT64410 OMW64345:OMX64410 ODA64345:ODB64410 NTE64345:NTF64410 NJI64345:NJJ64410 MZM64345:MZN64410 MPQ64345:MPR64410 MFU64345:MFV64410 LVY64345:LVZ64410 LMC64345:LMD64410 LCG64345:LCH64410 KSK64345:KSL64410 KIO64345:KIP64410 JYS64345:JYT64410 JOW64345:JOX64410 JFA64345:JFB64410 IVE64345:IVF64410 ILI64345:ILJ64410 IBM64345:IBN64410 HRQ64345:HRR64410 HHU64345:HHV64410 GXY64345:GXZ64410 GOC64345:GOD64410 GEG64345:GEH64410 FUK64345:FUL64410 FKO64345:FKP64410 FAS64345:FAT64410 EQW64345:EQX64410 EHA64345:EHB64410 DXE64345:DXF64410 DNI64345:DNJ64410 DDM64345:DDN64410 CTQ64345:CTR64410 CJU64345:CJV64410 BZY64345:BZZ64410 BQC64345:BQD64410 BGG64345:BGH64410 AWK64345:AWL64410 AMO64345:AMP64410 ACS64345:ACT64410 SW64345:SX64410 WVM2:WVN69 JA2:JB69 SW2:SX69 ACS2:ACT69 AMO2:AMP69 AWK2:AWL69 BGG2:BGH69 BQC2:BQD69 BZY2:BZZ69 CJU2:CJV69 CTQ2:CTR69 DDM2:DDN69 DNI2:DNJ69 DXE2:DXF69 EHA2:EHB69 EQW2:EQX69 FAS2:FAT69 FKO2:FKP69 FUK2:FUL69 GEG2:GEH69 GOC2:GOD69 GXY2:GXZ69 HHU2:HHV69 HRQ2:HRR69 IBM2:IBN69 ILI2:ILJ69 IVE2:IVF69 JFA2:JFB69 JOW2:JOX69 JYS2:JYT69 KIO2:KIP69 KSK2:KSL69 LCG2:LCH69 LMC2:LMD69 LVY2:LVZ69 MFU2:MFV69 MPQ2:MPR69 MZM2:MZN69 NJI2:NJJ69 NTE2:NTF69 ODA2:ODB69 OMW2:OMX69 OWS2:OWT69 PGO2:PGP69 PQK2:PQL69 QAG2:QAH69 QKC2:QKD69 QTY2:QTZ69 RDU2:RDV69 RNQ2:RNR69 RXM2:RXN69 SHI2:SHJ69 SRE2:SRF69 TBA2:TBB69 TKW2:TKX69 TUS2:TUT69 UEO2:UEP69 UOK2:UOL69 UYG2:UYH69 VIC2:VID69 VRY2:VRZ69 WBU2:WBV69 WLQ2:WLR69" xr:uid="{5C86DEB0-F1C7-4ABE-BC4F-44F9F385BE25}">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2C872-54B4-43BC-B3E0-1E4D2EF4621A}">
  <dimension ref="A1:BA443"/>
  <sheetViews>
    <sheetView zoomScale="70" zoomScaleNormal="70" zoomScaleSheetLayoutView="100" workbookViewId="0">
      <selection activeCell="C46" sqref="C46"/>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357</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6" t="s">
        <v>34</v>
      </c>
      <c r="B2" s="146" t="s">
        <v>234</v>
      </c>
      <c r="C2" s="146">
        <v>2019</v>
      </c>
      <c r="D2" s="147" t="s">
        <v>285</v>
      </c>
      <c r="E2" s="146" t="s">
        <v>358</v>
      </c>
      <c r="F2" s="146" t="s">
        <v>359</v>
      </c>
      <c r="G2" s="148" t="s">
        <v>36</v>
      </c>
      <c r="H2" s="149" t="s">
        <v>164</v>
      </c>
      <c r="I2" s="127" t="s">
        <v>159</v>
      </c>
      <c r="J2" s="150" t="s">
        <v>38</v>
      </c>
      <c r="K2" s="127" t="s">
        <v>161</v>
      </c>
      <c r="L2" s="151">
        <v>1</v>
      </c>
      <c r="M2" s="152"/>
      <c r="N2" s="152">
        <v>4</v>
      </c>
      <c r="O2" s="152">
        <v>0.45</v>
      </c>
      <c r="P2" s="152">
        <v>0.5</v>
      </c>
      <c r="Q2" s="153">
        <f>IF(OR(O2="",P2=""),"",AVERAGE(O2,P2))</f>
        <v>0.47499999999999998</v>
      </c>
      <c r="R2" s="154">
        <v>13.9</v>
      </c>
      <c r="S2" s="149">
        <v>82</v>
      </c>
      <c r="T2" s="155">
        <f t="shared" ref="T2:T65" si="0">IF(H2="","",IF(OR(H2="GREEN",H2="GK"),IF(S2&gt;=$AX$2,VLOOKUP(S2,$AX$2:$AY$7,2,1),""),IF(S2&gt;=$AZ$2,VLOOKUP(S2,$AZ$2:$BA$7,2,1),"")))</f>
        <v>39</v>
      </c>
      <c r="U2" s="127">
        <v>398</v>
      </c>
      <c r="V2" s="155">
        <f t="shared" ref="V2:V65" si="1">IF(OR(N2="",U2="",T2=""),"",U2/N2*T2)</f>
        <v>3880.5</v>
      </c>
      <c r="W2" s="156">
        <v>4</v>
      </c>
      <c r="X2" s="157" t="s">
        <v>39</v>
      </c>
      <c r="Y2" s="157" t="s">
        <v>84</v>
      </c>
      <c r="Z2" s="157" t="s">
        <v>90</v>
      </c>
      <c r="AA2" s="157" t="s">
        <v>50</v>
      </c>
      <c r="AB2" s="53" t="s">
        <v>238</v>
      </c>
      <c r="AE2" s="64" t="s">
        <v>35</v>
      </c>
      <c r="AG2" s="67" t="s">
        <v>358</v>
      </c>
      <c r="AH2" s="67" t="s">
        <v>359</v>
      </c>
      <c r="AJ2" s="130" t="s">
        <v>36</v>
      </c>
      <c r="AL2" s="67" t="s">
        <v>127</v>
      </c>
      <c r="AN2" s="67" t="s">
        <v>37</v>
      </c>
      <c r="AP2" s="67" t="s">
        <v>38</v>
      </c>
      <c r="AR2" s="67" t="s">
        <v>120</v>
      </c>
      <c r="AT2" s="67" t="s">
        <v>39</v>
      </c>
      <c r="AV2" s="67" t="s">
        <v>40</v>
      </c>
      <c r="AX2" s="68">
        <v>1</v>
      </c>
      <c r="AY2" s="69">
        <v>50</v>
      </c>
      <c r="AZ2" s="69">
        <v>1</v>
      </c>
      <c r="BA2" s="70">
        <v>50</v>
      </c>
    </row>
    <row r="3" spans="1:53" x14ac:dyDescent="0.15">
      <c r="A3" s="158" t="s">
        <v>34</v>
      </c>
      <c r="B3" s="158" t="s">
        <v>157</v>
      </c>
      <c r="C3" s="159">
        <v>2019</v>
      </c>
      <c r="D3" s="160" t="s">
        <v>360</v>
      </c>
      <c r="E3" s="158" t="s">
        <v>358</v>
      </c>
      <c r="F3" s="158" t="s">
        <v>359</v>
      </c>
      <c r="G3" s="161" t="s">
        <v>36</v>
      </c>
      <c r="H3" s="127" t="s">
        <v>164</v>
      </c>
      <c r="I3" s="127" t="s">
        <v>159</v>
      </c>
      <c r="J3" s="127" t="s">
        <v>38</v>
      </c>
      <c r="K3" s="127" t="s">
        <v>161</v>
      </c>
      <c r="L3" s="53">
        <v>2</v>
      </c>
      <c r="N3" s="53">
        <v>4</v>
      </c>
      <c r="O3" s="53">
        <v>0.5</v>
      </c>
      <c r="P3" s="34">
        <v>0.5</v>
      </c>
      <c r="Q3" s="162">
        <f t="shared" ref="Q3:Q43" si="2">IF(OR(O3="",P3=""),"",AVERAGE(O3,P3))</f>
        <v>0.5</v>
      </c>
      <c r="R3" s="163">
        <v>14.4</v>
      </c>
      <c r="S3" s="163">
        <v>83</v>
      </c>
      <c r="T3" s="16">
        <f t="shared" si="0"/>
        <v>39</v>
      </c>
      <c r="U3" s="164">
        <v>398</v>
      </c>
      <c r="V3" s="38">
        <f t="shared" si="1"/>
        <v>3880.5</v>
      </c>
      <c r="W3" s="165">
        <v>4</v>
      </c>
      <c r="X3" s="166" t="s">
        <v>39</v>
      </c>
      <c r="Y3" s="166" t="s">
        <v>84</v>
      </c>
      <c r="Z3" s="166" t="s">
        <v>90</v>
      </c>
      <c r="AA3" s="157" t="s">
        <v>50</v>
      </c>
      <c r="AB3" s="53" t="s">
        <v>158</v>
      </c>
      <c r="AE3" s="22" t="s">
        <v>41</v>
      </c>
      <c r="AG3" s="67" t="s">
        <v>361</v>
      </c>
      <c r="AH3" s="67" t="s">
        <v>362</v>
      </c>
      <c r="AJ3" s="167" t="s">
        <v>42</v>
      </c>
      <c r="AL3" s="23" t="s">
        <v>128</v>
      </c>
      <c r="AN3" s="23" t="s">
        <v>43</v>
      </c>
      <c r="AP3" s="23" t="s">
        <v>44</v>
      </c>
      <c r="AR3" s="23" t="s">
        <v>45</v>
      </c>
      <c r="AT3" s="23" t="s">
        <v>46</v>
      </c>
      <c r="AV3" s="23" t="s">
        <v>47</v>
      </c>
      <c r="AX3" s="24">
        <v>72</v>
      </c>
      <c r="AY3" s="25">
        <v>46</v>
      </c>
      <c r="AZ3" s="25">
        <v>71</v>
      </c>
      <c r="BA3" s="26">
        <v>42</v>
      </c>
    </row>
    <row r="4" spans="1:53" x14ac:dyDescent="0.15">
      <c r="A4" s="158" t="s">
        <v>34</v>
      </c>
      <c r="B4" s="158" t="s">
        <v>157</v>
      </c>
      <c r="C4" s="158">
        <v>2019</v>
      </c>
      <c r="D4" s="160" t="s">
        <v>360</v>
      </c>
      <c r="E4" s="158" t="s">
        <v>358</v>
      </c>
      <c r="F4" s="158" t="s">
        <v>359</v>
      </c>
      <c r="G4" s="161" t="s">
        <v>36</v>
      </c>
      <c r="H4" s="127" t="s">
        <v>164</v>
      </c>
      <c r="I4" s="127" t="s">
        <v>159</v>
      </c>
      <c r="J4" s="127" t="s">
        <v>38</v>
      </c>
      <c r="K4" s="127" t="s">
        <v>161</v>
      </c>
      <c r="L4" s="53">
        <v>3</v>
      </c>
      <c r="N4" s="53">
        <v>4</v>
      </c>
      <c r="O4" s="53">
        <v>0.5</v>
      </c>
      <c r="P4" s="34">
        <v>0.45</v>
      </c>
      <c r="Q4" s="75">
        <f t="shared" si="2"/>
        <v>0.47499999999999998</v>
      </c>
      <c r="R4" s="168">
        <v>14.2</v>
      </c>
      <c r="S4" s="168">
        <v>94</v>
      </c>
      <c r="T4" s="16">
        <f t="shared" si="0"/>
        <v>36</v>
      </c>
      <c r="U4" s="169">
        <v>398</v>
      </c>
      <c r="V4" s="38">
        <f t="shared" si="1"/>
        <v>3582</v>
      </c>
      <c r="W4" s="165">
        <v>4</v>
      </c>
      <c r="X4" s="166" t="s">
        <v>39</v>
      </c>
      <c r="Y4" s="166" t="s">
        <v>84</v>
      </c>
      <c r="Z4" s="166" t="s">
        <v>90</v>
      </c>
      <c r="AA4" s="157" t="s">
        <v>50</v>
      </c>
      <c r="AB4" s="53" t="s">
        <v>158</v>
      </c>
      <c r="AE4" s="22" t="s">
        <v>34</v>
      </c>
      <c r="AG4" s="67" t="s">
        <v>363</v>
      </c>
      <c r="AH4" s="67" t="s">
        <v>362</v>
      </c>
      <c r="AJ4" s="170" t="s">
        <v>48</v>
      </c>
      <c r="AL4" s="27" t="s">
        <v>129</v>
      </c>
      <c r="AN4" s="28" t="s">
        <v>49</v>
      </c>
      <c r="AP4" s="23" t="s">
        <v>93</v>
      </c>
      <c r="AR4" s="23" t="s">
        <v>121</v>
      </c>
      <c r="AT4" s="28"/>
      <c r="AV4" s="23" t="s">
        <v>50</v>
      </c>
      <c r="AX4" s="24">
        <v>75</v>
      </c>
      <c r="AY4" s="25">
        <v>42</v>
      </c>
      <c r="AZ4" s="25">
        <v>76</v>
      </c>
      <c r="BA4" s="26">
        <v>39</v>
      </c>
    </row>
    <row r="5" spans="1:53" x14ac:dyDescent="0.15">
      <c r="A5" s="158" t="s">
        <v>34</v>
      </c>
      <c r="B5" s="158" t="s">
        <v>157</v>
      </c>
      <c r="C5" s="159">
        <v>2019</v>
      </c>
      <c r="D5" s="160" t="s">
        <v>360</v>
      </c>
      <c r="E5" s="158" t="s">
        <v>361</v>
      </c>
      <c r="F5" s="158" t="s">
        <v>362</v>
      </c>
      <c r="G5" s="161" t="s">
        <v>36</v>
      </c>
      <c r="H5" s="127" t="s">
        <v>164</v>
      </c>
      <c r="I5" s="127" t="s">
        <v>159</v>
      </c>
      <c r="J5" s="127" t="s">
        <v>38</v>
      </c>
      <c r="K5" s="127" t="s">
        <v>161</v>
      </c>
      <c r="L5" s="53">
        <v>1</v>
      </c>
      <c r="N5" s="53">
        <v>1</v>
      </c>
      <c r="O5" s="53">
        <v>0.55000000000000004</v>
      </c>
      <c r="P5" s="53">
        <v>0.6</v>
      </c>
      <c r="Q5" s="75">
        <f t="shared" si="2"/>
        <v>0.57499999999999996</v>
      </c>
      <c r="R5" s="168">
        <v>14.6</v>
      </c>
      <c r="S5" s="168">
        <v>123</v>
      </c>
      <c r="T5" s="16">
        <f t="shared" si="0"/>
        <v>30</v>
      </c>
      <c r="U5" s="169">
        <v>128</v>
      </c>
      <c r="V5" s="38">
        <f t="shared" si="1"/>
        <v>3840</v>
      </c>
      <c r="W5" s="165">
        <v>4</v>
      </c>
      <c r="X5" s="166" t="s">
        <v>46</v>
      </c>
      <c r="Y5" s="166" t="s">
        <v>78</v>
      </c>
      <c r="Z5" s="166" t="s">
        <v>102</v>
      </c>
      <c r="AA5" s="157" t="s">
        <v>50</v>
      </c>
      <c r="AB5" s="53" t="s">
        <v>158</v>
      </c>
      <c r="AE5" s="22" t="s">
        <v>51</v>
      </c>
      <c r="AG5" s="67" t="s">
        <v>358</v>
      </c>
      <c r="AH5" s="67" t="s">
        <v>364</v>
      </c>
      <c r="AJ5" s="171"/>
      <c r="AL5" s="73" t="s">
        <v>66</v>
      </c>
      <c r="AN5" s="73" t="s">
        <v>52</v>
      </c>
      <c r="AP5" s="23" t="s">
        <v>119</v>
      </c>
      <c r="AR5" s="23" t="s">
        <v>54</v>
      </c>
      <c r="AV5" s="23" t="s">
        <v>55</v>
      </c>
      <c r="AX5" s="24">
        <v>84</v>
      </c>
      <c r="AY5" s="25">
        <v>39</v>
      </c>
      <c r="AZ5" s="25">
        <v>84</v>
      </c>
      <c r="BA5" s="26">
        <v>36</v>
      </c>
    </row>
    <row r="6" spans="1:53" x14ac:dyDescent="0.15">
      <c r="A6" s="158" t="s">
        <v>34</v>
      </c>
      <c r="B6" s="158" t="s">
        <v>157</v>
      </c>
      <c r="C6" s="158">
        <v>2019</v>
      </c>
      <c r="D6" s="160" t="s">
        <v>360</v>
      </c>
      <c r="E6" s="158" t="s">
        <v>361</v>
      </c>
      <c r="F6" s="158" t="s">
        <v>362</v>
      </c>
      <c r="G6" s="161" t="s">
        <v>36</v>
      </c>
      <c r="H6" s="127" t="s">
        <v>164</v>
      </c>
      <c r="I6" s="127" t="s">
        <v>159</v>
      </c>
      <c r="J6" s="127" t="s">
        <v>38</v>
      </c>
      <c r="K6" s="127" t="s">
        <v>161</v>
      </c>
      <c r="L6" s="53">
        <v>2</v>
      </c>
      <c r="N6" s="53">
        <v>1</v>
      </c>
      <c r="O6" s="53">
        <v>0.45</v>
      </c>
      <c r="P6" s="53">
        <v>0.5</v>
      </c>
      <c r="Q6" s="75">
        <f t="shared" si="2"/>
        <v>0.47499999999999998</v>
      </c>
      <c r="R6" s="168">
        <v>15.1</v>
      </c>
      <c r="S6" s="168">
        <v>121</v>
      </c>
      <c r="T6" s="16">
        <f t="shared" si="0"/>
        <v>30</v>
      </c>
      <c r="U6" s="169">
        <v>128</v>
      </c>
      <c r="V6" s="38">
        <f t="shared" si="1"/>
        <v>3840</v>
      </c>
      <c r="W6" s="165">
        <v>4</v>
      </c>
      <c r="X6" s="166" t="s">
        <v>46</v>
      </c>
      <c r="Y6" s="166" t="s">
        <v>78</v>
      </c>
      <c r="Z6" s="166" t="s">
        <v>102</v>
      </c>
      <c r="AA6" s="157" t="s">
        <v>50</v>
      </c>
      <c r="AB6" s="53" t="s">
        <v>158</v>
      </c>
      <c r="AE6" s="22" t="s">
        <v>56</v>
      </c>
      <c r="AG6" s="67" t="s">
        <v>211</v>
      </c>
      <c r="AH6" s="67" t="s">
        <v>365</v>
      </c>
      <c r="AL6" s="73" t="s">
        <v>99</v>
      </c>
      <c r="AN6" s="73" t="s">
        <v>57</v>
      </c>
      <c r="AP6" s="23" t="s">
        <v>53</v>
      </c>
      <c r="AR6" s="23" t="s">
        <v>59</v>
      </c>
      <c r="AV6" s="23" t="s">
        <v>60</v>
      </c>
      <c r="AX6" s="24">
        <v>97</v>
      </c>
      <c r="AY6" s="25">
        <v>36</v>
      </c>
      <c r="AZ6" s="25">
        <v>99</v>
      </c>
      <c r="BA6" s="26">
        <v>33</v>
      </c>
    </row>
    <row r="7" spans="1:53" x14ac:dyDescent="0.15">
      <c r="A7" s="158" t="s">
        <v>34</v>
      </c>
      <c r="B7" s="158" t="s">
        <v>157</v>
      </c>
      <c r="C7" s="159">
        <v>2019</v>
      </c>
      <c r="D7" s="160" t="s">
        <v>360</v>
      </c>
      <c r="E7" s="158" t="s">
        <v>361</v>
      </c>
      <c r="F7" s="158" t="s">
        <v>362</v>
      </c>
      <c r="G7" s="161" t="s">
        <v>36</v>
      </c>
      <c r="H7" s="127" t="s">
        <v>164</v>
      </c>
      <c r="I7" s="127" t="s">
        <v>159</v>
      </c>
      <c r="J7" s="127" t="s">
        <v>38</v>
      </c>
      <c r="K7" s="127" t="s">
        <v>161</v>
      </c>
      <c r="L7" s="53">
        <v>3</v>
      </c>
      <c r="N7" s="53">
        <v>1</v>
      </c>
      <c r="O7" s="53">
        <v>0.6</v>
      </c>
      <c r="P7" s="53">
        <v>0.55000000000000004</v>
      </c>
      <c r="Q7" s="75">
        <f t="shared" si="2"/>
        <v>0.57499999999999996</v>
      </c>
      <c r="R7" s="168">
        <v>14.9</v>
      </c>
      <c r="S7" s="168">
        <v>122</v>
      </c>
      <c r="T7" s="16">
        <f t="shared" si="0"/>
        <v>30</v>
      </c>
      <c r="U7" s="169">
        <v>128</v>
      </c>
      <c r="V7" s="38">
        <f t="shared" si="1"/>
        <v>3840</v>
      </c>
      <c r="W7" s="165">
        <v>4</v>
      </c>
      <c r="X7" s="166" t="s">
        <v>46</v>
      </c>
      <c r="Y7" s="166" t="s">
        <v>78</v>
      </c>
      <c r="Z7" s="166" t="s">
        <v>102</v>
      </c>
      <c r="AA7" s="157" t="s">
        <v>50</v>
      </c>
      <c r="AB7" s="53" t="s">
        <v>158</v>
      </c>
      <c r="AE7" s="22" t="s">
        <v>61</v>
      </c>
      <c r="AG7" s="67" t="s">
        <v>366</v>
      </c>
      <c r="AH7" s="67" t="s">
        <v>365</v>
      </c>
      <c r="AL7" s="34" t="s">
        <v>109</v>
      </c>
      <c r="AP7" s="23" t="s">
        <v>58</v>
      </c>
      <c r="AR7" s="23" t="s">
        <v>122</v>
      </c>
      <c r="AV7" s="23" t="s">
        <v>64</v>
      </c>
      <c r="AX7" s="24">
        <v>109</v>
      </c>
      <c r="AY7" s="25">
        <v>33</v>
      </c>
      <c r="AZ7" s="25">
        <v>113</v>
      </c>
      <c r="BA7" s="26">
        <v>30</v>
      </c>
    </row>
    <row r="8" spans="1:53" x14ac:dyDescent="0.15">
      <c r="A8" s="158" t="s">
        <v>34</v>
      </c>
      <c r="B8" s="158" t="s">
        <v>157</v>
      </c>
      <c r="C8" s="158">
        <v>2019</v>
      </c>
      <c r="D8" s="160" t="s">
        <v>360</v>
      </c>
      <c r="E8" s="159" t="s">
        <v>361</v>
      </c>
      <c r="F8" s="158" t="s">
        <v>362</v>
      </c>
      <c r="G8" s="161" t="s">
        <v>36</v>
      </c>
      <c r="H8" s="127" t="s">
        <v>160</v>
      </c>
      <c r="I8" s="127" t="s">
        <v>159</v>
      </c>
      <c r="J8" s="127" t="s">
        <v>38</v>
      </c>
      <c r="K8" s="127" t="s">
        <v>161</v>
      </c>
      <c r="L8" s="53">
        <v>1</v>
      </c>
      <c r="N8" s="53">
        <v>1</v>
      </c>
      <c r="O8" s="53">
        <v>0.45</v>
      </c>
      <c r="P8" s="53">
        <v>0.4</v>
      </c>
      <c r="Q8" s="75">
        <f t="shared" si="2"/>
        <v>0.42500000000000004</v>
      </c>
      <c r="R8" s="168">
        <v>15.3</v>
      </c>
      <c r="S8" s="168">
        <v>111</v>
      </c>
      <c r="T8" s="16">
        <f t="shared" si="0"/>
        <v>33</v>
      </c>
      <c r="U8" s="164">
        <v>128</v>
      </c>
      <c r="V8" s="38">
        <f t="shared" si="1"/>
        <v>4224</v>
      </c>
      <c r="W8" s="165">
        <v>4</v>
      </c>
      <c r="X8" s="166" t="s">
        <v>46</v>
      </c>
      <c r="Y8" s="172" t="s">
        <v>78</v>
      </c>
      <c r="Z8" s="166" t="s">
        <v>102</v>
      </c>
      <c r="AA8" s="157" t="s">
        <v>50</v>
      </c>
      <c r="AB8" s="53" t="s">
        <v>158</v>
      </c>
      <c r="AE8" s="22" t="s">
        <v>59</v>
      </c>
      <c r="AG8" s="67" t="s">
        <v>211</v>
      </c>
      <c r="AH8" s="67" t="s">
        <v>367</v>
      </c>
      <c r="AL8" s="34" t="s">
        <v>134</v>
      </c>
      <c r="AP8" s="23" t="s">
        <v>62</v>
      </c>
      <c r="AR8" s="23" t="s">
        <v>81</v>
      </c>
      <c r="AV8" s="23" t="s">
        <v>97</v>
      </c>
      <c r="AX8" s="24">
        <v>151</v>
      </c>
      <c r="AY8" s="25">
        <v>22</v>
      </c>
      <c r="AZ8" s="25">
        <v>152</v>
      </c>
      <c r="BA8" s="26">
        <v>18</v>
      </c>
    </row>
    <row r="9" spans="1:53" x14ac:dyDescent="0.15">
      <c r="A9" s="158" t="s">
        <v>34</v>
      </c>
      <c r="B9" s="158" t="s">
        <v>157</v>
      </c>
      <c r="C9" s="159">
        <v>2019</v>
      </c>
      <c r="D9" s="160" t="s">
        <v>360</v>
      </c>
      <c r="E9" s="159" t="s">
        <v>361</v>
      </c>
      <c r="F9" s="158" t="s">
        <v>362</v>
      </c>
      <c r="G9" s="161" t="s">
        <v>36</v>
      </c>
      <c r="H9" s="127" t="s">
        <v>160</v>
      </c>
      <c r="I9" s="127" t="s">
        <v>159</v>
      </c>
      <c r="J9" s="127" t="s">
        <v>38</v>
      </c>
      <c r="K9" s="127" t="s">
        <v>161</v>
      </c>
      <c r="L9" s="53">
        <v>2</v>
      </c>
      <c r="N9" s="53">
        <v>1</v>
      </c>
      <c r="O9" s="53">
        <v>0.5</v>
      </c>
      <c r="P9" s="53">
        <v>0.5</v>
      </c>
      <c r="Q9" s="75">
        <f t="shared" si="2"/>
        <v>0.5</v>
      </c>
      <c r="R9" s="168">
        <v>15.7</v>
      </c>
      <c r="S9" s="168">
        <v>104</v>
      </c>
      <c r="T9" s="16">
        <f t="shared" si="0"/>
        <v>33</v>
      </c>
      <c r="U9" s="164">
        <v>128</v>
      </c>
      <c r="V9" s="38">
        <f t="shared" si="1"/>
        <v>4224</v>
      </c>
      <c r="W9" s="165">
        <v>4</v>
      </c>
      <c r="X9" s="166" t="s">
        <v>46</v>
      </c>
      <c r="Y9" s="172" t="s">
        <v>78</v>
      </c>
      <c r="Z9" s="166" t="s">
        <v>102</v>
      </c>
      <c r="AA9" s="157" t="s">
        <v>50</v>
      </c>
      <c r="AB9" s="53" t="s">
        <v>158</v>
      </c>
      <c r="AE9" s="22" t="s">
        <v>98</v>
      </c>
      <c r="AG9" s="67" t="s">
        <v>139</v>
      </c>
      <c r="AH9" s="67" t="s">
        <v>367</v>
      </c>
      <c r="AL9" s="73"/>
      <c r="AP9" s="23" t="s">
        <v>95</v>
      </c>
      <c r="AR9" s="23" t="s">
        <v>89</v>
      </c>
      <c r="AV9" s="23" t="s">
        <v>102</v>
      </c>
      <c r="AX9" s="31">
        <v>180</v>
      </c>
      <c r="AY9" s="32">
        <v>18</v>
      </c>
      <c r="AZ9" s="32">
        <v>181</v>
      </c>
      <c r="BA9" s="33">
        <v>16</v>
      </c>
    </row>
    <row r="10" spans="1:53" x14ac:dyDescent="0.15">
      <c r="A10" s="158" t="s">
        <v>34</v>
      </c>
      <c r="B10" s="158" t="s">
        <v>157</v>
      </c>
      <c r="C10" s="158">
        <v>2019</v>
      </c>
      <c r="D10" s="160" t="s">
        <v>360</v>
      </c>
      <c r="E10" s="159" t="s">
        <v>361</v>
      </c>
      <c r="F10" s="158" t="s">
        <v>362</v>
      </c>
      <c r="G10" s="161" t="s">
        <v>36</v>
      </c>
      <c r="H10" s="127" t="s">
        <v>160</v>
      </c>
      <c r="I10" s="127" t="s">
        <v>159</v>
      </c>
      <c r="J10" s="127" t="s">
        <v>38</v>
      </c>
      <c r="K10" s="127" t="s">
        <v>161</v>
      </c>
      <c r="L10" s="53">
        <v>3</v>
      </c>
      <c r="N10" s="53">
        <v>1</v>
      </c>
      <c r="O10" s="53">
        <v>0.45</v>
      </c>
      <c r="P10" s="53">
        <v>0.4</v>
      </c>
      <c r="Q10" s="75">
        <f t="shared" si="2"/>
        <v>0.42500000000000004</v>
      </c>
      <c r="R10" s="168">
        <v>16.100000000000001</v>
      </c>
      <c r="S10" s="168">
        <v>107</v>
      </c>
      <c r="T10" s="16">
        <f t="shared" si="0"/>
        <v>33</v>
      </c>
      <c r="U10" s="164">
        <v>128</v>
      </c>
      <c r="V10" s="38">
        <f t="shared" si="1"/>
        <v>4224</v>
      </c>
      <c r="W10" s="165">
        <v>4</v>
      </c>
      <c r="X10" s="166" t="s">
        <v>46</v>
      </c>
      <c r="Y10" s="172" t="s">
        <v>78</v>
      </c>
      <c r="Z10" s="166" t="s">
        <v>102</v>
      </c>
      <c r="AA10" s="157" t="s">
        <v>50</v>
      </c>
      <c r="AB10" s="53" t="s">
        <v>158</v>
      </c>
      <c r="AE10" s="22" t="s">
        <v>103</v>
      </c>
      <c r="AG10" s="67" t="s">
        <v>133</v>
      </c>
      <c r="AH10" s="67" t="s">
        <v>368</v>
      </c>
      <c r="AL10" s="34"/>
      <c r="AP10" s="23" t="s">
        <v>100</v>
      </c>
      <c r="AR10" s="23" t="s">
        <v>123</v>
      </c>
      <c r="AV10" s="23" t="s">
        <v>106</v>
      </c>
    </row>
    <row r="11" spans="1:53" x14ac:dyDescent="0.15">
      <c r="A11" s="158" t="s">
        <v>34</v>
      </c>
      <c r="B11" s="158" t="s">
        <v>157</v>
      </c>
      <c r="C11" s="159">
        <v>2019</v>
      </c>
      <c r="D11" s="160" t="s">
        <v>360</v>
      </c>
      <c r="E11" s="159" t="s">
        <v>363</v>
      </c>
      <c r="F11" s="158" t="s">
        <v>362</v>
      </c>
      <c r="G11" s="161" t="s">
        <v>36</v>
      </c>
      <c r="H11" s="127" t="s">
        <v>164</v>
      </c>
      <c r="I11" s="127" t="s">
        <v>159</v>
      </c>
      <c r="J11" s="127" t="s">
        <v>38</v>
      </c>
      <c r="K11" s="127" t="s">
        <v>161</v>
      </c>
      <c r="L11" s="53">
        <v>1</v>
      </c>
      <c r="N11" s="53">
        <v>1</v>
      </c>
      <c r="O11" s="53">
        <v>0.95</v>
      </c>
      <c r="P11" s="53">
        <v>0.85</v>
      </c>
      <c r="Q11" s="75">
        <f t="shared" si="2"/>
        <v>0.89999999999999991</v>
      </c>
      <c r="R11" s="168">
        <v>15.1</v>
      </c>
      <c r="S11" s="168">
        <v>133</v>
      </c>
      <c r="T11" s="16">
        <f t="shared" si="0"/>
        <v>30</v>
      </c>
      <c r="U11" s="164">
        <v>98</v>
      </c>
      <c r="V11" s="38">
        <f t="shared" si="1"/>
        <v>2940</v>
      </c>
      <c r="W11" s="165">
        <v>4</v>
      </c>
      <c r="X11" s="166" t="s">
        <v>39</v>
      </c>
      <c r="Y11" s="172" t="s">
        <v>84</v>
      </c>
      <c r="Z11" s="166" t="s">
        <v>50</v>
      </c>
      <c r="AA11" s="172" t="s">
        <v>90</v>
      </c>
      <c r="AB11" s="53" t="s">
        <v>158</v>
      </c>
      <c r="AE11" s="22" t="s">
        <v>65</v>
      </c>
      <c r="AG11" s="23" t="s">
        <v>271</v>
      </c>
      <c r="AH11" s="23" t="s">
        <v>369</v>
      </c>
      <c r="AL11" s="34"/>
      <c r="AP11" s="23" t="s">
        <v>104</v>
      </c>
      <c r="AR11" s="23" t="s">
        <v>87</v>
      </c>
      <c r="AV11" s="23" t="s">
        <v>69</v>
      </c>
    </row>
    <row r="12" spans="1:53" x14ac:dyDescent="0.15">
      <c r="A12" s="158" t="s">
        <v>34</v>
      </c>
      <c r="B12" s="158" t="s">
        <v>157</v>
      </c>
      <c r="C12" s="158">
        <v>2019</v>
      </c>
      <c r="D12" s="160" t="s">
        <v>360</v>
      </c>
      <c r="E12" s="159" t="s">
        <v>363</v>
      </c>
      <c r="F12" s="158" t="s">
        <v>362</v>
      </c>
      <c r="G12" s="161" t="s">
        <v>36</v>
      </c>
      <c r="H12" s="127" t="s">
        <v>164</v>
      </c>
      <c r="I12" s="127" t="s">
        <v>159</v>
      </c>
      <c r="J12" s="127" t="s">
        <v>38</v>
      </c>
      <c r="K12" s="127" t="s">
        <v>161</v>
      </c>
      <c r="L12" s="53">
        <v>2</v>
      </c>
      <c r="N12" s="53">
        <v>1</v>
      </c>
      <c r="O12" s="53">
        <v>0.8</v>
      </c>
      <c r="P12" s="53">
        <v>0.8</v>
      </c>
      <c r="Q12" s="75">
        <f t="shared" si="2"/>
        <v>0.8</v>
      </c>
      <c r="R12" s="168">
        <v>15.3</v>
      </c>
      <c r="S12" s="168">
        <v>132</v>
      </c>
      <c r="T12" s="16">
        <f t="shared" si="0"/>
        <v>30</v>
      </c>
      <c r="U12" s="164">
        <v>98</v>
      </c>
      <c r="V12" s="38">
        <f t="shared" si="1"/>
        <v>2940</v>
      </c>
      <c r="W12" s="165">
        <v>4</v>
      </c>
      <c r="X12" s="166" t="s">
        <v>39</v>
      </c>
      <c r="Y12" s="172" t="s">
        <v>84</v>
      </c>
      <c r="Z12" s="166" t="s">
        <v>50</v>
      </c>
      <c r="AA12" s="172" t="s">
        <v>90</v>
      </c>
      <c r="AB12" s="53" t="s">
        <v>158</v>
      </c>
      <c r="AE12" s="22" t="s">
        <v>70</v>
      </c>
      <c r="AG12" s="23"/>
      <c r="AH12" s="23"/>
      <c r="AL12" s="34"/>
      <c r="AP12" s="23" t="s">
        <v>67</v>
      </c>
      <c r="AR12" s="23" t="s">
        <v>124</v>
      </c>
      <c r="AV12" s="23" t="s">
        <v>72</v>
      </c>
    </row>
    <row r="13" spans="1:53" x14ac:dyDescent="0.15">
      <c r="A13" s="158" t="s">
        <v>34</v>
      </c>
      <c r="B13" s="158" t="s">
        <v>157</v>
      </c>
      <c r="C13" s="159">
        <v>2019</v>
      </c>
      <c r="D13" s="160" t="s">
        <v>360</v>
      </c>
      <c r="E13" s="159" t="s">
        <v>363</v>
      </c>
      <c r="F13" s="158" t="s">
        <v>362</v>
      </c>
      <c r="G13" s="161" t="s">
        <v>36</v>
      </c>
      <c r="H13" s="127" t="s">
        <v>164</v>
      </c>
      <c r="I13" s="127" t="s">
        <v>159</v>
      </c>
      <c r="J13" s="127" t="s">
        <v>38</v>
      </c>
      <c r="K13" s="127" t="s">
        <v>161</v>
      </c>
      <c r="L13" s="53">
        <v>3</v>
      </c>
      <c r="N13" s="53">
        <v>1</v>
      </c>
      <c r="O13" s="53">
        <v>1</v>
      </c>
      <c r="P13" s="53">
        <v>0.95</v>
      </c>
      <c r="Q13" s="75">
        <f t="shared" si="2"/>
        <v>0.97499999999999998</v>
      </c>
      <c r="R13" s="168">
        <v>14.8</v>
      </c>
      <c r="S13" s="168">
        <v>136</v>
      </c>
      <c r="T13" s="16">
        <f t="shared" si="0"/>
        <v>30</v>
      </c>
      <c r="U13" s="164">
        <v>98</v>
      </c>
      <c r="V13" s="38">
        <f t="shared" si="1"/>
        <v>2940</v>
      </c>
      <c r="W13" s="165">
        <v>4</v>
      </c>
      <c r="X13" s="166" t="s">
        <v>39</v>
      </c>
      <c r="Y13" s="172" t="s">
        <v>84</v>
      </c>
      <c r="Z13" s="166" t="s">
        <v>50</v>
      </c>
      <c r="AA13" s="172" t="s">
        <v>90</v>
      </c>
      <c r="AB13" s="53" t="s">
        <v>158</v>
      </c>
      <c r="AE13" s="22" t="s">
        <v>73</v>
      </c>
      <c r="AG13" s="28"/>
      <c r="AH13" s="28"/>
      <c r="AP13" s="23" t="s">
        <v>71</v>
      </c>
      <c r="AR13" s="23" t="s">
        <v>103</v>
      </c>
      <c r="AV13" s="23" t="s">
        <v>75</v>
      </c>
    </row>
    <row r="14" spans="1:53" x14ac:dyDescent="0.15">
      <c r="A14" s="158" t="s">
        <v>34</v>
      </c>
      <c r="B14" s="158" t="s">
        <v>157</v>
      </c>
      <c r="C14" s="158">
        <v>2019</v>
      </c>
      <c r="D14" s="160" t="s">
        <v>360</v>
      </c>
      <c r="E14" s="159" t="s">
        <v>363</v>
      </c>
      <c r="F14" s="158" t="s">
        <v>362</v>
      </c>
      <c r="G14" s="161" t="s">
        <v>36</v>
      </c>
      <c r="H14" s="127" t="s">
        <v>160</v>
      </c>
      <c r="I14" s="127" t="s">
        <v>159</v>
      </c>
      <c r="J14" s="127" t="s">
        <v>38</v>
      </c>
      <c r="K14" s="127" t="s">
        <v>161</v>
      </c>
      <c r="L14" s="53">
        <v>1</v>
      </c>
      <c r="N14" s="53">
        <v>1</v>
      </c>
      <c r="O14" s="53">
        <v>0.7</v>
      </c>
      <c r="P14" s="53">
        <v>0.6</v>
      </c>
      <c r="Q14" s="75">
        <f t="shared" si="2"/>
        <v>0.64999999999999991</v>
      </c>
      <c r="R14" s="168">
        <v>16.5</v>
      </c>
      <c r="S14" s="168">
        <v>104</v>
      </c>
      <c r="T14" s="16">
        <f t="shared" si="0"/>
        <v>33</v>
      </c>
      <c r="U14" s="164">
        <v>98</v>
      </c>
      <c r="V14" s="38">
        <f t="shared" si="1"/>
        <v>3234</v>
      </c>
      <c r="W14" s="165">
        <v>4</v>
      </c>
      <c r="X14" s="166" t="s">
        <v>39</v>
      </c>
      <c r="Y14" s="172" t="s">
        <v>84</v>
      </c>
      <c r="Z14" s="172" t="s">
        <v>50</v>
      </c>
      <c r="AA14" s="172" t="s">
        <v>90</v>
      </c>
      <c r="AB14" s="53" t="s">
        <v>158</v>
      </c>
      <c r="AC14" s="34"/>
      <c r="AE14" s="22" t="s">
        <v>76</v>
      </c>
      <c r="AP14" s="23" t="s">
        <v>74</v>
      </c>
      <c r="AR14" s="23" t="s">
        <v>125</v>
      </c>
      <c r="AV14" s="23" t="s">
        <v>78</v>
      </c>
    </row>
    <row r="15" spans="1:53" x14ac:dyDescent="0.15">
      <c r="A15" s="158" t="s">
        <v>34</v>
      </c>
      <c r="B15" s="158" t="s">
        <v>157</v>
      </c>
      <c r="C15" s="159">
        <v>2019</v>
      </c>
      <c r="D15" s="160" t="s">
        <v>360</v>
      </c>
      <c r="E15" s="159" t="s">
        <v>363</v>
      </c>
      <c r="F15" s="158" t="s">
        <v>362</v>
      </c>
      <c r="G15" s="161" t="s">
        <v>36</v>
      </c>
      <c r="H15" s="127" t="s">
        <v>160</v>
      </c>
      <c r="I15" s="127" t="s">
        <v>159</v>
      </c>
      <c r="J15" s="127" t="s">
        <v>38</v>
      </c>
      <c r="K15" s="127" t="s">
        <v>161</v>
      </c>
      <c r="L15" s="53">
        <v>2</v>
      </c>
      <c r="N15" s="53">
        <v>1</v>
      </c>
      <c r="O15" s="53">
        <v>0.6</v>
      </c>
      <c r="P15" s="53">
        <v>0.65</v>
      </c>
      <c r="Q15" s="75">
        <f t="shared" si="2"/>
        <v>0.625</v>
      </c>
      <c r="R15" s="168">
        <v>15.8</v>
      </c>
      <c r="S15" s="168">
        <v>102</v>
      </c>
      <c r="T15" s="16">
        <f t="shared" si="0"/>
        <v>33</v>
      </c>
      <c r="U15" s="164">
        <v>98</v>
      </c>
      <c r="V15" s="38">
        <f t="shared" si="1"/>
        <v>3234</v>
      </c>
      <c r="W15" s="165">
        <v>4</v>
      </c>
      <c r="X15" s="166" t="s">
        <v>39</v>
      </c>
      <c r="Y15" s="172" t="s">
        <v>84</v>
      </c>
      <c r="Z15" s="172" t="s">
        <v>50</v>
      </c>
      <c r="AA15" s="172" t="s">
        <v>90</v>
      </c>
      <c r="AB15" s="53" t="s">
        <v>158</v>
      </c>
      <c r="AC15" s="34"/>
      <c r="AE15" s="22" t="s">
        <v>79</v>
      </c>
      <c r="AP15" s="23" t="s">
        <v>77</v>
      </c>
      <c r="AR15" s="23" t="s">
        <v>94</v>
      </c>
      <c r="AV15" s="23" t="s">
        <v>107</v>
      </c>
    </row>
    <row r="16" spans="1:53" x14ac:dyDescent="0.15">
      <c r="A16" s="158" t="s">
        <v>34</v>
      </c>
      <c r="B16" s="158" t="s">
        <v>157</v>
      </c>
      <c r="C16" s="158">
        <v>2019</v>
      </c>
      <c r="D16" s="160" t="s">
        <v>360</v>
      </c>
      <c r="E16" s="159" t="s">
        <v>363</v>
      </c>
      <c r="F16" s="158" t="s">
        <v>362</v>
      </c>
      <c r="G16" s="161" t="s">
        <v>36</v>
      </c>
      <c r="H16" s="127" t="s">
        <v>160</v>
      </c>
      <c r="I16" s="127" t="s">
        <v>159</v>
      </c>
      <c r="J16" s="127" t="s">
        <v>38</v>
      </c>
      <c r="K16" s="127" t="s">
        <v>161</v>
      </c>
      <c r="L16" s="53">
        <v>3</v>
      </c>
      <c r="N16" s="53">
        <v>1</v>
      </c>
      <c r="O16" s="53">
        <v>0.65</v>
      </c>
      <c r="P16" s="53">
        <v>0.55000000000000004</v>
      </c>
      <c r="Q16" s="75">
        <f t="shared" si="2"/>
        <v>0.60000000000000009</v>
      </c>
      <c r="R16" s="168">
        <v>16.2</v>
      </c>
      <c r="S16" s="168">
        <v>103</v>
      </c>
      <c r="T16" s="16">
        <f t="shared" si="0"/>
        <v>33</v>
      </c>
      <c r="U16" s="164">
        <v>98</v>
      </c>
      <c r="V16" s="38">
        <f t="shared" si="1"/>
        <v>3234</v>
      </c>
      <c r="W16" s="165">
        <v>4</v>
      </c>
      <c r="X16" s="166" t="s">
        <v>39</v>
      </c>
      <c r="Y16" s="172" t="s">
        <v>84</v>
      </c>
      <c r="Z16" s="172" t="s">
        <v>50</v>
      </c>
      <c r="AA16" s="172" t="s">
        <v>90</v>
      </c>
      <c r="AB16" s="53" t="s">
        <v>158</v>
      </c>
      <c r="AC16" s="34"/>
      <c r="AE16" s="22" t="s">
        <v>82</v>
      </c>
      <c r="AP16" s="23" t="s">
        <v>80</v>
      </c>
      <c r="AR16" s="23" t="s">
        <v>63</v>
      </c>
      <c r="AV16" s="23" t="s">
        <v>84</v>
      </c>
    </row>
    <row r="17" spans="1:48" x14ac:dyDescent="0.15">
      <c r="A17" s="158" t="s">
        <v>34</v>
      </c>
      <c r="B17" s="158" t="s">
        <v>234</v>
      </c>
      <c r="C17" s="159">
        <v>2019</v>
      </c>
      <c r="D17" s="160" t="s">
        <v>360</v>
      </c>
      <c r="E17" s="159" t="s">
        <v>358</v>
      </c>
      <c r="F17" s="158" t="s">
        <v>364</v>
      </c>
      <c r="G17" s="161" t="s">
        <v>36</v>
      </c>
      <c r="H17" s="127" t="s">
        <v>164</v>
      </c>
      <c r="I17" s="127" t="s">
        <v>159</v>
      </c>
      <c r="J17" s="127" t="s">
        <v>38</v>
      </c>
      <c r="K17" s="127" t="s">
        <v>161</v>
      </c>
      <c r="L17" s="53">
        <v>1</v>
      </c>
      <c r="N17" s="53">
        <v>1</v>
      </c>
      <c r="O17" s="53">
        <v>0.5</v>
      </c>
      <c r="P17" s="53">
        <v>0.45</v>
      </c>
      <c r="Q17" s="75">
        <f t="shared" si="2"/>
        <v>0.47499999999999998</v>
      </c>
      <c r="R17" s="168">
        <v>14</v>
      </c>
      <c r="S17" s="168">
        <v>116</v>
      </c>
      <c r="T17" s="16">
        <f t="shared" si="0"/>
        <v>30</v>
      </c>
      <c r="U17" s="164">
        <v>128</v>
      </c>
      <c r="V17" s="38">
        <f t="shared" si="1"/>
        <v>3840</v>
      </c>
      <c r="W17" s="165">
        <v>6</v>
      </c>
      <c r="X17" s="166" t="s">
        <v>46</v>
      </c>
      <c r="Y17" s="172" t="s">
        <v>90</v>
      </c>
      <c r="Z17" s="172" t="s">
        <v>78</v>
      </c>
      <c r="AA17" s="172" t="s">
        <v>102</v>
      </c>
      <c r="AB17" s="53" t="s">
        <v>158</v>
      </c>
      <c r="AC17" s="34"/>
      <c r="AE17" s="22" t="s">
        <v>85</v>
      </c>
      <c r="AP17" s="27" t="s">
        <v>110</v>
      </c>
      <c r="AR17" s="23" t="s">
        <v>96</v>
      </c>
      <c r="AV17" s="23" t="s">
        <v>86</v>
      </c>
    </row>
    <row r="18" spans="1:48" x14ac:dyDescent="0.15">
      <c r="A18" s="158" t="s">
        <v>34</v>
      </c>
      <c r="B18" s="158" t="s">
        <v>157</v>
      </c>
      <c r="C18" s="158">
        <v>2019</v>
      </c>
      <c r="D18" s="160" t="s">
        <v>360</v>
      </c>
      <c r="E18" s="159" t="s">
        <v>358</v>
      </c>
      <c r="F18" s="158" t="s">
        <v>364</v>
      </c>
      <c r="G18" s="161" t="s">
        <v>36</v>
      </c>
      <c r="H18" s="127" t="s">
        <v>164</v>
      </c>
      <c r="I18" s="127" t="s">
        <v>159</v>
      </c>
      <c r="J18" s="127" t="s">
        <v>38</v>
      </c>
      <c r="K18" s="127" t="s">
        <v>161</v>
      </c>
      <c r="L18" s="53">
        <v>2</v>
      </c>
      <c r="N18" s="53">
        <v>1</v>
      </c>
      <c r="O18" s="53">
        <v>0.6</v>
      </c>
      <c r="P18" s="53">
        <v>0.55000000000000004</v>
      </c>
      <c r="Q18" s="75">
        <f t="shared" si="2"/>
        <v>0.57499999999999996</v>
      </c>
      <c r="R18" s="168">
        <v>14.4</v>
      </c>
      <c r="S18" s="168">
        <v>116</v>
      </c>
      <c r="T18" s="16">
        <f t="shared" si="0"/>
        <v>30</v>
      </c>
      <c r="U18" s="164">
        <v>128</v>
      </c>
      <c r="V18" s="38">
        <f t="shared" si="1"/>
        <v>3840</v>
      </c>
      <c r="W18" s="165">
        <v>6</v>
      </c>
      <c r="X18" s="166" t="s">
        <v>46</v>
      </c>
      <c r="Y18" s="172" t="s">
        <v>90</v>
      </c>
      <c r="Z18" s="172" t="s">
        <v>78</v>
      </c>
      <c r="AA18" s="172" t="s">
        <v>102</v>
      </c>
      <c r="AB18" s="53" t="s">
        <v>158</v>
      </c>
      <c r="AC18" s="34"/>
      <c r="AE18" s="22" t="s">
        <v>87</v>
      </c>
      <c r="AP18" s="27" t="s">
        <v>111</v>
      </c>
      <c r="AR18" s="23" t="s">
        <v>101</v>
      </c>
      <c r="AV18" s="23" t="s">
        <v>88</v>
      </c>
    </row>
    <row r="19" spans="1:48" x14ac:dyDescent="0.15">
      <c r="A19" s="158" t="s">
        <v>34</v>
      </c>
      <c r="B19" s="158" t="s">
        <v>157</v>
      </c>
      <c r="C19" s="159">
        <v>2019</v>
      </c>
      <c r="D19" s="160" t="s">
        <v>360</v>
      </c>
      <c r="E19" s="159" t="s">
        <v>358</v>
      </c>
      <c r="F19" s="158" t="s">
        <v>364</v>
      </c>
      <c r="G19" s="161" t="s">
        <v>36</v>
      </c>
      <c r="H19" s="127" t="s">
        <v>164</v>
      </c>
      <c r="I19" s="127" t="s">
        <v>159</v>
      </c>
      <c r="J19" s="127" t="s">
        <v>38</v>
      </c>
      <c r="K19" s="127" t="s">
        <v>161</v>
      </c>
      <c r="L19" s="53">
        <v>3</v>
      </c>
      <c r="N19" s="53">
        <v>1</v>
      </c>
      <c r="O19" s="53">
        <v>0.55000000000000004</v>
      </c>
      <c r="P19" s="53">
        <v>0.6</v>
      </c>
      <c r="Q19" s="75">
        <f t="shared" si="2"/>
        <v>0.57499999999999996</v>
      </c>
      <c r="R19" s="168">
        <v>14.2</v>
      </c>
      <c r="S19" s="168">
        <v>119</v>
      </c>
      <c r="T19" s="16">
        <f t="shared" si="0"/>
        <v>30</v>
      </c>
      <c r="U19" s="164">
        <v>128</v>
      </c>
      <c r="V19" s="38">
        <f t="shared" si="1"/>
        <v>3840</v>
      </c>
      <c r="W19" s="165">
        <v>6</v>
      </c>
      <c r="X19" s="166" t="s">
        <v>46</v>
      </c>
      <c r="Y19" s="172" t="s">
        <v>90</v>
      </c>
      <c r="Z19" s="172" t="s">
        <v>78</v>
      </c>
      <c r="AA19" s="172" t="s">
        <v>102</v>
      </c>
      <c r="AB19" s="53" t="s">
        <v>158</v>
      </c>
      <c r="AC19" s="34"/>
      <c r="AE19" s="35" t="s">
        <v>89</v>
      </c>
      <c r="AP19" s="27" t="s">
        <v>112</v>
      </c>
      <c r="AR19" s="23" t="s">
        <v>126</v>
      </c>
      <c r="AV19" s="23" t="s">
        <v>90</v>
      </c>
    </row>
    <row r="20" spans="1:48" x14ac:dyDescent="0.15">
      <c r="A20" s="158" t="s">
        <v>34</v>
      </c>
      <c r="B20" s="158" t="s">
        <v>157</v>
      </c>
      <c r="C20" s="158">
        <v>2019</v>
      </c>
      <c r="D20" s="160" t="s">
        <v>360</v>
      </c>
      <c r="E20" s="159" t="s">
        <v>358</v>
      </c>
      <c r="F20" s="158" t="s">
        <v>364</v>
      </c>
      <c r="G20" s="161" t="s">
        <v>36</v>
      </c>
      <c r="H20" s="127" t="s">
        <v>160</v>
      </c>
      <c r="I20" s="127" t="s">
        <v>159</v>
      </c>
      <c r="J20" s="127" t="s">
        <v>38</v>
      </c>
      <c r="K20" s="127" t="s">
        <v>161</v>
      </c>
      <c r="L20" s="53">
        <v>1</v>
      </c>
      <c r="N20" s="53">
        <v>1</v>
      </c>
      <c r="O20" s="53">
        <v>0.55000000000000004</v>
      </c>
      <c r="P20" s="53">
        <v>0.6</v>
      </c>
      <c r="Q20" s="75">
        <f t="shared" si="2"/>
        <v>0.57499999999999996</v>
      </c>
      <c r="R20" s="168">
        <v>14.5</v>
      </c>
      <c r="S20" s="168">
        <v>120</v>
      </c>
      <c r="T20" s="16">
        <f t="shared" si="0"/>
        <v>30</v>
      </c>
      <c r="U20" s="164">
        <v>128</v>
      </c>
      <c r="V20" s="38">
        <f t="shared" si="1"/>
        <v>3840</v>
      </c>
      <c r="W20" s="165">
        <v>6</v>
      </c>
      <c r="X20" s="166" t="s">
        <v>46</v>
      </c>
      <c r="Y20" s="172" t="s">
        <v>90</v>
      </c>
      <c r="Z20" s="172" t="s">
        <v>78</v>
      </c>
      <c r="AA20" s="172" t="s">
        <v>102</v>
      </c>
      <c r="AB20" s="53" t="s">
        <v>158</v>
      </c>
      <c r="AE20" s="35"/>
      <c r="AP20" s="27" t="s">
        <v>113</v>
      </c>
      <c r="AR20" s="23" t="s">
        <v>105</v>
      </c>
      <c r="AV20" s="27" t="s">
        <v>135</v>
      </c>
    </row>
    <row r="21" spans="1:48" x14ac:dyDescent="0.15">
      <c r="A21" s="158" t="s">
        <v>34</v>
      </c>
      <c r="B21" s="158" t="s">
        <v>157</v>
      </c>
      <c r="C21" s="159">
        <v>2019</v>
      </c>
      <c r="D21" s="160" t="s">
        <v>360</v>
      </c>
      <c r="E21" s="159" t="s">
        <v>358</v>
      </c>
      <c r="F21" s="158" t="s">
        <v>364</v>
      </c>
      <c r="G21" s="161" t="s">
        <v>36</v>
      </c>
      <c r="H21" s="127" t="s">
        <v>160</v>
      </c>
      <c r="I21" s="127" t="s">
        <v>159</v>
      </c>
      <c r="J21" s="127" t="s">
        <v>38</v>
      </c>
      <c r="K21" s="127" t="s">
        <v>161</v>
      </c>
      <c r="L21" s="53">
        <v>2</v>
      </c>
      <c r="N21" s="53">
        <v>1</v>
      </c>
      <c r="O21" s="53">
        <v>0.6</v>
      </c>
      <c r="P21" s="53">
        <v>0.55000000000000004</v>
      </c>
      <c r="Q21" s="75">
        <f t="shared" si="2"/>
        <v>0.57499999999999996</v>
      </c>
      <c r="R21" s="168">
        <v>14.3</v>
      </c>
      <c r="S21" s="168">
        <v>121</v>
      </c>
      <c r="T21" s="16">
        <f t="shared" si="0"/>
        <v>30</v>
      </c>
      <c r="U21" s="164">
        <v>128</v>
      </c>
      <c r="V21" s="38">
        <f t="shared" si="1"/>
        <v>3840</v>
      </c>
      <c r="W21" s="165">
        <v>6</v>
      </c>
      <c r="X21" s="166" t="s">
        <v>46</v>
      </c>
      <c r="Y21" s="172" t="s">
        <v>90</v>
      </c>
      <c r="Z21" s="172" t="s">
        <v>78</v>
      </c>
      <c r="AA21" s="172" t="s">
        <v>102</v>
      </c>
      <c r="AB21" s="53" t="s">
        <v>158</v>
      </c>
      <c r="AE21" s="28"/>
      <c r="AP21" s="27" t="s">
        <v>114</v>
      </c>
      <c r="AR21" s="23" t="s">
        <v>68</v>
      </c>
      <c r="AV21" s="27" t="s">
        <v>136</v>
      </c>
    </row>
    <row r="22" spans="1:48" x14ac:dyDescent="0.15">
      <c r="A22" s="158" t="s">
        <v>34</v>
      </c>
      <c r="B22" s="158" t="s">
        <v>157</v>
      </c>
      <c r="C22" s="158">
        <v>2019</v>
      </c>
      <c r="D22" s="160" t="s">
        <v>360</v>
      </c>
      <c r="E22" s="159" t="s">
        <v>358</v>
      </c>
      <c r="F22" s="158" t="s">
        <v>364</v>
      </c>
      <c r="G22" s="161" t="s">
        <v>36</v>
      </c>
      <c r="H22" s="127" t="s">
        <v>160</v>
      </c>
      <c r="I22" s="127" t="s">
        <v>159</v>
      </c>
      <c r="J22" s="127" t="s">
        <v>38</v>
      </c>
      <c r="K22" s="127" t="s">
        <v>161</v>
      </c>
      <c r="L22" s="53">
        <v>3</v>
      </c>
      <c r="N22" s="53">
        <v>1</v>
      </c>
      <c r="O22" s="53">
        <v>0.6</v>
      </c>
      <c r="P22" s="34">
        <v>0.6</v>
      </c>
      <c r="Q22" s="75">
        <f t="shared" si="2"/>
        <v>0.6</v>
      </c>
      <c r="R22" s="168">
        <v>14.7</v>
      </c>
      <c r="S22" s="168">
        <v>124</v>
      </c>
      <c r="T22" s="16">
        <f t="shared" si="0"/>
        <v>30</v>
      </c>
      <c r="U22" s="164">
        <v>128</v>
      </c>
      <c r="V22" s="38">
        <f t="shared" si="1"/>
        <v>3840</v>
      </c>
      <c r="W22" s="165">
        <v>6</v>
      </c>
      <c r="X22" s="166" t="s">
        <v>46</v>
      </c>
      <c r="Y22" s="172" t="s">
        <v>90</v>
      </c>
      <c r="Z22" s="172" t="s">
        <v>78</v>
      </c>
      <c r="AA22" s="172" t="s">
        <v>102</v>
      </c>
      <c r="AB22" s="53" t="s">
        <v>158</v>
      </c>
      <c r="AP22" s="27" t="s">
        <v>115</v>
      </c>
      <c r="AR22" s="23" t="s">
        <v>83</v>
      </c>
      <c r="AV22" s="23"/>
    </row>
    <row r="23" spans="1:48" x14ac:dyDescent="0.15">
      <c r="A23" s="158" t="s">
        <v>34</v>
      </c>
      <c r="B23" s="158" t="s">
        <v>157</v>
      </c>
      <c r="C23" s="159">
        <v>2019</v>
      </c>
      <c r="D23" s="160" t="s">
        <v>360</v>
      </c>
      <c r="E23" s="159" t="s">
        <v>211</v>
      </c>
      <c r="F23" s="158" t="s">
        <v>365</v>
      </c>
      <c r="G23" s="161" t="s">
        <v>42</v>
      </c>
      <c r="H23" s="127" t="s">
        <v>164</v>
      </c>
      <c r="I23" s="127" t="s">
        <v>159</v>
      </c>
      <c r="J23" s="127" t="s">
        <v>38</v>
      </c>
      <c r="K23" s="127" t="s">
        <v>161</v>
      </c>
      <c r="L23" s="53">
        <v>1</v>
      </c>
      <c r="N23" s="53">
        <v>1</v>
      </c>
      <c r="O23" s="53">
        <v>0.7</v>
      </c>
      <c r="P23" s="34">
        <v>0.65</v>
      </c>
      <c r="Q23" s="75">
        <f t="shared" si="2"/>
        <v>0.67500000000000004</v>
      </c>
      <c r="R23" s="168">
        <v>15.4</v>
      </c>
      <c r="S23" s="168">
        <v>124</v>
      </c>
      <c r="T23" s="16">
        <f t="shared" si="0"/>
        <v>30</v>
      </c>
      <c r="U23" s="164">
        <v>97</v>
      </c>
      <c r="V23" s="38">
        <f t="shared" si="1"/>
        <v>2910</v>
      </c>
      <c r="W23" s="165">
        <v>8</v>
      </c>
      <c r="X23" s="166" t="s">
        <v>46</v>
      </c>
      <c r="Y23" s="172" t="s">
        <v>50</v>
      </c>
      <c r="Z23" s="172" t="s">
        <v>90</v>
      </c>
      <c r="AA23" s="172" t="s">
        <v>84</v>
      </c>
      <c r="AB23" s="53" t="s">
        <v>158</v>
      </c>
      <c r="AP23" s="27" t="s">
        <v>137</v>
      </c>
      <c r="AR23" s="23" t="s">
        <v>61</v>
      </c>
      <c r="AV23" s="23"/>
    </row>
    <row r="24" spans="1:48" x14ac:dyDescent="0.15">
      <c r="A24" s="158" t="s">
        <v>34</v>
      </c>
      <c r="B24" s="158" t="s">
        <v>157</v>
      </c>
      <c r="C24" s="158">
        <v>2019</v>
      </c>
      <c r="D24" s="160" t="s">
        <v>360</v>
      </c>
      <c r="E24" s="159" t="s">
        <v>211</v>
      </c>
      <c r="F24" s="158" t="s">
        <v>365</v>
      </c>
      <c r="G24" s="161" t="s">
        <v>42</v>
      </c>
      <c r="H24" s="127" t="s">
        <v>164</v>
      </c>
      <c r="I24" s="127" t="s">
        <v>159</v>
      </c>
      <c r="J24" s="127" t="s">
        <v>38</v>
      </c>
      <c r="K24" s="127" t="s">
        <v>161</v>
      </c>
      <c r="L24" s="53">
        <v>2</v>
      </c>
      <c r="N24" s="53">
        <v>1</v>
      </c>
      <c r="O24" s="53">
        <v>0.5</v>
      </c>
      <c r="P24" s="34">
        <v>0.55000000000000004</v>
      </c>
      <c r="Q24" s="75">
        <f t="shared" si="2"/>
        <v>0.52500000000000002</v>
      </c>
      <c r="R24" s="168">
        <v>15.6</v>
      </c>
      <c r="S24" s="168">
        <v>115</v>
      </c>
      <c r="T24" s="16">
        <f t="shared" si="0"/>
        <v>30</v>
      </c>
      <c r="U24" s="164">
        <v>97</v>
      </c>
      <c r="V24" s="38">
        <f t="shared" si="1"/>
        <v>2910</v>
      </c>
      <c r="W24" s="165">
        <v>8</v>
      </c>
      <c r="X24" s="166" t="s">
        <v>46</v>
      </c>
      <c r="Y24" s="172" t="s">
        <v>50</v>
      </c>
      <c r="Z24" s="172" t="s">
        <v>90</v>
      </c>
      <c r="AA24" s="172" t="s">
        <v>84</v>
      </c>
      <c r="AB24" s="53" t="s">
        <v>158</v>
      </c>
      <c r="AP24" s="27" t="s">
        <v>138</v>
      </c>
      <c r="AR24" s="23" t="s">
        <v>91</v>
      </c>
      <c r="AV24" s="23"/>
    </row>
    <row r="25" spans="1:48" x14ac:dyDescent="0.15">
      <c r="A25" s="158" t="s">
        <v>34</v>
      </c>
      <c r="B25" s="158" t="s">
        <v>157</v>
      </c>
      <c r="C25" s="159">
        <v>2019</v>
      </c>
      <c r="D25" s="160" t="s">
        <v>360</v>
      </c>
      <c r="E25" s="159" t="s">
        <v>211</v>
      </c>
      <c r="F25" s="158" t="s">
        <v>365</v>
      </c>
      <c r="G25" s="161" t="s">
        <v>42</v>
      </c>
      <c r="H25" s="127" t="s">
        <v>164</v>
      </c>
      <c r="I25" s="127" t="s">
        <v>159</v>
      </c>
      <c r="J25" s="127" t="s">
        <v>38</v>
      </c>
      <c r="K25" s="127" t="s">
        <v>161</v>
      </c>
      <c r="L25" s="53">
        <v>3</v>
      </c>
      <c r="N25" s="53">
        <v>1</v>
      </c>
      <c r="O25" s="53">
        <v>0.65</v>
      </c>
      <c r="P25" s="34">
        <v>0.6</v>
      </c>
      <c r="Q25" s="75">
        <f t="shared" si="2"/>
        <v>0.625</v>
      </c>
      <c r="R25" s="168">
        <v>15.2</v>
      </c>
      <c r="S25" s="168">
        <v>119</v>
      </c>
      <c r="T25" s="16">
        <f t="shared" si="0"/>
        <v>30</v>
      </c>
      <c r="U25" s="164">
        <v>97</v>
      </c>
      <c r="V25" s="38">
        <f t="shared" si="1"/>
        <v>2910</v>
      </c>
      <c r="W25" s="165">
        <v>8</v>
      </c>
      <c r="X25" s="166" t="s">
        <v>46</v>
      </c>
      <c r="Y25" s="172" t="s">
        <v>50</v>
      </c>
      <c r="Z25" s="172" t="s">
        <v>90</v>
      </c>
      <c r="AA25" s="172" t="s">
        <v>84</v>
      </c>
      <c r="AB25" s="53" t="s">
        <v>158</v>
      </c>
      <c r="AP25" s="27" t="s">
        <v>116</v>
      </c>
      <c r="AR25" s="27" t="s">
        <v>92</v>
      </c>
      <c r="AV25" s="23"/>
    </row>
    <row r="26" spans="1:48" x14ac:dyDescent="0.15">
      <c r="A26" s="158" t="s">
        <v>34</v>
      </c>
      <c r="B26" s="158" t="s">
        <v>157</v>
      </c>
      <c r="C26" s="158">
        <v>2019</v>
      </c>
      <c r="D26" s="160" t="s">
        <v>360</v>
      </c>
      <c r="E26" s="159" t="s">
        <v>271</v>
      </c>
      <c r="F26" s="158" t="s">
        <v>365</v>
      </c>
      <c r="G26" s="161" t="s">
        <v>42</v>
      </c>
      <c r="H26" s="127" t="s">
        <v>164</v>
      </c>
      <c r="I26" s="127" t="s">
        <v>159</v>
      </c>
      <c r="J26" s="127" t="s">
        <v>38</v>
      </c>
      <c r="K26" s="127" t="s">
        <v>161</v>
      </c>
      <c r="L26" s="53">
        <v>1</v>
      </c>
      <c r="N26" s="53">
        <v>7</v>
      </c>
      <c r="O26" s="53">
        <v>0.5</v>
      </c>
      <c r="P26" s="53">
        <v>0.45</v>
      </c>
      <c r="Q26" s="75">
        <f t="shared" si="2"/>
        <v>0.47499999999999998</v>
      </c>
      <c r="R26" s="168">
        <v>15.7</v>
      </c>
      <c r="S26" s="168">
        <v>91</v>
      </c>
      <c r="T26" s="16">
        <f t="shared" si="0"/>
        <v>36</v>
      </c>
      <c r="U26" s="164">
        <v>398</v>
      </c>
      <c r="V26" s="38">
        <f t="shared" si="1"/>
        <v>2046.8571428571427</v>
      </c>
      <c r="W26" s="165">
        <v>2</v>
      </c>
      <c r="X26" s="166" t="s">
        <v>46</v>
      </c>
      <c r="Y26" s="172" t="s">
        <v>50</v>
      </c>
      <c r="Z26" s="172" t="s">
        <v>90</v>
      </c>
      <c r="AA26" s="172" t="s">
        <v>84</v>
      </c>
      <c r="AB26" s="53" t="s">
        <v>158</v>
      </c>
      <c r="AP26" s="27" t="s">
        <v>117</v>
      </c>
      <c r="AR26" s="23" t="s">
        <v>153</v>
      </c>
      <c r="AV26" s="27"/>
    </row>
    <row r="27" spans="1:48" x14ac:dyDescent="0.15">
      <c r="A27" s="158" t="s">
        <v>34</v>
      </c>
      <c r="B27" s="158" t="s">
        <v>157</v>
      </c>
      <c r="C27" s="159">
        <v>2019</v>
      </c>
      <c r="D27" s="160" t="s">
        <v>360</v>
      </c>
      <c r="E27" s="159" t="s">
        <v>271</v>
      </c>
      <c r="F27" s="158" t="s">
        <v>365</v>
      </c>
      <c r="G27" s="161" t="s">
        <v>42</v>
      </c>
      <c r="H27" s="127" t="s">
        <v>164</v>
      </c>
      <c r="I27" s="127" t="s">
        <v>159</v>
      </c>
      <c r="J27" s="127" t="s">
        <v>38</v>
      </c>
      <c r="K27" s="127" t="s">
        <v>161</v>
      </c>
      <c r="L27" s="53">
        <v>2</v>
      </c>
      <c r="N27" s="53">
        <v>7</v>
      </c>
      <c r="O27" s="34">
        <v>0.4</v>
      </c>
      <c r="P27" s="53">
        <v>0.5</v>
      </c>
      <c r="Q27" s="75">
        <f t="shared" si="2"/>
        <v>0.45</v>
      </c>
      <c r="R27" s="168">
        <v>15.3</v>
      </c>
      <c r="S27" s="168">
        <v>86</v>
      </c>
      <c r="T27" s="16">
        <f t="shared" si="0"/>
        <v>36</v>
      </c>
      <c r="U27" s="164">
        <v>398</v>
      </c>
      <c r="V27" s="38">
        <f t="shared" si="1"/>
        <v>2046.8571428571427</v>
      </c>
      <c r="W27" s="165">
        <v>2</v>
      </c>
      <c r="X27" s="166" t="s">
        <v>46</v>
      </c>
      <c r="Y27" s="172" t="s">
        <v>50</v>
      </c>
      <c r="Z27" s="172" t="s">
        <v>90</v>
      </c>
      <c r="AA27" s="172" t="s">
        <v>84</v>
      </c>
      <c r="AB27" s="53" t="s">
        <v>158</v>
      </c>
      <c r="AP27" s="27" t="s">
        <v>118</v>
      </c>
      <c r="AR27" s="23"/>
    </row>
    <row r="28" spans="1:48" x14ac:dyDescent="0.15">
      <c r="A28" s="158" t="s">
        <v>34</v>
      </c>
      <c r="B28" s="158" t="s">
        <v>157</v>
      </c>
      <c r="C28" s="158">
        <v>2019</v>
      </c>
      <c r="D28" s="160" t="s">
        <v>360</v>
      </c>
      <c r="E28" s="159" t="s">
        <v>271</v>
      </c>
      <c r="F28" s="158" t="s">
        <v>365</v>
      </c>
      <c r="G28" s="161" t="s">
        <v>42</v>
      </c>
      <c r="H28" s="127" t="s">
        <v>164</v>
      </c>
      <c r="I28" s="127" t="s">
        <v>159</v>
      </c>
      <c r="J28" s="127" t="s">
        <v>38</v>
      </c>
      <c r="K28" s="127" t="s">
        <v>161</v>
      </c>
      <c r="L28" s="53">
        <v>3</v>
      </c>
      <c r="N28" s="53">
        <v>7</v>
      </c>
      <c r="O28" s="34">
        <v>0.4</v>
      </c>
      <c r="P28" s="53">
        <v>0.35</v>
      </c>
      <c r="Q28" s="75">
        <f t="shared" si="2"/>
        <v>0.375</v>
      </c>
      <c r="R28" s="168">
        <v>15.5</v>
      </c>
      <c r="S28" s="168">
        <v>88</v>
      </c>
      <c r="T28" s="16">
        <f t="shared" si="0"/>
        <v>36</v>
      </c>
      <c r="U28" s="164">
        <v>398</v>
      </c>
      <c r="V28" s="38">
        <f t="shared" si="1"/>
        <v>2046.8571428571427</v>
      </c>
      <c r="W28" s="165">
        <v>2</v>
      </c>
      <c r="X28" s="166" t="s">
        <v>46</v>
      </c>
      <c r="Y28" s="172" t="s">
        <v>50</v>
      </c>
      <c r="Z28" s="172" t="s">
        <v>90</v>
      </c>
      <c r="AA28" s="172" t="s">
        <v>84</v>
      </c>
      <c r="AB28" s="53" t="s">
        <v>158</v>
      </c>
      <c r="AR28" s="23"/>
    </row>
    <row r="29" spans="1:48" x14ac:dyDescent="0.15">
      <c r="A29" s="158" t="s">
        <v>34</v>
      </c>
      <c r="B29" s="158" t="s">
        <v>157</v>
      </c>
      <c r="C29" s="158">
        <v>2019</v>
      </c>
      <c r="D29" s="160" t="s">
        <v>360</v>
      </c>
      <c r="E29" s="159" t="s">
        <v>211</v>
      </c>
      <c r="F29" s="158" t="s">
        <v>367</v>
      </c>
      <c r="G29" s="161" t="s">
        <v>42</v>
      </c>
      <c r="H29" s="127" t="s">
        <v>164</v>
      </c>
      <c r="I29" s="127" t="s">
        <v>159</v>
      </c>
      <c r="J29" s="127" t="s">
        <v>38</v>
      </c>
      <c r="K29" s="127" t="s">
        <v>161</v>
      </c>
      <c r="L29" s="53">
        <v>1</v>
      </c>
      <c r="N29" s="53">
        <v>4</v>
      </c>
      <c r="O29" s="53">
        <v>0.5</v>
      </c>
      <c r="P29" s="53">
        <v>0.45</v>
      </c>
      <c r="Q29" s="75">
        <f t="shared" si="2"/>
        <v>0.47499999999999998</v>
      </c>
      <c r="R29" s="168">
        <v>14.4</v>
      </c>
      <c r="S29" s="168">
        <v>84</v>
      </c>
      <c r="T29" s="16">
        <f t="shared" si="0"/>
        <v>36</v>
      </c>
      <c r="U29" s="164">
        <v>377</v>
      </c>
      <c r="V29" s="38">
        <f t="shared" si="1"/>
        <v>3393</v>
      </c>
      <c r="W29" s="165">
        <v>1</v>
      </c>
      <c r="X29" s="166" t="s">
        <v>46</v>
      </c>
      <c r="Y29" s="172" t="s">
        <v>84</v>
      </c>
      <c r="Z29" s="172" t="s">
        <v>90</v>
      </c>
      <c r="AA29" s="172" t="s">
        <v>50</v>
      </c>
      <c r="AB29" s="53" t="s">
        <v>158</v>
      </c>
      <c r="AR29" s="28"/>
    </row>
    <row r="30" spans="1:48" x14ac:dyDescent="0.15">
      <c r="A30" s="158" t="s">
        <v>34</v>
      </c>
      <c r="B30" s="158" t="s">
        <v>157</v>
      </c>
      <c r="C30" s="159">
        <v>2019</v>
      </c>
      <c r="D30" s="160" t="s">
        <v>360</v>
      </c>
      <c r="E30" s="159" t="s">
        <v>211</v>
      </c>
      <c r="F30" s="158" t="s">
        <v>367</v>
      </c>
      <c r="G30" s="161" t="s">
        <v>42</v>
      </c>
      <c r="H30" s="127" t="s">
        <v>164</v>
      </c>
      <c r="I30" s="127" t="s">
        <v>159</v>
      </c>
      <c r="J30" s="127" t="s">
        <v>38</v>
      </c>
      <c r="K30" s="127" t="s">
        <v>161</v>
      </c>
      <c r="L30" s="53">
        <v>2</v>
      </c>
      <c r="N30" s="53">
        <v>4</v>
      </c>
      <c r="O30" s="53">
        <v>0.45</v>
      </c>
      <c r="P30" s="53">
        <v>0.5</v>
      </c>
      <c r="Q30" s="75">
        <f t="shared" si="2"/>
        <v>0.47499999999999998</v>
      </c>
      <c r="R30" s="168">
        <v>14.6</v>
      </c>
      <c r="S30" s="168">
        <v>91</v>
      </c>
      <c r="T30" s="16">
        <f t="shared" si="0"/>
        <v>36</v>
      </c>
      <c r="U30" s="164">
        <v>377</v>
      </c>
      <c r="V30" s="38">
        <f t="shared" si="1"/>
        <v>3393</v>
      </c>
      <c r="W30" s="165">
        <v>1</v>
      </c>
      <c r="X30" s="166" t="s">
        <v>46</v>
      </c>
      <c r="Y30" s="172" t="s">
        <v>84</v>
      </c>
      <c r="Z30" s="172" t="s">
        <v>90</v>
      </c>
      <c r="AA30" s="172" t="s">
        <v>50</v>
      </c>
      <c r="AB30" s="53" t="s">
        <v>158</v>
      </c>
    </row>
    <row r="31" spans="1:48" x14ac:dyDescent="0.15">
      <c r="A31" s="158" t="s">
        <v>34</v>
      </c>
      <c r="B31" s="158" t="s">
        <v>157</v>
      </c>
      <c r="C31" s="158">
        <v>2019</v>
      </c>
      <c r="D31" s="160" t="s">
        <v>360</v>
      </c>
      <c r="E31" s="159" t="s">
        <v>211</v>
      </c>
      <c r="F31" s="158" t="s">
        <v>367</v>
      </c>
      <c r="G31" s="161" t="s">
        <v>42</v>
      </c>
      <c r="H31" s="127" t="s">
        <v>164</v>
      </c>
      <c r="I31" s="127" t="s">
        <v>159</v>
      </c>
      <c r="J31" s="127" t="s">
        <v>38</v>
      </c>
      <c r="K31" s="127" t="s">
        <v>161</v>
      </c>
      <c r="L31" s="53">
        <v>3</v>
      </c>
      <c r="N31" s="53">
        <v>4</v>
      </c>
      <c r="O31" s="53">
        <v>0.45</v>
      </c>
      <c r="P31" s="53">
        <v>0.4</v>
      </c>
      <c r="Q31" s="75">
        <f t="shared" si="2"/>
        <v>0.42500000000000004</v>
      </c>
      <c r="R31" s="168">
        <v>15.1</v>
      </c>
      <c r="S31" s="168">
        <v>86</v>
      </c>
      <c r="T31" s="16">
        <f t="shared" si="0"/>
        <v>36</v>
      </c>
      <c r="U31" s="164">
        <v>377</v>
      </c>
      <c r="V31" s="38">
        <f t="shared" si="1"/>
        <v>3393</v>
      </c>
      <c r="W31" s="165">
        <v>1</v>
      </c>
      <c r="X31" s="166" t="s">
        <v>46</v>
      </c>
      <c r="Y31" s="172" t="s">
        <v>84</v>
      </c>
      <c r="Z31" s="172" t="s">
        <v>90</v>
      </c>
      <c r="AA31" s="172" t="s">
        <v>50</v>
      </c>
      <c r="AB31" s="53" t="s">
        <v>158</v>
      </c>
    </row>
    <row r="32" spans="1:48" ht="14.25" customHeight="1" x14ac:dyDescent="0.15">
      <c r="A32" s="158" t="s">
        <v>34</v>
      </c>
      <c r="B32" s="158" t="s">
        <v>157</v>
      </c>
      <c r="C32" s="159">
        <v>2019</v>
      </c>
      <c r="D32" s="160" t="s">
        <v>360</v>
      </c>
      <c r="E32" s="159" t="s">
        <v>139</v>
      </c>
      <c r="F32" s="158" t="s">
        <v>367</v>
      </c>
      <c r="G32" s="161" t="s">
        <v>36</v>
      </c>
      <c r="H32" s="127" t="s">
        <v>164</v>
      </c>
      <c r="I32" s="127" t="s">
        <v>159</v>
      </c>
      <c r="J32" s="127" t="s">
        <v>38</v>
      </c>
      <c r="K32" s="127" t="s">
        <v>161</v>
      </c>
      <c r="L32" s="53">
        <v>1</v>
      </c>
      <c r="N32" s="53">
        <v>1</v>
      </c>
      <c r="O32" s="53">
        <v>0.5</v>
      </c>
      <c r="P32" s="53">
        <v>0.5</v>
      </c>
      <c r="Q32" s="75">
        <f t="shared" si="2"/>
        <v>0.5</v>
      </c>
      <c r="R32" s="168">
        <v>14.3</v>
      </c>
      <c r="S32" s="168">
        <v>120</v>
      </c>
      <c r="T32" s="16">
        <f t="shared" si="0"/>
        <v>30</v>
      </c>
      <c r="U32" s="164">
        <v>108</v>
      </c>
      <c r="V32" s="38">
        <f t="shared" si="1"/>
        <v>3240</v>
      </c>
      <c r="W32" s="165">
        <v>6</v>
      </c>
      <c r="X32" s="166" t="s">
        <v>46</v>
      </c>
      <c r="Y32" s="172" t="s">
        <v>84</v>
      </c>
      <c r="Z32" s="172" t="s">
        <v>90</v>
      </c>
      <c r="AA32" s="172" t="s">
        <v>50</v>
      </c>
      <c r="AB32" s="53" t="s">
        <v>158</v>
      </c>
    </row>
    <row r="33" spans="1:28" x14ac:dyDescent="0.15">
      <c r="A33" s="158" t="s">
        <v>34</v>
      </c>
      <c r="B33" s="158" t="s">
        <v>157</v>
      </c>
      <c r="C33" s="158">
        <v>2019</v>
      </c>
      <c r="D33" s="160" t="s">
        <v>360</v>
      </c>
      <c r="E33" s="159" t="s">
        <v>139</v>
      </c>
      <c r="F33" s="158" t="s">
        <v>367</v>
      </c>
      <c r="G33" s="161" t="s">
        <v>36</v>
      </c>
      <c r="H33" s="127" t="s">
        <v>164</v>
      </c>
      <c r="I33" s="127" t="s">
        <v>159</v>
      </c>
      <c r="J33" s="127" t="s">
        <v>38</v>
      </c>
      <c r="K33" s="127" t="s">
        <v>161</v>
      </c>
      <c r="L33" s="53">
        <v>2</v>
      </c>
      <c r="N33" s="53">
        <v>1</v>
      </c>
      <c r="O33" s="53">
        <v>0.65</v>
      </c>
      <c r="P33" s="53">
        <v>0.55000000000000004</v>
      </c>
      <c r="Q33" s="75">
        <f t="shared" si="2"/>
        <v>0.60000000000000009</v>
      </c>
      <c r="R33" s="168">
        <v>13.8</v>
      </c>
      <c r="S33" s="168">
        <v>125</v>
      </c>
      <c r="T33" s="16">
        <f t="shared" si="0"/>
        <v>30</v>
      </c>
      <c r="U33" s="164">
        <v>108</v>
      </c>
      <c r="V33" s="38">
        <f t="shared" si="1"/>
        <v>3240</v>
      </c>
      <c r="W33" s="165">
        <v>6</v>
      </c>
      <c r="X33" s="166" t="s">
        <v>46</v>
      </c>
      <c r="Y33" s="172" t="s">
        <v>84</v>
      </c>
      <c r="Z33" s="172" t="s">
        <v>90</v>
      </c>
      <c r="AA33" s="172" t="s">
        <v>50</v>
      </c>
      <c r="AB33" s="53" t="s">
        <v>158</v>
      </c>
    </row>
    <row r="34" spans="1:28" x14ac:dyDescent="0.15">
      <c r="A34" s="158" t="s">
        <v>34</v>
      </c>
      <c r="B34" s="158" t="s">
        <v>157</v>
      </c>
      <c r="C34" s="159">
        <v>2019</v>
      </c>
      <c r="D34" s="160" t="s">
        <v>360</v>
      </c>
      <c r="E34" s="159" t="s">
        <v>139</v>
      </c>
      <c r="F34" s="158" t="s">
        <v>367</v>
      </c>
      <c r="G34" s="161" t="s">
        <v>36</v>
      </c>
      <c r="H34" s="127" t="s">
        <v>164</v>
      </c>
      <c r="I34" s="127" t="s">
        <v>159</v>
      </c>
      <c r="J34" s="127" t="s">
        <v>38</v>
      </c>
      <c r="K34" s="127" t="s">
        <v>161</v>
      </c>
      <c r="L34" s="53">
        <v>3</v>
      </c>
      <c r="N34" s="53">
        <v>1</v>
      </c>
      <c r="O34" s="53">
        <v>0.5</v>
      </c>
      <c r="P34" s="34">
        <v>0.45</v>
      </c>
      <c r="Q34" s="75">
        <f t="shared" si="2"/>
        <v>0.47499999999999998</v>
      </c>
      <c r="R34" s="168">
        <v>14.2</v>
      </c>
      <c r="S34" s="168">
        <v>117</v>
      </c>
      <c r="T34" s="16">
        <f t="shared" si="0"/>
        <v>30</v>
      </c>
      <c r="U34" s="164">
        <v>108</v>
      </c>
      <c r="V34" s="38">
        <f t="shared" si="1"/>
        <v>3240</v>
      </c>
      <c r="W34" s="165">
        <v>6</v>
      </c>
      <c r="X34" s="166" t="s">
        <v>46</v>
      </c>
      <c r="Y34" s="172" t="s">
        <v>84</v>
      </c>
      <c r="Z34" s="172" t="s">
        <v>90</v>
      </c>
      <c r="AA34" s="172" t="s">
        <v>50</v>
      </c>
      <c r="AB34" s="53" t="s">
        <v>158</v>
      </c>
    </row>
    <row r="35" spans="1:28" x14ac:dyDescent="0.15">
      <c r="A35" s="158" t="s">
        <v>34</v>
      </c>
      <c r="B35" s="158" t="s">
        <v>157</v>
      </c>
      <c r="C35" s="158">
        <v>2019</v>
      </c>
      <c r="D35" s="160" t="s">
        <v>360</v>
      </c>
      <c r="E35" s="159" t="s">
        <v>133</v>
      </c>
      <c r="F35" s="158" t="s">
        <v>368</v>
      </c>
      <c r="G35" s="161" t="s">
        <v>36</v>
      </c>
      <c r="H35" s="127" t="s">
        <v>164</v>
      </c>
      <c r="I35" s="127" t="s">
        <v>159</v>
      </c>
      <c r="J35" s="127" t="s">
        <v>38</v>
      </c>
      <c r="K35" s="127" t="s">
        <v>161</v>
      </c>
      <c r="L35" s="53">
        <v>1</v>
      </c>
      <c r="N35" s="53">
        <v>1</v>
      </c>
      <c r="O35" s="53">
        <v>0.75</v>
      </c>
      <c r="P35" s="53">
        <v>0.8</v>
      </c>
      <c r="Q35" s="75">
        <f t="shared" si="2"/>
        <v>0.77500000000000002</v>
      </c>
      <c r="R35" s="168">
        <v>14.5</v>
      </c>
      <c r="S35" s="168">
        <v>111</v>
      </c>
      <c r="T35" s="16">
        <f t="shared" si="0"/>
        <v>33</v>
      </c>
      <c r="U35" s="164">
        <v>98</v>
      </c>
      <c r="V35" s="38">
        <f t="shared" si="1"/>
        <v>3234</v>
      </c>
      <c r="W35" s="165">
        <v>14</v>
      </c>
      <c r="X35" s="166" t="s">
        <v>46</v>
      </c>
      <c r="Y35" s="172" t="s">
        <v>69</v>
      </c>
      <c r="Z35" s="172" t="s">
        <v>90</v>
      </c>
      <c r="AA35" s="172" t="s">
        <v>84</v>
      </c>
      <c r="AB35" s="53" t="s">
        <v>158</v>
      </c>
    </row>
    <row r="36" spans="1:28" x14ac:dyDescent="0.15">
      <c r="A36" s="158" t="s">
        <v>34</v>
      </c>
      <c r="B36" s="158" t="s">
        <v>157</v>
      </c>
      <c r="C36" s="159">
        <v>2019</v>
      </c>
      <c r="D36" s="160" t="s">
        <v>360</v>
      </c>
      <c r="E36" s="159" t="s">
        <v>133</v>
      </c>
      <c r="F36" s="158" t="s">
        <v>368</v>
      </c>
      <c r="G36" s="161" t="s">
        <v>36</v>
      </c>
      <c r="H36" s="127" t="s">
        <v>164</v>
      </c>
      <c r="I36" s="127" t="s">
        <v>159</v>
      </c>
      <c r="J36" s="127" t="s">
        <v>38</v>
      </c>
      <c r="K36" s="127" t="s">
        <v>161</v>
      </c>
      <c r="L36" s="53">
        <v>2</v>
      </c>
      <c r="N36" s="53">
        <v>1</v>
      </c>
      <c r="O36" s="53">
        <v>0.6</v>
      </c>
      <c r="P36" s="53">
        <v>0.55000000000000004</v>
      </c>
      <c r="Q36" s="75">
        <f t="shared" si="2"/>
        <v>0.57499999999999996</v>
      </c>
      <c r="R36" s="168">
        <v>15.2</v>
      </c>
      <c r="S36" s="168">
        <v>117</v>
      </c>
      <c r="T36" s="16">
        <f t="shared" si="0"/>
        <v>30</v>
      </c>
      <c r="U36" s="164">
        <v>98</v>
      </c>
      <c r="V36" s="38">
        <f t="shared" si="1"/>
        <v>2940</v>
      </c>
      <c r="W36" s="165">
        <v>14</v>
      </c>
      <c r="X36" s="166" t="s">
        <v>46</v>
      </c>
      <c r="Y36" s="172" t="s">
        <v>69</v>
      </c>
      <c r="Z36" s="172" t="s">
        <v>90</v>
      </c>
      <c r="AA36" s="172" t="s">
        <v>84</v>
      </c>
      <c r="AB36" s="53" t="s">
        <v>158</v>
      </c>
    </row>
    <row r="37" spans="1:28" x14ac:dyDescent="0.15">
      <c r="A37" s="158" t="s">
        <v>34</v>
      </c>
      <c r="B37" s="158" t="s">
        <v>157</v>
      </c>
      <c r="C37" s="158">
        <v>2019</v>
      </c>
      <c r="D37" s="160" t="s">
        <v>360</v>
      </c>
      <c r="E37" s="159" t="s">
        <v>133</v>
      </c>
      <c r="F37" s="158" t="s">
        <v>368</v>
      </c>
      <c r="G37" s="161" t="s">
        <v>36</v>
      </c>
      <c r="H37" s="127" t="s">
        <v>164</v>
      </c>
      <c r="I37" s="127" t="s">
        <v>159</v>
      </c>
      <c r="J37" s="127" t="s">
        <v>38</v>
      </c>
      <c r="K37" s="127" t="s">
        <v>161</v>
      </c>
      <c r="L37" s="53">
        <v>3</v>
      </c>
      <c r="N37" s="53">
        <v>1</v>
      </c>
      <c r="O37" s="53">
        <v>0.6</v>
      </c>
      <c r="P37" s="53">
        <v>0.65</v>
      </c>
      <c r="Q37" s="75">
        <f t="shared" si="2"/>
        <v>0.625</v>
      </c>
      <c r="R37" s="168">
        <v>15</v>
      </c>
      <c r="S37" s="168">
        <v>103</v>
      </c>
      <c r="T37" s="16">
        <f t="shared" si="0"/>
        <v>33</v>
      </c>
      <c r="U37" s="164">
        <v>98</v>
      </c>
      <c r="V37" s="38">
        <f t="shared" si="1"/>
        <v>3234</v>
      </c>
      <c r="W37" s="165">
        <v>14</v>
      </c>
      <c r="X37" s="166" t="s">
        <v>46</v>
      </c>
      <c r="Y37" s="172" t="s">
        <v>69</v>
      </c>
      <c r="Z37" s="172" t="s">
        <v>90</v>
      </c>
      <c r="AA37" s="172" t="s">
        <v>84</v>
      </c>
      <c r="AB37" s="53" t="s">
        <v>158</v>
      </c>
    </row>
    <row r="38" spans="1:28" x14ac:dyDescent="0.15">
      <c r="A38" s="158" t="s">
        <v>34</v>
      </c>
      <c r="B38" s="158" t="s">
        <v>157</v>
      </c>
      <c r="C38" s="159">
        <v>2019</v>
      </c>
      <c r="D38" s="160" t="s">
        <v>360</v>
      </c>
      <c r="E38" s="159" t="s">
        <v>271</v>
      </c>
      <c r="F38" s="158" t="s">
        <v>369</v>
      </c>
      <c r="G38" s="161" t="s">
        <v>36</v>
      </c>
      <c r="H38" s="127" t="s">
        <v>164</v>
      </c>
      <c r="I38" s="127" t="s">
        <v>159</v>
      </c>
      <c r="J38" s="127" t="s">
        <v>38</v>
      </c>
      <c r="K38" s="127" t="s">
        <v>161</v>
      </c>
      <c r="L38" s="53">
        <v>1</v>
      </c>
      <c r="N38" s="53">
        <v>7</v>
      </c>
      <c r="O38" s="53">
        <v>0.45</v>
      </c>
      <c r="P38" s="53">
        <v>0.4</v>
      </c>
      <c r="Q38" s="75">
        <f t="shared" si="2"/>
        <v>0.42500000000000004</v>
      </c>
      <c r="R38" s="168">
        <v>15.8</v>
      </c>
      <c r="S38" s="168">
        <v>81</v>
      </c>
      <c r="T38" s="16">
        <f t="shared" si="0"/>
        <v>39</v>
      </c>
      <c r="U38" s="164">
        <v>398</v>
      </c>
      <c r="V38" s="38">
        <f t="shared" si="1"/>
        <v>2217.4285714285711</v>
      </c>
      <c r="W38" s="165">
        <v>2</v>
      </c>
      <c r="X38" s="166" t="s">
        <v>39</v>
      </c>
      <c r="Y38" s="172" t="s">
        <v>50</v>
      </c>
      <c r="Z38" s="172" t="s">
        <v>90</v>
      </c>
      <c r="AA38" s="172" t="s">
        <v>106</v>
      </c>
      <c r="AB38" s="53" t="s">
        <v>158</v>
      </c>
    </row>
    <row r="39" spans="1:28" x14ac:dyDescent="0.15">
      <c r="A39" s="158" t="s">
        <v>34</v>
      </c>
      <c r="B39" s="158" t="s">
        <v>157</v>
      </c>
      <c r="C39" s="158">
        <v>2019</v>
      </c>
      <c r="D39" s="160" t="s">
        <v>360</v>
      </c>
      <c r="E39" s="159" t="s">
        <v>271</v>
      </c>
      <c r="F39" s="158" t="s">
        <v>369</v>
      </c>
      <c r="G39" s="161" t="s">
        <v>36</v>
      </c>
      <c r="H39" s="127" t="s">
        <v>164</v>
      </c>
      <c r="I39" s="127" t="s">
        <v>159</v>
      </c>
      <c r="J39" s="127" t="s">
        <v>38</v>
      </c>
      <c r="K39" s="127" t="s">
        <v>161</v>
      </c>
      <c r="L39" s="53">
        <v>2</v>
      </c>
      <c r="N39" s="53">
        <v>7</v>
      </c>
      <c r="O39" s="53">
        <v>0.4</v>
      </c>
      <c r="P39" s="53">
        <v>0.4</v>
      </c>
      <c r="Q39" s="75">
        <f t="shared" si="2"/>
        <v>0.4</v>
      </c>
      <c r="R39" s="168">
        <v>15.5</v>
      </c>
      <c r="S39" s="168">
        <v>93</v>
      </c>
      <c r="T39" s="16">
        <f t="shared" si="0"/>
        <v>36</v>
      </c>
      <c r="U39" s="164">
        <v>398</v>
      </c>
      <c r="V39" s="38">
        <f t="shared" si="1"/>
        <v>2046.8571428571427</v>
      </c>
      <c r="W39" s="165">
        <v>2</v>
      </c>
      <c r="X39" s="166" t="s">
        <v>39</v>
      </c>
      <c r="Y39" s="172" t="s">
        <v>50</v>
      </c>
      <c r="Z39" s="172" t="s">
        <v>90</v>
      </c>
      <c r="AA39" s="172" t="s">
        <v>106</v>
      </c>
      <c r="AB39" s="53" t="s">
        <v>158</v>
      </c>
    </row>
    <row r="40" spans="1:28" ht="12.75" customHeight="1" x14ac:dyDescent="0.15">
      <c r="A40" s="158" t="s">
        <v>34</v>
      </c>
      <c r="B40" s="158" t="s">
        <v>157</v>
      </c>
      <c r="C40" s="159">
        <v>2019</v>
      </c>
      <c r="D40" s="160" t="s">
        <v>360</v>
      </c>
      <c r="E40" s="159" t="s">
        <v>271</v>
      </c>
      <c r="F40" s="158" t="s">
        <v>369</v>
      </c>
      <c r="G40" s="161" t="s">
        <v>36</v>
      </c>
      <c r="H40" s="127" t="s">
        <v>164</v>
      </c>
      <c r="I40" s="127" t="s">
        <v>159</v>
      </c>
      <c r="J40" s="127" t="s">
        <v>38</v>
      </c>
      <c r="K40" s="127" t="s">
        <v>161</v>
      </c>
      <c r="L40" s="53">
        <v>3</v>
      </c>
      <c r="N40" s="53">
        <v>7</v>
      </c>
      <c r="O40" s="53">
        <v>0.45</v>
      </c>
      <c r="P40" s="53">
        <v>0.4</v>
      </c>
      <c r="Q40" s="75">
        <f t="shared" si="2"/>
        <v>0.42500000000000004</v>
      </c>
      <c r="R40" s="168">
        <v>15.6</v>
      </c>
      <c r="S40" s="168">
        <v>90</v>
      </c>
      <c r="T40" s="16">
        <f t="shared" si="0"/>
        <v>36</v>
      </c>
      <c r="U40" s="164">
        <v>398</v>
      </c>
      <c r="V40" s="38">
        <f t="shared" si="1"/>
        <v>2046.8571428571427</v>
      </c>
      <c r="W40" s="165">
        <v>2</v>
      </c>
      <c r="X40" s="166" t="s">
        <v>39</v>
      </c>
      <c r="Y40" s="172" t="s">
        <v>50</v>
      </c>
      <c r="Z40" s="172" t="s">
        <v>90</v>
      </c>
      <c r="AA40" s="172" t="s">
        <v>106</v>
      </c>
      <c r="AB40" s="53" t="s">
        <v>158</v>
      </c>
    </row>
    <row r="41" spans="1:28" ht="12.75" customHeight="1" x14ac:dyDescent="0.15">
      <c r="A41" s="127"/>
      <c r="B41" s="158"/>
      <c r="C41" s="159"/>
      <c r="D41" s="160"/>
      <c r="E41" s="159"/>
      <c r="F41" s="158"/>
      <c r="G41" s="161"/>
      <c r="H41" s="127"/>
      <c r="I41" s="127"/>
      <c r="J41" s="127"/>
      <c r="K41" s="127"/>
      <c r="Q41" s="75" t="str">
        <f t="shared" si="2"/>
        <v/>
      </c>
      <c r="R41" s="168"/>
      <c r="S41" s="168"/>
      <c r="T41" s="16" t="str">
        <f t="shared" si="0"/>
        <v/>
      </c>
      <c r="U41" s="164"/>
      <c r="V41" s="38" t="str">
        <f t="shared" si="1"/>
        <v/>
      </c>
      <c r="X41" s="166"/>
      <c r="Y41" s="173"/>
      <c r="Z41" s="173"/>
      <c r="AA41" s="173"/>
    </row>
    <row r="42" spans="1:28" ht="12.75" customHeight="1" x14ac:dyDescent="0.15">
      <c r="A42" s="127"/>
      <c r="B42" s="158"/>
      <c r="C42" s="159"/>
      <c r="D42" s="160"/>
      <c r="E42" s="159"/>
      <c r="F42" s="158"/>
      <c r="G42" s="161"/>
      <c r="H42" s="127"/>
      <c r="I42" s="127"/>
      <c r="J42" s="127"/>
      <c r="K42" s="127"/>
      <c r="Q42" s="75" t="str">
        <f t="shared" si="2"/>
        <v/>
      </c>
      <c r="R42" s="168"/>
      <c r="S42" s="168"/>
      <c r="T42" s="16" t="str">
        <f t="shared" si="0"/>
        <v/>
      </c>
      <c r="U42" s="164"/>
      <c r="V42" s="38" t="str">
        <f t="shared" si="1"/>
        <v/>
      </c>
      <c r="X42" s="166"/>
      <c r="Y42" s="173"/>
      <c r="Z42" s="173"/>
      <c r="AA42" s="173"/>
    </row>
    <row r="43" spans="1:28" ht="12.75" customHeight="1" x14ac:dyDescent="0.15">
      <c r="A43" s="127"/>
      <c r="B43" s="158"/>
      <c r="C43" s="159"/>
      <c r="D43" s="160"/>
      <c r="E43" s="159"/>
      <c r="F43" s="158"/>
      <c r="G43" s="161"/>
      <c r="H43" s="127"/>
      <c r="I43" s="127"/>
      <c r="J43" s="127"/>
      <c r="K43" s="127"/>
      <c r="Q43" s="75" t="str">
        <f t="shared" si="2"/>
        <v/>
      </c>
      <c r="R43" s="168"/>
      <c r="S43" s="168"/>
      <c r="T43" s="16" t="str">
        <f t="shared" si="0"/>
        <v/>
      </c>
      <c r="U43" s="164"/>
      <c r="V43" s="38" t="str">
        <f t="shared" si="1"/>
        <v/>
      </c>
      <c r="X43" s="166"/>
      <c r="Y43" s="173"/>
      <c r="Z43" s="173"/>
      <c r="AA43" s="173"/>
    </row>
    <row r="44" spans="1:28" x14ac:dyDescent="0.15">
      <c r="B44" s="158"/>
      <c r="C44" s="159"/>
      <c r="D44" s="160"/>
      <c r="E44" s="159"/>
      <c r="F44" s="158"/>
      <c r="G44" s="161"/>
      <c r="H44" s="127"/>
      <c r="I44" s="127"/>
      <c r="K44" s="127"/>
      <c r="Q44" s="75"/>
      <c r="R44" s="168"/>
      <c r="S44" s="168"/>
      <c r="U44" s="164"/>
      <c r="X44" s="166"/>
      <c r="Y44" s="173"/>
      <c r="Z44" s="173"/>
      <c r="AA44" s="173"/>
    </row>
    <row r="45" spans="1:28" x14ac:dyDescent="0.15">
      <c r="B45" s="158"/>
      <c r="C45" s="158"/>
      <c r="D45" s="160"/>
      <c r="E45" s="159"/>
      <c r="F45" s="158"/>
      <c r="G45" s="161"/>
      <c r="H45" s="127"/>
      <c r="I45" s="127"/>
      <c r="K45" s="127"/>
      <c r="Q45" s="75"/>
      <c r="R45" s="168"/>
      <c r="S45" s="168"/>
      <c r="U45" s="164"/>
      <c r="X45" s="166"/>
      <c r="Y45" s="173"/>
      <c r="Z45" s="173"/>
      <c r="AA45" s="173"/>
    </row>
    <row r="46" spans="1:28" x14ac:dyDescent="0.15">
      <c r="B46" s="158"/>
      <c r="C46" s="159"/>
      <c r="D46" s="160"/>
      <c r="E46" s="159"/>
      <c r="F46" s="158"/>
      <c r="G46" s="161"/>
      <c r="H46" s="127"/>
      <c r="I46" s="127"/>
      <c r="K46" s="127"/>
      <c r="Q46" s="75"/>
      <c r="R46" s="168"/>
      <c r="S46" s="168"/>
      <c r="U46" s="164"/>
      <c r="X46" s="166"/>
      <c r="Y46" s="173"/>
      <c r="Z46" s="173"/>
      <c r="AA46" s="173"/>
    </row>
    <row r="47" spans="1:28" x14ac:dyDescent="0.15">
      <c r="B47" s="34"/>
      <c r="D47" s="174"/>
      <c r="F47" s="158"/>
      <c r="G47" s="161"/>
      <c r="H47" s="127"/>
      <c r="I47" s="127"/>
      <c r="K47" s="127"/>
      <c r="Q47" s="75"/>
      <c r="R47" s="168"/>
      <c r="S47" s="168"/>
      <c r="X47" s="166"/>
    </row>
    <row r="48" spans="1:28" x14ac:dyDescent="0.15">
      <c r="B48" s="34"/>
      <c r="D48" s="174"/>
      <c r="F48" s="158"/>
      <c r="G48" s="161"/>
      <c r="H48" s="127"/>
      <c r="I48" s="127"/>
      <c r="K48" s="127"/>
      <c r="Q48" s="75"/>
      <c r="R48" s="168"/>
      <c r="S48" s="168"/>
      <c r="X48" s="166"/>
    </row>
    <row r="49" spans="2:24" x14ac:dyDescent="0.15">
      <c r="B49" s="34"/>
      <c r="D49" s="174"/>
      <c r="F49" s="158"/>
      <c r="G49" s="161"/>
      <c r="H49" s="127"/>
      <c r="I49" s="127"/>
      <c r="K49" s="127"/>
      <c r="Q49" s="75"/>
      <c r="R49" s="168"/>
      <c r="S49" s="168"/>
      <c r="X49" s="166"/>
    </row>
    <row r="50" spans="2:24" x14ac:dyDescent="0.15">
      <c r="D50" s="174"/>
      <c r="F50" s="158"/>
      <c r="G50" s="161"/>
      <c r="K50" s="127"/>
      <c r="Q50" s="75"/>
      <c r="X50" s="166"/>
    </row>
    <row r="51" spans="2:24" x14ac:dyDescent="0.15">
      <c r="D51" s="174"/>
      <c r="F51" s="158"/>
      <c r="G51" s="161"/>
      <c r="K51" s="127"/>
      <c r="Q51" s="75"/>
      <c r="X51" s="166"/>
    </row>
    <row r="52" spans="2:24" x14ac:dyDescent="0.15">
      <c r="D52" s="174"/>
      <c r="F52" s="158"/>
      <c r="G52" s="161"/>
      <c r="K52" s="127"/>
      <c r="Q52" s="75"/>
      <c r="X52" s="166"/>
    </row>
    <row r="53" spans="2:24" x14ac:dyDescent="0.15">
      <c r="D53" s="174"/>
      <c r="F53" s="158"/>
      <c r="G53" s="161"/>
      <c r="K53" s="127"/>
      <c r="Q53" s="75"/>
      <c r="X53" s="166"/>
    </row>
    <row r="54" spans="2:24" x14ac:dyDescent="0.15">
      <c r="D54" s="174"/>
      <c r="F54" s="158"/>
      <c r="G54" s="161"/>
      <c r="K54" s="127"/>
      <c r="Q54" s="75"/>
      <c r="X54" s="166"/>
    </row>
    <row r="55" spans="2:24" x14ac:dyDescent="0.15">
      <c r="D55" s="174"/>
      <c r="F55" s="158"/>
      <c r="G55" s="161"/>
      <c r="K55" s="127"/>
      <c r="Q55" s="75"/>
      <c r="X55" s="166"/>
    </row>
    <row r="56" spans="2:24" x14ac:dyDescent="0.15">
      <c r="D56" s="174"/>
      <c r="F56" s="158"/>
      <c r="G56" s="161"/>
      <c r="K56" s="127"/>
      <c r="Q56" s="75"/>
      <c r="X56" s="166"/>
    </row>
    <row r="57" spans="2:24" x14ac:dyDescent="0.15">
      <c r="D57" s="174"/>
      <c r="F57" s="158"/>
      <c r="G57" s="161"/>
      <c r="K57" s="127"/>
      <c r="Q57" s="75"/>
      <c r="X57" s="166"/>
    </row>
    <row r="58" spans="2:24" x14ac:dyDescent="0.15">
      <c r="D58" s="174"/>
      <c r="F58" s="158"/>
      <c r="G58" s="161"/>
      <c r="K58" s="127"/>
      <c r="Q58" s="75"/>
      <c r="X58" s="166"/>
    </row>
    <row r="59" spans="2:24" x14ac:dyDescent="0.15">
      <c r="D59" s="174"/>
      <c r="F59" s="158"/>
      <c r="G59" s="161"/>
      <c r="K59" s="127"/>
      <c r="Q59" s="75"/>
      <c r="X59" s="166"/>
    </row>
    <row r="60" spans="2:24" x14ac:dyDescent="0.15">
      <c r="D60" s="174"/>
      <c r="F60" s="158"/>
      <c r="G60" s="161"/>
      <c r="K60" s="127"/>
      <c r="Q60" s="75"/>
      <c r="X60" s="166"/>
    </row>
    <row r="61" spans="2:24" x14ac:dyDescent="0.15">
      <c r="D61" s="174"/>
      <c r="F61" s="158"/>
      <c r="G61" s="161"/>
      <c r="K61" s="127"/>
      <c r="Q61" s="75"/>
      <c r="X61" s="166"/>
    </row>
    <row r="62" spans="2:24" x14ac:dyDescent="0.15">
      <c r="D62" s="174"/>
      <c r="F62" s="158"/>
      <c r="G62" s="161"/>
      <c r="K62" s="127"/>
      <c r="Q62" s="75" t="str">
        <f t="shared" ref="Q62:Q91" si="3">IF(OR(O62="",P62=""),"",AVERAGE(O62,P62))</f>
        <v/>
      </c>
      <c r="T62" s="16" t="str">
        <f t="shared" si="0"/>
        <v/>
      </c>
      <c r="V62" s="16" t="str">
        <f t="shared" si="1"/>
        <v/>
      </c>
      <c r="X62" s="166"/>
    </row>
    <row r="63" spans="2:24" x14ac:dyDescent="0.15">
      <c r="D63" s="174"/>
      <c r="F63" s="158"/>
      <c r="G63" s="161"/>
      <c r="K63" s="127"/>
      <c r="Q63" s="75" t="str">
        <f t="shared" si="3"/>
        <v/>
      </c>
      <c r="T63" s="16" t="str">
        <f t="shared" si="0"/>
        <v/>
      </c>
      <c r="V63" s="16" t="str">
        <f t="shared" si="1"/>
        <v/>
      </c>
      <c r="X63" s="166"/>
    </row>
    <row r="64" spans="2:24" x14ac:dyDescent="0.15">
      <c r="D64" s="174"/>
      <c r="F64" s="158"/>
      <c r="G64" s="161"/>
      <c r="K64" s="127"/>
      <c r="Q64" s="75" t="str">
        <f t="shared" si="3"/>
        <v/>
      </c>
      <c r="T64" s="16" t="str">
        <f t="shared" si="0"/>
        <v/>
      </c>
      <c r="V64" s="16" t="str">
        <f t="shared" si="1"/>
        <v/>
      </c>
      <c r="X64" s="166"/>
    </row>
    <row r="65" spans="4:24" x14ac:dyDescent="0.15">
      <c r="D65" s="174"/>
      <c r="F65" s="158"/>
      <c r="G65" s="161"/>
      <c r="K65" s="127"/>
      <c r="Q65" s="75" t="str">
        <f t="shared" si="3"/>
        <v/>
      </c>
      <c r="T65" s="16" t="str">
        <f t="shared" si="0"/>
        <v/>
      </c>
      <c r="V65" s="16" t="str">
        <f t="shared" si="1"/>
        <v/>
      </c>
      <c r="X65" s="166"/>
    </row>
    <row r="66" spans="4:24" x14ac:dyDescent="0.15">
      <c r="D66" s="174"/>
      <c r="F66" s="158"/>
      <c r="G66" s="161"/>
      <c r="K66" s="127"/>
      <c r="Q66" s="75" t="str">
        <f t="shared" si="3"/>
        <v/>
      </c>
      <c r="T66" s="16" t="str">
        <f t="shared" ref="T66:T91" si="4">IF(H66="","",IF(OR(H66="GREEN",H66="GK"),IF(S66&gt;=$AX$2,VLOOKUP(S66,$AX$2:$AY$7,2,1),""),IF(S66&gt;=$AZ$2,VLOOKUP(S66,$AZ$2:$BA$7,2,1),"")))</f>
        <v/>
      </c>
      <c r="V66" s="16" t="str">
        <f t="shared" ref="V66:V91" si="5">IF(OR(N66="",U66="",T66=""),"",U66/N66*T66)</f>
        <v/>
      </c>
      <c r="X66" s="166"/>
    </row>
    <row r="67" spans="4:24" x14ac:dyDescent="0.15">
      <c r="D67" s="174"/>
      <c r="F67" s="158"/>
      <c r="G67" s="161"/>
      <c r="K67" s="127"/>
      <c r="Q67" s="75" t="str">
        <f t="shared" si="3"/>
        <v/>
      </c>
      <c r="T67" s="16" t="str">
        <f t="shared" si="4"/>
        <v/>
      </c>
      <c r="V67" s="16" t="str">
        <f t="shared" si="5"/>
        <v/>
      </c>
      <c r="X67" s="166"/>
    </row>
    <row r="68" spans="4:24" x14ac:dyDescent="0.15">
      <c r="D68" s="174"/>
      <c r="F68" s="158"/>
      <c r="G68" s="161"/>
      <c r="K68" s="127"/>
      <c r="Q68" s="75" t="str">
        <f t="shared" si="3"/>
        <v/>
      </c>
      <c r="T68" s="16" t="str">
        <f t="shared" si="4"/>
        <v/>
      </c>
      <c r="V68" s="16" t="str">
        <f t="shared" si="5"/>
        <v/>
      </c>
      <c r="X68" s="166"/>
    </row>
    <row r="69" spans="4:24" x14ac:dyDescent="0.15">
      <c r="D69" s="174"/>
      <c r="F69" s="158"/>
      <c r="G69" s="161"/>
      <c r="K69" s="127"/>
      <c r="Q69" s="75" t="str">
        <f t="shared" si="3"/>
        <v/>
      </c>
      <c r="T69" s="16" t="str">
        <f t="shared" si="4"/>
        <v/>
      </c>
      <c r="V69" s="16" t="str">
        <f t="shared" si="5"/>
        <v/>
      </c>
      <c r="X69" s="166"/>
    </row>
    <row r="70" spans="4:24" x14ac:dyDescent="0.15">
      <c r="D70" s="174"/>
      <c r="F70" s="158"/>
      <c r="G70" s="161"/>
      <c r="K70" s="127"/>
      <c r="Q70" s="75" t="str">
        <f t="shared" si="3"/>
        <v/>
      </c>
      <c r="T70" s="16" t="str">
        <f t="shared" si="4"/>
        <v/>
      </c>
      <c r="V70" s="16" t="str">
        <f t="shared" si="5"/>
        <v/>
      </c>
      <c r="X70" s="166"/>
    </row>
    <row r="71" spans="4:24" x14ac:dyDescent="0.15">
      <c r="D71" s="174"/>
      <c r="F71" s="158"/>
      <c r="G71" s="161"/>
      <c r="K71" s="127"/>
      <c r="Q71" s="75" t="str">
        <f t="shared" si="3"/>
        <v/>
      </c>
      <c r="T71" s="16" t="str">
        <f t="shared" si="4"/>
        <v/>
      </c>
      <c r="V71" s="16" t="str">
        <f t="shared" si="5"/>
        <v/>
      </c>
      <c r="X71" s="166"/>
    </row>
    <row r="72" spans="4:24" x14ac:dyDescent="0.15">
      <c r="D72" s="174"/>
      <c r="F72" s="158"/>
      <c r="G72" s="161"/>
      <c r="K72" s="127"/>
      <c r="Q72" s="75" t="str">
        <f t="shared" si="3"/>
        <v/>
      </c>
      <c r="T72" s="16" t="str">
        <f t="shared" si="4"/>
        <v/>
      </c>
      <c r="V72" s="16" t="str">
        <f t="shared" si="5"/>
        <v/>
      </c>
      <c r="X72" s="166"/>
    </row>
    <row r="73" spans="4:24" x14ac:dyDescent="0.15">
      <c r="D73" s="174"/>
      <c r="F73" s="158"/>
      <c r="G73" s="161"/>
      <c r="K73" s="127"/>
      <c r="Q73" s="75" t="str">
        <f t="shared" si="3"/>
        <v/>
      </c>
      <c r="T73" s="16" t="str">
        <f t="shared" si="4"/>
        <v/>
      </c>
      <c r="V73" s="16" t="str">
        <f t="shared" si="5"/>
        <v/>
      </c>
      <c r="X73" s="166"/>
    </row>
    <row r="74" spans="4:24" x14ac:dyDescent="0.15">
      <c r="D74" s="174"/>
      <c r="F74" s="158"/>
      <c r="G74" s="161"/>
      <c r="K74" s="127"/>
      <c r="Q74" s="75" t="str">
        <f t="shared" si="3"/>
        <v/>
      </c>
      <c r="T74" s="16" t="str">
        <f t="shared" si="4"/>
        <v/>
      </c>
      <c r="V74" s="16" t="str">
        <f t="shared" si="5"/>
        <v/>
      </c>
      <c r="X74" s="166"/>
    </row>
    <row r="75" spans="4:24" x14ac:dyDescent="0.15">
      <c r="D75" s="174"/>
      <c r="F75" s="158"/>
      <c r="G75" s="161"/>
      <c r="K75" s="127"/>
      <c r="Q75" s="75" t="str">
        <f t="shared" si="3"/>
        <v/>
      </c>
      <c r="T75" s="16" t="str">
        <f t="shared" si="4"/>
        <v/>
      </c>
      <c r="V75" s="16" t="str">
        <f t="shared" si="5"/>
        <v/>
      </c>
      <c r="X75" s="166"/>
    </row>
    <row r="76" spans="4:24" x14ac:dyDescent="0.15">
      <c r="D76" s="174"/>
      <c r="F76" s="158"/>
      <c r="G76" s="161"/>
      <c r="K76" s="127"/>
      <c r="Q76" s="75" t="str">
        <f t="shared" si="3"/>
        <v/>
      </c>
      <c r="T76" s="16" t="str">
        <f t="shared" si="4"/>
        <v/>
      </c>
      <c r="V76" s="16" t="str">
        <f t="shared" si="5"/>
        <v/>
      </c>
      <c r="X76" s="166"/>
    </row>
    <row r="77" spans="4:24" x14ac:dyDescent="0.15">
      <c r="D77" s="174"/>
      <c r="F77" s="158"/>
      <c r="G77" s="161"/>
      <c r="K77" s="127"/>
      <c r="Q77" s="75" t="str">
        <f t="shared" si="3"/>
        <v/>
      </c>
      <c r="T77" s="16" t="str">
        <f t="shared" si="4"/>
        <v/>
      </c>
      <c r="V77" s="16" t="str">
        <f t="shared" si="5"/>
        <v/>
      </c>
      <c r="X77" s="166"/>
    </row>
    <row r="78" spans="4:24" x14ac:dyDescent="0.15">
      <c r="D78" s="174"/>
      <c r="F78" s="158"/>
      <c r="G78" s="161"/>
      <c r="K78" s="127"/>
      <c r="Q78" s="75" t="str">
        <f t="shared" si="3"/>
        <v/>
      </c>
      <c r="T78" s="16" t="str">
        <f t="shared" si="4"/>
        <v/>
      </c>
      <c r="V78" s="16" t="str">
        <f t="shared" si="5"/>
        <v/>
      </c>
      <c r="X78" s="166"/>
    </row>
    <row r="79" spans="4:24" x14ac:dyDescent="0.15">
      <c r="D79" s="174"/>
      <c r="F79" s="158"/>
      <c r="G79" s="161"/>
      <c r="K79" s="127"/>
      <c r="Q79" s="75" t="str">
        <f t="shared" si="3"/>
        <v/>
      </c>
      <c r="T79" s="16" t="str">
        <f t="shared" si="4"/>
        <v/>
      </c>
      <c r="V79" s="16" t="str">
        <f t="shared" si="5"/>
        <v/>
      </c>
      <c r="X79" s="166"/>
    </row>
    <row r="80" spans="4:24" x14ac:dyDescent="0.15">
      <c r="K80" s="127"/>
      <c r="Q80" s="75" t="str">
        <f t="shared" si="3"/>
        <v/>
      </c>
      <c r="T80" s="16" t="str">
        <f t="shared" si="4"/>
        <v/>
      </c>
      <c r="V80" s="16" t="str">
        <f t="shared" si="5"/>
        <v/>
      </c>
    </row>
    <row r="81" spans="11:22" x14ac:dyDescent="0.15">
      <c r="K81" s="127"/>
      <c r="Q81" s="75" t="str">
        <f t="shared" si="3"/>
        <v/>
      </c>
      <c r="T81" s="16" t="str">
        <f t="shared" si="4"/>
        <v/>
      </c>
      <c r="V81" s="16" t="str">
        <f t="shared" si="5"/>
        <v/>
      </c>
    </row>
    <row r="82" spans="11:22" x14ac:dyDescent="0.15">
      <c r="K82" s="127"/>
      <c r="Q82" s="75" t="str">
        <f t="shared" si="3"/>
        <v/>
      </c>
      <c r="T82" s="16" t="str">
        <f t="shared" si="4"/>
        <v/>
      </c>
      <c r="V82" s="16" t="str">
        <f t="shared" si="5"/>
        <v/>
      </c>
    </row>
    <row r="83" spans="11:22" x14ac:dyDescent="0.15">
      <c r="K83" s="127"/>
      <c r="Q83" s="75" t="str">
        <f t="shared" si="3"/>
        <v/>
      </c>
      <c r="T83" s="16" t="str">
        <f t="shared" si="4"/>
        <v/>
      </c>
      <c r="V83" s="16" t="str">
        <f t="shared" si="5"/>
        <v/>
      </c>
    </row>
    <row r="84" spans="11:22" x14ac:dyDescent="0.15">
      <c r="K84" s="127"/>
      <c r="Q84" s="75" t="str">
        <f t="shared" si="3"/>
        <v/>
      </c>
      <c r="T84" s="16" t="str">
        <f t="shared" si="4"/>
        <v/>
      </c>
      <c r="V84" s="16" t="str">
        <f t="shared" si="5"/>
        <v/>
      </c>
    </row>
    <row r="85" spans="11:22" x14ac:dyDescent="0.15">
      <c r="K85" s="127"/>
      <c r="Q85" s="75" t="str">
        <f t="shared" si="3"/>
        <v/>
      </c>
      <c r="T85" s="16" t="str">
        <f t="shared" si="4"/>
        <v/>
      </c>
      <c r="V85" s="16" t="str">
        <f t="shared" si="5"/>
        <v/>
      </c>
    </row>
    <row r="86" spans="11:22" x14ac:dyDescent="0.15">
      <c r="K86" s="127"/>
      <c r="Q86" s="75" t="str">
        <f t="shared" si="3"/>
        <v/>
      </c>
      <c r="T86" s="16" t="str">
        <f t="shared" si="4"/>
        <v/>
      </c>
      <c r="V86" s="16" t="str">
        <f t="shared" si="5"/>
        <v/>
      </c>
    </row>
    <row r="87" spans="11:22" x14ac:dyDescent="0.15">
      <c r="K87" s="127"/>
      <c r="Q87" s="75" t="str">
        <f t="shared" si="3"/>
        <v/>
      </c>
      <c r="T87" s="16" t="str">
        <f t="shared" si="4"/>
        <v/>
      </c>
      <c r="V87" s="16" t="str">
        <f t="shared" si="5"/>
        <v/>
      </c>
    </row>
    <row r="88" spans="11:22" x14ac:dyDescent="0.15">
      <c r="K88" s="127"/>
      <c r="Q88" s="75" t="str">
        <f t="shared" si="3"/>
        <v/>
      </c>
      <c r="T88" s="16" t="str">
        <f t="shared" si="4"/>
        <v/>
      </c>
      <c r="V88" s="16" t="str">
        <f t="shared" si="5"/>
        <v/>
      </c>
    </row>
    <row r="89" spans="11:22" x14ac:dyDescent="0.15">
      <c r="K89" s="127"/>
      <c r="Q89" s="75" t="str">
        <f t="shared" si="3"/>
        <v/>
      </c>
      <c r="T89" s="16" t="str">
        <f t="shared" si="4"/>
        <v/>
      </c>
      <c r="V89" s="16" t="str">
        <f t="shared" si="5"/>
        <v/>
      </c>
    </row>
    <row r="90" spans="11:22" x14ac:dyDescent="0.15">
      <c r="K90" s="127"/>
      <c r="Q90" s="75" t="str">
        <f t="shared" si="3"/>
        <v/>
      </c>
      <c r="T90" s="16" t="str">
        <f t="shared" si="4"/>
        <v/>
      </c>
      <c r="V90" s="16" t="str">
        <f t="shared" si="5"/>
        <v/>
      </c>
    </row>
    <row r="91" spans="11:22" x14ac:dyDescent="0.15">
      <c r="K91" s="127"/>
      <c r="Q91" s="75" t="str">
        <f t="shared" si="3"/>
        <v/>
      </c>
      <c r="T91" s="16" t="str">
        <f t="shared" si="4"/>
        <v/>
      </c>
      <c r="V91" s="16" t="str">
        <f t="shared" si="5"/>
        <v/>
      </c>
    </row>
    <row r="92" spans="11:22" x14ac:dyDescent="0.15">
      <c r="K92" s="127"/>
      <c r="Q92" s="75"/>
    </row>
    <row r="93" spans="11:22" x14ac:dyDescent="0.15">
      <c r="K93" s="127"/>
      <c r="Q93" s="75"/>
    </row>
    <row r="94" spans="11:22" x14ac:dyDescent="0.15">
      <c r="K94" s="127"/>
      <c r="Q94" s="75"/>
    </row>
    <row r="95" spans="11:22" x14ac:dyDescent="0.15">
      <c r="K95" s="127"/>
      <c r="Q95" s="75"/>
    </row>
    <row r="96" spans="11:22" x14ac:dyDescent="0.15">
      <c r="K96" s="127"/>
      <c r="Q96" s="75"/>
    </row>
    <row r="97" spans="11:17" x14ac:dyDescent="0.15">
      <c r="K97" s="127"/>
      <c r="Q97" s="75"/>
    </row>
    <row r="98" spans="11:17" x14ac:dyDescent="0.15">
      <c r="K98" s="127"/>
      <c r="Q98" s="75"/>
    </row>
    <row r="99" spans="11:17" x14ac:dyDescent="0.15">
      <c r="K99" s="127"/>
      <c r="Q99" s="75"/>
    </row>
    <row r="100" spans="11:17" x14ac:dyDescent="0.15">
      <c r="K100" s="127"/>
      <c r="Q100" s="75"/>
    </row>
    <row r="101" spans="11:17" x14ac:dyDescent="0.15">
      <c r="K101" s="127"/>
      <c r="Q101" s="75"/>
    </row>
    <row r="102" spans="11:17" x14ac:dyDescent="0.15">
      <c r="K102" s="127"/>
      <c r="Q102" s="75"/>
    </row>
    <row r="103" spans="11:17" x14ac:dyDescent="0.15">
      <c r="K103" s="127"/>
      <c r="Q103" s="75"/>
    </row>
    <row r="104" spans="11:17" x14ac:dyDescent="0.15">
      <c r="K104" s="127"/>
      <c r="Q104" s="75"/>
    </row>
    <row r="105" spans="11:17" x14ac:dyDescent="0.15">
      <c r="K105" s="127"/>
      <c r="Q105" s="75"/>
    </row>
    <row r="106" spans="11:17" x14ac:dyDescent="0.15">
      <c r="K106" s="127"/>
      <c r="Q106" s="75"/>
    </row>
    <row r="107" spans="11:17" x14ac:dyDescent="0.15">
      <c r="K107" s="127"/>
      <c r="Q107" s="75"/>
    </row>
    <row r="108" spans="11:17" x14ac:dyDescent="0.15">
      <c r="K108" s="127"/>
      <c r="Q108" s="75"/>
    </row>
    <row r="109" spans="11:17" x14ac:dyDescent="0.15">
      <c r="K109" s="127"/>
      <c r="Q109" s="75"/>
    </row>
    <row r="110" spans="11:17" x14ac:dyDescent="0.15">
      <c r="K110" s="127"/>
      <c r="Q110" s="75"/>
    </row>
    <row r="111" spans="11:17" x14ac:dyDescent="0.15">
      <c r="K111" s="127"/>
      <c r="Q111" s="75"/>
    </row>
    <row r="112" spans="11:17" x14ac:dyDescent="0.15">
      <c r="K112" s="127"/>
      <c r="Q112" s="75"/>
    </row>
    <row r="113" spans="11:17" x14ac:dyDescent="0.15">
      <c r="K113" s="127"/>
      <c r="Q113" s="75"/>
    </row>
    <row r="114" spans="11:17" x14ac:dyDescent="0.15">
      <c r="K114" s="127"/>
      <c r="Q114" s="75"/>
    </row>
    <row r="115" spans="11:17" x14ac:dyDescent="0.15">
      <c r="K115" s="127"/>
      <c r="Q115" s="75"/>
    </row>
    <row r="116" spans="11:17" x14ac:dyDescent="0.15">
      <c r="K116" s="127"/>
      <c r="Q116" s="75"/>
    </row>
    <row r="117" spans="11:17" x14ac:dyDescent="0.15">
      <c r="K117" s="127"/>
      <c r="Q117" s="75"/>
    </row>
    <row r="118" spans="11:17" x14ac:dyDescent="0.15">
      <c r="K118" s="127"/>
      <c r="Q118" s="75"/>
    </row>
    <row r="119" spans="11:17" x14ac:dyDescent="0.15">
      <c r="K119" s="127"/>
      <c r="Q119" s="75"/>
    </row>
    <row r="120" spans="11:17" x14ac:dyDescent="0.15">
      <c r="K120" s="127"/>
      <c r="Q120" s="75"/>
    </row>
    <row r="121" spans="11:17" x14ac:dyDescent="0.15">
      <c r="K121" s="127"/>
      <c r="Q121" s="75"/>
    </row>
    <row r="122" spans="11:17" x14ac:dyDescent="0.15">
      <c r="K122" s="127"/>
      <c r="Q122" s="75"/>
    </row>
    <row r="123" spans="11:17" x14ac:dyDescent="0.15">
      <c r="K123" s="127"/>
      <c r="Q123" s="75"/>
    </row>
    <row r="124" spans="11:17" x14ac:dyDescent="0.15">
      <c r="K124" s="127"/>
      <c r="Q124" s="75"/>
    </row>
    <row r="125" spans="11:17" x14ac:dyDescent="0.15">
      <c r="K125" s="127"/>
      <c r="Q125" s="75"/>
    </row>
    <row r="126" spans="11:17" x14ac:dyDescent="0.15">
      <c r="K126" s="127"/>
      <c r="Q126" s="75"/>
    </row>
    <row r="127" spans="11:17" x14ac:dyDescent="0.15">
      <c r="K127" s="127"/>
      <c r="Q127" s="75"/>
    </row>
    <row r="128" spans="11:17" x14ac:dyDescent="0.15">
      <c r="K128" s="127"/>
      <c r="Q128" s="75"/>
    </row>
    <row r="129" spans="11:17" x14ac:dyDescent="0.15">
      <c r="K129" s="127"/>
      <c r="Q129" s="75"/>
    </row>
    <row r="130" spans="11:17" x14ac:dyDescent="0.15">
      <c r="K130" s="127"/>
      <c r="Q130" s="75"/>
    </row>
    <row r="131" spans="11:17" x14ac:dyDescent="0.15">
      <c r="K131" s="127"/>
      <c r="Q131" s="75"/>
    </row>
    <row r="132" spans="11:17" x14ac:dyDescent="0.15">
      <c r="K132" s="127"/>
      <c r="Q132" s="75"/>
    </row>
    <row r="133" spans="11:17" x14ac:dyDescent="0.15">
      <c r="K133" s="127"/>
      <c r="Q133" s="75"/>
    </row>
    <row r="134" spans="11:17" x14ac:dyDescent="0.15">
      <c r="K134" s="127"/>
      <c r="Q134" s="75"/>
    </row>
    <row r="135" spans="11:17" x14ac:dyDescent="0.15">
      <c r="K135" s="127"/>
      <c r="Q135" s="75"/>
    </row>
    <row r="136" spans="11:17" x14ac:dyDescent="0.15">
      <c r="K136" s="127"/>
      <c r="Q136" s="75"/>
    </row>
    <row r="137" spans="11:17" x14ac:dyDescent="0.15">
      <c r="K137" s="127"/>
      <c r="Q137" s="75"/>
    </row>
    <row r="138" spans="11:17" x14ac:dyDescent="0.15">
      <c r="K138" s="127"/>
      <c r="Q138" s="75"/>
    </row>
    <row r="139" spans="11:17" x14ac:dyDescent="0.15">
      <c r="K139" s="127"/>
      <c r="Q139" s="75"/>
    </row>
    <row r="140" spans="11:17" x14ac:dyDescent="0.15">
      <c r="K140" s="127"/>
      <c r="Q140" s="75"/>
    </row>
    <row r="141" spans="11:17" x14ac:dyDescent="0.15">
      <c r="K141" s="127"/>
      <c r="Q141" s="75"/>
    </row>
    <row r="142" spans="11:17" x14ac:dyDescent="0.15">
      <c r="K142" s="127"/>
      <c r="Q142" s="75"/>
    </row>
    <row r="143" spans="11:17" x14ac:dyDescent="0.15">
      <c r="K143" s="127"/>
      <c r="Q143" s="75"/>
    </row>
    <row r="144" spans="11:17" x14ac:dyDescent="0.15">
      <c r="K144" s="127"/>
      <c r="Q144" s="75"/>
    </row>
    <row r="145" spans="11:17" x14ac:dyDescent="0.15">
      <c r="K145" s="127"/>
      <c r="Q145" s="75"/>
    </row>
    <row r="146" spans="11:17" x14ac:dyDescent="0.15">
      <c r="K146" s="127"/>
      <c r="Q146" s="75"/>
    </row>
    <row r="147" spans="11:17" x14ac:dyDescent="0.15">
      <c r="K147" s="127"/>
      <c r="Q147" s="75"/>
    </row>
    <row r="148" spans="11:17" x14ac:dyDescent="0.15">
      <c r="K148" s="127"/>
      <c r="Q148" s="75"/>
    </row>
    <row r="149" spans="11:17" x14ac:dyDescent="0.15">
      <c r="K149" s="127"/>
      <c r="Q149" s="75"/>
    </row>
    <row r="150" spans="11:17" x14ac:dyDescent="0.15">
      <c r="K150" s="127"/>
      <c r="Q150" s="75"/>
    </row>
    <row r="151" spans="11:17" x14ac:dyDescent="0.15">
      <c r="K151" s="127"/>
      <c r="Q151" s="75"/>
    </row>
    <row r="152" spans="11:17" x14ac:dyDescent="0.15">
      <c r="K152" s="127"/>
      <c r="Q152" s="75"/>
    </row>
    <row r="153" spans="11:17" x14ac:dyDescent="0.15">
      <c r="K153" s="127"/>
      <c r="Q153" s="75"/>
    </row>
    <row r="154" spans="11:17" x14ac:dyDescent="0.15">
      <c r="K154" s="127"/>
      <c r="Q154" s="75"/>
    </row>
    <row r="155" spans="11:17" x14ac:dyDescent="0.15">
      <c r="K155" s="127"/>
      <c r="Q155" s="75"/>
    </row>
    <row r="156" spans="11:17" x14ac:dyDescent="0.15">
      <c r="K156" s="127"/>
      <c r="Q156" s="75"/>
    </row>
    <row r="157" spans="11:17" x14ac:dyDescent="0.15">
      <c r="K157" s="127"/>
      <c r="Q157" s="75"/>
    </row>
    <row r="158" spans="11:17" x14ac:dyDescent="0.15">
      <c r="K158" s="127"/>
      <c r="Q158" s="75"/>
    </row>
    <row r="159" spans="11:17" x14ac:dyDescent="0.15">
      <c r="K159" s="127"/>
      <c r="Q159" s="75"/>
    </row>
    <row r="160" spans="11:17" x14ac:dyDescent="0.15">
      <c r="K160" s="127"/>
      <c r="Q160" s="75"/>
    </row>
    <row r="161" spans="11:17" x14ac:dyDescent="0.15">
      <c r="K161" s="127"/>
      <c r="Q161" s="75"/>
    </row>
    <row r="162" spans="11:17" x14ac:dyDescent="0.15">
      <c r="K162" s="127"/>
      <c r="Q162" s="75"/>
    </row>
    <row r="163" spans="11:17" x14ac:dyDescent="0.15">
      <c r="K163" s="127"/>
      <c r="Q163" s="75"/>
    </row>
    <row r="164" spans="11:17" x14ac:dyDescent="0.15">
      <c r="K164" s="127"/>
      <c r="Q164" s="75"/>
    </row>
    <row r="165" spans="11:17" x14ac:dyDescent="0.15">
      <c r="K165" s="127"/>
      <c r="Q165" s="75"/>
    </row>
    <row r="166" spans="11:17" x14ac:dyDescent="0.15">
      <c r="K166" s="127"/>
      <c r="Q166" s="75"/>
    </row>
    <row r="167" spans="11:17" x14ac:dyDescent="0.15">
      <c r="K167" s="127"/>
      <c r="Q167" s="75"/>
    </row>
    <row r="168" spans="11:17" x14ac:dyDescent="0.15">
      <c r="K168" s="127"/>
      <c r="Q168" s="75"/>
    </row>
    <row r="169" spans="11:17" x14ac:dyDescent="0.15">
      <c r="K169" s="127"/>
      <c r="Q169" s="75"/>
    </row>
    <row r="170" spans="11:17" x14ac:dyDescent="0.15">
      <c r="K170" s="127"/>
      <c r="Q170" s="75"/>
    </row>
    <row r="171" spans="11:17" x14ac:dyDescent="0.15">
      <c r="K171" s="127"/>
      <c r="Q171" s="75"/>
    </row>
    <row r="172" spans="11:17" x14ac:dyDescent="0.15">
      <c r="K172" s="127"/>
      <c r="Q172" s="75"/>
    </row>
    <row r="173" spans="11:17" x14ac:dyDescent="0.15">
      <c r="K173" s="127"/>
      <c r="Q173" s="75"/>
    </row>
    <row r="174" spans="11:17" x14ac:dyDescent="0.15">
      <c r="K174" s="127"/>
      <c r="Q174" s="75"/>
    </row>
    <row r="175" spans="11:17" x14ac:dyDescent="0.15">
      <c r="K175" s="127"/>
      <c r="Q175" s="75"/>
    </row>
    <row r="176" spans="11:17" x14ac:dyDescent="0.15">
      <c r="K176" s="127"/>
      <c r="Q176" s="75"/>
    </row>
    <row r="177" spans="11:17" x14ac:dyDescent="0.15">
      <c r="K177" s="127"/>
      <c r="Q177" s="75"/>
    </row>
    <row r="178" spans="11:17" x14ac:dyDescent="0.15">
      <c r="K178" s="127"/>
      <c r="Q178" s="75"/>
    </row>
    <row r="179" spans="11:17" x14ac:dyDescent="0.15">
      <c r="K179" s="127"/>
      <c r="Q179" s="75"/>
    </row>
    <row r="180" spans="11:17" x14ac:dyDescent="0.15">
      <c r="K180" s="127"/>
      <c r="Q180" s="75"/>
    </row>
    <row r="181" spans="11:17" x14ac:dyDescent="0.15">
      <c r="K181" s="127"/>
      <c r="Q181" s="75"/>
    </row>
    <row r="182" spans="11:17" x14ac:dyDescent="0.15">
      <c r="K182" s="127"/>
      <c r="Q182" s="75"/>
    </row>
    <row r="183" spans="11:17" x14ac:dyDescent="0.15">
      <c r="K183" s="127"/>
      <c r="Q183" s="75"/>
    </row>
    <row r="184" spans="11:17" x14ac:dyDescent="0.15">
      <c r="K184" s="127"/>
      <c r="Q184" s="75"/>
    </row>
    <row r="185" spans="11:17" x14ac:dyDescent="0.15">
      <c r="K185" s="127"/>
      <c r="Q185" s="75"/>
    </row>
    <row r="186" spans="11:17" x14ac:dyDescent="0.15">
      <c r="K186" s="127"/>
      <c r="Q186" s="75"/>
    </row>
    <row r="187" spans="11:17" x14ac:dyDescent="0.15">
      <c r="K187" s="127"/>
      <c r="Q187" s="75"/>
    </row>
    <row r="188" spans="11:17" x14ac:dyDescent="0.15">
      <c r="K188" s="127"/>
      <c r="Q188" s="75"/>
    </row>
    <row r="189" spans="11:17" x14ac:dyDescent="0.15">
      <c r="K189" s="127"/>
      <c r="Q189" s="75"/>
    </row>
    <row r="190" spans="11:17" x14ac:dyDescent="0.15">
      <c r="K190" s="127"/>
      <c r="Q190" s="75"/>
    </row>
    <row r="191" spans="11:17" x14ac:dyDescent="0.15">
      <c r="K191" s="127"/>
      <c r="Q191" s="75"/>
    </row>
    <row r="192" spans="11:17" x14ac:dyDescent="0.15">
      <c r="K192" s="127"/>
      <c r="Q192" s="75"/>
    </row>
    <row r="193" spans="11:17" x14ac:dyDescent="0.15">
      <c r="K193" s="127"/>
      <c r="Q193" s="75"/>
    </row>
    <row r="194" spans="11:17" x14ac:dyDescent="0.15">
      <c r="K194" s="127"/>
      <c r="Q194" s="75"/>
    </row>
    <row r="195" spans="11:17" x14ac:dyDescent="0.15">
      <c r="K195" s="127"/>
      <c r="Q195" s="75"/>
    </row>
    <row r="196" spans="11:17" x14ac:dyDescent="0.15">
      <c r="K196" s="127"/>
      <c r="Q196" s="75"/>
    </row>
    <row r="197" spans="11:17" x14ac:dyDescent="0.15">
      <c r="K197" s="127"/>
      <c r="Q197" s="75"/>
    </row>
    <row r="198" spans="11:17" x14ac:dyDescent="0.15">
      <c r="K198" s="127"/>
      <c r="Q198" s="75"/>
    </row>
    <row r="199" spans="11:17" x14ac:dyDescent="0.15">
      <c r="K199" s="127"/>
      <c r="Q199" s="75"/>
    </row>
    <row r="200" spans="11:17" x14ac:dyDescent="0.15">
      <c r="K200" s="127"/>
      <c r="Q200" s="75"/>
    </row>
    <row r="201" spans="11:17" x14ac:dyDescent="0.15">
      <c r="K201" s="127"/>
      <c r="Q201" s="75"/>
    </row>
    <row r="202" spans="11:17" x14ac:dyDescent="0.15">
      <c r="K202" s="127"/>
      <c r="Q202" s="75"/>
    </row>
    <row r="203" spans="11:17" x14ac:dyDescent="0.15">
      <c r="K203" s="127"/>
      <c r="Q203" s="75"/>
    </row>
    <row r="204" spans="11:17" x14ac:dyDescent="0.15">
      <c r="K204" s="127"/>
      <c r="Q204" s="75"/>
    </row>
    <row r="205" spans="11:17" x14ac:dyDescent="0.15">
      <c r="K205" s="127"/>
      <c r="Q205" s="75"/>
    </row>
    <row r="206" spans="11:17" x14ac:dyDescent="0.15">
      <c r="K206" s="127"/>
      <c r="Q206" s="75"/>
    </row>
    <row r="207" spans="11:17" x14ac:dyDescent="0.15">
      <c r="K207" s="127"/>
      <c r="Q207" s="75"/>
    </row>
    <row r="208" spans="11:17" x14ac:dyDescent="0.15">
      <c r="K208" s="127"/>
      <c r="Q208" s="75"/>
    </row>
    <row r="209" spans="11:17" x14ac:dyDescent="0.15">
      <c r="K209" s="127"/>
      <c r="Q209" s="75"/>
    </row>
    <row r="210" spans="11:17" x14ac:dyDescent="0.15">
      <c r="K210" s="127"/>
      <c r="Q210" s="75"/>
    </row>
    <row r="211" spans="11:17" x14ac:dyDescent="0.15">
      <c r="K211" s="127"/>
      <c r="Q211" s="75"/>
    </row>
    <row r="212" spans="11:17" x14ac:dyDescent="0.15">
      <c r="K212" s="127"/>
      <c r="Q212" s="75"/>
    </row>
    <row r="213" spans="11:17" x14ac:dyDescent="0.15">
      <c r="K213" s="127"/>
      <c r="Q213" s="75"/>
    </row>
    <row r="214" spans="11:17" x14ac:dyDescent="0.15">
      <c r="K214" s="127"/>
      <c r="Q214" s="75"/>
    </row>
    <row r="215" spans="11:17" x14ac:dyDescent="0.15">
      <c r="K215" s="127"/>
      <c r="Q215" s="75"/>
    </row>
    <row r="216" spans="11:17" x14ac:dyDescent="0.15">
      <c r="K216" s="127"/>
      <c r="Q216" s="75"/>
    </row>
    <row r="217" spans="11:17" x14ac:dyDescent="0.15">
      <c r="K217" s="127"/>
      <c r="Q217" s="75"/>
    </row>
    <row r="218" spans="11:17" x14ac:dyDescent="0.15">
      <c r="K218" s="127"/>
      <c r="Q218" s="75"/>
    </row>
    <row r="219" spans="11:17" x14ac:dyDescent="0.15">
      <c r="K219" s="127"/>
      <c r="Q219" s="75"/>
    </row>
    <row r="220" spans="11:17" x14ac:dyDescent="0.15">
      <c r="K220" s="127"/>
      <c r="Q220" s="75"/>
    </row>
    <row r="221" spans="11:17" x14ac:dyDescent="0.15">
      <c r="K221" s="127"/>
      <c r="Q221" s="75"/>
    </row>
    <row r="222" spans="11:17" x14ac:dyDescent="0.15">
      <c r="K222" s="127"/>
      <c r="Q222" s="75"/>
    </row>
    <row r="223" spans="11:17" x14ac:dyDescent="0.15">
      <c r="K223" s="127"/>
      <c r="Q223" s="75"/>
    </row>
    <row r="224" spans="11:17" x14ac:dyDescent="0.15">
      <c r="K224" s="127"/>
      <c r="Q224" s="75"/>
    </row>
    <row r="225" spans="11:17" x14ac:dyDescent="0.15">
      <c r="K225" s="127"/>
      <c r="Q225" s="75"/>
    </row>
    <row r="226" spans="11:17" x14ac:dyDescent="0.15">
      <c r="K226" s="127"/>
      <c r="Q226" s="75"/>
    </row>
    <row r="227" spans="11:17" x14ac:dyDescent="0.15">
      <c r="K227" s="127"/>
      <c r="Q227" s="75"/>
    </row>
    <row r="228" spans="11:17" x14ac:dyDescent="0.15">
      <c r="K228" s="127"/>
      <c r="Q228" s="75"/>
    </row>
    <row r="229" spans="11:17" x14ac:dyDescent="0.15">
      <c r="K229" s="127"/>
      <c r="Q229" s="75"/>
    </row>
    <row r="230" spans="11:17" x14ac:dyDescent="0.15">
      <c r="K230" s="127"/>
      <c r="Q230" s="75"/>
    </row>
    <row r="231" spans="11:17" x14ac:dyDescent="0.15">
      <c r="K231" s="127"/>
      <c r="Q231" s="75"/>
    </row>
    <row r="232" spans="11:17" x14ac:dyDescent="0.15">
      <c r="K232" s="127"/>
      <c r="Q232" s="75"/>
    </row>
    <row r="233" spans="11:17" x14ac:dyDescent="0.15">
      <c r="K233" s="127"/>
      <c r="Q233" s="75"/>
    </row>
    <row r="234" spans="11:17" x14ac:dyDescent="0.15">
      <c r="K234" s="127"/>
      <c r="Q234" s="75"/>
    </row>
    <row r="235" spans="11:17" x14ac:dyDescent="0.15">
      <c r="K235" s="127"/>
      <c r="Q235" s="75"/>
    </row>
    <row r="236" spans="11:17" x14ac:dyDescent="0.15">
      <c r="K236" s="127"/>
      <c r="Q236" s="75"/>
    </row>
    <row r="237" spans="11:17" x14ac:dyDescent="0.15">
      <c r="K237" s="127"/>
      <c r="Q237" s="75"/>
    </row>
    <row r="238" spans="11:17" x14ac:dyDescent="0.15">
      <c r="K238" s="127"/>
      <c r="Q238" s="75"/>
    </row>
    <row r="239" spans="11:17" x14ac:dyDescent="0.15">
      <c r="K239" s="127"/>
      <c r="Q239" s="75"/>
    </row>
    <row r="240" spans="11:17" x14ac:dyDescent="0.15">
      <c r="K240" s="127"/>
      <c r="Q240" s="75"/>
    </row>
    <row r="241" spans="11:17" x14ac:dyDescent="0.15">
      <c r="K241" s="127"/>
      <c r="Q241" s="75"/>
    </row>
    <row r="242" spans="11:17" x14ac:dyDescent="0.15">
      <c r="K242" s="127"/>
      <c r="Q242" s="75"/>
    </row>
    <row r="243" spans="11:17" x14ac:dyDescent="0.15">
      <c r="K243" s="127"/>
      <c r="Q243" s="75"/>
    </row>
    <row r="244" spans="11:17" x14ac:dyDescent="0.15">
      <c r="K244" s="127"/>
      <c r="Q244" s="75"/>
    </row>
    <row r="245" spans="11:17" x14ac:dyDescent="0.15">
      <c r="K245" s="127"/>
      <c r="Q245" s="75"/>
    </row>
    <row r="246" spans="11:17" x14ac:dyDescent="0.15">
      <c r="K246" s="127"/>
      <c r="Q246" s="75"/>
    </row>
    <row r="247" spans="11:17" x14ac:dyDescent="0.15">
      <c r="K247" s="127"/>
      <c r="Q247" s="75"/>
    </row>
    <row r="248" spans="11:17" x14ac:dyDescent="0.15">
      <c r="K248" s="127"/>
      <c r="Q248" s="75"/>
    </row>
    <row r="249" spans="11:17" x14ac:dyDescent="0.15">
      <c r="K249" s="127"/>
      <c r="Q249" s="75"/>
    </row>
    <row r="250" spans="11:17" x14ac:dyDescent="0.15">
      <c r="K250" s="127"/>
      <c r="Q250" s="75"/>
    </row>
    <row r="251" spans="11:17" x14ac:dyDescent="0.15">
      <c r="K251" s="127"/>
      <c r="Q251" s="75"/>
    </row>
    <row r="252" spans="11:17" x14ac:dyDescent="0.15">
      <c r="K252" s="127"/>
      <c r="Q252" s="75"/>
    </row>
    <row r="253" spans="11:17" x14ac:dyDescent="0.15">
      <c r="K253" s="127"/>
      <c r="Q253" s="75"/>
    </row>
    <row r="254" spans="11:17" x14ac:dyDescent="0.15">
      <c r="K254" s="127"/>
      <c r="Q254" s="75"/>
    </row>
    <row r="255" spans="11:17" x14ac:dyDescent="0.15">
      <c r="K255" s="127"/>
      <c r="Q255" s="75"/>
    </row>
    <row r="256" spans="11:17" x14ac:dyDescent="0.15">
      <c r="K256" s="127"/>
      <c r="Q256" s="75"/>
    </row>
    <row r="257" spans="11:17" x14ac:dyDescent="0.15">
      <c r="K257" s="127"/>
      <c r="Q257" s="75"/>
    </row>
    <row r="258" spans="11:17" x14ac:dyDescent="0.15">
      <c r="K258" s="127"/>
      <c r="Q258" s="75"/>
    </row>
    <row r="259" spans="11:17" x14ac:dyDescent="0.15">
      <c r="K259" s="127"/>
      <c r="Q259" s="75"/>
    </row>
    <row r="260" spans="11:17" x14ac:dyDescent="0.15">
      <c r="K260" s="127"/>
      <c r="Q260" s="75"/>
    </row>
    <row r="261" spans="11:17" x14ac:dyDescent="0.15">
      <c r="K261" s="127"/>
      <c r="Q261" s="75"/>
    </row>
    <row r="262" spans="11:17" x14ac:dyDescent="0.15">
      <c r="K262" s="127"/>
      <c r="Q262" s="75"/>
    </row>
    <row r="263" spans="11:17" x14ac:dyDescent="0.15">
      <c r="K263" s="127"/>
      <c r="Q263" s="75"/>
    </row>
    <row r="264" spans="11:17" x14ac:dyDescent="0.15">
      <c r="K264" s="127"/>
      <c r="Q264" s="75"/>
    </row>
    <row r="265" spans="11:17" x14ac:dyDescent="0.15">
      <c r="K265" s="127"/>
      <c r="Q265" s="75"/>
    </row>
    <row r="266" spans="11:17" x14ac:dyDescent="0.15">
      <c r="K266" s="127"/>
      <c r="Q266" s="75"/>
    </row>
    <row r="267" spans="11:17" x14ac:dyDescent="0.15">
      <c r="K267" s="127"/>
      <c r="Q267" s="75"/>
    </row>
    <row r="268" spans="11:17" x14ac:dyDescent="0.15">
      <c r="K268" s="127"/>
      <c r="Q268" s="75"/>
    </row>
    <row r="269" spans="11:17" x14ac:dyDescent="0.15">
      <c r="K269" s="127"/>
      <c r="Q269" s="75"/>
    </row>
    <row r="270" spans="11:17" x14ac:dyDescent="0.15">
      <c r="K270" s="127"/>
      <c r="Q270" s="75"/>
    </row>
    <row r="271" spans="11:17" x14ac:dyDescent="0.15">
      <c r="K271" s="127"/>
      <c r="Q271" s="75"/>
    </row>
    <row r="272" spans="11:17" x14ac:dyDescent="0.15">
      <c r="K272" s="127"/>
      <c r="Q272" s="75"/>
    </row>
    <row r="273" spans="11:17" x14ac:dyDescent="0.15">
      <c r="K273" s="127"/>
      <c r="Q273" s="75"/>
    </row>
    <row r="274" spans="11:17" x14ac:dyDescent="0.15">
      <c r="K274" s="127"/>
      <c r="Q274" s="75"/>
    </row>
    <row r="275" spans="11:17" x14ac:dyDescent="0.15">
      <c r="K275" s="127"/>
      <c r="Q275" s="75"/>
    </row>
    <row r="276" spans="11:17" x14ac:dyDescent="0.15">
      <c r="K276" s="127"/>
      <c r="Q276" s="75"/>
    </row>
    <row r="277" spans="11:17" x14ac:dyDescent="0.15">
      <c r="K277" s="127"/>
      <c r="Q277" s="75"/>
    </row>
    <row r="278" spans="11:17" x14ac:dyDescent="0.15">
      <c r="K278" s="127"/>
      <c r="Q278" s="75"/>
    </row>
    <row r="279" spans="11:17" x14ac:dyDescent="0.15">
      <c r="K279" s="127"/>
      <c r="Q279" s="75"/>
    </row>
    <row r="280" spans="11:17" x14ac:dyDescent="0.15">
      <c r="K280" s="127"/>
      <c r="Q280" s="75"/>
    </row>
    <row r="281" spans="11:17" x14ac:dyDescent="0.15">
      <c r="K281" s="127"/>
      <c r="Q281" s="75"/>
    </row>
    <row r="282" spans="11:17" x14ac:dyDescent="0.15">
      <c r="K282" s="127"/>
      <c r="Q282" s="75"/>
    </row>
    <row r="283" spans="11:17" x14ac:dyDescent="0.15">
      <c r="K283" s="127"/>
      <c r="Q283" s="75"/>
    </row>
    <row r="284" spans="11:17" x14ac:dyDescent="0.15">
      <c r="K284" s="127"/>
      <c r="Q284" s="75"/>
    </row>
    <row r="285" spans="11:17" x14ac:dyDescent="0.15">
      <c r="K285" s="127"/>
      <c r="Q285" s="75"/>
    </row>
    <row r="286" spans="11:17" x14ac:dyDescent="0.15">
      <c r="K286" s="127"/>
      <c r="Q286" s="75"/>
    </row>
    <row r="287" spans="11:17" x14ac:dyDescent="0.15">
      <c r="K287" s="127"/>
      <c r="Q287" s="75"/>
    </row>
    <row r="288" spans="11:17" x14ac:dyDescent="0.15">
      <c r="K288" s="127"/>
      <c r="Q288" s="75"/>
    </row>
    <row r="289" spans="11:17" x14ac:dyDescent="0.15">
      <c r="K289" s="127"/>
      <c r="Q289" s="75"/>
    </row>
    <row r="290" spans="11:17" x14ac:dyDescent="0.15">
      <c r="K290" s="127"/>
      <c r="Q290" s="75"/>
    </row>
    <row r="291" spans="11:17" x14ac:dyDescent="0.15">
      <c r="K291" s="127"/>
      <c r="Q291" s="75"/>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ABDA6B49-E410-43AC-96C5-2AD59E0FB616}">
      <formula1>$AH$2:$AH$11</formula1>
    </dataValidation>
    <dataValidation type="list" allowBlank="1" showInputMessage="1" showErrorMessage="1" sqref="E2:E491" xr:uid="{EE164F9E-D306-45C7-8601-64135A89C69D}">
      <formula1>$AG$2:$AG$11</formula1>
    </dataValidation>
    <dataValidation type="decimal" allowBlank="1" showInputMessage="1" showErrorMessage="1" error="硬度を正しく入力して下さい。" sqref="O2:P491" xr:uid="{C49939B4-2372-4B68-8402-CBE0DD438D1C}">
      <formula1>0</formula1>
      <formula2>7</formula2>
    </dataValidation>
    <dataValidation type="list" allowBlank="1" showInputMessage="1" showErrorMessage="1" sqref="Y2:AA491" xr:uid="{C9511860-08E6-4D3D-BF6C-BBF6F340D2D9}">
      <formula1>$AV$2:$AV$21</formula1>
    </dataValidation>
    <dataValidation type="list" allowBlank="1" showInputMessage="1" showErrorMessage="1" sqref="K444:K491" xr:uid="{D673F607-7ABB-46AE-B518-F0AD3B2917D3}">
      <formula1>$AR$2:$AR$25</formula1>
    </dataValidation>
    <dataValidation type="list" allowBlank="1" showInputMessage="1" showErrorMessage="1" sqref="I2:I491" xr:uid="{A072E2F4-5D30-428D-952E-59A5E6C2EA67}">
      <formula1>$AN$5:$AN$6</formula1>
    </dataValidation>
    <dataValidation type="list" allowBlank="1" showInputMessage="1" showErrorMessage="1" sqref="H2:H491" xr:uid="{572A41F1-3814-4812-98E7-8302C3CA24DE}">
      <formula1>$AL$2:$AL$8</formula1>
    </dataValidation>
    <dataValidation type="list" allowBlank="1" showInputMessage="1" showErrorMessage="1" sqref="A2:A491" xr:uid="{65BFFBB9-872F-4A5F-A502-D84018D4EB53}">
      <formula1>$AE$2:$AE$19</formula1>
    </dataValidation>
    <dataValidation type="list" allowBlank="1" showInputMessage="1" showErrorMessage="1" sqref="X2:X491" xr:uid="{57A62C2F-C658-4BEA-A2D4-702E6B0DECB8}">
      <formula1>$AT$2:$AT$3</formula1>
    </dataValidation>
    <dataValidation type="list" allowBlank="1" showInputMessage="1" showErrorMessage="1" sqref="G2:G491" xr:uid="{8420BA51-4064-47DE-AAC2-5DA0F78BAD34}">
      <formula1>$AJ$2:$AJ$4</formula1>
    </dataValidation>
    <dataValidation type="list" allowBlank="1" showInputMessage="1" showErrorMessage="1" sqref="J2:J491" xr:uid="{9B127F4F-F455-492B-971B-6A217153710A}">
      <formula1>$AP$2:$AP$27</formula1>
    </dataValidation>
    <dataValidation operator="equal" allowBlank="1" showInputMessage="1" showErrorMessage="1" sqref="B2:B46" xr:uid="{89DCD949-4CC3-4BFD-A84B-03A8A4825A0B}"/>
    <dataValidation type="list" allowBlank="1" showInputMessage="1" showErrorMessage="1" sqref="F492:F64242" xr:uid="{BCDA84C7-ADA8-463E-A12C-8864E7E0DDB8}">
      <formula1>$AH$2:$AH$8</formula1>
    </dataValidation>
    <dataValidation type="list" allowBlank="1" showInputMessage="1" showErrorMessage="1" sqref="E492:E64242" xr:uid="{77F001A5-8F31-45EC-8CD9-D787D6D602B3}">
      <formula1>$AG$2:$AG$9</formula1>
    </dataValidation>
    <dataValidation type="list" allowBlank="1" showInputMessage="1" showErrorMessage="1" sqref="H492:H64242" xr:uid="{5281E456-38D2-43F0-8E35-B5B73251C3D6}">
      <formula1>$AL$2:$AL$10</formula1>
    </dataValidation>
    <dataValidation type="list" allowBlank="1" showInputMessage="1" showErrorMessage="1" sqref="K492:K64242" xr:uid="{266FE615-0568-4883-942A-F009594C9CC4}">
      <formula1>$AR$2:$AR$28</formula1>
    </dataValidation>
    <dataValidation type="list" allowBlank="1" showInputMessage="1" showErrorMessage="1" sqref="Y492:AA64242" xr:uid="{0B66E1F9-4028-4ED7-9B0E-EF60FA993EAB}">
      <formula1>$AV$2:$AV$26</formula1>
    </dataValidation>
    <dataValidation type="list" allowBlank="1" showInputMessage="1" showErrorMessage="1" sqref="I492:I64242" xr:uid="{96C07892-501D-4E89-B3B3-AC4C383DD124}">
      <formula1>$AN$2:$AN$6</formula1>
    </dataValidation>
    <dataValidation type="list" allowBlank="1" showInputMessage="1" showErrorMessage="1" sqref="J492:J64242" xr:uid="{B7F02AF1-70E4-4B1E-81BD-E7B107277891}">
      <formula1>$AP$2:$AP$16</formula1>
    </dataValidation>
    <dataValidation type="list" allowBlank="1" showInputMessage="1" showErrorMessage="1" sqref="K2:K443" xr:uid="{C8C2DFA0-3741-44B2-BEF5-41AB4768C327}">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D09B1-A6C3-4AB3-ABF4-901162CA5D5D}">
  <dimension ref="A1:BA149"/>
  <sheetViews>
    <sheetView zoomScale="85" zoomScaleNormal="85" workbookViewId="0">
      <pane ySplit="1" topLeftCell="A29" activePane="bottomLeft" state="frozen"/>
      <selection pane="bottomLeft" activeCell="J5" sqref="J5:J10"/>
    </sheetView>
  </sheetViews>
  <sheetFormatPr defaultRowHeight="13.5" x14ac:dyDescent="0.15"/>
  <cols>
    <col min="1" max="2" width="9" style="53"/>
    <col min="3" max="3" width="6.5" style="53" customWidth="1"/>
    <col min="4" max="4" width="10.5" style="53" bestFit="1" customWidth="1"/>
    <col min="5" max="5" width="10.875" style="53" bestFit="1" customWidth="1"/>
    <col min="6" max="6" width="18.875" style="53" bestFit="1" customWidth="1"/>
    <col min="7" max="9" width="9" style="53"/>
    <col min="10" max="10" width="9.25" style="53" customWidth="1"/>
    <col min="11" max="12" width="9" style="53"/>
    <col min="13" max="13" width="9" style="53" bestFit="1"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315</v>
      </c>
      <c r="V1" s="5" t="s">
        <v>20</v>
      </c>
      <c r="W1" s="56" t="s">
        <v>21</v>
      </c>
      <c r="X1" s="45" t="s">
        <v>22</v>
      </c>
      <c r="Y1" s="45" t="s">
        <v>23</v>
      </c>
      <c r="Z1" s="45" t="s">
        <v>370</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234</v>
      </c>
      <c r="C2" s="53">
        <v>2019</v>
      </c>
      <c r="D2" s="176" t="s">
        <v>371</v>
      </c>
      <c r="E2" s="53" t="s">
        <v>372</v>
      </c>
      <c r="F2" s="53" t="s">
        <v>373</v>
      </c>
      <c r="G2" s="53" t="s">
        <v>36</v>
      </c>
      <c r="H2" s="53" t="s">
        <v>164</v>
      </c>
      <c r="I2" s="53" t="s">
        <v>159</v>
      </c>
      <c r="J2" s="53" t="s">
        <v>38</v>
      </c>
      <c r="K2" s="53" t="s">
        <v>161</v>
      </c>
      <c r="L2" s="53">
        <v>1</v>
      </c>
      <c r="N2" s="53">
        <v>1</v>
      </c>
      <c r="O2" s="53">
        <v>0.2</v>
      </c>
      <c r="P2" s="53">
        <v>0.5</v>
      </c>
      <c r="Q2" s="75">
        <f t="shared" ref="Q2:Q65" si="0">IF(OR(O2="",P2=""),"",AVERAGE(O2,P2))</f>
        <v>0.35</v>
      </c>
      <c r="R2" s="53">
        <v>13.7</v>
      </c>
      <c r="S2" s="53">
        <v>118</v>
      </c>
      <c r="T2" s="16">
        <f t="shared" ref="T2:T65" si="1">IF(H2="","",IF(OR(H2="GREEN",H2="GK"),IF(S2&gt;=$AX$2,VLOOKUP(S2,$AX$2:$AY$9,2,1),""),IF(S2&gt;=$AZ$2,VLOOKUP(S2,$AZ$2:$BA$9,2,1),"")))</f>
        <v>30</v>
      </c>
      <c r="U2" s="53">
        <v>103</v>
      </c>
      <c r="V2" s="16">
        <f t="shared" ref="V2:V65" si="2">IF(OR(N2="",U2="",T2=""),"",U2/N2*T2)</f>
        <v>3090</v>
      </c>
      <c r="W2" s="53">
        <v>1</v>
      </c>
      <c r="X2" s="53" t="s">
        <v>46</v>
      </c>
      <c r="Y2" s="53" t="s">
        <v>84</v>
      </c>
      <c r="Z2" s="53" t="s">
        <v>90</v>
      </c>
      <c r="AA2" s="53" t="s">
        <v>69</v>
      </c>
      <c r="AB2" s="53" t="s">
        <v>238</v>
      </c>
      <c r="AE2" s="64" t="s">
        <v>35</v>
      </c>
      <c r="AG2" s="177" t="s">
        <v>363</v>
      </c>
      <c r="AH2" s="67" t="s">
        <v>374</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234</v>
      </c>
      <c r="C3" s="53">
        <v>2019</v>
      </c>
      <c r="D3" s="176" t="s">
        <v>371</v>
      </c>
      <c r="E3" s="53" t="s">
        <v>372</v>
      </c>
      <c r="F3" s="53" t="s">
        <v>373</v>
      </c>
      <c r="G3" s="53" t="s">
        <v>36</v>
      </c>
      <c r="H3" s="53" t="s">
        <v>164</v>
      </c>
      <c r="I3" s="53" t="s">
        <v>159</v>
      </c>
      <c r="J3" s="53" t="s">
        <v>38</v>
      </c>
      <c r="K3" s="53" t="s">
        <v>161</v>
      </c>
      <c r="L3" s="53">
        <v>2</v>
      </c>
      <c r="N3" s="53">
        <v>1</v>
      </c>
      <c r="O3" s="53">
        <v>0.6</v>
      </c>
      <c r="P3" s="53">
        <v>0.75</v>
      </c>
      <c r="Q3" s="75">
        <f t="shared" si="0"/>
        <v>0.67500000000000004</v>
      </c>
      <c r="R3" s="53">
        <v>14.1</v>
      </c>
      <c r="S3" s="53">
        <v>120</v>
      </c>
      <c r="T3" s="16">
        <f t="shared" si="1"/>
        <v>30</v>
      </c>
      <c r="U3" s="53">
        <v>103</v>
      </c>
      <c r="V3" s="16">
        <f t="shared" si="2"/>
        <v>3090</v>
      </c>
      <c r="W3" s="53">
        <v>1</v>
      </c>
      <c r="X3" s="53" t="s">
        <v>46</v>
      </c>
      <c r="Y3" s="53" t="s">
        <v>84</v>
      </c>
      <c r="Z3" s="53" t="s">
        <v>90</v>
      </c>
      <c r="AA3" s="53" t="s">
        <v>69</v>
      </c>
      <c r="AB3" s="53" t="s">
        <v>238</v>
      </c>
      <c r="AE3" s="22" t="s">
        <v>41</v>
      </c>
      <c r="AG3" s="178" t="s">
        <v>375</v>
      </c>
      <c r="AH3" s="67" t="s">
        <v>376</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234</v>
      </c>
      <c r="C4" s="53">
        <v>2019</v>
      </c>
      <c r="D4" s="176" t="s">
        <v>371</v>
      </c>
      <c r="E4" s="53" t="s">
        <v>372</v>
      </c>
      <c r="F4" s="53" t="s">
        <v>373</v>
      </c>
      <c r="G4" s="53" t="s">
        <v>36</v>
      </c>
      <c r="H4" s="53" t="s">
        <v>164</v>
      </c>
      <c r="I4" s="53" t="s">
        <v>159</v>
      </c>
      <c r="J4" s="53" t="s">
        <v>38</v>
      </c>
      <c r="K4" s="53" t="s">
        <v>161</v>
      </c>
      <c r="L4" s="53">
        <v>3</v>
      </c>
      <c r="N4" s="53">
        <v>1</v>
      </c>
      <c r="O4" s="53">
        <v>0.5</v>
      </c>
      <c r="P4" s="53">
        <v>0.6</v>
      </c>
      <c r="Q4" s="75">
        <f t="shared" si="0"/>
        <v>0.55000000000000004</v>
      </c>
      <c r="R4" s="53">
        <v>13.9</v>
      </c>
      <c r="S4" s="53">
        <v>118</v>
      </c>
      <c r="T4" s="16">
        <f t="shared" si="1"/>
        <v>30</v>
      </c>
      <c r="U4" s="53">
        <v>103</v>
      </c>
      <c r="V4" s="16">
        <f t="shared" si="2"/>
        <v>3090</v>
      </c>
      <c r="W4" s="53">
        <v>1</v>
      </c>
      <c r="X4" s="53" t="s">
        <v>46</v>
      </c>
      <c r="Y4" s="53" t="s">
        <v>84</v>
      </c>
      <c r="Z4" s="53" t="s">
        <v>90</v>
      </c>
      <c r="AA4" s="53" t="s">
        <v>69</v>
      </c>
      <c r="AB4" s="53" t="s">
        <v>238</v>
      </c>
      <c r="AE4" s="22" t="s">
        <v>34</v>
      </c>
      <c r="AG4" s="178" t="s">
        <v>377</v>
      </c>
      <c r="AH4" s="67" t="s">
        <v>378</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234</v>
      </c>
      <c r="C5" s="53">
        <v>2019</v>
      </c>
      <c r="D5" s="176" t="s">
        <v>371</v>
      </c>
      <c r="E5" s="53" t="s">
        <v>379</v>
      </c>
      <c r="F5" s="53" t="s">
        <v>380</v>
      </c>
      <c r="G5" s="53" t="s">
        <v>36</v>
      </c>
      <c r="H5" s="53" t="s">
        <v>127</v>
      </c>
      <c r="I5" s="53" t="s">
        <v>159</v>
      </c>
      <c r="J5" s="53" t="s">
        <v>80</v>
      </c>
      <c r="K5" s="53" t="s">
        <v>94</v>
      </c>
      <c r="L5" s="53">
        <v>1</v>
      </c>
      <c r="N5" s="53">
        <v>1</v>
      </c>
      <c r="O5" s="53">
        <v>1</v>
      </c>
      <c r="P5" s="53">
        <v>1.1000000000000001</v>
      </c>
      <c r="Q5" s="75">
        <f t="shared" si="0"/>
        <v>1.05</v>
      </c>
      <c r="R5" s="53">
        <v>12.6</v>
      </c>
      <c r="S5" s="53">
        <v>100</v>
      </c>
      <c r="T5" s="16">
        <f t="shared" si="1"/>
        <v>33</v>
      </c>
      <c r="U5" s="53">
        <v>54</v>
      </c>
      <c r="V5" s="16">
        <f t="shared" si="2"/>
        <v>1782</v>
      </c>
      <c r="W5" s="53">
        <v>4</v>
      </c>
      <c r="X5" s="53" t="s">
        <v>46</v>
      </c>
      <c r="Y5" s="53" t="s">
        <v>84</v>
      </c>
      <c r="Z5" s="53" t="s">
        <v>69</v>
      </c>
      <c r="AA5" s="53" t="s">
        <v>50</v>
      </c>
      <c r="AB5" s="53" t="s">
        <v>238</v>
      </c>
      <c r="AE5" s="22" t="s">
        <v>51</v>
      </c>
      <c r="AG5" s="178" t="s">
        <v>381</v>
      </c>
      <c r="AH5" s="67" t="s">
        <v>382</v>
      </c>
      <c r="AJ5" s="28"/>
      <c r="AL5" s="73" t="s">
        <v>66</v>
      </c>
      <c r="AN5" s="73" t="s">
        <v>52</v>
      </c>
      <c r="AP5" s="23" t="s">
        <v>119</v>
      </c>
      <c r="AR5" s="23" t="s">
        <v>54</v>
      </c>
      <c r="AV5" s="23" t="s">
        <v>55</v>
      </c>
      <c r="AX5" s="24">
        <v>84</v>
      </c>
      <c r="AY5" s="25">
        <v>39</v>
      </c>
      <c r="AZ5" s="25">
        <v>84</v>
      </c>
      <c r="BA5" s="26">
        <v>36</v>
      </c>
    </row>
    <row r="6" spans="1:53" x14ac:dyDescent="0.15">
      <c r="A6" s="53" t="s">
        <v>34</v>
      </c>
      <c r="B6" s="53" t="s">
        <v>234</v>
      </c>
      <c r="C6" s="53">
        <v>2019</v>
      </c>
      <c r="D6" s="176" t="s">
        <v>371</v>
      </c>
      <c r="E6" s="53" t="s">
        <v>379</v>
      </c>
      <c r="F6" s="53" t="s">
        <v>380</v>
      </c>
      <c r="G6" s="53" t="s">
        <v>36</v>
      </c>
      <c r="H6" s="53" t="s">
        <v>127</v>
      </c>
      <c r="I6" s="53" t="s">
        <v>159</v>
      </c>
      <c r="J6" s="53" t="s">
        <v>80</v>
      </c>
      <c r="K6" s="53" t="s">
        <v>94</v>
      </c>
      <c r="L6" s="53">
        <v>2</v>
      </c>
      <c r="N6" s="53">
        <v>1</v>
      </c>
      <c r="O6" s="53">
        <v>1.35</v>
      </c>
      <c r="P6" s="53">
        <v>1.45</v>
      </c>
      <c r="Q6" s="75">
        <f t="shared" si="0"/>
        <v>1.4</v>
      </c>
      <c r="R6" s="53">
        <v>10.4</v>
      </c>
      <c r="S6" s="53">
        <v>100</v>
      </c>
      <c r="T6" s="16">
        <f t="shared" si="1"/>
        <v>33</v>
      </c>
      <c r="U6" s="53">
        <v>54</v>
      </c>
      <c r="V6" s="16">
        <f t="shared" si="2"/>
        <v>1782</v>
      </c>
      <c r="W6" s="53">
        <v>4</v>
      </c>
      <c r="X6" s="53" t="s">
        <v>46</v>
      </c>
      <c r="Y6" s="53" t="s">
        <v>84</v>
      </c>
      <c r="Z6" s="53" t="s">
        <v>69</v>
      </c>
      <c r="AA6" s="53" t="s">
        <v>50</v>
      </c>
      <c r="AB6" s="53" t="s">
        <v>238</v>
      </c>
      <c r="AE6" s="22" t="s">
        <v>56</v>
      </c>
      <c r="AG6" s="178" t="s">
        <v>383</v>
      </c>
      <c r="AH6" s="67" t="s">
        <v>384</v>
      </c>
      <c r="AL6" s="73" t="s">
        <v>99</v>
      </c>
      <c r="AN6" s="73" t="s">
        <v>57</v>
      </c>
      <c r="AP6" s="23" t="s">
        <v>53</v>
      </c>
      <c r="AR6" s="23" t="s">
        <v>59</v>
      </c>
      <c r="AV6" s="23" t="s">
        <v>60</v>
      </c>
      <c r="AX6" s="24">
        <v>97</v>
      </c>
      <c r="AY6" s="25">
        <v>36</v>
      </c>
      <c r="AZ6" s="25">
        <v>99</v>
      </c>
      <c r="BA6" s="26">
        <v>33</v>
      </c>
    </row>
    <row r="7" spans="1:53" x14ac:dyDescent="0.15">
      <c r="A7" s="53" t="s">
        <v>34</v>
      </c>
      <c r="B7" s="53" t="s">
        <v>234</v>
      </c>
      <c r="C7" s="53">
        <v>2019</v>
      </c>
      <c r="D7" s="176" t="s">
        <v>371</v>
      </c>
      <c r="E7" s="53" t="s">
        <v>379</v>
      </c>
      <c r="F7" s="53" t="s">
        <v>380</v>
      </c>
      <c r="G7" s="53" t="s">
        <v>36</v>
      </c>
      <c r="H7" s="53" t="s">
        <v>127</v>
      </c>
      <c r="I7" s="53" t="s">
        <v>159</v>
      </c>
      <c r="J7" s="53" t="s">
        <v>80</v>
      </c>
      <c r="K7" s="53" t="s">
        <v>94</v>
      </c>
      <c r="L7" s="53">
        <v>3</v>
      </c>
      <c r="N7" s="53">
        <v>1</v>
      </c>
      <c r="O7" s="53">
        <v>0.9</v>
      </c>
      <c r="P7" s="53">
        <v>1.1000000000000001</v>
      </c>
      <c r="Q7" s="75">
        <f t="shared" si="0"/>
        <v>1</v>
      </c>
      <c r="R7" s="53">
        <v>10.3</v>
      </c>
      <c r="S7" s="53">
        <v>94</v>
      </c>
      <c r="T7" s="16">
        <f t="shared" si="1"/>
        <v>36</v>
      </c>
      <c r="U7" s="53">
        <v>54</v>
      </c>
      <c r="V7" s="16">
        <f t="shared" si="2"/>
        <v>1944</v>
      </c>
      <c r="W7" s="53">
        <v>4</v>
      </c>
      <c r="X7" s="53" t="s">
        <v>46</v>
      </c>
      <c r="Y7" s="53" t="s">
        <v>84</v>
      </c>
      <c r="Z7" s="53" t="s">
        <v>69</v>
      </c>
      <c r="AA7" s="53" t="s">
        <v>50</v>
      </c>
      <c r="AB7" s="53" t="s">
        <v>238</v>
      </c>
      <c r="AE7" s="22" t="s">
        <v>61</v>
      </c>
      <c r="AG7" s="178" t="s">
        <v>271</v>
      </c>
      <c r="AH7" s="67" t="s">
        <v>385</v>
      </c>
      <c r="AL7" s="34" t="s">
        <v>109</v>
      </c>
      <c r="AP7" s="23" t="s">
        <v>58</v>
      </c>
      <c r="AR7" s="23" t="s">
        <v>122</v>
      </c>
      <c r="AV7" s="23" t="s">
        <v>64</v>
      </c>
      <c r="AX7" s="24">
        <v>109</v>
      </c>
      <c r="AY7" s="25">
        <v>33</v>
      </c>
      <c r="AZ7" s="25">
        <v>113</v>
      </c>
      <c r="BA7" s="26">
        <v>30</v>
      </c>
    </row>
    <row r="8" spans="1:53" x14ac:dyDescent="0.15">
      <c r="A8" s="53" t="s">
        <v>34</v>
      </c>
      <c r="B8" s="53" t="s">
        <v>234</v>
      </c>
      <c r="C8" s="53">
        <v>2019</v>
      </c>
      <c r="D8" s="176" t="s">
        <v>371</v>
      </c>
      <c r="E8" s="53" t="s">
        <v>379</v>
      </c>
      <c r="F8" s="53" t="s">
        <v>380</v>
      </c>
      <c r="G8" s="53" t="s">
        <v>36</v>
      </c>
      <c r="H8" s="53" t="s">
        <v>127</v>
      </c>
      <c r="I8" s="53" t="s">
        <v>159</v>
      </c>
      <c r="J8" s="53" t="s">
        <v>80</v>
      </c>
      <c r="K8" s="53" t="s">
        <v>94</v>
      </c>
      <c r="L8" s="53">
        <v>1</v>
      </c>
      <c r="N8" s="53">
        <v>8</v>
      </c>
      <c r="O8" s="53">
        <v>0.85</v>
      </c>
      <c r="P8" s="53">
        <v>0.65</v>
      </c>
      <c r="Q8" s="75">
        <f t="shared" si="0"/>
        <v>0.75</v>
      </c>
      <c r="R8" s="53">
        <v>10.6</v>
      </c>
      <c r="S8" s="53">
        <v>99</v>
      </c>
      <c r="T8" s="16">
        <f t="shared" si="1"/>
        <v>33</v>
      </c>
      <c r="U8" s="53">
        <v>410</v>
      </c>
      <c r="V8" s="16">
        <f t="shared" si="2"/>
        <v>1691.25</v>
      </c>
      <c r="W8" s="53">
        <v>4</v>
      </c>
      <c r="X8" s="53" t="s">
        <v>46</v>
      </c>
      <c r="Y8" s="53" t="s">
        <v>84</v>
      </c>
      <c r="Z8" s="53" t="s">
        <v>69</v>
      </c>
      <c r="AA8" s="53" t="s">
        <v>50</v>
      </c>
      <c r="AB8" s="53" t="s">
        <v>238</v>
      </c>
      <c r="AE8" s="22" t="s">
        <v>59</v>
      </c>
      <c r="AG8" s="178" t="s">
        <v>379</v>
      </c>
      <c r="AH8" s="67" t="s">
        <v>380</v>
      </c>
      <c r="AL8" s="34" t="s">
        <v>134</v>
      </c>
      <c r="AP8" s="23" t="s">
        <v>62</v>
      </c>
      <c r="AR8" s="23" t="s">
        <v>81</v>
      </c>
      <c r="AV8" s="23" t="s">
        <v>97</v>
      </c>
      <c r="AX8" s="24">
        <v>151</v>
      </c>
      <c r="AY8" s="25">
        <v>22</v>
      </c>
      <c r="AZ8" s="25">
        <v>152</v>
      </c>
      <c r="BA8" s="26">
        <v>18</v>
      </c>
    </row>
    <row r="9" spans="1:53" x14ac:dyDescent="0.15">
      <c r="A9" s="53" t="s">
        <v>34</v>
      </c>
      <c r="B9" s="53" t="s">
        <v>234</v>
      </c>
      <c r="C9" s="53">
        <v>2019</v>
      </c>
      <c r="D9" s="176" t="s">
        <v>371</v>
      </c>
      <c r="E9" s="53" t="s">
        <v>379</v>
      </c>
      <c r="F9" s="53" t="s">
        <v>380</v>
      </c>
      <c r="G9" s="53" t="s">
        <v>36</v>
      </c>
      <c r="H9" s="53" t="s">
        <v>127</v>
      </c>
      <c r="I9" s="53" t="s">
        <v>159</v>
      </c>
      <c r="J9" s="53" t="s">
        <v>80</v>
      </c>
      <c r="K9" s="53" t="s">
        <v>94</v>
      </c>
      <c r="L9" s="53">
        <v>2</v>
      </c>
      <c r="N9" s="53">
        <v>8</v>
      </c>
      <c r="O9" s="53">
        <v>0.7</v>
      </c>
      <c r="P9" s="53">
        <v>0.6</v>
      </c>
      <c r="Q9" s="75">
        <f t="shared" si="0"/>
        <v>0.64999999999999991</v>
      </c>
      <c r="R9" s="53">
        <v>9.4</v>
      </c>
      <c r="S9" s="53">
        <v>95</v>
      </c>
      <c r="T9" s="16">
        <f t="shared" si="1"/>
        <v>36</v>
      </c>
      <c r="U9" s="53">
        <v>410</v>
      </c>
      <c r="V9" s="16">
        <f t="shared" si="2"/>
        <v>1845</v>
      </c>
      <c r="W9" s="53">
        <v>4</v>
      </c>
      <c r="X9" s="53" t="s">
        <v>46</v>
      </c>
      <c r="Y9" s="53" t="s">
        <v>84</v>
      </c>
      <c r="Z9" s="53" t="s">
        <v>69</v>
      </c>
      <c r="AA9" s="53" t="s">
        <v>50</v>
      </c>
      <c r="AB9" s="53" t="s">
        <v>238</v>
      </c>
      <c r="AE9" s="22" t="s">
        <v>98</v>
      </c>
      <c r="AG9" s="178" t="s">
        <v>386</v>
      </c>
      <c r="AH9" s="67" t="s">
        <v>387</v>
      </c>
      <c r="AL9" s="73"/>
      <c r="AP9" s="23" t="s">
        <v>95</v>
      </c>
      <c r="AR9" s="23" t="s">
        <v>89</v>
      </c>
      <c r="AV9" s="23" t="s">
        <v>102</v>
      </c>
      <c r="AX9" s="31">
        <v>180</v>
      </c>
      <c r="AY9" s="32">
        <v>18</v>
      </c>
      <c r="AZ9" s="32">
        <v>181</v>
      </c>
      <c r="BA9" s="33">
        <v>16</v>
      </c>
    </row>
    <row r="10" spans="1:53" x14ac:dyDescent="0.15">
      <c r="A10" s="53" t="s">
        <v>34</v>
      </c>
      <c r="B10" s="53" t="s">
        <v>234</v>
      </c>
      <c r="C10" s="53">
        <v>2019</v>
      </c>
      <c r="D10" s="176" t="s">
        <v>371</v>
      </c>
      <c r="E10" s="53" t="s">
        <v>379</v>
      </c>
      <c r="F10" s="53" t="s">
        <v>380</v>
      </c>
      <c r="G10" s="53" t="s">
        <v>36</v>
      </c>
      <c r="H10" s="53" t="s">
        <v>127</v>
      </c>
      <c r="I10" s="53" t="s">
        <v>159</v>
      </c>
      <c r="J10" s="53" t="s">
        <v>80</v>
      </c>
      <c r="K10" s="53" t="s">
        <v>94</v>
      </c>
      <c r="L10" s="53">
        <v>3</v>
      </c>
      <c r="N10" s="53">
        <v>8</v>
      </c>
      <c r="O10" s="53">
        <v>0.65</v>
      </c>
      <c r="P10" s="53">
        <v>0.7</v>
      </c>
      <c r="Q10" s="75">
        <f t="shared" si="0"/>
        <v>0.67500000000000004</v>
      </c>
      <c r="R10" s="53">
        <v>10.199999999999999</v>
      </c>
      <c r="S10" s="53">
        <v>104</v>
      </c>
      <c r="T10" s="16">
        <f t="shared" si="1"/>
        <v>33</v>
      </c>
      <c r="U10" s="53">
        <v>410</v>
      </c>
      <c r="V10" s="16">
        <f t="shared" si="2"/>
        <v>1691.25</v>
      </c>
      <c r="W10" s="53">
        <v>4</v>
      </c>
      <c r="X10" s="53" t="s">
        <v>46</v>
      </c>
      <c r="Y10" s="53" t="s">
        <v>84</v>
      </c>
      <c r="Z10" s="53" t="s">
        <v>69</v>
      </c>
      <c r="AA10" s="53" t="s">
        <v>50</v>
      </c>
      <c r="AB10" s="53" t="s">
        <v>238</v>
      </c>
      <c r="AE10" s="22" t="s">
        <v>103</v>
      </c>
      <c r="AG10" s="178" t="s">
        <v>372</v>
      </c>
      <c r="AH10" s="67" t="s">
        <v>373</v>
      </c>
      <c r="AL10" s="34"/>
      <c r="AP10" s="23" t="s">
        <v>100</v>
      </c>
      <c r="AR10" s="23" t="s">
        <v>123</v>
      </c>
      <c r="AV10" s="23" t="s">
        <v>106</v>
      </c>
    </row>
    <row r="11" spans="1:53" x14ac:dyDescent="0.15">
      <c r="A11" s="53" t="s">
        <v>34</v>
      </c>
      <c r="B11" s="53" t="s">
        <v>234</v>
      </c>
      <c r="C11" s="53">
        <v>2019</v>
      </c>
      <c r="D11" s="176" t="s">
        <v>371</v>
      </c>
      <c r="E11" s="53" t="s">
        <v>211</v>
      </c>
      <c r="F11" s="53" t="s">
        <v>388</v>
      </c>
      <c r="G11" s="53" t="s">
        <v>36</v>
      </c>
      <c r="H11" s="53" t="s">
        <v>164</v>
      </c>
      <c r="I11" s="53" t="s">
        <v>159</v>
      </c>
      <c r="J11" s="53" t="s">
        <v>38</v>
      </c>
      <c r="K11" s="53" t="s">
        <v>161</v>
      </c>
      <c r="L11" s="53">
        <v>1</v>
      </c>
      <c r="N11" s="53">
        <v>1</v>
      </c>
      <c r="O11" s="53">
        <v>0.75</v>
      </c>
      <c r="P11" s="53">
        <v>0.6</v>
      </c>
      <c r="Q11" s="75">
        <f t="shared" si="0"/>
        <v>0.67500000000000004</v>
      </c>
      <c r="R11" s="53">
        <v>14</v>
      </c>
      <c r="S11" s="53">
        <v>118</v>
      </c>
      <c r="T11" s="16">
        <f t="shared" si="1"/>
        <v>30</v>
      </c>
      <c r="U11" s="53">
        <v>104</v>
      </c>
      <c r="V11" s="16">
        <f t="shared" si="2"/>
        <v>3120</v>
      </c>
      <c r="W11" s="53">
        <v>2</v>
      </c>
      <c r="X11" s="53" t="s">
        <v>46</v>
      </c>
      <c r="Y11" s="53" t="s">
        <v>84</v>
      </c>
      <c r="Z11" s="53" t="s">
        <v>90</v>
      </c>
      <c r="AA11" s="53" t="s">
        <v>69</v>
      </c>
      <c r="AB11" s="53" t="s">
        <v>238</v>
      </c>
      <c r="AE11" s="22" t="s">
        <v>65</v>
      </c>
      <c r="AG11" s="178" t="s">
        <v>211</v>
      </c>
      <c r="AH11" s="67" t="s">
        <v>388</v>
      </c>
      <c r="AL11" s="34"/>
      <c r="AP11" s="23" t="s">
        <v>104</v>
      </c>
      <c r="AR11" s="23" t="s">
        <v>87</v>
      </c>
      <c r="AV11" s="23" t="s">
        <v>69</v>
      </c>
    </row>
    <row r="12" spans="1:53" x14ac:dyDescent="0.15">
      <c r="A12" s="53" t="s">
        <v>34</v>
      </c>
      <c r="B12" s="53" t="s">
        <v>234</v>
      </c>
      <c r="C12" s="53">
        <v>2019</v>
      </c>
      <c r="D12" s="176" t="s">
        <v>371</v>
      </c>
      <c r="E12" s="53" t="s">
        <v>211</v>
      </c>
      <c r="F12" s="53" t="s">
        <v>388</v>
      </c>
      <c r="G12" s="53" t="s">
        <v>36</v>
      </c>
      <c r="H12" s="53" t="s">
        <v>164</v>
      </c>
      <c r="I12" s="53" t="s">
        <v>159</v>
      </c>
      <c r="J12" s="53" t="s">
        <v>38</v>
      </c>
      <c r="K12" s="53" t="s">
        <v>161</v>
      </c>
      <c r="L12" s="53">
        <v>2</v>
      </c>
      <c r="N12" s="53">
        <v>1</v>
      </c>
      <c r="O12" s="53">
        <v>0.7</v>
      </c>
      <c r="P12" s="53">
        <v>0.65</v>
      </c>
      <c r="Q12" s="75">
        <f t="shared" si="0"/>
        <v>0.67500000000000004</v>
      </c>
      <c r="R12" s="53">
        <v>14.1</v>
      </c>
      <c r="S12" s="53">
        <v>116</v>
      </c>
      <c r="T12" s="16">
        <f t="shared" si="1"/>
        <v>30</v>
      </c>
      <c r="U12" s="53">
        <v>104</v>
      </c>
      <c r="V12" s="16">
        <f t="shared" si="2"/>
        <v>3120</v>
      </c>
      <c r="W12" s="53">
        <v>2</v>
      </c>
      <c r="X12" s="53" t="s">
        <v>46</v>
      </c>
      <c r="Y12" s="53" t="s">
        <v>84</v>
      </c>
      <c r="Z12" s="53" t="s">
        <v>90</v>
      </c>
      <c r="AA12" s="53" t="s">
        <v>69</v>
      </c>
      <c r="AB12" s="53" t="s">
        <v>238</v>
      </c>
      <c r="AE12" s="22" t="s">
        <v>70</v>
      </c>
      <c r="AG12" s="28"/>
      <c r="AH12" s="23"/>
      <c r="AL12" s="34"/>
      <c r="AP12" s="23" t="s">
        <v>67</v>
      </c>
      <c r="AR12" s="23" t="s">
        <v>124</v>
      </c>
      <c r="AV12" s="23" t="s">
        <v>72</v>
      </c>
    </row>
    <row r="13" spans="1:53" x14ac:dyDescent="0.15">
      <c r="A13" s="53" t="s">
        <v>34</v>
      </c>
      <c r="B13" s="53" t="s">
        <v>234</v>
      </c>
      <c r="C13" s="53">
        <v>2019</v>
      </c>
      <c r="D13" s="176" t="s">
        <v>371</v>
      </c>
      <c r="E13" s="53" t="s">
        <v>211</v>
      </c>
      <c r="F13" s="53" t="s">
        <v>388</v>
      </c>
      <c r="G13" s="53" t="s">
        <v>36</v>
      </c>
      <c r="H13" s="53" t="s">
        <v>164</v>
      </c>
      <c r="I13" s="53" t="s">
        <v>159</v>
      </c>
      <c r="J13" s="53" t="s">
        <v>38</v>
      </c>
      <c r="K13" s="53" t="s">
        <v>161</v>
      </c>
      <c r="L13" s="53">
        <v>3</v>
      </c>
      <c r="N13" s="53">
        <v>1</v>
      </c>
      <c r="O13" s="53">
        <v>0.7</v>
      </c>
      <c r="P13" s="53">
        <v>7.0000000000000007E-2</v>
      </c>
      <c r="Q13" s="75">
        <f t="shared" si="0"/>
        <v>0.38500000000000001</v>
      </c>
      <c r="R13" s="53">
        <v>14.6</v>
      </c>
      <c r="S13" s="53">
        <v>120</v>
      </c>
      <c r="T13" s="16">
        <f t="shared" si="1"/>
        <v>30</v>
      </c>
      <c r="U13" s="53">
        <v>104</v>
      </c>
      <c r="V13" s="16">
        <f t="shared" si="2"/>
        <v>3120</v>
      </c>
      <c r="W13" s="53">
        <v>2</v>
      </c>
      <c r="X13" s="53" t="s">
        <v>46</v>
      </c>
      <c r="Y13" s="53" t="s">
        <v>84</v>
      </c>
      <c r="Z13" s="53" t="s">
        <v>90</v>
      </c>
      <c r="AA13" s="53" t="s">
        <v>69</v>
      </c>
      <c r="AB13" s="53" t="s">
        <v>238</v>
      </c>
      <c r="AE13" s="22" t="s">
        <v>73</v>
      </c>
      <c r="AH13" s="28"/>
      <c r="AP13" s="23" t="s">
        <v>71</v>
      </c>
      <c r="AR13" s="23" t="s">
        <v>103</v>
      </c>
      <c r="AV13" s="23" t="s">
        <v>75</v>
      </c>
    </row>
    <row r="14" spans="1:53" x14ac:dyDescent="0.15">
      <c r="A14" s="53" t="s">
        <v>34</v>
      </c>
      <c r="B14" s="53" t="s">
        <v>234</v>
      </c>
      <c r="C14" s="53">
        <v>2019</v>
      </c>
      <c r="D14" s="176" t="s">
        <v>371</v>
      </c>
      <c r="E14" s="53" t="s">
        <v>386</v>
      </c>
      <c r="F14" s="53" t="s">
        <v>387</v>
      </c>
      <c r="G14" s="53" t="s">
        <v>36</v>
      </c>
      <c r="H14" s="53" t="s">
        <v>164</v>
      </c>
      <c r="I14" s="53" t="s">
        <v>159</v>
      </c>
      <c r="J14" s="53" t="s">
        <v>38</v>
      </c>
      <c r="K14" s="53" t="s">
        <v>161</v>
      </c>
      <c r="L14" s="53">
        <v>1</v>
      </c>
      <c r="N14" s="53">
        <v>1</v>
      </c>
      <c r="O14" s="53">
        <v>0.7</v>
      </c>
      <c r="P14" s="53">
        <v>0.55000000000000004</v>
      </c>
      <c r="Q14" s="75">
        <f t="shared" si="0"/>
        <v>0.625</v>
      </c>
      <c r="R14" s="53">
        <v>14.5</v>
      </c>
      <c r="S14" s="53">
        <v>124</v>
      </c>
      <c r="T14" s="16">
        <f t="shared" si="1"/>
        <v>30</v>
      </c>
      <c r="U14" s="53">
        <v>105</v>
      </c>
      <c r="V14" s="16">
        <f t="shared" si="2"/>
        <v>3150</v>
      </c>
      <c r="W14" s="53">
        <v>5</v>
      </c>
      <c r="X14" s="53" t="s">
        <v>46</v>
      </c>
      <c r="Y14" s="53" t="s">
        <v>50</v>
      </c>
      <c r="Z14" s="53" t="s">
        <v>90</v>
      </c>
      <c r="AA14" s="53" t="s">
        <v>69</v>
      </c>
      <c r="AB14" s="53" t="s">
        <v>238</v>
      </c>
      <c r="AE14" s="22" t="s">
        <v>76</v>
      </c>
      <c r="AG14" s="179"/>
      <c r="AP14" s="23" t="s">
        <v>74</v>
      </c>
      <c r="AR14" s="23" t="s">
        <v>125</v>
      </c>
      <c r="AV14" s="23" t="s">
        <v>78</v>
      </c>
    </row>
    <row r="15" spans="1:53" x14ac:dyDescent="0.15">
      <c r="A15" s="53" t="s">
        <v>34</v>
      </c>
      <c r="B15" s="53" t="s">
        <v>234</v>
      </c>
      <c r="C15" s="53">
        <v>2019</v>
      </c>
      <c r="D15" s="176" t="s">
        <v>371</v>
      </c>
      <c r="E15" s="53" t="s">
        <v>386</v>
      </c>
      <c r="F15" s="53" t="s">
        <v>387</v>
      </c>
      <c r="G15" s="53" t="s">
        <v>36</v>
      </c>
      <c r="H15" s="53" t="s">
        <v>164</v>
      </c>
      <c r="I15" s="53" t="s">
        <v>159</v>
      </c>
      <c r="J15" s="53" t="s">
        <v>38</v>
      </c>
      <c r="K15" s="53" t="s">
        <v>161</v>
      </c>
      <c r="L15" s="53">
        <v>2</v>
      </c>
      <c r="N15" s="53">
        <v>1</v>
      </c>
      <c r="O15" s="53">
        <v>0.9</v>
      </c>
      <c r="P15" s="53">
        <v>1</v>
      </c>
      <c r="Q15" s="75">
        <f t="shared" si="0"/>
        <v>0.95</v>
      </c>
      <c r="R15" s="53">
        <v>13.4</v>
      </c>
      <c r="S15" s="53">
        <v>118</v>
      </c>
      <c r="T15" s="16">
        <f t="shared" si="1"/>
        <v>30</v>
      </c>
      <c r="U15" s="53">
        <v>105</v>
      </c>
      <c r="V15" s="16">
        <f t="shared" si="2"/>
        <v>3150</v>
      </c>
      <c r="W15" s="53">
        <v>5</v>
      </c>
      <c r="X15" s="53" t="s">
        <v>46</v>
      </c>
      <c r="Y15" s="53" t="s">
        <v>50</v>
      </c>
      <c r="Z15" s="53" t="s">
        <v>90</v>
      </c>
      <c r="AA15" s="53" t="s">
        <v>69</v>
      </c>
      <c r="AB15" s="53" t="s">
        <v>238</v>
      </c>
      <c r="AE15" s="22" t="s">
        <v>79</v>
      </c>
      <c r="AP15" s="23" t="s">
        <v>77</v>
      </c>
      <c r="AR15" s="23" t="s">
        <v>94</v>
      </c>
      <c r="AV15" s="23" t="s">
        <v>107</v>
      </c>
    </row>
    <row r="16" spans="1:53" x14ac:dyDescent="0.15">
      <c r="A16" s="53" t="s">
        <v>34</v>
      </c>
      <c r="B16" s="53" t="s">
        <v>234</v>
      </c>
      <c r="C16" s="53">
        <v>2019</v>
      </c>
      <c r="D16" s="176" t="s">
        <v>371</v>
      </c>
      <c r="E16" s="53" t="s">
        <v>386</v>
      </c>
      <c r="F16" s="53" t="s">
        <v>387</v>
      </c>
      <c r="G16" s="53" t="s">
        <v>36</v>
      </c>
      <c r="H16" s="53" t="s">
        <v>164</v>
      </c>
      <c r="I16" s="53" t="s">
        <v>159</v>
      </c>
      <c r="J16" s="53" t="s">
        <v>38</v>
      </c>
      <c r="K16" s="53" t="s">
        <v>161</v>
      </c>
      <c r="L16" s="53">
        <v>3</v>
      </c>
      <c r="N16" s="53">
        <v>1</v>
      </c>
      <c r="O16" s="53">
        <v>0.02</v>
      </c>
      <c r="P16" s="53">
        <v>0.7</v>
      </c>
      <c r="Q16" s="75">
        <f t="shared" si="0"/>
        <v>0.36</v>
      </c>
      <c r="R16" s="53">
        <v>14.2</v>
      </c>
      <c r="S16" s="53">
        <v>114</v>
      </c>
      <c r="T16" s="16">
        <f t="shared" si="1"/>
        <v>30</v>
      </c>
      <c r="U16" s="53">
        <v>105</v>
      </c>
      <c r="V16" s="16">
        <f t="shared" si="2"/>
        <v>3150</v>
      </c>
      <c r="W16" s="53">
        <v>5</v>
      </c>
      <c r="X16" s="53" t="s">
        <v>46</v>
      </c>
      <c r="Y16" s="53" t="s">
        <v>50</v>
      </c>
      <c r="Z16" s="53" t="s">
        <v>90</v>
      </c>
      <c r="AA16" s="53" t="s">
        <v>69</v>
      </c>
      <c r="AB16" s="53" t="s">
        <v>238</v>
      </c>
      <c r="AE16" s="22" t="s">
        <v>82</v>
      </c>
      <c r="AP16" s="23" t="s">
        <v>80</v>
      </c>
      <c r="AR16" s="23" t="s">
        <v>63</v>
      </c>
      <c r="AV16" s="23" t="s">
        <v>84</v>
      </c>
    </row>
    <row r="17" spans="1:48" x14ac:dyDescent="0.15">
      <c r="A17" s="53" t="s">
        <v>34</v>
      </c>
      <c r="B17" s="53" t="s">
        <v>234</v>
      </c>
      <c r="C17" s="53">
        <v>2019</v>
      </c>
      <c r="D17" s="176" t="s">
        <v>371</v>
      </c>
      <c r="E17" s="53" t="s">
        <v>386</v>
      </c>
      <c r="F17" s="53" t="s">
        <v>387</v>
      </c>
      <c r="G17" s="53" t="s">
        <v>36</v>
      </c>
      <c r="H17" s="53" t="s">
        <v>164</v>
      </c>
      <c r="I17" s="53" t="s">
        <v>159</v>
      </c>
      <c r="J17" s="53" t="s">
        <v>38</v>
      </c>
      <c r="K17" s="53" t="s">
        <v>161</v>
      </c>
      <c r="L17" s="53">
        <v>1</v>
      </c>
      <c r="N17" s="53">
        <v>4</v>
      </c>
      <c r="O17" s="53">
        <v>0.7</v>
      </c>
      <c r="P17" s="53">
        <v>0.5</v>
      </c>
      <c r="Q17" s="75">
        <f t="shared" si="0"/>
        <v>0.6</v>
      </c>
      <c r="R17" s="53">
        <v>13.6</v>
      </c>
      <c r="S17" s="53">
        <v>85</v>
      </c>
      <c r="T17" s="16">
        <f t="shared" si="1"/>
        <v>36</v>
      </c>
      <c r="U17" s="53">
        <v>429</v>
      </c>
      <c r="V17" s="16">
        <f t="shared" si="2"/>
        <v>3861</v>
      </c>
      <c r="W17" s="53">
        <v>5</v>
      </c>
      <c r="X17" s="53" t="s">
        <v>46</v>
      </c>
      <c r="Y17" s="53" t="s">
        <v>50</v>
      </c>
      <c r="Z17" s="53" t="s">
        <v>90</v>
      </c>
      <c r="AA17" s="53" t="s">
        <v>69</v>
      </c>
      <c r="AB17" s="53" t="s">
        <v>238</v>
      </c>
      <c r="AE17" s="22" t="s">
        <v>85</v>
      </c>
      <c r="AP17" s="27" t="s">
        <v>110</v>
      </c>
      <c r="AR17" s="23" t="s">
        <v>96</v>
      </c>
      <c r="AV17" s="23" t="s">
        <v>86</v>
      </c>
    </row>
    <row r="18" spans="1:48" x14ac:dyDescent="0.15">
      <c r="A18" s="53" t="s">
        <v>34</v>
      </c>
      <c r="B18" s="53" t="s">
        <v>234</v>
      </c>
      <c r="C18" s="53">
        <v>2019</v>
      </c>
      <c r="D18" s="176" t="s">
        <v>371</v>
      </c>
      <c r="E18" s="53" t="s">
        <v>386</v>
      </c>
      <c r="F18" s="53" t="s">
        <v>387</v>
      </c>
      <c r="G18" s="53" t="s">
        <v>36</v>
      </c>
      <c r="H18" s="53" t="s">
        <v>164</v>
      </c>
      <c r="I18" s="53" t="s">
        <v>159</v>
      </c>
      <c r="J18" s="53" t="s">
        <v>38</v>
      </c>
      <c r="K18" s="53" t="s">
        <v>161</v>
      </c>
      <c r="L18" s="53">
        <v>2</v>
      </c>
      <c r="N18" s="53">
        <v>4</v>
      </c>
      <c r="O18" s="53">
        <v>0.7</v>
      </c>
      <c r="P18" s="53">
        <v>0.75</v>
      </c>
      <c r="Q18" s="75">
        <f t="shared" si="0"/>
        <v>0.72499999999999998</v>
      </c>
      <c r="R18" s="53">
        <v>14</v>
      </c>
      <c r="S18" s="53">
        <v>91</v>
      </c>
      <c r="T18" s="16">
        <f t="shared" si="1"/>
        <v>36</v>
      </c>
      <c r="U18" s="53">
        <v>429</v>
      </c>
      <c r="V18" s="16">
        <f t="shared" si="2"/>
        <v>3861</v>
      </c>
      <c r="W18" s="53">
        <v>5</v>
      </c>
      <c r="X18" s="53" t="s">
        <v>46</v>
      </c>
      <c r="Y18" s="53" t="s">
        <v>50</v>
      </c>
      <c r="Z18" s="53" t="s">
        <v>90</v>
      </c>
      <c r="AA18" s="53" t="s">
        <v>69</v>
      </c>
      <c r="AB18" s="53" t="s">
        <v>238</v>
      </c>
      <c r="AE18" s="22" t="s">
        <v>87</v>
      </c>
      <c r="AP18" s="27" t="s">
        <v>111</v>
      </c>
      <c r="AR18" s="23" t="s">
        <v>101</v>
      </c>
      <c r="AV18" s="23" t="s">
        <v>88</v>
      </c>
    </row>
    <row r="19" spans="1:48" x14ac:dyDescent="0.15">
      <c r="A19" s="53" t="s">
        <v>34</v>
      </c>
      <c r="B19" s="53" t="s">
        <v>234</v>
      </c>
      <c r="C19" s="53">
        <v>2019</v>
      </c>
      <c r="D19" s="176" t="s">
        <v>371</v>
      </c>
      <c r="E19" s="53" t="s">
        <v>386</v>
      </c>
      <c r="F19" s="53" t="s">
        <v>387</v>
      </c>
      <c r="G19" s="53" t="s">
        <v>36</v>
      </c>
      <c r="H19" s="53" t="s">
        <v>164</v>
      </c>
      <c r="I19" s="53" t="s">
        <v>159</v>
      </c>
      <c r="J19" s="53" t="s">
        <v>38</v>
      </c>
      <c r="K19" s="53" t="s">
        <v>161</v>
      </c>
      <c r="L19" s="53">
        <v>3</v>
      </c>
      <c r="N19" s="53">
        <v>4</v>
      </c>
      <c r="O19" s="53">
        <v>0.9</v>
      </c>
      <c r="P19" s="53">
        <v>1</v>
      </c>
      <c r="Q19" s="75">
        <f t="shared" si="0"/>
        <v>0.95</v>
      </c>
      <c r="R19" s="53">
        <v>16.2</v>
      </c>
      <c r="S19" s="53">
        <v>89</v>
      </c>
      <c r="T19" s="16">
        <f t="shared" si="1"/>
        <v>36</v>
      </c>
      <c r="U19" s="53">
        <v>429</v>
      </c>
      <c r="V19" s="16">
        <f t="shared" si="2"/>
        <v>3861</v>
      </c>
      <c r="W19" s="53">
        <v>5</v>
      </c>
      <c r="X19" s="53" t="s">
        <v>46</v>
      </c>
      <c r="Y19" s="53" t="s">
        <v>50</v>
      </c>
      <c r="Z19" s="53" t="s">
        <v>90</v>
      </c>
      <c r="AA19" s="53" t="s">
        <v>69</v>
      </c>
      <c r="AB19" s="53" t="s">
        <v>238</v>
      </c>
      <c r="AE19" s="35" t="s">
        <v>89</v>
      </c>
      <c r="AP19" s="27" t="s">
        <v>112</v>
      </c>
      <c r="AR19" s="23" t="s">
        <v>126</v>
      </c>
      <c r="AV19" s="23" t="s">
        <v>90</v>
      </c>
    </row>
    <row r="20" spans="1:48" x14ac:dyDescent="0.15">
      <c r="A20" s="53" t="s">
        <v>34</v>
      </c>
      <c r="B20" s="53" t="s">
        <v>234</v>
      </c>
      <c r="C20" s="53">
        <v>2019</v>
      </c>
      <c r="D20" s="176" t="s">
        <v>371</v>
      </c>
      <c r="E20" s="53" t="s">
        <v>386</v>
      </c>
      <c r="F20" s="53" t="s">
        <v>387</v>
      </c>
      <c r="G20" s="53" t="s">
        <v>36</v>
      </c>
      <c r="H20" s="53" t="s">
        <v>164</v>
      </c>
      <c r="I20" s="53" t="s">
        <v>165</v>
      </c>
      <c r="J20" s="53" t="s">
        <v>38</v>
      </c>
      <c r="K20" s="53" t="s">
        <v>161</v>
      </c>
      <c r="L20" s="53">
        <v>1</v>
      </c>
      <c r="N20" s="53">
        <v>4</v>
      </c>
      <c r="O20" s="53">
        <v>0.2</v>
      </c>
      <c r="P20" s="53">
        <v>0.2</v>
      </c>
      <c r="Q20" s="75">
        <f t="shared" si="0"/>
        <v>0.2</v>
      </c>
      <c r="R20" s="53">
        <v>13.7</v>
      </c>
      <c r="S20" s="53">
        <v>96</v>
      </c>
      <c r="T20" s="16">
        <f t="shared" si="1"/>
        <v>36</v>
      </c>
      <c r="U20" s="53">
        <v>429</v>
      </c>
      <c r="V20" s="16">
        <f t="shared" si="2"/>
        <v>3861</v>
      </c>
      <c r="W20" s="53">
        <v>5</v>
      </c>
      <c r="X20" s="53" t="s">
        <v>46</v>
      </c>
      <c r="Y20" s="53" t="s">
        <v>50</v>
      </c>
      <c r="Z20" s="53" t="s">
        <v>90</v>
      </c>
      <c r="AA20" s="53" t="s">
        <v>69</v>
      </c>
      <c r="AB20" s="53" t="s">
        <v>238</v>
      </c>
      <c r="AP20" s="27" t="s">
        <v>113</v>
      </c>
      <c r="AR20" s="23" t="s">
        <v>105</v>
      </c>
      <c r="AV20" s="27" t="s">
        <v>135</v>
      </c>
    </row>
    <row r="21" spans="1:48" x14ac:dyDescent="0.15">
      <c r="A21" s="53" t="s">
        <v>34</v>
      </c>
      <c r="B21" s="53" t="s">
        <v>234</v>
      </c>
      <c r="C21" s="53">
        <v>2019</v>
      </c>
      <c r="D21" s="176" t="s">
        <v>371</v>
      </c>
      <c r="E21" s="53" t="s">
        <v>386</v>
      </c>
      <c r="F21" s="53" t="s">
        <v>387</v>
      </c>
      <c r="G21" s="53" t="s">
        <v>36</v>
      </c>
      <c r="H21" s="53" t="s">
        <v>164</v>
      </c>
      <c r="I21" s="53" t="s">
        <v>165</v>
      </c>
      <c r="J21" s="53" t="s">
        <v>38</v>
      </c>
      <c r="K21" s="53" t="s">
        <v>161</v>
      </c>
      <c r="L21" s="53">
        <v>2</v>
      </c>
      <c r="N21" s="53">
        <v>4</v>
      </c>
      <c r="O21" s="53">
        <v>0.6</v>
      </c>
      <c r="P21" s="53">
        <v>0.45</v>
      </c>
      <c r="Q21" s="75">
        <f t="shared" si="0"/>
        <v>0.52500000000000002</v>
      </c>
      <c r="R21" s="53">
        <v>14.4</v>
      </c>
      <c r="S21" s="53">
        <v>100</v>
      </c>
      <c r="T21" s="16">
        <f t="shared" si="1"/>
        <v>33</v>
      </c>
      <c r="U21" s="53">
        <v>429</v>
      </c>
      <c r="V21" s="16">
        <f t="shared" si="2"/>
        <v>3539.25</v>
      </c>
      <c r="W21" s="53">
        <v>5</v>
      </c>
      <c r="X21" s="53" t="s">
        <v>46</v>
      </c>
      <c r="Y21" s="53" t="s">
        <v>50</v>
      </c>
      <c r="Z21" s="53" t="s">
        <v>90</v>
      </c>
      <c r="AA21" s="53" t="s">
        <v>69</v>
      </c>
      <c r="AB21" s="53" t="s">
        <v>238</v>
      </c>
      <c r="AP21" s="27" t="s">
        <v>114</v>
      </c>
      <c r="AR21" s="23" t="s">
        <v>68</v>
      </c>
      <c r="AV21" s="27" t="s">
        <v>136</v>
      </c>
    </row>
    <row r="22" spans="1:48" x14ac:dyDescent="0.15">
      <c r="A22" s="53" t="s">
        <v>34</v>
      </c>
      <c r="B22" s="53" t="s">
        <v>234</v>
      </c>
      <c r="C22" s="53">
        <v>2019</v>
      </c>
      <c r="D22" s="176" t="s">
        <v>371</v>
      </c>
      <c r="E22" s="53" t="s">
        <v>386</v>
      </c>
      <c r="F22" s="53" t="s">
        <v>387</v>
      </c>
      <c r="G22" s="53" t="s">
        <v>36</v>
      </c>
      <c r="H22" s="53" t="s">
        <v>164</v>
      </c>
      <c r="I22" s="53" t="s">
        <v>165</v>
      </c>
      <c r="J22" s="53" t="s">
        <v>38</v>
      </c>
      <c r="K22" s="53" t="s">
        <v>161</v>
      </c>
      <c r="L22" s="53">
        <v>3</v>
      </c>
      <c r="N22" s="53">
        <v>4</v>
      </c>
      <c r="O22" s="53">
        <v>0.7</v>
      </c>
      <c r="P22" s="53">
        <v>0.85</v>
      </c>
      <c r="Q22" s="75">
        <f t="shared" si="0"/>
        <v>0.77499999999999991</v>
      </c>
      <c r="R22" s="53">
        <v>14</v>
      </c>
      <c r="S22" s="53">
        <v>102</v>
      </c>
      <c r="T22" s="16">
        <f t="shared" si="1"/>
        <v>33</v>
      </c>
      <c r="U22" s="53">
        <v>429</v>
      </c>
      <c r="V22" s="16">
        <f t="shared" si="2"/>
        <v>3539.25</v>
      </c>
      <c r="W22" s="53">
        <v>5</v>
      </c>
      <c r="X22" s="53" t="s">
        <v>46</v>
      </c>
      <c r="Y22" s="53" t="s">
        <v>50</v>
      </c>
      <c r="Z22" s="53" t="s">
        <v>90</v>
      </c>
      <c r="AA22" s="53" t="s">
        <v>69</v>
      </c>
      <c r="AB22" s="53" t="s">
        <v>238</v>
      </c>
      <c r="AP22" s="27" t="s">
        <v>115</v>
      </c>
      <c r="AR22" s="23" t="s">
        <v>83</v>
      </c>
      <c r="AV22" s="27"/>
    </row>
    <row r="23" spans="1:48" x14ac:dyDescent="0.15">
      <c r="A23" s="53" t="s">
        <v>34</v>
      </c>
      <c r="B23" s="53" t="s">
        <v>234</v>
      </c>
      <c r="C23" s="53">
        <v>2019</v>
      </c>
      <c r="D23" s="176" t="s">
        <v>371</v>
      </c>
      <c r="E23" s="53" t="s">
        <v>386</v>
      </c>
      <c r="F23" s="53" t="s">
        <v>387</v>
      </c>
      <c r="G23" s="53" t="s">
        <v>36</v>
      </c>
      <c r="H23" s="53" t="s">
        <v>160</v>
      </c>
      <c r="I23" s="53" t="s">
        <v>159</v>
      </c>
      <c r="J23" s="53" t="s">
        <v>38</v>
      </c>
      <c r="K23" s="53" t="s">
        <v>161</v>
      </c>
      <c r="L23" s="53">
        <v>1</v>
      </c>
      <c r="N23" s="53">
        <v>4</v>
      </c>
      <c r="O23" s="53">
        <v>0.5</v>
      </c>
      <c r="P23" s="53">
        <v>0.2</v>
      </c>
      <c r="Q23" s="75">
        <f t="shared" si="0"/>
        <v>0.35</v>
      </c>
      <c r="R23" s="53">
        <v>14.1</v>
      </c>
      <c r="S23" s="53">
        <v>108</v>
      </c>
      <c r="T23" s="16">
        <f t="shared" si="1"/>
        <v>33</v>
      </c>
      <c r="U23" s="53">
        <v>538</v>
      </c>
      <c r="V23" s="16">
        <f t="shared" si="2"/>
        <v>4438.5</v>
      </c>
      <c r="W23" s="53">
        <v>1</v>
      </c>
      <c r="X23" s="53" t="s">
        <v>46</v>
      </c>
      <c r="Y23" s="53" t="s">
        <v>50</v>
      </c>
      <c r="Z23" s="53" t="s">
        <v>90</v>
      </c>
      <c r="AA23" s="53" t="s">
        <v>69</v>
      </c>
      <c r="AB23" s="53" t="s">
        <v>238</v>
      </c>
      <c r="AP23" s="27" t="s">
        <v>117</v>
      </c>
      <c r="AR23" s="23" t="s">
        <v>153</v>
      </c>
    </row>
    <row r="24" spans="1:48" x14ac:dyDescent="0.15">
      <c r="A24" s="53" t="s">
        <v>34</v>
      </c>
      <c r="B24" s="53" t="s">
        <v>234</v>
      </c>
      <c r="C24" s="53">
        <v>2019</v>
      </c>
      <c r="D24" s="176" t="s">
        <v>371</v>
      </c>
      <c r="E24" s="53" t="s">
        <v>386</v>
      </c>
      <c r="F24" s="53" t="s">
        <v>387</v>
      </c>
      <c r="G24" s="53" t="s">
        <v>36</v>
      </c>
      <c r="H24" s="53" t="s">
        <v>160</v>
      </c>
      <c r="I24" s="53" t="s">
        <v>159</v>
      </c>
      <c r="J24" s="53" t="s">
        <v>38</v>
      </c>
      <c r="K24" s="53" t="s">
        <v>161</v>
      </c>
      <c r="L24" s="53">
        <v>2</v>
      </c>
      <c r="N24" s="53">
        <v>4</v>
      </c>
      <c r="O24" s="53">
        <v>0.55000000000000004</v>
      </c>
      <c r="P24" s="53">
        <v>0.7</v>
      </c>
      <c r="Q24" s="75">
        <f t="shared" si="0"/>
        <v>0.625</v>
      </c>
      <c r="R24" s="53">
        <v>14.7</v>
      </c>
      <c r="S24" s="53">
        <v>100</v>
      </c>
      <c r="T24" s="16">
        <f t="shared" si="1"/>
        <v>33</v>
      </c>
      <c r="U24" s="53">
        <v>538</v>
      </c>
      <c r="V24" s="16">
        <f t="shared" si="2"/>
        <v>4438.5</v>
      </c>
      <c r="W24" s="53">
        <v>1</v>
      </c>
      <c r="X24" s="53" t="s">
        <v>46</v>
      </c>
      <c r="Y24" s="53" t="s">
        <v>50</v>
      </c>
      <c r="Z24" s="53" t="s">
        <v>90</v>
      </c>
      <c r="AA24" s="53" t="s">
        <v>69</v>
      </c>
      <c r="AB24" s="53" t="s">
        <v>238</v>
      </c>
      <c r="AP24" s="27" t="s">
        <v>118</v>
      </c>
    </row>
    <row r="25" spans="1:48" x14ac:dyDescent="0.15">
      <c r="A25" s="53" t="s">
        <v>34</v>
      </c>
      <c r="B25" s="53" t="s">
        <v>234</v>
      </c>
      <c r="C25" s="53">
        <v>2019</v>
      </c>
      <c r="D25" s="176" t="s">
        <v>371</v>
      </c>
      <c r="E25" s="53" t="s">
        <v>386</v>
      </c>
      <c r="F25" s="53" t="s">
        <v>387</v>
      </c>
      <c r="G25" s="53" t="s">
        <v>36</v>
      </c>
      <c r="H25" s="53" t="s">
        <v>160</v>
      </c>
      <c r="I25" s="53" t="s">
        <v>159</v>
      </c>
      <c r="J25" s="53" t="s">
        <v>38</v>
      </c>
      <c r="K25" s="53" t="s">
        <v>161</v>
      </c>
      <c r="L25" s="53">
        <v>3</v>
      </c>
      <c r="N25" s="53">
        <v>4</v>
      </c>
      <c r="O25" s="53">
        <v>0.7</v>
      </c>
      <c r="P25" s="53">
        <v>0.75</v>
      </c>
      <c r="Q25" s="75">
        <f t="shared" si="0"/>
        <v>0.72499999999999998</v>
      </c>
      <c r="R25" s="53">
        <v>14.1</v>
      </c>
      <c r="S25" s="53">
        <v>96</v>
      </c>
      <c r="T25" s="16">
        <f t="shared" si="1"/>
        <v>36</v>
      </c>
      <c r="U25" s="53">
        <v>538</v>
      </c>
      <c r="V25" s="16">
        <f t="shared" si="2"/>
        <v>4842</v>
      </c>
      <c r="W25" s="53">
        <v>1</v>
      </c>
      <c r="X25" s="53" t="s">
        <v>46</v>
      </c>
      <c r="Y25" s="53" t="s">
        <v>50</v>
      </c>
      <c r="Z25" s="53" t="s">
        <v>90</v>
      </c>
      <c r="AA25" s="53" t="s">
        <v>69</v>
      </c>
      <c r="AB25" s="53" t="s">
        <v>238</v>
      </c>
    </row>
    <row r="26" spans="1:48" x14ac:dyDescent="0.15">
      <c r="A26" s="53" t="s">
        <v>34</v>
      </c>
      <c r="B26" s="53" t="s">
        <v>234</v>
      </c>
      <c r="C26" s="53">
        <v>2019</v>
      </c>
      <c r="D26" s="176" t="s">
        <v>371</v>
      </c>
      <c r="E26" s="53" t="s">
        <v>377</v>
      </c>
      <c r="F26" s="53" t="s">
        <v>378</v>
      </c>
      <c r="G26" s="53" t="s">
        <v>36</v>
      </c>
      <c r="H26" s="53" t="s">
        <v>164</v>
      </c>
      <c r="I26" s="53" t="s">
        <v>159</v>
      </c>
      <c r="J26" s="53" t="s">
        <v>38</v>
      </c>
      <c r="K26" s="53" t="s">
        <v>161</v>
      </c>
      <c r="L26" s="53">
        <v>1</v>
      </c>
      <c r="N26" s="53">
        <v>1</v>
      </c>
      <c r="O26" s="53">
        <v>0.7</v>
      </c>
      <c r="P26" s="53">
        <v>0.75</v>
      </c>
      <c r="Q26" s="75">
        <f t="shared" si="0"/>
        <v>0.72499999999999998</v>
      </c>
      <c r="R26" s="53">
        <v>11.2</v>
      </c>
      <c r="S26" s="53">
        <v>126</v>
      </c>
      <c r="T26" s="16">
        <f t="shared" si="1"/>
        <v>30</v>
      </c>
      <c r="U26" s="53">
        <v>108</v>
      </c>
      <c r="V26" s="16">
        <f t="shared" si="2"/>
        <v>3240</v>
      </c>
      <c r="W26" s="53">
        <v>2</v>
      </c>
      <c r="X26" s="53" t="s">
        <v>39</v>
      </c>
      <c r="Y26" s="53" t="s">
        <v>84</v>
      </c>
      <c r="Z26" s="53" t="s">
        <v>78</v>
      </c>
      <c r="AA26" s="53" t="s">
        <v>50</v>
      </c>
      <c r="AB26" s="53" t="s">
        <v>238</v>
      </c>
    </row>
    <row r="27" spans="1:48" x14ac:dyDescent="0.15">
      <c r="A27" s="53" t="s">
        <v>34</v>
      </c>
      <c r="B27" s="53" t="s">
        <v>234</v>
      </c>
      <c r="C27" s="53">
        <v>2019</v>
      </c>
      <c r="D27" s="176" t="s">
        <v>371</v>
      </c>
      <c r="E27" s="53" t="s">
        <v>377</v>
      </c>
      <c r="F27" s="53" t="s">
        <v>378</v>
      </c>
      <c r="G27" s="53" t="s">
        <v>36</v>
      </c>
      <c r="H27" s="53" t="s">
        <v>164</v>
      </c>
      <c r="I27" s="53" t="s">
        <v>159</v>
      </c>
      <c r="J27" s="53" t="s">
        <v>38</v>
      </c>
      <c r="K27" s="53" t="s">
        <v>161</v>
      </c>
      <c r="L27" s="53">
        <v>2</v>
      </c>
      <c r="N27" s="53">
        <v>1</v>
      </c>
      <c r="O27" s="53">
        <v>0.7</v>
      </c>
      <c r="P27" s="53">
        <v>0.8</v>
      </c>
      <c r="Q27" s="75">
        <f t="shared" si="0"/>
        <v>0.75</v>
      </c>
      <c r="R27" s="53">
        <v>13.4</v>
      </c>
      <c r="S27" s="53">
        <v>136</v>
      </c>
      <c r="T27" s="16">
        <f t="shared" si="1"/>
        <v>30</v>
      </c>
      <c r="U27" s="53">
        <v>108</v>
      </c>
      <c r="V27" s="16">
        <f t="shared" si="2"/>
        <v>3240</v>
      </c>
      <c r="W27" s="53">
        <v>2</v>
      </c>
      <c r="X27" s="53" t="s">
        <v>39</v>
      </c>
      <c r="Y27" s="53" t="s">
        <v>84</v>
      </c>
      <c r="Z27" s="53" t="s">
        <v>78</v>
      </c>
      <c r="AA27" s="53" t="s">
        <v>50</v>
      </c>
      <c r="AB27" s="53" t="s">
        <v>238</v>
      </c>
    </row>
    <row r="28" spans="1:48" x14ac:dyDescent="0.15">
      <c r="A28" s="53" t="s">
        <v>34</v>
      </c>
      <c r="B28" s="53" t="s">
        <v>234</v>
      </c>
      <c r="C28" s="53">
        <v>2019</v>
      </c>
      <c r="D28" s="176" t="s">
        <v>371</v>
      </c>
      <c r="E28" s="53" t="s">
        <v>377</v>
      </c>
      <c r="F28" s="53" t="s">
        <v>378</v>
      </c>
      <c r="G28" s="53" t="s">
        <v>36</v>
      </c>
      <c r="H28" s="53" t="s">
        <v>164</v>
      </c>
      <c r="I28" s="53" t="s">
        <v>159</v>
      </c>
      <c r="J28" s="53" t="s">
        <v>38</v>
      </c>
      <c r="K28" s="53" t="s">
        <v>161</v>
      </c>
      <c r="L28" s="53">
        <v>3</v>
      </c>
      <c r="N28" s="53">
        <v>1</v>
      </c>
      <c r="O28" s="53">
        <v>0.8</v>
      </c>
      <c r="P28" s="53">
        <v>0.85</v>
      </c>
      <c r="Q28" s="75">
        <f>IF(OR(O28="",P28=""),"",AVERAGE(O28,P28))</f>
        <v>0.82499999999999996</v>
      </c>
      <c r="R28" s="53">
        <v>14.3</v>
      </c>
      <c r="S28" s="53">
        <v>144</v>
      </c>
      <c r="T28" s="16">
        <f t="shared" si="1"/>
        <v>30</v>
      </c>
      <c r="U28" s="53">
        <v>108</v>
      </c>
      <c r="V28" s="16">
        <f t="shared" si="2"/>
        <v>3240</v>
      </c>
      <c r="W28" s="53">
        <v>2</v>
      </c>
      <c r="X28" s="53" t="s">
        <v>39</v>
      </c>
      <c r="Y28" s="53" t="s">
        <v>84</v>
      </c>
      <c r="Z28" s="53" t="s">
        <v>78</v>
      </c>
      <c r="AA28" s="53" t="s">
        <v>50</v>
      </c>
      <c r="AB28" s="53" t="s">
        <v>238</v>
      </c>
    </row>
    <row r="29" spans="1:48" x14ac:dyDescent="0.15">
      <c r="A29" s="53" t="s">
        <v>34</v>
      </c>
      <c r="B29" s="53" t="s">
        <v>234</v>
      </c>
      <c r="C29" s="53">
        <v>2019</v>
      </c>
      <c r="D29" s="176" t="s">
        <v>371</v>
      </c>
      <c r="E29" s="53" t="s">
        <v>377</v>
      </c>
      <c r="F29" s="53" t="s">
        <v>378</v>
      </c>
      <c r="G29" s="53" t="s">
        <v>36</v>
      </c>
      <c r="H29" s="53" t="s">
        <v>127</v>
      </c>
      <c r="I29" s="53" t="s">
        <v>159</v>
      </c>
      <c r="J29" s="53" t="s">
        <v>80</v>
      </c>
      <c r="K29" s="53" t="s">
        <v>94</v>
      </c>
      <c r="L29" s="53">
        <v>1</v>
      </c>
      <c r="N29" s="53">
        <v>6</v>
      </c>
      <c r="O29" s="53">
        <v>0.2</v>
      </c>
      <c r="P29" s="53">
        <v>0.55000000000000004</v>
      </c>
      <c r="Q29" s="75">
        <f t="shared" si="0"/>
        <v>0.375</v>
      </c>
      <c r="R29" s="53">
        <v>9.5</v>
      </c>
      <c r="S29" s="53">
        <v>85</v>
      </c>
      <c r="T29" s="16">
        <f t="shared" si="1"/>
        <v>36</v>
      </c>
      <c r="U29" s="53">
        <v>429</v>
      </c>
      <c r="V29" s="16">
        <f t="shared" si="2"/>
        <v>2574</v>
      </c>
      <c r="W29" s="53">
        <v>2</v>
      </c>
      <c r="X29" s="53" t="s">
        <v>39</v>
      </c>
      <c r="Y29" s="53" t="s">
        <v>84</v>
      </c>
      <c r="Z29" s="53" t="s">
        <v>78</v>
      </c>
      <c r="AA29" s="53" t="s">
        <v>50</v>
      </c>
      <c r="AB29" s="53" t="s">
        <v>238</v>
      </c>
    </row>
    <row r="30" spans="1:48" x14ac:dyDescent="0.15">
      <c r="A30" s="53" t="s">
        <v>34</v>
      </c>
      <c r="B30" s="53" t="s">
        <v>234</v>
      </c>
      <c r="C30" s="53">
        <v>2019</v>
      </c>
      <c r="D30" s="176" t="s">
        <v>371</v>
      </c>
      <c r="E30" s="53" t="s">
        <v>377</v>
      </c>
      <c r="F30" s="53" t="s">
        <v>378</v>
      </c>
      <c r="G30" s="53" t="s">
        <v>36</v>
      </c>
      <c r="H30" s="53" t="s">
        <v>127</v>
      </c>
      <c r="I30" s="53" t="s">
        <v>159</v>
      </c>
      <c r="J30" s="53" t="s">
        <v>80</v>
      </c>
      <c r="K30" s="53" t="s">
        <v>94</v>
      </c>
      <c r="L30" s="53">
        <v>2</v>
      </c>
      <c r="N30" s="53">
        <v>6</v>
      </c>
      <c r="O30" s="53">
        <v>0.95</v>
      </c>
      <c r="P30" s="53">
        <v>0.85</v>
      </c>
      <c r="Q30" s="75">
        <f t="shared" si="0"/>
        <v>0.89999999999999991</v>
      </c>
      <c r="R30" s="53">
        <v>13.8</v>
      </c>
      <c r="S30" s="53">
        <v>89</v>
      </c>
      <c r="T30" s="16">
        <f t="shared" si="1"/>
        <v>36</v>
      </c>
      <c r="U30" s="53">
        <v>429</v>
      </c>
      <c r="V30" s="16">
        <f t="shared" si="2"/>
        <v>2574</v>
      </c>
      <c r="W30" s="53">
        <v>2</v>
      </c>
      <c r="X30" s="53" t="s">
        <v>39</v>
      </c>
      <c r="Y30" s="53" t="s">
        <v>84</v>
      </c>
      <c r="Z30" s="53" t="s">
        <v>78</v>
      </c>
      <c r="AA30" s="53" t="s">
        <v>50</v>
      </c>
      <c r="AB30" s="53" t="s">
        <v>238</v>
      </c>
    </row>
    <row r="31" spans="1:48" x14ac:dyDescent="0.15">
      <c r="A31" s="53" t="s">
        <v>34</v>
      </c>
      <c r="B31" s="53" t="s">
        <v>234</v>
      </c>
      <c r="C31" s="53">
        <v>2019</v>
      </c>
      <c r="D31" s="176" t="s">
        <v>371</v>
      </c>
      <c r="E31" s="53" t="s">
        <v>377</v>
      </c>
      <c r="F31" s="53" t="s">
        <v>378</v>
      </c>
      <c r="G31" s="53" t="s">
        <v>36</v>
      </c>
      <c r="H31" s="53" t="s">
        <v>127</v>
      </c>
      <c r="I31" s="53" t="s">
        <v>159</v>
      </c>
      <c r="J31" s="53" t="s">
        <v>80</v>
      </c>
      <c r="K31" s="53" t="s">
        <v>94</v>
      </c>
      <c r="L31" s="53">
        <v>3</v>
      </c>
      <c r="N31" s="53">
        <v>6</v>
      </c>
      <c r="O31" s="53">
        <v>0.5</v>
      </c>
      <c r="P31" s="53">
        <v>0.5</v>
      </c>
      <c r="Q31" s="75">
        <f t="shared" si="0"/>
        <v>0.5</v>
      </c>
      <c r="R31" s="53">
        <v>10.8</v>
      </c>
      <c r="S31" s="53">
        <v>73</v>
      </c>
      <c r="T31" s="16">
        <f t="shared" si="1"/>
        <v>42</v>
      </c>
      <c r="U31" s="53">
        <v>429</v>
      </c>
      <c r="V31" s="16">
        <f t="shared" si="2"/>
        <v>3003</v>
      </c>
      <c r="W31" s="53">
        <v>2</v>
      </c>
      <c r="X31" s="53" t="s">
        <v>39</v>
      </c>
      <c r="Y31" s="53" t="s">
        <v>84</v>
      </c>
      <c r="Z31" s="53" t="s">
        <v>78</v>
      </c>
      <c r="AA31" s="53" t="s">
        <v>50</v>
      </c>
      <c r="AB31" s="53" t="s">
        <v>238</v>
      </c>
    </row>
    <row r="32" spans="1:48" x14ac:dyDescent="0.15">
      <c r="A32" s="53" t="s">
        <v>34</v>
      </c>
      <c r="B32" s="53" t="s">
        <v>234</v>
      </c>
      <c r="C32" s="53">
        <v>2019</v>
      </c>
      <c r="D32" s="176" t="s">
        <v>371</v>
      </c>
      <c r="E32" s="53" t="s">
        <v>375</v>
      </c>
      <c r="F32" s="53" t="s">
        <v>376</v>
      </c>
      <c r="G32" s="53" t="s">
        <v>36</v>
      </c>
      <c r="H32" s="53" t="s">
        <v>164</v>
      </c>
      <c r="I32" s="53" t="s">
        <v>159</v>
      </c>
      <c r="J32" s="53" t="s">
        <v>38</v>
      </c>
      <c r="K32" s="53" t="s">
        <v>161</v>
      </c>
      <c r="L32" s="53">
        <v>1</v>
      </c>
      <c r="N32" s="53">
        <v>1</v>
      </c>
      <c r="O32" s="53">
        <v>1.3</v>
      </c>
      <c r="P32" s="53">
        <v>0.9</v>
      </c>
      <c r="Q32" s="75">
        <f t="shared" si="0"/>
        <v>1.1000000000000001</v>
      </c>
      <c r="R32" s="53">
        <v>15</v>
      </c>
      <c r="S32" s="53">
        <v>132</v>
      </c>
      <c r="T32" s="16">
        <f t="shared" si="1"/>
        <v>30</v>
      </c>
      <c r="U32" s="53">
        <v>108</v>
      </c>
      <c r="V32" s="16">
        <f t="shared" si="2"/>
        <v>3240</v>
      </c>
      <c r="W32" s="53">
        <v>2</v>
      </c>
      <c r="X32" s="53" t="s">
        <v>39</v>
      </c>
      <c r="Y32" s="53" t="s">
        <v>84</v>
      </c>
      <c r="Z32" s="53" t="s">
        <v>90</v>
      </c>
      <c r="AA32" s="53" t="s">
        <v>69</v>
      </c>
      <c r="AB32" s="53" t="s">
        <v>238</v>
      </c>
    </row>
    <row r="33" spans="1:28" x14ac:dyDescent="0.15">
      <c r="A33" s="53" t="s">
        <v>34</v>
      </c>
      <c r="B33" s="53" t="s">
        <v>234</v>
      </c>
      <c r="C33" s="53">
        <v>2019</v>
      </c>
      <c r="D33" s="176" t="s">
        <v>371</v>
      </c>
      <c r="E33" s="53" t="s">
        <v>375</v>
      </c>
      <c r="F33" s="53" t="s">
        <v>376</v>
      </c>
      <c r="G33" s="53" t="s">
        <v>36</v>
      </c>
      <c r="H33" s="53" t="s">
        <v>164</v>
      </c>
      <c r="I33" s="53" t="s">
        <v>159</v>
      </c>
      <c r="J33" s="53" t="s">
        <v>38</v>
      </c>
      <c r="K33" s="53" t="s">
        <v>161</v>
      </c>
      <c r="L33" s="53">
        <v>2</v>
      </c>
      <c r="N33" s="53">
        <v>1</v>
      </c>
      <c r="O33" s="53">
        <v>0.75</v>
      </c>
      <c r="P33" s="53">
        <v>1.35</v>
      </c>
      <c r="Q33" s="75">
        <f t="shared" si="0"/>
        <v>1.05</v>
      </c>
      <c r="R33" s="53">
        <v>13.6</v>
      </c>
      <c r="S33" s="53">
        <v>124</v>
      </c>
      <c r="T33" s="16">
        <f t="shared" si="1"/>
        <v>30</v>
      </c>
      <c r="U33" s="53">
        <v>108</v>
      </c>
      <c r="V33" s="16">
        <f t="shared" si="2"/>
        <v>3240</v>
      </c>
      <c r="W33" s="53">
        <v>2</v>
      </c>
      <c r="X33" s="53" t="s">
        <v>39</v>
      </c>
      <c r="Y33" s="53" t="s">
        <v>84</v>
      </c>
      <c r="Z33" s="53" t="s">
        <v>90</v>
      </c>
      <c r="AA33" s="53" t="s">
        <v>69</v>
      </c>
      <c r="AB33" s="53" t="s">
        <v>238</v>
      </c>
    </row>
    <row r="34" spans="1:28" x14ac:dyDescent="0.15">
      <c r="A34" s="53" t="s">
        <v>34</v>
      </c>
      <c r="B34" s="53" t="s">
        <v>234</v>
      </c>
      <c r="C34" s="53">
        <v>2019</v>
      </c>
      <c r="D34" s="176" t="s">
        <v>371</v>
      </c>
      <c r="E34" s="53" t="s">
        <v>375</v>
      </c>
      <c r="F34" s="53" t="s">
        <v>376</v>
      </c>
      <c r="G34" s="53" t="s">
        <v>36</v>
      </c>
      <c r="H34" s="53" t="s">
        <v>164</v>
      </c>
      <c r="I34" s="53" t="s">
        <v>159</v>
      </c>
      <c r="J34" s="53" t="s">
        <v>38</v>
      </c>
      <c r="K34" s="53" t="s">
        <v>161</v>
      </c>
      <c r="L34" s="53">
        <v>3</v>
      </c>
      <c r="N34" s="53">
        <v>1</v>
      </c>
      <c r="O34" s="53">
        <v>0.6</v>
      </c>
      <c r="P34" s="53">
        <v>0.65</v>
      </c>
      <c r="Q34" s="75">
        <f>IF(OR(O34="",P34=""),"",AVERAGE(O34,P34))</f>
        <v>0.625</v>
      </c>
      <c r="R34" s="53">
        <v>9.4</v>
      </c>
      <c r="S34" s="53">
        <v>126</v>
      </c>
      <c r="T34" s="16">
        <f t="shared" si="1"/>
        <v>30</v>
      </c>
      <c r="U34" s="53">
        <v>108</v>
      </c>
      <c r="V34" s="16">
        <f t="shared" si="2"/>
        <v>3240</v>
      </c>
      <c r="W34" s="53">
        <v>2</v>
      </c>
      <c r="X34" s="53" t="s">
        <v>39</v>
      </c>
      <c r="Y34" s="53" t="s">
        <v>84</v>
      </c>
      <c r="Z34" s="53" t="s">
        <v>90</v>
      </c>
      <c r="AA34" s="53" t="s">
        <v>69</v>
      </c>
      <c r="AB34" s="53" t="s">
        <v>238</v>
      </c>
    </row>
    <row r="35" spans="1:28" x14ac:dyDescent="0.15">
      <c r="A35" s="53" t="s">
        <v>34</v>
      </c>
      <c r="B35" s="53" t="s">
        <v>234</v>
      </c>
      <c r="C35" s="53">
        <v>2019</v>
      </c>
      <c r="D35" s="176" t="s">
        <v>371</v>
      </c>
      <c r="E35" s="53" t="s">
        <v>375</v>
      </c>
      <c r="F35" s="53" t="s">
        <v>376</v>
      </c>
      <c r="G35" s="53" t="s">
        <v>36</v>
      </c>
      <c r="H35" s="53" t="s">
        <v>164</v>
      </c>
      <c r="I35" s="53" t="s">
        <v>159</v>
      </c>
      <c r="J35" s="53" t="s">
        <v>38</v>
      </c>
      <c r="K35" s="53" t="s">
        <v>161</v>
      </c>
      <c r="L35" s="53">
        <v>1</v>
      </c>
      <c r="N35" s="53">
        <v>4</v>
      </c>
      <c r="O35" s="53">
        <v>0.5</v>
      </c>
      <c r="P35" s="53">
        <v>0.55000000000000004</v>
      </c>
      <c r="Q35" s="75">
        <f t="shared" ref="Q35:Q36" si="3">IF(OR(O35="",P35=""),"",AVERAGE(O35,P35))</f>
        <v>0.52500000000000002</v>
      </c>
      <c r="R35" s="53">
        <v>15.4</v>
      </c>
      <c r="S35" s="53">
        <v>102</v>
      </c>
      <c r="T35" s="16">
        <f t="shared" si="1"/>
        <v>33</v>
      </c>
      <c r="U35" s="53">
        <v>321</v>
      </c>
      <c r="V35" s="16">
        <f t="shared" si="2"/>
        <v>2648.25</v>
      </c>
      <c r="W35" s="53">
        <v>2</v>
      </c>
      <c r="X35" s="53" t="s">
        <v>39</v>
      </c>
      <c r="Y35" s="53" t="s">
        <v>84</v>
      </c>
      <c r="Z35" s="53" t="s">
        <v>90</v>
      </c>
      <c r="AA35" s="53" t="s">
        <v>69</v>
      </c>
      <c r="AB35" s="53" t="s">
        <v>238</v>
      </c>
    </row>
    <row r="36" spans="1:28" x14ac:dyDescent="0.15">
      <c r="A36" s="53" t="s">
        <v>34</v>
      </c>
      <c r="B36" s="53" t="s">
        <v>234</v>
      </c>
      <c r="C36" s="53">
        <v>2019</v>
      </c>
      <c r="D36" s="176" t="s">
        <v>371</v>
      </c>
      <c r="E36" s="53" t="s">
        <v>375</v>
      </c>
      <c r="F36" s="53" t="s">
        <v>376</v>
      </c>
      <c r="G36" s="53" t="s">
        <v>36</v>
      </c>
      <c r="H36" s="53" t="s">
        <v>164</v>
      </c>
      <c r="I36" s="53" t="s">
        <v>159</v>
      </c>
      <c r="J36" s="53" t="s">
        <v>38</v>
      </c>
      <c r="K36" s="53" t="s">
        <v>161</v>
      </c>
      <c r="L36" s="53">
        <v>2</v>
      </c>
      <c r="N36" s="53">
        <v>4</v>
      </c>
      <c r="O36" s="53">
        <v>1</v>
      </c>
      <c r="P36" s="53">
        <v>0.75</v>
      </c>
      <c r="Q36" s="75">
        <f t="shared" si="3"/>
        <v>0.875</v>
      </c>
      <c r="R36" s="53">
        <v>14.8</v>
      </c>
      <c r="S36" s="53">
        <v>93</v>
      </c>
      <c r="T36" s="16">
        <f t="shared" si="1"/>
        <v>36</v>
      </c>
      <c r="U36" s="53">
        <v>321</v>
      </c>
      <c r="V36" s="16">
        <f t="shared" si="2"/>
        <v>2889</v>
      </c>
      <c r="W36" s="53">
        <v>2</v>
      </c>
      <c r="X36" s="53" t="s">
        <v>39</v>
      </c>
      <c r="Y36" s="53" t="s">
        <v>84</v>
      </c>
      <c r="Z36" s="53" t="s">
        <v>90</v>
      </c>
      <c r="AA36" s="53" t="s">
        <v>69</v>
      </c>
      <c r="AB36" s="53" t="s">
        <v>238</v>
      </c>
    </row>
    <row r="37" spans="1:28" x14ac:dyDescent="0.15">
      <c r="A37" s="53" t="s">
        <v>34</v>
      </c>
      <c r="B37" s="53" t="s">
        <v>234</v>
      </c>
      <c r="C37" s="53">
        <v>2019</v>
      </c>
      <c r="D37" s="176" t="s">
        <v>371</v>
      </c>
      <c r="E37" s="53" t="s">
        <v>375</v>
      </c>
      <c r="F37" s="53" t="s">
        <v>376</v>
      </c>
      <c r="G37" s="53" t="s">
        <v>36</v>
      </c>
      <c r="H37" s="53" t="s">
        <v>164</v>
      </c>
      <c r="I37" s="53" t="s">
        <v>159</v>
      </c>
      <c r="J37" s="53" t="s">
        <v>38</v>
      </c>
      <c r="K37" s="53" t="s">
        <v>161</v>
      </c>
      <c r="L37" s="53">
        <v>3</v>
      </c>
      <c r="N37" s="53">
        <v>4</v>
      </c>
      <c r="O37" s="53">
        <v>0.65</v>
      </c>
      <c r="P37" s="53">
        <v>0.8</v>
      </c>
      <c r="Q37" s="75">
        <f>IF(OR(O37="",P37=""),"",AVERAGE(O37,P37))</f>
        <v>0.72500000000000009</v>
      </c>
      <c r="R37" s="53">
        <v>15.6</v>
      </c>
      <c r="S37" s="53">
        <v>95</v>
      </c>
      <c r="T37" s="16">
        <f t="shared" si="1"/>
        <v>36</v>
      </c>
      <c r="U37" s="53">
        <v>321</v>
      </c>
      <c r="V37" s="16">
        <f t="shared" si="2"/>
        <v>2889</v>
      </c>
      <c r="W37" s="53">
        <v>2</v>
      </c>
      <c r="X37" s="53" t="s">
        <v>39</v>
      </c>
      <c r="Y37" s="53" t="s">
        <v>84</v>
      </c>
      <c r="Z37" s="53" t="s">
        <v>90</v>
      </c>
      <c r="AA37" s="53" t="s">
        <v>69</v>
      </c>
      <c r="AB37" s="53" t="s">
        <v>238</v>
      </c>
    </row>
    <row r="38" spans="1:28" x14ac:dyDescent="0.15">
      <c r="A38" s="53" t="s">
        <v>34</v>
      </c>
      <c r="B38" s="53" t="s">
        <v>234</v>
      </c>
      <c r="C38" s="53">
        <v>2019</v>
      </c>
      <c r="D38" s="176" t="s">
        <v>371</v>
      </c>
      <c r="E38" s="53" t="s">
        <v>363</v>
      </c>
      <c r="F38" s="53" t="s">
        <v>374</v>
      </c>
      <c r="G38" s="53" t="s">
        <v>36</v>
      </c>
      <c r="H38" s="53" t="s">
        <v>164</v>
      </c>
      <c r="I38" s="53" t="s">
        <v>159</v>
      </c>
      <c r="J38" s="53" t="s">
        <v>38</v>
      </c>
      <c r="K38" s="53" t="s">
        <v>161</v>
      </c>
      <c r="L38" s="53">
        <v>1</v>
      </c>
      <c r="N38" s="53">
        <v>1</v>
      </c>
      <c r="O38" s="53">
        <v>1</v>
      </c>
      <c r="P38" s="53">
        <v>0.85</v>
      </c>
      <c r="Q38" s="75">
        <f t="shared" ref="Q38:Q39" si="4">IF(OR(O38="",P38=""),"",AVERAGE(O38,P38))</f>
        <v>0.92500000000000004</v>
      </c>
      <c r="R38" s="53">
        <v>13.3</v>
      </c>
      <c r="S38" s="53">
        <v>104</v>
      </c>
      <c r="T38" s="16">
        <f t="shared" si="1"/>
        <v>33</v>
      </c>
      <c r="U38" s="53">
        <v>63</v>
      </c>
      <c r="V38" s="16">
        <f t="shared" si="2"/>
        <v>2079</v>
      </c>
      <c r="W38" s="53">
        <v>2</v>
      </c>
      <c r="X38" s="53" t="s">
        <v>46</v>
      </c>
      <c r="Y38" s="53" t="s">
        <v>84</v>
      </c>
      <c r="Z38" s="53" t="s">
        <v>90</v>
      </c>
      <c r="AA38" s="53" t="s">
        <v>78</v>
      </c>
      <c r="AB38" s="53" t="s">
        <v>238</v>
      </c>
    </row>
    <row r="39" spans="1:28" x14ac:dyDescent="0.15">
      <c r="A39" s="53" t="s">
        <v>34</v>
      </c>
      <c r="B39" s="53" t="s">
        <v>234</v>
      </c>
      <c r="C39" s="53">
        <v>2019</v>
      </c>
      <c r="D39" s="176" t="s">
        <v>371</v>
      </c>
      <c r="E39" s="53" t="s">
        <v>363</v>
      </c>
      <c r="F39" s="53" t="s">
        <v>374</v>
      </c>
      <c r="G39" s="53" t="s">
        <v>36</v>
      </c>
      <c r="H39" s="53" t="s">
        <v>164</v>
      </c>
      <c r="I39" s="53" t="s">
        <v>159</v>
      </c>
      <c r="J39" s="53" t="s">
        <v>38</v>
      </c>
      <c r="K39" s="53" t="s">
        <v>161</v>
      </c>
      <c r="L39" s="53">
        <v>2</v>
      </c>
      <c r="N39" s="53">
        <v>1</v>
      </c>
      <c r="O39" s="53">
        <v>1</v>
      </c>
      <c r="P39" s="53">
        <v>0.9</v>
      </c>
      <c r="Q39" s="75">
        <f t="shared" si="4"/>
        <v>0.95</v>
      </c>
      <c r="R39" s="53">
        <v>13.2</v>
      </c>
      <c r="S39" s="53">
        <v>85</v>
      </c>
      <c r="T39" s="16">
        <f t="shared" si="1"/>
        <v>36</v>
      </c>
      <c r="U39" s="53">
        <v>63</v>
      </c>
      <c r="V39" s="16">
        <f t="shared" si="2"/>
        <v>2268</v>
      </c>
      <c r="W39" s="53">
        <v>2</v>
      </c>
      <c r="X39" s="53" t="s">
        <v>46</v>
      </c>
      <c r="Y39" s="53" t="s">
        <v>84</v>
      </c>
      <c r="Z39" s="53" t="s">
        <v>90</v>
      </c>
      <c r="AA39" s="53" t="s">
        <v>78</v>
      </c>
      <c r="AB39" s="53" t="s">
        <v>238</v>
      </c>
    </row>
    <row r="40" spans="1:28" x14ac:dyDescent="0.15">
      <c r="A40" s="53" t="s">
        <v>34</v>
      </c>
      <c r="B40" s="53" t="s">
        <v>234</v>
      </c>
      <c r="C40" s="53">
        <v>2019</v>
      </c>
      <c r="D40" s="176" t="s">
        <v>371</v>
      </c>
      <c r="E40" s="53" t="s">
        <v>363</v>
      </c>
      <c r="F40" s="53" t="s">
        <v>374</v>
      </c>
      <c r="G40" s="53" t="s">
        <v>36</v>
      </c>
      <c r="H40" s="53" t="s">
        <v>164</v>
      </c>
      <c r="I40" s="53" t="s">
        <v>159</v>
      </c>
      <c r="J40" s="53" t="s">
        <v>38</v>
      </c>
      <c r="K40" s="53" t="s">
        <v>161</v>
      </c>
      <c r="L40" s="53">
        <v>3</v>
      </c>
      <c r="N40" s="53">
        <v>1</v>
      </c>
      <c r="O40" s="53">
        <v>0.75</v>
      </c>
      <c r="P40" s="53">
        <v>0.9</v>
      </c>
      <c r="Q40" s="75">
        <f>IF(OR(O40="",P40=""),"",AVERAGE(O40,P40))</f>
        <v>0.82499999999999996</v>
      </c>
      <c r="R40" s="53">
        <v>13.6</v>
      </c>
      <c r="S40" s="53">
        <v>93</v>
      </c>
      <c r="T40" s="16">
        <f t="shared" si="1"/>
        <v>36</v>
      </c>
      <c r="U40" s="53">
        <v>63</v>
      </c>
      <c r="V40" s="16">
        <f t="shared" si="2"/>
        <v>2268</v>
      </c>
      <c r="W40" s="53">
        <v>2</v>
      </c>
      <c r="X40" s="53" t="s">
        <v>46</v>
      </c>
      <c r="Y40" s="53" t="s">
        <v>84</v>
      </c>
      <c r="Z40" s="53" t="s">
        <v>90</v>
      </c>
      <c r="AA40" s="53" t="s">
        <v>78</v>
      </c>
      <c r="AB40" s="53" t="s">
        <v>238</v>
      </c>
    </row>
    <row r="41" spans="1:28" x14ac:dyDescent="0.15">
      <c r="A41" s="53" t="s">
        <v>34</v>
      </c>
      <c r="B41" s="53" t="s">
        <v>234</v>
      </c>
      <c r="C41" s="53">
        <v>2019</v>
      </c>
      <c r="D41" s="176" t="s">
        <v>371</v>
      </c>
      <c r="E41" s="53" t="s">
        <v>363</v>
      </c>
      <c r="F41" s="53" t="s">
        <v>374</v>
      </c>
      <c r="G41" s="53" t="s">
        <v>36</v>
      </c>
      <c r="H41" s="53" t="s">
        <v>160</v>
      </c>
      <c r="I41" s="53" t="s">
        <v>159</v>
      </c>
      <c r="J41" s="53" t="s">
        <v>38</v>
      </c>
      <c r="K41" s="53" t="s">
        <v>161</v>
      </c>
      <c r="L41" s="53">
        <v>1</v>
      </c>
      <c r="N41" s="53">
        <v>1</v>
      </c>
      <c r="O41" s="53">
        <v>1</v>
      </c>
      <c r="P41" s="53">
        <v>0.5</v>
      </c>
      <c r="Q41" s="75">
        <f t="shared" si="0"/>
        <v>0.75</v>
      </c>
      <c r="R41" s="53">
        <v>13.9</v>
      </c>
      <c r="S41" s="53">
        <v>118</v>
      </c>
      <c r="T41" s="16">
        <f t="shared" si="1"/>
        <v>30</v>
      </c>
      <c r="U41" s="53">
        <v>138</v>
      </c>
      <c r="V41" s="16">
        <f t="shared" si="2"/>
        <v>4140</v>
      </c>
      <c r="W41" s="53">
        <v>2</v>
      </c>
      <c r="X41" s="53" t="s">
        <v>46</v>
      </c>
      <c r="Y41" s="53" t="s">
        <v>84</v>
      </c>
      <c r="Z41" s="53" t="s">
        <v>90</v>
      </c>
      <c r="AA41" s="53" t="s">
        <v>78</v>
      </c>
      <c r="AB41" s="53" t="s">
        <v>238</v>
      </c>
    </row>
    <row r="42" spans="1:28" x14ac:dyDescent="0.15">
      <c r="A42" s="53" t="s">
        <v>34</v>
      </c>
      <c r="B42" s="53" t="s">
        <v>234</v>
      </c>
      <c r="C42" s="53">
        <v>2019</v>
      </c>
      <c r="D42" s="176" t="s">
        <v>371</v>
      </c>
      <c r="E42" s="53" t="s">
        <v>363</v>
      </c>
      <c r="F42" s="53" t="s">
        <v>374</v>
      </c>
      <c r="G42" s="53" t="s">
        <v>36</v>
      </c>
      <c r="H42" s="53" t="s">
        <v>160</v>
      </c>
      <c r="I42" s="53" t="s">
        <v>159</v>
      </c>
      <c r="J42" s="53" t="s">
        <v>38</v>
      </c>
      <c r="K42" s="53" t="s">
        <v>161</v>
      </c>
      <c r="L42" s="53">
        <v>2</v>
      </c>
      <c r="N42" s="53">
        <v>1</v>
      </c>
      <c r="O42" s="53">
        <v>0.7</v>
      </c>
      <c r="P42" s="53">
        <v>0.7</v>
      </c>
      <c r="Q42" s="75">
        <f t="shared" si="0"/>
        <v>0.7</v>
      </c>
      <c r="R42" s="53">
        <v>14.1</v>
      </c>
      <c r="S42" s="53">
        <v>118</v>
      </c>
      <c r="T42" s="16">
        <f t="shared" si="1"/>
        <v>30</v>
      </c>
      <c r="U42" s="53">
        <v>138</v>
      </c>
      <c r="V42" s="16">
        <f t="shared" si="2"/>
        <v>4140</v>
      </c>
      <c r="W42" s="53">
        <v>2</v>
      </c>
      <c r="X42" s="53" t="s">
        <v>46</v>
      </c>
      <c r="Y42" s="53" t="s">
        <v>84</v>
      </c>
      <c r="Z42" s="53" t="s">
        <v>90</v>
      </c>
      <c r="AA42" s="53" t="s">
        <v>78</v>
      </c>
      <c r="AB42" s="53" t="s">
        <v>238</v>
      </c>
    </row>
    <row r="43" spans="1:28" x14ac:dyDescent="0.15">
      <c r="A43" s="53" t="s">
        <v>34</v>
      </c>
      <c r="B43" s="53" t="s">
        <v>234</v>
      </c>
      <c r="C43" s="53">
        <v>2019</v>
      </c>
      <c r="D43" s="176" t="s">
        <v>371</v>
      </c>
      <c r="E43" s="53" t="s">
        <v>363</v>
      </c>
      <c r="F43" s="53" t="s">
        <v>374</v>
      </c>
      <c r="G43" s="53" t="s">
        <v>36</v>
      </c>
      <c r="H43" s="53" t="s">
        <v>160</v>
      </c>
      <c r="I43" s="53" t="s">
        <v>159</v>
      </c>
      <c r="J43" s="53" t="s">
        <v>38</v>
      </c>
      <c r="K43" s="53" t="s">
        <v>161</v>
      </c>
      <c r="L43" s="53">
        <v>3</v>
      </c>
      <c r="N43" s="53">
        <v>1</v>
      </c>
      <c r="O43" s="53">
        <v>0.2</v>
      </c>
      <c r="P43" s="53">
        <v>0.2</v>
      </c>
      <c r="Q43" s="75">
        <f t="shared" si="0"/>
        <v>0.2</v>
      </c>
      <c r="R43" s="53">
        <v>14.6</v>
      </c>
      <c r="S43" s="53">
        <v>122</v>
      </c>
      <c r="T43" s="16">
        <f t="shared" si="1"/>
        <v>30</v>
      </c>
      <c r="U43" s="53">
        <v>138</v>
      </c>
      <c r="V43" s="16">
        <f t="shared" si="2"/>
        <v>4140</v>
      </c>
      <c r="W43" s="53">
        <v>2</v>
      </c>
      <c r="X43" s="53" t="s">
        <v>46</v>
      </c>
      <c r="Y43" s="53" t="s">
        <v>84</v>
      </c>
      <c r="Z43" s="53" t="s">
        <v>90</v>
      </c>
      <c r="AA43" s="53" t="s">
        <v>78</v>
      </c>
      <c r="AB43" s="53" t="s">
        <v>238</v>
      </c>
    </row>
    <row r="44" spans="1:28" x14ac:dyDescent="0.15">
      <c r="A44" s="53" t="s">
        <v>34</v>
      </c>
      <c r="B44" s="53" t="s">
        <v>234</v>
      </c>
      <c r="C44" s="53">
        <v>2019</v>
      </c>
      <c r="D44" s="176" t="s">
        <v>371</v>
      </c>
      <c r="E44" s="53" t="s">
        <v>363</v>
      </c>
      <c r="F44" s="53" t="s">
        <v>374</v>
      </c>
      <c r="G44" s="53" t="s">
        <v>36</v>
      </c>
      <c r="H44" s="53" t="s">
        <v>160</v>
      </c>
      <c r="I44" s="53" t="s">
        <v>159</v>
      </c>
      <c r="J44" s="53" t="s">
        <v>38</v>
      </c>
      <c r="K44" s="53" t="s">
        <v>161</v>
      </c>
      <c r="L44" s="53">
        <v>1</v>
      </c>
      <c r="N44" s="53">
        <v>4</v>
      </c>
      <c r="O44" s="53">
        <v>0.5</v>
      </c>
      <c r="P44" s="53">
        <v>0.7</v>
      </c>
      <c r="Q44" s="75">
        <f t="shared" si="0"/>
        <v>0.6</v>
      </c>
      <c r="R44" s="53">
        <v>13.6</v>
      </c>
      <c r="S44" s="53">
        <v>95</v>
      </c>
      <c r="T44" s="16">
        <f t="shared" si="1"/>
        <v>36</v>
      </c>
      <c r="U44" s="53">
        <v>538</v>
      </c>
      <c r="V44" s="16">
        <f t="shared" si="2"/>
        <v>4842</v>
      </c>
      <c r="W44" s="53">
        <v>2</v>
      </c>
      <c r="X44" s="53" t="s">
        <v>46</v>
      </c>
      <c r="Y44" s="53" t="s">
        <v>84</v>
      </c>
      <c r="Z44" s="53" t="s">
        <v>90</v>
      </c>
      <c r="AA44" s="53" t="s">
        <v>78</v>
      </c>
      <c r="AB44" s="53" t="s">
        <v>238</v>
      </c>
    </row>
    <row r="45" spans="1:28" x14ac:dyDescent="0.15">
      <c r="A45" s="53" t="s">
        <v>34</v>
      </c>
      <c r="B45" s="53" t="s">
        <v>234</v>
      </c>
      <c r="C45" s="53">
        <v>2019</v>
      </c>
      <c r="D45" s="176" t="s">
        <v>371</v>
      </c>
      <c r="E45" s="53" t="s">
        <v>363</v>
      </c>
      <c r="F45" s="53" t="s">
        <v>374</v>
      </c>
      <c r="G45" s="53" t="s">
        <v>36</v>
      </c>
      <c r="H45" s="53" t="s">
        <v>160</v>
      </c>
      <c r="I45" s="53" t="s">
        <v>159</v>
      </c>
      <c r="J45" s="53" t="s">
        <v>38</v>
      </c>
      <c r="K45" s="53" t="s">
        <v>161</v>
      </c>
      <c r="L45" s="53">
        <v>2</v>
      </c>
      <c r="N45" s="53">
        <v>4</v>
      </c>
      <c r="O45" s="53">
        <v>0.2</v>
      </c>
      <c r="P45" s="53">
        <v>0.25</v>
      </c>
      <c r="Q45" s="75">
        <f t="shared" si="0"/>
        <v>0.22500000000000001</v>
      </c>
      <c r="R45" s="53">
        <v>14.4</v>
      </c>
      <c r="S45" s="53">
        <v>106</v>
      </c>
      <c r="T45" s="16">
        <f t="shared" si="1"/>
        <v>33</v>
      </c>
      <c r="U45" s="53">
        <v>538</v>
      </c>
      <c r="V45" s="16">
        <f t="shared" si="2"/>
        <v>4438.5</v>
      </c>
      <c r="W45" s="53">
        <v>2</v>
      </c>
      <c r="X45" s="53" t="s">
        <v>46</v>
      </c>
      <c r="Y45" s="53" t="s">
        <v>84</v>
      </c>
      <c r="Z45" s="53" t="s">
        <v>90</v>
      </c>
      <c r="AA45" s="53" t="s">
        <v>78</v>
      </c>
      <c r="AB45" s="53" t="s">
        <v>238</v>
      </c>
    </row>
    <row r="46" spans="1:28" x14ac:dyDescent="0.15">
      <c r="A46" s="53" t="s">
        <v>34</v>
      </c>
      <c r="B46" s="53" t="s">
        <v>234</v>
      </c>
      <c r="C46" s="53">
        <v>2019</v>
      </c>
      <c r="D46" s="176" t="s">
        <v>371</v>
      </c>
      <c r="E46" s="53" t="s">
        <v>363</v>
      </c>
      <c r="F46" s="53" t="s">
        <v>374</v>
      </c>
      <c r="G46" s="53" t="s">
        <v>36</v>
      </c>
      <c r="H46" s="53" t="s">
        <v>160</v>
      </c>
      <c r="I46" s="53" t="s">
        <v>159</v>
      </c>
      <c r="J46" s="53" t="s">
        <v>38</v>
      </c>
      <c r="K46" s="53" t="s">
        <v>161</v>
      </c>
      <c r="L46" s="53">
        <v>3</v>
      </c>
      <c r="N46" s="53">
        <v>4</v>
      </c>
      <c r="O46" s="53">
        <v>0.65</v>
      </c>
      <c r="P46" s="53">
        <v>0.55000000000000004</v>
      </c>
      <c r="Q46" s="75">
        <f t="shared" si="0"/>
        <v>0.60000000000000009</v>
      </c>
      <c r="R46" s="53">
        <v>14.4</v>
      </c>
      <c r="S46" s="53">
        <v>100</v>
      </c>
      <c r="T46" s="16">
        <f t="shared" si="1"/>
        <v>33</v>
      </c>
      <c r="U46" s="53">
        <v>538</v>
      </c>
      <c r="V46" s="16">
        <f t="shared" si="2"/>
        <v>4438.5</v>
      </c>
      <c r="W46" s="53">
        <v>2</v>
      </c>
      <c r="X46" s="53" t="s">
        <v>46</v>
      </c>
      <c r="Y46" s="53" t="s">
        <v>84</v>
      </c>
      <c r="Z46" s="53" t="s">
        <v>90</v>
      </c>
      <c r="AA46" s="53" t="s">
        <v>78</v>
      </c>
      <c r="AB46" s="53" t="s">
        <v>238</v>
      </c>
    </row>
    <row r="47" spans="1:28" x14ac:dyDescent="0.15">
      <c r="A47" s="53" t="s">
        <v>34</v>
      </c>
      <c r="B47" s="53" t="s">
        <v>234</v>
      </c>
      <c r="C47" s="53">
        <v>2019</v>
      </c>
      <c r="D47" s="176" t="s">
        <v>371</v>
      </c>
      <c r="E47" s="53" t="s">
        <v>381</v>
      </c>
      <c r="F47" s="53" t="s">
        <v>382</v>
      </c>
      <c r="G47" s="53" t="s">
        <v>36</v>
      </c>
      <c r="H47" s="53" t="s">
        <v>164</v>
      </c>
      <c r="I47" s="53" t="s">
        <v>159</v>
      </c>
      <c r="J47" s="53" t="s">
        <v>38</v>
      </c>
      <c r="K47" s="53" t="s">
        <v>161</v>
      </c>
      <c r="L47" s="53">
        <v>1</v>
      </c>
      <c r="N47" s="53">
        <v>1</v>
      </c>
      <c r="O47" s="53">
        <v>0.75</v>
      </c>
      <c r="P47" s="53">
        <v>0.95</v>
      </c>
      <c r="Q47" s="75">
        <f t="shared" si="0"/>
        <v>0.85</v>
      </c>
      <c r="R47" s="53">
        <v>14.1</v>
      </c>
      <c r="S47" s="53">
        <v>142</v>
      </c>
      <c r="T47" s="16">
        <f t="shared" si="1"/>
        <v>30</v>
      </c>
      <c r="U47" s="53">
        <v>95</v>
      </c>
      <c r="V47" s="16">
        <f t="shared" si="2"/>
        <v>2850</v>
      </c>
      <c r="W47" s="53">
        <v>1</v>
      </c>
      <c r="X47" s="53" t="s">
        <v>46</v>
      </c>
      <c r="Y47" s="53" t="s">
        <v>84</v>
      </c>
      <c r="Z47" s="53" t="s">
        <v>90</v>
      </c>
      <c r="AA47" s="53" t="s">
        <v>69</v>
      </c>
      <c r="AB47" s="53" t="s">
        <v>238</v>
      </c>
    </row>
    <row r="48" spans="1:28" x14ac:dyDescent="0.15">
      <c r="A48" s="53" t="s">
        <v>34</v>
      </c>
      <c r="B48" s="53" t="s">
        <v>234</v>
      </c>
      <c r="C48" s="53">
        <v>2019</v>
      </c>
      <c r="D48" s="176" t="s">
        <v>371</v>
      </c>
      <c r="E48" s="53" t="s">
        <v>381</v>
      </c>
      <c r="F48" s="53" t="s">
        <v>382</v>
      </c>
      <c r="G48" s="53" t="s">
        <v>36</v>
      </c>
      <c r="H48" s="53" t="s">
        <v>164</v>
      </c>
      <c r="I48" s="53" t="s">
        <v>159</v>
      </c>
      <c r="J48" s="53" t="s">
        <v>38</v>
      </c>
      <c r="K48" s="53" t="s">
        <v>161</v>
      </c>
      <c r="L48" s="53">
        <v>2</v>
      </c>
      <c r="N48" s="53">
        <v>1</v>
      </c>
      <c r="O48" s="53">
        <v>0.8</v>
      </c>
      <c r="P48" s="53">
        <v>1.05</v>
      </c>
      <c r="Q48" s="75">
        <f t="shared" si="0"/>
        <v>0.92500000000000004</v>
      </c>
      <c r="R48" s="53">
        <v>11.4</v>
      </c>
      <c r="S48" s="53">
        <v>146</v>
      </c>
      <c r="T48" s="16">
        <f t="shared" si="1"/>
        <v>30</v>
      </c>
      <c r="U48" s="53">
        <v>95</v>
      </c>
      <c r="V48" s="16">
        <f t="shared" si="2"/>
        <v>2850</v>
      </c>
      <c r="W48" s="53">
        <v>1</v>
      </c>
      <c r="X48" s="53" t="s">
        <v>46</v>
      </c>
      <c r="Y48" s="53" t="s">
        <v>84</v>
      </c>
      <c r="Z48" s="53" t="s">
        <v>90</v>
      </c>
      <c r="AA48" s="53" t="s">
        <v>69</v>
      </c>
      <c r="AB48" s="53" t="s">
        <v>238</v>
      </c>
    </row>
    <row r="49" spans="1:28" x14ac:dyDescent="0.15">
      <c r="A49" s="53" t="s">
        <v>34</v>
      </c>
      <c r="B49" s="53" t="s">
        <v>234</v>
      </c>
      <c r="C49" s="53">
        <v>2019</v>
      </c>
      <c r="D49" s="176" t="s">
        <v>371</v>
      </c>
      <c r="E49" s="53" t="s">
        <v>381</v>
      </c>
      <c r="F49" s="53" t="s">
        <v>382</v>
      </c>
      <c r="G49" s="53" t="s">
        <v>36</v>
      </c>
      <c r="H49" s="53" t="s">
        <v>164</v>
      </c>
      <c r="I49" s="53" t="s">
        <v>159</v>
      </c>
      <c r="J49" s="53" t="s">
        <v>38</v>
      </c>
      <c r="K49" s="53" t="s">
        <v>161</v>
      </c>
      <c r="L49" s="53">
        <v>3</v>
      </c>
      <c r="N49" s="53">
        <v>1</v>
      </c>
      <c r="O49" s="53">
        <v>1.05</v>
      </c>
      <c r="P49" s="53">
        <v>1.05</v>
      </c>
      <c r="Q49" s="75">
        <f t="shared" si="0"/>
        <v>1.05</v>
      </c>
      <c r="R49" s="53">
        <v>13.7</v>
      </c>
      <c r="S49" s="53">
        <v>144</v>
      </c>
      <c r="T49" s="16">
        <f t="shared" si="1"/>
        <v>30</v>
      </c>
      <c r="U49" s="53">
        <v>95</v>
      </c>
      <c r="V49" s="16">
        <f t="shared" si="2"/>
        <v>2850</v>
      </c>
      <c r="W49" s="53">
        <v>1</v>
      </c>
      <c r="X49" s="53" t="s">
        <v>46</v>
      </c>
      <c r="Y49" s="53" t="s">
        <v>84</v>
      </c>
      <c r="Z49" s="53" t="s">
        <v>90</v>
      </c>
      <c r="AA49" s="53" t="s">
        <v>69</v>
      </c>
      <c r="AB49" s="53" t="s">
        <v>238</v>
      </c>
    </row>
    <row r="50" spans="1:28" x14ac:dyDescent="0.15">
      <c r="A50" s="53" t="s">
        <v>34</v>
      </c>
      <c r="B50" s="53" t="s">
        <v>234</v>
      </c>
      <c r="C50" s="53">
        <v>2019</v>
      </c>
      <c r="D50" s="176" t="s">
        <v>371</v>
      </c>
      <c r="E50" s="53" t="s">
        <v>389</v>
      </c>
      <c r="F50" s="53" t="s">
        <v>384</v>
      </c>
      <c r="G50" s="53" t="s">
        <v>36</v>
      </c>
      <c r="H50" s="53" t="s">
        <v>164</v>
      </c>
      <c r="I50" s="53" t="s">
        <v>159</v>
      </c>
      <c r="J50" s="53" t="s">
        <v>38</v>
      </c>
      <c r="K50" s="53" t="s">
        <v>161</v>
      </c>
      <c r="L50" s="53">
        <v>1</v>
      </c>
      <c r="N50" s="53">
        <v>1</v>
      </c>
      <c r="O50" s="53">
        <v>0.5</v>
      </c>
      <c r="P50" s="53">
        <v>0.2</v>
      </c>
      <c r="Q50" s="75">
        <f t="shared" si="0"/>
        <v>0.35</v>
      </c>
      <c r="R50" s="53">
        <v>13.8</v>
      </c>
      <c r="S50" s="53">
        <v>106</v>
      </c>
      <c r="T50" s="16">
        <f t="shared" si="1"/>
        <v>33</v>
      </c>
      <c r="U50" s="53">
        <v>105</v>
      </c>
      <c r="V50" s="16">
        <f t="shared" si="2"/>
        <v>3465</v>
      </c>
      <c r="W50" s="53">
        <v>3</v>
      </c>
      <c r="X50" s="53" t="s">
        <v>46</v>
      </c>
      <c r="Y50" s="53" t="s">
        <v>90</v>
      </c>
      <c r="Z50" s="53" t="s">
        <v>84</v>
      </c>
      <c r="AA50" s="53" t="s">
        <v>69</v>
      </c>
      <c r="AB50" s="53" t="s">
        <v>238</v>
      </c>
    </row>
    <row r="51" spans="1:28" x14ac:dyDescent="0.15">
      <c r="A51" s="53" t="s">
        <v>34</v>
      </c>
      <c r="B51" s="53" t="s">
        <v>234</v>
      </c>
      <c r="C51" s="53">
        <v>2019</v>
      </c>
      <c r="D51" s="176" t="s">
        <v>371</v>
      </c>
      <c r="E51" s="53" t="s">
        <v>389</v>
      </c>
      <c r="F51" s="53" t="s">
        <v>384</v>
      </c>
      <c r="G51" s="53" t="s">
        <v>36</v>
      </c>
      <c r="H51" s="53" t="s">
        <v>164</v>
      </c>
      <c r="I51" s="53" t="s">
        <v>159</v>
      </c>
      <c r="J51" s="53" t="s">
        <v>38</v>
      </c>
      <c r="K51" s="53" t="s">
        <v>161</v>
      </c>
      <c r="L51" s="53">
        <v>2</v>
      </c>
      <c r="N51" s="53">
        <v>1</v>
      </c>
      <c r="O51" s="53">
        <v>0.7</v>
      </c>
      <c r="P51" s="53">
        <v>0.65</v>
      </c>
      <c r="Q51" s="75">
        <f t="shared" si="0"/>
        <v>0.67500000000000004</v>
      </c>
      <c r="R51" s="53">
        <v>14.2</v>
      </c>
      <c r="S51" s="53">
        <v>104</v>
      </c>
      <c r="T51" s="16">
        <f t="shared" si="1"/>
        <v>33</v>
      </c>
      <c r="U51" s="53">
        <v>105</v>
      </c>
      <c r="V51" s="16">
        <f t="shared" si="2"/>
        <v>3465</v>
      </c>
      <c r="W51" s="53">
        <v>3</v>
      </c>
      <c r="X51" s="53" t="s">
        <v>46</v>
      </c>
      <c r="Y51" s="53" t="s">
        <v>90</v>
      </c>
      <c r="Z51" s="53" t="s">
        <v>84</v>
      </c>
      <c r="AA51" s="53" t="s">
        <v>69</v>
      </c>
      <c r="AB51" s="53" t="s">
        <v>238</v>
      </c>
    </row>
    <row r="52" spans="1:28" x14ac:dyDescent="0.15">
      <c r="A52" s="53" t="s">
        <v>34</v>
      </c>
      <c r="B52" s="53" t="s">
        <v>234</v>
      </c>
      <c r="C52" s="53">
        <v>2019</v>
      </c>
      <c r="D52" s="176" t="s">
        <v>371</v>
      </c>
      <c r="E52" s="53" t="s">
        <v>389</v>
      </c>
      <c r="F52" s="53" t="s">
        <v>384</v>
      </c>
      <c r="G52" s="53" t="s">
        <v>36</v>
      </c>
      <c r="H52" s="53" t="s">
        <v>164</v>
      </c>
      <c r="I52" s="53" t="s">
        <v>159</v>
      </c>
      <c r="J52" s="53" t="s">
        <v>38</v>
      </c>
      <c r="K52" s="53" t="s">
        <v>161</v>
      </c>
      <c r="L52" s="53">
        <v>3</v>
      </c>
      <c r="N52" s="53">
        <v>1</v>
      </c>
      <c r="O52" s="53">
        <v>0.9</v>
      </c>
      <c r="P52" s="53">
        <v>0.75</v>
      </c>
      <c r="Q52" s="75">
        <f t="shared" si="0"/>
        <v>0.82499999999999996</v>
      </c>
      <c r="R52" s="53">
        <v>13.7</v>
      </c>
      <c r="S52" s="53">
        <v>108</v>
      </c>
      <c r="T52" s="16">
        <f t="shared" si="1"/>
        <v>33</v>
      </c>
      <c r="U52" s="53">
        <v>105</v>
      </c>
      <c r="V52" s="16">
        <f t="shared" si="2"/>
        <v>3465</v>
      </c>
      <c r="W52" s="53">
        <v>3</v>
      </c>
      <c r="X52" s="53" t="s">
        <v>46</v>
      </c>
      <c r="Y52" s="53" t="s">
        <v>90</v>
      </c>
      <c r="Z52" s="53" t="s">
        <v>84</v>
      </c>
      <c r="AA52" s="53" t="s">
        <v>69</v>
      </c>
      <c r="AB52" s="53" t="s">
        <v>238</v>
      </c>
    </row>
    <row r="53" spans="1:28" x14ac:dyDescent="0.15">
      <c r="A53" s="53" t="s">
        <v>34</v>
      </c>
      <c r="B53" s="53" t="s">
        <v>234</v>
      </c>
      <c r="C53" s="53">
        <v>2019</v>
      </c>
      <c r="D53" s="176" t="s">
        <v>371</v>
      </c>
      <c r="E53" s="53" t="s">
        <v>389</v>
      </c>
      <c r="F53" s="53" t="s">
        <v>384</v>
      </c>
      <c r="G53" s="53" t="s">
        <v>36</v>
      </c>
      <c r="H53" s="53" t="s">
        <v>164</v>
      </c>
      <c r="I53" s="53" t="s">
        <v>159</v>
      </c>
      <c r="J53" s="53" t="s">
        <v>38</v>
      </c>
      <c r="K53" s="53" t="s">
        <v>161</v>
      </c>
      <c r="L53" s="53">
        <v>1</v>
      </c>
      <c r="N53" s="53">
        <v>5</v>
      </c>
      <c r="O53" s="53">
        <v>0.5</v>
      </c>
      <c r="P53" s="53">
        <v>0.75</v>
      </c>
      <c r="Q53" s="75">
        <f t="shared" si="0"/>
        <v>0.625</v>
      </c>
      <c r="R53" s="53">
        <v>13.8</v>
      </c>
      <c r="S53" s="53">
        <v>96</v>
      </c>
      <c r="T53" s="16">
        <f t="shared" si="1"/>
        <v>36</v>
      </c>
      <c r="U53" s="53">
        <v>410</v>
      </c>
      <c r="V53" s="16">
        <f t="shared" si="2"/>
        <v>2952</v>
      </c>
      <c r="W53" s="53">
        <v>3</v>
      </c>
      <c r="X53" s="53" t="s">
        <v>46</v>
      </c>
      <c r="Y53" s="53" t="s">
        <v>90</v>
      </c>
      <c r="Z53" s="53" t="s">
        <v>84</v>
      </c>
      <c r="AA53" s="53" t="s">
        <v>69</v>
      </c>
      <c r="AB53" s="53" t="s">
        <v>238</v>
      </c>
    </row>
    <row r="54" spans="1:28" x14ac:dyDescent="0.15">
      <c r="A54" s="53" t="s">
        <v>34</v>
      </c>
      <c r="B54" s="53" t="s">
        <v>234</v>
      </c>
      <c r="C54" s="53">
        <v>2019</v>
      </c>
      <c r="D54" s="176" t="s">
        <v>371</v>
      </c>
      <c r="E54" s="53" t="s">
        <v>389</v>
      </c>
      <c r="F54" s="53" t="s">
        <v>384</v>
      </c>
      <c r="G54" s="53" t="s">
        <v>36</v>
      </c>
      <c r="H54" s="53" t="s">
        <v>164</v>
      </c>
      <c r="I54" s="53" t="s">
        <v>159</v>
      </c>
      <c r="J54" s="53" t="s">
        <v>38</v>
      </c>
      <c r="K54" s="53" t="s">
        <v>161</v>
      </c>
      <c r="L54" s="53">
        <v>2</v>
      </c>
      <c r="N54" s="53">
        <v>5</v>
      </c>
      <c r="O54" s="53">
        <v>0.65</v>
      </c>
      <c r="P54" s="53">
        <v>0.55000000000000004</v>
      </c>
      <c r="Q54" s="75">
        <f t="shared" si="0"/>
        <v>0.60000000000000009</v>
      </c>
      <c r="R54" s="53">
        <v>13.8</v>
      </c>
      <c r="S54" s="53">
        <v>102</v>
      </c>
      <c r="T54" s="16">
        <f t="shared" si="1"/>
        <v>33</v>
      </c>
      <c r="U54" s="53">
        <v>410</v>
      </c>
      <c r="V54" s="16">
        <f t="shared" si="2"/>
        <v>2706</v>
      </c>
      <c r="W54" s="53">
        <v>3</v>
      </c>
      <c r="X54" s="53" t="s">
        <v>46</v>
      </c>
      <c r="Y54" s="53" t="s">
        <v>90</v>
      </c>
      <c r="Z54" s="53" t="s">
        <v>84</v>
      </c>
      <c r="AA54" s="53" t="s">
        <v>69</v>
      </c>
      <c r="AB54" s="53" t="s">
        <v>238</v>
      </c>
    </row>
    <row r="55" spans="1:28" x14ac:dyDescent="0.15">
      <c r="A55" s="53" t="s">
        <v>34</v>
      </c>
      <c r="B55" s="53" t="s">
        <v>234</v>
      </c>
      <c r="C55" s="53">
        <v>2019</v>
      </c>
      <c r="D55" s="176" t="s">
        <v>371</v>
      </c>
      <c r="E55" s="53" t="s">
        <v>389</v>
      </c>
      <c r="F55" s="53" t="s">
        <v>384</v>
      </c>
      <c r="G55" s="53" t="s">
        <v>36</v>
      </c>
      <c r="H55" s="53" t="s">
        <v>164</v>
      </c>
      <c r="I55" s="53" t="s">
        <v>159</v>
      </c>
      <c r="J55" s="53" t="s">
        <v>38</v>
      </c>
      <c r="K55" s="53" t="s">
        <v>161</v>
      </c>
      <c r="L55" s="53">
        <v>3</v>
      </c>
      <c r="N55" s="53">
        <v>5</v>
      </c>
      <c r="O55" s="53">
        <v>0.75</v>
      </c>
      <c r="P55" s="53">
        <v>0.7</v>
      </c>
      <c r="Q55" s="75">
        <f t="shared" si="0"/>
        <v>0.72499999999999998</v>
      </c>
      <c r="R55" s="53">
        <v>14.2</v>
      </c>
      <c r="S55" s="53">
        <v>99</v>
      </c>
      <c r="T55" s="16">
        <f t="shared" si="1"/>
        <v>33</v>
      </c>
      <c r="U55" s="53">
        <v>410</v>
      </c>
      <c r="V55" s="16">
        <f t="shared" si="2"/>
        <v>2706</v>
      </c>
      <c r="W55" s="53">
        <v>3</v>
      </c>
      <c r="X55" s="53" t="s">
        <v>46</v>
      </c>
      <c r="Y55" s="53" t="s">
        <v>90</v>
      </c>
      <c r="Z55" s="53" t="s">
        <v>84</v>
      </c>
      <c r="AA55" s="53" t="s">
        <v>69</v>
      </c>
      <c r="AB55" s="53" t="s">
        <v>238</v>
      </c>
    </row>
    <row r="56" spans="1:28" x14ac:dyDescent="0.15">
      <c r="A56" s="53" t="s">
        <v>34</v>
      </c>
      <c r="B56" s="53" t="s">
        <v>234</v>
      </c>
      <c r="C56" s="53">
        <v>2019</v>
      </c>
      <c r="D56" s="176" t="s">
        <v>371</v>
      </c>
      <c r="E56" s="53" t="s">
        <v>389</v>
      </c>
      <c r="F56" s="53" t="s">
        <v>384</v>
      </c>
      <c r="G56" s="53" t="s">
        <v>36</v>
      </c>
      <c r="H56" s="53" t="s">
        <v>160</v>
      </c>
      <c r="I56" s="53" t="s">
        <v>159</v>
      </c>
      <c r="J56" s="53" t="s">
        <v>38</v>
      </c>
      <c r="K56" s="53" t="s">
        <v>161</v>
      </c>
      <c r="L56" s="53">
        <v>1</v>
      </c>
      <c r="N56" s="53">
        <v>1</v>
      </c>
      <c r="O56" s="53">
        <v>0.2</v>
      </c>
      <c r="P56" s="53">
        <v>0.2</v>
      </c>
      <c r="Q56" s="75">
        <f t="shared" si="0"/>
        <v>0.2</v>
      </c>
      <c r="R56" s="53">
        <v>13.6</v>
      </c>
      <c r="S56" s="53">
        <v>102</v>
      </c>
      <c r="T56" s="16">
        <f t="shared" si="1"/>
        <v>33</v>
      </c>
      <c r="U56" s="53">
        <v>105</v>
      </c>
      <c r="V56" s="16">
        <f t="shared" si="2"/>
        <v>3465</v>
      </c>
      <c r="W56" s="53">
        <v>3</v>
      </c>
      <c r="X56" s="53" t="s">
        <v>46</v>
      </c>
      <c r="Y56" s="53" t="s">
        <v>90</v>
      </c>
      <c r="Z56" s="53" t="s">
        <v>84</v>
      </c>
      <c r="AA56" s="53" t="s">
        <v>69</v>
      </c>
      <c r="AB56" s="53" t="s">
        <v>238</v>
      </c>
    </row>
    <row r="57" spans="1:28" x14ac:dyDescent="0.15">
      <c r="A57" s="53" t="s">
        <v>34</v>
      </c>
      <c r="B57" s="53" t="s">
        <v>234</v>
      </c>
      <c r="C57" s="53">
        <v>2019</v>
      </c>
      <c r="D57" s="176" t="s">
        <v>371</v>
      </c>
      <c r="E57" s="53" t="s">
        <v>389</v>
      </c>
      <c r="F57" s="53" t="s">
        <v>384</v>
      </c>
      <c r="G57" s="53" t="s">
        <v>36</v>
      </c>
      <c r="H57" s="53" t="s">
        <v>160</v>
      </c>
      <c r="I57" s="53" t="s">
        <v>159</v>
      </c>
      <c r="J57" s="53" t="s">
        <v>38</v>
      </c>
      <c r="K57" s="53" t="s">
        <v>161</v>
      </c>
      <c r="L57" s="53">
        <v>2</v>
      </c>
      <c r="N57" s="53">
        <v>1</v>
      </c>
      <c r="O57" s="53">
        <v>0.8</v>
      </c>
      <c r="P57" s="53">
        <v>1</v>
      </c>
      <c r="Q57" s="75">
        <f t="shared" si="0"/>
        <v>0.9</v>
      </c>
      <c r="R57" s="53">
        <v>15.7</v>
      </c>
      <c r="S57" s="53">
        <v>95</v>
      </c>
      <c r="T57" s="16">
        <f t="shared" si="1"/>
        <v>36</v>
      </c>
      <c r="U57" s="53">
        <v>105</v>
      </c>
      <c r="V57" s="16">
        <f t="shared" si="2"/>
        <v>3780</v>
      </c>
      <c r="W57" s="53">
        <v>3</v>
      </c>
      <c r="X57" s="53" t="s">
        <v>46</v>
      </c>
      <c r="Y57" s="53" t="s">
        <v>90</v>
      </c>
      <c r="Z57" s="53" t="s">
        <v>84</v>
      </c>
      <c r="AA57" s="53" t="s">
        <v>69</v>
      </c>
      <c r="AB57" s="53" t="s">
        <v>238</v>
      </c>
    </row>
    <row r="58" spans="1:28" x14ac:dyDescent="0.15">
      <c r="A58" s="53" t="s">
        <v>34</v>
      </c>
      <c r="B58" s="53" t="s">
        <v>234</v>
      </c>
      <c r="C58" s="53">
        <v>2019</v>
      </c>
      <c r="D58" s="176" t="s">
        <v>371</v>
      </c>
      <c r="E58" s="53" t="s">
        <v>389</v>
      </c>
      <c r="F58" s="53" t="s">
        <v>384</v>
      </c>
      <c r="G58" s="53" t="s">
        <v>36</v>
      </c>
      <c r="H58" s="53" t="s">
        <v>160</v>
      </c>
      <c r="I58" s="53" t="s">
        <v>159</v>
      </c>
      <c r="J58" s="53" t="s">
        <v>38</v>
      </c>
      <c r="K58" s="53" t="s">
        <v>161</v>
      </c>
      <c r="L58" s="53">
        <v>3</v>
      </c>
      <c r="N58" s="53">
        <v>1</v>
      </c>
      <c r="O58" s="53">
        <v>0.6</v>
      </c>
      <c r="P58" s="53">
        <v>0.5</v>
      </c>
      <c r="Q58" s="75">
        <f t="shared" si="0"/>
        <v>0.55000000000000004</v>
      </c>
      <c r="R58" s="53">
        <v>14</v>
      </c>
      <c r="S58" s="53">
        <v>104</v>
      </c>
      <c r="T58" s="16">
        <f t="shared" si="1"/>
        <v>33</v>
      </c>
      <c r="U58" s="53">
        <v>105</v>
      </c>
      <c r="V58" s="16">
        <f t="shared" si="2"/>
        <v>3465</v>
      </c>
      <c r="W58" s="53">
        <v>3</v>
      </c>
      <c r="X58" s="53" t="s">
        <v>46</v>
      </c>
      <c r="Y58" s="53" t="s">
        <v>90</v>
      </c>
      <c r="Z58" s="53" t="s">
        <v>84</v>
      </c>
      <c r="AA58" s="53" t="s">
        <v>69</v>
      </c>
      <c r="AB58" s="53" t="s">
        <v>238</v>
      </c>
    </row>
    <row r="59" spans="1:28" x14ac:dyDescent="0.15">
      <c r="A59" s="53" t="s">
        <v>34</v>
      </c>
      <c r="B59" s="53" t="s">
        <v>234</v>
      </c>
      <c r="C59" s="53">
        <v>2019</v>
      </c>
      <c r="D59" s="176" t="s">
        <v>371</v>
      </c>
      <c r="E59" s="53" t="s">
        <v>389</v>
      </c>
      <c r="F59" s="53" t="s">
        <v>384</v>
      </c>
      <c r="G59" s="53" t="s">
        <v>36</v>
      </c>
      <c r="H59" s="53" t="s">
        <v>160</v>
      </c>
      <c r="I59" s="53" t="s">
        <v>159</v>
      </c>
      <c r="J59" s="53" t="s">
        <v>38</v>
      </c>
      <c r="K59" s="53" t="s">
        <v>161</v>
      </c>
      <c r="L59" s="53">
        <v>1</v>
      </c>
      <c r="N59" s="53">
        <v>5</v>
      </c>
      <c r="O59" s="53">
        <v>0.2</v>
      </c>
      <c r="P59" s="53">
        <v>0.2</v>
      </c>
      <c r="Q59" s="75">
        <f t="shared" si="0"/>
        <v>0.2</v>
      </c>
      <c r="R59" s="53">
        <v>15.1</v>
      </c>
      <c r="S59" s="53">
        <v>88</v>
      </c>
      <c r="T59" s="16">
        <f t="shared" si="1"/>
        <v>36</v>
      </c>
      <c r="U59" s="53">
        <v>410</v>
      </c>
      <c r="V59" s="16">
        <f t="shared" si="2"/>
        <v>2952</v>
      </c>
      <c r="W59" s="53">
        <v>3</v>
      </c>
      <c r="X59" s="53" t="s">
        <v>46</v>
      </c>
      <c r="Y59" s="53" t="s">
        <v>90</v>
      </c>
      <c r="Z59" s="53" t="s">
        <v>84</v>
      </c>
      <c r="AA59" s="53" t="s">
        <v>69</v>
      </c>
      <c r="AB59" s="53" t="s">
        <v>238</v>
      </c>
    </row>
    <row r="60" spans="1:28" x14ac:dyDescent="0.15">
      <c r="A60" s="53" t="s">
        <v>34</v>
      </c>
      <c r="B60" s="53" t="s">
        <v>234</v>
      </c>
      <c r="C60" s="53">
        <v>2019</v>
      </c>
      <c r="D60" s="176" t="s">
        <v>371</v>
      </c>
      <c r="E60" s="53" t="s">
        <v>389</v>
      </c>
      <c r="F60" s="53" t="s">
        <v>384</v>
      </c>
      <c r="G60" s="53" t="s">
        <v>36</v>
      </c>
      <c r="H60" s="53" t="s">
        <v>160</v>
      </c>
      <c r="I60" s="53" t="s">
        <v>159</v>
      </c>
      <c r="J60" s="53" t="s">
        <v>38</v>
      </c>
      <c r="K60" s="53" t="s">
        <v>161</v>
      </c>
      <c r="L60" s="53">
        <v>2</v>
      </c>
      <c r="N60" s="53">
        <v>5</v>
      </c>
      <c r="O60" s="53">
        <v>0.2</v>
      </c>
      <c r="P60" s="53">
        <v>0.2</v>
      </c>
      <c r="Q60" s="75">
        <f t="shared" si="0"/>
        <v>0.2</v>
      </c>
      <c r="R60" s="53">
        <v>16.3</v>
      </c>
      <c r="S60" s="53">
        <v>87</v>
      </c>
      <c r="T60" s="16">
        <f t="shared" si="1"/>
        <v>36</v>
      </c>
      <c r="U60" s="53">
        <v>410</v>
      </c>
      <c r="V60" s="16">
        <f t="shared" si="2"/>
        <v>2952</v>
      </c>
      <c r="W60" s="53">
        <v>3</v>
      </c>
      <c r="X60" s="53" t="s">
        <v>46</v>
      </c>
      <c r="Y60" s="53" t="s">
        <v>90</v>
      </c>
      <c r="Z60" s="53" t="s">
        <v>84</v>
      </c>
      <c r="AA60" s="53" t="s">
        <v>69</v>
      </c>
      <c r="AB60" s="53" t="s">
        <v>238</v>
      </c>
    </row>
    <row r="61" spans="1:28" x14ac:dyDescent="0.15">
      <c r="A61" s="53" t="s">
        <v>34</v>
      </c>
      <c r="B61" s="53" t="s">
        <v>234</v>
      </c>
      <c r="C61" s="53">
        <v>2019</v>
      </c>
      <c r="D61" s="176" t="s">
        <v>371</v>
      </c>
      <c r="E61" s="53" t="s">
        <v>389</v>
      </c>
      <c r="F61" s="53" t="s">
        <v>384</v>
      </c>
      <c r="G61" s="53" t="s">
        <v>36</v>
      </c>
      <c r="H61" s="53" t="s">
        <v>160</v>
      </c>
      <c r="I61" s="53" t="s">
        <v>159</v>
      </c>
      <c r="J61" s="53" t="s">
        <v>38</v>
      </c>
      <c r="K61" s="53" t="s">
        <v>161</v>
      </c>
      <c r="L61" s="53">
        <v>3</v>
      </c>
      <c r="N61" s="53">
        <v>5</v>
      </c>
      <c r="O61" s="53">
        <v>0.5</v>
      </c>
      <c r="P61" s="53">
        <v>0.45</v>
      </c>
      <c r="Q61" s="75">
        <f t="shared" si="0"/>
        <v>0.47499999999999998</v>
      </c>
      <c r="R61" s="53">
        <v>16.399999999999999</v>
      </c>
      <c r="S61" s="53">
        <v>91</v>
      </c>
      <c r="T61" s="16">
        <f t="shared" si="1"/>
        <v>36</v>
      </c>
      <c r="U61" s="53">
        <v>410</v>
      </c>
      <c r="V61" s="16">
        <f t="shared" si="2"/>
        <v>2952</v>
      </c>
      <c r="W61" s="53">
        <v>3</v>
      </c>
      <c r="X61" s="53" t="s">
        <v>46</v>
      </c>
      <c r="Y61" s="53" t="s">
        <v>90</v>
      </c>
      <c r="Z61" s="53" t="s">
        <v>84</v>
      </c>
      <c r="AA61" s="53" t="s">
        <v>69</v>
      </c>
      <c r="AB61" s="53" t="s">
        <v>238</v>
      </c>
    </row>
    <row r="62" spans="1:28" x14ac:dyDescent="0.15">
      <c r="A62" s="53" t="s">
        <v>34</v>
      </c>
      <c r="B62" s="53" t="s">
        <v>234</v>
      </c>
      <c r="C62" s="53">
        <v>2019</v>
      </c>
      <c r="D62" s="176" t="s">
        <v>371</v>
      </c>
      <c r="E62" s="53" t="s">
        <v>271</v>
      </c>
      <c r="F62" s="53" t="s">
        <v>385</v>
      </c>
      <c r="G62" s="53" t="s">
        <v>36</v>
      </c>
      <c r="H62" s="53" t="s">
        <v>164</v>
      </c>
      <c r="I62" s="53" t="s">
        <v>159</v>
      </c>
      <c r="J62" s="53" t="s">
        <v>38</v>
      </c>
      <c r="K62" s="53" t="s">
        <v>161</v>
      </c>
      <c r="L62" s="53">
        <v>1</v>
      </c>
      <c r="N62" s="53">
        <v>6</v>
      </c>
      <c r="O62" s="53">
        <v>0.8</v>
      </c>
      <c r="P62" s="53">
        <v>0.8</v>
      </c>
      <c r="Q62" s="75">
        <f t="shared" si="0"/>
        <v>0.8</v>
      </c>
      <c r="R62" s="53">
        <v>14.8</v>
      </c>
      <c r="S62" s="53">
        <v>89</v>
      </c>
      <c r="T62" s="16">
        <f t="shared" si="1"/>
        <v>36</v>
      </c>
      <c r="U62" s="53">
        <v>421</v>
      </c>
      <c r="V62" s="16">
        <f t="shared" si="2"/>
        <v>2526</v>
      </c>
      <c r="W62" s="53">
        <v>2</v>
      </c>
      <c r="X62" s="53" t="s">
        <v>46</v>
      </c>
      <c r="Y62" s="53" t="s">
        <v>84</v>
      </c>
      <c r="Z62" s="53" t="s">
        <v>69</v>
      </c>
      <c r="AA62" s="53" t="s">
        <v>90</v>
      </c>
      <c r="AB62" s="53" t="s">
        <v>238</v>
      </c>
    </row>
    <row r="63" spans="1:28" x14ac:dyDescent="0.15">
      <c r="A63" s="53" t="s">
        <v>34</v>
      </c>
      <c r="B63" s="53" t="s">
        <v>234</v>
      </c>
      <c r="C63" s="53">
        <v>2019</v>
      </c>
      <c r="D63" s="176" t="s">
        <v>371</v>
      </c>
      <c r="E63" s="53" t="s">
        <v>271</v>
      </c>
      <c r="F63" s="53" t="s">
        <v>385</v>
      </c>
      <c r="G63" s="53" t="s">
        <v>36</v>
      </c>
      <c r="H63" s="53" t="s">
        <v>164</v>
      </c>
      <c r="I63" s="53" t="s">
        <v>159</v>
      </c>
      <c r="J63" s="53" t="s">
        <v>38</v>
      </c>
      <c r="K63" s="53" t="s">
        <v>161</v>
      </c>
      <c r="L63" s="53">
        <v>2</v>
      </c>
      <c r="N63" s="53">
        <v>6</v>
      </c>
      <c r="O63" s="53">
        <v>0.8</v>
      </c>
      <c r="P63" s="53">
        <v>0.55000000000000004</v>
      </c>
      <c r="Q63" s="75">
        <f t="shared" si="0"/>
        <v>0.67500000000000004</v>
      </c>
      <c r="R63" s="53">
        <v>13.9</v>
      </c>
      <c r="S63" s="53">
        <v>87</v>
      </c>
      <c r="T63" s="16">
        <f t="shared" si="1"/>
        <v>36</v>
      </c>
      <c r="U63" s="53">
        <v>421</v>
      </c>
      <c r="V63" s="16">
        <f t="shared" si="2"/>
        <v>2526</v>
      </c>
      <c r="W63" s="53">
        <v>2</v>
      </c>
      <c r="X63" s="53" t="s">
        <v>46</v>
      </c>
      <c r="Y63" s="53" t="s">
        <v>84</v>
      </c>
      <c r="Z63" s="53" t="s">
        <v>69</v>
      </c>
      <c r="AA63" s="53" t="s">
        <v>90</v>
      </c>
      <c r="AB63" s="53" t="s">
        <v>238</v>
      </c>
    </row>
    <row r="64" spans="1:28" x14ac:dyDescent="0.15">
      <c r="A64" s="53" t="s">
        <v>34</v>
      </c>
      <c r="B64" s="53" t="s">
        <v>234</v>
      </c>
      <c r="C64" s="53">
        <v>2019</v>
      </c>
      <c r="D64" s="176" t="s">
        <v>371</v>
      </c>
      <c r="E64" s="53" t="s">
        <v>271</v>
      </c>
      <c r="F64" s="53" t="s">
        <v>385</v>
      </c>
      <c r="G64" s="53" t="s">
        <v>36</v>
      </c>
      <c r="H64" s="53" t="s">
        <v>164</v>
      </c>
      <c r="I64" s="53" t="s">
        <v>159</v>
      </c>
      <c r="J64" s="53" t="s">
        <v>38</v>
      </c>
      <c r="K64" s="53" t="s">
        <v>161</v>
      </c>
      <c r="L64" s="53">
        <v>3</v>
      </c>
      <c r="N64" s="53">
        <v>6</v>
      </c>
      <c r="O64" s="53">
        <v>0.8</v>
      </c>
      <c r="P64" s="53">
        <v>0.6</v>
      </c>
      <c r="Q64" s="75">
        <f t="shared" si="0"/>
        <v>0.7</v>
      </c>
      <c r="R64" s="53">
        <v>14.4</v>
      </c>
      <c r="S64" s="53">
        <v>93</v>
      </c>
      <c r="T64" s="16">
        <f t="shared" si="1"/>
        <v>36</v>
      </c>
      <c r="U64" s="53">
        <v>421</v>
      </c>
      <c r="V64" s="16">
        <f t="shared" si="2"/>
        <v>2526</v>
      </c>
      <c r="W64" s="53">
        <v>2</v>
      </c>
      <c r="X64" s="53" t="s">
        <v>46</v>
      </c>
      <c r="Y64" s="53" t="s">
        <v>84</v>
      </c>
      <c r="Z64" s="53" t="s">
        <v>69</v>
      </c>
      <c r="AA64" s="53" t="s">
        <v>90</v>
      </c>
      <c r="AB64" s="53" t="s">
        <v>238</v>
      </c>
    </row>
    <row r="65" spans="1:28" x14ac:dyDescent="0.15">
      <c r="A65" s="53" t="s">
        <v>34</v>
      </c>
      <c r="B65" s="53" t="s">
        <v>234</v>
      </c>
      <c r="C65" s="53">
        <v>2019</v>
      </c>
      <c r="D65" s="176" t="s">
        <v>371</v>
      </c>
      <c r="E65" s="53" t="s">
        <v>271</v>
      </c>
      <c r="F65" s="53" t="s">
        <v>385</v>
      </c>
      <c r="G65" s="53" t="s">
        <v>36</v>
      </c>
      <c r="H65" s="53" t="s">
        <v>127</v>
      </c>
      <c r="I65" s="53" t="s">
        <v>159</v>
      </c>
      <c r="J65" s="53" t="s">
        <v>80</v>
      </c>
      <c r="K65" s="53" t="s">
        <v>63</v>
      </c>
      <c r="L65" s="53">
        <v>3</v>
      </c>
      <c r="N65" s="53">
        <v>4</v>
      </c>
      <c r="O65" s="53">
        <v>0.55000000000000004</v>
      </c>
      <c r="P65" s="53">
        <v>0.9</v>
      </c>
      <c r="Q65" s="75">
        <f t="shared" si="0"/>
        <v>0.72500000000000009</v>
      </c>
      <c r="R65" s="53">
        <v>12.4</v>
      </c>
      <c r="S65" s="53">
        <v>88</v>
      </c>
      <c r="T65" s="16">
        <f t="shared" si="1"/>
        <v>36</v>
      </c>
      <c r="U65" s="53">
        <v>538</v>
      </c>
      <c r="V65" s="16">
        <f t="shared" si="2"/>
        <v>4842</v>
      </c>
      <c r="W65" s="53">
        <v>2</v>
      </c>
      <c r="X65" s="53" t="s">
        <v>46</v>
      </c>
      <c r="Y65" s="53" t="s">
        <v>84</v>
      </c>
      <c r="Z65" s="53" t="s">
        <v>69</v>
      </c>
      <c r="AA65" s="53" t="s">
        <v>90</v>
      </c>
      <c r="AB65" s="53" t="s">
        <v>238</v>
      </c>
    </row>
    <row r="66" spans="1:28" x14ac:dyDescent="0.15">
      <c r="A66" s="53" t="s">
        <v>34</v>
      </c>
      <c r="B66" s="53" t="s">
        <v>234</v>
      </c>
      <c r="C66" s="53">
        <v>2019</v>
      </c>
      <c r="D66" s="176" t="s">
        <v>371</v>
      </c>
      <c r="E66" s="53" t="s">
        <v>271</v>
      </c>
      <c r="F66" s="53" t="s">
        <v>385</v>
      </c>
      <c r="G66" s="53" t="s">
        <v>36</v>
      </c>
      <c r="H66" s="53" t="s">
        <v>127</v>
      </c>
      <c r="I66" s="53" t="s">
        <v>159</v>
      </c>
      <c r="J66" s="53" t="s">
        <v>80</v>
      </c>
      <c r="K66" s="53" t="s">
        <v>63</v>
      </c>
      <c r="L66" s="53">
        <v>3</v>
      </c>
      <c r="N66" s="53">
        <v>4</v>
      </c>
      <c r="O66" s="53">
        <v>0.2</v>
      </c>
      <c r="P66" s="53">
        <v>0.5</v>
      </c>
      <c r="Q66" s="75">
        <f t="shared" ref="Q66:Q68" si="5">IF(OR(O66="",P66=""),"",AVERAGE(O66,P66))</f>
        <v>0.35</v>
      </c>
      <c r="R66" s="53">
        <v>12.7</v>
      </c>
      <c r="S66" s="53">
        <v>92</v>
      </c>
      <c r="T66" s="16">
        <f t="shared" ref="T66:T68" si="6">IF(H66="","",IF(OR(H66="GREEN",H66="GK"),IF(S66&gt;=$AX$2,VLOOKUP(S66,$AX$2:$AY$9,2,1),""),IF(S66&gt;=$AZ$2,VLOOKUP(S66,$AZ$2:$BA$9,2,1),"")))</f>
        <v>36</v>
      </c>
      <c r="U66" s="53">
        <v>538</v>
      </c>
      <c r="V66" s="16">
        <f t="shared" ref="V66:V68" si="7">IF(OR(N66="",U66="",T66=""),"",U66/N66*T66)</f>
        <v>4842</v>
      </c>
      <c r="W66" s="53">
        <v>2</v>
      </c>
      <c r="X66" s="53" t="s">
        <v>46</v>
      </c>
      <c r="Y66" s="53" t="s">
        <v>84</v>
      </c>
      <c r="Z66" s="53" t="s">
        <v>69</v>
      </c>
      <c r="AA66" s="53" t="s">
        <v>90</v>
      </c>
      <c r="AB66" s="53" t="s">
        <v>238</v>
      </c>
    </row>
    <row r="67" spans="1:28" x14ac:dyDescent="0.15">
      <c r="A67" s="53" t="s">
        <v>34</v>
      </c>
      <c r="B67" s="53" t="s">
        <v>234</v>
      </c>
      <c r="C67" s="53">
        <v>2019</v>
      </c>
      <c r="D67" s="176" t="s">
        <v>371</v>
      </c>
      <c r="E67" s="53" t="s">
        <v>271</v>
      </c>
      <c r="F67" s="53" t="s">
        <v>385</v>
      </c>
      <c r="G67" s="53" t="s">
        <v>36</v>
      </c>
      <c r="H67" s="53" t="s">
        <v>127</v>
      </c>
      <c r="I67" s="53" t="s">
        <v>159</v>
      </c>
      <c r="J67" s="53" t="s">
        <v>80</v>
      </c>
      <c r="K67" s="53" t="s">
        <v>63</v>
      </c>
      <c r="L67" s="53">
        <v>3</v>
      </c>
      <c r="N67" s="53">
        <v>4</v>
      </c>
      <c r="O67" s="53">
        <v>0.5</v>
      </c>
      <c r="P67" s="53">
        <v>0.8</v>
      </c>
      <c r="Q67" s="75">
        <f t="shared" si="5"/>
        <v>0.65</v>
      </c>
      <c r="R67" s="53">
        <v>11.8</v>
      </c>
      <c r="S67" s="53">
        <v>99</v>
      </c>
      <c r="T67" s="16">
        <f t="shared" si="6"/>
        <v>33</v>
      </c>
      <c r="U67" s="53">
        <v>538</v>
      </c>
      <c r="V67" s="16">
        <f t="shared" si="7"/>
        <v>4438.5</v>
      </c>
      <c r="W67" s="53">
        <v>2</v>
      </c>
      <c r="X67" s="53" t="s">
        <v>46</v>
      </c>
      <c r="Y67" s="53" t="s">
        <v>84</v>
      </c>
      <c r="Z67" s="53" t="s">
        <v>69</v>
      </c>
      <c r="AA67" s="53" t="s">
        <v>90</v>
      </c>
      <c r="AB67" s="53" t="s">
        <v>238</v>
      </c>
    </row>
    <row r="68" spans="1:28" x14ac:dyDescent="0.15">
      <c r="D68" s="176"/>
      <c r="Q68" s="75"/>
    </row>
    <row r="69" spans="1:28" x14ac:dyDescent="0.15">
      <c r="D69" s="176"/>
      <c r="Q69" s="75"/>
    </row>
    <row r="70" spans="1:28" x14ac:dyDescent="0.15">
      <c r="D70" s="176"/>
      <c r="Q70" s="75"/>
    </row>
    <row r="71" spans="1:28" x14ac:dyDescent="0.15">
      <c r="D71" s="176"/>
      <c r="Q71" s="75"/>
    </row>
    <row r="72" spans="1:28" x14ac:dyDescent="0.15">
      <c r="D72" s="176"/>
      <c r="Q72" s="75"/>
    </row>
    <row r="73" spans="1:28" x14ac:dyDescent="0.15">
      <c r="D73" s="176"/>
      <c r="Q73" s="75"/>
    </row>
    <row r="74" spans="1:28" x14ac:dyDescent="0.15">
      <c r="D74" s="176"/>
      <c r="Q74" s="75"/>
    </row>
    <row r="75" spans="1:28" x14ac:dyDescent="0.15">
      <c r="D75" s="176"/>
      <c r="Q75" s="75"/>
    </row>
    <row r="76" spans="1:28" x14ac:dyDescent="0.15">
      <c r="D76" s="176"/>
      <c r="Q76" s="75"/>
    </row>
    <row r="77" spans="1:28" x14ac:dyDescent="0.15">
      <c r="D77" s="176"/>
      <c r="Q77" s="75"/>
    </row>
    <row r="78" spans="1:28" x14ac:dyDescent="0.15">
      <c r="D78" s="176"/>
      <c r="Q78" s="75"/>
    </row>
    <row r="79" spans="1:28" x14ac:dyDescent="0.15">
      <c r="D79" s="176"/>
      <c r="Q79" s="75"/>
    </row>
    <row r="80" spans="1:28" x14ac:dyDescent="0.15">
      <c r="D80" s="176"/>
      <c r="Q80" s="75"/>
    </row>
    <row r="81" spans="4:17" x14ac:dyDescent="0.15">
      <c r="D81" s="176"/>
      <c r="Q81" s="75"/>
    </row>
    <row r="82" spans="4:17" x14ac:dyDescent="0.15">
      <c r="D82" s="176"/>
      <c r="Q82" s="75"/>
    </row>
    <row r="83" spans="4:17" x14ac:dyDescent="0.15">
      <c r="D83" s="176"/>
      <c r="Q83" s="75"/>
    </row>
    <row r="84" spans="4:17" x14ac:dyDescent="0.15">
      <c r="D84" s="176"/>
    </row>
    <row r="85" spans="4:17" x14ac:dyDescent="0.15">
      <c r="D85" s="176"/>
    </row>
    <row r="86" spans="4:17" x14ac:dyDescent="0.15">
      <c r="D86" s="176"/>
    </row>
    <row r="87" spans="4:17" x14ac:dyDescent="0.15">
      <c r="D87" s="176"/>
    </row>
    <row r="88" spans="4:17" x14ac:dyDescent="0.15">
      <c r="D88" s="176"/>
    </row>
    <row r="89" spans="4:17" x14ac:dyDescent="0.15">
      <c r="D89" s="176"/>
    </row>
    <row r="90" spans="4:17" x14ac:dyDescent="0.15">
      <c r="D90" s="176"/>
    </row>
    <row r="91" spans="4:17" x14ac:dyDescent="0.15">
      <c r="D91" s="176"/>
    </row>
    <row r="92" spans="4:17" x14ac:dyDescent="0.15">
      <c r="D92" s="176"/>
    </row>
    <row r="93" spans="4:17" x14ac:dyDescent="0.15">
      <c r="D93" s="176"/>
    </row>
    <row r="94" spans="4:17" x14ac:dyDescent="0.15">
      <c r="D94" s="176"/>
    </row>
    <row r="95" spans="4:17" x14ac:dyDescent="0.15">
      <c r="D95" s="176"/>
    </row>
    <row r="96" spans="4:17" x14ac:dyDescent="0.15">
      <c r="D96" s="176"/>
    </row>
    <row r="97" spans="4:4" x14ac:dyDescent="0.15">
      <c r="D97" s="176"/>
    </row>
    <row r="98" spans="4:4" x14ac:dyDescent="0.15">
      <c r="D98" s="176"/>
    </row>
    <row r="99" spans="4:4" x14ac:dyDescent="0.15">
      <c r="D99" s="176"/>
    </row>
    <row r="100" spans="4:4" x14ac:dyDescent="0.15">
      <c r="D100" s="176"/>
    </row>
    <row r="101" spans="4:4" x14ac:dyDescent="0.15">
      <c r="D101" s="176"/>
    </row>
    <row r="102" spans="4:4" x14ac:dyDescent="0.15">
      <c r="D102" s="176"/>
    </row>
    <row r="103" spans="4:4" x14ac:dyDescent="0.15">
      <c r="D103" s="176"/>
    </row>
    <row r="104" spans="4:4" x14ac:dyDescent="0.15">
      <c r="D104" s="176"/>
    </row>
    <row r="105" spans="4:4" x14ac:dyDescent="0.15">
      <c r="D105" s="176"/>
    </row>
    <row r="106" spans="4:4" x14ac:dyDescent="0.15">
      <c r="D106" s="176"/>
    </row>
    <row r="107" spans="4:4" x14ac:dyDescent="0.15">
      <c r="D107" s="176"/>
    </row>
    <row r="108" spans="4:4" x14ac:dyDescent="0.15">
      <c r="D108" s="176"/>
    </row>
    <row r="109" spans="4:4" x14ac:dyDescent="0.15">
      <c r="D109" s="176"/>
    </row>
    <row r="110" spans="4:4" x14ac:dyDescent="0.15">
      <c r="D110" s="176"/>
    </row>
    <row r="111" spans="4:4" x14ac:dyDescent="0.15">
      <c r="D111" s="176"/>
    </row>
    <row r="112" spans="4:4" x14ac:dyDescent="0.15">
      <c r="D112" s="176"/>
    </row>
    <row r="113" spans="4:4" x14ac:dyDescent="0.15">
      <c r="D113" s="176"/>
    </row>
    <row r="114" spans="4:4" x14ac:dyDescent="0.15">
      <c r="D114" s="176"/>
    </row>
    <row r="115" spans="4:4" x14ac:dyDescent="0.15">
      <c r="D115" s="176"/>
    </row>
    <row r="116" spans="4:4" x14ac:dyDescent="0.15">
      <c r="D116" s="176"/>
    </row>
    <row r="117" spans="4:4" x14ac:dyDescent="0.15">
      <c r="D117" s="176"/>
    </row>
    <row r="118" spans="4:4" x14ac:dyDescent="0.15">
      <c r="D118" s="176"/>
    </row>
    <row r="119" spans="4:4" x14ac:dyDescent="0.15">
      <c r="D119" s="176"/>
    </row>
    <row r="120" spans="4:4" x14ac:dyDescent="0.15">
      <c r="D120" s="176"/>
    </row>
    <row r="121" spans="4:4" x14ac:dyDescent="0.15">
      <c r="D121" s="176"/>
    </row>
    <row r="122" spans="4:4" x14ac:dyDescent="0.15">
      <c r="D122" s="176"/>
    </row>
    <row r="123" spans="4:4" x14ac:dyDescent="0.15">
      <c r="D123" s="176"/>
    </row>
    <row r="124" spans="4:4" x14ac:dyDescent="0.15">
      <c r="D124" s="176"/>
    </row>
    <row r="125" spans="4:4" x14ac:dyDescent="0.15">
      <c r="D125" s="176"/>
    </row>
    <row r="126" spans="4:4" x14ac:dyDescent="0.15">
      <c r="D126" s="176"/>
    </row>
    <row r="127" spans="4:4" x14ac:dyDescent="0.15">
      <c r="D127" s="176"/>
    </row>
    <row r="128" spans="4:4" x14ac:dyDescent="0.15">
      <c r="D128" s="176"/>
    </row>
    <row r="129" spans="4:4" x14ac:dyDescent="0.15">
      <c r="D129" s="176"/>
    </row>
    <row r="130" spans="4:4" x14ac:dyDescent="0.15">
      <c r="D130" s="176"/>
    </row>
    <row r="131" spans="4:4" x14ac:dyDescent="0.15">
      <c r="D131" s="176"/>
    </row>
    <row r="132" spans="4:4" x14ac:dyDescent="0.15">
      <c r="D132" s="176"/>
    </row>
    <row r="133" spans="4:4" x14ac:dyDescent="0.15">
      <c r="D133" s="176"/>
    </row>
    <row r="134" spans="4:4" x14ac:dyDescent="0.15">
      <c r="D134" s="176"/>
    </row>
    <row r="135" spans="4:4" x14ac:dyDescent="0.15">
      <c r="D135" s="176"/>
    </row>
    <row r="136" spans="4:4" x14ac:dyDescent="0.15">
      <c r="D136" s="176"/>
    </row>
    <row r="137" spans="4:4" x14ac:dyDescent="0.15">
      <c r="D137" s="176"/>
    </row>
    <row r="138" spans="4:4" x14ac:dyDescent="0.15">
      <c r="D138" s="176"/>
    </row>
    <row r="139" spans="4:4" x14ac:dyDescent="0.15">
      <c r="D139" s="176"/>
    </row>
    <row r="140" spans="4:4" x14ac:dyDescent="0.15">
      <c r="D140" s="176"/>
    </row>
    <row r="141" spans="4:4" x14ac:dyDescent="0.15">
      <c r="D141" s="176"/>
    </row>
    <row r="142" spans="4:4" x14ac:dyDescent="0.15">
      <c r="D142" s="176"/>
    </row>
    <row r="143" spans="4:4" x14ac:dyDescent="0.15">
      <c r="D143" s="176"/>
    </row>
    <row r="144" spans="4:4" x14ac:dyDescent="0.15">
      <c r="D144" s="176"/>
    </row>
    <row r="145" spans="4:4" x14ac:dyDescent="0.15">
      <c r="D145" s="176"/>
    </row>
    <row r="146" spans="4:4" x14ac:dyDescent="0.15">
      <c r="D146" s="176"/>
    </row>
    <row r="147" spans="4:4" x14ac:dyDescent="0.15">
      <c r="D147" s="176"/>
    </row>
    <row r="148" spans="4:4" x14ac:dyDescent="0.15">
      <c r="D148" s="176"/>
    </row>
    <row r="149" spans="4:4" x14ac:dyDescent="0.15">
      <c r="D149" s="176"/>
    </row>
  </sheetData>
  <autoFilter ref="A1:BA149" xr:uid="{00000000-0009-0000-0000-000000000000}"/>
  <phoneticPr fontId="3"/>
  <dataValidations count="12">
    <dataValidation type="list" allowBlank="1" showInputMessage="1" showErrorMessage="1" sqref="F2:F469" xr:uid="{8EB94AC5-2ABB-4F80-9591-277D3AE57520}">
      <formula1>$AH$2:$AH$11</formula1>
    </dataValidation>
    <dataValidation type="list" allowBlank="1" showInputMessage="1" showErrorMessage="1" sqref="E2:E469" xr:uid="{C92849A2-54E1-49A2-85A6-A6F48AAE3D7D}">
      <formula1>$AG$2:$AG$11</formula1>
    </dataValidation>
    <dataValidation type="list" allowBlank="1" showInputMessage="1" showErrorMessage="1" sqref="K2:K781" xr:uid="{F5D73258-813D-4F67-8EAF-149D7C383D34}">
      <formula1>$AR$2:$AR$23</formula1>
    </dataValidation>
    <dataValidation operator="equal" allowBlank="1" showInputMessage="1" showErrorMessage="1" sqref="B2:B149" xr:uid="{8CC4CDDA-ADF2-4DBE-B785-D0F082A3A401}"/>
    <dataValidation type="list" allowBlank="1" showInputMessage="1" showErrorMessage="1" sqref="A2:A468" xr:uid="{40AC50A7-737E-49E1-8EBD-A2A0D10DBBD4}">
      <formula1>$AE$2:$AE$19</formula1>
    </dataValidation>
    <dataValidation type="list" allowBlank="1" showInputMessage="1" showErrorMessage="1" sqref="Y2:AA469" xr:uid="{55793154-EC58-4C0C-8246-CB1BC2C1EFD3}">
      <formula1>$AV$2:$AV$21</formula1>
    </dataValidation>
    <dataValidation type="list" allowBlank="1" showInputMessage="1" showErrorMessage="1" sqref="H2:H469" xr:uid="{85FBFAD2-6C01-4780-8777-571683221B10}">
      <formula1>$AL$2:$AL$8</formula1>
    </dataValidation>
    <dataValidation type="list" allowBlank="1" showInputMessage="1" showErrorMessage="1" sqref="X2:X469" xr:uid="{FDAE17E1-1E2B-45B5-AB4F-D228E9DF7FF9}">
      <formula1>$AT$2:$AT$3</formula1>
    </dataValidation>
    <dataValidation type="list" allowBlank="1" showInputMessage="1" showErrorMessage="1" sqref="G2:G469" xr:uid="{E6B9B56B-B7A9-4E31-9E30-60B936C773C1}">
      <formula1>$AJ$2:$AJ$4</formula1>
    </dataValidation>
    <dataValidation type="list" allowBlank="1" showInputMessage="1" showErrorMessage="1" sqref="I2:I469" xr:uid="{B7F4671F-E27D-4464-AFA7-059B58951EA8}">
      <formula1>$AN$5:$AN$6</formula1>
    </dataValidation>
    <dataValidation type="list" allowBlank="1" showInputMessage="1" showErrorMessage="1" sqref="J2:J469" xr:uid="{C7AF4D95-CB4C-4155-B8E0-40721512AB10}">
      <formula1>$AP$2:$AP$24</formula1>
    </dataValidation>
    <dataValidation type="decimal" allowBlank="1" showInputMessage="1" showErrorMessage="1" error="硬度を正しく入力して下さい。" sqref="O2:P49 O59:P469" xr:uid="{3FC94307-99C6-4B8A-A635-C43541D67CE2}">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2BD436A-0139-4FA4-8721-9B40C32A4211}"/>
</file>

<file path=customXml/itemProps2.xml><?xml version="1.0" encoding="utf-8"?>
<ds:datastoreItem xmlns:ds="http://schemas.openxmlformats.org/officeDocument/2006/customXml" ds:itemID="{DFCC2BBE-4730-4810-B78A-3FF0F495BFE2}"/>
</file>

<file path=customXml/itemProps3.xml><?xml version="1.0" encoding="utf-8"?>
<ds:datastoreItem xmlns:ds="http://schemas.openxmlformats.org/officeDocument/2006/customXml" ds:itemID="{70544E39-14FC-4EA0-A4A2-B8415C08E13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2019-11-18T08:57:38Z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