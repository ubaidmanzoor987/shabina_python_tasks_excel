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defaultThemeVersion="124226"/>
  <mc:AlternateContent xmlns:mc="http://schemas.openxmlformats.org/markup-compatibility/2006">
    <mc:Choice Requires="x15">
      <x15ac:absPath xmlns:x15ac="http://schemas.microsoft.com/office/spreadsheetml/2010/11/ac" url="\\192.168.11.200\000_全国共有\2-Zespri\品質調査\2019\28週\"/>
    </mc:Choice>
  </mc:AlternateContent>
  <xr:revisionPtr revIDLastSave="0" documentId="13_ncr:1_{72574871-DDD4-4B12-92DE-9BB3DF497AFE}"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24" r:id="rId3"/>
    <sheet name="osaka" sheetId="23" r:id="rId4"/>
    <sheet name="hiroshima" sheetId="19" r:id="rId5"/>
    <sheet name="fukuoka" sheetId="20" r:id="rId6"/>
    <sheet name="tokyo-east(ota)" sheetId="21" r:id="rId7"/>
    <sheet name="tokyo-west(kato)" sheetId="22" r:id="rId8"/>
  </sheets>
  <definedNames>
    <definedName name="_xlnm._FilterDatabase" localSheetId="5" hidden="1">fukuoka!$A$1:$BA$145</definedName>
    <definedName name="_xlnm._FilterDatabase" localSheetId="4" hidden="1">hiroshima!$A$1:$BA$1</definedName>
    <definedName name="_xlnm._FilterDatabase" localSheetId="1" hidden="1">miyagi!$A$1:$BA$393</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61" i="24" l="1"/>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85" i="23" l="1"/>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127" i="22"/>
  <c r="V127" i="22" s="1"/>
  <c r="Q127" i="22"/>
  <c r="T126" i="22"/>
  <c r="V126" i="22" s="1"/>
  <c r="Q126" i="22"/>
  <c r="T125" i="22"/>
  <c r="V125" i="22" s="1"/>
  <c r="Q125" i="22"/>
  <c r="T124" i="22"/>
  <c r="V124" i="22" s="1"/>
  <c r="Q124" i="22"/>
  <c r="T123" i="22"/>
  <c r="V123" i="22" s="1"/>
  <c r="Q123" i="22"/>
  <c r="T122" i="22"/>
  <c r="V122" i="22" s="1"/>
  <c r="Q122" i="22"/>
  <c r="T121" i="22"/>
  <c r="V121" i="22" s="1"/>
  <c r="Q121" i="22"/>
  <c r="T120" i="22"/>
  <c r="V120" i="22" s="1"/>
  <c r="Q120" i="22"/>
  <c r="T119" i="22"/>
  <c r="V119" i="22" s="1"/>
  <c r="Q119" i="22"/>
  <c r="T118" i="22"/>
  <c r="V118" i="22" s="1"/>
  <c r="Q118" i="22"/>
  <c r="T117" i="22"/>
  <c r="V117" i="22" s="1"/>
  <c r="Q117" i="22"/>
  <c r="T116" i="22"/>
  <c r="V116" i="22" s="1"/>
  <c r="Q116" i="22"/>
  <c r="T115" i="22"/>
  <c r="V115" i="22" s="1"/>
  <c r="Q115" i="22"/>
  <c r="T114" i="22"/>
  <c r="V114" i="22" s="1"/>
  <c r="Q114" i="22"/>
  <c r="T113" i="22"/>
  <c r="V113" i="22" s="1"/>
  <c r="Q113" i="22"/>
  <c r="T112" i="22"/>
  <c r="V112" i="22" s="1"/>
  <c r="Q112" i="22"/>
  <c r="T111" i="22"/>
  <c r="V111" i="22" s="1"/>
  <c r="Q111" i="22"/>
  <c r="T110" i="22"/>
  <c r="V110" i="22" s="1"/>
  <c r="Q110" i="22"/>
  <c r="T109" i="22"/>
  <c r="V109" i="22" s="1"/>
  <c r="Q109" i="22"/>
  <c r="T108" i="22"/>
  <c r="V108" i="22" s="1"/>
  <c r="Q108" i="22"/>
  <c r="T107" i="22"/>
  <c r="V107" i="22" s="1"/>
  <c r="Q107" i="22"/>
  <c r="T106" i="22"/>
  <c r="V106" i="22" s="1"/>
  <c r="Q106" i="22"/>
  <c r="T105" i="22"/>
  <c r="V105" i="22" s="1"/>
  <c r="Q105" i="22"/>
  <c r="T104" i="22"/>
  <c r="V104" i="22" s="1"/>
  <c r="Q104" i="22"/>
  <c r="T103" i="22"/>
  <c r="V103" i="22" s="1"/>
  <c r="Q103" i="22"/>
  <c r="T102" i="22"/>
  <c r="V102" i="22" s="1"/>
  <c r="Q102" i="22"/>
  <c r="T101" i="22"/>
  <c r="V101" i="22" s="1"/>
  <c r="Q101" i="22"/>
  <c r="T100" i="22"/>
  <c r="V100" i="22" s="1"/>
  <c r="Q100" i="22"/>
  <c r="T99" i="22"/>
  <c r="V99" i="22" s="1"/>
  <c r="Q99" i="22"/>
  <c r="T98" i="22"/>
  <c r="V98" i="22" s="1"/>
  <c r="Q98" i="22"/>
  <c r="T97" i="22"/>
  <c r="V97" i="22" s="1"/>
  <c r="Q97" i="22"/>
  <c r="T96" i="22"/>
  <c r="V96" i="22" s="1"/>
  <c r="Q96" i="22"/>
  <c r="T95" i="22"/>
  <c r="V95" i="22" s="1"/>
  <c r="Q95" i="22"/>
  <c r="T94" i="22"/>
  <c r="V94" i="22" s="1"/>
  <c r="Q94" i="22"/>
  <c r="T93" i="22"/>
  <c r="V93" i="22" s="1"/>
  <c r="Q93" i="22"/>
  <c r="T92" i="22"/>
  <c r="V92" i="22" s="1"/>
  <c r="Q92" i="22"/>
  <c r="T91" i="22"/>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T91" i="21" l="1"/>
  <c r="V91" i="21" s="1"/>
  <c r="Q91" i="21"/>
  <c r="T90" i="21"/>
  <c r="V90" i="21" s="1"/>
  <c r="Q90" i="21"/>
  <c r="T89" i="21"/>
  <c r="V89" i="21" s="1"/>
  <c r="Q89" i="21"/>
  <c r="T88" i="21"/>
  <c r="V88" i="21" s="1"/>
  <c r="Q88" i="21"/>
  <c r="T87" i="21"/>
  <c r="V87" i="21" s="1"/>
  <c r="Q87" i="21"/>
  <c r="T86" i="21"/>
  <c r="V86" i="21" s="1"/>
  <c r="Q86" i="21"/>
  <c r="T85" i="21"/>
  <c r="V85" i="21" s="1"/>
  <c r="Q85" i="21"/>
  <c r="T84" i="21"/>
  <c r="V84" i="21" s="1"/>
  <c r="Q84" i="21"/>
  <c r="T83" i="21"/>
  <c r="V83" i="21" s="1"/>
  <c r="Q83" i="21"/>
  <c r="T82" i="21"/>
  <c r="V82" i="21" s="1"/>
  <c r="Q82" i="21"/>
  <c r="T81" i="21"/>
  <c r="V81" i="21" s="1"/>
  <c r="Q81" i="21"/>
  <c r="T80" i="21"/>
  <c r="V80" i="21" s="1"/>
  <c r="Q80" i="21"/>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Q2" i="20" l="1"/>
  <c r="T2" i="20"/>
  <c r="V2" i="20"/>
  <c r="Q3" i="20"/>
  <c r="T3" i="20"/>
  <c r="V3" i="20"/>
  <c r="Q4" i="20"/>
  <c r="T4" i="20"/>
  <c r="V4" i="20"/>
  <c r="Q5" i="20"/>
  <c r="T5" i="20"/>
  <c r="V5" i="20"/>
  <c r="Q6" i="20"/>
  <c r="T6" i="20"/>
  <c r="V6" i="20"/>
  <c r="Q7" i="20"/>
  <c r="T7" i="20"/>
  <c r="V7" i="20"/>
  <c r="Q8" i="20"/>
  <c r="T8" i="20"/>
  <c r="V8" i="20"/>
  <c r="Q9" i="20"/>
  <c r="T9" i="20"/>
  <c r="V9" i="20"/>
  <c r="Q10" i="20"/>
  <c r="T10" i="20"/>
  <c r="V10" i="20"/>
  <c r="Q11" i="20"/>
  <c r="T11" i="20"/>
  <c r="V11" i="20"/>
  <c r="Q12" i="20"/>
  <c r="T12" i="20"/>
  <c r="V12" i="20"/>
  <c r="Q13" i="20"/>
  <c r="T13" i="20"/>
  <c r="V13" i="20"/>
  <c r="Q14" i="20"/>
  <c r="T14" i="20"/>
  <c r="V14" i="20"/>
  <c r="Q15" i="20"/>
  <c r="T15" i="20"/>
  <c r="V15" i="20"/>
  <c r="Q16" i="20"/>
  <c r="T16" i="20"/>
  <c r="V16" i="20"/>
  <c r="Q17" i="20"/>
  <c r="T17" i="20"/>
  <c r="V17" i="20"/>
  <c r="Q18" i="20"/>
  <c r="T18" i="20"/>
  <c r="V18" i="20"/>
  <c r="Q19" i="20"/>
  <c r="T19" i="20"/>
  <c r="V19" i="20"/>
  <c r="Q20" i="20"/>
  <c r="T20" i="20"/>
  <c r="V20" i="20"/>
  <c r="Q21" i="20"/>
  <c r="T21" i="20"/>
  <c r="V21" i="20"/>
  <c r="Q22" i="20"/>
  <c r="T22" i="20"/>
  <c r="V22" i="20"/>
  <c r="Q23" i="20"/>
  <c r="T23" i="20"/>
  <c r="V23" i="20"/>
  <c r="Q24" i="20"/>
  <c r="T24" i="20"/>
  <c r="V24" i="20"/>
  <c r="Q25" i="20"/>
  <c r="T25" i="20"/>
  <c r="V25" i="20"/>
  <c r="Q26" i="20"/>
  <c r="T26" i="20"/>
  <c r="V26" i="20"/>
  <c r="Q27" i="20"/>
  <c r="T27" i="20"/>
  <c r="V27" i="20"/>
  <c r="Q28" i="20"/>
  <c r="T28" i="20"/>
  <c r="V28" i="20"/>
  <c r="Q29" i="20"/>
  <c r="T29" i="20"/>
  <c r="V29" i="20"/>
  <c r="Q30" i="20"/>
  <c r="T30" i="20"/>
  <c r="V30" i="20"/>
  <c r="Q31" i="20"/>
  <c r="T31" i="20"/>
  <c r="V31" i="20"/>
  <c r="Q32" i="20"/>
  <c r="T32" i="20"/>
  <c r="V32" i="20"/>
  <c r="Q33" i="20"/>
  <c r="T33" i="20"/>
  <c r="V33" i="20"/>
  <c r="Q34" i="20"/>
  <c r="T34" i="20"/>
  <c r="V34" i="20"/>
  <c r="Q35" i="20"/>
  <c r="T35" i="20"/>
  <c r="V35" i="20"/>
  <c r="Q36" i="20"/>
  <c r="T36" i="20"/>
  <c r="V36" i="20"/>
  <c r="Q37" i="20"/>
  <c r="T37" i="20"/>
  <c r="V37" i="20"/>
  <c r="Q38" i="20"/>
  <c r="T38" i="20"/>
  <c r="V38" i="20"/>
  <c r="Q39" i="20"/>
  <c r="T39" i="20"/>
  <c r="V39" i="20"/>
  <c r="Q40" i="20"/>
  <c r="T40" i="20"/>
  <c r="V40" i="20"/>
  <c r="Q41" i="20"/>
  <c r="T41" i="20"/>
  <c r="V41" i="20"/>
  <c r="Q42" i="20"/>
  <c r="T42" i="20"/>
  <c r="V42" i="20"/>
  <c r="Q43" i="20"/>
  <c r="T43" i="20"/>
  <c r="V43" i="20"/>
  <c r="Q44" i="20"/>
  <c r="T44" i="20"/>
  <c r="V44" i="20"/>
  <c r="Q45" i="20"/>
  <c r="T45" i="20"/>
  <c r="V45" i="20"/>
  <c r="Q46" i="20"/>
  <c r="T46" i="20"/>
  <c r="V46" i="20"/>
  <c r="Q47" i="20"/>
  <c r="T47" i="20"/>
  <c r="V47" i="20"/>
  <c r="Q48" i="20"/>
  <c r="T48" i="20"/>
  <c r="V48" i="20"/>
  <c r="Q49" i="20"/>
  <c r="T49" i="20"/>
  <c r="V49" i="20"/>
  <c r="Q50" i="20"/>
  <c r="T50" i="20"/>
  <c r="V50" i="20"/>
  <c r="Q51" i="20"/>
  <c r="T51" i="20"/>
  <c r="V51" i="20"/>
  <c r="Q52" i="20"/>
  <c r="T52" i="20"/>
  <c r="V52" i="20"/>
  <c r="Q53" i="20"/>
  <c r="T53" i="20"/>
  <c r="V53" i="20"/>
  <c r="Q54" i="20"/>
  <c r="T54" i="20"/>
  <c r="V54" i="20"/>
  <c r="Q55" i="20"/>
  <c r="T55" i="20"/>
  <c r="V55" i="20"/>
  <c r="Q56" i="20"/>
  <c r="T56" i="20"/>
  <c r="V56" i="20"/>
  <c r="Q57" i="20"/>
  <c r="T57" i="20"/>
  <c r="V57" i="20"/>
  <c r="Q58" i="20"/>
  <c r="T58" i="20"/>
  <c r="V58" i="20"/>
  <c r="Q59" i="20"/>
  <c r="T59" i="20"/>
  <c r="V59" i="20"/>
  <c r="Q60" i="20"/>
  <c r="T60" i="20"/>
  <c r="V60" i="20"/>
  <c r="Q61" i="20"/>
  <c r="T61" i="20"/>
  <c r="V61" i="20"/>
  <c r="Q62" i="20"/>
  <c r="T62" i="20"/>
  <c r="V62" i="20"/>
  <c r="Q63" i="20"/>
  <c r="T63" i="20"/>
  <c r="V63" i="20"/>
  <c r="Q64" i="20"/>
  <c r="T64" i="20"/>
  <c r="V64" i="20"/>
  <c r="Q65" i="20"/>
  <c r="T65" i="20"/>
  <c r="V65" i="20"/>
  <c r="Q66" i="20"/>
  <c r="T66" i="20"/>
  <c r="V66" i="20"/>
  <c r="Q67" i="20"/>
  <c r="T67" i="20"/>
  <c r="V67" i="20"/>
  <c r="Q94" i="20"/>
  <c r="T94" i="20"/>
  <c r="V94" i="20"/>
  <c r="Q95" i="20"/>
  <c r="T95" i="20"/>
  <c r="V95" i="20"/>
  <c r="Q96" i="20"/>
  <c r="T96" i="20"/>
  <c r="V96" i="20"/>
  <c r="Q97" i="20"/>
  <c r="T97" i="20"/>
  <c r="V97" i="20"/>
  <c r="Q98" i="20"/>
  <c r="T98" i="20"/>
  <c r="V98" i="20"/>
  <c r="Q99" i="20"/>
  <c r="T99" i="20"/>
  <c r="V99" i="20"/>
  <c r="Q100" i="20"/>
  <c r="T100" i="20"/>
  <c r="V100" i="20"/>
  <c r="Q101" i="20"/>
  <c r="T101" i="20"/>
  <c r="V101" i="20"/>
  <c r="Q102" i="20"/>
  <c r="T102" i="20"/>
  <c r="V102" i="20"/>
  <c r="Q103" i="20"/>
  <c r="T103" i="20"/>
  <c r="V103" i="20"/>
  <c r="Q104" i="20"/>
  <c r="T104" i="20"/>
  <c r="V104" i="20"/>
  <c r="Q105" i="20"/>
  <c r="T105" i="20"/>
  <c r="V105" i="20"/>
  <c r="Q106" i="20"/>
  <c r="T106" i="20"/>
  <c r="V106" i="20"/>
  <c r="Q107" i="20"/>
  <c r="T107" i="20"/>
  <c r="V107" i="20"/>
  <c r="Q108" i="20"/>
  <c r="T108" i="20"/>
  <c r="V108" i="20"/>
  <c r="Q109" i="20"/>
  <c r="T109" i="20"/>
  <c r="V109" i="20"/>
  <c r="Q110" i="20"/>
  <c r="T110" i="20"/>
  <c r="V110" i="20"/>
  <c r="Q111" i="20"/>
  <c r="T111" i="20"/>
  <c r="V111" i="20"/>
  <c r="Q112" i="20"/>
  <c r="T112" i="20"/>
  <c r="V112" i="20"/>
  <c r="Q113" i="20"/>
  <c r="T113" i="20"/>
  <c r="V113" i="20"/>
  <c r="Q114" i="20"/>
  <c r="T114" i="20"/>
  <c r="V114" i="20"/>
  <c r="Q115" i="20"/>
  <c r="T115" i="20"/>
  <c r="V115" i="20"/>
  <c r="Q116" i="20"/>
  <c r="T116" i="20"/>
  <c r="V116" i="20"/>
  <c r="Q117" i="20"/>
  <c r="T117" i="20"/>
  <c r="V117" i="20"/>
  <c r="Q118" i="20"/>
  <c r="T118" i="20"/>
  <c r="V118" i="20"/>
  <c r="Q119" i="20"/>
  <c r="T119" i="20"/>
  <c r="V119" i="20"/>
  <c r="Q120" i="20"/>
  <c r="T120" i="20"/>
  <c r="V120" i="20"/>
  <c r="Q121" i="20"/>
  <c r="T121" i="20"/>
  <c r="V121" i="20"/>
  <c r="Q122" i="20"/>
  <c r="T122" i="20"/>
  <c r="V122" i="20"/>
  <c r="Q123" i="20"/>
  <c r="T123" i="20"/>
  <c r="V123" i="20"/>
  <c r="Q124" i="20"/>
  <c r="T124" i="20"/>
  <c r="V124" i="20"/>
  <c r="Q125" i="20"/>
  <c r="T125" i="20"/>
  <c r="V125" i="20"/>
  <c r="Q126" i="20"/>
  <c r="T126" i="20"/>
  <c r="V126" i="20"/>
  <c r="Q127" i="20"/>
  <c r="T127" i="20"/>
  <c r="V127" i="20"/>
  <c r="Q128" i="20"/>
  <c r="T128" i="20"/>
  <c r="V128" i="20"/>
  <c r="Q129" i="20"/>
  <c r="T129" i="20"/>
  <c r="V129" i="20"/>
  <c r="Q130" i="20"/>
  <c r="T130" i="20"/>
  <c r="V130" i="20"/>
  <c r="Q131" i="20"/>
  <c r="T131" i="20"/>
  <c r="V131" i="20"/>
  <c r="Q132" i="20"/>
  <c r="T132" i="20"/>
  <c r="V132" i="20"/>
  <c r="Q133" i="20"/>
  <c r="T133" i="20"/>
  <c r="V133" i="20"/>
  <c r="Q134" i="20"/>
  <c r="T134" i="20"/>
  <c r="V134" i="20"/>
  <c r="Q135" i="20"/>
  <c r="T135" i="20"/>
  <c r="V135" i="20"/>
  <c r="Q136" i="20"/>
  <c r="T136" i="20"/>
  <c r="V136" i="20"/>
  <c r="Q137" i="20"/>
  <c r="T137" i="20"/>
  <c r="V137" i="20"/>
  <c r="Q138" i="20"/>
  <c r="T138" i="20"/>
  <c r="V138" i="20"/>
  <c r="Q139" i="20"/>
  <c r="T139" i="20"/>
  <c r="V139" i="20"/>
  <c r="Q140" i="20"/>
  <c r="T140" i="20"/>
  <c r="V140" i="20"/>
  <c r="Q141" i="20"/>
  <c r="T141" i="20"/>
  <c r="V141" i="20"/>
  <c r="Q142" i="20"/>
  <c r="T142" i="20"/>
  <c r="V142" i="20"/>
  <c r="Q143" i="20"/>
  <c r="T143" i="20"/>
  <c r="V143" i="20"/>
  <c r="Q144" i="20"/>
  <c r="T144" i="20"/>
  <c r="V144" i="20"/>
  <c r="Q145" i="20"/>
  <c r="T145" i="20"/>
  <c r="V145" i="20"/>
  <c r="T79" i="19" l="1"/>
  <c r="V79" i="19" s="1"/>
  <c r="Q79" i="19"/>
  <c r="T78" i="19"/>
  <c r="V78" i="19" s="1"/>
  <c r="Q78" i="19"/>
  <c r="T77" i="19"/>
  <c r="V77" i="19" s="1"/>
  <c r="Q77" i="19"/>
  <c r="T73" i="19"/>
  <c r="V73" i="19" s="1"/>
  <c r="Q73" i="19"/>
  <c r="T72" i="19"/>
  <c r="V72" i="19" s="1"/>
  <c r="Q72" i="19"/>
  <c r="T71" i="19"/>
  <c r="V71" i="19" s="1"/>
  <c r="Q71" i="19"/>
  <c r="T70" i="19"/>
  <c r="V70" i="19" s="1"/>
  <c r="Q70" i="19"/>
  <c r="T69" i="19"/>
  <c r="V69" i="19" s="1"/>
  <c r="Q69" i="19"/>
  <c r="T68" i="19"/>
  <c r="V68" i="19" s="1"/>
  <c r="Q68" i="19"/>
  <c r="T67" i="19"/>
  <c r="V67" i="19" s="1"/>
  <c r="Q67" i="19"/>
  <c r="T66" i="19"/>
  <c r="V66" i="19" s="1"/>
  <c r="Q66" i="19"/>
  <c r="T65" i="19"/>
  <c r="V65" i="19" s="1"/>
  <c r="Q65" i="19"/>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93" i="18" l="1"/>
  <c r="T392" i="18"/>
  <c r="T391" i="18"/>
  <c r="T390" i="18"/>
  <c r="T389" i="18"/>
  <c r="T388" i="18"/>
  <c r="T387" i="18"/>
  <c r="T386" i="18"/>
  <c r="T385" i="18"/>
  <c r="T384" i="18"/>
  <c r="T383" i="18"/>
  <c r="T382" i="18"/>
  <c r="T381" i="18"/>
  <c r="T380" i="18"/>
  <c r="T379" i="18"/>
  <c r="T378" i="18"/>
  <c r="T377" i="18"/>
  <c r="T376" i="18"/>
  <c r="T375" i="18"/>
  <c r="T374" i="18"/>
  <c r="T373" i="18"/>
  <c r="V373" i="18" s="1"/>
  <c r="T372" i="18"/>
  <c r="V372" i="18" s="1"/>
  <c r="T371" i="18"/>
  <c r="V371" i="18" s="1"/>
  <c r="T370" i="18"/>
  <c r="V370" i="18" s="1"/>
  <c r="T369" i="18"/>
  <c r="V369" i="18" s="1"/>
  <c r="V368" i="18"/>
  <c r="T368" i="18"/>
  <c r="T367" i="18"/>
  <c r="V367" i="18" s="1"/>
  <c r="T366" i="18"/>
  <c r="V366" i="18" s="1"/>
  <c r="T365" i="18"/>
  <c r="V365" i="18" s="1"/>
  <c r="Q365" i="18"/>
  <c r="V364" i="18"/>
  <c r="T364" i="18"/>
  <c r="Q364" i="18"/>
  <c r="V363" i="18"/>
  <c r="T363" i="18"/>
  <c r="Q363" i="18"/>
  <c r="T362" i="18"/>
  <c r="V362" i="18" s="1"/>
  <c r="Q362" i="18"/>
  <c r="T361" i="18"/>
  <c r="V361" i="18" s="1"/>
  <c r="Q361" i="18"/>
  <c r="V360" i="18"/>
  <c r="T360" i="18"/>
  <c r="Q360" i="18"/>
  <c r="V359" i="18"/>
  <c r="T359" i="18"/>
  <c r="Q359" i="18"/>
  <c r="T358" i="18"/>
  <c r="V358" i="18" s="1"/>
  <c r="Q358" i="18"/>
  <c r="T357" i="18"/>
  <c r="V357" i="18" s="1"/>
  <c r="Q357" i="18"/>
  <c r="V356" i="18"/>
  <c r="T356" i="18"/>
  <c r="Q356" i="18"/>
  <c r="V355" i="18"/>
  <c r="T355" i="18"/>
  <c r="Q355" i="18"/>
  <c r="T354" i="18"/>
  <c r="V354" i="18" s="1"/>
  <c r="Q354" i="18"/>
  <c r="T353" i="18"/>
  <c r="V353" i="18" s="1"/>
  <c r="Q353" i="18"/>
  <c r="V352" i="18"/>
  <c r="T352" i="18"/>
  <c r="Q352" i="18"/>
  <c r="V351" i="18"/>
  <c r="T351" i="18"/>
  <c r="Q351" i="18"/>
  <c r="T350" i="18"/>
  <c r="V350" i="18" s="1"/>
  <c r="Q350" i="18"/>
  <c r="T349" i="18"/>
  <c r="V349" i="18" s="1"/>
  <c r="Q349" i="18"/>
  <c r="V348" i="18"/>
  <c r="T348" i="18"/>
  <c r="Q348" i="18"/>
  <c r="V347" i="18"/>
  <c r="T347" i="18"/>
  <c r="Q347" i="18"/>
  <c r="T346" i="18"/>
  <c r="V346" i="18" s="1"/>
  <c r="Q346" i="18"/>
  <c r="T345" i="18"/>
  <c r="V345" i="18" s="1"/>
  <c r="Q345" i="18"/>
  <c r="V344" i="18"/>
  <c r="T344" i="18"/>
  <c r="Q344" i="18"/>
  <c r="V343" i="18"/>
  <c r="T343" i="18"/>
  <c r="Q343" i="18"/>
  <c r="T342" i="18"/>
  <c r="V342" i="18" s="1"/>
  <c r="Q342" i="18"/>
  <c r="T341" i="18"/>
  <c r="V341" i="18" s="1"/>
  <c r="Q341" i="18"/>
  <c r="V340" i="18"/>
  <c r="T340" i="18"/>
  <c r="Q340" i="18"/>
  <c r="V339" i="18"/>
  <c r="T339" i="18"/>
  <c r="Q339" i="18"/>
  <c r="T338" i="18"/>
  <c r="V338" i="18" s="1"/>
  <c r="Q338" i="18"/>
  <c r="T337" i="18"/>
  <c r="V337" i="18" s="1"/>
  <c r="Q337" i="18"/>
  <c r="V336" i="18"/>
  <c r="T336" i="18"/>
  <c r="Q336" i="18"/>
  <c r="V335" i="18"/>
  <c r="T335" i="18"/>
  <c r="Q335" i="18"/>
  <c r="T334" i="18"/>
  <c r="V334" i="18" s="1"/>
  <c r="Q334" i="18"/>
  <c r="T333" i="18"/>
  <c r="V333" i="18" s="1"/>
  <c r="Q333" i="18"/>
  <c r="V332" i="18"/>
  <c r="T332" i="18"/>
  <c r="Q332" i="18"/>
  <c r="V331" i="18"/>
  <c r="T331" i="18"/>
  <c r="Q331" i="18"/>
  <c r="T330" i="18"/>
  <c r="V330" i="18" s="1"/>
  <c r="Q330" i="18"/>
  <c r="T329" i="18"/>
  <c r="V329" i="18" s="1"/>
  <c r="Q329" i="18"/>
  <c r="V328" i="18"/>
  <c r="T328" i="18"/>
  <c r="Q328" i="18"/>
  <c r="V327" i="18"/>
  <c r="T327" i="18"/>
  <c r="Q327" i="18"/>
  <c r="T326" i="18"/>
  <c r="V326" i="18" s="1"/>
  <c r="Q326" i="18"/>
  <c r="T325" i="18"/>
  <c r="V325" i="18" s="1"/>
  <c r="Q325" i="18"/>
  <c r="V324" i="18"/>
  <c r="T324" i="18"/>
  <c r="Q324" i="18"/>
  <c r="V323" i="18"/>
  <c r="T323" i="18"/>
  <c r="Q323" i="18"/>
  <c r="T322" i="18"/>
  <c r="V322" i="18" s="1"/>
  <c r="Q322" i="18"/>
  <c r="T321" i="18"/>
  <c r="V321" i="18" s="1"/>
  <c r="Q321" i="18"/>
  <c r="T320" i="18"/>
  <c r="V320" i="18" s="1"/>
  <c r="Q320" i="18"/>
  <c r="V319" i="18"/>
  <c r="T319" i="18"/>
  <c r="Q319" i="18"/>
  <c r="T318" i="18"/>
  <c r="V318" i="18" s="1"/>
  <c r="Q318" i="18"/>
  <c r="T317" i="18"/>
  <c r="V317" i="18" s="1"/>
  <c r="Q317" i="18"/>
  <c r="T316" i="18"/>
  <c r="V316" i="18" s="1"/>
  <c r="Q316" i="18"/>
  <c r="T315" i="18"/>
  <c r="V315" i="18" s="1"/>
  <c r="Q315" i="18"/>
  <c r="T314" i="18"/>
  <c r="V314" i="18" s="1"/>
  <c r="Q314" i="18"/>
  <c r="T313" i="18"/>
  <c r="V313" i="18" s="1"/>
  <c r="Q313" i="18"/>
  <c r="T312" i="18"/>
  <c r="V312" i="18" s="1"/>
  <c r="Q312" i="18"/>
  <c r="T311" i="18"/>
  <c r="V311" i="18" s="1"/>
  <c r="Q311" i="18"/>
  <c r="T310" i="18"/>
  <c r="V310" i="18" s="1"/>
  <c r="Q310" i="18"/>
  <c r="T309" i="18"/>
  <c r="V309" i="18" s="1"/>
  <c r="Q309" i="18"/>
  <c r="T308" i="18"/>
  <c r="V308" i="18" s="1"/>
  <c r="Q308" i="18"/>
  <c r="T307" i="18"/>
  <c r="V307" i="18" s="1"/>
  <c r="Q307" i="18"/>
  <c r="T306" i="18"/>
  <c r="V306" i="18" s="1"/>
  <c r="Q306" i="18"/>
  <c r="T305" i="18"/>
  <c r="V305" i="18" s="1"/>
  <c r="Q305" i="18"/>
  <c r="T304" i="18"/>
  <c r="V304" i="18" s="1"/>
  <c r="Q304" i="18"/>
  <c r="T303" i="18"/>
  <c r="V303" i="18" s="1"/>
  <c r="Q303" i="18"/>
  <c r="T302" i="18"/>
  <c r="V302" i="18" s="1"/>
  <c r="Q302" i="18"/>
  <c r="T301" i="18"/>
  <c r="V301" i="18" s="1"/>
  <c r="Q301" i="18"/>
  <c r="T300" i="18"/>
  <c r="V300" i="18" s="1"/>
  <c r="Q300" i="18"/>
  <c r="T299" i="18"/>
  <c r="V299" i="18" s="1"/>
  <c r="Q299" i="18"/>
  <c r="T298" i="18"/>
  <c r="V298" i="18" s="1"/>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T290" i="18"/>
  <c r="V290" i="18" s="1"/>
  <c r="Q290" i="18"/>
  <c r="T289" i="18"/>
  <c r="V289" i="18" s="1"/>
  <c r="Q289" i="18"/>
  <c r="T288" i="18"/>
  <c r="V288" i="18" s="1"/>
  <c r="Q288" i="18"/>
  <c r="T287" i="18"/>
  <c r="V287" i="18" s="1"/>
  <c r="Q287" i="18"/>
  <c r="T286" i="18"/>
  <c r="V286" i="18" s="1"/>
  <c r="Q286" i="18"/>
  <c r="T285" i="18"/>
  <c r="V285" i="18" s="1"/>
  <c r="Q285" i="18"/>
  <c r="T284" i="18"/>
  <c r="V284" i="18" s="1"/>
  <c r="Q284" i="18"/>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T274" i="18"/>
  <c r="V274" i="18" s="1"/>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T129" i="18"/>
  <c r="T128" i="18"/>
  <c r="T127" i="18"/>
  <c r="T126" i="18"/>
  <c r="T125" i="18"/>
  <c r="T124" i="18"/>
  <c r="T123" i="18"/>
  <c r="T122" i="18"/>
  <c r="T121" i="18"/>
  <c r="T120" i="18"/>
  <c r="T119" i="18"/>
  <c r="T118" i="18"/>
  <c r="T117" i="18"/>
  <c r="T116" i="18"/>
  <c r="T115" i="18"/>
  <c r="T114" i="18"/>
  <c r="T113" i="18"/>
  <c r="T112" i="18"/>
  <c r="T111" i="18"/>
  <c r="T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V5" i="18"/>
  <c r="T5" i="18"/>
  <c r="Q5" i="18"/>
  <c r="V4" i="18"/>
  <c r="T4" i="18"/>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<sst xmlns="http://schemas.openxmlformats.org/spreadsheetml/2006/main" count="11197" uniqueCount="389">
  <si>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</si>
  <si>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</si>
  <si>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</si>
  <si>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</si>
  <si>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</si>
  <si>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</si>
  <si>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</si>
  <si>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</si>
  <si>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</si>
  <si>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</si>
  <si>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</si>
  <si>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</si>
  <si>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</si>
  <si>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</si>
  <si>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</si>
  <si>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</si>
  <si>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</si>
  <si>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</si>
  <si>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</si>
  <si>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</si>
  <si>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</si>
  <si>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</si>
  <si>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</si>
  <si>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</si>
  <si>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</si>
  <si>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</si>
  <si>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</si>
  <si>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</si>
  <si>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</si>
  <si>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</si>
  <si>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</si>
  <si>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</si>
  <si>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</si>
  <si>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</si>
  <si>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</si>
  <si>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</si>
  <si>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</si>
  <si>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</si>
  <si>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</si>
  <si>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</si>
  <si>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</si>
  <si>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</si>
  <si>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</si>
  <si>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</si>
  <si>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</si>
  <si>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</si>
  <si>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</si>
  <si>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</si>
  <si>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</si>
  <si>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</si>
  <si>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</si>
  <si>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</si>
  <si>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</si>
  <si>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</si>
  <si>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</si>
  <si>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</si>
  <si>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</si>
  <si>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</si>
  <si>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</si>
  <si>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</si>
  <si>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</si>
  <si>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</si>
  <si>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</si>
  <si>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</si>
  <si>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</si>
  <si>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</si>
  <si>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</si>
  <si>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</si>
  <si>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</si>
  <si>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</si>
  <si>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</si>
  <si>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</si>
  <si>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</si>
  <si>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</si>
  <si>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</si>
  <si>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</si>
  <si>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</si>
  <si>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</si>
  <si>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</si>
  <si>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</si>
  <si>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</si>
  <si>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</si>
  <si>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</si>
  <si>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</si>
  <si>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</si>
  <si>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</si>
  <si>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</si>
  <si>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</si>
  <si>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</si>
  <si>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</si>
  <si>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</si>
  <si>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</si>
  <si>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</si>
  <si>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</si>
  <si>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</si>
  <si>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</si>
  <si>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</si>
  <si>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</si>
  <si>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</si>
  <si>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</si>
  <si>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</si>
  <si>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</si>
  <si>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</si>
  <si>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</si>
  <si>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</si>
  <si>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</si>
  <si>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</si>
  <si>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</si>
  <si>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</si>
  <si>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</si>
  <si>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</si>
  <si>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</si>
  <si>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</si>
  <si>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</si>
  <si>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</si>
  <si>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</si>
  <si>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</si>
  <si>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</si>
  <si>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</si>
  <si>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</si>
  <si>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</si>
  <si>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</si>
  <si>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</si>
  <si>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</si>
  <si>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</si>
  <si>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</si>
  <si>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</si>
  <si>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</si>
  <si>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</si>
  <si>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</si>
  <si>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</si>
  <si>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</si>
  <si>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</si>
  <si>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</si>
  <si>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</si>
  <si>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</si>
  <si>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</si>
  <si>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</si>
  <si>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</si>
  <si>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</si>
  <si>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</si>
  <si>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</si>
  <si>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</si>
  <si>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</si>
  <si>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</si>
  <si>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</si>
  <si>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</si>
  <si>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</si>
  <si>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</si>
  <si>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</si>
  <si>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</si>
  <si>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</si>
  <si>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</si>
  <si>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</si>
  <si>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</si>
  <si>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</si>
  <si>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</si>
  <si>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</si>
  <si>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</si>
  <si>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</si>
  <si>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</si>
  <si>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</si>
  <si>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</si>
  <si>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</si>
  <si>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</si>
  <si>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09.07.2019</t>
  </si>
  <si>
    <t>09.07.2019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</si>
  <si>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</si>
  <si>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</si>
  <si>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</si>
  <si>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</si>
  <si>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</si>
  <si>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</si>
  <si>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</si>
  <si>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</si>
  <si>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</si>
  <si>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</si>
  <si>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</si>
  <si>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</si>
  <si>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color theme="1"/>
        <rFont val="ＭＳ Ｐゴシック"/>
        <family val="3"/>
        <charset val="128"/>
      </rPr>
      <t>最低重量</t>
    </r>
  </si>
  <si>
    <t>Green
Other
SIZE</t>
  </si>
  <si>
    <r>
      <t xml:space="preserve">Gold
</t>
    </r>
    <r>
      <rPr>
        <b/>
        <sz val="8"/>
        <color theme="1"/>
        <rFont val="ＭＳ Ｐゴシック"/>
        <family val="3"/>
        <charset val="128"/>
      </rPr>
      <t>最低重量</t>
    </r>
  </si>
  <si>
    <t>Gold
SIZE</t>
  </si>
  <si>
    <t>09.07.2019</t>
    <phoneticPr fontId="21"/>
  </si>
  <si>
    <t>利府店</t>
  </si>
  <si>
    <t>その他グリーン</t>
  </si>
  <si>
    <t>みやぎ生協</t>
  </si>
  <si>
    <t>その他ゴールド</t>
  </si>
  <si>
    <t>杉の入店</t>
  </si>
  <si>
    <t>その他レッド</t>
  </si>
  <si>
    <t>減農薬栽培</t>
  </si>
  <si>
    <t>D'lish</t>
  </si>
  <si>
    <t>中国</t>
  </si>
  <si>
    <t>HE</t>
  </si>
  <si>
    <t>ウジエ</t>
  </si>
  <si>
    <t>Del Monte</t>
  </si>
  <si>
    <t>塩釜店</t>
  </si>
  <si>
    <t>GK</t>
  </si>
  <si>
    <t>OB</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</si>
  <si>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</si>
  <si>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</si>
  <si>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</si>
  <si>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</si>
  <si>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</si>
  <si>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</si>
  <si>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</si>
  <si>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</si>
  <si>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</si>
  <si>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</si>
  <si>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</si>
  <si>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</si>
  <si>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</si>
  <si>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</si>
  <si>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</si>
  <si>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</si>
  <si>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</si>
  <si>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</si>
  <si>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</si>
  <si>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</si>
  <si>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</si>
  <si>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</si>
  <si>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</si>
  <si>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</si>
  <si>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</si>
  <si>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</si>
  <si>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</si>
  <si>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</si>
  <si>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</si>
  <si>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</si>
  <si>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</si>
  <si>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</si>
  <si>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</si>
  <si>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県名</t>
    <phoneticPr fontId="3"/>
  </si>
  <si>
    <t>チェーン名</t>
    <phoneticPr fontId="3"/>
  </si>
  <si>
    <t>品種</t>
    <phoneticPr fontId="3"/>
  </si>
  <si>
    <t>JP</t>
    <phoneticPr fontId="3"/>
  </si>
  <si>
    <t>10.07.2019</t>
    <phoneticPr fontId="3"/>
  </si>
  <si>
    <t>福や</t>
  </si>
  <si>
    <t>鉄砲町店</t>
    <rPh sb="3" eb="4">
      <t>テン</t>
    </rPh>
    <phoneticPr fontId="3"/>
  </si>
  <si>
    <t>JPY</t>
    <phoneticPr fontId="3"/>
  </si>
  <si>
    <t>ユアーズ</t>
  </si>
  <si>
    <t>十日市店</t>
    <rPh sb="3" eb="4">
      <t>テン</t>
    </rPh>
    <phoneticPr fontId="3"/>
  </si>
  <si>
    <t>10.07.2019</t>
  </si>
  <si>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</si>
  <si>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</si>
  <si>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</si>
  <si>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</si>
  <si>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</si>
  <si>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</si>
  <si>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</si>
  <si>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</si>
  <si>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</si>
  <si>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</si>
  <si>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</si>
  <si>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</si>
  <si>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</si>
  <si>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</si>
  <si>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</si>
  <si>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</si>
  <si>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</si>
  <si>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</si>
  <si>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</si>
  <si>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</si>
  <si>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ラフランス</t>
    <phoneticPr fontId="4"/>
  </si>
  <si>
    <t>バナナ</t>
    <phoneticPr fontId="3"/>
  </si>
  <si>
    <t>りんご</t>
    <phoneticPr fontId="4"/>
  </si>
  <si>
    <t>みかん</t>
    <phoneticPr fontId="4"/>
  </si>
  <si>
    <t>マンゴー</t>
    <phoneticPr fontId="3"/>
  </si>
  <si>
    <t>JPY</t>
    <phoneticPr fontId="4"/>
  </si>
  <si>
    <t>博多駅南</t>
    <rPh sb="0" eb="3">
      <t>ハカタエキ</t>
    </rPh>
    <rPh sb="3" eb="4">
      <t>ミナミ</t>
    </rPh>
    <phoneticPr fontId="3"/>
  </si>
  <si>
    <t>レッドキャベツ</t>
  </si>
  <si>
    <t>住吉</t>
    <rPh sb="0" eb="2">
      <t>スミヨシ</t>
    </rPh>
    <phoneticPr fontId="3"/>
  </si>
  <si>
    <t>ニューヨークストア</t>
  </si>
  <si>
    <t>美野島</t>
    <rPh sb="0" eb="1">
      <t>ミ</t>
    </rPh>
    <rPh sb="1" eb="2">
      <t>ノ</t>
    </rPh>
    <rPh sb="2" eb="3">
      <t>シマ</t>
    </rPh>
    <phoneticPr fontId="3"/>
  </si>
  <si>
    <t>マミーズ</t>
  </si>
  <si>
    <t>清水</t>
    <rPh sb="0" eb="2">
      <t>シミズ</t>
    </rPh>
    <phoneticPr fontId="3"/>
  </si>
  <si>
    <t>マルキョウ</t>
  </si>
  <si>
    <t>大橋</t>
    <rPh sb="0" eb="2">
      <t>オオハシ</t>
    </rPh>
    <phoneticPr fontId="3"/>
  </si>
  <si>
    <t>ダイキョーバリュー</t>
  </si>
  <si>
    <t>高宮</t>
    <rPh sb="0" eb="2">
      <t>タカミヤ</t>
    </rPh>
    <phoneticPr fontId="3"/>
  </si>
  <si>
    <t>ボンラパス</t>
  </si>
  <si>
    <t>山口</t>
    <rPh sb="0" eb="2">
      <t>ヤマグチ</t>
    </rPh>
    <phoneticPr fontId="3"/>
  </si>
  <si>
    <t>アメリカンチェリー</t>
    <phoneticPr fontId="3"/>
  </si>
  <si>
    <t>ぽんかん</t>
    <phoneticPr fontId="3"/>
  </si>
  <si>
    <t>プラム</t>
    <phoneticPr fontId="3"/>
  </si>
  <si>
    <t>甘夏</t>
    <rPh sb="0" eb="2">
      <t>アマナツ</t>
    </rPh>
    <phoneticPr fontId="3"/>
  </si>
  <si>
    <t>ＪＡ八女</t>
    <rPh sb="2" eb="4">
      <t>ヤメ</t>
    </rPh>
    <phoneticPr fontId="4"/>
  </si>
  <si>
    <t>西鉄ストア</t>
    <rPh sb="0" eb="2">
      <t>ニシテツ</t>
    </rPh>
    <phoneticPr fontId="3"/>
  </si>
  <si>
    <t>日本生態農業協会</t>
    <rPh sb="0" eb="2">
      <t>ニホンセイタイ</t>
    </rPh>
    <rPh sb="2" eb="4">
      <t>セイタイ</t>
    </rPh>
    <rPh sb="4" eb="6">
      <t>ノウギョウ</t>
    </rPh>
    <rPh sb="6" eb="8">
      <t>キョウカイ</t>
    </rPh>
    <phoneticPr fontId="4"/>
  </si>
  <si>
    <t>柿</t>
    <rPh sb="0" eb="1">
      <t>カキ</t>
    </rPh>
    <phoneticPr fontId="3"/>
  </si>
  <si>
    <t>ＪＡみなみ筑後</t>
    <rPh sb="5" eb="7">
      <t>チクゴ</t>
    </rPh>
    <phoneticPr fontId="4"/>
  </si>
  <si>
    <t>喜芳園</t>
    <rPh sb="0" eb="1">
      <t>ヨロコ</t>
    </rPh>
    <rPh sb="1" eb="2">
      <t>ヨシモト</t>
    </rPh>
    <rPh sb="2" eb="3">
      <t>¥</t>
    </rPh>
    <phoneticPr fontId="3"/>
  </si>
  <si>
    <t>山神農園</t>
    <rPh sb="0" eb="4">
      <t>ヤマガミノウエン</t>
    </rPh>
    <phoneticPr fontId="3"/>
  </si>
  <si>
    <t>りんご</t>
    <phoneticPr fontId="3"/>
  </si>
  <si>
    <t>野間</t>
    <rPh sb="0" eb="2">
      <t>ノマ</t>
    </rPh>
    <phoneticPr fontId="3"/>
  </si>
  <si>
    <t>サニー</t>
  </si>
  <si>
    <t>オレンジ</t>
    <phoneticPr fontId="3"/>
  </si>
  <si>
    <t>栃木</t>
    <rPh sb="0" eb="2">
      <t>トチギ</t>
    </rPh>
    <phoneticPr fontId="4"/>
  </si>
  <si>
    <t>JA全農ふくれん</t>
    <rPh sb="2" eb="4">
      <t>ゼンノウ</t>
    </rPh>
    <phoneticPr fontId="3"/>
  </si>
  <si>
    <t>JA伊万里</t>
    <rPh sb="2" eb="5">
      <t>イマリ</t>
    </rPh>
    <phoneticPr fontId="3"/>
  </si>
  <si>
    <t>韓国</t>
    <rPh sb="0" eb="2">
      <t>カンコク</t>
    </rPh>
    <phoneticPr fontId="4"/>
  </si>
  <si>
    <t>野間大池</t>
    <rPh sb="0" eb="2">
      <t>ノマ</t>
    </rPh>
    <rPh sb="2" eb="4">
      <t>オオイケ</t>
    </rPh>
    <phoneticPr fontId="3"/>
  </si>
  <si>
    <t>マルショク</t>
    <phoneticPr fontId="3"/>
  </si>
  <si>
    <t>佐賀</t>
    <rPh sb="0" eb="2">
      <t>サガ</t>
    </rPh>
    <phoneticPr fontId="3"/>
  </si>
  <si>
    <t>いちご</t>
    <phoneticPr fontId="3"/>
  </si>
  <si>
    <t>Del Monte</t>
    <phoneticPr fontId="4"/>
  </si>
  <si>
    <t>福岡</t>
    <rPh sb="0" eb="2">
      <t>フクオカ</t>
    </rPh>
    <phoneticPr fontId="4"/>
  </si>
  <si>
    <t>CK</t>
    <phoneticPr fontId="3"/>
  </si>
  <si>
    <t>マルショク</t>
  </si>
  <si>
    <t>一般栽培</t>
    <phoneticPr fontId="4"/>
  </si>
  <si>
    <t>U/P JPY</t>
    <phoneticPr fontId="4"/>
  </si>
  <si>
    <t>販売
ユニット
個数</t>
    <phoneticPr fontId="4"/>
  </si>
  <si>
    <t>11.07.2019</t>
    <phoneticPr fontId="3"/>
  </si>
  <si>
    <t>サミット</t>
  </si>
  <si>
    <t>久が原食品館</t>
  </si>
  <si>
    <t>11.07.2019</t>
  </si>
  <si>
    <t>東急ストア</t>
  </si>
  <si>
    <t>蒲田</t>
  </si>
  <si>
    <t>マルエツ</t>
  </si>
  <si>
    <t>大森西</t>
  </si>
  <si>
    <t>大森</t>
  </si>
  <si>
    <t>カドヤ</t>
  </si>
  <si>
    <t>大井町</t>
  </si>
  <si>
    <t>品川シーサイド</t>
  </si>
  <si>
    <t>ライフ</t>
  </si>
  <si>
    <t>大崎ニューシティ</t>
  </si>
  <si>
    <t>東京</t>
    <phoneticPr fontId="3"/>
  </si>
  <si>
    <t>２番人気
果実</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</si>
  <si>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</si>
  <si>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</si>
  <si>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</si>
  <si>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</si>
  <si>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</si>
  <si>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</si>
  <si>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</si>
  <si>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</si>
  <si>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Zespri</t>
    <phoneticPr fontId="3"/>
  </si>
  <si>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</si>
  <si>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</si>
  <si>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</si>
  <si>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</si>
  <si>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</si>
  <si>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</si>
  <si>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</si>
  <si>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</si>
  <si>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</si>
  <si>
    <t>Currency</t>
    <phoneticPr fontId="21"/>
  </si>
  <si>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</si>
  <si>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</si>
  <si>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12.07.2019</t>
  </si>
  <si>
    <t>コノミヤ</t>
  </si>
  <si>
    <t>深井店</t>
  </si>
  <si>
    <t>上野芝店</t>
  </si>
  <si>
    <t>デイリーカナート</t>
  </si>
  <si>
    <t>向ヶ丘店</t>
  </si>
  <si>
    <t>松源</t>
  </si>
  <si>
    <t>北条店</t>
  </si>
  <si>
    <t>キンショー</t>
  </si>
  <si>
    <t>東湊店</t>
  </si>
  <si>
    <t>万代</t>
  </si>
  <si>
    <t>イズミヤ</t>
  </si>
  <si>
    <t>泉北店</t>
  </si>
  <si>
    <t>ダイエーグルメシティ</t>
  </si>
  <si>
    <t>津久野店</t>
  </si>
  <si>
    <t>キラキラ</t>
  </si>
  <si>
    <t>グリーンアイ</t>
  </si>
  <si>
    <t>ＪＡ大阪</t>
  </si>
  <si>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</si>
  <si>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</si>
  <si>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</si>
  <si>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</si>
  <si>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</si>
  <si>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</si>
  <si>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</si>
  <si>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</si>
  <si>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</si>
  <si>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</si>
  <si>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</si>
  <si>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</si>
  <si>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</si>
  <si>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</si>
  <si>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</si>
  <si>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</si>
  <si>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</si>
  <si>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</si>
  <si>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カネスエ</t>
  </si>
  <si>
    <t>カネトク</t>
  </si>
  <si>
    <t>フェルナ</t>
  </si>
  <si>
    <t>アピタ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</si>
</sst>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9"/>
      <color theme="1"/>
      <name val="ＭＳ Ｐゴシック"/>
      <family val="3"/>
      <charset val="128"/>
    </font>
    <font>
      <sz val="9"/>
      <color theme="1"/>
      <name val="CG Omega"/>
      <family val="2"/>
    </font>
    <font>
      <sz val="11"/>
      <color theme="1"/>
      <name val="ＭＳ Ｐゴシック"/>
      <family val="3"/>
      <charset val="128"/>
    </font>
    <font>
      <b/>
      <sz val="8"/>
      <color theme="1"/>
      <name val="ＭＳ Ｐゴシック"/>
      <family val="3"/>
      <charset val="128"/>
    </font>
    <font>
      <b/>
      <sz val="8"/>
      <color theme="1"/>
      <name val="CG Omega"/>
      <family val="2"/>
    </font>
    <font>
      <b/>
      <sz val="8"/>
      <color theme="1"/>
      <name val="Arial"/>
      <family val="2"/>
    </font>
    <font>
      <sz val="6"/>
      <name val="ＭＳ Ｐゴシック"/>
      <family val="3"/>
      <charset val="128"/>
      <scheme val="minor"/>
    </font>
    <font>
      <sz val="10"/>
      <color theme="1"/>
      <name val="ＭＳ Ｐゴシック"/>
      <family val="3"/>
      <charset val="128"/>
    </font>
    <font>
      <sz val="11"/>
      <color theme="1"/>
      <name val="ＭＳ Ｐゴシック"/>
      <charset val="128"/>
      <scheme val="minor"/>
    </font>
    <font>
      <sz val="10"/>
      <color theme="1"/>
      <name val="ＭＳ ゴシック"/>
      <family val="3"/>
      <charset val="128"/>
    </font>
    <font>
      <sz val="11"/>
      <color indexed="8"/>
      <name val="ＭＳ Ｐゴシック"/>
      <family val="3"/>
      <charset val="128"/>
    </font>
    <font>
      <sz val="11"/>
      <name val="ＭＳ Ｐゴシック"/>
      <family val="3"/>
      <charset val="128"/>
      <scheme val="minor"/>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23" fillId="0" borderId="0">
      <alignment vertical="center"/>
    </xf>
  </cellStyleXfs>
  <cellXfs count="21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15" fillId="5" borderId="1" xfId="1" applyNumberFormat="1" applyFont="1" applyFill="1" applyBorder="1" applyAlignment="1">
      <alignment horizontal="center" vertical="center" wrapText="1"/>
    </xf>
    <xf numFmtId="49" fontId="15" fillId="0" borderId="2" xfId="1" applyNumberFormat="1" applyFont="1" applyBorder="1" applyAlignment="1">
      <alignment horizontal="center" vertical="center" wrapText="1"/>
    </xf>
    <xf numFmtId="49" fontId="15" fillId="0" borderId="3" xfId="1" applyNumberFormat="1" applyFont="1" applyBorder="1" applyAlignment="1">
      <alignment horizontal="center" vertical="center" wrapText="1"/>
    </xf>
    <xf numFmtId="49" fontId="15" fillId="5" borderId="3" xfId="1" applyNumberFormat="1" applyFont="1" applyFill="1" applyBorder="1" applyAlignment="1">
      <alignment horizontal="center" vertical="center" wrapText="1"/>
    </xf>
    <xf numFmtId="49" fontId="15" fillId="3" borderId="3" xfId="1" applyNumberFormat="1" applyFont="1" applyFill="1" applyBorder="1" applyAlignment="1">
      <alignment horizontal="center" vertical="center" wrapText="1"/>
    </xf>
    <xf numFmtId="49" fontId="16" fillId="0" borderId="3" xfId="1" applyNumberFormat="1" applyFont="1" applyBorder="1" applyAlignment="1">
      <alignment horizontal="center" vertical="center" wrapText="1"/>
    </xf>
    <xf numFmtId="0" fontId="15" fillId="3" borderId="3" xfId="1" applyFont="1" applyFill="1" applyBorder="1" applyAlignment="1">
      <alignment horizontal="center" vertical="center" wrapText="1"/>
    </xf>
    <xf numFmtId="49" fontId="15" fillId="5" borderId="4" xfId="1" applyNumberFormat="1" applyFont="1" applyFill="1" applyBorder="1" applyAlignment="1">
      <alignment horizontal="center" vertical="center" wrapText="1"/>
    </xf>
    <xf numFmtId="0" fontId="17" fillId="0" borderId="0" xfId="1" applyFont="1"/>
    <xf numFmtId="49" fontId="18" fillId="0" borderId="6" xfId="1" applyNumberFormat="1" applyFont="1" applyBorder="1" applyAlignment="1">
      <alignment horizontal="center" vertical="center" wrapText="1"/>
    </xf>
    <xf numFmtId="49" fontId="19" fillId="0" borderId="0" xfId="1" applyNumberFormat="1" applyFont="1" applyAlignment="1">
      <alignment horizontal="center" vertical="center" wrapText="1"/>
    </xf>
    <xf numFmtId="0" fontId="18" fillId="0" borderId="6" xfId="1" applyFont="1" applyBorder="1" applyAlignment="1">
      <alignment horizontal="center" vertical="center"/>
    </xf>
    <xf numFmtId="0" fontId="18" fillId="0" borderId="6" xfId="1" applyFont="1" applyBorder="1" applyAlignment="1">
      <alignment horizontal="center" vertical="center" wrapText="1"/>
    </xf>
    <xf numFmtId="0" fontId="20" fillId="0" borderId="1"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17" fillId="0" borderId="0" xfId="1" applyFont="1" applyAlignment="1">
      <alignment horizontal="center"/>
    </xf>
    <xf numFmtId="14" fontId="11" fillId="0" borderId="0" xfId="1" applyNumberFormat="1" applyFont="1" applyAlignment="1">
      <alignment horizontal="right"/>
    </xf>
    <xf numFmtId="0" fontId="17" fillId="2" borderId="0" xfId="1" applyFont="1" applyFill="1"/>
    <xf numFmtId="0" fontId="22" fillId="0" borderId="7" xfId="1" applyFont="1" applyBorder="1"/>
    <xf numFmtId="0" fontId="24" fillId="0" borderId="22" xfId="9" applyFont="1" applyBorder="1" applyAlignment="1">
      <alignment horizontal="center" vertical="center"/>
    </xf>
    <xf numFmtId="0" fontId="24" fillId="0" borderId="23" xfId="9" applyFont="1" applyBorder="1" applyAlignment="1">
      <alignment horizontal="center" vertical="center"/>
    </xf>
    <xf numFmtId="0" fontId="17" fillId="0" borderId="8" xfId="1" applyFont="1" applyBorder="1"/>
    <xf numFmtId="0" fontId="17" fillId="0" borderId="9" xfId="1" applyFont="1" applyBorder="1" applyAlignment="1">
      <alignment wrapText="1"/>
    </xf>
    <xf numFmtId="0" fontId="17" fillId="0" borderId="10" xfId="1" applyFont="1" applyBorder="1" applyAlignment="1">
      <alignment wrapText="1"/>
    </xf>
    <xf numFmtId="0" fontId="17" fillId="0" borderId="11" xfId="1" applyFont="1" applyBorder="1" applyAlignment="1">
      <alignment wrapText="1"/>
    </xf>
    <xf numFmtId="0" fontId="22" fillId="0" borderId="12" xfId="1" applyFont="1" applyBorder="1"/>
    <xf numFmtId="0" fontId="24" fillId="0" borderId="12" xfId="9" applyFont="1" applyBorder="1" applyAlignment="1">
      <alignment horizontal="center" vertical="center"/>
    </xf>
    <xf numFmtId="0" fontId="17" fillId="0" borderId="12" xfId="1" applyFont="1" applyBorder="1"/>
    <xf numFmtId="0" fontId="17" fillId="0" borderId="13" xfId="1" applyFont="1" applyBorder="1" applyAlignment="1">
      <alignment wrapText="1"/>
    </xf>
    <xf numFmtId="0" fontId="17" fillId="0" borderId="14" xfId="1" applyFont="1" applyBorder="1" applyAlignment="1">
      <alignment wrapText="1"/>
    </xf>
    <xf numFmtId="0" fontId="17" fillId="0" borderId="15" xfId="1" applyFont="1" applyBorder="1" applyAlignment="1">
      <alignment wrapText="1"/>
    </xf>
    <xf numFmtId="0" fontId="17" fillId="0" borderId="16" xfId="1" applyFont="1" applyBorder="1"/>
    <xf numFmtId="0" fontId="17" fillId="0" borderId="17" xfId="1" applyFont="1" applyBorder="1"/>
    <xf numFmtId="178" fontId="17" fillId="3" borderId="0" xfId="1" applyNumberFormat="1" applyFont="1" applyFill="1"/>
    <xf numFmtId="0" fontId="17" fillId="0" borderId="18" xfId="1" applyFont="1" applyBorder="1"/>
    <xf numFmtId="0" fontId="11" fillId="0" borderId="0" xfId="1" applyFont="1"/>
    <xf numFmtId="178" fontId="17" fillId="2" borderId="0" xfId="1" applyNumberFormat="1" applyFont="1" applyFill="1"/>
    <xf numFmtId="0" fontId="17" fillId="0" borderId="19" xfId="1" applyFont="1" applyBorder="1" applyAlignment="1">
      <alignment wrapText="1"/>
    </xf>
    <xf numFmtId="0" fontId="17" fillId="0" borderId="20" xfId="1" applyFont="1" applyBorder="1" applyAlignment="1">
      <alignment wrapText="1"/>
    </xf>
    <xf numFmtId="0" fontId="17" fillId="0" borderId="21" xfId="1" applyFont="1" applyBorder="1" applyAlignment="1">
      <alignment wrapText="1"/>
    </xf>
    <xf numFmtId="0" fontId="22" fillId="0" borderId="16" xfId="1" applyFont="1" applyBorder="1"/>
    <xf numFmtId="0" fontId="11" fillId="0" borderId="0" xfId="9" applyFont="1">
      <alignment vertical="center"/>
    </xf>
    <xf numFmtId="0" fontId="17" fillId="3" borderId="0" xfId="1" applyFont="1" applyFill="1"/>
    <xf numFmtId="49" fontId="2" fillId="0" borderId="1" xfId="1" applyNumberFormat="1" applyFont="1" applyBorder="1" applyAlignment="1">
      <alignment horizontal="center" vertical="center" wrapText="1"/>
    </xf>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4" borderId="0" xfId="1" applyFill="1"/>
    <xf numFmtId="14" fontId="1" fillId="4" borderId="0" xfId="1" applyNumberFormat="1" applyFill="1"/>
    <xf numFmtId="178" fontId="1" fillId="2" borderId="0" xfId="1" applyNumberFormat="1" applyFill="1"/>
    <xf numFmtId="1" fontId="1" fillId="2" borderId="0" xfId="1" applyNumberFormat="1" applyFill="1"/>
    <xf numFmtId="0" fontId="10" fillId="0" borderId="7" xfId="1" applyFont="1" applyBorder="1"/>
    <xf numFmtId="0" fontId="1" fillId="4" borderId="8" xfId="1" applyFill="1" applyBorder="1"/>
    <xf numFmtId="0" fontId="1" fillId="0" borderId="8" xfId="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Border="1"/>
    <xf numFmtId="0" fontId="0" fillId="0" borderId="17" xfId="1" applyFont="1" applyBorder="1"/>
    <xf numFmtId="0" fontId="1" fillId="0" borderId="0" xfId="1" applyAlignment="1">
      <alignment horizontal="center"/>
    </xf>
    <xf numFmtId="14" fontId="25" fillId="0" borderId="0" xfId="1" applyNumberFormat="1" applyFont="1" applyAlignment="1">
      <alignment horizontal="center"/>
    </xf>
    <xf numFmtId="0" fontId="25" fillId="0" borderId="0" xfId="1" applyFont="1"/>
    <xf numFmtId="0" fontId="26" fillId="0" borderId="6" xfId="0" applyFont="1" applyBorder="1">
      <alignment vertical="center"/>
    </xf>
    <xf numFmtId="0" fontId="26" fillId="0" borderId="4" xfId="0" applyFont="1" applyBorder="1">
      <alignment vertical="center"/>
    </xf>
    <xf numFmtId="0" fontId="26" fillId="0" borderId="1" xfId="0" applyFont="1" applyBorder="1">
      <alignment vertical="center"/>
    </xf>
    <xf numFmtId="0" fontId="27" fillId="0" borderId="1" xfId="0" applyFont="1" applyBorder="1">
      <alignment vertical="center"/>
    </xf>
    <xf numFmtId="0" fontId="1" fillId="0" borderId="11" xfId="1" applyBorder="1" applyAlignment="1">
      <alignment wrapText="1"/>
    </xf>
    <xf numFmtId="0" fontId="1" fillId="0" borderId="10" xfId="1" applyBorder="1" applyAlignment="1">
      <alignment wrapText="1"/>
    </xf>
    <xf numFmtId="0" fontId="1" fillId="0" borderId="9" xfId="1" applyBorder="1" applyAlignment="1">
      <alignment wrapText="1"/>
    </xf>
    <xf numFmtId="49" fontId="7" fillId="0" borderId="5" xfId="1" applyNumberFormat="1" applyFont="1" applyBorder="1" applyAlignment="1">
      <alignment horizontal="center" vertical="center" wrapText="1"/>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25" fillId="0" borderId="0" xfId="1" applyNumberFormat="1" applyFont="1"/>
    <xf numFmtId="0" fontId="1" fillId="0" borderId="12" xfId="1" applyBorder="1" applyAlignment="1">
      <alignment shrinkToFit="1"/>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5EB565EF-7075-4D54-B526-C934EE1D25B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R62" sqref="R6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0.55000000000000004</v>
      </c>
      <c r="P2" s="15">
        <v>0.6</v>
      </c>
      <c r="Q2" s="51">
        <f t="shared" ref="Q2:Q65" si="0">IF(OR(O2="",P2=""),"",AVERAGE(O2,P2))</f>
        <v>0.57499999999999996</v>
      </c>
      <c r="R2" s="15">
        <v>13.2</v>
      </c>
      <c r="S2" s="15">
        <v>89</v>
      </c>
      <c r="T2" s="38">
        <f t="shared" ref="T2:T59" si="1">IF(H2="","",IF(OR(H2="GREEN",H2="GK"),IF(S2&gt;=$AX$2,VLOOKUP(S2,$AX$2:$AY$12,2,1),""),IF(S2&gt;=$AZ$2,VLOOKUP(S2,$AZ$2:$BA$12,2,1),"")))</f>
        <v>36</v>
      </c>
      <c r="U2" s="15">
        <v>51</v>
      </c>
      <c r="V2" s="38">
        <f t="shared" ref="V2:V65" si="2">IF(OR(N2="",U2="",T2=""),"",U2/N2*T2)</f>
        <v>1836</v>
      </c>
      <c r="W2" s="15">
        <v>10</v>
      </c>
      <c r="X2" s="15" t="s">
        <v>46</v>
      </c>
      <c r="Y2" s="15" t="s">
        <v>55</v>
      </c>
      <c r="Z2" s="15" t="s">
        <v>64</v>
      </c>
      <c r="AA2" s="15" t="s">
        <v>88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0.5</v>
      </c>
      <c r="Q3" s="52">
        <f t="shared" si="0"/>
        <v>0.5</v>
      </c>
      <c r="R3" s="7">
        <v>13.4</v>
      </c>
      <c r="S3" s="7">
        <v>95</v>
      </c>
      <c r="T3" s="16">
        <f t="shared" si="1"/>
        <v>36</v>
      </c>
      <c r="U3" s="15">
        <v>51</v>
      </c>
      <c r="V3" s="16">
        <f t="shared" si="2"/>
        <v>1836</v>
      </c>
      <c r="W3" s="15">
        <v>10</v>
      </c>
      <c r="X3" s="15" t="s">
        <v>46</v>
      </c>
      <c r="Y3" s="15" t="s">
        <v>55</v>
      </c>
      <c r="Z3" s="15" t="s">
        <v>64</v>
      </c>
      <c r="AA3" s="15" t="s">
        <v>88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0.8</v>
      </c>
      <c r="P4" s="7">
        <v>0.75</v>
      </c>
      <c r="Q4" s="52">
        <f t="shared" si="0"/>
        <v>0.77500000000000002</v>
      </c>
      <c r="R4" s="7">
        <v>12.8</v>
      </c>
      <c r="S4" s="7">
        <v>88</v>
      </c>
      <c r="T4" s="16">
        <f t="shared" si="1"/>
        <v>36</v>
      </c>
      <c r="U4" s="15">
        <v>51</v>
      </c>
      <c r="V4" s="16">
        <f t="shared" si="2"/>
        <v>1836</v>
      </c>
      <c r="W4" s="15">
        <v>10</v>
      </c>
      <c r="X4" s="15" t="s">
        <v>46</v>
      </c>
      <c r="Y4" s="54" t="s">
        <v>55</v>
      </c>
      <c r="Z4" s="54" t="s">
        <v>64</v>
      </c>
      <c r="AA4" s="54" t="s">
        <v>88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15" t="s">
        <v>160</v>
      </c>
      <c r="I5" s="7" t="s">
        <v>159</v>
      </c>
      <c r="J5" s="15" t="s">
        <v>38</v>
      </c>
      <c r="K5" s="7" t="s">
        <v>161</v>
      </c>
      <c r="L5" s="7">
        <v>1</v>
      </c>
      <c r="N5" s="7">
        <v>1</v>
      </c>
      <c r="O5" s="7">
        <v>0.6</v>
      </c>
      <c r="P5" s="7">
        <v>0.7</v>
      </c>
      <c r="Q5" s="52">
        <f t="shared" si="0"/>
        <v>0.64999999999999991</v>
      </c>
      <c r="R5" s="7">
        <v>14.8</v>
      </c>
      <c r="S5" s="7">
        <v>127</v>
      </c>
      <c r="T5" s="16">
        <f t="shared" si="1"/>
        <v>27</v>
      </c>
      <c r="U5" s="15">
        <v>135</v>
      </c>
      <c r="V5" s="16">
        <f t="shared" si="2"/>
        <v>3645</v>
      </c>
      <c r="W5" s="15">
        <v>20</v>
      </c>
      <c r="X5" s="15" t="s">
        <v>46</v>
      </c>
      <c r="Y5" s="54" t="s">
        <v>55</v>
      </c>
      <c r="Z5" s="54" t="s">
        <v>64</v>
      </c>
      <c r="AA5" s="54" t="s">
        <v>88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7" t="s">
        <v>159</v>
      </c>
      <c r="J6" s="15" t="s">
        <v>38</v>
      </c>
      <c r="K6" s="7" t="s">
        <v>161</v>
      </c>
      <c r="L6" s="7">
        <v>2</v>
      </c>
      <c r="N6" s="7">
        <v>1</v>
      </c>
      <c r="O6" s="7">
        <v>0.55000000000000004</v>
      </c>
      <c r="P6" s="7">
        <v>0.6</v>
      </c>
      <c r="Q6" s="52">
        <f t="shared" si="0"/>
        <v>0.57499999999999996</v>
      </c>
      <c r="R6" s="7">
        <v>17.2</v>
      </c>
      <c r="S6" s="7">
        <v>127</v>
      </c>
      <c r="T6" s="16">
        <f t="shared" si="1"/>
        <v>27</v>
      </c>
      <c r="U6" s="15">
        <v>135</v>
      </c>
      <c r="V6" s="16">
        <f t="shared" si="2"/>
        <v>3645</v>
      </c>
      <c r="W6" s="15">
        <v>20</v>
      </c>
      <c r="X6" s="15" t="s">
        <v>46</v>
      </c>
      <c r="Y6" s="54" t="s">
        <v>55</v>
      </c>
      <c r="Z6" s="54" t="s">
        <v>64</v>
      </c>
      <c r="AA6" s="54" t="s">
        <v>88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7" t="s">
        <v>159</v>
      </c>
      <c r="J7" s="15" t="s">
        <v>38</v>
      </c>
      <c r="K7" s="7" t="s">
        <v>161</v>
      </c>
      <c r="L7" s="7">
        <v>3</v>
      </c>
      <c r="N7" s="7">
        <v>1</v>
      </c>
      <c r="O7" s="7">
        <v>0.55000000000000004</v>
      </c>
      <c r="P7" s="7">
        <v>0.5</v>
      </c>
      <c r="Q7" s="52">
        <f t="shared" si="0"/>
        <v>0.52500000000000002</v>
      </c>
      <c r="R7" s="34">
        <v>16.399999999999999</v>
      </c>
      <c r="S7" s="7">
        <v>131</v>
      </c>
      <c r="T7" s="16">
        <f t="shared" si="1"/>
        <v>25</v>
      </c>
      <c r="U7" s="15">
        <v>135</v>
      </c>
      <c r="V7" s="16">
        <f t="shared" si="2"/>
        <v>3375</v>
      </c>
      <c r="W7" s="15">
        <v>20</v>
      </c>
      <c r="X7" s="15" t="s">
        <v>46</v>
      </c>
      <c r="Y7" s="54" t="s">
        <v>55</v>
      </c>
      <c r="Z7" s="54" t="s">
        <v>64</v>
      </c>
      <c r="AA7" s="54" t="s">
        <v>88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7">
        <v>1</v>
      </c>
      <c r="O8" s="7">
        <v>0.5</v>
      </c>
      <c r="P8" s="7">
        <v>0.5</v>
      </c>
      <c r="Q8" s="52">
        <f t="shared" si="0"/>
        <v>0.5</v>
      </c>
      <c r="R8" s="34">
        <v>15.5</v>
      </c>
      <c r="S8" s="7">
        <v>118</v>
      </c>
      <c r="T8" s="16">
        <f t="shared" si="1"/>
        <v>30</v>
      </c>
      <c r="U8" s="15">
        <v>98</v>
      </c>
      <c r="V8" s="16">
        <f t="shared" si="2"/>
        <v>2940</v>
      </c>
      <c r="W8" s="15">
        <v>22</v>
      </c>
      <c r="X8" s="15" t="s">
        <v>46</v>
      </c>
      <c r="Y8" s="54" t="s">
        <v>55</v>
      </c>
      <c r="Z8" s="54" t="s">
        <v>86</v>
      </c>
      <c r="AA8" s="54" t="s">
        <v>64</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16.600000000000001</v>
      </c>
      <c r="S9" s="7">
        <v>124</v>
      </c>
      <c r="T9" s="16">
        <f t="shared" si="1"/>
        <v>27</v>
      </c>
      <c r="U9" s="15">
        <v>98</v>
      </c>
      <c r="V9" s="16">
        <f t="shared" si="2"/>
        <v>2646</v>
      </c>
      <c r="W9" s="15">
        <v>22</v>
      </c>
      <c r="X9" s="15" t="s">
        <v>46</v>
      </c>
      <c r="Y9" s="54" t="s">
        <v>55</v>
      </c>
      <c r="Z9" s="54" t="s">
        <v>86</v>
      </c>
      <c r="AA9" s="54" t="s">
        <v>64</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13.4</v>
      </c>
      <c r="S10" s="7">
        <v>114</v>
      </c>
      <c r="T10" s="16">
        <f t="shared" si="1"/>
        <v>30</v>
      </c>
      <c r="U10" s="15">
        <v>98</v>
      </c>
      <c r="V10" s="16">
        <f t="shared" si="2"/>
        <v>2940</v>
      </c>
      <c r="W10" s="15">
        <v>22</v>
      </c>
      <c r="X10" s="15" t="s">
        <v>46</v>
      </c>
      <c r="Y10" s="54" t="s">
        <v>55</v>
      </c>
      <c r="Z10" s="54" t="s">
        <v>86</v>
      </c>
      <c r="AA10" s="54" t="s">
        <v>64</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v>
      </c>
      <c r="P11" s="7">
        <v>0.5</v>
      </c>
      <c r="Q11" s="52">
        <f t="shared" si="0"/>
        <v>0.5</v>
      </c>
      <c r="R11" s="7">
        <v>14.8</v>
      </c>
      <c r="S11" s="7">
        <v>136</v>
      </c>
      <c r="T11" s="16">
        <f t="shared" si="1"/>
        <v>25</v>
      </c>
      <c r="U11" s="7">
        <v>98</v>
      </c>
      <c r="V11" s="16">
        <f t="shared" si="2"/>
        <v>2450</v>
      </c>
      <c r="W11" s="7">
        <v>9</v>
      </c>
      <c r="X11" s="15" t="s">
        <v>46</v>
      </c>
      <c r="Y11" s="54" t="s">
        <v>55</v>
      </c>
      <c r="Z11" s="54" t="s">
        <v>86</v>
      </c>
      <c r="AA11" s="54" t="s">
        <v>64</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0.75</v>
      </c>
      <c r="P12" s="7">
        <v>0.75</v>
      </c>
      <c r="Q12" s="52">
        <f t="shared" si="0"/>
        <v>0.75</v>
      </c>
      <c r="R12" s="34">
        <v>19.7</v>
      </c>
      <c r="S12" s="7">
        <v>136</v>
      </c>
      <c r="T12" s="16">
        <f t="shared" si="1"/>
        <v>25</v>
      </c>
      <c r="U12" s="7">
        <v>98</v>
      </c>
      <c r="V12" s="16">
        <f t="shared" si="2"/>
        <v>2450</v>
      </c>
      <c r="W12" s="7">
        <v>9</v>
      </c>
      <c r="X12" s="15" t="s">
        <v>46</v>
      </c>
      <c r="Y12" s="54" t="s">
        <v>55</v>
      </c>
      <c r="Z12" s="54" t="s">
        <v>86</v>
      </c>
      <c r="AA12" s="54" t="s">
        <v>64</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0.5</v>
      </c>
      <c r="P13" s="7">
        <v>0.5</v>
      </c>
      <c r="Q13" s="52">
        <f t="shared" si="0"/>
        <v>0.5</v>
      </c>
      <c r="R13" s="7">
        <v>15.1</v>
      </c>
      <c r="S13" s="7">
        <v>129</v>
      </c>
      <c r="T13" s="16">
        <f t="shared" si="1"/>
        <v>25</v>
      </c>
      <c r="U13" s="7">
        <v>98</v>
      </c>
      <c r="V13" s="16">
        <f t="shared" si="2"/>
        <v>2450</v>
      </c>
      <c r="W13" s="7">
        <v>9</v>
      </c>
      <c r="X13" s="15" t="s">
        <v>46</v>
      </c>
      <c r="Y13" s="54" t="s">
        <v>55</v>
      </c>
      <c r="Z13" s="54" t="s">
        <v>86</v>
      </c>
      <c r="AA13" s="54" t="s">
        <v>64</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0.6</v>
      </c>
      <c r="P14" s="7">
        <v>0.6</v>
      </c>
      <c r="Q14" s="52">
        <f t="shared" si="0"/>
        <v>0.6</v>
      </c>
      <c r="R14" s="7">
        <v>15.5</v>
      </c>
      <c r="S14" s="7">
        <v>122</v>
      </c>
      <c r="T14" s="16">
        <f t="shared" si="1"/>
        <v>27</v>
      </c>
      <c r="U14" s="7">
        <v>106</v>
      </c>
      <c r="V14" s="16">
        <f t="shared" si="2"/>
        <v>2862</v>
      </c>
      <c r="W14" s="7">
        <v>5</v>
      </c>
      <c r="X14" s="15" t="s">
        <v>46</v>
      </c>
      <c r="Y14" s="54" t="s">
        <v>55</v>
      </c>
      <c r="Z14" s="54" t="s">
        <v>86</v>
      </c>
      <c r="AA14" s="15"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0.7</v>
      </c>
      <c r="P15" s="7">
        <v>0.6</v>
      </c>
      <c r="Q15" s="52">
        <f t="shared" si="0"/>
        <v>0.64999999999999991</v>
      </c>
      <c r="R15" s="7">
        <v>14.7</v>
      </c>
      <c r="S15" s="7">
        <v>130</v>
      </c>
      <c r="T15" s="16">
        <f t="shared" si="1"/>
        <v>25</v>
      </c>
      <c r="U15" s="7">
        <v>106</v>
      </c>
      <c r="V15" s="16">
        <f t="shared" si="2"/>
        <v>2650</v>
      </c>
      <c r="W15" s="7">
        <v>5</v>
      </c>
      <c r="X15" s="15" t="s">
        <v>46</v>
      </c>
      <c r="Y15" s="54" t="s">
        <v>55</v>
      </c>
      <c r="Z15" s="54" t="s">
        <v>86</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0.6</v>
      </c>
      <c r="P16" s="7">
        <v>0.75</v>
      </c>
      <c r="Q16" s="52">
        <f t="shared" si="0"/>
        <v>0.67500000000000004</v>
      </c>
      <c r="R16" s="7">
        <v>14.9</v>
      </c>
      <c r="S16" s="7">
        <v>125</v>
      </c>
      <c r="T16" s="16">
        <f t="shared" si="1"/>
        <v>27</v>
      </c>
      <c r="U16" s="7">
        <v>106</v>
      </c>
      <c r="V16" s="16">
        <f t="shared" si="2"/>
        <v>2862</v>
      </c>
      <c r="W16" s="7">
        <v>5</v>
      </c>
      <c r="X16" s="15" t="s">
        <v>46</v>
      </c>
      <c r="Y16" s="54" t="s">
        <v>55</v>
      </c>
      <c r="Z16" s="54" t="s">
        <v>86</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0.55000000000000004</v>
      </c>
      <c r="P17" s="7">
        <v>0.55000000000000004</v>
      </c>
      <c r="Q17" s="52">
        <f t="shared" si="0"/>
        <v>0.55000000000000004</v>
      </c>
      <c r="R17" s="7">
        <v>15.7</v>
      </c>
      <c r="S17" s="7">
        <v>127</v>
      </c>
      <c r="T17" s="16">
        <f t="shared" si="1"/>
        <v>27</v>
      </c>
      <c r="U17" s="7">
        <v>106</v>
      </c>
      <c r="V17" s="16">
        <f t="shared" si="2"/>
        <v>2862</v>
      </c>
      <c r="W17" s="7">
        <v>5</v>
      </c>
      <c r="X17" s="15" t="s">
        <v>46</v>
      </c>
      <c r="Y17" s="54" t="s">
        <v>55</v>
      </c>
      <c r="Z17" s="54" t="s">
        <v>86</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0.55000000000000004</v>
      </c>
      <c r="P18" s="7">
        <v>0.5</v>
      </c>
      <c r="Q18" s="52">
        <f t="shared" si="0"/>
        <v>0.52500000000000002</v>
      </c>
      <c r="R18" s="7">
        <v>17.3</v>
      </c>
      <c r="S18" s="7">
        <v>126</v>
      </c>
      <c r="T18" s="16">
        <f t="shared" si="1"/>
        <v>27</v>
      </c>
      <c r="U18" s="7">
        <v>106</v>
      </c>
      <c r="V18" s="16">
        <f t="shared" si="2"/>
        <v>2862</v>
      </c>
      <c r="W18" s="7">
        <v>5</v>
      </c>
      <c r="X18" s="15" t="s">
        <v>46</v>
      </c>
      <c r="Y18" s="54" t="s">
        <v>55</v>
      </c>
      <c r="Z18" s="54" t="s">
        <v>86</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0.65</v>
      </c>
      <c r="P19" s="7">
        <v>0.55000000000000004</v>
      </c>
      <c r="Q19" s="52">
        <f t="shared" si="0"/>
        <v>0.60000000000000009</v>
      </c>
      <c r="R19" s="7">
        <v>15</v>
      </c>
      <c r="S19" s="7">
        <v>128</v>
      </c>
      <c r="T19" s="16">
        <f t="shared" si="1"/>
        <v>27</v>
      </c>
      <c r="U19" s="7">
        <v>106</v>
      </c>
      <c r="V19" s="16">
        <f t="shared" si="2"/>
        <v>2862</v>
      </c>
      <c r="W19" s="7">
        <v>5</v>
      </c>
      <c r="X19" s="15" t="s">
        <v>46</v>
      </c>
      <c r="Y19" s="54" t="s">
        <v>55</v>
      </c>
      <c r="Z19" s="54" t="s">
        <v>86</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1.1000000000000001</v>
      </c>
      <c r="P20" s="34">
        <v>1.2</v>
      </c>
      <c r="Q20" s="52">
        <f t="shared" si="0"/>
        <v>1.1499999999999999</v>
      </c>
      <c r="R20" s="7">
        <v>11.9</v>
      </c>
      <c r="S20" s="7">
        <v>90</v>
      </c>
      <c r="T20" s="16">
        <f t="shared" si="1"/>
        <v>36</v>
      </c>
      <c r="U20" s="7">
        <v>51</v>
      </c>
      <c r="V20" s="16">
        <f t="shared" si="2"/>
        <v>1836</v>
      </c>
      <c r="W20" s="7">
        <v>4</v>
      </c>
      <c r="X20" s="15" t="s">
        <v>46</v>
      </c>
      <c r="Y20" s="54" t="s">
        <v>64</v>
      </c>
      <c r="Z20" s="54" t="s">
        <v>55</v>
      </c>
      <c r="AA20" s="54" t="s">
        <v>86</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1.1499999999999999</v>
      </c>
      <c r="P21" s="7">
        <v>1.2</v>
      </c>
      <c r="Q21" s="52">
        <f t="shared" si="0"/>
        <v>1.1749999999999998</v>
      </c>
      <c r="R21" s="7">
        <v>10.7</v>
      </c>
      <c r="S21" s="7">
        <v>92</v>
      </c>
      <c r="T21" s="16">
        <f t="shared" si="1"/>
        <v>36</v>
      </c>
      <c r="U21" s="7">
        <v>51</v>
      </c>
      <c r="V21" s="16">
        <f t="shared" si="2"/>
        <v>1836</v>
      </c>
      <c r="W21" s="7">
        <v>4</v>
      </c>
      <c r="X21" s="15" t="s">
        <v>46</v>
      </c>
      <c r="Y21" s="54" t="s">
        <v>64</v>
      </c>
      <c r="Z21" s="54" t="s">
        <v>55</v>
      </c>
      <c r="AA21" s="54" t="s">
        <v>86</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0.95</v>
      </c>
      <c r="P22" s="7">
        <v>0.95</v>
      </c>
      <c r="Q22" s="52">
        <f t="shared" si="0"/>
        <v>0.95</v>
      </c>
      <c r="R22" s="7">
        <v>11.5</v>
      </c>
      <c r="S22" s="7">
        <v>92</v>
      </c>
      <c r="T22" s="16">
        <f t="shared" si="1"/>
        <v>36</v>
      </c>
      <c r="U22" s="7">
        <v>51</v>
      </c>
      <c r="V22" s="16">
        <f t="shared" si="2"/>
        <v>1836</v>
      </c>
      <c r="W22" s="7">
        <v>4</v>
      </c>
      <c r="X22" s="15" t="s">
        <v>46</v>
      </c>
      <c r="Y22" s="54" t="s">
        <v>64</v>
      </c>
      <c r="Z22" s="54" t="s">
        <v>55</v>
      </c>
      <c r="AA22" s="54" t="s">
        <v>86</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0.7</v>
      </c>
      <c r="P23" s="7">
        <v>0.8</v>
      </c>
      <c r="Q23" s="52">
        <f t="shared" si="0"/>
        <v>0.75</v>
      </c>
      <c r="R23" s="7">
        <v>19</v>
      </c>
      <c r="S23" s="7">
        <v>122</v>
      </c>
      <c r="T23" s="16">
        <f t="shared" si="1"/>
        <v>27</v>
      </c>
      <c r="U23" s="7">
        <v>138</v>
      </c>
      <c r="V23" s="16">
        <f t="shared" si="2"/>
        <v>3726</v>
      </c>
      <c r="W23" s="7">
        <v>6</v>
      </c>
      <c r="X23" s="15" t="s">
        <v>46</v>
      </c>
      <c r="Y23" s="54" t="s">
        <v>64</v>
      </c>
      <c r="Z23" s="54" t="s">
        <v>55</v>
      </c>
      <c r="AA23" s="54" t="s">
        <v>86</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0.7</v>
      </c>
      <c r="P24" s="7">
        <v>0.7</v>
      </c>
      <c r="Q24" s="52">
        <f t="shared" si="0"/>
        <v>0.7</v>
      </c>
      <c r="R24" s="7">
        <v>16.600000000000001</v>
      </c>
      <c r="S24" s="7">
        <v>125</v>
      </c>
      <c r="T24" s="16">
        <f t="shared" si="1"/>
        <v>27</v>
      </c>
      <c r="U24" s="7">
        <v>138</v>
      </c>
      <c r="V24" s="16">
        <f t="shared" si="2"/>
        <v>3726</v>
      </c>
      <c r="W24" s="7">
        <v>6</v>
      </c>
      <c r="X24" s="15" t="s">
        <v>46</v>
      </c>
      <c r="Y24" s="54" t="s">
        <v>64</v>
      </c>
      <c r="Z24" s="54" t="s">
        <v>55</v>
      </c>
      <c r="AA24" s="54" t="s">
        <v>86</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0.9</v>
      </c>
      <c r="P25" s="7">
        <v>1.05</v>
      </c>
      <c r="Q25" s="52">
        <f t="shared" si="0"/>
        <v>0.97500000000000009</v>
      </c>
      <c r="R25" s="7">
        <v>17.7</v>
      </c>
      <c r="S25" s="7">
        <v>116</v>
      </c>
      <c r="T25" s="16">
        <f t="shared" si="1"/>
        <v>30</v>
      </c>
      <c r="U25" s="7">
        <v>138</v>
      </c>
      <c r="V25" s="16">
        <f t="shared" si="2"/>
        <v>4140</v>
      </c>
      <c r="W25" s="7">
        <v>6</v>
      </c>
      <c r="X25" s="15" t="s">
        <v>46</v>
      </c>
      <c r="Y25" s="54" t="s">
        <v>64</v>
      </c>
      <c r="Z25" s="54" t="s">
        <v>55</v>
      </c>
      <c r="AA25" s="54" t="s">
        <v>86</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0.85</v>
      </c>
      <c r="P26" s="7">
        <v>1.05</v>
      </c>
      <c r="Q26" s="52">
        <f t="shared" si="0"/>
        <v>0.95</v>
      </c>
      <c r="R26" s="7">
        <v>16</v>
      </c>
      <c r="S26" s="7">
        <v>122</v>
      </c>
      <c r="T26" s="16">
        <f t="shared" si="1"/>
        <v>27</v>
      </c>
      <c r="U26" s="7">
        <v>138</v>
      </c>
      <c r="V26" s="16">
        <f t="shared" si="2"/>
        <v>3726</v>
      </c>
      <c r="W26" s="7">
        <v>5</v>
      </c>
      <c r="X26" s="15" t="s">
        <v>46</v>
      </c>
      <c r="Y26" s="54" t="s">
        <v>55</v>
      </c>
      <c r="Z26" s="54" t="s">
        <v>86</v>
      </c>
      <c r="AA26" s="54" t="s">
        <v>69</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0.9</v>
      </c>
      <c r="P27" s="7">
        <v>1.05</v>
      </c>
      <c r="Q27" s="52">
        <f t="shared" si="0"/>
        <v>0.97500000000000009</v>
      </c>
      <c r="R27" s="7">
        <v>16.100000000000001</v>
      </c>
      <c r="S27" s="7">
        <v>103</v>
      </c>
      <c r="T27" s="16">
        <f t="shared" si="1"/>
        <v>33</v>
      </c>
      <c r="U27" s="7">
        <v>138</v>
      </c>
      <c r="V27" s="16">
        <f t="shared" si="2"/>
        <v>4554</v>
      </c>
      <c r="W27" s="7">
        <v>5</v>
      </c>
      <c r="X27" s="15" t="s">
        <v>46</v>
      </c>
      <c r="Y27" s="54" t="s">
        <v>55</v>
      </c>
      <c r="Z27" s="54" t="s">
        <v>86</v>
      </c>
      <c r="AA27" s="54" t="s">
        <v>69</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0.85</v>
      </c>
      <c r="P28" s="7">
        <v>0.95</v>
      </c>
      <c r="Q28" s="52">
        <f t="shared" si="0"/>
        <v>0.89999999999999991</v>
      </c>
      <c r="R28" s="7">
        <v>13.9</v>
      </c>
      <c r="S28" s="7">
        <v>119</v>
      </c>
      <c r="T28" s="16">
        <f t="shared" si="1"/>
        <v>30</v>
      </c>
      <c r="U28" s="7">
        <v>138</v>
      </c>
      <c r="V28" s="16">
        <f t="shared" si="2"/>
        <v>4140</v>
      </c>
      <c r="W28" s="7">
        <v>5</v>
      </c>
      <c r="X28" s="15" t="s">
        <v>46</v>
      </c>
      <c r="Y28" s="54" t="s">
        <v>55</v>
      </c>
      <c r="Z28" s="54" t="s">
        <v>86</v>
      </c>
      <c r="AA28" s="54" t="s">
        <v>69</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0.7</v>
      </c>
      <c r="P29" s="7">
        <v>0.65</v>
      </c>
      <c r="Q29" s="52">
        <f t="shared" si="0"/>
        <v>0.67500000000000004</v>
      </c>
      <c r="R29" s="7">
        <v>18.399999999999999</v>
      </c>
      <c r="S29" s="7">
        <v>128</v>
      </c>
      <c r="T29" s="16">
        <f t="shared" si="1"/>
        <v>27</v>
      </c>
      <c r="U29" s="7">
        <v>138</v>
      </c>
      <c r="V29" s="16">
        <f t="shared" si="2"/>
        <v>3726</v>
      </c>
      <c r="W29" s="7">
        <v>7</v>
      </c>
      <c r="X29" s="15" t="s">
        <v>46</v>
      </c>
      <c r="Y29" s="54" t="s">
        <v>55</v>
      </c>
      <c r="Z29" s="54" t="s">
        <v>86</v>
      </c>
      <c r="AA29" s="54" t="s">
        <v>69</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0.7</v>
      </c>
      <c r="P30" s="7">
        <v>0.9</v>
      </c>
      <c r="Q30" s="52">
        <f t="shared" si="0"/>
        <v>0.8</v>
      </c>
      <c r="R30" s="7">
        <v>15.9</v>
      </c>
      <c r="S30" s="7">
        <v>118</v>
      </c>
      <c r="T30" s="16">
        <f t="shared" si="1"/>
        <v>30</v>
      </c>
      <c r="U30" s="7">
        <v>138</v>
      </c>
      <c r="V30" s="16">
        <f t="shared" si="2"/>
        <v>4140</v>
      </c>
      <c r="W30" s="7">
        <v>7</v>
      </c>
      <c r="X30" s="15" t="s">
        <v>46</v>
      </c>
      <c r="Y30" s="54" t="s">
        <v>55</v>
      </c>
      <c r="Z30" s="54" t="s">
        <v>86</v>
      </c>
      <c r="AA30" s="54" t="s">
        <v>69</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0.6</v>
      </c>
      <c r="P31" s="7">
        <v>0.7</v>
      </c>
      <c r="Q31" s="52">
        <f t="shared" si="0"/>
        <v>0.64999999999999991</v>
      </c>
      <c r="R31" s="7">
        <v>17</v>
      </c>
      <c r="S31" s="7">
        <v>125</v>
      </c>
      <c r="T31" s="16">
        <f t="shared" si="1"/>
        <v>27</v>
      </c>
      <c r="U31" s="7">
        <v>138</v>
      </c>
      <c r="V31" s="16">
        <f t="shared" si="2"/>
        <v>3726</v>
      </c>
      <c r="W31" s="7">
        <v>7</v>
      </c>
      <c r="X31" s="15" t="s">
        <v>46</v>
      </c>
      <c r="Y31" s="54" t="s">
        <v>55</v>
      </c>
      <c r="Z31" s="54" t="s">
        <v>86</v>
      </c>
      <c r="AA31" s="54" t="s">
        <v>69</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0.65</v>
      </c>
      <c r="P32" s="7">
        <v>0.65</v>
      </c>
      <c r="Q32" s="52">
        <f t="shared" si="0"/>
        <v>0.65</v>
      </c>
      <c r="R32" s="7">
        <v>13.2</v>
      </c>
      <c r="S32" s="7">
        <v>108</v>
      </c>
      <c r="T32" s="16">
        <f t="shared" si="1"/>
        <v>33</v>
      </c>
      <c r="U32" s="7">
        <v>100</v>
      </c>
      <c r="V32" s="16">
        <f t="shared" si="2"/>
        <v>3300</v>
      </c>
      <c r="W32" s="7">
        <v>10</v>
      </c>
      <c r="X32" s="15" t="s">
        <v>46</v>
      </c>
      <c r="Y32" s="54" t="s">
        <v>97</v>
      </c>
      <c r="Z32" s="54" t="s">
        <v>86</v>
      </c>
      <c r="AA32" s="54" t="s">
        <v>55</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0.85</v>
      </c>
      <c r="P33" s="7">
        <v>0.85</v>
      </c>
      <c r="Q33" s="52">
        <f t="shared" si="0"/>
        <v>0.85</v>
      </c>
      <c r="R33" s="7">
        <v>13.8</v>
      </c>
      <c r="S33" s="7">
        <v>111</v>
      </c>
      <c r="T33" s="16">
        <f t="shared" si="1"/>
        <v>33</v>
      </c>
      <c r="U33" s="7">
        <v>100</v>
      </c>
      <c r="V33" s="16">
        <f t="shared" si="2"/>
        <v>3300</v>
      </c>
      <c r="W33" s="7">
        <v>10</v>
      </c>
      <c r="X33" s="15" t="s">
        <v>46</v>
      </c>
      <c r="Y33" s="54" t="s">
        <v>97</v>
      </c>
      <c r="Z33" s="54" t="s">
        <v>86</v>
      </c>
      <c r="AA33" s="54" t="s">
        <v>55</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0.5</v>
      </c>
      <c r="P34" s="7">
        <v>0.55000000000000004</v>
      </c>
      <c r="Q34" s="52">
        <f t="shared" si="0"/>
        <v>0.52500000000000002</v>
      </c>
      <c r="R34" s="7">
        <v>11.4</v>
      </c>
      <c r="S34" s="7">
        <v>110</v>
      </c>
      <c r="T34" s="16">
        <f t="shared" si="1"/>
        <v>33</v>
      </c>
      <c r="U34" s="7">
        <v>100</v>
      </c>
      <c r="V34" s="16">
        <f t="shared" si="2"/>
        <v>3300</v>
      </c>
      <c r="W34" s="7">
        <v>10</v>
      </c>
      <c r="X34" s="15" t="s">
        <v>46</v>
      </c>
      <c r="Y34" s="54" t="s">
        <v>97</v>
      </c>
      <c r="Z34" s="54" t="s">
        <v>86</v>
      </c>
      <c r="AA34" s="54" t="s">
        <v>55</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0.55000000000000004</v>
      </c>
      <c r="P35" s="7">
        <v>0.55000000000000004</v>
      </c>
      <c r="Q35" s="52">
        <f t="shared" si="0"/>
        <v>0.55000000000000004</v>
      </c>
      <c r="R35" s="7">
        <v>14.7</v>
      </c>
      <c r="S35" s="7">
        <v>104</v>
      </c>
      <c r="T35" s="16">
        <f t="shared" si="1"/>
        <v>33</v>
      </c>
      <c r="U35" s="7">
        <v>100</v>
      </c>
      <c r="V35" s="16">
        <f t="shared" si="2"/>
        <v>3300</v>
      </c>
      <c r="W35" s="7">
        <v>13</v>
      </c>
      <c r="X35" s="15" t="s">
        <v>46</v>
      </c>
      <c r="Y35" s="54" t="s">
        <v>97</v>
      </c>
      <c r="Z35" s="54" t="s">
        <v>86</v>
      </c>
      <c r="AA35" s="54" t="s">
        <v>55</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13.9</v>
      </c>
      <c r="S36" s="7">
        <v>100</v>
      </c>
      <c r="T36" s="16">
        <f t="shared" si="1"/>
        <v>33</v>
      </c>
      <c r="U36" s="7">
        <v>100</v>
      </c>
      <c r="V36" s="16">
        <f t="shared" si="2"/>
        <v>3300</v>
      </c>
      <c r="W36" s="7">
        <v>13</v>
      </c>
      <c r="X36" s="15" t="s">
        <v>46</v>
      </c>
      <c r="Y36" s="54" t="s">
        <v>97</v>
      </c>
      <c r="Z36" s="54" t="s">
        <v>86</v>
      </c>
      <c r="AA36" s="54" t="s">
        <v>55</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0.6</v>
      </c>
      <c r="Q37" s="52">
        <f t="shared" si="0"/>
        <v>0.55000000000000004</v>
      </c>
      <c r="R37" s="7">
        <v>15.5</v>
      </c>
      <c r="S37" s="7">
        <v>104</v>
      </c>
      <c r="T37" s="16">
        <f t="shared" si="1"/>
        <v>33</v>
      </c>
      <c r="U37" s="7">
        <v>100</v>
      </c>
      <c r="V37" s="16">
        <f t="shared" si="2"/>
        <v>3300</v>
      </c>
      <c r="W37" s="7">
        <v>13</v>
      </c>
      <c r="X37" s="15" t="s">
        <v>46</v>
      </c>
      <c r="Y37" s="54" t="s">
        <v>97</v>
      </c>
      <c r="Z37" s="54" t="s">
        <v>86</v>
      </c>
      <c r="AA37" s="54" t="s">
        <v>55</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0.5</v>
      </c>
      <c r="P38" s="34">
        <v>0.5</v>
      </c>
      <c r="Q38" s="52">
        <f t="shared" si="0"/>
        <v>0.5</v>
      </c>
      <c r="R38" s="7">
        <v>14.9</v>
      </c>
      <c r="S38" s="7">
        <v>121</v>
      </c>
      <c r="T38" s="16">
        <f t="shared" si="1"/>
        <v>27</v>
      </c>
      <c r="U38" s="7">
        <v>95</v>
      </c>
      <c r="V38" s="16">
        <f t="shared" si="2"/>
        <v>2565</v>
      </c>
      <c r="W38" s="7">
        <v>6</v>
      </c>
      <c r="X38" s="15" t="s">
        <v>46</v>
      </c>
      <c r="Y38" s="54" t="s">
        <v>55</v>
      </c>
      <c r="Z38" s="54" t="s">
        <v>69</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0.65</v>
      </c>
      <c r="P39" s="7">
        <v>0.7</v>
      </c>
      <c r="Q39" s="52">
        <f t="shared" si="0"/>
        <v>0.67500000000000004</v>
      </c>
      <c r="R39" s="34">
        <v>16.7</v>
      </c>
      <c r="S39" s="7">
        <v>122</v>
      </c>
      <c r="T39" s="16">
        <f t="shared" si="1"/>
        <v>27</v>
      </c>
      <c r="U39" s="7">
        <v>95</v>
      </c>
      <c r="V39" s="16">
        <f t="shared" si="2"/>
        <v>2565</v>
      </c>
      <c r="W39" s="7">
        <v>6</v>
      </c>
      <c r="X39" s="15" t="s">
        <v>46</v>
      </c>
      <c r="Y39" s="54" t="s">
        <v>55</v>
      </c>
      <c r="Z39" s="54" t="s">
        <v>69</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0.8</v>
      </c>
      <c r="P40" s="7">
        <v>0.8</v>
      </c>
      <c r="Q40" s="52">
        <f t="shared" si="0"/>
        <v>0.8</v>
      </c>
      <c r="R40" s="7">
        <v>15.8</v>
      </c>
      <c r="S40" s="7">
        <v>122</v>
      </c>
      <c r="T40" s="16">
        <f t="shared" si="1"/>
        <v>27</v>
      </c>
      <c r="U40" s="7">
        <v>95</v>
      </c>
      <c r="V40" s="16">
        <f t="shared" si="2"/>
        <v>2565</v>
      </c>
      <c r="W40" s="7">
        <v>6</v>
      </c>
      <c r="X40" s="15" t="s">
        <v>46</v>
      </c>
      <c r="Y40" s="54" t="s">
        <v>55</v>
      </c>
      <c r="Z40" s="54" t="s">
        <v>69</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0.75</v>
      </c>
      <c r="P41" s="7">
        <v>0.65</v>
      </c>
      <c r="Q41" s="52">
        <f t="shared" si="0"/>
        <v>0.7</v>
      </c>
      <c r="R41" s="7">
        <v>17</v>
      </c>
      <c r="S41" s="7">
        <v>110</v>
      </c>
      <c r="T41" s="16">
        <f t="shared" si="1"/>
        <v>33</v>
      </c>
      <c r="U41" s="7">
        <v>95</v>
      </c>
      <c r="V41" s="16">
        <f t="shared" si="2"/>
        <v>3135</v>
      </c>
      <c r="W41" s="7">
        <v>7</v>
      </c>
      <c r="X41" s="15" t="s">
        <v>46</v>
      </c>
      <c r="Y41" s="54" t="s">
        <v>55</v>
      </c>
      <c r="Z41" s="54" t="s">
        <v>69</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0.7</v>
      </c>
      <c r="P42" s="7">
        <v>0.75</v>
      </c>
      <c r="Q42" s="52">
        <f t="shared" si="0"/>
        <v>0.72499999999999998</v>
      </c>
      <c r="R42" s="7">
        <v>14.6</v>
      </c>
      <c r="S42" s="7">
        <v>109</v>
      </c>
      <c r="T42" s="16">
        <f t="shared" si="1"/>
        <v>33</v>
      </c>
      <c r="U42" s="7">
        <v>95</v>
      </c>
      <c r="V42" s="16">
        <f t="shared" si="2"/>
        <v>3135</v>
      </c>
      <c r="W42" s="7">
        <v>7</v>
      </c>
      <c r="X42" s="15" t="s">
        <v>46</v>
      </c>
      <c r="Y42" s="54" t="s">
        <v>55</v>
      </c>
      <c r="Z42" s="54" t="s">
        <v>69</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1</v>
      </c>
      <c r="P43" s="7">
        <v>1</v>
      </c>
      <c r="Q43" s="52">
        <f t="shared" si="0"/>
        <v>1</v>
      </c>
      <c r="R43" s="7">
        <v>16.2</v>
      </c>
      <c r="S43" s="7">
        <v>115</v>
      </c>
      <c r="T43" s="16">
        <f t="shared" si="1"/>
        <v>30</v>
      </c>
      <c r="U43" s="7">
        <v>95</v>
      </c>
      <c r="V43" s="16">
        <f t="shared" si="2"/>
        <v>2850</v>
      </c>
      <c r="W43" s="7">
        <v>7</v>
      </c>
      <c r="X43" s="15" t="s">
        <v>46</v>
      </c>
      <c r="Y43" s="54" t="s">
        <v>55</v>
      </c>
      <c r="Z43" s="54" t="s">
        <v>69</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1</v>
      </c>
      <c r="P44" s="7">
        <v>1.1499999999999999</v>
      </c>
      <c r="Q44" s="52">
        <f t="shared" si="0"/>
        <v>1.075</v>
      </c>
      <c r="R44" s="7">
        <v>14.6</v>
      </c>
      <c r="S44" s="7">
        <v>114</v>
      </c>
      <c r="T44" s="16">
        <f t="shared" si="1"/>
        <v>30</v>
      </c>
      <c r="U44" s="7">
        <v>51</v>
      </c>
      <c r="V44" s="16">
        <f t="shared" si="2"/>
        <v>1530</v>
      </c>
      <c r="W44" s="7">
        <v>5</v>
      </c>
      <c r="X44" s="15" t="s">
        <v>46</v>
      </c>
      <c r="Y44" s="54" t="s">
        <v>97</v>
      </c>
      <c r="Z44" s="54" t="s">
        <v>55</v>
      </c>
      <c r="AA44" s="54" t="s">
        <v>64</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0.9</v>
      </c>
      <c r="P45" s="7">
        <v>1</v>
      </c>
      <c r="Q45" s="52">
        <f t="shared" si="0"/>
        <v>0.95</v>
      </c>
      <c r="R45" s="7">
        <v>16</v>
      </c>
      <c r="S45" s="7">
        <v>119</v>
      </c>
      <c r="T45" s="16">
        <f t="shared" si="1"/>
        <v>30</v>
      </c>
      <c r="U45" s="7">
        <v>51</v>
      </c>
      <c r="V45" s="16">
        <f t="shared" si="2"/>
        <v>1530</v>
      </c>
      <c r="W45" s="7">
        <v>5</v>
      </c>
      <c r="X45" s="15" t="s">
        <v>46</v>
      </c>
      <c r="Y45" s="54" t="s">
        <v>97</v>
      </c>
      <c r="Z45" s="54" t="s">
        <v>55</v>
      </c>
      <c r="AA45" s="54" t="s">
        <v>64</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0.95</v>
      </c>
      <c r="P46" s="34">
        <v>0.95</v>
      </c>
      <c r="Q46" s="52">
        <f t="shared" si="0"/>
        <v>0.95</v>
      </c>
      <c r="R46" s="7">
        <v>14.9</v>
      </c>
      <c r="S46" s="7">
        <v>114</v>
      </c>
      <c r="T46" s="16">
        <f t="shared" si="1"/>
        <v>30</v>
      </c>
      <c r="U46" s="7">
        <v>51</v>
      </c>
      <c r="V46" s="16">
        <f t="shared" si="2"/>
        <v>1530</v>
      </c>
      <c r="W46" s="7">
        <v>5</v>
      </c>
      <c r="X46" s="15" t="s">
        <v>46</v>
      </c>
      <c r="Y46" s="54" t="s">
        <v>97</v>
      </c>
      <c r="Z46" s="54" t="s">
        <v>55</v>
      </c>
      <c r="AA46" s="54" t="s">
        <v>64</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0.6</v>
      </c>
      <c r="P47" s="7">
        <v>0.6</v>
      </c>
      <c r="Q47" s="52">
        <f t="shared" si="0"/>
        <v>0.6</v>
      </c>
      <c r="R47" s="7">
        <v>16.600000000000001</v>
      </c>
      <c r="S47" s="7">
        <v>129</v>
      </c>
      <c r="T47" s="16">
        <f t="shared" si="1"/>
        <v>25</v>
      </c>
      <c r="U47" s="7">
        <v>135</v>
      </c>
      <c r="V47" s="16">
        <f t="shared" si="2"/>
        <v>3375</v>
      </c>
      <c r="W47" s="7">
        <v>13</v>
      </c>
      <c r="X47" s="15" t="s">
        <v>46</v>
      </c>
      <c r="Y47" s="54" t="s">
        <v>97</v>
      </c>
      <c r="Z47" s="54" t="s">
        <v>55</v>
      </c>
      <c r="AA47" s="54" t="s">
        <v>64</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0.7</v>
      </c>
      <c r="P48" s="7">
        <v>0.7</v>
      </c>
      <c r="Q48" s="52">
        <f t="shared" si="0"/>
        <v>0.7</v>
      </c>
      <c r="R48" s="7">
        <v>15</v>
      </c>
      <c r="S48" s="7">
        <v>135</v>
      </c>
      <c r="T48" s="16">
        <f t="shared" si="1"/>
        <v>25</v>
      </c>
      <c r="U48" s="7">
        <v>135</v>
      </c>
      <c r="V48" s="16">
        <f t="shared" si="2"/>
        <v>3375</v>
      </c>
      <c r="W48" s="7">
        <v>13</v>
      </c>
      <c r="X48" s="15" t="s">
        <v>46</v>
      </c>
      <c r="Y48" s="54" t="s">
        <v>97</v>
      </c>
      <c r="Z48" s="54" t="s">
        <v>55</v>
      </c>
      <c r="AA48" s="54" t="s">
        <v>64</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0.65</v>
      </c>
      <c r="P49" s="34">
        <v>0.55000000000000004</v>
      </c>
      <c r="Q49" s="52">
        <f t="shared" si="0"/>
        <v>0.60000000000000009</v>
      </c>
      <c r="R49" s="7">
        <v>19.100000000000001</v>
      </c>
      <c r="S49" s="7">
        <v>132</v>
      </c>
      <c r="T49" s="16">
        <f t="shared" si="1"/>
        <v>25</v>
      </c>
      <c r="U49" s="7">
        <v>135</v>
      </c>
      <c r="V49" s="16">
        <f t="shared" si="2"/>
        <v>3375</v>
      </c>
      <c r="W49" s="7">
        <v>13</v>
      </c>
      <c r="X49" s="15" t="s">
        <v>46</v>
      </c>
      <c r="Y49" s="54" t="s">
        <v>97</v>
      </c>
      <c r="Z49" s="54" t="s">
        <v>55</v>
      </c>
      <c r="AA49" s="54" t="s">
        <v>64</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0.7</v>
      </c>
      <c r="P50" s="7">
        <v>0.7</v>
      </c>
      <c r="Q50" s="52">
        <f t="shared" si="0"/>
        <v>0.7</v>
      </c>
      <c r="R50" s="7">
        <v>15.3</v>
      </c>
      <c r="S50" s="7">
        <v>108</v>
      </c>
      <c r="T50" s="16">
        <f t="shared" si="1"/>
        <v>33</v>
      </c>
      <c r="U50" s="7">
        <v>84</v>
      </c>
      <c r="V50" s="16">
        <f t="shared" si="2"/>
        <v>2772</v>
      </c>
      <c r="W50" s="7">
        <v>8</v>
      </c>
      <c r="X50" s="15" t="s">
        <v>46</v>
      </c>
      <c r="Y50" s="54" t="s">
        <v>55</v>
      </c>
      <c r="Z50" s="54" t="s">
        <v>86</v>
      </c>
      <c r="AA50" s="54" t="s">
        <v>97</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0.75</v>
      </c>
      <c r="P51" s="7">
        <v>0.75</v>
      </c>
      <c r="Q51" s="52">
        <f t="shared" si="0"/>
        <v>0.75</v>
      </c>
      <c r="R51" s="7">
        <v>14</v>
      </c>
      <c r="S51" s="7">
        <v>109</v>
      </c>
      <c r="T51" s="16">
        <f t="shared" si="1"/>
        <v>33</v>
      </c>
      <c r="U51" s="7">
        <v>84</v>
      </c>
      <c r="V51" s="16">
        <f t="shared" si="2"/>
        <v>2772</v>
      </c>
      <c r="W51" s="7">
        <v>8</v>
      </c>
      <c r="X51" s="15" t="s">
        <v>46</v>
      </c>
      <c r="Y51" s="54" t="s">
        <v>55</v>
      </c>
      <c r="Z51" s="54" t="s">
        <v>86</v>
      </c>
      <c r="AA51" s="54" t="s">
        <v>97</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0.6</v>
      </c>
      <c r="P52" s="7">
        <v>0.7</v>
      </c>
      <c r="Q52" s="52">
        <f t="shared" si="0"/>
        <v>0.64999999999999991</v>
      </c>
      <c r="R52" s="7">
        <v>13.2</v>
      </c>
      <c r="S52" s="7">
        <v>115</v>
      </c>
      <c r="T52" s="16">
        <f t="shared" si="1"/>
        <v>30</v>
      </c>
      <c r="U52" s="7">
        <v>84</v>
      </c>
      <c r="V52" s="16">
        <f t="shared" si="2"/>
        <v>2520</v>
      </c>
      <c r="W52" s="7">
        <v>8</v>
      </c>
      <c r="X52" s="15" t="s">
        <v>46</v>
      </c>
      <c r="Y52" s="54" t="s">
        <v>55</v>
      </c>
      <c r="Z52" s="54" t="s">
        <v>86</v>
      </c>
      <c r="AA52" s="54" t="s">
        <v>97</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0.7</v>
      </c>
      <c r="P53" s="7">
        <v>0.8</v>
      </c>
      <c r="Q53" s="52">
        <f t="shared" si="0"/>
        <v>0.75</v>
      </c>
      <c r="R53" s="7">
        <v>18.399999999999999</v>
      </c>
      <c r="S53" s="7">
        <v>127</v>
      </c>
      <c r="T53" s="16">
        <f t="shared" si="1"/>
        <v>27</v>
      </c>
      <c r="U53" s="7">
        <v>138</v>
      </c>
      <c r="V53" s="16">
        <f t="shared" si="2"/>
        <v>3726</v>
      </c>
      <c r="W53" s="7">
        <v>8</v>
      </c>
      <c r="X53" s="15" t="s">
        <v>46</v>
      </c>
      <c r="Y53" s="54" t="s">
        <v>55</v>
      </c>
      <c r="Z53" s="54" t="s">
        <v>86</v>
      </c>
      <c r="AA53" s="54" t="s">
        <v>97</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0.85</v>
      </c>
      <c r="P54" s="7">
        <v>0.85</v>
      </c>
      <c r="Q54" s="52">
        <f t="shared" si="0"/>
        <v>0.85</v>
      </c>
      <c r="R54" s="7">
        <v>19</v>
      </c>
      <c r="S54" s="7">
        <v>130</v>
      </c>
      <c r="T54" s="16">
        <f t="shared" si="1"/>
        <v>25</v>
      </c>
      <c r="U54" s="7">
        <v>138</v>
      </c>
      <c r="V54" s="16">
        <f t="shared" si="2"/>
        <v>3450</v>
      </c>
      <c r="W54" s="7">
        <v>8</v>
      </c>
      <c r="X54" s="15" t="s">
        <v>46</v>
      </c>
      <c r="Y54" s="54" t="s">
        <v>55</v>
      </c>
      <c r="Z54" s="54" t="s">
        <v>86</v>
      </c>
      <c r="AA54" s="54" t="s">
        <v>97</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0.65</v>
      </c>
      <c r="P55" s="7">
        <v>0.55000000000000004</v>
      </c>
      <c r="Q55" s="52">
        <f t="shared" si="0"/>
        <v>0.60000000000000009</v>
      </c>
      <c r="R55" s="7">
        <v>19.2</v>
      </c>
      <c r="S55" s="7">
        <v>134</v>
      </c>
      <c r="T55" s="16">
        <f t="shared" si="1"/>
        <v>25</v>
      </c>
      <c r="U55" s="7">
        <v>138</v>
      </c>
      <c r="V55" s="16">
        <f t="shared" si="2"/>
        <v>3450</v>
      </c>
      <c r="W55" s="7">
        <v>8</v>
      </c>
      <c r="X55" s="15" t="s">
        <v>46</v>
      </c>
      <c r="Y55" s="54" t="s">
        <v>55</v>
      </c>
      <c r="Z55" s="54" t="s">
        <v>86</v>
      </c>
      <c r="AA55" s="54" t="s">
        <v>97</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0.55000000000000004</v>
      </c>
      <c r="P56" s="7">
        <v>0.7</v>
      </c>
      <c r="Q56" s="52">
        <f t="shared" si="0"/>
        <v>0.625</v>
      </c>
      <c r="R56" s="7">
        <v>15.9</v>
      </c>
      <c r="S56" s="7">
        <v>127</v>
      </c>
      <c r="T56" s="16">
        <f t="shared" si="1"/>
        <v>27</v>
      </c>
      <c r="U56" s="7">
        <v>95</v>
      </c>
      <c r="V56" s="16">
        <f t="shared" si="2"/>
        <v>2565</v>
      </c>
      <c r="W56" s="7">
        <v>9</v>
      </c>
      <c r="X56" s="15" t="s">
        <v>46</v>
      </c>
      <c r="Y56" s="54" t="s">
        <v>86</v>
      </c>
      <c r="Z56" s="54" t="s">
        <v>47</v>
      </c>
      <c r="AA56" s="54" t="s">
        <v>55</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0.7</v>
      </c>
      <c r="P57" s="7">
        <v>0.65</v>
      </c>
      <c r="Q57" s="52">
        <f t="shared" si="0"/>
        <v>0.67500000000000004</v>
      </c>
      <c r="R57" s="7">
        <v>16</v>
      </c>
      <c r="S57" s="7">
        <v>131</v>
      </c>
      <c r="T57" s="16">
        <f t="shared" si="1"/>
        <v>25</v>
      </c>
      <c r="U57" s="7">
        <v>95</v>
      </c>
      <c r="V57" s="16">
        <f t="shared" si="2"/>
        <v>2375</v>
      </c>
      <c r="W57" s="7">
        <v>9</v>
      </c>
      <c r="X57" s="15" t="s">
        <v>46</v>
      </c>
      <c r="Y57" s="54" t="s">
        <v>86</v>
      </c>
      <c r="Z57" s="54" t="s">
        <v>47</v>
      </c>
      <c r="AA57" s="54" t="s">
        <v>55</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0.75</v>
      </c>
      <c r="P58" s="7">
        <v>0.85</v>
      </c>
      <c r="Q58" s="52">
        <f t="shared" si="0"/>
        <v>0.8</v>
      </c>
      <c r="R58" s="7">
        <v>11.6</v>
      </c>
      <c r="S58" s="7">
        <v>125</v>
      </c>
      <c r="T58" s="16">
        <f t="shared" si="1"/>
        <v>27</v>
      </c>
      <c r="U58" s="7">
        <v>95</v>
      </c>
      <c r="V58" s="16">
        <f t="shared" si="2"/>
        <v>2565</v>
      </c>
      <c r="W58" s="7">
        <v>9</v>
      </c>
      <c r="X58" s="15" t="s">
        <v>46</v>
      </c>
      <c r="Y58" s="54" t="s">
        <v>86</v>
      </c>
      <c r="Z58" s="54" t="s">
        <v>47</v>
      </c>
      <c r="AA58" s="54" t="s">
        <v>55</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0.7</v>
      </c>
      <c r="P59" s="7">
        <v>0.75</v>
      </c>
      <c r="Q59" s="52">
        <f t="shared" si="0"/>
        <v>0.72499999999999998</v>
      </c>
      <c r="R59" s="7">
        <v>18.7</v>
      </c>
      <c r="S59" s="7">
        <v>129</v>
      </c>
      <c r="T59" s="16">
        <f t="shared" si="1"/>
        <v>25</v>
      </c>
      <c r="U59" s="7">
        <v>108</v>
      </c>
      <c r="V59" s="16">
        <f t="shared" si="2"/>
        <v>2700</v>
      </c>
      <c r="W59" s="7">
        <v>8</v>
      </c>
      <c r="X59" s="15" t="s">
        <v>46</v>
      </c>
      <c r="Y59" s="54" t="s">
        <v>86</v>
      </c>
      <c r="Z59" s="54" t="s">
        <v>47</v>
      </c>
      <c r="AA59" s="54" t="s">
        <v>55</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0.8</v>
      </c>
      <c r="P60" s="7">
        <v>0.7</v>
      </c>
      <c r="Q60" s="52">
        <f t="shared" si="0"/>
        <v>0.75</v>
      </c>
      <c r="R60" s="7">
        <v>16</v>
      </c>
      <c r="S60" s="7">
        <v>134</v>
      </c>
      <c r="T60" s="16">
        <f>IF(H60="","",IF(OR(H60="GREEN",H60="GK"),IF(S60&gt;=$AX$2,VLOOKUP(S60,$AX$2:$AY$12,2,1),""),IF(S60&gt;=$AZ$2,VLOOKUP(S60,$AZ$2:$BA$12,2,1),"")))</f>
        <v>25</v>
      </c>
      <c r="U60" s="7">
        <v>108</v>
      </c>
      <c r="V60" s="16">
        <f t="shared" si="2"/>
        <v>2700</v>
      </c>
      <c r="W60" s="7">
        <v>8</v>
      </c>
      <c r="X60" s="15" t="s">
        <v>46</v>
      </c>
      <c r="Y60" s="54" t="s">
        <v>86</v>
      </c>
      <c r="Z60" s="54" t="s">
        <v>47</v>
      </c>
      <c r="AA60" s="54" t="s">
        <v>55</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0.9</v>
      </c>
      <c r="P61" s="7">
        <v>0.85</v>
      </c>
      <c r="Q61" s="52">
        <f t="shared" si="0"/>
        <v>0.875</v>
      </c>
      <c r="R61" s="7">
        <v>15.1</v>
      </c>
      <c r="S61" s="7">
        <v>130</v>
      </c>
      <c r="T61" s="16">
        <f>IF(H61="","",IF(OR(H61="GREEN",H61="GK"),IF(S61&gt;=$AX$2,VLOOKUP(S61,$AX$2:$AY$12,2,1),""),IF(S61&gt;=$AZ$2,VLOOKUP(S61,$AZ$2:$BA$12,2,1),"")))</f>
        <v>25</v>
      </c>
      <c r="U61" s="7">
        <v>108</v>
      </c>
      <c r="V61" s="16">
        <f t="shared" si="2"/>
        <v>2700</v>
      </c>
      <c r="W61" s="7">
        <v>8</v>
      </c>
      <c r="X61" s="15" t="s">
        <v>46</v>
      </c>
      <c r="Y61" s="54" t="s">
        <v>86</v>
      </c>
      <c r="Z61" s="54" t="s">
        <v>47</v>
      </c>
      <c r="AA61" s="54" t="s">
        <v>55</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1EA0-4316-41E9-98A0-18584FA21D25}">
  <dimension ref="A1:BA393"/>
  <sheetViews>
    <sheetView zoomScale="70" zoomScaleNormal="70" workbookViewId="0">
      <selection activeCell="AC153" sqref="AC153"/>
    </sheetView>
  </sheetViews>
  <sheetFormatPr defaultColWidth="9" defaultRowHeight="13.5" x14ac:dyDescent="0.15"/>
  <cols>
    <col min="1" max="3" width="9" style="63"/>
    <col min="4" max="4" width="11" style="63" customWidth="1"/>
    <col min="5" max="5" width="10.875" style="63" customWidth="1"/>
    <col min="6" max="16" width="9" style="63"/>
    <col min="17" max="17" width="9" style="73"/>
    <col min="18" max="18" width="9" style="63"/>
    <col min="19" max="19" width="11.625" style="63" customWidth="1"/>
    <col min="20" max="20" width="9" style="73"/>
    <col min="21" max="21" width="9" style="63"/>
    <col min="22" max="22" width="9" style="73"/>
    <col min="23" max="32" width="9" style="63"/>
    <col min="33" max="33" width="14.375" style="63" customWidth="1"/>
    <col min="34" max="34" width="11.375" style="63" customWidth="1"/>
    <col min="35" max="16384" width="9" style="63"/>
  </cols>
  <sheetData>
    <row r="1" spans="1:53" ht="45" x14ac:dyDescent="0.15">
      <c r="A1" s="55" t="s">
        <v>0</v>
      </c>
      <c r="B1" s="56" t="s">
        <v>167</v>
      </c>
      <c r="C1" s="56" t="s">
        <v>168</v>
      </c>
      <c r="D1" s="57" t="s">
        <v>3</v>
      </c>
      <c r="E1" s="58" t="s">
        <v>4</v>
      </c>
      <c r="F1" s="58" t="s">
        <v>5</v>
      </c>
      <c r="G1" s="58" t="s">
        <v>6</v>
      </c>
      <c r="H1" s="58" t="s">
        <v>7</v>
      </c>
      <c r="I1" s="58" t="s">
        <v>8</v>
      </c>
      <c r="J1" s="58" t="s">
        <v>9</v>
      </c>
      <c r="K1" s="58" t="s">
        <v>10</v>
      </c>
      <c r="L1" s="57" t="s">
        <v>169</v>
      </c>
      <c r="M1" s="57" t="s">
        <v>170</v>
      </c>
      <c r="N1" s="57" t="s">
        <v>13</v>
      </c>
      <c r="O1" s="57" t="s">
        <v>171</v>
      </c>
      <c r="P1" s="57" t="s">
        <v>172</v>
      </c>
      <c r="Q1" s="59" t="s">
        <v>173</v>
      </c>
      <c r="R1" s="57" t="s">
        <v>174</v>
      </c>
      <c r="S1" s="57" t="s">
        <v>175</v>
      </c>
      <c r="T1" s="59" t="s">
        <v>19</v>
      </c>
      <c r="U1" s="60" t="s">
        <v>108</v>
      </c>
      <c r="V1" s="61" t="s">
        <v>20</v>
      </c>
      <c r="W1" s="57" t="s">
        <v>176</v>
      </c>
      <c r="X1" s="58" t="s">
        <v>22</v>
      </c>
      <c r="Y1" s="58" t="s">
        <v>23</v>
      </c>
      <c r="Z1" s="58" t="s">
        <v>24</v>
      </c>
      <c r="AA1" s="58" t="s">
        <v>25</v>
      </c>
      <c r="AB1" s="62" t="s">
        <v>177</v>
      </c>
      <c r="AE1" s="64" t="s">
        <v>0</v>
      </c>
      <c r="AF1" s="65"/>
      <c r="AG1" s="64" t="s">
        <v>4</v>
      </c>
      <c r="AH1" s="64" t="s">
        <v>5</v>
      </c>
      <c r="AI1" s="65"/>
      <c r="AJ1" s="64" t="s">
        <v>6</v>
      </c>
      <c r="AK1" s="65"/>
      <c r="AL1" s="66" t="s">
        <v>7</v>
      </c>
      <c r="AM1" s="65"/>
      <c r="AN1" s="66" t="s">
        <v>8</v>
      </c>
      <c r="AO1" s="65"/>
      <c r="AP1" s="66" t="s">
        <v>27</v>
      </c>
      <c r="AQ1" s="65"/>
      <c r="AR1" s="66" t="s">
        <v>10</v>
      </c>
      <c r="AS1" s="65"/>
      <c r="AT1" s="67" t="s">
        <v>178</v>
      </c>
      <c r="AU1" s="65"/>
      <c r="AV1" s="66" t="s">
        <v>29</v>
      </c>
      <c r="AX1" s="68" t="s">
        <v>179</v>
      </c>
      <c r="AY1" s="69" t="s">
        <v>180</v>
      </c>
      <c r="AZ1" s="69" t="s">
        <v>181</v>
      </c>
      <c r="BA1" s="70" t="s">
        <v>182</v>
      </c>
    </row>
    <row r="2" spans="1:53" x14ac:dyDescent="0.15">
      <c r="A2" s="63" t="s">
        <v>41</v>
      </c>
      <c r="B2" s="63" t="s">
        <v>157</v>
      </c>
      <c r="C2" s="71">
        <v>2019</v>
      </c>
      <c r="D2" s="72" t="s">
        <v>183</v>
      </c>
      <c r="E2" s="63" t="s">
        <v>133</v>
      </c>
      <c r="F2" s="63" t="s">
        <v>184</v>
      </c>
      <c r="G2" s="63" t="s">
        <v>42</v>
      </c>
      <c r="H2" s="63" t="s">
        <v>164</v>
      </c>
      <c r="I2" s="63" t="s">
        <v>159</v>
      </c>
      <c r="J2" s="63" t="s">
        <v>38</v>
      </c>
      <c r="K2" s="63" t="s">
        <v>161</v>
      </c>
      <c r="L2" s="63">
        <v>1</v>
      </c>
      <c r="N2" s="63">
        <v>1</v>
      </c>
      <c r="O2" s="63">
        <v>0.7</v>
      </c>
      <c r="P2" s="63">
        <v>0.6</v>
      </c>
      <c r="Q2" s="73">
        <f t="shared" ref="Q2:Q65" si="0">IF(OR(O2="",P2=""),"",AVERAGE(O2,P2))</f>
        <v>0.64999999999999991</v>
      </c>
      <c r="R2" s="63">
        <v>13.6</v>
      </c>
      <c r="S2" s="63">
        <v>125</v>
      </c>
      <c r="T2" s="73">
        <f t="shared" ref="T2:T65" si="1">IF(H2="","",IF(OR(H2="GREEN",H2="GK"),IF(S2&gt;=$AX$2,VLOOKUP(S2,$AX$2:$AY$10,2,1),""),IF(S2&gt;=$AZ$2,VLOOKUP(S2,$AZ$2:$BA$10,2,1),"")))</f>
        <v>27</v>
      </c>
      <c r="U2" s="63">
        <v>105</v>
      </c>
      <c r="V2" s="73">
        <f t="shared" ref="V2:V65" si="2">IF(OR(N2="",U2="",T2=""),"",U2/N2*T2)</f>
        <v>2835</v>
      </c>
      <c r="W2" s="63">
        <v>6</v>
      </c>
      <c r="X2" s="63" t="s">
        <v>46</v>
      </c>
      <c r="Y2" s="63" t="s">
        <v>97</v>
      </c>
      <c r="Z2" s="63" t="s">
        <v>55</v>
      </c>
      <c r="AA2" s="63" t="s">
        <v>69</v>
      </c>
      <c r="AB2" s="63" t="s">
        <v>158</v>
      </c>
      <c r="AE2" s="74" t="s">
        <v>35</v>
      </c>
      <c r="AG2" s="75" t="s">
        <v>133</v>
      </c>
      <c r="AH2" s="76" t="s">
        <v>184</v>
      </c>
      <c r="AJ2" s="77" t="s">
        <v>36</v>
      </c>
      <c r="AL2" s="77" t="s">
        <v>185</v>
      </c>
      <c r="AN2" s="77" t="s">
        <v>37</v>
      </c>
      <c r="AP2" s="77" t="s">
        <v>38</v>
      </c>
      <c r="AR2" s="77" t="s">
        <v>161</v>
      </c>
      <c r="AT2" s="77" t="s">
        <v>39</v>
      </c>
      <c r="AV2" s="77" t="s">
        <v>40</v>
      </c>
      <c r="AX2" s="78">
        <v>1</v>
      </c>
      <c r="AY2" s="79">
        <v>50</v>
      </c>
      <c r="AZ2" s="79">
        <v>1</v>
      </c>
      <c r="BA2" s="80">
        <v>50</v>
      </c>
    </row>
    <row r="3" spans="1:53" x14ac:dyDescent="0.15">
      <c r="A3" s="63" t="s">
        <v>41</v>
      </c>
      <c r="B3" s="63" t="s">
        <v>157</v>
      </c>
      <c r="C3" s="71">
        <v>2019</v>
      </c>
      <c r="D3" s="72" t="s">
        <v>183</v>
      </c>
      <c r="E3" s="63" t="s">
        <v>133</v>
      </c>
      <c r="F3" s="63" t="s">
        <v>184</v>
      </c>
      <c r="G3" s="63" t="s">
        <v>42</v>
      </c>
      <c r="H3" s="63" t="s">
        <v>164</v>
      </c>
      <c r="I3" s="63" t="s">
        <v>159</v>
      </c>
      <c r="J3" s="63" t="s">
        <v>38</v>
      </c>
      <c r="K3" s="63" t="s">
        <v>161</v>
      </c>
      <c r="L3" s="63">
        <v>2</v>
      </c>
      <c r="N3" s="63">
        <v>1</v>
      </c>
      <c r="O3" s="63">
        <v>0.6</v>
      </c>
      <c r="P3" s="63">
        <v>0.65</v>
      </c>
      <c r="Q3" s="73">
        <f t="shared" si="0"/>
        <v>0.625</v>
      </c>
      <c r="R3" s="63">
        <v>10.5</v>
      </c>
      <c r="S3" s="63">
        <v>124</v>
      </c>
      <c r="T3" s="73">
        <f t="shared" si="1"/>
        <v>27</v>
      </c>
      <c r="U3" s="63">
        <v>105</v>
      </c>
      <c r="V3" s="73">
        <f t="shared" si="2"/>
        <v>2835</v>
      </c>
      <c r="W3" s="63">
        <v>6</v>
      </c>
      <c r="X3" s="63" t="s">
        <v>46</v>
      </c>
      <c r="Y3" s="63" t="s">
        <v>97</v>
      </c>
      <c r="Z3" s="63" t="s">
        <v>55</v>
      </c>
      <c r="AA3" s="63" t="s">
        <v>69</v>
      </c>
      <c r="AB3" s="63" t="s">
        <v>158</v>
      </c>
      <c r="AE3" s="81" t="s">
        <v>41</v>
      </c>
      <c r="AG3" s="82" t="s">
        <v>186</v>
      </c>
      <c r="AH3" s="82" t="s">
        <v>184</v>
      </c>
      <c r="AJ3" s="83" t="s">
        <v>42</v>
      </c>
      <c r="AL3" s="83" t="s">
        <v>187</v>
      </c>
      <c r="AN3" s="83" t="s">
        <v>43</v>
      </c>
      <c r="AP3" s="83" t="s">
        <v>44</v>
      </c>
      <c r="AR3" s="83" t="s">
        <v>45</v>
      </c>
      <c r="AT3" s="83" t="s">
        <v>46</v>
      </c>
      <c r="AV3" s="83" t="s">
        <v>47</v>
      </c>
      <c r="AX3" s="84">
        <v>72</v>
      </c>
      <c r="AY3" s="85">
        <v>46</v>
      </c>
      <c r="AZ3" s="85">
        <v>71</v>
      </c>
      <c r="BA3" s="86">
        <v>42</v>
      </c>
    </row>
    <row r="4" spans="1:53" x14ac:dyDescent="0.15">
      <c r="A4" s="63" t="s">
        <v>41</v>
      </c>
      <c r="B4" s="63" t="s">
        <v>157</v>
      </c>
      <c r="C4" s="71">
        <v>2019</v>
      </c>
      <c r="D4" s="72" t="s">
        <v>183</v>
      </c>
      <c r="E4" s="63" t="s">
        <v>133</v>
      </c>
      <c r="F4" s="63" t="s">
        <v>184</v>
      </c>
      <c r="G4" s="63" t="s">
        <v>42</v>
      </c>
      <c r="H4" s="63" t="s">
        <v>164</v>
      </c>
      <c r="I4" s="63" t="s">
        <v>159</v>
      </c>
      <c r="J4" s="63" t="s">
        <v>38</v>
      </c>
      <c r="K4" s="63" t="s">
        <v>161</v>
      </c>
      <c r="L4" s="63">
        <v>3</v>
      </c>
      <c r="N4" s="63">
        <v>1</v>
      </c>
      <c r="O4" s="63">
        <v>0.65</v>
      </c>
      <c r="P4" s="63">
        <v>0.5</v>
      </c>
      <c r="Q4" s="73">
        <f t="shared" si="0"/>
        <v>0.57499999999999996</v>
      </c>
      <c r="R4" s="63">
        <v>15.2</v>
      </c>
      <c r="S4" s="63">
        <v>126</v>
      </c>
      <c r="T4" s="73">
        <f t="shared" si="1"/>
        <v>27</v>
      </c>
      <c r="U4" s="63">
        <v>105</v>
      </c>
      <c r="V4" s="73">
        <f t="shared" si="2"/>
        <v>2835</v>
      </c>
      <c r="W4" s="63">
        <v>6</v>
      </c>
      <c r="X4" s="63" t="s">
        <v>46</v>
      </c>
      <c r="Y4" s="63" t="s">
        <v>97</v>
      </c>
      <c r="Z4" s="63" t="s">
        <v>55</v>
      </c>
      <c r="AA4" s="63" t="s">
        <v>69</v>
      </c>
      <c r="AB4" s="63" t="s">
        <v>158</v>
      </c>
      <c r="AE4" s="81" t="s">
        <v>34</v>
      </c>
      <c r="AG4" s="82" t="s">
        <v>186</v>
      </c>
      <c r="AH4" s="82" t="s">
        <v>188</v>
      </c>
      <c r="AJ4" s="87" t="s">
        <v>48</v>
      </c>
      <c r="AL4" s="87" t="s">
        <v>189</v>
      </c>
      <c r="AN4" s="88" t="s">
        <v>190</v>
      </c>
      <c r="AP4" s="83" t="s">
        <v>191</v>
      </c>
      <c r="AR4" s="83" t="s">
        <v>192</v>
      </c>
      <c r="AT4" s="88"/>
      <c r="AV4" s="83" t="s">
        <v>50</v>
      </c>
      <c r="AX4" s="84">
        <v>75</v>
      </c>
      <c r="AY4" s="85">
        <v>42</v>
      </c>
      <c r="AZ4" s="85">
        <v>76</v>
      </c>
      <c r="BA4" s="86">
        <v>39</v>
      </c>
    </row>
    <row r="5" spans="1:53" ht="13.5" customHeight="1" x14ac:dyDescent="0.15">
      <c r="A5" s="63" t="s">
        <v>41</v>
      </c>
      <c r="B5" s="63" t="s">
        <v>157</v>
      </c>
      <c r="C5" s="71">
        <v>2019</v>
      </c>
      <c r="D5" s="72" t="s">
        <v>165</v>
      </c>
      <c r="E5" s="63" t="s">
        <v>133</v>
      </c>
      <c r="F5" s="63" t="s">
        <v>184</v>
      </c>
      <c r="G5" s="63" t="s">
        <v>42</v>
      </c>
      <c r="H5" s="63" t="s">
        <v>193</v>
      </c>
      <c r="I5" s="63" t="s">
        <v>159</v>
      </c>
      <c r="J5" s="63" t="s">
        <v>38</v>
      </c>
      <c r="K5" s="63" t="s">
        <v>161</v>
      </c>
      <c r="L5" s="63">
        <v>1</v>
      </c>
      <c r="N5" s="63">
        <v>8</v>
      </c>
      <c r="O5" s="63">
        <v>0.25</v>
      </c>
      <c r="P5" s="63">
        <v>0.25</v>
      </c>
      <c r="Q5" s="89">
        <f t="shared" si="0"/>
        <v>0.25</v>
      </c>
      <c r="R5" s="63">
        <v>14.5</v>
      </c>
      <c r="S5" s="63">
        <v>113</v>
      </c>
      <c r="T5" s="73">
        <f t="shared" si="1"/>
        <v>30</v>
      </c>
      <c r="U5" s="63">
        <v>753</v>
      </c>
      <c r="V5" s="73">
        <f t="shared" si="2"/>
        <v>2823.75</v>
      </c>
      <c r="W5" s="63">
        <v>2</v>
      </c>
      <c r="X5" s="63" t="s">
        <v>46</v>
      </c>
      <c r="Y5" s="63" t="s">
        <v>97</v>
      </c>
      <c r="Z5" s="63" t="s">
        <v>55</v>
      </c>
      <c r="AA5" s="63" t="s">
        <v>69</v>
      </c>
      <c r="AB5" s="63" t="s">
        <v>158</v>
      </c>
      <c r="AE5" s="81" t="s">
        <v>51</v>
      </c>
      <c r="AG5" s="82" t="s">
        <v>194</v>
      </c>
      <c r="AH5" s="82" t="s">
        <v>184</v>
      </c>
      <c r="AJ5" s="88"/>
      <c r="AL5" s="90" t="s">
        <v>164</v>
      </c>
      <c r="AN5" s="90" t="s">
        <v>159</v>
      </c>
      <c r="AP5" s="83" t="s">
        <v>195</v>
      </c>
      <c r="AR5" s="83" t="s">
        <v>54</v>
      </c>
      <c r="AV5" s="83" t="s">
        <v>55</v>
      </c>
      <c r="AX5" s="84">
        <v>84</v>
      </c>
      <c r="AY5" s="85">
        <v>39</v>
      </c>
      <c r="AZ5" s="85">
        <v>84</v>
      </c>
      <c r="BA5" s="86">
        <v>36</v>
      </c>
    </row>
    <row r="6" spans="1:53" x14ac:dyDescent="0.15">
      <c r="A6" s="63" t="s">
        <v>41</v>
      </c>
      <c r="B6" s="63" t="s">
        <v>157</v>
      </c>
      <c r="C6" s="71">
        <v>2019</v>
      </c>
      <c r="D6" s="72" t="s">
        <v>165</v>
      </c>
      <c r="E6" s="63" t="s">
        <v>133</v>
      </c>
      <c r="F6" s="63" t="s">
        <v>184</v>
      </c>
      <c r="G6" s="63" t="s">
        <v>42</v>
      </c>
      <c r="H6" s="63" t="s">
        <v>193</v>
      </c>
      <c r="I6" s="63" t="s">
        <v>159</v>
      </c>
      <c r="J6" s="63" t="s">
        <v>38</v>
      </c>
      <c r="K6" s="63" t="s">
        <v>161</v>
      </c>
      <c r="L6" s="63">
        <v>2</v>
      </c>
      <c r="N6" s="63">
        <v>8</v>
      </c>
      <c r="O6" s="63">
        <v>0.25</v>
      </c>
      <c r="P6" s="63">
        <v>0.25</v>
      </c>
      <c r="Q6" s="89">
        <f t="shared" si="0"/>
        <v>0.25</v>
      </c>
      <c r="R6" s="63">
        <v>14.5</v>
      </c>
      <c r="S6" s="63">
        <v>110</v>
      </c>
      <c r="T6" s="73">
        <f t="shared" si="1"/>
        <v>33</v>
      </c>
      <c r="U6" s="63">
        <v>753</v>
      </c>
      <c r="V6" s="73">
        <f t="shared" si="2"/>
        <v>3106.125</v>
      </c>
      <c r="W6" s="63">
        <v>2</v>
      </c>
      <c r="X6" s="63" t="s">
        <v>46</v>
      </c>
      <c r="Y6" s="63" t="s">
        <v>97</v>
      </c>
      <c r="Z6" s="63" t="s">
        <v>55</v>
      </c>
      <c r="AA6" s="63" t="s">
        <v>69</v>
      </c>
      <c r="AB6" s="63" t="s">
        <v>158</v>
      </c>
      <c r="AE6" s="81" t="s">
        <v>56</v>
      </c>
      <c r="AG6" s="82" t="s">
        <v>194</v>
      </c>
      <c r="AH6" s="82" t="s">
        <v>196</v>
      </c>
      <c r="AL6" s="90" t="s">
        <v>197</v>
      </c>
      <c r="AN6" s="90" t="s">
        <v>198</v>
      </c>
      <c r="AP6" s="83" t="s">
        <v>53</v>
      </c>
      <c r="AR6" s="83" t="s">
        <v>59</v>
      </c>
      <c r="AV6" s="83" t="s">
        <v>60</v>
      </c>
      <c r="AX6" s="84">
        <v>97</v>
      </c>
      <c r="AY6" s="85">
        <v>36</v>
      </c>
      <c r="AZ6" s="85">
        <v>99</v>
      </c>
      <c r="BA6" s="86">
        <v>33</v>
      </c>
    </row>
    <row r="7" spans="1:53" x14ac:dyDescent="0.15">
      <c r="A7" s="63" t="s">
        <v>41</v>
      </c>
      <c r="B7" s="63" t="s">
        <v>157</v>
      </c>
      <c r="C7" s="71">
        <v>2019</v>
      </c>
      <c r="D7" s="72" t="s">
        <v>165</v>
      </c>
      <c r="E7" s="63" t="s">
        <v>133</v>
      </c>
      <c r="F7" s="63" t="s">
        <v>184</v>
      </c>
      <c r="G7" s="63" t="s">
        <v>42</v>
      </c>
      <c r="H7" s="63" t="s">
        <v>193</v>
      </c>
      <c r="I7" s="63" t="s">
        <v>159</v>
      </c>
      <c r="J7" s="63" t="s">
        <v>38</v>
      </c>
      <c r="K7" s="63" t="s">
        <v>161</v>
      </c>
      <c r="L7" s="63">
        <v>3</v>
      </c>
      <c r="N7" s="63">
        <v>8</v>
      </c>
      <c r="O7" s="63">
        <v>0.25</v>
      </c>
      <c r="P7" s="63">
        <v>0.25</v>
      </c>
      <c r="Q7" s="89">
        <f t="shared" si="0"/>
        <v>0.25</v>
      </c>
      <c r="R7" s="63">
        <v>16.5</v>
      </c>
      <c r="S7" s="63">
        <v>114</v>
      </c>
      <c r="T7" s="73">
        <f t="shared" si="1"/>
        <v>30</v>
      </c>
      <c r="U7" s="63">
        <v>753</v>
      </c>
      <c r="V7" s="73">
        <f t="shared" si="2"/>
        <v>2823.75</v>
      </c>
      <c r="W7" s="63">
        <v>2</v>
      </c>
      <c r="X7" s="63" t="s">
        <v>46</v>
      </c>
      <c r="Y7" s="63" t="s">
        <v>97</v>
      </c>
      <c r="Z7" s="63" t="s">
        <v>55</v>
      </c>
      <c r="AA7" s="63" t="s">
        <v>69</v>
      </c>
      <c r="AB7" s="63" t="s">
        <v>158</v>
      </c>
      <c r="AE7" s="81" t="s">
        <v>61</v>
      </c>
      <c r="AG7" s="82" t="s">
        <v>199</v>
      </c>
      <c r="AH7" s="82" t="s">
        <v>196</v>
      </c>
      <c r="AL7" s="91" t="s">
        <v>193</v>
      </c>
      <c r="AP7" s="83" t="s">
        <v>58</v>
      </c>
      <c r="AR7" s="83" t="s">
        <v>200</v>
      </c>
      <c r="AV7" s="83" t="s">
        <v>64</v>
      </c>
      <c r="AX7" s="84">
        <v>109</v>
      </c>
      <c r="AY7" s="85">
        <v>33</v>
      </c>
      <c r="AZ7" s="85">
        <v>113</v>
      </c>
      <c r="BA7" s="86">
        <v>30</v>
      </c>
    </row>
    <row r="8" spans="1:53" x14ac:dyDescent="0.15">
      <c r="A8" s="63" t="s">
        <v>41</v>
      </c>
      <c r="B8" s="63" t="s">
        <v>157</v>
      </c>
      <c r="C8" s="71">
        <v>2019</v>
      </c>
      <c r="D8" s="72" t="s">
        <v>165</v>
      </c>
      <c r="E8" s="63" t="s">
        <v>133</v>
      </c>
      <c r="F8" s="63" t="s">
        <v>184</v>
      </c>
      <c r="G8" s="63" t="s">
        <v>42</v>
      </c>
      <c r="H8" s="63" t="s">
        <v>164</v>
      </c>
      <c r="I8" s="63" t="s">
        <v>159</v>
      </c>
      <c r="J8" s="63" t="s">
        <v>38</v>
      </c>
      <c r="K8" s="63" t="s">
        <v>161</v>
      </c>
      <c r="L8" s="63">
        <v>1</v>
      </c>
      <c r="N8" s="63">
        <v>16</v>
      </c>
      <c r="O8" s="63">
        <v>0.3</v>
      </c>
      <c r="P8" s="63">
        <v>0.3</v>
      </c>
      <c r="Q8" s="73">
        <f t="shared" si="0"/>
        <v>0.3</v>
      </c>
      <c r="R8" s="63">
        <v>18.5</v>
      </c>
      <c r="S8" s="63">
        <v>101</v>
      </c>
      <c r="T8" s="73">
        <f t="shared" si="1"/>
        <v>33</v>
      </c>
      <c r="U8" s="63">
        <v>1026</v>
      </c>
      <c r="V8" s="73">
        <f t="shared" si="2"/>
        <v>2116.125</v>
      </c>
      <c r="W8" s="63">
        <v>4</v>
      </c>
      <c r="X8" s="63" t="s">
        <v>46</v>
      </c>
      <c r="Y8" s="63" t="s">
        <v>97</v>
      </c>
      <c r="Z8" s="63" t="s">
        <v>55</v>
      </c>
      <c r="AA8" s="63" t="s">
        <v>69</v>
      </c>
      <c r="AB8" s="63" t="s">
        <v>158</v>
      </c>
      <c r="AE8" s="81" t="s">
        <v>59</v>
      </c>
      <c r="AG8" s="82" t="s">
        <v>201</v>
      </c>
      <c r="AH8" s="82" t="s">
        <v>202</v>
      </c>
      <c r="AL8" s="91" t="s">
        <v>160</v>
      </c>
      <c r="AP8" s="83" t="s">
        <v>62</v>
      </c>
      <c r="AR8" s="83" t="s">
        <v>81</v>
      </c>
      <c r="AV8" s="83" t="s">
        <v>97</v>
      </c>
      <c r="AX8" s="84">
        <v>119</v>
      </c>
      <c r="AY8" s="85">
        <v>30</v>
      </c>
      <c r="AZ8" s="85">
        <v>121</v>
      </c>
      <c r="BA8" s="86">
        <v>27</v>
      </c>
    </row>
    <row r="9" spans="1:53" x14ac:dyDescent="0.15">
      <c r="A9" s="63" t="s">
        <v>41</v>
      </c>
      <c r="B9" s="63" t="s">
        <v>157</v>
      </c>
      <c r="C9" s="71">
        <v>2019</v>
      </c>
      <c r="D9" s="72" t="s">
        <v>165</v>
      </c>
      <c r="E9" s="63" t="s">
        <v>133</v>
      </c>
      <c r="F9" s="63" t="s">
        <v>184</v>
      </c>
      <c r="G9" s="63" t="s">
        <v>42</v>
      </c>
      <c r="H9" s="63" t="s">
        <v>164</v>
      </c>
      <c r="I9" s="63" t="s">
        <v>159</v>
      </c>
      <c r="J9" s="63" t="s">
        <v>38</v>
      </c>
      <c r="K9" s="63" t="s">
        <v>161</v>
      </c>
      <c r="L9" s="63">
        <v>2</v>
      </c>
      <c r="N9" s="63">
        <v>16</v>
      </c>
      <c r="O9" s="63">
        <v>0.7</v>
      </c>
      <c r="P9" s="63">
        <v>0.6</v>
      </c>
      <c r="Q9" s="73">
        <f t="shared" si="0"/>
        <v>0.64999999999999991</v>
      </c>
      <c r="R9" s="63">
        <v>16</v>
      </c>
      <c r="S9" s="63">
        <v>102</v>
      </c>
      <c r="T9" s="73">
        <f t="shared" si="1"/>
        <v>33</v>
      </c>
      <c r="U9" s="63">
        <v>1026</v>
      </c>
      <c r="V9" s="73">
        <f t="shared" si="2"/>
        <v>2116.125</v>
      </c>
      <c r="W9" s="63">
        <v>4</v>
      </c>
      <c r="X9" s="63" t="s">
        <v>46</v>
      </c>
      <c r="Y9" s="63" t="s">
        <v>97</v>
      </c>
      <c r="Z9" s="63" t="s">
        <v>55</v>
      </c>
      <c r="AA9" s="63" t="s">
        <v>69</v>
      </c>
      <c r="AB9" s="63" t="s">
        <v>158</v>
      </c>
      <c r="AE9" s="81" t="s">
        <v>203</v>
      </c>
      <c r="AG9" s="82" t="s">
        <v>204</v>
      </c>
      <c r="AH9" s="82" t="s">
        <v>205</v>
      </c>
      <c r="AL9" s="90"/>
      <c r="AP9" s="83" t="s">
        <v>95</v>
      </c>
      <c r="AR9" s="83" t="s">
        <v>206</v>
      </c>
      <c r="AV9" s="83" t="s">
        <v>102</v>
      </c>
      <c r="AX9" s="84">
        <v>128</v>
      </c>
      <c r="AY9" s="85">
        <v>27</v>
      </c>
      <c r="AZ9" s="85">
        <v>129</v>
      </c>
      <c r="BA9" s="86">
        <v>25</v>
      </c>
    </row>
    <row r="10" spans="1:53" x14ac:dyDescent="0.15">
      <c r="A10" s="63" t="s">
        <v>41</v>
      </c>
      <c r="B10" s="63" t="s">
        <v>157</v>
      </c>
      <c r="C10" s="71">
        <v>2019</v>
      </c>
      <c r="D10" s="72" t="s">
        <v>165</v>
      </c>
      <c r="E10" s="63" t="s">
        <v>133</v>
      </c>
      <c r="F10" s="63" t="s">
        <v>184</v>
      </c>
      <c r="G10" s="63" t="s">
        <v>42</v>
      </c>
      <c r="H10" s="63" t="s">
        <v>164</v>
      </c>
      <c r="I10" s="63" t="s">
        <v>159</v>
      </c>
      <c r="J10" s="63" t="s">
        <v>38</v>
      </c>
      <c r="K10" s="63" t="s">
        <v>161</v>
      </c>
      <c r="L10" s="63">
        <v>3</v>
      </c>
      <c r="N10" s="63">
        <v>16</v>
      </c>
      <c r="O10" s="63">
        <v>0.65</v>
      </c>
      <c r="P10" s="63">
        <v>0.45</v>
      </c>
      <c r="Q10" s="73">
        <f t="shared" si="0"/>
        <v>0.55000000000000004</v>
      </c>
      <c r="R10" s="63">
        <v>13.1</v>
      </c>
      <c r="S10" s="63">
        <v>100</v>
      </c>
      <c r="T10" s="73">
        <f t="shared" si="1"/>
        <v>33</v>
      </c>
      <c r="U10" s="63">
        <v>1026</v>
      </c>
      <c r="V10" s="73">
        <f t="shared" si="2"/>
        <v>2116.125</v>
      </c>
      <c r="W10" s="63">
        <v>4</v>
      </c>
      <c r="X10" s="63" t="s">
        <v>46</v>
      </c>
      <c r="Y10" s="63" t="s">
        <v>97</v>
      </c>
      <c r="Z10" s="63" t="s">
        <v>55</v>
      </c>
      <c r="AA10" s="63" t="s">
        <v>69</v>
      </c>
      <c r="AB10" s="63" t="s">
        <v>158</v>
      </c>
      <c r="AE10" s="81" t="s">
        <v>207</v>
      </c>
      <c r="AG10" s="82" t="s">
        <v>201</v>
      </c>
      <c r="AH10" s="82" t="s">
        <v>208</v>
      </c>
      <c r="AL10" s="91"/>
      <c r="AP10" s="83" t="s">
        <v>100</v>
      </c>
      <c r="AR10" s="83" t="s">
        <v>209</v>
      </c>
      <c r="AV10" s="83" t="s">
        <v>106</v>
      </c>
      <c r="AX10" s="84">
        <v>138</v>
      </c>
      <c r="AY10" s="85">
        <v>25</v>
      </c>
      <c r="AZ10" s="85">
        <v>138</v>
      </c>
      <c r="BA10" s="86">
        <v>22</v>
      </c>
    </row>
    <row r="11" spans="1:53" x14ac:dyDescent="0.15">
      <c r="A11" s="63" t="s">
        <v>41</v>
      </c>
      <c r="B11" s="63" t="s">
        <v>157</v>
      </c>
      <c r="C11" s="71">
        <v>2019</v>
      </c>
      <c r="D11" s="72" t="s">
        <v>165</v>
      </c>
      <c r="E11" s="63" t="s">
        <v>133</v>
      </c>
      <c r="F11" s="63" t="s">
        <v>184</v>
      </c>
      <c r="G11" s="63" t="s">
        <v>42</v>
      </c>
      <c r="H11" s="63" t="s">
        <v>160</v>
      </c>
      <c r="I11" s="63" t="s">
        <v>159</v>
      </c>
      <c r="J11" s="63" t="s">
        <v>38</v>
      </c>
      <c r="K11" s="63" t="s">
        <v>161</v>
      </c>
      <c r="L11" s="63">
        <v>1</v>
      </c>
      <c r="N11" s="63">
        <v>1</v>
      </c>
      <c r="O11" s="63">
        <v>0.3</v>
      </c>
      <c r="P11" s="63">
        <v>0.25</v>
      </c>
      <c r="Q11" s="92">
        <f t="shared" si="0"/>
        <v>0.27500000000000002</v>
      </c>
      <c r="R11" s="63">
        <v>14.5</v>
      </c>
      <c r="S11" s="63">
        <v>123</v>
      </c>
      <c r="T11" s="73">
        <f t="shared" si="1"/>
        <v>27</v>
      </c>
      <c r="U11" s="63">
        <v>139</v>
      </c>
      <c r="V11" s="73">
        <f t="shared" si="2"/>
        <v>3753</v>
      </c>
      <c r="W11" s="63">
        <v>2</v>
      </c>
      <c r="X11" s="63" t="s">
        <v>46</v>
      </c>
      <c r="Y11" s="63" t="s">
        <v>97</v>
      </c>
      <c r="Z11" s="63" t="s">
        <v>55</v>
      </c>
      <c r="AA11" s="63" t="s">
        <v>69</v>
      </c>
      <c r="AB11" s="63" t="s">
        <v>158</v>
      </c>
      <c r="AE11" s="81" t="s">
        <v>68</v>
      </c>
      <c r="AG11" s="82" t="s">
        <v>210</v>
      </c>
      <c r="AH11" s="82" t="s">
        <v>211</v>
      </c>
      <c r="AL11" s="91"/>
      <c r="AP11" s="83" t="s">
        <v>104</v>
      </c>
      <c r="AR11" s="83" t="s">
        <v>212</v>
      </c>
      <c r="AV11" s="83" t="s">
        <v>69</v>
      </c>
      <c r="AX11" s="84">
        <v>151</v>
      </c>
      <c r="AY11" s="85">
        <v>22</v>
      </c>
      <c r="AZ11" s="85">
        <v>152</v>
      </c>
      <c r="BA11" s="86">
        <v>18</v>
      </c>
    </row>
    <row r="12" spans="1:53" x14ac:dyDescent="0.15">
      <c r="A12" s="63" t="s">
        <v>41</v>
      </c>
      <c r="B12" s="63" t="s">
        <v>157</v>
      </c>
      <c r="C12" s="71">
        <v>2019</v>
      </c>
      <c r="D12" s="72" t="s">
        <v>165</v>
      </c>
      <c r="E12" s="63" t="s">
        <v>133</v>
      </c>
      <c r="F12" s="63" t="s">
        <v>184</v>
      </c>
      <c r="G12" s="63" t="s">
        <v>42</v>
      </c>
      <c r="H12" s="63" t="s">
        <v>160</v>
      </c>
      <c r="I12" s="63" t="s">
        <v>159</v>
      </c>
      <c r="J12" s="63" t="s">
        <v>38</v>
      </c>
      <c r="K12" s="63" t="s">
        <v>161</v>
      </c>
      <c r="L12" s="63">
        <v>2</v>
      </c>
      <c r="N12" s="63">
        <v>1</v>
      </c>
      <c r="O12" s="63">
        <v>0.5</v>
      </c>
      <c r="P12" s="63">
        <v>0.3</v>
      </c>
      <c r="Q12" s="92">
        <f t="shared" si="0"/>
        <v>0.4</v>
      </c>
      <c r="R12" s="63">
        <v>17.100000000000001</v>
      </c>
      <c r="S12" s="63">
        <v>124</v>
      </c>
      <c r="T12" s="73">
        <f t="shared" si="1"/>
        <v>27</v>
      </c>
      <c r="U12" s="63">
        <v>139</v>
      </c>
      <c r="V12" s="73">
        <f t="shared" si="2"/>
        <v>3753</v>
      </c>
      <c r="W12" s="63">
        <v>2</v>
      </c>
      <c r="X12" s="63" t="s">
        <v>46</v>
      </c>
      <c r="Y12" s="63" t="s">
        <v>97</v>
      </c>
      <c r="Z12" s="63" t="s">
        <v>55</v>
      </c>
      <c r="AA12" s="63" t="s">
        <v>69</v>
      </c>
      <c r="AB12" s="63" t="s">
        <v>158</v>
      </c>
      <c r="AE12" s="81" t="s">
        <v>213</v>
      </c>
      <c r="AG12" s="81"/>
      <c r="AH12" s="81"/>
      <c r="AL12" s="91"/>
      <c r="AP12" s="83" t="s">
        <v>67</v>
      </c>
      <c r="AR12" s="83" t="s">
        <v>214</v>
      </c>
      <c r="AV12" s="83" t="s">
        <v>72</v>
      </c>
      <c r="AX12" s="93">
        <v>180</v>
      </c>
      <c r="AY12" s="94">
        <v>18</v>
      </c>
      <c r="AZ12" s="94">
        <v>181</v>
      </c>
      <c r="BA12" s="95">
        <v>16</v>
      </c>
    </row>
    <row r="13" spans="1:53" x14ac:dyDescent="0.15">
      <c r="A13" s="63" t="s">
        <v>41</v>
      </c>
      <c r="B13" s="63" t="s">
        <v>157</v>
      </c>
      <c r="C13" s="71">
        <v>2019</v>
      </c>
      <c r="D13" s="72" t="s">
        <v>165</v>
      </c>
      <c r="E13" s="63" t="s">
        <v>133</v>
      </c>
      <c r="F13" s="63" t="s">
        <v>184</v>
      </c>
      <c r="G13" s="63" t="s">
        <v>42</v>
      </c>
      <c r="H13" s="63" t="s">
        <v>160</v>
      </c>
      <c r="I13" s="63" t="s">
        <v>159</v>
      </c>
      <c r="J13" s="63" t="s">
        <v>38</v>
      </c>
      <c r="K13" s="63" t="s">
        <v>161</v>
      </c>
      <c r="L13" s="63">
        <v>3</v>
      </c>
      <c r="N13" s="63">
        <v>1</v>
      </c>
      <c r="O13" s="63">
        <v>0.25</v>
      </c>
      <c r="P13" s="63">
        <v>0.5</v>
      </c>
      <c r="Q13" s="92">
        <f t="shared" si="0"/>
        <v>0.375</v>
      </c>
      <c r="R13" s="63">
        <v>15.9</v>
      </c>
      <c r="S13" s="63">
        <v>128</v>
      </c>
      <c r="T13" s="73">
        <f t="shared" si="1"/>
        <v>27</v>
      </c>
      <c r="U13" s="63">
        <v>139</v>
      </c>
      <c r="V13" s="73">
        <f t="shared" si="2"/>
        <v>3753</v>
      </c>
      <c r="W13" s="63">
        <v>2</v>
      </c>
      <c r="X13" s="63" t="s">
        <v>46</v>
      </c>
      <c r="Y13" s="63" t="s">
        <v>97</v>
      </c>
      <c r="Z13" s="63" t="s">
        <v>55</v>
      </c>
      <c r="AA13" s="63" t="s">
        <v>69</v>
      </c>
      <c r="AB13" s="63" t="s">
        <v>158</v>
      </c>
      <c r="AE13" s="81" t="s">
        <v>215</v>
      </c>
      <c r="AG13" s="83"/>
      <c r="AH13" s="83"/>
      <c r="AP13" s="83" t="s">
        <v>71</v>
      </c>
      <c r="AR13" s="83" t="s">
        <v>207</v>
      </c>
      <c r="AV13" s="83" t="s">
        <v>75</v>
      </c>
    </row>
    <row r="14" spans="1:53" x14ac:dyDescent="0.15">
      <c r="A14" s="63" t="s">
        <v>41</v>
      </c>
      <c r="B14" s="63" t="s">
        <v>157</v>
      </c>
      <c r="C14" s="71">
        <v>2019</v>
      </c>
      <c r="D14" s="72" t="s">
        <v>165</v>
      </c>
      <c r="E14" s="63" t="s">
        <v>133</v>
      </c>
      <c r="F14" s="63" t="s">
        <v>184</v>
      </c>
      <c r="G14" s="63" t="s">
        <v>42</v>
      </c>
      <c r="H14" s="63" t="s">
        <v>160</v>
      </c>
      <c r="I14" s="63" t="s">
        <v>159</v>
      </c>
      <c r="J14" s="63" t="s">
        <v>38</v>
      </c>
      <c r="K14" s="63" t="s">
        <v>161</v>
      </c>
      <c r="L14" s="63">
        <v>1</v>
      </c>
      <c r="N14" s="63">
        <v>16</v>
      </c>
      <c r="O14" s="63">
        <v>0.45</v>
      </c>
      <c r="P14" s="63">
        <v>0.35</v>
      </c>
      <c r="Q14" s="89">
        <f t="shared" si="0"/>
        <v>0.4</v>
      </c>
      <c r="R14" s="63">
        <v>14.2</v>
      </c>
      <c r="S14" s="63">
        <v>120</v>
      </c>
      <c r="T14" s="73">
        <f t="shared" si="1"/>
        <v>30</v>
      </c>
      <c r="U14" s="63">
        <v>1026</v>
      </c>
      <c r="V14" s="73">
        <f t="shared" si="2"/>
        <v>1923.75</v>
      </c>
      <c r="W14" s="63">
        <v>3</v>
      </c>
      <c r="X14" s="63" t="s">
        <v>46</v>
      </c>
      <c r="Y14" s="63" t="s">
        <v>97</v>
      </c>
      <c r="Z14" s="63" t="s">
        <v>55</v>
      </c>
      <c r="AA14" s="63" t="s">
        <v>69</v>
      </c>
      <c r="AB14" s="63" t="s">
        <v>158</v>
      </c>
      <c r="AE14" s="81" t="s">
        <v>96</v>
      </c>
      <c r="AG14" s="83"/>
      <c r="AH14" s="83"/>
      <c r="AP14" s="83" t="s">
        <v>74</v>
      </c>
      <c r="AR14" s="83" t="s">
        <v>216</v>
      </c>
      <c r="AV14" s="83" t="s">
        <v>78</v>
      </c>
    </row>
    <row r="15" spans="1:53" x14ac:dyDescent="0.15">
      <c r="A15" s="63" t="s">
        <v>41</v>
      </c>
      <c r="B15" s="63" t="s">
        <v>157</v>
      </c>
      <c r="C15" s="71">
        <v>2019</v>
      </c>
      <c r="D15" s="72" t="s">
        <v>165</v>
      </c>
      <c r="E15" s="63" t="s">
        <v>133</v>
      </c>
      <c r="F15" s="63" t="s">
        <v>184</v>
      </c>
      <c r="G15" s="63" t="s">
        <v>42</v>
      </c>
      <c r="H15" s="63" t="s">
        <v>160</v>
      </c>
      <c r="I15" s="63" t="s">
        <v>159</v>
      </c>
      <c r="J15" s="63" t="s">
        <v>38</v>
      </c>
      <c r="K15" s="63" t="s">
        <v>161</v>
      </c>
      <c r="L15" s="63">
        <v>2</v>
      </c>
      <c r="N15" s="63">
        <v>16</v>
      </c>
      <c r="O15" s="63">
        <v>0.65</v>
      </c>
      <c r="P15" s="63">
        <v>0.5</v>
      </c>
      <c r="Q15" s="89">
        <f t="shared" si="0"/>
        <v>0.57499999999999996</v>
      </c>
      <c r="R15" s="63">
        <v>16.8</v>
      </c>
      <c r="S15" s="63">
        <v>118</v>
      </c>
      <c r="T15" s="73">
        <f t="shared" si="1"/>
        <v>30</v>
      </c>
      <c r="U15" s="63">
        <v>1026</v>
      </c>
      <c r="V15" s="73">
        <f t="shared" si="2"/>
        <v>1923.75</v>
      </c>
      <c r="W15" s="63">
        <v>3</v>
      </c>
      <c r="X15" s="63" t="s">
        <v>46</v>
      </c>
      <c r="Y15" s="63" t="s">
        <v>97</v>
      </c>
      <c r="Z15" s="63" t="s">
        <v>55</v>
      </c>
      <c r="AA15" s="63" t="s">
        <v>69</v>
      </c>
      <c r="AB15" s="63" t="s">
        <v>158</v>
      </c>
      <c r="AE15" s="81" t="s">
        <v>217</v>
      </c>
      <c r="AG15" s="83"/>
      <c r="AH15" s="83"/>
      <c r="AP15" s="83" t="s">
        <v>77</v>
      </c>
      <c r="AR15" s="83" t="s">
        <v>80</v>
      </c>
      <c r="AV15" s="83" t="s">
        <v>107</v>
      </c>
    </row>
    <row r="16" spans="1:53" x14ac:dyDescent="0.15">
      <c r="A16" s="63" t="s">
        <v>41</v>
      </c>
      <c r="B16" s="63" t="s">
        <v>157</v>
      </c>
      <c r="C16" s="71">
        <v>2019</v>
      </c>
      <c r="D16" s="72" t="s">
        <v>165</v>
      </c>
      <c r="E16" s="63" t="s">
        <v>133</v>
      </c>
      <c r="F16" s="63" t="s">
        <v>184</v>
      </c>
      <c r="G16" s="63" t="s">
        <v>42</v>
      </c>
      <c r="H16" s="63" t="s">
        <v>160</v>
      </c>
      <c r="I16" s="63" t="s">
        <v>159</v>
      </c>
      <c r="J16" s="63" t="s">
        <v>38</v>
      </c>
      <c r="K16" s="63" t="s">
        <v>161</v>
      </c>
      <c r="L16" s="63">
        <v>3</v>
      </c>
      <c r="N16" s="63">
        <v>16</v>
      </c>
      <c r="O16" s="63">
        <v>0.5</v>
      </c>
      <c r="P16" s="63">
        <v>0.4</v>
      </c>
      <c r="Q16" s="89">
        <f t="shared" si="0"/>
        <v>0.45</v>
      </c>
      <c r="R16" s="63">
        <v>16.899999999999999</v>
      </c>
      <c r="S16" s="63">
        <v>120</v>
      </c>
      <c r="T16" s="73">
        <f t="shared" si="1"/>
        <v>30</v>
      </c>
      <c r="U16" s="63">
        <v>1026</v>
      </c>
      <c r="V16" s="73">
        <f t="shared" si="2"/>
        <v>1923.75</v>
      </c>
      <c r="W16" s="63">
        <v>3</v>
      </c>
      <c r="X16" s="63" t="s">
        <v>46</v>
      </c>
      <c r="Y16" s="63" t="s">
        <v>97</v>
      </c>
      <c r="Z16" s="63" t="s">
        <v>55</v>
      </c>
      <c r="AA16" s="63" t="s">
        <v>69</v>
      </c>
      <c r="AB16" s="63" t="s">
        <v>158</v>
      </c>
      <c r="AE16" s="81" t="s">
        <v>218</v>
      </c>
      <c r="AG16" s="88"/>
      <c r="AH16" s="88"/>
      <c r="AP16" s="83" t="s">
        <v>80</v>
      </c>
      <c r="AR16" s="83" t="s">
        <v>63</v>
      </c>
      <c r="AV16" s="83" t="s">
        <v>84</v>
      </c>
    </row>
    <row r="17" spans="1:48" x14ac:dyDescent="0.15">
      <c r="A17" s="63" t="s">
        <v>41</v>
      </c>
      <c r="B17" s="63" t="s">
        <v>157</v>
      </c>
      <c r="C17" s="71">
        <v>2019</v>
      </c>
      <c r="D17" s="72" t="s">
        <v>165</v>
      </c>
      <c r="E17" s="63" t="s">
        <v>186</v>
      </c>
      <c r="F17" s="63" t="s">
        <v>184</v>
      </c>
      <c r="G17" s="63" t="s">
        <v>42</v>
      </c>
      <c r="H17" s="63" t="s">
        <v>160</v>
      </c>
      <c r="I17" s="63" t="s">
        <v>159</v>
      </c>
      <c r="J17" s="63" t="s">
        <v>38</v>
      </c>
      <c r="K17" s="63" t="s">
        <v>161</v>
      </c>
      <c r="L17" s="63">
        <v>1</v>
      </c>
      <c r="N17" s="63">
        <v>1</v>
      </c>
      <c r="O17" s="63">
        <v>0.6</v>
      </c>
      <c r="P17" s="63">
        <v>0.65</v>
      </c>
      <c r="Q17" s="89">
        <f t="shared" si="0"/>
        <v>0.625</v>
      </c>
      <c r="R17" s="63">
        <v>18.100000000000001</v>
      </c>
      <c r="S17" s="63">
        <v>124</v>
      </c>
      <c r="T17" s="73">
        <f t="shared" si="1"/>
        <v>27</v>
      </c>
      <c r="U17" s="63">
        <v>105</v>
      </c>
      <c r="V17" s="73">
        <f t="shared" si="2"/>
        <v>2835</v>
      </c>
      <c r="W17" s="63">
        <v>7</v>
      </c>
      <c r="X17" s="63" t="s">
        <v>46</v>
      </c>
      <c r="Y17" s="63" t="s">
        <v>55</v>
      </c>
      <c r="Z17" s="63" t="s">
        <v>97</v>
      </c>
      <c r="AA17" s="63" t="s">
        <v>69</v>
      </c>
      <c r="AB17" s="63" t="s">
        <v>158</v>
      </c>
      <c r="AE17" s="81" t="s">
        <v>219</v>
      </c>
      <c r="AP17" s="87" t="s">
        <v>220</v>
      </c>
      <c r="AR17" s="83" t="s">
        <v>96</v>
      </c>
      <c r="AV17" s="83" t="s">
        <v>86</v>
      </c>
    </row>
    <row r="18" spans="1:48" x14ac:dyDescent="0.15">
      <c r="A18" s="63" t="s">
        <v>41</v>
      </c>
      <c r="B18" s="63" t="s">
        <v>157</v>
      </c>
      <c r="C18" s="71">
        <v>2019</v>
      </c>
      <c r="D18" s="72" t="s">
        <v>165</v>
      </c>
      <c r="E18" s="63" t="s">
        <v>186</v>
      </c>
      <c r="F18" s="63" t="s">
        <v>184</v>
      </c>
      <c r="G18" s="63" t="s">
        <v>42</v>
      </c>
      <c r="H18" s="63" t="s">
        <v>160</v>
      </c>
      <c r="I18" s="63" t="s">
        <v>159</v>
      </c>
      <c r="J18" s="63" t="s">
        <v>38</v>
      </c>
      <c r="K18" s="63" t="s">
        <v>161</v>
      </c>
      <c r="L18" s="63">
        <v>2</v>
      </c>
      <c r="N18" s="63">
        <v>1</v>
      </c>
      <c r="O18" s="63">
        <v>0.45</v>
      </c>
      <c r="P18" s="63">
        <v>0.5</v>
      </c>
      <c r="Q18" s="89">
        <f t="shared" si="0"/>
        <v>0.47499999999999998</v>
      </c>
      <c r="R18" s="63">
        <v>16.100000000000001</v>
      </c>
      <c r="S18" s="63">
        <v>125</v>
      </c>
      <c r="T18" s="73">
        <f t="shared" si="1"/>
        <v>27</v>
      </c>
      <c r="U18" s="63">
        <v>105</v>
      </c>
      <c r="V18" s="73">
        <f t="shared" si="2"/>
        <v>2835</v>
      </c>
      <c r="W18" s="63">
        <v>7</v>
      </c>
      <c r="X18" s="63" t="s">
        <v>46</v>
      </c>
      <c r="Y18" s="63" t="s">
        <v>55</v>
      </c>
      <c r="Z18" s="63" t="s">
        <v>97</v>
      </c>
      <c r="AA18" s="63" t="s">
        <v>69</v>
      </c>
      <c r="AB18" s="63" t="s">
        <v>158</v>
      </c>
      <c r="AE18" s="81" t="s">
        <v>212</v>
      </c>
      <c r="AP18" s="87" t="s">
        <v>221</v>
      </c>
      <c r="AR18" s="83" t="s">
        <v>101</v>
      </c>
      <c r="AV18" s="83" t="s">
        <v>88</v>
      </c>
    </row>
    <row r="19" spans="1:48" x14ac:dyDescent="0.15">
      <c r="A19" s="63" t="s">
        <v>41</v>
      </c>
      <c r="B19" s="63" t="s">
        <v>157</v>
      </c>
      <c r="C19" s="71">
        <v>2019</v>
      </c>
      <c r="D19" s="72" t="s">
        <v>165</v>
      </c>
      <c r="E19" s="63" t="s">
        <v>186</v>
      </c>
      <c r="F19" s="63" t="s">
        <v>184</v>
      </c>
      <c r="G19" s="63" t="s">
        <v>42</v>
      </c>
      <c r="H19" s="63" t="s">
        <v>160</v>
      </c>
      <c r="I19" s="63" t="s">
        <v>159</v>
      </c>
      <c r="J19" s="63" t="s">
        <v>38</v>
      </c>
      <c r="K19" s="63" t="s">
        <v>161</v>
      </c>
      <c r="L19" s="63">
        <v>3</v>
      </c>
      <c r="N19" s="63">
        <v>1</v>
      </c>
      <c r="O19" s="63">
        <v>0.5</v>
      </c>
      <c r="P19" s="63">
        <v>0.45</v>
      </c>
      <c r="Q19" s="89">
        <f t="shared" si="0"/>
        <v>0.47499999999999998</v>
      </c>
      <c r="R19" s="63">
        <v>17.2</v>
      </c>
      <c r="S19" s="63">
        <v>122</v>
      </c>
      <c r="T19" s="73">
        <f t="shared" si="1"/>
        <v>27</v>
      </c>
      <c r="U19" s="63">
        <v>105</v>
      </c>
      <c r="V19" s="73">
        <f t="shared" si="2"/>
        <v>2835</v>
      </c>
      <c r="W19" s="63">
        <v>7</v>
      </c>
      <c r="X19" s="63" t="s">
        <v>46</v>
      </c>
      <c r="Y19" s="63" t="s">
        <v>55</v>
      </c>
      <c r="Z19" s="63" t="s">
        <v>97</v>
      </c>
      <c r="AA19" s="63" t="s">
        <v>69</v>
      </c>
      <c r="AB19" s="63" t="s">
        <v>158</v>
      </c>
      <c r="AE19" s="96" t="s">
        <v>206</v>
      </c>
      <c r="AP19" s="87" t="s">
        <v>222</v>
      </c>
      <c r="AR19" s="83" t="s">
        <v>223</v>
      </c>
      <c r="AV19" s="83" t="s">
        <v>90</v>
      </c>
    </row>
    <row r="20" spans="1:48" x14ac:dyDescent="0.15">
      <c r="A20" s="63" t="s">
        <v>41</v>
      </c>
      <c r="B20" s="63" t="s">
        <v>157</v>
      </c>
      <c r="C20" s="71">
        <v>2019</v>
      </c>
      <c r="D20" s="72" t="s">
        <v>165</v>
      </c>
      <c r="E20" s="63" t="s">
        <v>186</v>
      </c>
      <c r="F20" s="63" t="s">
        <v>184</v>
      </c>
      <c r="G20" s="63" t="s">
        <v>42</v>
      </c>
      <c r="H20" s="63" t="s">
        <v>160</v>
      </c>
      <c r="I20" s="63" t="s">
        <v>159</v>
      </c>
      <c r="J20" s="63" t="s">
        <v>38</v>
      </c>
      <c r="K20" s="63" t="s">
        <v>161</v>
      </c>
      <c r="L20" s="63">
        <v>1</v>
      </c>
      <c r="N20" s="63">
        <v>4</v>
      </c>
      <c r="O20" s="63">
        <v>0.45</v>
      </c>
      <c r="P20" s="63">
        <v>0.3</v>
      </c>
      <c r="Q20" s="89">
        <f t="shared" si="0"/>
        <v>0.375</v>
      </c>
      <c r="R20" s="63">
        <v>12.2</v>
      </c>
      <c r="S20" s="63">
        <v>118</v>
      </c>
      <c r="T20" s="73">
        <f t="shared" si="1"/>
        <v>30</v>
      </c>
      <c r="U20" s="63">
        <v>429</v>
      </c>
      <c r="V20" s="73">
        <f t="shared" si="2"/>
        <v>3217.5</v>
      </c>
      <c r="W20" s="63">
        <v>2</v>
      </c>
      <c r="X20" s="63" t="s">
        <v>46</v>
      </c>
      <c r="Y20" s="63" t="s">
        <v>55</v>
      </c>
      <c r="Z20" s="63" t="s">
        <v>97</v>
      </c>
      <c r="AA20" s="63" t="s">
        <v>69</v>
      </c>
      <c r="AB20" s="63" t="s">
        <v>158</v>
      </c>
      <c r="AE20" s="96"/>
      <c r="AP20" s="87" t="s">
        <v>224</v>
      </c>
      <c r="AR20" s="83" t="s">
        <v>105</v>
      </c>
      <c r="AV20" s="87" t="s">
        <v>225</v>
      </c>
    </row>
    <row r="21" spans="1:48" x14ac:dyDescent="0.15">
      <c r="A21" s="63" t="s">
        <v>41</v>
      </c>
      <c r="B21" s="63" t="s">
        <v>157</v>
      </c>
      <c r="C21" s="71">
        <v>2019</v>
      </c>
      <c r="D21" s="72" t="s">
        <v>165</v>
      </c>
      <c r="E21" s="63" t="s">
        <v>186</v>
      </c>
      <c r="F21" s="63" t="s">
        <v>184</v>
      </c>
      <c r="G21" s="63" t="s">
        <v>42</v>
      </c>
      <c r="H21" s="63" t="s">
        <v>160</v>
      </c>
      <c r="I21" s="63" t="s">
        <v>159</v>
      </c>
      <c r="J21" s="63" t="s">
        <v>38</v>
      </c>
      <c r="K21" s="63" t="s">
        <v>161</v>
      </c>
      <c r="L21" s="63">
        <v>2</v>
      </c>
      <c r="N21" s="63">
        <v>4</v>
      </c>
      <c r="O21" s="63">
        <v>0.5</v>
      </c>
      <c r="P21" s="63">
        <v>0.4</v>
      </c>
      <c r="Q21" s="89">
        <f t="shared" si="0"/>
        <v>0.45</v>
      </c>
      <c r="R21" s="63">
        <v>13.8</v>
      </c>
      <c r="S21" s="63">
        <v>120</v>
      </c>
      <c r="T21" s="73">
        <f t="shared" si="1"/>
        <v>30</v>
      </c>
      <c r="U21" s="63">
        <v>429</v>
      </c>
      <c r="V21" s="73">
        <f t="shared" si="2"/>
        <v>3217.5</v>
      </c>
      <c r="W21" s="63">
        <v>2</v>
      </c>
      <c r="X21" s="63" t="s">
        <v>46</v>
      </c>
      <c r="Y21" s="63" t="s">
        <v>55</v>
      </c>
      <c r="Z21" s="63" t="s">
        <v>97</v>
      </c>
      <c r="AA21" s="63" t="s">
        <v>69</v>
      </c>
      <c r="AB21" s="63" t="s">
        <v>158</v>
      </c>
      <c r="AE21" s="88"/>
      <c r="AP21" s="87" t="s">
        <v>226</v>
      </c>
      <c r="AR21" s="83" t="s">
        <v>68</v>
      </c>
      <c r="AV21" s="87" t="s">
        <v>227</v>
      </c>
    </row>
    <row r="22" spans="1:48" x14ac:dyDescent="0.15">
      <c r="A22" s="63" t="s">
        <v>41</v>
      </c>
      <c r="B22" s="63" t="s">
        <v>157</v>
      </c>
      <c r="C22" s="71">
        <v>2019</v>
      </c>
      <c r="D22" s="72" t="s">
        <v>165</v>
      </c>
      <c r="E22" s="63" t="s">
        <v>186</v>
      </c>
      <c r="F22" s="63" t="s">
        <v>184</v>
      </c>
      <c r="G22" s="63" t="s">
        <v>42</v>
      </c>
      <c r="H22" s="63" t="s">
        <v>160</v>
      </c>
      <c r="I22" s="63" t="s">
        <v>159</v>
      </c>
      <c r="J22" s="63" t="s">
        <v>38</v>
      </c>
      <c r="K22" s="63" t="s">
        <v>161</v>
      </c>
      <c r="L22" s="63">
        <v>3</v>
      </c>
      <c r="N22" s="63">
        <v>4</v>
      </c>
      <c r="O22" s="63">
        <v>0.25</v>
      </c>
      <c r="P22" s="63">
        <v>0.25</v>
      </c>
      <c r="Q22" s="89">
        <f t="shared" si="0"/>
        <v>0.25</v>
      </c>
      <c r="R22" s="63">
        <v>14.1</v>
      </c>
      <c r="S22" s="63">
        <v>115</v>
      </c>
      <c r="T22" s="73">
        <f t="shared" si="1"/>
        <v>30</v>
      </c>
      <c r="U22" s="63">
        <v>429</v>
      </c>
      <c r="V22" s="73">
        <f t="shared" si="2"/>
        <v>3217.5</v>
      </c>
      <c r="W22" s="63">
        <v>2</v>
      </c>
      <c r="X22" s="63" t="s">
        <v>46</v>
      </c>
      <c r="Y22" s="63" t="s">
        <v>55</v>
      </c>
      <c r="Z22" s="63" t="s">
        <v>97</v>
      </c>
      <c r="AA22" s="63" t="s">
        <v>69</v>
      </c>
      <c r="AB22" s="63" t="s">
        <v>158</v>
      </c>
      <c r="AP22" s="87" t="s">
        <v>228</v>
      </c>
      <c r="AR22" s="83" t="s">
        <v>83</v>
      </c>
      <c r="AV22" s="87"/>
    </row>
    <row r="23" spans="1:48" x14ac:dyDescent="0.15">
      <c r="A23" s="63" t="s">
        <v>41</v>
      </c>
      <c r="B23" s="63" t="s">
        <v>157</v>
      </c>
      <c r="C23" s="71">
        <v>2019</v>
      </c>
      <c r="D23" s="72" t="s">
        <v>165</v>
      </c>
      <c r="E23" s="63" t="s">
        <v>186</v>
      </c>
      <c r="F23" s="63" t="s">
        <v>184</v>
      </c>
      <c r="G23" s="63" t="s">
        <v>42</v>
      </c>
      <c r="H23" s="63" t="s">
        <v>160</v>
      </c>
      <c r="I23" s="63" t="s">
        <v>159</v>
      </c>
      <c r="J23" s="63" t="s">
        <v>38</v>
      </c>
      <c r="K23" s="63" t="s">
        <v>161</v>
      </c>
      <c r="L23" s="63">
        <v>1</v>
      </c>
      <c r="N23" s="63">
        <v>6</v>
      </c>
      <c r="O23" s="63">
        <v>0.25</v>
      </c>
      <c r="P23" s="63">
        <v>0.25</v>
      </c>
      <c r="Q23" s="89">
        <f t="shared" si="0"/>
        <v>0.25</v>
      </c>
      <c r="R23" s="63">
        <v>15.2</v>
      </c>
      <c r="S23" s="63">
        <v>110</v>
      </c>
      <c r="T23" s="73">
        <f t="shared" si="1"/>
        <v>33</v>
      </c>
      <c r="U23" s="63">
        <v>626</v>
      </c>
      <c r="V23" s="73">
        <f t="shared" si="2"/>
        <v>3443</v>
      </c>
      <c r="W23" s="63">
        <v>1</v>
      </c>
      <c r="X23" s="63" t="s">
        <v>46</v>
      </c>
      <c r="Y23" s="63" t="s">
        <v>55</v>
      </c>
      <c r="Z23" s="63" t="s">
        <v>97</v>
      </c>
      <c r="AA23" s="63" t="s">
        <v>69</v>
      </c>
      <c r="AB23" s="63" t="s">
        <v>158</v>
      </c>
      <c r="AP23" s="87" t="s">
        <v>229</v>
      </c>
      <c r="AR23" s="88" t="s">
        <v>230</v>
      </c>
      <c r="AV23" s="88"/>
    </row>
    <row r="24" spans="1:48" x14ac:dyDescent="0.15">
      <c r="A24" s="63" t="s">
        <v>41</v>
      </c>
      <c r="B24" s="63" t="s">
        <v>157</v>
      </c>
      <c r="C24" s="71">
        <v>2019</v>
      </c>
      <c r="D24" s="72" t="s">
        <v>165</v>
      </c>
      <c r="E24" s="63" t="s">
        <v>186</v>
      </c>
      <c r="F24" s="63" t="s">
        <v>184</v>
      </c>
      <c r="G24" s="63" t="s">
        <v>42</v>
      </c>
      <c r="H24" s="63" t="s">
        <v>160</v>
      </c>
      <c r="I24" s="63" t="s">
        <v>159</v>
      </c>
      <c r="J24" s="63" t="s">
        <v>38</v>
      </c>
      <c r="K24" s="63" t="s">
        <v>161</v>
      </c>
      <c r="L24" s="63">
        <v>2</v>
      </c>
      <c r="N24" s="63">
        <v>6</v>
      </c>
      <c r="O24" s="63">
        <v>0.25</v>
      </c>
      <c r="P24" s="63">
        <v>0.25</v>
      </c>
      <c r="Q24" s="89">
        <f t="shared" si="0"/>
        <v>0.25</v>
      </c>
      <c r="R24" s="63">
        <v>13.4</v>
      </c>
      <c r="S24" s="63">
        <v>111</v>
      </c>
      <c r="T24" s="73">
        <f t="shared" si="1"/>
        <v>33</v>
      </c>
      <c r="U24" s="63">
        <v>626</v>
      </c>
      <c r="V24" s="73">
        <f t="shared" si="2"/>
        <v>3443</v>
      </c>
      <c r="W24" s="63">
        <v>1</v>
      </c>
      <c r="X24" s="63" t="s">
        <v>46</v>
      </c>
      <c r="Y24" s="63" t="s">
        <v>55</v>
      </c>
      <c r="Z24" s="63" t="s">
        <v>97</v>
      </c>
      <c r="AA24" s="63" t="s">
        <v>69</v>
      </c>
      <c r="AB24" s="63" t="s">
        <v>158</v>
      </c>
      <c r="AP24" s="87" t="s">
        <v>231</v>
      </c>
    </row>
    <row r="25" spans="1:48" x14ac:dyDescent="0.15">
      <c r="A25" s="63" t="s">
        <v>41</v>
      </c>
      <c r="B25" s="63" t="s">
        <v>157</v>
      </c>
      <c r="C25" s="71">
        <v>2019</v>
      </c>
      <c r="D25" s="72" t="s">
        <v>165</v>
      </c>
      <c r="E25" s="63" t="s">
        <v>186</v>
      </c>
      <c r="F25" s="63" t="s">
        <v>184</v>
      </c>
      <c r="G25" s="63" t="s">
        <v>42</v>
      </c>
      <c r="H25" s="63" t="s">
        <v>160</v>
      </c>
      <c r="I25" s="63" t="s">
        <v>159</v>
      </c>
      <c r="J25" s="63" t="s">
        <v>38</v>
      </c>
      <c r="K25" s="63" t="s">
        <v>161</v>
      </c>
      <c r="L25" s="63">
        <v>3</v>
      </c>
      <c r="N25" s="63">
        <v>6</v>
      </c>
      <c r="O25" s="63">
        <v>0.3</v>
      </c>
      <c r="P25" s="63">
        <v>0.25</v>
      </c>
      <c r="Q25" s="89">
        <f t="shared" si="0"/>
        <v>0.27500000000000002</v>
      </c>
      <c r="R25" s="63">
        <v>15.5</v>
      </c>
      <c r="S25" s="63">
        <v>107</v>
      </c>
      <c r="T25" s="73">
        <f t="shared" si="1"/>
        <v>33</v>
      </c>
      <c r="U25" s="63">
        <v>626</v>
      </c>
      <c r="V25" s="73">
        <f t="shared" si="2"/>
        <v>3443</v>
      </c>
      <c r="W25" s="63">
        <v>1</v>
      </c>
      <c r="X25" s="63" t="s">
        <v>46</v>
      </c>
      <c r="Y25" s="63" t="s">
        <v>55</v>
      </c>
      <c r="Z25" s="63" t="s">
        <v>97</v>
      </c>
      <c r="AA25" s="63" t="s">
        <v>69</v>
      </c>
      <c r="AB25" s="63" t="s">
        <v>158</v>
      </c>
    </row>
    <row r="26" spans="1:48" x14ac:dyDescent="0.15">
      <c r="A26" s="63" t="s">
        <v>41</v>
      </c>
      <c r="B26" s="63" t="s">
        <v>157</v>
      </c>
      <c r="C26" s="71">
        <v>2019</v>
      </c>
      <c r="D26" s="72" t="s">
        <v>165</v>
      </c>
      <c r="E26" s="63" t="s">
        <v>186</v>
      </c>
      <c r="F26" s="63" t="s">
        <v>184</v>
      </c>
      <c r="G26" s="63" t="s">
        <v>42</v>
      </c>
      <c r="H26" s="63" t="s">
        <v>164</v>
      </c>
      <c r="I26" s="63" t="s">
        <v>159</v>
      </c>
      <c r="J26" s="63" t="s">
        <v>38</v>
      </c>
      <c r="K26" s="63" t="s">
        <v>161</v>
      </c>
      <c r="L26" s="63">
        <v>1</v>
      </c>
      <c r="N26" s="63">
        <v>1</v>
      </c>
      <c r="O26" s="63">
        <v>0.95</v>
      </c>
      <c r="P26" s="63">
        <v>0.6</v>
      </c>
      <c r="Q26" s="92">
        <f t="shared" si="0"/>
        <v>0.77499999999999991</v>
      </c>
      <c r="R26" s="63">
        <v>12.4</v>
      </c>
      <c r="S26" s="63">
        <v>125</v>
      </c>
      <c r="T26" s="73">
        <f t="shared" si="1"/>
        <v>27</v>
      </c>
      <c r="U26" s="63">
        <v>105</v>
      </c>
      <c r="V26" s="73">
        <f t="shared" si="2"/>
        <v>2835</v>
      </c>
      <c r="W26" s="63">
        <v>4</v>
      </c>
      <c r="X26" s="63" t="s">
        <v>46</v>
      </c>
      <c r="Y26" s="63" t="s">
        <v>55</v>
      </c>
      <c r="Z26" s="63" t="s">
        <v>97</v>
      </c>
      <c r="AA26" s="63" t="s">
        <v>69</v>
      </c>
      <c r="AB26" s="63" t="s">
        <v>158</v>
      </c>
    </row>
    <row r="27" spans="1:48" x14ac:dyDescent="0.15">
      <c r="A27" s="63" t="s">
        <v>41</v>
      </c>
      <c r="B27" s="63" t="s">
        <v>157</v>
      </c>
      <c r="C27" s="71">
        <v>2019</v>
      </c>
      <c r="D27" s="72" t="s">
        <v>165</v>
      </c>
      <c r="E27" s="63" t="s">
        <v>186</v>
      </c>
      <c r="F27" s="63" t="s">
        <v>184</v>
      </c>
      <c r="G27" s="63" t="s">
        <v>42</v>
      </c>
      <c r="H27" s="63" t="s">
        <v>164</v>
      </c>
      <c r="I27" s="63" t="s">
        <v>159</v>
      </c>
      <c r="J27" s="63" t="s">
        <v>38</v>
      </c>
      <c r="K27" s="63" t="s">
        <v>161</v>
      </c>
      <c r="L27" s="63">
        <v>2</v>
      </c>
      <c r="N27" s="63">
        <v>1</v>
      </c>
      <c r="O27" s="63">
        <v>0.8</v>
      </c>
      <c r="P27" s="63">
        <v>0.85</v>
      </c>
      <c r="Q27" s="92">
        <f t="shared" si="0"/>
        <v>0.82499999999999996</v>
      </c>
      <c r="R27" s="63">
        <v>14.7</v>
      </c>
      <c r="S27" s="63">
        <v>123</v>
      </c>
      <c r="T27" s="73">
        <f t="shared" si="1"/>
        <v>27</v>
      </c>
      <c r="U27" s="63">
        <v>105</v>
      </c>
      <c r="V27" s="73">
        <f t="shared" si="2"/>
        <v>2835</v>
      </c>
      <c r="W27" s="63">
        <v>4</v>
      </c>
      <c r="X27" s="63" t="s">
        <v>46</v>
      </c>
      <c r="Y27" s="63" t="s">
        <v>55</v>
      </c>
      <c r="Z27" s="63" t="s">
        <v>97</v>
      </c>
      <c r="AA27" s="63" t="s">
        <v>69</v>
      </c>
      <c r="AB27" s="63" t="s">
        <v>158</v>
      </c>
    </row>
    <row r="28" spans="1:48" x14ac:dyDescent="0.15">
      <c r="A28" s="63" t="s">
        <v>41</v>
      </c>
      <c r="B28" s="63" t="s">
        <v>157</v>
      </c>
      <c r="C28" s="71">
        <v>2019</v>
      </c>
      <c r="D28" s="72" t="s">
        <v>165</v>
      </c>
      <c r="E28" s="63" t="s">
        <v>186</v>
      </c>
      <c r="F28" s="63" t="s">
        <v>184</v>
      </c>
      <c r="G28" s="63" t="s">
        <v>42</v>
      </c>
      <c r="H28" s="63" t="s">
        <v>164</v>
      </c>
      <c r="I28" s="63" t="s">
        <v>159</v>
      </c>
      <c r="J28" s="63" t="s">
        <v>38</v>
      </c>
      <c r="K28" s="63" t="s">
        <v>161</v>
      </c>
      <c r="L28" s="63">
        <v>3</v>
      </c>
      <c r="N28" s="63">
        <v>1</v>
      </c>
      <c r="O28" s="63">
        <v>0.65</v>
      </c>
      <c r="P28" s="63">
        <v>0.7</v>
      </c>
      <c r="Q28" s="92">
        <f t="shared" si="0"/>
        <v>0.67500000000000004</v>
      </c>
      <c r="R28" s="63">
        <v>13.3</v>
      </c>
      <c r="S28" s="63">
        <v>122</v>
      </c>
      <c r="T28" s="73">
        <f t="shared" si="1"/>
        <v>27</v>
      </c>
      <c r="U28" s="63">
        <v>105</v>
      </c>
      <c r="V28" s="73">
        <f t="shared" si="2"/>
        <v>2835</v>
      </c>
      <c r="W28" s="63">
        <v>4</v>
      </c>
      <c r="X28" s="63" t="s">
        <v>46</v>
      </c>
      <c r="Y28" s="63" t="s">
        <v>55</v>
      </c>
      <c r="Z28" s="63" t="s">
        <v>97</v>
      </c>
      <c r="AA28" s="63" t="s">
        <v>69</v>
      </c>
      <c r="AB28" s="63" t="s">
        <v>158</v>
      </c>
    </row>
    <row r="29" spans="1:48" x14ac:dyDescent="0.15">
      <c r="A29" s="63" t="s">
        <v>41</v>
      </c>
      <c r="B29" s="63" t="s">
        <v>157</v>
      </c>
      <c r="C29" s="71">
        <v>2019</v>
      </c>
      <c r="D29" s="72" t="s">
        <v>165</v>
      </c>
      <c r="E29" s="63" t="s">
        <v>186</v>
      </c>
      <c r="F29" s="63" t="s">
        <v>184</v>
      </c>
      <c r="G29" s="63" t="s">
        <v>42</v>
      </c>
      <c r="H29" s="63" t="s">
        <v>164</v>
      </c>
      <c r="I29" s="63" t="s">
        <v>159</v>
      </c>
      <c r="J29" s="63" t="s">
        <v>38</v>
      </c>
      <c r="K29" s="63" t="s">
        <v>161</v>
      </c>
      <c r="L29" s="63">
        <v>1</v>
      </c>
      <c r="N29" s="63">
        <v>8</v>
      </c>
      <c r="O29" s="63">
        <v>0.5</v>
      </c>
      <c r="P29" s="63">
        <v>0.65</v>
      </c>
      <c r="Q29" s="92">
        <f t="shared" si="0"/>
        <v>0.57499999999999996</v>
      </c>
      <c r="R29" s="63">
        <v>13.8</v>
      </c>
      <c r="S29" s="63">
        <v>98</v>
      </c>
      <c r="T29" s="73">
        <f t="shared" si="1"/>
        <v>36</v>
      </c>
      <c r="U29" s="63">
        <v>626</v>
      </c>
      <c r="V29" s="73">
        <f t="shared" si="2"/>
        <v>2817</v>
      </c>
      <c r="W29" s="63">
        <v>3</v>
      </c>
      <c r="X29" s="63" t="s">
        <v>46</v>
      </c>
      <c r="Y29" s="63" t="s">
        <v>55</v>
      </c>
      <c r="Z29" s="63" t="s">
        <v>97</v>
      </c>
      <c r="AA29" s="63" t="s">
        <v>69</v>
      </c>
      <c r="AB29" s="63" t="s">
        <v>158</v>
      </c>
    </row>
    <row r="30" spans="1:48" x14ac:dyDescent="0.15">
      <c r="A30" s="63" t="s">
        <v>41</v>
      </c>
      <c r="B30" s="63" t="s">
        <v>157</v>
      </c>
      <c r="C30" s="71">
        <v>2019</v>
      </c>
      <c r="D30" s="72" t="s">
        <v>165</v>
      </c>
      <c r="E30" s="63" t="s">
        <v>186</v>
      </c>
      <c r="F30" s="63" t="s">
        <v>184</v>
      </c>
      <c r="G30" s="63" t="s">
        <v>42</v>
      </c>
      <c r="H30" s="63" t="s">
        <v>164</v>
      </c>
      <c r="I30" s="63" t="s">
        <v>159</v>
      </c>
      <c r="J30" s="63" t="s">
        <v>38</v>
      </c>
      <c r="K30" s="63" t="s">
        <v>161</v>
      </c>
      <c r="L30" s="63">
        <v>2</v>
      </c>
      <c r="N30" s="63">
        <v>8</v>
      </c>
      <c r="O30" s="63">
        <v>0.7</v>
      </c>
      <c r="P30" s="63">
        <v>0.5</v>
      </c>
      <c r="Q30" s="92">
        <f t="shared" si="0"/>
        <v>0.6</v>
      </c>
      <c r="R30" s="63">
        <v>15.1</v>
      </c>
      <c r="S30" s="63">
        <v>101</v>
      </c>
      <c r="T30" s="73">
        <f t="shared" si="1"/>
        <v>33</v>
      </c>
      <c r="U30" s="63">
        <v>626</v>
      </c>
      <c r="V30" s="73">
        <f t="shared" si="2"/>
        <v>2582.25</v>
      </c>
      <c r="W30" s="63">
        <v>3</v>
      </c>
      <c r="X30" s="63" t="s">
        <v>46</v>
      </c>
      <c r="Y30" s="63" t="s">
        <v>55</v>
      </c>
      <c r="Z30" s="63" t="s">
        <v>97</v>
      </c>
      <c r="AA30" s="63" t="s">
        <v>69</v>
      </c>
      <c r="AB30" s="63" t="s">
        <v>158</v>
      </c>
    </row>
    <row r="31" spans="1:48" x14ac:dyDescent="0.15">
      <c r="A31" s="63" t="s">
        <v>41</v>
      </c>
      <c r="B31" s="63" t="s">
        <v>157</v>
      </c>
      <c r="C31" s="71">
        <v>2019</v>
      </c>
      <c r="D31" s="72" t="s">
        <v>165</v>
      </c>
      <c r="E31" s="63" t="s">
        <v>186</v>
      </c>
      <c r="F31" s="63" t="s">
        <v>184</v>
      </c>
      <c r="G31" s="63" t="s">
        <v>42</v>
      </c>
      <c r="H31" s="63" t="s">
        <v>164</v>
      </c>
      <c r="I31" s="63" t="s">
        <v>159</v>
      </c>
      <c r="J31" s="63" t="s">
        <v>38</v>
      </c>
      <c r="K31" s="63" t="s">
        <v>161</v>
      </c>
      <c r="L31" s="63">
        <v>3</v>
      </c>
      <c r="N31" s="63">
        <v>8</v>
      </c>
      <c r="O31" s="63">
        <v>0.6</v>
      </c>
      <c r="P31" s="63">
        <v>0.6</v>
      </c>
      <c r="Q31" s="92">
        <f t="shared" si="0"/>
        <v>0.6</v>
      </c>
      <c r="R31" s="63">
        <v>14.1</v>
      </c>
      <c r="S31" s="63">
        <v>105</v>
      </c>
      <c r="T31" s="73">
        <f t="shared" si="1"/>
        <v>33</v>
      </c>
      <c r="U31" s="63">
        <v>626</v>
      </c>
      <c r="V31" s="73">
        <f t="shared" si="2"/>
        <v>2582.25</v>
      </c>
      <c r="W31" s="63">
        <v>3</v>
      </c>
      <c r="X31" s="63" t="s">
        <v>46</v>
      </c>
      <c r="Y31" s="63" t="s">
        <v>55</v>
      </c>
      <c r="Z31" s="63" t="s">
        <v>97</v>
      </c>
      <c r="AA31" s="63" t="s">
        <v>69</v>
      </c>
      <c r="AB31" s="63" t="s">
        <v>158</v>
      </c>
    </row>
    <row r="32" spans="1:48" x14ac:dyDescent="0.15">
      <c r="A32" s="63" t="s">
        <v>41</v>
      </c>
      <c r="B32" s="63" t="s">
        <v>157</v>
      </c>
      <c r="C32" s="71">
        <v>2019</v>
      </c>
      <c r="D32" s="72" t="s">
        <v>165</v>
      </c>
      <c r="E32" s="63" t="s">
        <v>186</v>
      </c>
      <c r="F32" s="63" t="s">
        <v>184</v>
      </c>
      <c r="G32" s="63" t="s">
        <v>42</v>
      </c>
      <c r="H32" s="63" t="s">
        <v>160</v>
      </c>
      <c r="I32" s="63" t="s">
        <v>159</v>
      </c>
      <c r="J32" s="63" t="s">
        <v>38</v>
      </c>
      <c r="K32" s="63" t="s">
        <v>161</v>
      </c>
      <c r="L32" s="63">
        <v>1</v>
      </c>
      <c r="N32" s="63">
        <v>10</v>
      </c>
      <c r="O32" s="63">
        <v>0.8</v>
      </c>
      <c r="P32" s="63">
        <v>0.75</v>
      </c>
      <c r="Q32" s="92">
        <f t="shared" si="0"/>
        <v>0.77500000000000002</v>
      </c>
      <c r="R32" s="63">
        <v>14.7</v>
      </c>
      <c r="S32" s="63">
        <v>94</v>
      </c>
      <c r="T32" s="73">
        <f t="shared" si="1"/>
        <v>36</v>
      </c>
      <c r="U32" s="63">
        <v>1059</v>
      </c>
      <c r="V32" s="73">
        <f t="shared" si="2"/>
        <v>3812.4</v>
      </c>
      <c r="W32" s="63">
        <v>1</v>
      </c>
      <c r="X32" s="63" t="s">
        <v>46</v>
      </c>
      <c r="Y32" s="63" t="s">
        <v>55</v>
      </c>
      <c r="Z32" s="63" t="s">
        <v>97</v>
      </c>
      <c r="AA32" s="63" t="s">
        <v>69</v>
      </c>
      <c r="AB32" s="63" t="s">
        <v>158</v>
      </c>
    </row>
    <row r="33" spans="1:28" x14ac:dyDescent="0.15">
      <c r="A33" s="63" t="s">
        <v>41</v>
      </c>
      <c r="B33" s="63" t="s">
        <v>157</v>
      </c>
      <c r="C33" s="71">
        <v>2019</v>
      </c>
      <c r="D33" s="72" t="s">
        <v>165</v>
      </c>
      <c r="E33" s="63" t="s">
        <v>186</v>
      </c>
      <c r="F33" s="63" t="s">
        <v>184</v>
      </c>
      <c r="G33" s="63" t="s">
        <v>42</v>
      </c>
      <c r="H33" s="63" t="s">
        <v>160</v>
      </c>
      <c r="I33" s="63" t="s">
        <v>159</v>
      </c>
      <c r="J33" s="63" t="s">
        <v>38</v>
      </c>
      <c r="K33" s="63" t="s">
        <v>161</v>
      </c>
      <c r="L33" s="63">
        <v>2</v>
      </c>
      <c r="N33" s="63">
        <v>10</v>
      </c>
      <c r="O33" s="63">
        <v>0.7</v>
      </c>
      <c r="P33" s="63">
        <v>0.9</v>
      </c>
      <c r="Q33" s="92">
        <f t="shared" si="0"/>
        <v>0.8</v>
      </c>
      <c r="R33" s="63">
        <v>14.2</v>
      </c>
      <c r="S33" s="63">
        <v>89</v>
      </c>
      <c r="T33" s="73">
        <f t="shared" si="1"/>
        <v>36</v>
      </c>
      <c r="U33" s="63">
        <v>1059</v>
      </c>
      <c r="V33" s="73">
        <f t="shared" si="2"/>
        <v>3812.4</v>
      </c>
      <c r="W33" s="63">
        <v>1</v>
      </c>
      <c r="X33" s="63" t="s">
        <v>46</v>
      </c>
      <c r="Y33" s="63" t="s">
        <v>55</v>
      </c>
      <c r="Z33" s="63" t="s">
        <v>97</v>
      </c>
      <c r="AA33" s="63" t="s">
        <v>69</v>
      </c>
      <c r="AB33" s="63" t="s">
        <v>158</v>
      </c>
    </row>
    <row r="34" spans="1:28" x14ac:dyDescent="0.15">
      <c r="A34" s="63" t="s">
        <v>41</v>
      </c>
      <c r="B34" s="63" t="s">
        <v>157</v>
      </c>
      <c r="C34" s="71">
        <v>2019</v>
      </c>
      <c r="D34" s="72" t="s">
        <v>165</v>
      </c>
      <c r="E34" s="63" t="s">
        <v>186</v>
      </c>
      <c r="F34" s="63" t="s">
        <v>184</v>
      </c>
      <c r="G34" s="63" t="s">
        <v>42</v>
      </c>
      <c r="H34" s="63" t="s">
        <v>160</v>
      </c>
      <c r="I34" s="63" t="s">
        <v>159</v>
      </c>
      <c r="J34" s="63" t="s">
        <v>38</v>
      </c>
      <c r="K34" s="63" t="s">
        <v>161</v>
      </c>
      <c r="L34" s="63">
        <v>3</v>
      </c>
      <c r="N34" s="63">
        <v>10</v>
      </c>
      <c r="O34" s="63">
        <v>0.65</v>
      </c>
      <c r="P34" s="63">
        <v>0.6</v>
      </c>
      <c r="Q34" s="92">
        <f t="shared" si="0"/>
        <v>0.625</v>
      </c>
      <c r="R34" s="63">
        <v>15</v>
      </c>
      <c r="S34" s="63">
        <v>93</v>
      </c>
      <c r="T34" s="73">
        <f t="shared" si="1"/>
        <v>36</v>
      </c>
      <c r="U34" s="63">
        <v>1059</v>
      </c>
      <c r="V34" s="73">
        <f t="shared" si="2"/>
        <v>3812.4</v>
      </c>
      <c r="W34" s="63">
        <v>1</v>
      </c>
      <c r="X34" s="63" t="s">
        <v>46</v>
      </c>
      <c r="Y34" s="63" t="s">
        <v>55</v>
      </c>
      <c r="Z34" s="63" t="s">
        <v>97</v>
      </c>
      <c r="AA34" s="63" t="s">
        <v>69</v>
      </c>
      <c r="AB34" s="63" t="s">
        <v>158</v>
      </c>
    </row>
    <row r="35" spans="1:28" x14ac:dyDescent="0.15">
      <c r="A35" s="63" t="s">
        <v>41</v>
      </c>
      <c r="B35" s="63" t="s">
        <v>157</v>
      </c>
      <c r="C35" s="71">
        <v>2019</v>
      </c>
      <c r="D35" s="72" t="s">
        <v>165</v>
      </c>
      <c r="E35" s="63" t="s">
        <v>186</v>
      </c>
      <c r="F35" s="63" t="s">
        <v>188</v>
      </c>
      <c r="G35" s="63" t="s">
        <v>42</v>
      </c>
      <c r="H35" s="63" t="s">
        <v>160</v>
      </c>
      <c r="I35" s="63" t="s">
        <v>159</v>
      </c>
      <c r="J35" s="63" t="s">
        <v>38</v>
      </c>
      <c r="K35" s="63" t="s">
        <v>161</v>
      </c>
      <c r="L35" s="63">
        <v>1</v>
      </c>
      <c r="N35" s="63">
        <v>1</v>
      </c>
      <c r="O35" s="63">
        <v>0.3</v>
      </c>
      <c r="P35" s="63">
        <v>0.35</v>
      </c>
      <c r="Q35" s="92">
        <f t="shared" si="0"/>
        <v>0.32499999999999996</v>
      </c>
      <c r="R35" s="63">
        <v>13.6</v>
      </c>
      <c r="S35" s="63">
        <v>125</v>
      </c>
      <c r="T35" s="73">
        <f t="shared" si="1"/>
        <v>27</v>
      </c>
      <c r="U35" s="63">
        <v>105</v>
      </c>
      <c r="V35" s="73">
        <f t="shared" si="2"/>
        <v>2835</v>
      </c>
      <c r="W35" s="63">
        <v>6</v>
      </c>
      <c r="X35" s="63" t="s">
        <v>46</v>
      </c>
      <c r="Y35" s="63" t="s">
        <v>55</v>
      </c>
      <c r="Z35" s="63" t="s">
        <v>69</v>
      </c>
      <c r="AA35" s="63" t="s">
        <v>86</v>
      </c>
      <c r="AB35" s="63" t="s">
        <v>158</v>
      </c>
    </row>
    <row r="36" spans="1:28" x14ac:dyDescent="0.15">
      <c r="A36" s="63" t="s">
        <v>41</v>
      </c>
      <c r="B36" s="63" t="s">
        <v>157</v>
      </c>
      <c r="C36" s="71">
        <v>2019</v>
      </c>
      <c r="D36" s="72" t="s">
        <v>165</v>
      </c>
      <c r="E36" s="63" t="s">
        <v>186</v>
      </c>
      <c r="F36" s="63" t="s">
        <v>188</v>
      </c>
      <c r="G36" s="63" t="s">
        <v>42</v>
      </c>
      <c r="H36" s="63" t="s">
        <v>160</v>
      </c>
      <c r="I36" s="63" t="s">
        <v>159</v>
      </c>
      <c r="J36" s="63" t="s">
        <v>38</v>
      </c>
      <c r="K36" s="63" t="s">
        <v>161</v>
      </c>
      <c r="L36" s="63">
        <v>2</v>
      </c>
      <c r="N36" s="63">
        <v>1</v>
      </c>
      <c r="O36" s="63">
        <v>0.25</v>
      </c>
      <c r="P36" s="63">
        <v>0.3</v>
      </c>
      <c r="Q36" s="92">
        <f t="shared" si="0"/>
        <v>0.27500000000000002</v>
      </c>
      <c r="R36" s="63">
        <v>15.7</v>
      </c>
      <c r="S36" s="63">
        <v>126</v>
      </c>
      <c r="T36" s="73">
        <f t="shared" si="1"/>
        <v>27</v>
      </c>
      <c r="U36" s="63">
        <v>105</v>
      </c>
      <c r="V36" s="73">
        <f t="shared" si="2"/>
        <v>2835</v>
      </c>
      <c r="W36" s="63">
        <v>6</v>
      </c>
      <c r="X36" s="63" t="s">
        <v>46</v>
      </c>
      <c r="Y36" s="63" t="s">
        <v>55</v>
      </c>
      <c r="Z36" s="63" t="s">
        <v>69</v>
      </c>
      <c r="AA36" s="63" t="s">
        <v>86</v>
      </c>
      <c r="AB36" s="63" t="s">
        <v>158</v>
      </c>
    </row>
    <row r="37" spans="1:28" x14ac:dyDescent="0.15">
      <c r="A37" s="63" t="s">
        <v>41</v>
      </c>
      <c r="B37" s="63" t="s">
        <v>157</v>
      </c>
      <c r="C37" s="71">
        <v>2019</v>
      </c>
      <c r="D37" s="72" t="s">
        <v>165</v>
      </c>
      <c r="E37" s="63" t="s">
        <v>186</v>
      </c>
      <c r="F37" s="63" t="s">
        <v>188</v>
      </c>
      <c r="G37" s="63" t="s">
        <v>42</v>
      </c>
      <c r="H37" s="63" t="s">
        <v>160</v>
      </c>
      <c r="I37" s="63" t="s">
        <v>159</v>
      </c>
      <c r="J37" s="63" t="s">
        <v>38</v>
      </c>
      <c r="K37" s="63" t="s">
        <v>161</v>
      </c>
      <c r="L37" s="63">
        <v>3</v>
      </c>
      <c r="N37" s="63">
        <v>1</v>
      </c>
      <c r="O37" s="63">
        <v>0.3</v>
      </c>
      <c r="P37" s="63">
        <v>0.35</v>
      </c>
      <c r="Q37" s="92">
        <f t="shared" si="0"/>
        <v>0.32499999999999996</v>
      </c>
      <c r="R37" s="63">
        <v>14.1</v>
      </c>
      <c r="S37" s="63">
        <v>128</v>
      </c>
      <c r="T37" s="73">
        <f t="shared" si="1"/>
        <v>27</v>
      </c>
      <c r="U37" s="63">
        <v>105</v>
      </c>
      <c r="V37" s="73">
        <f t="shared" si="2"/>
        <v>2835</v>
      </c>
      <c r="W37" s="63">
        <v>6</v>
      </c>
      <c r="X37" s="63" t="s">
        <v>46</v>
      </c>
      <c r="Y37" s="63" t="s">
        <v>55</v>
      </c>
      <c r="Z37" s="63" t="s">
        <v>69</v>
      </c>
      <c r="AA37" s="63" t="s">
        <v>86</v>
      </c>
      <c r="AB37" s="63" t="s">
        <v>158</v>
      </c>
    </row>
    <row r="38" spans="1:28" x14ac:dyDescent="0.15">
      <c r="A38" s="63" t="s">
        <v>41</v>
      </c>
      <c r="B38" s="63" t="s">
        <v>157</v>
      </c>
      <c r="C38" s="71">
        <v>2019</v>
      </c>
      <c r="D38" s="72" t="s">
        <v>165</v>
      </c>
      <c r="E38" s="63" t="s">
        <v>186</v>
      </c>
      <c r="F38" s="63" t="s">
        <v>188</v>
      </c>
      <c r="G38" s="63" t="s">
        <v>42</v>
      </c>
      <c r="H38" s="63" t="s">
        <v>160</v>
      </c>
      <c r="I38" s="63" t="s">
        <v>159</v>
      </c>
      <c r="J38" s="63" t="s">
        <v>38</v>
      </c>
      <c r="K38" s="63" t="s">
        <v>161</v>
      </c>
      <c r="L38" s="63">
        <v>1</v>
      </c>
      <c r="N38" s="63">
        <v>4</v>
      </c>
      <c r="O38" s="63">
        <v>0.6</v>
      </c>
      <c r="P38" s="63">
        <v>0.45</v>
      </c>
      <c r="Q38" s="92">
        <f t="shared" si="0"/>
        <v>0.52500000000000002</v>
      </c>
      <c r="R38" s="63">
        <v>14.8</v>
      </c>
      <c r="S38" s="63">
        <v>120</v>
      </c>
      <c r="T38" s="73">
        <f t="shared" si="1"/>
        <v>30</v>
      </c>
      <c r="U38" s="63">
        <v>429</v>
      </c>
      <c r="V38" s="73">
        <f t="shared" si="2"/>
        <v>3217.5</v>
      </c>
      <c r="W38" s="63">
        <v>1</v>
      </c>
      <c r="X38" s="63" t="s">
        <v>46</v>
      </c>
      <c r="Y38" s="63" t="s">
        <v>55</v>
      </c>
      <c r="Z38" s="63" t="s">
        <v>69</v>
      </c>
      <c r="AA38" s="63" t="s">
        <v>86</v>
      </c>
      <c r="AB38" s="63" t="s">
        <v>158</v>
      </c>
    </row>
    <row r="39" spans="1:28" x14ac:dyDescent="0.15">
      <c r="A39" s="63" t="s">
        <v>41</v>
      </c>
      <c r="B39" s="63" t="s">
        <v>157</v>
      </c>
      <c r="C39" s="71">
        <v>2019</v>
      </c>
      <c r="D39" s="72" t="s">
        <v>165</v>
      </c>
      <c r="E39" s="63" t="s">
        <v>186</v>
      </c>
      <c r="F39" s="63" t="s">
        <v>188</v>
      </c>
      <c r="G39" s="63" t="s">
        <v>42</v>
      </c>
      <c r="H39" s="63" t="s">
        <v>160</v>
      </c>
      <c r="I39" s="63" t="s">
        <v>159</v>
      </c>
      <c r="J39" s="63" t="s">
        <v>38</v>
      </c>
      <c r="K39" s="63" t="s">
        <v>161</v>
      </c>
      <c r="L39" s="63">
        <v>2</v>
      </c>
      <c r="N39" s="63">
        <v>4</v>
      </c>
      <c r="O39" s="63">
        <v>0.4</v>
      </c>
      <c r="P39" s="63">
        <v>0.5</v>
      </c>
      <c r="Q39" s="92">
        <f t="shared" si="0"/>
        <v>0.45</v>
      </c>
      <c r="R39" s="63">
        <v>15.1</v>
      </c>
      <c r="S39" s="63">
        <v>121</v>
      </c>
      <c r="T39" s="73">
        <f t="shared" si="1"/>
        <v>27</v>
      </c>
      <c r="U39" s="63">
        <v>429</v>
      </c>
      <c r="V39" s="73">
        <f t="shared" si="2"/>
        <v>2895.75</v>
      </c>
      <c r="W39" s="63">
        <v>1</v>
      </c>
      <c r="X39" s="63" t="s">
        <v>46</v>
      </c>
      <c r="Y39" s="63" t="s">
        <v>55</v>
      </c>
      <c r="Z39" s="63" t="s">
        <v>69</v>
      </c>
      <c r="AA39" s="63" t="s">
        <v>86</v>
      </c>
      <c r="AB39" s="63" t="s">
        <v>158</v>
      </c>
    </row>
    <row r="40" spans="1:28" x14ac:dyDescent="0.15">
      <c r="A40" s="63" t="s">
        <v>41</v>
      </c>
      <c r="B40" s="63" t="s">
        <v>157</v>
      </c>
      <c r="C40" s="71">
        <v>2019</v>
      </c>
      <c r="D40" s="72" t="s">
        <v>165</v>
      </c>
      <c r="E40" s="63" t="s">
        <v>186</v>
      </c>
      <c r="F40" s="63" t="s">
        <v>188</v>
      </c>
      <c r="G40" s="63" t="s">
        <v>42</v>
      </c>
      <c r="H40" s="63" t="s">
        <v>160</v>
      </c>
      <c r="I40" s="63" t="s">
        <v>159</v>
      </c>
      <c r="J40" s="63" t="s">
        <v>38</v>
      </c>
      <c r="K40" s="63" t="s">
        <v>161</v>
      </c>
      <c r="L40" s="63">
        <v>3</v>
      </c>
      <c r="N40" s="63">
        <v>4</v>
      </c>
      <c r="O40" s="63">
        <v>0.35</v>
      </c>
      <c r="P40" s="91">
        <v>0.3</v>
      </c>
      <c r="Q40" s="92">
        <f t="shared" si="0"/>
        <v>0.32499999999999996</v>
      </c>
      <c r="R40" s="63">
        <v>14.7</v>
      </c>
      <c r="S40" s="63">
        <v>118</v>
      </c>
      <c r="T40" s="73">
        <f t="shared" si="1"/>
        <v>30</v>
      </c>
      <c r="U40" s="63">
        <v>429</v>
      </c>
      <c r="V40" s="73">
        <f t="shared" si="2"/>
        <v>3217.5</v>
      </c>
      <c r="W40" s="63">
        <v>1</v>
      </c>
      <c r="X40" s="63" t="s">
        <v>46</v>
      </c>
      <c r="Y40" s="63" t="s">
        <v>55</v>
      </c>
      <c r="Z40" s="63" t="s">
        <v>69</v>
      </c>
      <c r="AA40" s="63" t="s">
        <v>86</v>
      </c>
      <c r="AB40" s="63" t="s">
        <v>158</v>
      </c>
    </row>
    <row r="41" spans="1:28" x14ac:dyDescent="0.15">
      <c r="A41" s="63" t="s">
        <v>41</v>
      </c>
      <c r="B41" s="63" t="s">
        <v>157</v>
      </c>
      <c r="C41" s="71">
        <v>2019</v>
      </c>
      <c r="D41" s="72" t="s">
        <v>165</v>
      </c>
      <c r="E41" s="63" t="s">
        <v>186</v>
      </c>
      <c r="F41" s="63" t="s">
        <v>188</v>
      </c>
      <c r="G41" s="63" t="s">
        <v>42</v>
      </c>
      <c r="H41" s="63" t="s">
        <v>160</v>
      </c>
      <c r="I41" s="63" t="s">
        <v>159</v>
      </c>
      <c r="J41" s="63" t="s">
        <v>38</v>
      </c>
      <c r="K41" s="63" t="s">
        <v>161</v>
      </c>
      <c r="L41" s="63">
        <v>1</v>
      </c>
      <c r="N41" s="63">
        <v>8</v>
      </c>
      <c r="O41" s="63">
        <v>0.7</v>
      </c>
      <c r="P41" s="63">
        <v>0.65</v>
      </c>
      <c r="Q41" s="92">
        <f t="shared" si="0"/>
        <v>0.67500000000000004</v>
      </c>
      <c r="R41" s="63">
        <v>12.6</v>
      </c>
      <c r="S41" s="63">
        <v>109</v>
      </c>
      <c r="T41" s="73">
        <f t="shared" si="1"/>
        <v>33</v>
      </c>
      <c r="U41" s="63">
        <v>626</v>
      </c>
      <c r="V41" s="73">
        <f t="shared" si="2"/>
        <v>2582.25</v>
      </c>
      <c r="W41" s="63">
        <v>1</v>
      </c>
      <c r="X41" s="63" t="s">
        <v>46</v>
      </c>
      <c r="Y41" s="63" t="s">
        <v>55</v>
      </c>
      <c r="Z41" s="63" t="s">
        <v>69</v>
      </c>
      <c r="AA41" s="63" t="s">
        <v>86</v>
      </c>
      <c r="AB41" s="63" t="s">
        <v>158</v>
      </c>
    </row>
    <row r="42" spans="1:28" x14ac:dyDescent="0.15">
      <c r="A42" s="63" t="s">
        <v>41</v>
      </c>
      <c r="B42" s="63" t="s">
        <v>157</v>
      </c>
      <c r="C42" s="71">
        <v>2019</v>
      </c>
      <c r="D42" s="72" t="s">
        <v>165</v>
      </c>
      <c r="E42" s="63" t="s">
        <v>186</v>
      </c>
      <c r="F42" s="63" t="s">
        <v>188</v>
      </c>
      <c r="G42" s="63" t="s">
        <v>42</v>
      </c>
      <c r="H42" s="63" t="s">
        <v>160</v>
      </c>
      <c r="I42" s="63" t="s">
        <v>159</v>
      </c>
      <c r="J42" s="63" t="s">
        <v>38</v>
      </c>
      <c r="K42" s="63" t="s">
        <v>161</v>
      </c>
      <c r="L42" s="63">
        <v>2</v>
      </c>
      <c r="N42" s="63">
        <v>8</v>
      </c>
      <c r="O42" s="63">
        <v>0.65</v>
      </c>
      <c r="P42" s="63">
        <v>0.5</v>
      </c>
      <c r="Q42" s="92">
        <f t="shared" si="0"/>
        <v>0.57499999999999996</v>
      </c>
      <c r="R42" s="63">
        <v>16.100000000000001</v>
      </c>
      <c r="S42" s="63">
        <v>104</v>
      </c>
      <c r="T42" s="73">
        <f t="shared" si="1"/>
        <v>33</v>
      </c>
      <c r="U42" s="63">
        <v>626</v>
      </c>
      <c r="V42" s="73">
        <f t="shared" si="2"/>
        <v>2582.25</v>
      </c>
      <c r="W42" s="63">
        <v>1</v>
      </c>
      <c r="X42" s="63" t="s">
        <v>46</v>
      </c>
      <c r="Y42" s="63" t="s">
        <v>55</v>
      </c>
      <c r="Z42" s="63" t="s">
        <v>69</v>
      </c>
      <c r="AA42" s="63" t="s">
        <v>86</v>
      </c>
      <c r="AB42" s="63" t="s">
        <v>158</v>
      </c>
    </row>
    <row r="43" spans="1:28" x14ac:dyDescent="0.15">
      <c r="A43" s="63" t="s">
        <v>41</v>
      </c>
      <c r="B43" s="63" t="s">
        <v>157</v>
      </c>
      <c r="C43" s="71">
        <v>2019</v>
      </c>
      <c r="D43" s="72" t="s">
        <v>165</v>
      </c>
      <c r="E43" s="63" t="s">
        <v>186</v>
      </c>
      <c r="F43" s="63" t="s">
        <v>188</v>
      </c>
      <c r="G43" s="63" t="s">
        <v>42</v>
      </c>
      <c r="H43" s="63" t="s">
        <v>160</v>
      </c>
      <c r="I43" s="63" t="s">
        <v>159</v>
      </c>
      <c r="J43" s="63" t="s">
        <v>38</v>
      </c>
      <c r="K43" s="63" t="s">
        <v>161</v>
      </c>
      <c r="L43" s="63">
        <v>3</v>
      </c>
      <c r="N43" s="63">
        <v>8</v>
      </c>
      <c r="O43" s="63">
        <v>0.8</v>
      </c>
      <c r="P43" s="91">
        <v>0.7</v>
      </c>
      <c r="Q43" s="92">
        <f t="shared" si="0"/>
        <v>0.75</v>
      </c>
      <c r="R43" s="63">
        <v>15.8</v>
      </c>
      <c r="S43" s="63">
        <v>110</v>
      </c>
      <c r="T43" s="73">
        <f t="shared" si="1"/>
        <v>33</v>
      </c>
      <c r="U43" s="63">
        <v>626</v>
      </c>
      <c r="V43" s="73">
        <f t="shared" si="2"/>
        <v>2582.25</v>
      </c>
      <c r="W43" s="63">
        <v>1</v>
      </c>
      <c r="X43" s="63" t="s">
        <v>46</v>
      </c>
      <c r="Y43" s="63" t="s">
        <v>55</v>
      </c>
      <c r="Z43" s="63" t="s">
        <v>69</v>
      </c>
      <c r="AA43" s="63" t="s">
        <v>86</v>
      </c>
      <c r="AB43" s="63" t="s">
        <v>158</v>
      </c>
    </row>
    <row r="44" spans="1:28" x14ac:dyDescent="0.15">
      <c r="A44" s="63" t="s">
        <v>41</v>
      </c>
      <c r="B44" s="63" t="s">
        <v>157</v>
      </c>
      <c r="C44" s="71">
        <v>2019</v>
      </c>
      <c r="D44" s="72" t="s">
        <v>165</v>
      </c>
      <c r="E44" s="63" t="s">
        <v>186</v>
      </c>
      <c r="F44" s="63" t="s">
        <v>188</v>
      </c>
      <c r="G44" s="63" t="s">
        <v>42</v>
      </c>
      <c r="H44" s="63" t="s">
        <v>164</v>
      </c>
      <c r="I44" s="63" t="s">
        <v>159</v>
      </c>
      <c r="J44" s="63" t="s">
        <v>38</v>
      </c>
      <c r="K44" s="63" t="s">
        <v>161</v>
      </c>
      <c r="L44" s="63">
        <v>1</v>
      </c>
      <c r="N44" s="63">
        <v>1</v>
      </c>
      <c r="O44" s="63">
        <v>1</v>
      </c>
      <c r="P44" s="63">
        <v>1.2</v>
      </c>
      <c r="Q44" s="73">
        <f t="shared" si="0"/>
        <v>1.1000000000000001</v>
      </c>
      <c r="R44" s="63">
        <v>14.1</v>
      </c>
      <c r="S44" s="63">
        <v>126</v>
      </c>
      <c r="T44" s="73">
        <f t="shared" si="1"/>
        <v>27</v>
      </c>
      <c r="U44" s="63">
        <v>149</v>
      </c>
      <c r="V44" s="73">
        <f t="shared" si="2"/>
        <v>4023</v>
      </c>
      <c r="W44" s="63">
        <v>4</v>
      </c>
      <c r="X44" s="63" t="s">
        <v>46</v>
      </c>
      <c r="Y44" s="63" t="s">
        <v>55</v>
      </c>
      <c r="Z44" s="63" t="s">
        <v>69</v>
      </c>
      <c r="AA44" s="63" t="s">
        <v>86</v>
      </c>
      <c r="AB44" s="63" t="s">
        <v>158</v>
      </c>
    </row>
    <row r="45" spans="1:28" x14ac:dyDescent="0.15">
      <c r="A45" s="63" t="s">
        <v>41</v>
      </c>
      <c r="B45" s="63" t="s">
        <v>157</v>
      </c>
      <c r="C45" s="71">
        <v>2019</v>
      </c>
      <c r="D45" s="72" t="s">
        <v>165</v>
      </c>
      <c r="E45" s="63" t="s">
        <v>186</v>
      </c>
      <c r="F45" s="63" t="s">
        <v>188</v>
      </c>
      <c r="G45" s="63" t="s">
        <v>42</v>
      </c>
      <c r="H45" s="63" t="s">
        <v>164</v>
      </c>
      <c r="I45" s="63" t="s">
        <v>159</v>
      </c>
      <c r="J45" s="63" t="s">
        <v>38</v>
      </c>
      <c r="K45" s="63" t="s">
        <v>161</v>
      </c>
      <c r="L45" s="63">
        <v>2</v>
      </c>
      <c r="N45" s="63">
        <v>1</v>
      </c>
      <c r="O45" s="63">
        <v>1.2</v>
      </c>
      <c r="P45" s="63">
        <v>1.05</v>
      </c>
      <c r="Q45" s="73">
        <f t="shared" si="0"/>
        <v>1.125</v>
      </c>
      <c r="R45" s="63">
        <v>12.3</v>
      </c>
      <c r="S45" s="63">
        <v>127</v>
      </c>
      <c r="T45" s="73">
        <f t="shared" si="1"/>
        <v>27</v>
      </c>
      <c r="U45" s="63">
        <v>149</v>
      </c>
      <c r="V45" s="73">
        <f t="shared" si="2"/>
        <v>4023</v>
      </c>
      <c r="W45" s="63">
        <v>4</v>
      </c>
      <c r="X45" s="63" t="s">
        <v>46</v>
      </c>
      <c r="Y45" s="63" t="s">
        <v>55</v>
      </c>
      <c r="Z45" s="63" t="s">
        <v>69</v>
      </c>
      <c r="AA45" s="63" t="s">
        <v>86</v>
      </c>
      <c r="AB45" s="63" t="s">
        <v>158</v>
      </c>
    </row>
    <row r="46" spans="1:28" x14ac:dyDescent="0.15">
      <c r="A46" s="63" t="s">
        <v>41</v>
      </c>
      <c r="B46" s="63" t="s">
        <v>157</v>
      </c>
      <c r="C46" s="71">
        <v>2019</v>
      </c>
      <c r="D46" s="72" t="s">
        <v>165</v>
      </c>
      <c r="E46" s="63" t="s">
        <v>186</v>
      </c>
      <c r="F46" s="63" t="s">
        <v>188</v>
      </c>
      <c r="G46" s="63" t="s">
        <v>42</v>
      </c>
      <c r="H46" s="63" t="s">
        <v>164</v>
      </c>
      <c r="I46" s="63" t="s">
        <v>159</v>
      </c>
      <c r="J46" s="63" t="s">
        <v>38</v>
      </c>
      <c r="K46" s="63" t="s">
        <v>161</v>
      </c>
      <c r="L46" s="63">
        <v>3</v>
      </c>
      <c r="N46" s="63">
        <v>1</v>
      </c>
      <c r="O46" s="63">
        <v>1.3</v>
      </c>
      <c r="P46" s="63">
        <v>1.2</v>
      </c>
      <c r="Q46" s="73">
        <f t="shared" si="0"/>
        <v>1.25</v>
      </c>
      <c r="R46" s="63">
        <v>11</v>
      </c>
      <c r="S46" s="63">
        <v>123</v>
      </c>
      <c r="T46" s="73">
        <f t="shared" si="1"/>
        <v>27</v>
      </c>
      <c r="U46" s="63">
        <v>149</v>
      </c>
      <c r="V46" s="73">
        <f t="shared" si="2"/>
        <v>4023</v>
      </c>
      <c r="W46" s="63">
        <v>4</v>
      </c>
      <c r="X46" s="63" t="s">
        <v>46</v>
      </c>
      <c r="Y46" s="63" t="s">
        <v>55</v>
      </c>
      <c r="Z46" s="63" t="s">
        <v>69</v>
      </c>
      <c r="AA46" s="63" t="s">
        <v>86</v>
      </c>
      <c r="AB46" s="63" t="s">
        <v>158</v>
      </c>
    </row>
    <row r="47" spans="1:28" x14ac:dyDescent="0.15">
      <c r="A47" s="63" t="s">
        <v>41</v>
      </c>
      <c r="B47" s="63" t="s">
        <v>157</v>
      </c>
      <c r="C47" s="71">
        <v>2019</v>
      </c>
      <c r="D47" s="72" t="s">
        <v>165</v>
      </c>
      <c r="E47" s="63" t="s">
        <v>186</v>
      </c>
      <c r="F47" s="63" t="s">
        <v>188</v>
      </c>
      <c r="G47" s="63" t="s">
        <v>42</v>
      </c>
      <c r="H47" s="63" t="s">
        <v>164</v>
      </c>
      <c r="I47" s="63" t="s">
        <v>159</v>
      </c>
      <c r="J47" s="63" t="s">
        <v>38</v>
      </c>
      <c r="K47" s="63" t="s">
        <v>161</v>
      </c>
      <c r="L47" s="63">
        <v>1</v>
      </c>
      <c r="N47" s="63">
        <v>4</v>
      </c>
      <c r="O47" s="63">
        <v>0.65</v>
      </c>
      <c r="P47" s="63">
        <v>0.7</v>
      </c>
      <c r="Q47" s="73">
        <f t="shared" si="0"/>
        <v>0.67500000000000004</v>
      </c>
      <c r="R47" s="63">
        <v>13.2</v>
      </c>
      <c r="S47" s="63">
        <v>122</v>
      </c>
      <c r="T47" s="73">
        <f t="shared" si="1"/>
        <v>27</v>
      </c>
      <c r="U47" s="63">
        <v>429</v>
      </c>
      <c r="V47" s="73">
        <f t="shared" si="2"/>
        <v>2895.75</v>
      </c>
      <c r="W47" s="63">
        <v>1</v>
      </c>
      <c r="X47" s="63" t="s">
        <v>46</v>
      </c>
      <c r="Y47" s="63" t="s">
        <v>55</v>
      </c>
      <c r="Z47" s="63" t="s">
        <v>69</v>
      </c>
      <c r="AA47" s="63" t="s">
        <v>86</v>
      </c>
      <c r="AB47" s="63" t="s">
        <v>158</v>
      </c>
    </row>
    <row r="48" spans="1:28" x14ac:dyDescent="0.15">
      <c r="A48" s="63" t="s">
        <v>41</v>
      </c>
      <c r="B48" s="63" t="s">
        <v>157</v>
      </c>
      <c r="C48" s="71">
        <v>2019</v>
      </c>
      <c r="D48" s="72" t="s">
        <v>165</v>
      </c>
      <c r="E48" s="63" t="s">
        <v>186</v>
      </c>
      <c r="F48" s="63" t="s">
        <v>188</v>
      </c>
      <c r="G48" s="63" t="s">
        <v>42</v>
      </c>
      <c r="H48" s="63" t="s">
        <v>164</v>
      </c>
      <c r="I48" s="63" t="s">
        <v>159</v>
      </c>
      <c r="J48" s="63" t="s">
        <v>38</v>
      </c>
      <c r="K48" s="63" t="s">
        <v>161</v>
      </c>
      <c r="L48" s="63">
        <v>2</v>
      </c>
      <c r="N48" s="63">
        <v>4</v>
      </c>
      <c r="O48" s="63">
        <v>0.45</v>
      </c>
      <c r="P48" s="63">
        <v>0.65</v>
      </c>
      <c r="Q48" s="73">
        <f t="shared" si="0"/>
        <v>0.55000000000000004</v>
      </c>
      <c r="R48" s="63">
        <v>13</v>
      </c>
      <c r="S48" s="63">
        <v>118</v>
      </c>
      <c r="T48" s="73">
        <f t="shared" si="1"/>
        <v>30</v>
      </c>
      <c r="U48" s="63">
        <v>429</v>
      </c>
      <c r="V48" s="73">
        <f t="shared" si="2"/>
        <v>3217.5</v>
      </c>
      <c r="W48" s="63">
        <v>1</v>
      </c>
      <c r="X48" s="63" t="s">
        <v>46</v>
      </c>
      <c r="Y48" s="63" t="s">
        <v>55</v>
      </c>
      <c r="Z48" s="63" t="s">
        <v>69</v>
      </c>
      <c r="AA48" s="63" t="s">
        <v>86</v>
      </c>
      <c r="AB48" s="63" t="s">
        <v>158</v>
      </c>
    </row>
    <row r="49" spans="1:28" x14ac:dyDescent="0.15">
      <c r="A49" s="63" t="s">
        <v>41</v>
      </c>
      <c r="B49" s="63" t="s">
        <v>157</v>
      </c>
      <c r="C49" s="71">
        <v>2019</v>
      </c>
      <c r="D49" s="72" t="s">
        <v>165</v>
      </c>
      <c r="E49" s="63" t="s">
        <v>186</v>
      </c>
      <c r="F49" s="63" t="s">
        <v>188</v>
      </c>
      <c r="G49" s="63" t="s">
        <v>42</v>
      </c>
      <c r="H49" s="63" t="s">
        <v>164</v>
      </c>
      <c r="I49" s="63" t="s">
        <v>159</v>
      </c>
      <c r="J49" s="63" t="s">
        <v>38</v>
      </c>
      <c r="K49" s="63" t="s">
        <v>161</v>
      </c>
      <c r="L49" s="63">
        <v>3</v>
      </c>
      <c r="N49" s="63">
        <v>4</v>
      </c>
      <c r="O49" s="63">
        <v>0.5</v>
      </c>
      <c r="P49" s="63">
        <v>0.45</v>
      </c>
      <c r="Q49" s="73">
        <f t="shared" si="0"/>
        <v>0.47499999999999998</v>
      </c>
      <c r="R49" s="63">
        <v>14.1</v>
      </c>
      <c r="S49" s="63">
        <v>120</v>
      </c>
      <c r="T49" s="73">
        <f t="shared" si="1"/>
        <v>30</v>
      </c>
      <c r="U49" s="63">
        <v>429</v>
      </c>
      <c r="V49" s="73">
        <f t="shared" si="2"/>
        <v>3217.5</v>
      </c>
      <c r="W49" s="63">
        <v>1</v>
      </c>
      <c r="X49" s="63" t="s">
        <v>46</v>
      </c>
      <c r="Y49" s="63" t="s">
        <v>55</v>
      </c>
      <c r="Z49" s="63" t="s">
        <v>69</v>
      </c>
      <c r="AA49" s="63" t="s">
        <v>86</v>
      </c>
      <c r="AB49" s="63" t="s">
        <v>158</v>
      </c>
    </row>
    <row r="50" spans="1:28" x14ac:dyDescent="0.15">
      <c r="A50" s="63" t="s">
        <v>41</v>
      </c>
      <c r="B50" s="63" t="s">
        <v>157</v>
      </c>
      <c r="C50" s="71">
        <v>2019</v>
      </c>
      <c r="D50" s="72" t="s">
        <v>165</v>
      </c>
      <c r="E50" s="63" t="s">
        <v>186</v>
      </c>
      <c r="F50" s="63" t="s">
        <v>188</v>
      </c>
      <c r="G50" s="63" t="s">
        <v>42</v>
      </c>
      <c r="H50" s="63" t="s">
        <v>164</v>
      </c>
      <c r="I50" s="63" t="s">
        <v>159</v>
      </c>
      <c r="J50" s="63" t="s">
        <v>38</v>
      </c>
      <c r="K50" s="63" t="s">
        <v>161</v>
      </c>
      <c r="L50" s="63">
        <v>1</v>
      </c>
      <c r="N50" s="63">
        <v>8</v>
      </c>
      <c r="O50" s="63">
        <v>0.25</v>
      </c>
      <c r="P50" s="63">
        <v>0.25</v>
      </c>
      <c r="Q50" s="73">
        <f t="shared" si="0"/>
        <v>0.25</v>
      </c>
      <c r="R50" s="63">
        <v>14.5</v>
      </c>
      <c r="S50" s="63">
        <v>100</v>
      </c>
      <c r="T50" s="73">
        <f t="shared" si="1"/>
        <v>33</v>
      </c>
      <c r="U50" s="63">
        <v>626</v>
      </c>
      <c r="V50" s="73">
        <f t="shared" si="2"/>
        <v>2582.25</v>
      </c>
      <c r="W50" s="63">
        <v>1</v>
      </c>
      <c r="X50" s="63" t="s">
        <v>46</v>
      </c>
      <c r="Y50" s="63" t="s">
        <v>55</v>
      </c>
      <c r="Z50" s="63" t="s">
        <v>69</v>
      </c>
      <c r="AA50" s="63" t="s">
        <v>86</v>
      </c>
      <c r="AB50" s="63" t="s">
        <v>158</v>
      </c>
    </row>
    <row r="51" spans="1:28" x14ac:dyDescent="0.15">
      <c r="A51" s="63" t="s">
        <v>41</v>
      </c>
      <c r="B51" s="63" t="s">
        <v>157</v>
      </c>
      <c r="C51" s="71">
        <v>2019</v>
      </c>
      <c r="D51" s="72" t="s">
        <v>165</v>
      </c>
      <c r="E51" s="63" t="s">
        <v>186</v>
      </c>
      <c r="F51" s="63" t="s">
        <v>188</v>
      </c>
      <c r="G51" s="63" t="s">
        <v>42</v>
      </c>
      <c r="H51" s="63" t="s">
        <v>164</v>
      </c>
      <c r="I51" s="63" t="s">
        <v>159</v>
      </c>
      <c r="J51" s="63" t="s">
        <v>38</v>
      </c>
      <c r="K51" s="63" t="s">
        <v>161</v>
      </c>
      <c r="L51" s="63">
        <v>2</v>
      </c>
      <c r="N51" s="63">
        <v>8</v>
      </c>
      <c r="O51" s="63">
        <v>0.25</v>
      </c>
      <c r="P51" s="63">
        <v>0.25</v>
      </c>
      <c r="Q51" s="73">
        <f t="shared" si="0"/>
        <v>0.25</v>
      </c>
      <c r="R51" s="63">
        <v>13.1</v>
      </c>
      <c r="S51" s="63">
        <v>95</v>
      </c>
      <c r="T51" s="73">
        <f t="shared" si="1"/>
        <v>36</v>
      </c>
      <c r="U51" s="63">
        <v>626</v>
      </c>
      <c r="V51" s="73">
        <f t="shared" si="2"/>
        <v>2817</v>
      </c>
      <c r="W51" s="63">
        <v>1</v>
      </c>
      <c r="X51" s="63" t="s">
        <v>46</v>
      </c>
      <c r="Y51" s="63" t="s">
        <v>55</v>
      </c>
      <c r="Z51" s="63" t="s">
        <v>69</v>
      </c>
      <c r="AA51" s="63" t="s">
        <v>86</v>
      </c>
      <c r="AB51" s="63" t="s">
        <v>158</v>
      </c>
    </row>
    <row r="52" spans="1:28" x14ac:dyDescent="0.15">
      <c r="A52" s="63" t="s">
        <v>41</v>
      </c>
      <c r="B52" s="63" t="s">
        <v>157</v>
      </c>
      <c r="C52" s="71">
        <v>2019</v>
      </c>
      <c r="D52" s="72" t="s">
        <v>165</v>
      </c>
      <c r="E52" s="63" t="s">
        <v>186</v>
      </c>
      <c r="F52" s="63" t="s">
        <v>188</v>
      </c>
      <c r="G52" s="63" t="s">
        <v>42</v>
      </c>
      <c r="H52" s="63" t="s">
        <v>164</v>
      </c>
      <c r="I52" s="63" t="s">
        <v>159</v>
      </c>
      <c r="J52" s="63" t="s">
        <v>38</v>
      </c>
      <c r="K52" s="63" t="s">
        <v>161</v>
      </c>
      <c r="L52" s="63">
        <v>3</v>
      </c>
      <c r="N52" s="63">
        <v>8</v>
      </c>
      <c r="O52" s="63">
        <v>0.25</v>
      </c>
      <c r="P52" s="63">
        <v>0.25</v>
      </c>
      <c r="Q52" s="73">
        <f t="shared" si="0"/>
        <v>0.25</v>
      </c>
      <c r="R52" s="63">
        <v>12.2</v>
      </c>
      <c r="S52" s="63">
        <v>99</v>
      </c>
      <c r="T52" s="73">
        <f t="shared" si="1"/>
        <v>33</v>
      </c>
      <c r="U52" s="63">
        <v>626</v>
      </c>
      <c r="V52" s="73">
        <f t="shared" si="2"/>
        <v>2582.25</v>
      </c>
      <c r="W52" s="63">
        <v>1</v>
      </c>
      <c r="X52" s="63" t="s">
        <v>46</v>
      </c>
      <c r="Y52" s="63" t="s">
        <v>55</v>
      </c>
      <c r="Z52" s="63" t="s">
        <v>69</v>
      </c>
      <c r="AA52" s="63" t="s">
        <v>86</v>
      </c>
      <c r="AB52" s="63" t="s">
        <v>158</v>
      </c>
    </row>
    <row r="53" spans="1:28" x14ac:dyDescent="0.15">
      <c r="A53" s="63" t="s">
        <v>41</v>
      </c>
      <c r="B53" s="63" t="s">
        <v>157</v>
      </c>
      <c r="C53" s="71">
        <v>2019</v>
      </c>
      <c r="D53" s="72" t="s">
        <v>165</v>
      </c>
      <c r="E53" s="63" t="s">
        <v>186</v>
      </c>
      <c r="F53" s="63" t="s">
        <v>188</v>
      </c>
      <c r="G53" s="63" t="s">
        <v>42</v>
      </c>
      <c r="H53" s="63" t="s">
        <v>164</v>
      </c>
      <c r="I53" s="63" t="s">
        <v>198</v>
      </c>
      <c r="J53" s="63" t="s">
        <v>38</v>
      </c>
      <c r="K53" s="63" t="s">
        <v>161</v>
      </c>
      <c r="L53" s="63">
        <v>1</v>
      </c>
      <c r="N53" s="63">
        <v>2</v>
      </c>
      <c r="O53" s="63">
        <v>0.5</v>
      </c>
      <c r="P53" s="63">
        <v>0.45</v>
      </c>
      <c r="Q53" s="73">
        <f t="shared" si="0"/>
        <v>0.47499999999999998</v>
      </c>
      <c r="R53" s="63">
        <v>13.3</v>
      </c>
      <c r="S53" s="63">
        <v>130</v>
      </c>
      <c r="T53" s="73">
        <f t="shared" si="1"/>
        <v>25</v>
      </c>
      <c r="U53" s="63">
        <v>429</v>
      </c>
      <c r="V53" s="73">
        <f t="shared" si="2"/>
        <v>5362.5</v>
      </c>
      <c r="W53" s="63">
        <v>1</v>
      </c>
      <c r="X53" s="63" t="s">
        <v>46</v>
      </c>
      <c r="Y53" s="63" t="s">
        <v>55</v>
      </c>
      <c r="Z53" s="63" t="s">
        <v>69</v>
      </c>
      <c r="AA53" s="63" t="s">
        <v>86</v>
      </c>
      <c r="AB53" s="63" t="s">
        <v>158</v>
      </c>
    </row>
    <row r="54" spans="1:28" x14ac:dyDescent="0.15">
      <c r="A54" s="63" t="s">
        <v>41</v>
      </c>
      <c r="B54" s="63" t="s">
        <v>157</v>
      </c>
      <c r="C54" s="71">
        <v>2019</v>
      </c>
      <c r="D54" s="72" t="s">
        <v>165</v>
      </c>
      <c r="E54" s="63" t="s">
        <v>186</v>
      </c>
      <c r="F54" s="63" t="s">
        <v>188</v>
      </c>
      <c r="G54" s="63" t="s">
        <v>42</v>
      </c>
      <c r="H54" s="63" t="s">
        <v>164</v>
      </c>
      <c r="I54" s="63" t="s">
        <v>198</v>
      </c>
      <c r="J54" s="63" t="s">
        <v>38</v>
      </c>
      <c r="K54" s="63" t="s">
        <v>161</v>
      </c>
      <c r="L54" s="63">
        <v>2</v>
      </c>
      <c r="N54" s="63">
        <v>2</v>
      </c>
      <c r="O54" s="63">
        <v>0.3</v>
      </c>
      <c r="P54" s="63">
        <v>0.35</v>
      </c>
      <c r="Q54" s="73">
        <f t="shared" si="0"/>
        <v>0.32499999999999996</v>
      </c>
      <c r="R54" s="63">
        <v>12.8</v>
      </c>
      <c r="S54" s="63">
        <v>129</v>
      </c>
      <c r="T54" s="73">
        <f t="shared" si="1"/>
        <v>25</v>
      </c>
      <c r="U54" s="63">
        <v>429</v>
      </c>
      <c r="V54" s="73">
        <f t="shared" si="2"/>
        <v>5362.5</v>
      </c>
      <c r="W54" s="63">
        <v>1</v>
      </c>
      <c r="X54" s="63" t="s">
        <v>46</v>
      </c>
      <c r="Y54" s="63" t="s">
        <v>55</v>
      </c>
      <c r="Z54" s="63" t="s">
        <v>69</v>
      </c>
      <c r="AA54" s="63" t="s">
        <v>86</v>
      </c>
      <c r="AB54" s="63" t="s">
        <v>158</v>
      </c>
    </row>
    <row r="55" spans="1:28" x14ac:dyDescent="0.15">
      <c r="A55" s="63" t="s">
        <v>41</v>
      </c>
      <c r="B55" s="63" t="s">
        <v>157</v>
      </c>
      <c r="C55" s="71">
        <v>2019</v>
      </c>
      <c r="D55" s="72" t="s">
        <v>165</v>
      </c>
      <c r="E55" s="63" t="s">
        <v>186</v>
      </c>
      <c r="F55" s="63" t="s">
        <v>188</v>
      </c>
      <c r="G55" s="63" t="s">
        <v>42</v>
      </c>
      <c r="H55" s="63" t="s">
        <v>164</v>
      </c>
      <c r="I55" s="63" t="s">
        <v>198</v>
      </c>
      <c r="J55" s="63" t="s">
        <v>38</v>
      </c>
      <c r="K55" s="63" t="s">
        <v>161</v>
      </c>
      <c r="L55" s="63">
        <v>3</v>
      </c>
      <c r="N55" s="63">
        <v>2</v>
      </c>
      <c r="O55" s="63">
        <v>0.45</v>
      </c>
      <c r="P55" s="63">
        <v>0.4</v>
      </c>
      <c r="Q55" s="73">
        <f t="shared" si="0"/>
        <v>0.42500000000000004</v>
      </c>
      <c r="R55" s="63">
        <v>14.3</v>
      </c>
      <c r="S55" s="63">
        <v>127</v>
      </c>
      <c r="T55" s="73">
        <f t="shared" si="1"/>
        <v>27</v>
      </c>
      <c r="U55" s="63">
        <v>429</v>
      </c>
      <c r="V55" s="73">
        <f t="shared" si="2"/>
        <v>5791.5</v>
      </c>
      <c r="W55" s="63">
        <v>1</v>
      </c>
      <c r="X55" s="63" t="s">
        <v>46</v>
      </c>
      <c r="Y55" s="63" t="s">
        <v>55</v>
      </c>
      <c r="Z55" s="63" t="s">
        <v>69</v>
      </c>
      <c r="AA55" s="63" t="s">
        <v>86</v>
      </c>
      <c r="AB55" s="63" t="s">
        <v>158</v>
      </c>
    </row>
    <row r="56" spans="1:28" x14ac:dyDescent="0.15">
      <c r="A56" s="63" t="s">
        <v>41</v>
      </c>
      <c r="B56" s="63" t="s">
        <v>157</v>
      </c>
      <c r="C56" s="71">
        <v>2019</v>
      </c>
      <c r="D56" s="72" t="s">
        <v>165</v>
      </c>
      <c r="E56" s="63" t="s">
        <v>194</v>
      </c>
      <c r="F56" s="63" t="s">
        <v>184</v>
      </c>
      <c r="G56" s="63" t="s">
        <v>42</v>
      </c>
      <c r="H56" s="63" t="s">
        <v>164</v>
      </c>
      <c r="I56" s="63" t="s">
        <v>159</v>
      </c>
      <c r="J56" s="63" t="s">
        <v>38</v>
      </c>
      <c r="K56" s="63" t="s">
        <v>161</v>
      </c>
      <c r="L56" s="63">
        <v>1</v>
      </c>
      <c r="N56" s="63">
        <v>1</v>
      </c>
      <c r="O56" s="63">
        <v>0.9</v>
      </c>
      <c r="P56" s="63">
        <v>1.05</v>
      </c>
      <c r="Q56" s="92">
        <f t="shared" si="0"/>
        <v>0.97500000000000009</v>
      </c>
      <c r="R56" s="63">
        <v>16.2</v>
      </c>
      <c r="S56" s="63">
        <v>122</v>
      </c>
      <c r="T56" s="73">
        <f t="shared" si="1"/>
        <v>27</v>
      </c>
      <c r="U56" s="63">
        <v>108</v>
      </c>
      <c r="V56" s="73">
        <f t="shared" si="2"/>
        <v>2916</v>
      </c>
      <c r="W56" s="63">
        <v>1</v>
      </c>
      <c r="X56" s="63" t="s">
        <v>46</v>
      </c>
      <c r="Y56" s="63" t="s">
        <v>86</v>
      </c>
      <c r="Z56" s="63" t="s">
        <v>97</v>
      </c>
      <c r="AA56" s="63" t="s">
        <v>69</v>
      </c>
      <c r="AB56" s="63" t="s">
        <v>158</v>
      </c>
    </row>
    <row r="57" spans="1:28" x14ac:dyDescent="0.15">
      <c r="A57" s="63" t="s">
        <v>41</v>
      </c>
      <c r="B57" s="63" t="s">
        <v>157</v>
      </c>
      <c r="C57" s="71">
        <v>2019</v>
      </c>
      <c r="D57" s="72" t="s">
        <v>165</v>
      </c>
      <c r="E57" s="63" t="s">
        <v>194</v>
      </c>
      <c r="F57" s="63" t="s">
        <v>184</v>
      </c>
      <c r="G57" s="63" t="s">
        <v>42</v>
      </c>
      <c r="H57" s="63" t="s">
        <v>164</v>
      </c>
      <c r="I57" s="63" t="s">
        <v>159</v>
      </c>
      <c r="J57" s="63" t="s">
        <v>38</v>
      </c>
      <c r="K57" s="63" t="s">
        <v>161</v>
      </c>
      <c r="L57" s="63">
        <v>2</v>
      </c>
      <c r="N57" s="63">
        <v>1</v>
      </c>
      <c r="O57" s="63">
        <v>0.85</v>
      </c>
      <c r="P57" s="63">
        <v>0.9</v>
      </c>
      <c r="Q57" s="92">
        <f t="shared" si="0"/>
        <v>0.875</v>
      </c>
      <c r="R57" s="63">
        <v>13.5</v>
      </c>
      <c r="S57" s="63">
        <v>122</v>
      </c>
      <c r="T57" s="73">
        <f t="shared" si="1"/>
        <v>27</v>
      </c>
      <c r="U57" s="63">
        <v>108</v>
      </c>
      <c r="V57" s="73">
        <f t="shared" si="2"/>
        <v>2916</v>
      </c>
      <c r="W57" s="63">
        <v>1</v>
      </c>
      <c r="X57" s="63" t="s">
        <v>46</v>
      </c>
      <c r="Y57" s="63" t="s">
        <v>86</v>
      </c>
      <c r="Z57" s="63" t="s">
        <v>97</v>
      </c>
      <c r="AA57" s="63" t="s">
        <v>69</v>
      </c>
      <c r="AB57" s="63" t="s">
        <v>158</v>
      </c>
    </row>
    <row r="58" spans="1:28" x14ac:dyDescent="0.15">
      <c r="A58" s="63" t="s">
        <v>41</v>
      </c>
      <c r="B58" s="63" t="s">
        <v>157</v>
      </c>
      <c r="C58" s="71">
        <v>2019</v>
      </c>
      <c r="D58" s="72" t="s">
        <v>165</v>
      </c>
      <c r="E58" s="63" t="s">
        <v>194</v>
      </c>
      <c r="F58" s="63" t="s">
        <v>184</v>
      </c>
      <c r="G58" s="63" t="s">
        <v>42</v>
      </c>
      <c r="H58" s="63" t="s">
        <v>164</v>
      </c>
      <c r="I58" s="63" t="s">
        <v>159</v>
      </c>
      <c r="J58" s="63" t="s">
        <v>38</v>
      </c>
      <c r="K58" s="63" t="s">
        <v>161</v>
      </c>
      <c r="L58" s="63">
        <v>3</v>
      </c>
      <c r="N58" s="63">
        <v>1</v>
      </c>
      <c r="O58" s="63">
        <v>0.95</v>
      </c>
      <c r="P58" s="63">
        <v>0.8</v>
      </c>
      <c r="Q58" s="92">
        <f t="shared" si="0"/>
        <v>0.875</v>
      </c>
      <c r="R58" s="63">
        <v>13.7</v>
      </c>
      <c r="S58" s="63">
        <v>123</v>
      </c>
      <c r="T58" s="73">
        <f t="shared" si="1"/>
        <v>27</v>
      </c>
      <c r="U58" s="63">
        <v>108</v>
      </c>
      <c r="V58" s="73">
        <f t="shared" si="2"/>
        <v>2916</v>
      </c>
      <c r="W58" s="63">
        <v>1</v>
      </c>
      <c r="X58" s="63" t="s">
        <v>46</v>
      </c>
      <c r="Y58" s="63" t="s">
        <v>86</v>
      </c>
      <c r="Z58" s="63" t="s">
        <v>97</v>
      </c>
      <c r="AA58" s="63" t="s">
        <v>69</v>
      </c>
      <c r="AB58" s="63" t="s">
        <v>158</v>
      </c>
    </row>
    <row r="59" spans="1:28" x14ac:dyDescent="0.15">
      <c r="A59" s="63" t="s">
        <v>41</v>
      </c>
      <c r="B59" s="63" t="s">
        <v>157</v>
      </c>
      <c r="C59" s="71">
        <v>2019</v>
      </c>
      <c r="D59" s="72" t="s">
        <v>165</v>
      </c>
      <c r="E59" s="63" t="s">
        <v>194</v>
      </c>
      <c r="F59" s="63" t="s">
        <v>184</v>
      </c>
      <c r="G59" s="63" t="s">
        <v>42</v>
      </c>
      <c r="H59" s="63" t="s">
        <v>164</v>
      </c>
      <c r="I59" s="63" t="s">
        <v>159</v>
      </c>
      <c r="J59" s="63" t="s">
        <v>38</v>
      </c>
      <c r="K59" s="63" t="s">
        <v>161</v>
      </c>
      <c r="L59" s="63">
        <v>1</v>
      </c>
      <c r="N59" s="63">
        <v>6</v>
      </c>
      <c r="O59" s="63">
        <v>0.75</v>
      </c>
      <c r="P59" s="63">
        <v>0.65</v>
      </c>
      <c r="Q59" s="92">
        <f t="shared" si="0"/>
        <v>0.7</v>
      </c>
      <c r="R59" s="63">
        <v>15.1</v>
      </c>
      <c r="S59" s="63">
        <v>118</v>
      </c>
      <c r="T59" s="73">
        <f t="shared" si="1"/>
        <v>30</v>
      </c>
      <c r="U59" s="63">
        <v>429</v>
      </c>
      <c r="V59" s="73">
        <f t="shared" si="2"/>
        <v>2145</v>
      </c>
      <c r="W59" s="63">
        <v>2</v>
      </c>
      <c r="X59" s="63" t="s">
        <v>46</v>
      </c>
      <c r="Y59" s="63" t="s">
        <v>86</v>
      </c>
      <c r="Z59" s="63" t="s">
        <v>97</v>
      </c>
      <c r="AA59" s="63" t="s">
        <v>69</v>
      </c>
      <c r="AB59" s="63" t="s">
        <v>158</v>
      </c>
    </row>
    <row r="60" spans="1:28" x14ac:dyDescent="0.15">
      <c r="A60" s="63" t="s">
        <v>41</v>
      </c>
      <c r="B60" s="63" t="s">
        <v>157</v>
      </c>
      <c r="C60" s="71">
        <v>2019</v>
      </c>
      <c r="D60" s="72" t="s">
        <v>165</v>
      </c>
      <c r="E60" s="63" t="s">
        <v>194</v>
      </c>
      <c r="F60" s="63" t="s">
        <v>184</v>
      </c>
      <c r="G60" s="63" t="s">
        <v>42</v>
      </c>
      <c r="H60" s="63" t="s">
        <v>164</v>
      </c>
      <c r="I60" s="63" t="s">
        <v>159</v>
      </c>
      <c r="J60" s="63" t="s">
        <v>38</v>
      </c>
      <c r="K60" s="63" t="s">
        <v>161</v>
      </c>
      <c r="L60" s="63">
        <v>2</v>
      </c>
      <c r="N60" s="63">
        <v>6</v>
      </c>
      <c r="O60" s="63">
        <v>0.8</v>
      </c>
      <c r="P60" s="63">
        <v>0.9</v>
      </c>
      <c r="Q60" s="92">
        <f t="shared" si="0"/>
        <v>0.85000000000000009</v>
      </c>
      <c r="R60" s="63">
        <v>14.1</v>
      </c>
      <c r="S60" s="63">
        <v>115</v>
      </c>
      <c r="T60" s="73">
        <f t="shared" si="1"/>
        <v>30</v>
      </c>
      <c r="U60" s="63">
        <v>429</v>
      </c>
      <c r="V60" s="73">
        <f t="shared" si="2"/>
        <v>2145</v>
      </c>
      <c r="W60" s="63">
        <v>2</v>
      </c>
      <c r="X60" s="63" t="s">
        <v>46</v>
      </c>
      <c r="Y60" s="63" t="s">
        <v>86</v>
      </c>
      <c r="Z60" s="63" t="s">
        <v>97</v>
      </c>
      <c r="AA60" s="63" t="s">
        <v>69</v>
      </c>
      <c r="AB60" s="63" t="s">
        <v>158</v>
      </c>
    </row>
    <row r="61" spans="1:28" x14ac:dyDescent="0.15">
      <c r="A61" s="63" t="s">
        <v>41</v>
      </c>
      <c r="B61" s="63" t="s">
        <v>157</v>
      </c>
      <c r="C61" s="71">
        <v>2019</v>
      </c>
      <c r="D61" s="72" t="s">
        <v>165</v>
      </c>
      <c r="E61" s="63" t="s">
        <v>194</v>
      </c>
      <c r="F61" s="63" t="s">
        <v>184</v>
      </c>
      <c r="G61" s="63" t="s">
        <v>42</v>
      </c>
      <c r="H61" s="63" t="s">
        <v>164</v>
      </c>
      <c r="I61" s="63" t="s">
        <v>159</v>
      </c>
      <c r="J61" s="63" t="s">
        <v>38</v>
      </c>
      <c r="K61" s="63" t="s">
        <v>161</v>
      </c>
      <c r="L61" s="63">
        <v>3</v>
      </c>
      <c r="N61" s="63">
        <v>6</v>
      </c>
      <c r="O61" s="63">
        <v>0.5</v>
      </c>
      <c r="P61" s="63">
        <v>0.45</v>
      </c>
      <c r="Q61" s="92">
        <f t="shared" si="0"/>
        <v>0.47499999999999998</v>
      </c>
      <c r="R61" s="63">
        <v>16.2</v>
      </c>
      <c r="S61" s="63">
        <v>120</v>
      </c>
      <c r="T61" s="73">
        <f t="shared" si="1"/>
        <v>30</v>
      </c>
      <c r="U61" s="63">
        <v>429</v>
      </c>
      <c r="V61" s="73">
        <f t="shared" si="2"/>
        <v>2145</v>
      </c>
      <c r="W61" s="63">
        <v>2</v>
      </c>
      <c r="X61" s="63" t="s">
        <v>46</v>
      </c>
      <c r="Y61" s="63" t="s">
        <v>86</v>
      </c>
      <c r="Z61" s="63" t="s">
        <v>97</v>
      </c>
      <c r="AA61" s="63" t="s">
        <v>69</v>
      </c>
      <c r="AB61" s="63" t="s">
        <v>158</v>
      </c>
    </row>
    <row r="62" spans="1:28" x14ac:dyDescent="0.15">
      <c r="A62" s="63" t="s">
        <v>41</v>
      </c>
      <c r="B62" s="63" t="s">
        <v>157</v>
      </c>
      <c r="C62" s="71">
        <v>2019</v>
      </c>
      <c r="D62" s="72" t="s">
        <v>165</v>
      </c>
      <c r="E62" s="63" t="s">
        <v>194</v>
      </c>
      <c r="F62" s="63" t="s">
        <v>184</v>
      </c>
      <c r="G62" s="63" t="s">
        <v>42</v>
      </c>
      <c r="H62" s="63" t="s">
        <v>160</v>
      </c>
      <c r="I62" s="63" t="s">
        <v>159</v>
      </c>
      <c r="J62" s="63" t="s">
        <v>38</v>
      </c>
      <c r="K62" s="63" t="s">
        <v>161</v>
      </c>
      <c r="L62" s="63">
        <v>1</v>
      </c>
      <c r="N62" s="63">
        <v>1</v>
      </c>
      <c r="O62" s="63">
        <v>0.35</v>
      </c>
      <c r="P62" s="63">
        <v>0.3</v>
      </c>
      <c r="Q62" s="92">
        <f t="shared" si="0"/>
        <v>0.32499999999999996</v>
      </c>
      <c r="R62" s="63">
        <v>15.8</v>
      </c>
      <c r="S62" s="63">
        <v>127</v>
      </c>
      <c r="T62" s="73">
        <f t="shared" si="1"/>
        <v>27</v>
      </c>
      <c r="U62" s="63">
        <v>170</v>
      </c>
      <c r="V62" s="73">
        <f t="shared" si="2"/>
        <v>4590</v>
      </c>
      <c r="W62" s="63">
        <v>1</v>
      </c>
      <c r="X62" s="63" t="s">
        <v>46</v>
      </c>
      <c r="Y62" s="63" t="s">
        <v>86</v>
      </c>
      <c r="Z62" s="63" t="s">
        <v>97</v>
      </c>
      <c r="AA62" s="63" t="s">
        <v>69</v>
      </c>
      <c r="AB62" s="63" t="s">
        <v>158</v>
      </c>
    </row>
    <row r="63" spans="1:28" x14ac:dyDescent="0.15">
      <c r="A63" s="63" t="s">
        <v>41</v>
      </c>
      <c r="B63" s="63" t="s">
        <v>157</v>
      </c>
      <c r="C63" s="71">
        <v>2019</v>
      </c>
      <c r="D63" s="72" t="s">
        <v>165</v>
      </c>
      <c r="E63" s="63" t="s">
        <v>194</v>
      </c>
      <c r="F63" s="63" t="s">
        <v>184</v>
      </c>
      <c r="G63" s="63" t="s">
        <v>42</v>
      </c>
      <c r="H63" s="63" t="s">
        <v>160</v>
      </c>
      <c r="I63" s="63" t="s">
        <v>159</v>
      </c>
      <c r="J63" s="63" t="s">
        <v>38</v>
      </c>
      <c r="K63" s="63" t="s">
        <v>161</v>
      </c>
      <c r="L63" s="63">
        <v>2</v>
      </c>
      <c r="N63" s="63">
        <v>1</v>
      </c>
      <c r="O63" s="63">
        <v>0.25</v>
      </c>
      <c r="P63" s="63">
        <v>0.25</v>
      </c>
      <c r="Q63" s="92">
        <f t="shared" si="0"/>
        <v>0.25</v>
      </c>
      <c r="R63" s="63">
        <v>14.9</v>
      </c>
      <c r="S63" s="63">
        <v>123</v>
      </c>
      <c r="T63" s="73">
        <f t="shared" si="1"/>
        <v>27</v>
      </c>
      <c r="U63" s="63">
        <v>170</v>
      </c>
      <c r="V63" s="73">
        <f t="shared" si="2"/>
        <v>4590</v>
      </c>
      <c r="W63" s="63">
        <v>1</v>
      </c>
      <c r="X63" s="63" t="s">
        <v>46</v>
      </c>
      <c r="Y63" s="63" t="s">
        <v>86</v>
      </c>
      <c r="Z63" s="63" t="s">
        <v>97</v>
      </c>
      <c r="AA63" s="63" t="s">
        <v>69</v>
      </c>
      <c r="AB63" s="63" t="s">
        <v>158</v>
      </c>
    </row>
    <row r="64" spans="1:28" x14ac:dyDescent="0.15">
      <c r="A64" s="63" t="s">
        <v>41</v>
      </c>
      <c r="B64" s="63" t="s">
        <v>157</v>
      </c>
      <c r="C64" s="71">
        <v>2019</v>
      </c>
      <c r="D64" s="72" t="s">
        <v>165</v>
      </c>
      <c r="E64" s="63" t="s">
        <v>194</v>
      </c>
      <c r="F64" s="63" t="s">
        <v>184</v>
      </c>
      <c r="G64" s="63" t="s">
        <v>42</v>
      </c>
      <c r="H64" s="63" t="s">
        <v>160</v>
      </c>
      <c r="I64" s="63" t="s">
        <v>159</v>
      </c>
      <c r="J64" s="63" t="s">
        <v>38</v>
      </c>
      <c r="K64" s="63" t="s">
        <v>161</v>
      </c>
      <c r="L64" s="63">
        <v>3</v>
      </c>
      <c r="N64" s="63">
        <v>1</v>
      </c>
      <c r="O64" s="63">
        <v>0.3</v>
      </c>
      <c r="P64" s="63">
        <v>0.25</v>
      </c>
      <c r="Q64" s="92">
        <f t="shared" si="0"/>
        <v>0.27500000000000002</v>
      </c>
      <c r="R64" s="63">
        <v>16.399999999999999</v>
      </c>
      <c r="S64" s="63">
        <v>121</v>
      </c>
      <c r="T64" s="73">
        <f t="shared" si="1"/>
        <v>27</v>
      </c>
      <c r="U64" s="63">
        <v>170</v>
      </c>
      <c r="V64" s="73">
        <f t="shared" si="2"/>
        <v>4590</v>
      </c>
      <c r="W64" s="63">
        <v>1</v>
      </c>
      <c r="X64" s="63" t="s">
        <v>46</v>
      </c>
      <c r="Y64" s="63" t="s">
        <v>86</v>
      </c>
      <c r="Z64" s="63" t="s">
        <v>97</v>
      </c>
      <c r="AA64" s="63" t="s">
        <v>69</v>
      </c>
      <c r="AB64" s="63" t="s">
        <v>158</v>
      </c>
    </row>
    <row r="65" spans="1:34" x14ac:dyDescent="0.15">
      <c r="A65" s="63" t="s">
        <v>41</v>
      </c>
      <c r="B65" s="63" t="s">
        <v>157</v>
      </c>
      <c r="C65" s="71">
        <v>2019</v>
      </c>
      <c r="D65" s="72" t="s">
        <v>165</v>
      </c>
      <c r="E65" s="63" t="s">
        <v>194</v>
      </c>
      <c r="F65" s="63" t="s">
        <v>184</v>
      </c>
      <c r="G65" s="63" t="s">
        <v>42</v>
      </c>
      <c r="H65" s="63" t="s">
        <v>160</v>
      </c>
      <c r="I65" s="63" t="s">
        <v>159</v>
      </c>
      <c r="J65" s="63" t="s">
        <v>38</v>
      </c>
      <c r="K65" s="63" t="s">
        <v>161</v>
      </c>
      <c r="L65" s="63">
        <v>1</v>
      </c>
      <c r="N65" s="63">
        <v>4</v>
      </c>
      <c r="O65" s="63">
        <v>0.45</v>
      </c>
      <c r="P65" s="63">
        <v>0.45</v>
      </c>
      <c r="Q65" s="92">
        <f t="shared" si="0"/>
        <v>0.45</v>
      </c>
      <c r="R65" s="63">
        <v>16</v>
      </c>
      <c r="S65" s="63">
        <v>115</v>
      </c>
      <c r="T65" s="73">
        <f t="shared" si="1"/>
        <v>30</v>
      </c>
      <c r="U65" s="63">
        <v>645</v>
      </c>
      <c r="V65" s="73">
        <f t="shared" si="2"/>
        <v>4837.5</v>
      </c>
      <c r="W65" s="63">
        <v>3</v>
      </c>
      <c r="X65" s="63" t="s">
        <v>46</v>
      </c>
      <c r="Y65" s="63" t="s">
        <v>86</v>
      </c>
      <c r="Z65" s="63" t="s">
        <v>97</v>
      </c>
      <c r="AA65" s="63" t="s">
        <v>69</v>
      </c>
      <c r="AB65" s="63" t="s">
        <v>158</v>
      </c>
    </row>
    <row r="66" spans="1:34" x14ac:dyDescent="0.15">
      <c r="A66" s="63" t="s">
        <v>41</v>
      </c>
      <c r="B66" s="63" t="s">
        <v>157</v>
      </c>
      <c r="C66" s="71">
        <v>2019</v>
      </c>
      <c r="D66" s="72" t="s">
        <v>165</v>
      </c>
      <c r="E66" s="63" t="s">
        <v>194</v>
      </c>
      <c r="F66" s="63" t="s">
        <v>184</v>
      </c>
      <c r="G66" s="63" t="s">
        <v>42</v>
      </c>
      <c r="H66" s="63" t="s">
        <v>160</v>
      </c>
      <c r="I66" s="63" t="s">
        <v>159</v>
      </c>
      <c r="J66" s="63" t="s">
        <v>38</v>
      </c>
      <c r="K66" s="63" t="s">
        <v>161</v>
      </c>
      <c r="L66" s="63">
        <v>2</v>
      </c>
      <c r="N66" s="63">
        <v>4</v>
      </c>
      <c r="O66" s="63">
        <v>0.25</v>
      </c>
      <c r="P66" s="63">
        <v>0.25</v>
      </c>
      <c r="Q66" s="92">
        <f t="shared" ref="Q66:Q132" si="3">IF(OR(O66="",P66=""),"",AVERAGE(O66,P66))</f>
        <v>0.25</v>
      </c>
      <c r="R66" s="63">
        <v>14.7</v>
      </c>
      <c r="S66" s="63">
        <v>116</v>
      </c>
      <c r="T66" s="73">
        <f t="shared" ref="T66:T132" si="4">IF(H66="","",IF(OR(H66="GREEN",H66="GK"),IF(S66&gt;=$AX$2,VLOOKUP(S66,$AX$2:$AY$10,2,1),""),IF(S66&gt;=$AZ$2,VLOOKUP(S66,$AZ$2:$BA$10,2,1),"")))</f>
        <v>30</v>
      </c>
      <c r="U66" s="63">
        <v>645</v>
      </c>
      <c r="V66" s="73">
        <f t="shared" ref="V66:V132" si="5">IF(OR(N66="",U66="",T66=""),"",U66/N66*T66)</f>
        <v>4837.5</v>
      </c>
      <c r="W66" s="63">
        <v>3</v>
      </c>
      <c r="X66" s="63" t="s">
        <v>46</v>
      </c>
      <c r="Y66" s="63" t="s">
        <v>86</v>
      </c>
      <c r="Z66" s="63" t="s">
        <v>97</v>
      </c>
      <c r="AA66" s="63" t="s">
        <v>69</v>
      </c>
      <c r="AB66" s="63" t="s">
        <v>158</v>
      </c>
    </row>
    <row r="67" spans="1:34" x14ac:dyDescent="0.15">
      <c r="A67" s="63" t="s">
        <v>41</v>
      </c>
      <c r="B67" s="63" t="s">
        <v>157</v>
      </c>
      <c r="C67" s="71">
        <v>2019</v>
      </c>
      <c r="D67" s="72" t="s">
        <v>165</v>
      </c>
      <c r="E67" s="63" t="s">
        <v>194</v>
      </c>
      <c r="F67" s="63" t="s">
        <v>184</v>
      </c>
      <c r="G67" s="63" t="s">
        <v>42</v>
      </c>
      <c r="H67" s="63" t="s">
        <v>160</v>
      </c>
      <c r="I67" s="63" t="s">
        <v>159</v>
      </c>
      <c r="J67" s="63" t="s">
        <v>38</v>
      </c>
      <c r="K67" s="63" t="s">
        <v>161</v>
      </c>
      <c r="L67" s="63">
        <v>3</v>
      </c>
      <c r="N67" s="63">
        <v>4</v>
      </c>
      <c r="O67" s="63">
        <v>0.25</v>
      </c>
      <c r="P67" s="63">
        <v>0.25</v>
      </c>
      <c r="Q67" s="92">
        <f t="shared" si="3"/>
        <v>0.25</v>
      </c>
      <c r="R67" s="63">
        <v>15.1</v>
      </c>
      <c r="S67" s="63">
        <v>118</v>
      </c>
      <c r="T67" s="73">
        <f t="shared" si="4"/>
        <v>30</v>
      </c>
      <c r="U67" s="63">
        <v>645</v>
      </c>
      <c r="V67" s="73">
        <f t="shared" si="5"/>
        <v>4837.5</v>
      </c>
      <c r="W67" s="63">
        <v>3</v>
      </c>
      <c r="X67" s="63" t="s">
        <v>46</v>
      </c>
      <c r="Y67" s="63" t="s">
        <v>86</v>
      </c>
      <c r="Z67" s="63" t="s">
        <v>97</v>
      </c>
      <c r="AA67" s="63" t="s">
        <v>69</v>
      </c>
      <c r="AB67" s="63" t="s">
        <v>158</v>
      </c>
    </row>
    <row r="68" spans="1:34" x14ac:dyDescent="0.15">
      <c r="A68" s="63" t="s">
        <v>41</v>
      </c>
      <c r="B68" s="63" t="s">
        <v>157</v>
      </c>
      <c r="C68" s="71">
        <v>2019</v>
      </c>
      <c r="D68" s="72" t="s">
        <v>165</v>
      </c>
      <c r="E68" s="63" t="s">
        <v>194</v>
      </c>
      <c r="F68" s="63" t="s">
        <v>196</v>
      </c>
      <c r="G68" s="63" t="s">
        <v>42</v>
      </c>
      <c r="H68" s="63" t="s">
        <v>164</v>
      </c>
      <c r="I68" s="63" t="s">
        <v>159</v>
      </c>
      <c r="J68" s="63" t="s">
        <v>38</v>
      </c>
      <c r="K68" s="63" t="s">
        <v>161</v>
      </c>
      <c r="L68" s="63">
        <v>1</v>
      </c>
      <c r="N68" s="63">
        <v>1</v>
      </c>
      <c r="O68" s="63">
        <v>0.35</v>
      </c>
      <c r="P68" s="63">
        <v>0.45</v>
      </c>
      <c r="Q68" s="92">
        <f t="shared" si="3"/>
        <v>0.4</v>
      </c>
      <c r="R68" s="63">
        <v>13.5</v>
      </c>
      <c r="S68" s="63">
        <v>123</v>
      </c>
      <c r="T68" s="73">
        <f t="shared" si="4"/>
        <v>27</v>
      </c>
      <c r="U68" s="63">
        <v>84</v>
      </c>
      <c r="V68" s="73">
        <f t="shared" si="5"/>
        <v>2268</v>
      </c>
      <c r="W68" s="63">
        <v>3</v>
      </c>
      <c r="X68" s="63" t="s">
        <v>46</v>
      </c>
      <c r="Y68" s="63" t="s">
        <v>55</v>
      </c>
      <c r="Z68" s="63" t="s">
        <v>69</v>
      </c>
      <c r="AA68" s="63" t="s">
        <v>86</v>
      </c>
      <c r="AB68" s="63" t="s">
        <v>158</v>
      </c>
    </row>
    <row r="69" spans="1:34" x14ac:dyDescent="0.15">
      <c r="A69" s="63" t="s">
        <v>41</v>
      </c>
      <c r="B69" s="63" t="s">
        <v>157</v>
      </c>
      <c r="C69" s="71">
        <v>2019</v>
      </c>
      <c r="D69" s="72" t="s">
        <v>165</v>
      </c>
      <c r="E69" s="63" t="s">
        <v>194</v>
      </c>
      <c r="F69" s="63" t="s">
        <v>196</v>
      </c>
      <c r="G69" s="63" t="s">
        <v>42</v>
      </c>
      <c r="H69" s="63" t="s">
        <v>164</v>
      </c>
      <c r="I69" s="63" t="s">
        <v>159</v>
      </c>
      <c r="J69" s="63" t="s">
        <v>38</v>
      </c>
      <c r="K69" s="63" t="s">
        <v>161</v>
      </c>
      <c r="L69" s="63">
        <v>2</v>
      </c>
      <c r="N69" s="63">
        <v>1</v>
      </c>
      <c r="O69" s="63">
        <v>0.25</v>
      </c>
      <c r="P69" s="63">
        <v>0.3</v>
      </c>
      <c r="Q69" s="92">
        <f t="shared" si="3"/>
        <v>0.27500000000000002</v>
      </c>
      <c r="R69" s="63">
        <v>14.1</v>
      </c>
      <c r="S69" s="63">
        <v>122</v>
      </c>
      <c r="T69" s="73">
        <f t="shared" si="4"/>
        <v>27</v>
      </c>
      <c r="U69" s="63">
        <v>84</v>
      </c>
      <c r="V69" s="73">
        <f t="shared" si="5"/>
        <v>2268</v>
      </c>
      <c r="W69" s="63">
        <v>3</v>
      </c>
      <c r="X69" s="63" t="s">
        <v>46</v>
      </c>
      <c r="Y69" s="63" t="s">
        <v>55</v>
      </c>
      <c r="Z69" s="63" t="s">
        <v>69</v>
      </c>
      <c r="AA69" s="63" t="s">
        <v>86</v>
      </c>
      <c r="AB69" s="63" t="s">
        <v>158</v>
      </c>
    </row>
    <row r="70" spans="1:34" x14ac:dyDescent="0.15">
      <c r="A70" s="63" t="s">
        <v>41</v>
      </c>
      <c r="B70" s="63" t="s">
        <v>157</v>
      </c>
      <c r="C70" s="71">
        <v>2019</v>
      </c>
      <c r="D70" s="72" t="s">
        <v>165</v>
      </c>
      <c r="E70" s="63" t="s">
        <v>194</v>
      </c>
      <c r="F70" s="63" t="s">
        <v>196</v>
      </c>
      <c r="G70" s="63" t="s">
        <v>42</v>
      </c>
      <c r="H70" s="63" t="s">
        <v>164</v>
      </c>
      <c r="I70" s="63" t="s">
        <v>159</v>
      </c>
      <c r="J70" s="63" t="s">
        <v>38</v>
      </c>
      <c r="K70" s="63" t="s">
        <v>161</v>
      </c>
      <c r="L70" s="63">
        <v>3</v>
      </c>
      <c r="N70" s="63">
        <v>1</v>
      </c>
      <c r="O70" s="63">
        <v>0.25</v>
      </c>
      <c r="P70" s="63">
        <v>0.25</v>
      </c>
      <c r="Q70" s="92">
        <f t="shared" si="3"/>
        <v>0.25</v>
      </c>
      <c r="R70" s="63">
        <v>15.2</v>
      </c>
      <c r="S70" s="63">
        <v>124</v>
      </c>
      <c r="T70" s="73">
        <f t="shared" si="4"/>
        <v>27</v>
      </c>
      <c r="U70" s="63">
        <v>84</v>
      </c>
      <c r="V70" s="73">
        <f t="shared" si="5"/>
        <v>2268</v>
      </c>
      <c r="W70" s="63">
        <v>3</v>
      </c>
      <c r="X70" s="63" t="s">
        <v>46</v>
      </c>
      <c r="Y70" s="63" t="s">
        <v>55</v>
      </c>
      <c r="Z70" s="63" t="s">
        <v>69</v>
      </c>
      <c r="AA70" s="63" t="s">
        <v>86</v>
      </c>
      <c r="AB70" s="63" t="s">
        <v>158</v>
      </c>
    </row>
    <row r="71" spans="1:34" x14ac:dyDescent="0.15">
      <c r="A71" s="63" t="s">
        <v>41</v>
      </c>
      <c r="B71" s="63" t="s">
        <v>157</v>
      </c>
      <c r="C71" s="71">
        <v>2019</v>
      </c>
      <c r="D71" s="72" t="s">
        <v>165</v>
      </c>
      <c r="E71" s="63" t="s">
        <v>194</v>
      </c>
      <c r="F71" s="63" t="s">
        <v>196</v>
      </c>
      <c r="G71" s="63" t="s">
        <v>42</v>
      </c>
      <c r="H71" s="63" t="s">
        <v>164</v>
      </c>
      <c r="I71" s="63" t="s">
        <v>159</v>
      </c>
      <c r="J71" s="63" t="s">
        <v>38</v>
      </c>
      <c r="K71" s="63" t="s">
        <v>161</v>
      </c>
      <c r="L71" s="63">
        <v>1</v>
      </c>
      <c r="N71" s="63">
        <v>5</v>
      </c>
      <c r="O71" s="63">
        <v>0.7</v>
      </c>
      <c r="P71" s="63">
        <v>0.6</v>
      </c>
      <c r="Q71" s="92">
        <f t="shared" si="3"/>
        <v>0.64999999999999991</v>
      </c>
      <c r="R71" s="63">
        <v>16.2</v>
      </c>
      <c r="S71" s="63">
        <v>118</v>
      </c>
      <c r="T71" s="73">
        <f t="shared" si="4"/>
        <v>30</v>
      </c>
      <c r="U71" s="63">
        <v>421</v>
      </c>
      <c r="V71" s="73">
        <f t="shared" si="5"/>
        <v>2526</v>
      </c>
      <c r="W71" s="63">
        <v>2</v>
      </c>
      <c r="X71" s="63" t="s">
        <v>46</v>
      </c>
      <c r="Y71" s="63" t="s">
        <v>55</v>
      </c>
      <c r="Z71" s="63" t="s">
        <v>69</v>
      </c>
      <c r="AA71" s="63" t="s">
        <v>86</v>
      </c>
      <c r="AB71" s="63" t="s">
        <v>158</v>
      </c>
      <c r="AC71" s="97"/>
      <c r="AD71" s="97"/>
      <c r="AE71" s="97"/>
      <c r="AF71" s="97"/>
      <c r="AG71" s="97"/>
      <c r="AH71" s="97"/>
    </row>
    <row r="72" spans="1:34" x14ac:dyDescent="0.15">
      <c r="A72" s="63" t="s">
        <v>41</v>
      </c>
      <c r="B72" s="63" t="s">
        <v>157</v>
      </c>
      <c r="C72" s="71">
        <v>2019</v>
      </c>
      <c r="D72" s="72" t="s">
        <v>165</v>
      </c>
      <c r="E72" s="63" t="s">
        <v>194</v>
      </c>
      <c r="F72" s="63" t="s">
        <v>196</v>
      </c>
      <c r="G72" s="63" t="s">
        <v>42</v>
      </c>
      <c r="H72" s="63" t="s">
        <v>164</v>
      </c>
      <c r="I72" s="63" t="s">
        <v>159</v>
      </c>
      <c r="J72" s="63" t="s">
        <v>38</v>
      </c>
      <c r="K72" s="63" t="s">
        <v>161</v>
      </c>
      <c r="L72" s="63">
        <v>2</v>
      </c>
      <c r="N72" s="63">
        <v>5</v>
      </c>
      <c r="O72" s="63">
        <v>0.8</v>
      </c>
      <c r="P72" s="63">
        <v>0.75</v>
      </c>
      <c r="Q72" s="92">
        <f t="shared" si="3"/>
        <v>0.77500000000000002</v>
      </c>
      <c r="R72" s="63">
        <v>15</v>
      </c>
      <c r="S72" s="63">
        <v>114</v>
      </c>
      <c r="T72" s="73">
        <f t="shared" si="4"/>
        <v>30</v>
      </c>
      <c r="U72" s="63">
        <v>421</v>
      </c>
      <c r="V72" s="73">
        <f t="shared" si="5"/>
        <v>2526</v>
      </c>
      <c r="W72" s="63">
        <v>2</v>
      </c>
      <c r="X72" s="63" t="s">
        <v>46</v>
      </c>
      <c r="Y72" s="63" t="s">
        <v>55</v>
      </c>
      <c r="Z72" s="63" t="s">
        <v>69</v>
      </c>
      <c r="AA72" s="63" t="s">
        <v>86</v>
      </c>
      <c r="AB72" s="63" t="s">
        <v>158</v>
      </c>
      <c r="AC72" s="97"/>
      <c r="AD72" s="97"/>
      <c r="AE72" s="97"/>
      <c r="AF72" s="97"/>
      <c r="AG72" s="97"/>
      <c r="AH72" s="97"/>
    </row>
    <row r="73" spans="1:34" x14ac:dyDescent="0.15">
      <c r="A73" s="63" t="s">
        <v>41</v>
      </c>
      <c r="B73" s="63" t="s">
        <v>157</v>
      </c>
      <c r="C73" s="71">
        <v>2019</v>
      </c>
      <c r="D73" s="72" t="s">
        <v>165</v>
      </c>
      <c r="E73" s="63" t="s">
        <v>194</v>
      </c>
      <c r="F73" s="63" t="s">
        <v>196</v>
      </c>
      <c r="G73" s="63" t="s">
        <v>42</v>
      </c>
      <c r="H73" s="63" t="s">
        <v>164</v>
      </c>
      <c r="I73" s="63" t="s">
        <v>159</v>
      </c>
      <c r="J73" s="63" t="s">
        <v>38</v>
      </c>
      <c r="K73" s="63" t="s">
        <v>161</v>
      </c>
      <c r="L73" s="63">
        <v>3</v>
      </c>
      <c r="N73" s="63">
        <v>5</v>
      </c>
      <c r="O73" s="63">
        <v>0.8</v>
      </c>
      <c r="P73" s="63">
        <v>0.5</v>
      </c>
      <c r="Q73" s="92">
        <f t="shared" si="3"/>
        <v>0.65</v>
      </c>
      <c r="R73" s="63">
        <v>14.8</v>
      </c>
      <c r="S73" s="63">
        <v>115</v>
      </c>
      <c r="T73" s="73">
        <f t="shared" si="4"/>
        <v>30</v>
      </c>
      <c r="U73" s="63">
        <v>421</v>
      </c>
      <c r="V73" s="73">
        <f t="shared" si="5"/>
        <v>2526</v>
      </c>
      <c r="W73" s="63">
        <v>2</v>
      </c>
      <c r="X73" s="63" t="s">
        <v>46</v>
      </c>
      <c r="Y73" s="63" t="s">
        <v>55</v>
      </c>
      <c r="Z73" s="63" t="s">
        <v>69</v>
      </c>
      <c r="AA73" s="63" t="s">
        <v>86</v>
      </c>
      <c r="AB73" s="63" t="s">
        <v>158</v>
      </c>
      <c r="AC73" s="97"/>
      <c r="AD73" s="97"/>
      <c r="AE73" s="97"/>
      <c r="AF73" s="97"/>
      <c r="AG73" s="97"/>
      <c r="AH73" s="97"/>
    </row>
    <row r="74" spans="1:34" x14ac:dyDescent="0.15">
      <c r="A74" s="63" t="s">
        <v>41</v>
      </c>
      <c r="B74" s="63" t="s">
        <v>157</v>
      </c>
      <c r="C74" s="71">
        <v>2019</v>
      </c>
      <c r="D74" s="72" t="s">
        <v>165</v>
      </c>
      <c r="E74" s="63" t="s">
        <v>194</v>
      </c>
      <c r="F74" s="63" t="s">
        <v>196</v>
      </c>
      <c r="G74" s="63" t="s">
        <v>42</v>
      </c>
      <c r="H74" s="63" t="s">
        <v>164</v>
      </c>
      <c r="I74" s="63" t="s">
        <v>159</v>
      </c>
      <c r="J74" s="63" t="s">
        <v>38</v>
      </c>
      <c r="K74" s="63" t="s">
        <v>161</v>
      </c>
      <c r="L74" s="63">
        <v>1</v>
      </c>
      <c r="N74" s="63">
        <v>8</v>
      </c>
      <c r="O74" s="63">
        <v>0.35</v>
      </c>
      <c r="P74" s="63">
        <v>0.35</v>
      </c>
      <c r="Q74" s="92">
        <f t="shared" si="3"/>
        <v>0.35</v>
      </c>
      <c r="R74" s="63">
        <v>12.5</v>
      </c>
      <c r="S74" s="63">
        <v>114</v>
      </c>
      <c r="T74" s="73">
        <f t="shared" si="4"/>
        <v>30</v>
      </c>
      <c r="U74" s="63">
        <v>735</v>
      </c>
      <c r="V74" s="73">
        <f t="shared" si="5"/>
        <v>2756.25</v>
      </c>
      <c r="W74" s="63">
        <v>1</v>
      </c>
      <c r="X74" s="63" t="s">
        <v>46</v>
      </c>
      <c r="Y74" s="63" t="s">
        <v>55</v>
      </c>
      <c r="Z74" s="63" t="s">
        <v>69</v>
      </c>
      <c r="AA74" s="63" t="s">
        <v>86</v>
      </c>
      <c r="AB74" s="63" t="s">
        <v>158</v>
      </c>
      <c r="AC74" s="97"/>
      <c r="AD74" s="97"/>
      <c r="AE74" s="97"/>
      <c r="AF74" s="97"/>
      <c r="AG74" s="97"/>
      <c r="AH74" s="97"/>
    </row>
    <row r="75" spans="1:34" x14ac:dyDescent="0.15">
      <c r="A75" s="63" t="s">
        <v>41</v>
      </c>
      <c r="B75" s="63" t="s">
        <v>157</v>
      </c>
      <c r="C75" s="71">
        <v>2019</v>
      </c>
      <c r="D75" s="72" t="s">
        <v>165</v>
      </c>
      <c r="E75" s="63" t="s">
        <v>194</v>
      </c>
      <c r="F75" s="63" t="s">
        <v>196</v>
      </c>
      <c r="G75" s="63" t="s">
        <v>42</v>
      </c>
      <c r="H75" s="63" t="s">
        <v>164</v>
      </c>
      <c r="I75" s="63" t="s">
        <v>159</v>
      </c>
      <c r="J75" s="63" t="s">
        <v>38</v>
      </c>
      <c r="K75" s="63" t="s">
        <v>161</v>
      </c>
      <c r="L75" s="63">
        <v>2</v>
      </c>
      <c r="N75" s="63">
        <v>8</v>
      </c>
      <c r="O75" s="63">
        <v>0.7</v>
      </c>
      <c r="P75" s="63">
        <v>0.5</v>
      </c>
      <c r="Q75" s="92">
        <f t="shared" si="3"/>
        <v>0.6</v>
      </c>
      <c r="R75" s="63">
        <v>11</v>
      </c>
      <c r="S75" s="63">
        <v>110</v>
      </c>
      <c r="T75" s="73">
        <f t="shared" si="4"/>
        <v>33</v>
      </c>
      <c r="U75" s="63">
        <v>735</v>
      </c>
      <c r="V75" s="73">
        <f t="shared" si="5"/>
        <v>3031.875</v>
      </c>
      <c r="W75" s="63">
        <v>1</v>
      </c>
      <c r="X75" s="63" t="s">
        <v>46</v>
      </c>
      <c r="Y75" s="63" t="s">
        <v>55</v>
      </c>
      <c r="Z75" s="63" t="s">
        <v>69</v>
      </c>
      <c r="AA75" s="63" t="s">
        <v>86</v>
      </c>
      <c r="AB75" s="63" t="s">
        <v>158</v>
      </c>
      <c r="AC75" s="97"/>
      <c r="AD75" s="97"/>
      <c r="AE75" s="97"/>
      <c r="AF75" s="97"/>
      <c r="AG75" s="97"/>
      <c r="AH75" s="97"/>
    </row>
    <row r="76" spans="1:34" x14ac:dyDescent="0.15">
      <c r="A76" s="63" t="s">
        <v>41</v>
      </c>
      <c r="B76" s="63" t="s">
        <v>157</v>
      </c>
      <c r="C76" s="71">
        <v>2019</v>
      </c>
      <c r="D76" s="72" t="s">
        <v>165</v>
      </c>
      <c r="E76" s="63" t="s">
        <v>194</v>
      </c>
      <c r="F76" s="63" t="s">
        <v>196</v>
      </c>
      <c r="G76" s="63" t="s">
        <v>42</v>
      </c>
      <c r="H76" s="63" t="s">
        <v>164</v>
      </c>
      <c r="I76" s="63" t="s">
        <v>159</v>
      </c>
      <c r="J76" s="63" t="s">
        <v>38</v>
      </c>
      <c r="K76" s="63" t="s">
        <v>161</v>
      </c>
      <c r="L76" s="63">
        <v>3</v>
      </c>
      <c r="N76" s="63">
        <v>8</v>
      </c>
      <c r="O76" s="63">
        <v>0.45</v>
      </c>
      <c r="P76" s="63">
        <v>0.65</v>
      </c>
      <c r="Q76" s="92">
        <f t="shared" si="3"/>
        <v>0.55000000000000004</v>
      </c>
      <c r="R76" s="63">
        <v>12.9</v>
      </c>
      <c r="S76" s="63">
        <v>117</v>
      </c>
      <c r="T76" s="73">
        <f t="shared" si="4"/>
        <v>30</v>
      </c>
      <c r="U76" s="63">
        <v>735</v>
      </c>
      <c r="V76" s="73">
        <f t="shared" si="5"/>
        <v>2756.25</v>
      </c>
      <c r="W76" s="63">
        <v>1</v>
      </c>
      <c r="X76" s="63" t="s">
        <v>46</v>
      </c>
      <c r="Y76" s="63" t="s">
        <v>55</v>
      </c>
      <c r="Z76" s="63" t="s">
        <v>69</v>
      </c>
      <c r="AA76" s="63" t="s">
        <v>86</v>
      </c>
      <c r="AB76" s="63" t="s">
        <v>158</v>
      </c>
      <c r="AC76" s="97"/>
      <c r="AD76" s="97"/>
      <c r="AE76" s="97"/>
      <c r="AF76" s="97"/>
      <c r="AG76" s="97"/>
      <c r="AH76" s="97"/>
    </row>
    <row r="77" spans="1:34" x14ac:dyDescent="0.15">
      <c r="A77" s="63" t="s">
        <v>41</v>
      </c>
      <c r="B77" s="63" t="s">
        <v>157</v>
      </c>
      <c r="C77" s="71">
        <v>2019</v>
      </c>
      <c r="D77" s="72" t="s">
        <v>165</v>
      </c>
      <c r="E77" s="63" t="s">
        <v>194</v>
      </c>
      <c r="F77" s="63" t="s">
        <v>196</v>
      </c>
      <c r="G77" s="63" t="s">
        <v>42</v>
      </c>
      <c r="H77" s="63" t="s">
        <v>160</v>
      </c>
      <c r="I77" s="63" t="s">
        <v>159</v>
      </c>
      <c r="J77" s="63" t="s">
        <v>38</v>
      </c>
      <c r="K77" s="63" t="s">
        <v>161</v>
      </c>
      <c r="L77" s="63">
        <v>1</v>
      </c>
      <c r="N77" s="63">
        <v>1</v>
      </c>
      <c r="O77" s="63">
        <v>0.5</v>
      </c>
      <c r="P77" s="63">
        <v>0.45</v>
      </c>
      <c r="Q77" s="92">
        <f t="shared" si="3"/>
        <v>0.47499999999999998</v>
      </c>
      <c r="R77" s="63">
        <v>13.5</v>
      </c>
      <c r="S77" s="63">
        <v>123</v>
      </c>
      <c r="T77" s="73">
        <f t="shared" si="4"/>
        <v>27</v>
      </c>
      <c r="U77" s="63">
        <v>84</v>
      </c>
      <c r="V77" s="73">
        <f t="shared" si="5"/>
        <v>2268</v>
      </c>
      <c r="W77" s="63">
        <v>5</v>
      </c>
      <c r="X77" s="63" t="s">
        <v>46</v>
      </c>
      <c r="Y77" s="63" t="s">
        <v>55</v>
      </c>
      <c r="Z77" s="63" t="s">
        <v>69</v>
      </c>
      <c r="AA77" s="63" t="s">
        <v>86</v>
      </c>
      <c r="AB77" s="63" t="s">
        <v>158</v>
      </c>
      <c r="AC77" s="97"/>
      <c r="AD77" s="97"/>
      <c r="AE77" s="97"/>
      <c r="AF77" s="97"/>
      <c r="AG77" s="97"/>
      <c r="AH77" s="97"/>
    </row>
    <row r="78" spans="1:34" x14ac:dyDescent="0.15">
      <c r="A78" s="63" t="s">
        <v>41</v>
      </c>
      <c r="B78" s="63" t="s">
        <v>157</v>
      </c>
      <c r="C78" s="71">
        <v>2019</v>
      </c>
      <c r="D78" s="72" t="s">
        <v>165</v>
      </c>
      <c r="E78" s="63" t="s">
        <v>194</v>
      </c>
      <c r="F78" s="63" t="s">
        <v>196</v>
      </c>
      <c r="G78" s="63" t="s">
        <v>42</v>
      </c>
      <c r="H78" s="63" t="s">
        <v>160</v>
      </c>
      <c r="I78" s="63" t="s">
        <v>159</v>
      </c>
      <c r="J78" s="63" t="s">
        <v>38</v>
      </c>
      <c r="K78" s="63" t="s">
        <v>161</v>
      </c>
      <c r="L78" s="63">
        <v>2</v>
      </c>
      <c r="N78" s="63">
        <v>1</v>
      </c>
      <c r="O78" s="63">
        <v>0.65</v>
      </c>
      <c r="P78" s="63">
        <v>0.5</v>
      </c>
      <c r="Q78" s="92">
        <f t="shared" si="3"/>
        <v>0.57499999999999996</v>
      </c>
      <c r="R78" s="63">
        <v>15.4</v>
      </c>
      <c r="S78" s="63">
        <v>122</v>
      </c>
      <c r="T78" s="73">
        <f t="shared" si="4"/>
        <v>27</v>
      </c>
      <c r="U78" s="63">
        <v>84</v>
      </c>
      <c r="V78" s="73">
        <f t="shared" si="5"/>
        <v>2268</v>
      </c>
      <c r="W78" s="63">
        <v>5</v>
      </c>
      <c r="X78" s="63" t="s">
        <v>46</v>
      </c>
      <c r="Y78" s="63" t="s">
        <v>55</v>
      </c>
      <c r="Z78" s="63" t="s">
        <v>69</v>
      </c>
      <c r="AA78" s="63" t="s">
        <v>86</v>
      </c>
      <c r="AB78" s="63" t="s">
        <v>158</v>
      </c>
      <c r="AC78" s="97"/>
      <c r="AD78" s="97"/>
      <c r="AE78" s="97"/>
      <c r="AF78" s="97"/>
      <c r="AG78" s="97"/>
      <c r="AH78" s="97"/>
    </row>
    <row r="79" spans="1:34" x14ac:dyDescent="0.15">
      <c r="A79" s="63" t="s">
        <v>41</v>
      </c>
      <c r="B79" s="63" t="s">
        <v>157</v>
      </c>
      <c r="C79" s="71">
        <v>2019</v>
      </c>
      <c r="D79" s="72" t="s">
        <v>165</v>
      </c>
      <c r="E79" s="63" t="s">
        <v>194</v>
      </c>
      <c r="F79" s="63" t="s">
        <v>196</v>
      </c>
      <c r="G79" s="63" t="s">
        <v>42</v>
      </c>
      <c r="H79" s="63" t="s">
        <v>160</v>
      </c>
      <c r="I79" s="63" t="s">
        <v>159</v>
      </c>
      <c r="J79" s="63" t="s">
        <v>38</v>
      </c>
      <c r="K79" s="63" t="s">
        <v>161</v>
      </c>
      <c r="L79" s="63">
        <v>3</v>
      </c>
      <c r="N79" s="63">
        <v>1</v>
      </c>
      <c r="O79" s="63">
        <v>0.4</v>
      </c>
      <c r="P79" s="63">
        <v>0.3</v>
      </c>
      <c r="Q79" s="92">
        <f t="shared" si="3"/>
        <v>0.35</v>
      </c>
      <c r="R79" s="63">
        <v>15</v>
      </c>
      <c r="S79" s="63">
        <v>124</v>
      </c>
      <c r="T79" s="73">
        <f t="shared" si="4"/>
        <v>27</v>
      </c>
      <c r="U79" s="63">
        <v>84</v>
      </c>
      <c r="V79" s="73">
        <f t="shared" si="5"/>
        <v>2268</v>
      </c>
      <c r="W79" s="63">
        <v>5</v>
      </c>
      <c r="X79" s="63" t="s">
        <v>46</v>
      </c>
      <c r="Y79" s="63" t="s">
        <v>55</v>
      </c>
      <c r="Z79" s="63" t="s">
        <v>69</v>
      </c>
      <c r="AA79" s="63" t="s">
        <v>86</v>
      </c>
      <c r="AB79" s="63" t="s">
        <v>158</v>
      </c>
      <c r="AC79" s="97"/>
      <c r="AD79" s="97"/>
      <c r="AE79" s="97"/>
      <c r="AF79" s="97"/>
      <c r="AG79" s="97"/>
      <c r="AH79" s="97"/>
    </row>
    <row r="80" spans="1:34" x14ac:dyDescent="0.15">
      <c r="A80" s="63" t="s">
        <v>41</v>
      </c>
      <c r="B80" s="63" t="s">
        <v>157</v>
      </c>
      <c r="C80" s="71">
        <v>2019</v>
      </c>
      <c r="D80" s="72" t="s">
        <v>165</v>
      </c>
      <c r="E80" s="63" t="s">
        <v>194</v>
      </c>
      <c r="F80" s="63" t="s">
        <v>196</v>
      </c>
      <c r="G80" s="63" t="s">
        <v>42</v>
      </c>
      <c r="H80" s="63" t="s">
        <v>160</v>
      </c>
      <c r="I80" s="63" t="s">
        <v>159</v>
      </c>
      <c r="J80" s="63" t="s">
        <v>38</v>
      </c>
      <c r="K80" s="63" t="s">
        <v>161</v>
      </c>
      <c r="L80" s="63">
        <v>1</v>
      </c>
      <c r="N80" s="63">
        <v>4</v>
      </c>
      <c r="O80" s="63">
        <v>0.35</v>
      </c>
      <c r="P80" s="63">
        <v>0.35</v>
      </c>
      <c r="Q80" s="92">
        <f t="shared" si="3"/>
        <v>0.35</v>
      </c>
      <c r="R80" s="63">
        <v>17.399999999999999</v>
      </c>
      <c r="S80" s="63">
        <v>120</v>
      </c>
      <c r="T80" s="73">
        <f t="shared" si="4"/>
        <v>30</v>
      </c>
      <c r="U80" s="63">
        <v>421</v>
      </c>
      <c r="V80" s="73">
        <f t="shared" si="5"/>
        <v>3157.5</v>
      </c>
      <c r="W80" s="63">
        <v>3</v>
      </c>
      <c r="X80" s="63" t="s">
        <v>46</v>
      </c>
      <c r="Y80" s="63" t="s">
        <v>55</v>
      </c>
      <c r="Z80" s="63" t="s">
        <v>69</v>
      </c>
      <c r="AA80" s="63" t="s">
        <v>86</v>
      </c>
      <c r="AB80" s="63" t="s">
        <v>158</v>
      </c>
      <c r="AC80" s="97"/>
      <c r="AD80" s="97"/>
      <c r="AE80" s="97"/>
      <c r="AF80" s="97"/>
      <c r="AG80" s="97"/>
      <c r="AH80" s="97"/>
    </row>
    <row r="81" spans="1:34" x14ac:dyDescent="0.15">
      <c r="A81" s="63" t="s">
        <v>41</v>
      </c>
      <c r="B81" s="63" t="s">
        <v>157</v>
      </c>
      <c r="C81" s="71">
        <v>2019</v>
      </c>
      <c r="D81" s="72" t="s">
        <v>165</v>
      </c>
      <c r="E81" s="63" t="s">
        <v>194</v>
      </c>
      <c r="F81" s="63" t="s">
        <v>196</v>
      </c>
      <c r="G81" s="63" t="s">
        <v>42</v>
      </c>
      <c r="H81" s="63" t="s">
        <v>160</v>
      </c>
      <c r="I81" s="63" t="s">
        <v>159</v>
      </c>
      <c r="J81" s="63" t="s">
        <v>38</v>
      </c>
      <c r="K81" s="63" t="s">
        <v>161</v>
      </c>
      <c r="L81" s="63">
        <v>2</v>
      </c>
      <c r="N81" s="63">
        <v>4</v>
      </c>
      <c r="O81" s="63">
        <v>0.45</v>
      </c>
      <c r="P81" s="63">
        <v>0.4</v>
      </c>
      <c r="Q81" s="92">
        <f t="shared" si="3"/>
        <v>0.42500000000000004</v>
      </c>
      <c r="R81" s="63">
        <v>16.8</v>
      </c>
      <c r="S81" s="63">
        <v>122</v>
      </c>
      <c r="T81" s="73">
        <f t="shared" si="4"/>
        <v>27</v>
      </c>
      <c r="U81" s="63">
        <v>421</v>
      </c>
      <c r="V81" s="73">
        <f t="shared" si="5"/>
        <v>2841.75</v>
      </c>
      <c r="W81" s="63">
        <v>3</v>
      </c>
      <c r="X81" s="63" t="s">
        <v>46</v>
      </c>
      <c r="Y81" s="63" t="s">
        <v>55</v>
      </c>
      <c r="Z81" s="63" t="s">
        <v>69</v>
      </c>
      <c r="AA81" s="63" t="s">
        <v>86</v>
      </c>
      <c r="AB81" s="63" t="s">
        <v>158</v>
      </c>
      <c r="AC81" s="97"/>
      <c r="AD81" s="97"/>
      <c r="AE81" s="97"/>
      <c r="AF81" s="97"/>
      <c r="AG81" s="97"/>
      <c r="AH81" s="97"/>
    </row>
    <row r="82" spans="1:34" x14ac:dyDescent="0.15">
      <c r="A82" s="63" t="s">
        <v>41</v>
      </c>
      <c r="B82" s="63" t="s">
        <v>157</v>
      </c>
      <c r="C82" s="71">
        <v>2019</v>
      </c>
      <c r="D82" s="72" t="s">
        <v>165</v>
      </c>
      <c r="E82" s="63" t="s">
        <v>194</v>
      </c>
      <c r="F82" s="63" t="s">
        <v>196</v>
      </c>
      <c r="G82" s="63" t="s">
        <v>42</v>
      </c>
      <c r="H82" s="63" t="s">
        <v>160</v>
      </c>
      <c r="I82" s="63" t="s">
        <v>159</v>
      </c>
      <c r="J82" s="63" t="s">
        <v>38</v>
      </c>
      <c r="K82" s="63" t="s">
        <v>161</v>
      </c>
      <c r="L82" s="63">
        <v>3</v>
      </c>
      <c r="N82" s="63">
        <v>4</v>
      </c>
      <c r="O82" s="63">
        <v>0.25</v>
      </c>
      <c r="P82" s="63">
        <v>0.25</v>
      </c>
      <c r="Q82" s="92">
        <f t="shared" si="3"/>
        <v>0.25</v>
      </c>
      <c r="R82" s="63">
        <v>15.9</v>
      </c>
      <c r="S82" s="63">
        <v>121</v>
      </c>
      <c r="T82" s="73">
        <f t="shared" si="4"/>
        <v>27</v>
      </c>
      <c r="U82" s="63">
        <v>421</v>
      </c>
      <c r="V82" s="73">
        <f t="shared" si="5"/>
        <v>2841.75</v>
      </c>
      <c r="W82" s="63">
        <v>3</v>
      </c>
      <c r="X82" s="63" t="s">
        <v>46</v>
      </c>
      <c r="Y82" s="63" t="s">
        <v>55</v>
      </c>
      <c r="Z82" s="63" t="s">
        <v>69</v>
      </c>
      <c r="AA82" s="63" t="s">
        <v>86</v>
      </c>
      <c r="AB82" s="63" t="s">
        <v>158</v>
      </c>
      <c r="AC82" s="97"/>
      <c r="AD82" s="97"/>
      <c r="AE82" s="97"/>
      <c r="AF82" s="97"/>
      <c r="AG82" s="97"/>
      <c r="AH82" s="97"/>
    </row>
    <row r="83" spans="1:34" x14ac:dyDescent="0.15">
      <c r="A83" s="63" t="s">
        <v>41</v>
      </c>
      <c r="B83" s="63" t="s">
        <v>157</v>
      </c>
      <c r="C83" s="71">
        <v>2019</v>
      </c>
      <c r="D83" s="72" t="s">
        <v>165</v>
      </c>
      <c r="E83" s="63" t="s">
        <v>194</v>
      </c>
      <c r="F83" s="63" t="s">
        <v>196</v>
      </c>
      <c r="G83" s="63" t="s">
        <v>42</v>
      </c>
      <c r="H83" s="63" t="s">
        <v>160</v>
      </c>
      <c r="I83" s="63" t="s">
        <v>159</v>
      </c>
      <c r="J83" s="63" t="s">
        <v>38</v>
      </c>
      <c r="K83" s="63" t="s">
        <v>161</v>
      </c>
      <c r="L83" s="63">
        <v>1</v>
      </c>
      <c r="N83" s="63">
        <v>7</v>
      </c>
      <c r="O83" s="63">
        <v>0.35</v>
      </c>
      <c r="P83" s="63">
        <v>0.3</v>
      </c>
      <c r="Q83" s="92">
        <f t="shared" si="3"/>
        <v>0.32499999999999996</v>
      </c>
      <c r="R83" s="63">
        <v>14.1</v>
      </c>
      <c r="S83" s="63">
        <v>118</v>
      </c>
      <c r="T83" s="73">
        <f t="shared" si="4"/>
        <v>30</v>
      </c>
      <c r="U83" s="63">
        <v>843</v>
      </c>
      <c r="V83" s="73">
        <f t="shared" si="5"/>
        <v>3612.8571428571431</v>
      </c>
      <c r="W83" s="63">
        <v>1</v>
      </c>
      <c r="X83" s="63" t="s">
        <v>46</v>
      </c>
      <c r="Y83" s="63" t="s">
        <v>55</v>
      </c>
      <c r="Z83" s="63" t="s">
        <v>69</v>
      </c>
      <c r="AA83" s="63" t="s">
        <v>86</v>
      </c>
      <c r="AB83" s="63" t="s">
        <v>158</v>
      </c>
      <c r="AC83" s="97"/>
      <c r="AD83" s="97"/>
      <c r="AE83" s="97"/>
      <c r="AF83" s="97"/>
      <c r="AG83" s="97"/>
      <c r="AH83" s="97"/>
    </row>
    <row r="84" spans="1:34" x14ac:dyDescent="0.15">
      <c r="A84" s="63" t="s">
        <v>41</v>
      </c>
      <c r="B84" s="63" t="s">
        <v>157</v>
      </c>
      <c r="C84" s="71">
        <v>2019</v>
      </c>
      <c r="D84" s="72" t="s">
        <v>165</v>
      </c>
      <c r="E84" s="63" t="s">
        <v>194</v>
      </c>
      <c r="F84" s="63" t="s">
        <v>196</v>
      </c>
      <c r="G84" s="63" t="s">
        <v>42</v>
      </c>
      <c r="H84" s="63" t="s">
        <v>160</v>
      </c>
      <c r="I84" s="63" t="s">
        <v>159</v>
      </c>
      <c r="J84" s="63" t="s">
        <v>38</v>
      </c>
      <c r="K84" s="63" t="s">
        <v>161</v>
      </c>
      <c r="L84" s="63">
        <v>2</v>
      </c>
      <c r="N84" s="63">
        <v>7</v>
      </c>
      <c r="O84" s="63">
        <v>0.45</v>
      </c>
      <c r="P84" s="63">
        <v>0.35</v>
      </c>
      <c r="Q84" s="92">
        <f t="shared" si="3"/>
        <v>0.4</v>
      </c>
      <c r="R84" s="63">
        <v>14.8</v>
      </c>
      <c r="S84" s="63">
        <v>115</v>
      </c>
      <c r="T84" s="73">
        <f t="shared" si="4"/>
        <v>30</v>
      </c>
      <c r="U84" s="63">
        <v>843</v>
      </c>
      <c r="V84" s="73">
        <f t="shared" si="5"/>
        <v>3612.8571428571431</v>
      </c>
      <c r="W84" s="63">
        <v>1</v>
      </c>
      <c r="X84" s="63" t="s">
        <v>46</v>
      </c>
      <c r="Y84" s="63" t="s">
        <v>55</v>
      </c>
      <c r="Z84" s="63" t="s">
        <v>69</v>
      </c>
      <c r="AA84" s="63" t="s">
        <v>86</v>
      </c>
      <c r="AB84" s="63" t="s">
        <v>158</v>
      </c>
      <c r="AC84" s="97"/>
      <c r="AD84" s="97"/>
      <c r="AE84" s="97"/>
      <c r="AF84" s="97"/>
      <c r="AG84" s="97"/>
      <c r="AH84" s="97"/>
    </row>
    <row r="85" spans="1:34" x14ac:dyDescent="0.15">
      <c r="A85" s="63" t="s">
        <v>41</v>
      </c>
      <c r="B85" s="63" t="s">
        <v>157</v>
      </c>
      <c r="C85" s="71">
        <v>2019</v>
      </c>
      <c r="D85" s="72" t="s">
        <v>165</v>
      </c>
      <c r="E85" s="63" t="s">
        <v>194</v>
      </c>
      <c r="F85" s="63" t="s">
        <v>196</v>
      </c>
      <c r="G85" s="63" t="s">
        <v>42</v>
      </c>
      <c r="H85" s="63" t="s">
        <v>160</v>
      </c>
      <c r="I85" s="63" t="s">
        <v>159</v>
      </c>
      <c r="J85" s="63" t="s">
        <v>38</v>
      </c>
      <c r="K85" s="63" t="s">
        <v>161</v>
      </c>
      <c r="L85" s="63">
        <v>3</v>
      </c>
      <c r="N85" s="63">
        <v>7</v>
      </c>
      <c r="O85" s="63">
        <v>0.3</v>
      </c>
      <c r="P85" s="63">
        <v>0.3</v>
      </c>
      <c r="Q85" s="92">
        <f t="shared" si="3"/>
        <v>0.3</v>
      </c>
      <c r="R85" s="63">
        <v>16.399999999999999</v>
      </c>
      <c r="S85" s="63">
        <v>120</v>
      </c>
      <c r="T85" s="73">
        <f t="shared" si="4"/>
        <v>30</v>
      </c>
      <c r="U85" s="63">
        <v>843</v>
      </c>
      <c r="V85" s="73">
        <f t="shared" si="5"/>
        <v>3612.8571428571431</v>
      </c>
      <c r="W85" s="63">
        <v>1</v>
      </c>
      <c r="X85" s="63" t="s">
        <v>46</v>
      </c>
      <c r="Y85" s="63" t="s">
        <v>55</v>
      </c>
      <c r="Z85" s="63" t="s">
        <v>69</v>
      </c>
      <c r="AA85" s="63" t="s">
        <v>86</v>
      </c>
      <c r="AB85" s="63" t="s">
        <v>158</v>
      </c>
      <c r="AC85" s="97"/>
      <c r="AD85" s="97"/>
      <c r="AE85" s="97"/>
      <c r="AF85" s="97"/>
      <c r="AG85" s="97"/>
      <c r="AH85" s="97"/>
    </row>
    <row r="86" spans="1:34" x14ac:dyDescent="0.15">
      <c r="A86" s="63" t="s">
        <v>41</v>
      </c>
      <c r="B86" s="63" t="s">
        <v>157</v>
      </c>
      <c r="C86" s="71">
        <v>2019</v>
      </c>
      <c r="D86" s="72" t="s">
        <v>165</v>
      </c>
      <c r="E86" s="63" t="s">
        <v>199</v>
      </c>
      <c r="F86" s="63" t="s">
        <v>196</v>
      </c>
      <c r="G86" s="63" t="s">
        <v>42</v>
      </c>
      <c r="H86" s="63" t="s">
        <v>160</v>
      </c>
      <c r="I86" s="63" t="s">
        <v>159</v>
      </c>
      <c r="J86" s="63" t="s">
        <v>38</v>
      </c>
      <c r="K86" s="63" t="s">
        <v>161</v>
      </c>
      <c r="L86" s="63">
        <v>1</v>
      </c>
      <c r="N86" s="63">
        <v>1</v>
      </c>
      <c r="O86" s="63">
        <v>0.45</v>
      </c>
      <c r="P86" s="63">
        <v>0.35</v>
      </c>
      <c r="Q86" s="73">
        <f t="shared" si="3"/>
        <v>0.4</v>
      </c>
      <c r="R86" s="63">
        <v>13.2</v>
      </c>
      <c r="S86" s="63">
        <v>118</v>
      </c>
      <c r="T86" s="98">
        <f t="shared" si="4"/>
        <v>30</v>
      </c>
      <c r="U86" s="63">
        <v>104</v>
      </c>
      <c r="V86" s="73">
        <f t="shared" si="5"/>
        <v>3120</v>
      </c>
      <c r="W86" s="63">
        <v>3</v>
      </c>
      <c r="X86" s="63" t="s">
        <v>46</v>
      </c>
      <c r="Y86" s="63" t="s">
        <v>86</v>
      </c>
      <c r="Z86" s="63" t="s">
        <v>69</v>
      </c>
      <c r="AA86" s="63" t="s">
        <v>97</v>
      </c>
      <c r="AB86" s="63" t="s">
        <v>158</v>
      </c>
      <c r="AC86" s="97"/>
      <c r="AD86" s="97"/>
      <c r="AE86" s="97"/>
      <c r="AF86" s="97"/>
      <c r="AG86" s="97"/>
      <c r="AH86" s="97"/>
    </row>
    <row r="87" spans="1:34" x14ac:dyDescent="0.15">
      <c r="A87" s="63" t="s">
        <v>41</v>
      </c>
      <c r="B87" s="63" t="s">
        <v>157</v>
      </c>
      <c r="C87" s="71">
        <v>2019</v>
      </c>
      <c r="D87" s="72" t="s">
        <v>165</v>
      </c>
      <c r="E87" s="63" t="s">
        <v>199</v>
      </c>
      <c r="F87" s="63" t="s">
        <v>196</v>
      </c>
      <c r="G87" s="63" t="s">
        <v>42</v>
      </c>
      <c r="H87" s="63" t="s">
        <v>160</v>
      </c>
      <c r="I87" s="63" t="s">
        <v>159</v>
      </c>
      <c r="J87" s="63" t="s">
        <v>38</v>
      </c>
      <c r="K87" s="63" t="s">
        <v>161</v>
      </c>
      <c r="L87" s="63">
        <v>2</v>
      </c>
      <c r="N87" s="63">
        <v>1</v>
      </c>
      <c r="O87" s="63">
        <v>0.5</v>
      </c>
      <c r="P87" s="63">
        <v>0.5</v>
      </c>
      <c r="Q87" s="73">
        <f t="shared" si="3"/>
        <v>0.5</v>
      </c>
      <c r="R87" s="63">
        <v>14.7</v>
      </c>
      <c r="S87" s="63">
        <v>120</v>
      </c>
      <c r="T87" s="98">
        <f t="shared" si="4"/>
        <v>30</v>
      </c>
      <c r="U87" s="63">
        <v>104</v>
      </c>
      <c r="V87" s="73">
        <f t="shared" si="5"/>
        <v>3120</v>
      </c>
      <c r="W87" s="63">
        <v>3</v>
      </c>
      <c r="X87" s="63" t="s">
        <v>46</v>
      </c>
      <c r="Y87" s="63" t="s">
        <v>86</v>
      </c>
      <c r="Z87" s="63" t="s">
        <v>69</v>
      </c>
      <c r="AA87" s="63" t="s">
        <v>97</v>
      </c>
      <c r="AB87" s="63" t="s">
        <v>158</v>
      </c>
      <c r="AC87" s="97"/>
      <c r="AD87" s="97"/>
      <c r="AE87" s="97"/>
      <c r="AF87" s="97"/>
      <c r="AG87" s="97"/>
      <c r="AH87" s="97"/>
    </row>
    <row r="88" spans="1:34" x14ac:dyDescent="0.15">
      <c r="A88" s="63" t="s">
        <v>41</v>
      </c>
      <c r="B88" s="63" t="s">
        <v>157</v>
      </c>
      <c r="C88" s="71">
        <v>2019</v>
      </c>
      <c r="D88" s="72" t="s">
        <v>165</v>
      </c>
      <c r="E88" s="63" t="s">
        <v>199</v>
      </c>
      <c r="F88" s="63" t="s">
        <v>196</v>
      </c>
      <c r="G88" s="63" t="s">
        <v>42</v>
      </c>
      <c r="H88" s="63" t="s">
        <v>160</v>
      </c>
      <c r="I88" s="63" t="s">
        <v>159</v>
      </c>
      <c r="J88" s="63" t="s">
        <v>38</v>
      </c>
      <c r="K88" s="63" t="s">
        <v>161</v>
      </c>
      <c r="L88" s="63">
        <v>3</v>
      </c>
      <c r="N88" s="63">
        <v>1</v>
      </c>
      <c r="O88" s="63">
        <v>0.3</v>
      </c>
      <c r="P88" s="63">
        <v>0.35</v>
      </c>
      <c r="Q88" s="73">
        <f t="shared" si="3"/>
        <v>0.32499999999999996</v>
      </c>
      <c r="R88" s="63">
        <v>13.5</v>
      </c>
      <c r="S88" s="63">
        <v>117</v>
      </c>
      <c r="T88" s="98">
        <f t="shared" si="4"/>
        <v>30</v>
      </c>
      <c r="U88" s="63">
        <v>104</v>
      </c>
      <c r="V88" s="98">
        <f t="shared" si="5"/>
        <v>3120</v>
      </c>
      <c r="W88" s="63">
        <v>3</v>
      </c>
      <c r="X88" s="63" t="s">
        <v>46</v>
      </c>
      <c r="Y88" s="63" t="s">
        <v>86</v>
      </c>
      <c r="Z88" s="63" t="s">
        <v>69</v>
      </c>
      <c r="AA88" s="63" t="s">
        <v>97</v>
      </c>
      <c r="AB88" s="63" t="s">
        <v>158</v>
      </c>
      <c r="AC88" s="97"/>
      <c r="AD88" s="97"/>
      <c r="AE88" s="97"/>
      <c r="AF88" s="97"/>
      <c r="AG88" s="97"/>
      <c r="AH88" s="97"/>
    </row>
    <row r="89" spans="1:34" x14ac:dyDescent="0.15">
      <c r="A89" s="63" t="s">
        <v>41</v>
      </c>
      <c r="B89" s="63" t="s">
        <v>157</v>
      </c>
      <c r="C89" s="71">
        <v>2019</v>
      </c>
      <c r="D89" s="72" t="s">
        <v>165</v>
      </c>
      <c r="E89" s="63" t="s">
        <v>199</v>
      </c>
      <c r="F89" s="63" t="s">
        <v>196</v>
      </c>
      <c r="G89" s="63" t="s">
        <v>42</v>
      </c>
      <c r="H89" s="63" t="s">
        <v>164</v>
      </c>
      <c r="I89" s="63" t="s">
        <v>159</v>
      </c>
      <c r="J89" s="63" t="s">
        <v>38</v>
      </c>
      <c r="K89" s="63" t="s">
        <v>161</v>
      </c>
      <c r="L89" s="63">
        <v>1</v>
      </c>
      <c r="N89" s="63">
        <v>1</v>
      </c>
      <c r="O89" s="63">
        <v>0.8</v>
      </c>
      <c r="P89" s="63">
        <v>0.65</v>
      </c>
      <c r="Q89" s="92">
        <f t="shared" si="3"/>
        <v>0.72500000000000009</v>
      </c>
      <c r="R89" s="63">
        <v>12.5</v>
      </c>
      <c r="S89" s="63">
        <v>114</v>
      </c>
      <c r="T89" s="73">
        <f t="shared" si="4"/>
        <v>30</v>
      </c>
      <c r="U89" s="63">
        <v>104</v>
      </c>
      <c r="V89" s="73">
        <f t="shared" si="5"/>
        <v>3120</v>
      </c>
      <c r="W89" s="63">
        <v>2</v>
      </c>
      <c r="X89" s="63" t="s">
        <v>46</v>
      </c>
      <c r="Y89" s="63" t="s">
        <v>86</v>
      </c>
      <c r="Z89" s="63" t="s">
        <v>69</v>
      </c>
      <c r="AA89" s="63" t="s">
        <v>97</v>
      </c>
      <c r="AB89" s="63" t="s">
        <v>158</v>
      </c>
      <c r="AC89" s="97"/>
      <c r="AD89" s="97"/>
      <c r="AE89" s="97"/>
      <c r="AF89" s="97"/>
      <c r="AG89" s="97"/>
      <c r="AH89" s="97"/>
    </row>
    <row r="90" spans="1:34" x14ac:dyDescent="0.15">
      <c r="A90" s="63" t="s">
        <v>41</v>
      </c>
      <c r="B90" s="63" t="s">
        <v>157</v>
      </c>
      <c r="C90" s="71">
        <v>2019</v>
      </c>
      <c r="D90" s="72" t="s">
        <v>165</v>
      </c>
      <c r="E90" s="63" t="s">
        <v>199</v>
      </c>
      <c r="F90" s="63" t="s">
        <v>196</v>
      </c>
      <c r="G90" s="63" t="s">
        <v>42</v>
      </c>
      <c r="H90" s="63" t="s">
        <v>164</v>
      </c>
      <c r="I90" s="63" t="s">
        <v>159</v>
      </c>
      <c r="J90" s="63" t="s">
        <v>38</v>
      </c>
      <c r="K90" s="63" t="s">
        <v>161</v>
      </c>
      <c r="L90" s="63">
        <v>2</v>
      </c>
      <c r="N90" s="63">
        <v>1</v>
      </c>
      <c r="O90" s="63">
        <v>0.65</v>
      </c>
      <c r="P90" s="63">
        <v>0.7</v>
      </c>
      <c r="Q90" s="92">
        <f t="shared" si="3"/>
        <v>0.67500000000000004</v>
      </c>
      <c r="R90" s="63">
        <v>11</v>
      </c>
      <c r="S90" s="63">
        <v>120</v>
      </c>
      <c r="T90" s="73">
        <f t="shared" si="4"/>
        <v>30</v>
      </c>
      <c r="U90" s="63">
        <v>104</v>
      </c>
      <c r="V90" s="73">
        <f t="shared" si="5"/>
        <v>3120</v>
      </c>
      <c r="W90" s="63">
        <v>2</v>
      </c>
      <c r="X90" s="63" t="s">
        <v>46</v>
      </c>
      <c r="Y90" s="63" t="s">
        <v>86</v>
      </c>
      <c r="Z90" s="63" t="s">
        <v>69</v>
      </c>
      <c r="AA90" s="63" t="s">
        <v>97</v>
      </c>
      <c r="AB90" s="63" t="s">
        <v>158</v>
      </c>
      <c r="AC90" s="97"/>
      <c r="AD90" s="97"/>
      <c r="AE90" s="97"/>
      <c r="AF90" s="97"/>
      <c r="AG90" s="97"/>
      <c r="AH90" s="97"/>
    </row>
    <row r="91" spans="1:34" x14ac:dyDescent="0.15">
      <c r="A91" s="63" t="s">
        <v>41</v>
      </c>
      <c r="B91" s="63" t="s">
        <v>157</v>
      </c>
      <c r="C91" s="71">
        <v>2019</v>
      </c>
      <c r="D91" s="72" t="s">
        <v>165</v>
      </c>
      <c r="E91" s="63" t="s">
        <v>199</v>
      </c>
      <c r="F91" s="63" t="s">
        <v>196</v>
      </c>
      <c r="G91" s="63" t="s">
        <v>42</v>
      </c>
      <c r="H91" s="63" t="s">
        <v>164</v>
      </c>
      <c r="I91" s="63" t="s">
        <v>159</v>
      </c>
      <c r="J91" s="63" t="s">
        <v>38</v>
      </c>
      <c r="K91" s="63" t="s">
        <v>161</v>
      </c>
      <c r="L91" s="63">
        <v>3</v>
      </c>
      <c r="N91" s="63">
        <v>1</v>
      </c>
      <c r="O91" s="63">
        <v>0.5</v>
      </c>
      <c r="P91" s="63">
        <v>0.45</v>
      </c>
      <c r="Q91" s="92">
        <f t="shared" si="3"/>
        <v>0.47499999999999998</v>
      </c>
      <c r="R91" s="63">
        <v>13.4</v>
      </c>
      <c r="S91" s="63">
        <v>116</v>
      </c>
      <c r="T91" s="73">
        <f t="shared" si="4"/>
        <v>30</v>
      </c>
      <c r="U91" s="63">
        <v>104</v>
      </c>
      <c r="V91" s="73">
        <f t="shared" si="5"/>
        <v>3120</v>
      </c>
      <c r="W91" s="63">
        <v>2</v>
      </c>
      <c r="X91" s="63" t="s">
        <v>46</v>
      </c>
      <c r="Y91" s="63" t="s">
        <v>86</v>
      </c>
      <c r="Z91" s="63" t="s">
        <v>69</v>
      </c>
      <c r="AA91" s="63" t="s">
        <v>97</v>
      </c>
      <c r="AB91" s="63" t="s">
        <v>158</v>
      </c>
      <c r="AC91" s="97"/>
      <c r="AD91" s="97"/>
      <c r="AE91" s="97"/>
      <c r="AF91" s="97"/>
      <c r="AG91" s="97"/>
      <c r="AH91" s="97"/>
    </row>
    <row r="92" spans="1:34" x14ac:dyDescent="0.15">
      <c r="A92" s="63" t="s">
        <v>41</v>
      </c>
      <c r="B92" s="63" t="s">
        <v>157</v>
      </c>
      <c r="C92" s="71">
        <v>2019</v>
      </c>
      <c r="D92" s="72" t="s">
        <v>165</v>
      </c>
      <c r="E92" s="63" t="s">
        <v>199</v>
      </c>
      <c r="F92" s="63" t="s">
        <v>196</v>
      </c>
      <c r="G92" s="63" t="s">
        <v>42</v>
      </c>
      <c r="H92" s="63" t="s">
        <v>160</v>
      </c>
      <c r="I92" s="63" t="s">
        <v>159</v>
      </c>
      <c r="J92" s="63" t="s">
        <v>38</v>
      </c>
      <c r="K92" s="63" t="s">
        <v>161</v>
      </c>
      <c r="L92" s="63">
        <v>1</v>
      </c>
      <c r="N92" s="63">
        <v>6</v>
      </c>
      <c r="O92" s="63">
        <v>0.75</v>
      </c>
      <c r="P92" s="63">
        <v>0.5</v>
      </c>
      <c r="Q92" s="73">
        <f t="shared" si="3"/>
        <v>0.625</v>
      </c>
      <c r="R92" s="63">
        <v>15.1</v>
      </c>
      <c r="S92" s="63">
        <v>119</v>
      </c>
      <c r="T92" s="98">
        <f t="shared" si="4"/>
        <v>30</v>
      </c>
      <c r="U92" s="63">
        <v>537</v>
      </c>
      <c r="V92" s="73">
        <f t="shared" si="5"/>
        <v>2685</v>
      </c>
      <c r="W92" s="63">
        <v>1</v>
      </c>
      <c r="X92" s="63" t="s">
        <v>46</v>
      </c>
      <c r="Y92" s="63" t="s">
        <v>86</v>
      </c>
      <c r="Z92" s="63" t="s">
        <v>69</v>
      </c>
      <c r="AA92" s="63" t="s">
        <v>97</v>
      </c>
      <c r="AB92" s="63" t="s">
        <v>158</v>
      </c>
      <c r="AC92" s="97"/>
      <c r="AD92" s="97"/>
      <c r="AE92" s="97"/>
      <c r="AF92" s="97"/>
      <c r="AG92" s="97"/>
      <c r="AH92" s="97"/>
    </row>
    <row r="93" spans="1:34" x14ac:dyDescent="0.15">
      <c r="A93" s="63" t="s">
        <v>41</v>
      </c>
      <c r="B93" s="63" t="s">
        <v>157</v>
      </c>
      <c r="C93" s="71">
        <v>2019</v>
      </c>
      <c r="D93" s="72" t="s">
        <v>165</v>
      </c>
      <c r="E93" s="63" t="s">
        <v>199</v>
      </c>
      <c r="F93" s="63" t="s">
        <v>196</v>
      </c>
      <c r="G93" s="63" t="s">
        <v>42</v>
      </c>
      <c r="H93" s="63" t="s">
        <v>160</v>
      </c>
      <c r="I93" s="63" t="s">
        <v>159</v>
      </c>
      <c r="J93" s="63" t="s">
        <v>38</v>
      </c>
      <c r="K93" s="63" t="s">
        <v>161</v>
      </c>
      <c r="L93" s="63">
        <v>2</v>
      </c>
      <c r="N93" s="63">
        <v>6</v>
      </c>
      <c r="O93" s="63">
        <v>0.5</v>
      </c>
      <c r="P93" s="63">
        <v>0.45</v>
      </c>
      <c r="Q93" s="73">
        <f t="shared" si="3"/>
        <v>0.47499999999999998</v>
      </c>
      <c r="R93" s="63">
        <v>17.399999999999999</v>
      </c>
      <c r="S93" s="63">
        <v>105</v>
      </c>
      <c r="T93" s="98">
        <f t="shared" si="4"/>
        <v>33</v>
      </c>
      <c r="U93" s="63">
        <v>537</v>
      </c>
      <c r="V93" s="73">
        <f t="shared" si="5"/>
        <v>2953.5</v>
      </c>
      <c r="W93" s="63">
        <v>1</v>
      </c>
      <c r="X93" s="63" t="s">
        <v>46</v>
      </c>
      <c r="Y93" s="63" t="s">
        <v>86</v>
      </c>
      <c r="Z93" s="63" t="s">
        <v>69</v>
      </c>
      <c r="AA93" s="63" t="s">
        <v>97</v>
      </c>
      <c r="AB93" s="63" t="s">
        <v>158</v>
      </c>
      <c r="AC93" s="97"/>
      <c r="AD93" s="97"/>
      <c r="AE93" s="97"/>
      <c r="AF93" s="97"/>
      <c r="AG93" s="97"/>
      <c r="AH93" s="97"/>
    </row>
    <row r="94" spans="1:34" x14ac:dyDescent="0.15">
      <c r="A94" s="63" t="s">
        <v>41</v>
      </c>
      <c r="B94" s="63" t="s">
        <v>157</v>
      </c>
      <c r="C94" s="71">
        <v>2019</v>
      </c>
      <c r="D94" s="72" t="s">
        <v>165</v>
      </c>
      <c r="E94" s="63" t="s">
        <v>199</v>
      </c>
      <c r="F94" s="63" t="s">
        <v>196</v>
      </c>
      <c r="G94" s="63" t="s">
        <v>42</v>
      </c>
      <c r="H94" s="63" t="s">
        <v>160</v>
      </c>
      <c r="I94" s="63" t="s">
        <v>159</v>
      </c>
      <c r="J94" s="63" t="s">
        <v>38</v>
      </c>
      <c r="K94" s="63" t="s">
        <v>161</v>
      </c>
      <c r="L94" s="63">
        <v>3</v>
      </c>
      <c r="N94" s="63">
        <v>6</v>
      </c>
      <c r="O94" s="63">
        <v>0.5</v>
      </c>
      <c r="P94" s="63">
        <v>0.5</v>
      </c>
      <c r="Q94" s="73">
        <f t="shared" si="3"/>
        <v>0.5</v>
      </c>
      <c r="R94" s="63">
        <v>15.2</v>
      </c>
      <c r="S94" s="63">
        <v>110</v>
      </c>
      <c r="T94" s="98">
        <f t="shared" si="4"/>
        <v>33</v>
      </c>
      <c r="U94" s="63">
        <v>537</v>
      </c>
      <c r="V94" s="98">
        <f t="shared" si="5"/>
        <v>2953.5</v>
      </c>
      <c r="W94" s="63">
        <v>1</v>
      </c>
      <c r="X94" s="63" t="s">
        <v>46</v>
      </c>
      <c r="Y94" s="63" t="s">
        <v>86</v>
      </c>
      <c r="Z94" s="63" t="s">
        <v>69</v>
      </c>
      <c r="AA94" s="63" t="s">
        <v>97</v>
      </c>
      <c r="AB94" s="63" t="s">
        <v>158</v>
      </c>
      <c r="AC94" s="97"/>
      <c r="AD94" s="97"/>
      <c r="AE94" s="97"/>
      <c r="AF94" s="97"/>
      <c r="AG94" s="97"/>
      <c r="AH94" s="97"/>
    </row>
    <row r="95" spans="1:34" x14ac:dyDescent="0.15">
      <c r="A95" s="63" t="s">
        <v>41</v>
      </c>
      <c r="B95" s="63" t="s">
        <v>157</v>
      </c>
      <c r="C95" s="71">
        <v>2019</v>
      </c>
      <c r="D95" s="72" t="s">
        <v>165</v>
      </c>
      <c r="E95" s="63" t="s">
        <v>199</v>
      </c>
      <c r="F95" s="63" t="s">
        <v>196</v>
      </c>
      <c r="G95" s="63" t="s">
        <v>42</v>
      </c>
      <c r="H95" s="63" t="s">
        <v>164</v>
      </c>
      <c r="I95" s="63" t="s">
        <v>159</v>
      </c>
      <c r="J95" s="63" t="s">
        <v>38</v>
      </c>
      <c r="K95" s="63" t="s">
        <v>161</v>
      </c>
      <c r="L95" s="63">
        <v>1</v>
      </c>
      <c r="N95" s="63">
        <v>7</v>
      </c>
      <c r="O95" s="63">
        <v>0.25</v>
      </c>
      <c r="P95" s="63">
        <v>0.25</v>
      </c>
      <c r="Q95" s="92">
        <f t="shared" si="3"/>
        <v>0.25</v>
      </c>
      <c r="R95" s="63">
        <v>13.8</v>
      </c>
      <c r="S95" s="63">
        <v>108</v>
      </c>
      <c r="T95" s="73">
        <f t="shared" si="4"/>
        <v>33</v>
      </c>
      <c r="U95" s="63">
        <v>429</v>
      </c>
      <c r="V95" s="73">
        <f t="shared" si="5"/>
        <v>2022.4285714285713</v>
      </c>
      <c r="W95" s="63">
        <v>1</v>
      </c>
      <c r="X95" s="63" t="s">
        <v>46</v>
      </c>
      <c r="Y95" s="63" t="s">
        <v>86</v>
      </c>
      <c r="Z95" s="63" t="s">
        <v>69</v>
      </c>
      <c r="AA95" s="63" t="s">
        <v>97</v>
      </c>
      <c r="AB95" s="63" t="s">
        <v>158</v>
      </c>
      <c r="AC95" s="97"/>
      <c r="AD95" s="97"/>
      <c r="AE95" s="97"/>
      <c r="AF95" s="97"/>
      <c r="AG95" s="97"/>
      <c r="AH95" s="97"/>
    </row>
    <row r="96" spans="1:34" x14ac:dyDescent="0.15">
      <c r="A96" s="63" t="s">
        <v>41</v>
      </c>
      <c r="B96" s="63" t="s">
        <v>157</v>
      </c>
      <c r="C96" s="71">
        <v>2019</v>
      </c>
      <c r="D96" s="72" t="s">
        <v>165</v>
      </c>
      <c r="E96" s="63" t="s">
        <v>199</v>
      </c>
      <c r="F96" s="63" t="s">
        <v>196</v>
      </c>
      <c r="G96" s="63" t="s">
        <v>42</v>
      </c>
      <c r="H96" s="63" t="s">
        <v>164</v>
      </c>
      <c r="I96" s="63" t="s">
        <v>159</v>
      </c>
      <c r="J96" s="63" t="s">
        <v>38</v>
      </c>
      <c r="K96" s="63" t="s">
        <v>161</v>
      </c>
      <c r="L96" s="63">
        <v>2</v>
      </c>
      <c r="N96" s="63">
        <v>7</v>
      </c>
      <c r="O96" s="63">
        <v>0.25</v>
      </c>
      <c r="P96" s="63">
        <v>0.25</v>
      </c>
      <c r="Q96" s="92">
        <f t="shared" si="3"/>
        <v>0.25</v>
      </c>
      <c r="R96" s="63">
        <v>15.4</v>
      </c>
      <c r="S96" s="63">
        <v>110</v>
      </c>
      <c r="T96" s="73">
        <f t="shared" si="4"/>
        <v>33</v>
      </c>
      <c r="U96" s="63">
        <v>429</v>
      </c>
      <c r="V96" s="73">
        <f t="shared" si="5"/>
        <v>2022.4285714285713</v>
      </c>
      <c r="W96" s="63">
        <v>1</v>
      </c>
      <c r="X96" s="63" t="s">
        <v>46</v>
      </c>
      <c r="Y96" s="63" t="s">
        <v>86</v>
      </c>
      <c r="Z96" s="63" t="s">
        <v>69</v>
      </c>
      <c r="AA96" s="63" t="s">
        <v>97</v>
      </c>
      <c r="AB96" s="63" t="s">
        <v>158</v>
      </c>
      <c r="AC96" s="97"/>
      <c r="AD96" s="97"/>
      <c r="AE96" s="97"/>
      <c r="AF96" s="97"/>
      <c r="AG96" s="97"/>
      <c r="AH96" s="97"/>
    </row>
    <row r="97" spans="1:34" x14ac:dyDescent="0.15">
      <c r="A97" s="63" t="s">
        <v>41</v>
      </c>
      <c r="B97" s="63" t="s">
        <v>157</v>
      </c>
      <c r="C97" s="71">
        <v>2019</v>
      </c>
      <c r="D97" s="72" t="s">
        <v>165</v>
      </c>
      <c r="E97" s="63" t="s">
        <v>199</v>
      </c>
      <c r="F97" s="63" t="s">
        <v>196</v>
      </c>
      <c r="G97" s="63" t="s">
        <v>42</v>
      </c>
      <c r="H97" s="63" t="s">
        <v>164</v>
      </c>
      <c r="I97" s="63" t="s">
        <v>159</v>
      </c>
      <c r="J97" s="63" t="s">
        <v>38</v>
      </c>
      <c r="K97" s="63" t="s">
        <v>161</v>
      </c>
      <c r="L97" s="63">
        <v>3</v>
      </c>
      <c r="N97" s="63">
        <v>7</v>
      </c>
      <c r="O97" s="63">
        <v>0.25</v>
      </c>
      <c r="P97" s="63">
        <v>0.25</v>
      </c>
      <c r="Q97" s="92">
        <f t="shared" si="3"/>
        <v>0.25</v>
      </c>
      <c r="R97" s="63">
        <v>12.9</v>
      </c>
      <c r="S97" s="63">
        <v>108</v>
      </c>
      <c r="T97" s="73">
        <f t="shared" si="4"/>
        <v>33</v>
      </c>
      <c r="U97" s="63">
        <v>429</v>
      </c>
      <c r="V97" s="73">
        <f t="shared" si="5"/>
        <v>2022.4285714285713</v>
      </c>
      <c r="W97" s="63">
        <v>1</v>
      </c>
      <c r="X97" s="63" t="s">
        <v>46</v>
      </c>
      <c r="Y97" s="63" t="s">
        <v>86</v>
      </c>
      <c r="Z97" s="63" t="s">
        <v>69</v>
      </c>
      <c r="AA97" s="63" t="s">
        <v>97</v>
      </c>
      <c r="AB97" s="63" t="s">
        <v>158</v>
      </c>
      <c r="AC97" s="97"/>
      <c r="AD97" s="97"/>
      <c r="AE97" s="97"/>
      <c r="AF97" s="97"/>
      <c r="AG97" s="97"/>
      <c r="AH97" s="97"/>
    </row>
    <row r="98" spans="1:34" x14ac:dyDescent="0.15">
      <c r="A98" s="63" t="s">
        <v>41</v>
      </c>
      <c r="B98" s="63" t="s">
        <v>157</v>
      </c>
      <c r="C98" s="71">
        <v>2019</v>
      </c>
      <c r="D98" s="72" t="s">
        <v>165</v>
      </c>
      <c r="E98" s="63" t="s">
        <v>201</v>
      </c>
      <c r="F98" s="63" t="s">
        <v>202</v>
      </c>
      <c r="G98" s="63" t="s">
        <v>42</v>
      </c>
      <c r="H98" s="63" t="s">
        <v>160</v>
      </c>
      <c r="I98" s="63" t="s">
        <v>159</v>
      </c>
      <c r="J98" s="63" t="s">
        <v>38</v>
      </c>
      <c r="K98" s="63" t="s">
        <v>161</v>
      </c>
      <c r="L98" s="63">
        <v>1</v>
      </c>
      <c r="N98" s="63">
        <v>1</v>
      </c>
      <c r="O98" s="63">
        <v>0.9</v>
      </c>
      <c r="P98" s="63">
        <v>0.8</v>
      </c>
      <c r="Q98" s="92">
        <f t="shared" si="3"/>
        <v>0.85000000000000009</v>
      </c>
      <c r="R98" s="63">
        <v>17.399999999999999</v>
      </c>
      <c r="S98" s="63">
        <v>126</v>
      </c>
      <c r="T98" s="73">
        <f t="shared" si="4"/>
        <v>27</v>
      </c>
      <c r="U98" s="63">
        <v>138</v>
      </c>
      <c r="V98" s="73">
        <f t="shared" si="5"/>
        <v>3726</v>
      </c>
      <c r="W98" s="63">
        <v>3</v>
      </c>
      <c r="X98" s="63" t="s">
        <v>46</v>
      </c>
      <c r="Y98" s="63" t="s">
        <v>97</v>
      </c>
      <c r="Z98" s="63" t="s">
        <v>64</v>
      </c>
      <c r="AA98" s="63" t="s">
        <v>69</v>
      </c>
      <c r="AB98" s="63" t="s">
        <v>158</v>
      </c>
      <c r="AC98" s="97"/>
      <c r="AD98" s="97"/>
      <c r="AE98" s="97"/>
      <c r="AF98" s="97"/>
      <c r="AG98" s="97"/>
      <c r="AH98" s="97"/>
    </row>
    <row r="99" spans="1:34" x14ac:dyDescent="0.15">
      <c r="A99" s="63" t="s">
        <v>41</v>
      </c>
      <c r="B99" s="63" t="s">
        <v>157</v>
      </c>
      <c r="C99" s="71">
        <v>2019</v>
      </c>
      <c r="D99" s="72" t="s">
        <v>165</v>
      </c>
      <c r="E99" s="63" t="s">
        <v>201</v>
      </c>
      <c r="F99" s="63" t="s">
        <v>202</v>
      </c>
      <c r="G99" s="63" t="s">
        <v>42</v>
      </c>
      <c r="H99" s="63" t="s">
        <v>160</v>
      </c>
      <c r="I99" s="63" t="s">
        <v>159</v>
      </c>
      <c r="J99" s="63" t="s">
        <v>38</v>
      </c>
      <c r="K99" s="63" t="s">
        <v>161</v>
      </c>
      <c r="L99" s="63">
        <v>2</v>
      </c>
      <c r="N99" s="63">
        <v>1</v>
      </c>
      <c r="O99" s="63">
        <v>0.65</v>
      </c>
      <c r="P99" s="63">
        <v>0.6</v>
      </c>
      <c r="Q99" s="92">
        <f t="shared" si="3"/>
        <v>0.625</v>
      </c>
      <c r="R99" s="63">
        <v>15.9</v>
      </c>
      <c r="S99" s="63">
        <v>125</v>
      </c>
      <c r="T99" s="73">
        <f t="shared" si="4"/>
        <v>27</v>
      </c>
      <c r="U99" s="63">
        <v>138</v>
      </c>
      <c r="V99" s="73">
        <f t="shared" si="5"/>
        <v>3726</v>
      </c>
      <c r="W99" s="63">
        <v>3</v>
      </c>
      <c r="X99" s="63" t="s">
        <v>46</v>
      </c>
      <c r="Y99" s="63" t="s">
        <v>97</v>
      </c>
      <c r="Z99" s="63" t="s">
        <v>64</v>
      </c>
      <c r="AA99" s="63" t="s">
        <v>69</v>
      </c>
      <c r="AB99" s="63" t="s">
        <v>158</v>
      </c>
      <c r="AC99" s="97"/>
      <c r="AD99" s="97"/>
      <c r="AE99" s="97"/>
      <c r="AF99" s="97"/>
      <c r="AG99" s="97"/>
      <c r="AH99" s="97"/>
    </row>
    <row r="100" spans="1:34" x14ac:dyDescent="0.15">
      <c r="A100" s="63" t="s">
        <v>41</v>
      </c>
      <c r="B100" s="63" t="s">
        <v>157</v>
      </c>
      <c r="C100" s="71">
        <v>2019</v>
      </c>
      <c r="D100" s="72" t="s">
        <v>165</v>
      </c>
      <c r="E100" s="63" t="s">
        <v>201</v>
      </c>
      <c r="F100" s="63" t="s">
        <v>202</v>
      </c>
      <c r="G100" s="63" t="s">
        <v>42</v>
      </c>
      <c r="H100" s="63" t="s">
        <v>160</v>
      </c>
      <c r="I100" s="63" t="s">
        <v>159</v>
      </c>
      <c r="J100" s="63" t="s">
        <v>38</v>
      </c>
      <c r="K100" s="63" t="s">
        <v>161</v>
      </c>
      <c r="L100" s="63">
        <v>3</v>
      </c>
      <c r="N100" s="63">
        <v>1</v>
      </c>
      <c r="O100" s="63">
        <v>0.8</v>
      </c>
      <c r="P100" s="63">
        <v>0.75</v>
      </c>
      <c r="Q100" s="92">
        <f t="shared" si="3"/>
        <v>0.77500000000000002</v>
      </c>
      <c r="R100" s="63">
        <v>14</v>
      </c>
      <c r="S100" s="63">
        <v>123</v>
      </c>
      <c r="T100" s="73">
        <f t="shared" si="4"/>
        <v>27</v>
      </c>
      <c r="U100" s="63">
        <v>138</v>
      </c>
      <c r="V100" s="73">
        <f t="shared" si="5"/>
        <v>3726</v>
      </c>
      <c r="W100" s="63">
        <v>3</v>
      </c>
      <c r="X100" s="63" t="s">
        <v>46</v>
      </c>
      <c r="Y100" s="63" t="s">
        <v>97</v>
      </c>
      <c r="Z100" s="63" t="s">
        <v>64</v>
      </c>
      <c r="AA100" s="63" t="s">
        <v>69</v>
      </c>
      <c r="AB100" s="63" t="s">
        <v>158</v>
      </c>
      <c r="AC100" s="97"/>
      <c r="AD100" s="97"/>
      <c r="AE100" s="97"/>
      <c r="AF100" s="97"/>
      <c r="AG100" s="97"/>
      <c r="AH100" s="97"/>
    </row>
    <row r="101" spans="1:34" x14ac:dyDescent="0.15">
      <c r="A101" s="63" t="s">
        <v>41</v>
      </c>
      <c r="B101" s="63" t="s">
        <v>157</v>
      </c>
      <c r="C101" s="71">
        <v>2019</v>
      </c>
      <c r="D101" s="72" t="s">
        <v>165</v>
      </c>
      <c r="E101" s="63" t="s">
        <v>201</v>
      </c>
      <c r="F101" s="63" t="s">
        <v>202</v>
      </c>
      <c r="G101" s="63" t="s">
        <v>42</v>
      </c>
      <c r="H101" s="63" t="s">
        <v>160</v>
      </c>
      <c r="I101" s="63" t="s">
        <v>159</v>
      </c>
      <c r="J101" s="63" t="s">
        <v>38</v>
      </c>
      <c r="K101" s="63" t="s">
        <v>161</v>
      </c>
      <c r="L101" s="63">
        <v>1</v>
      </c>
      <c r="N101" s="63">
        <v>4</v>
      </c>
      <c r="O101" s="63">
        <v>0.35</v>
      </c>
      <c r="P101" s="63">
        <v>0.35</v>
      </c>
      <c r="Q101" s="92">
        <f t="shared" si="3"/>
        <v>0.35</v>
      </c>
      <c r="R101" s="63">
        <v>15</v>
      </c>
      <c r="S101" s="63">
        <v>122</v>
      </c>
      <c r="T101" s="73">
        <f t="shared" si="4"/>
        <v>27</v>
      </c>
      <c r="U101" s="63">
        <v>518</v>
      </c>
      <c r="V101" s="73">
        <f t="shared" si="5"/>
        <v>3496.5</v>
      </c>
      <c r="W101" s="63">
        <v>2</v>
      </c>
      <c r="X101" s="63" t="s">
        <v>46</v>
      </c>
      <c r="Y101" s="63" t="s">
        <v>97</v>
      </c>
      <c r="Z101" s="63" t="s">
        <v>64</v>
      </c>
      <c r="AA101" s="63" t="s">
        <v>69</v>
      </c>
      <c r="AB101" s="63" t="s">
        <v>158</v>
      </c>
      <c r="AC101" s="97"/>
      <c r="AD101" s="97"/>
      <c r="AE101" s="97"/>
      <c r="AF101" s="97"/>
      <c r="AG101" s="97"/>
      <c r="AH101" s="97"/>
    </row>
    <row r="102" spans="1:34" x14ac:dyDescent="0.15">
      <c r="A102" s="63" t="s">
        <v>41</v>
      </c>
      <c r="B102" s="63" t="s">
        <v>157</v>
      </c>
      <c r="C102" s="71">
        <v>2019</v>
      </c>
      <c r="D102" s="72" t="s">
        <v>165</v>
      </c>
      <c r="E102" s="63" t="s">
        <v>201</v>
      </c>
      <c r="F102" s="63" t="s">
        <v>202</v>
      </c>
      <c r="G102" s="63" t="s">
        <v>42</v>
      </c>
      <c r="H102" s="63" t="s">
        <v>160</v>
      </c>
      <c r="I102" s="63" t="s">
        <v>159</v>
      </c>
      <c r="J102" s="63" t="s">
        <v>38</v>
      </c>
      <c r="K102" s="63" t="s">
        <v>161</v>
      </c>
      <c r="L102" s="63">
        <v>2</v>
      </c>
      <c r="N102" s="63">
        <v>4</v>
      </c>
      <c r="O102" s="63">
        <v>0.45</v>
      </c>
      <c r="P102" s="63">
        <v>0.3</v>
      </c>
      <c r="Q102" s="92">
        <f t="shared" si="3"/>
        <v>0.375</v>
      </c>
      <c r="R102" s="63">
        <v>15.2</v>
      </c>
      <c r="S102" s="63">
        <v>122</v>
      </c>
      <c r="T102" s="73">
        <f t="shared" si="4"/>
        <v>27</v>
      </c>
      <c r="U102" s="63">
        <v>518</v>
      </c>
      <c r="V102" s="73">
        <f t="shared" si="5"/>
        <v>3496.5</v>
      </c>
      <c r="W102" s="63">
        <v>2</v>
      </c>
      <c r="X102" s="63" t="s">
        <v>46</v>
      </c>
      <c r="Y102" s="63" t="s">
        <v>97</v>
      </c>
      <c r="Z102" s="63" t="s">
        <v>64</v>
      </c>
      <c r="AA102" s="63" t="s">
        <v>69</v>
      </c>
      <c r="AB102" s="63" t="s">
        <v>158</v>
      </c>
      <c r="AC102" s="97"/>
      <c r="AD102" s="97"/>
      <c r="AE102" s="97"/>
      <c r="AF102" s="97"/>
      <c r="AG102" s="97"/>
      <c r="AH102" s="97"/>
    </row>
    <row r="103" spans="1:34" x14ac:dyDescent="0.15">
      <c r="A103" s="63" t="s">
        <v>41</v>
      </c>
      <c r="B103" s="63" t="s">
        <v>157</v>
      </c>
      <c r="C103" s="71">
        <v>2019</v>
      </c>
      <c r="D103" s="72" t="s">
        <v>165</v>
      </c>
      <c r="E103" s="63" t="s">
        <v>201</v>
      </c>
      <c r="F103" s="63" t="s">
        <v>202</v>
      </c>
      <c r="G103" s="63" t="s">
        <v>42</v>
      </c>
      <c r="H103" s="63" t="s">
        <v>160</v>
      </c>
      <c r="I103" s="63" t="s">
        <v>159</v>
      </c>
      <c r="J103" s="63" t="s">
        <v>38</v>
      </c>
      <c r="K103" s="63" t="s">
        <v>161</v>
      </c>
      <c r="L103" s="63">
        <v>3</v>
      </c>
      <c r="N103" s="63">
        <v>4</v>
      </c>
      <c r="O103" s="63">
        <v>0.5</v>
      </c>
      <c r="P103" s="63">
        <v>0.45</v>
      </c>
      <c r="Q103" s="89">
        <f t="shared" si="3"/>
        <v>0.47499999999999998</v>
      </c>
      <c r="R103" s="63">
        <v>12</v>
      </c>
      <c r="S103" s="63">
        <v>121</v>
      </c>
      <c r="T103" s="98">
        <f t="shared" si="4"/>
        <v>27</v>
      </c>
      <c r="U103" s="63">
        <v>518</v>
      </c>
      <c r="V103" s="73">
        <f t="shared" si="5"/>
        <v>3496.5</v>
      </c>
      <c r="W103" s="63">
        <v>2</v>
      </c>
      <c r="X103" s="63" t="s">
        <v>46</v>
      </c>
      <c r="Y103" s="63" t="s">
        <v>97</v>
      </c>
      <c r="Z103" s="63" t="s">
        <v>64</v>
      </c>
      <c r="AA103" s="63" t="s">
        <v>69</v>
      </c>
      <c r="AB103" s="63" t="s">
        <v>158</v>
      </c>
      <c r="AC103" s="97"/>
      <c r="AD103" s="97"/>
      <c r="AE103" s="97"/>
      <c r="AF103" s="97"/>
      <c r="AG103" s="97"/>
      <c r="AH103" s="97"/>
    </row>
    <row r="104" spans="1:34" x14ac:dyDescent="0.15">
      <c r="A104" s="63" t="s">
        <v>41</v>
      </c>
      <c r="B104" s="63" t="s">
        <v>157</v>
      </c>
      <c r="C104" s="71">
        <v>2019</v>
      </c>
      <c r="D104" s="72" t="s">
        <v>165</v>
      </c>
      <c r="E104" s="63" t="s">
        <v>201</v>
      </c>
      <c r="F104" s="63" t="s">
        <v>202</v>
      </c>
      <c r="G104" s="63" t="s">
        <v>42</v>
      </c>
      <c r="H104" s="63" t="s">
        <v>164</v>
      </c>
      <c r="I104" s="63" t="s">
        <v>159</v>
      </c>
      <c r="J104" s="63" t="s">
        <v>38</v>
      </c>
      <c r="K104" s="63" t="s">
        <v>161</v>
      </c>
      <c r="L104" s="63">
        <v>1</v>
      </c>
      <c r="N104" s="63">
        <v>1</v>
      </c>
      <c r="O104" s="63">
        <v>0.7</v>
      </c>
      <c r="P104" s="63">
        <v>0.65</v>
      </c>
      <c r="Q104" s="89">
        <f t="shared" si="3"/>
        <v>0.67500000000000004</v>
      </c>
      <c r="R104" s="63">
        <v>13.2</v>
      </c>
      <c r="S104" s="63">
        <v>127</v>
      </c>
      <c r="T104" s="98">
        <f t="shared" si="4"/>
        <v>27</v>
      </c>
      <c r="U104" s="63">
        <v>138</v>
      </c>
      <c r="V104" s="98">
        <f t="shared" si="5"/>
        <v>3726</v>
      </c>
      <c r="W104" s="63">
        <v>3</v>
      </c>
      <c r="X104" s="63" t="s">
        <v>46</v>
      </c>
      <c r="Y104" s="63" t="s">
        <v>97</v>
      </c>
      <c r="Z104" s="63" t="s">
        <v>64</v>
      </c>
      <c r="AA104" s="63" t="s">
        <v>69</v>
      </c>
      <c r="AB104" s="63" t="s">
        <v>158</v>
      </c>
      <c r="AC104" s="97"/>
      <c r="AD104" s="97"/>
      <c r="AE104" s="97"/>
      <c r="AF104" s="97"/>
      <c r="AG104" s="97"/>
      <c r="AH104" s="97"/>
    </row>
    <row r="105" spans="1:34" x14ac:dyDescent="0.15">
      <c r="A105" s="63" t="s">
        <v>41</v>
      </c>
      <c r="B105" s="63" t="s">
        <v>157</v>
      </c>
      <c r="C105" s="71">
        <v>2019</v>
      </c>
      <c r="D105" s="72" t="s">
        <v>165</v>
      </c>
      <c r="E105" s="63" t="s">
        <v>201</v>
      </c>
      <c r="F105" s="63" t="s">
        <v>202</v>
      </c>
      <c r="G105" s="63" t="s">
        <v>42</v>
      </c>
      <c r="H105" s="63" t="s">
        <v>164</v>
      </c>
      <c r="I105" s="63" t="s">
        <v>159</v>
      </c>
      <c r="J105" s="63" t="s">
        <v>38</v>
      </c>
      <c r="K105" s="63" t="s">
        <v>161</v>
      </c>
      <c r="L105" s="63">
        <v>2</v>
      </c>
      <c r="N105" s="63">
        <v>1</v>
      </c>
      <c r="O105" s="63">
        <v>0.65</v>
      </c>
      <c r="P105" s="63">
        <v>0.7</v>
      </c>
      <c r="Q105" s="89">
        <f t="shared" si="3"/>
        <v>0.67500000000000004</v>
      </c>
      <c r="R105" s="63">
        <v>11.2</v>
      </c>
      <c r="S105" s="63">
        <v>125</v>
      </c>
      <c r="T105" s="98">
        <f t="shared" si="4"/>
        <v>27</v>
      </c>
      <c r="U105" s="63">
        <v>138</v>
      </c>
      <c r="V105" s="98">
        <f t="shared" si="5"/>
        <v>3726</v>
      </c>
      <c r="W105" s="63">
        <v>3</v>
      </c>
      <c r="X105" s="63" t="s">
        <v>46</v>
      </c>
      <c r="Y105" s="63" t="s">
        <v>97</v>
      </c>
      <c r="Z105" s="63" t="s">
        <v>64</v>
      </c>
      <c r="AA105" s="63" t="s">
        <v>69</v>
      </c>
      <c r="AB105" s="63" t="s">
        <v>158</v>
      </c>
      <c r="AC105" s="97"/>
      <c r="AD105" s="97"/>
      <c r="AE105" s="97"/>
      <c r="AF105" s="97"/>
      <c r="AG105" s="97"/>
      <c r="AH105" s="97"/>
    </row>
    <row r="106" spans="1:34" x14ac:dyDescent="0.15">
      <c r="A106" s="63" t="s">
        <v>41</v>
      </c>
      <c r="B106" s="63" t="s">
        <v>157</v>
      </c>
      <c r="C106" s="71">
        <v>2019</v>
      </c>
      <c r="D106" s="72" t="s">
        <v>165</v>
      </c>
      <c r="E106" s="63" t="s">
        <v>201</v>
      </c>
      <c r="F106" s="63" t="s">
        <v>202</v>
      </c>
      <c r="G106" s="63" t="s">
        <v>42</v>
      </c>
      <c r="H106" s="63" t="s">
        <v>164</v>
      </c>
      <c r="I106" s="63" t="s">
        <v>159</v>
      </c>
      <c r="J106" s="63" t="s">
        <v>38</v>
      </c>
      <c r="K106" s="63" t="s">
        <v>161</v>
      </c>
      <c r="L106" s="63">
        <v>3</v>
      </c>
      <c r="N106" s="63">
        <v>1</v>
      </c>
      <c r="O106" s="63">
        <v>0.5</v>
      </c>
      <c r="P106" s="63">
        <v>0.5</v>
      </c>
      <c r="Q106" s="89">
        <f t="shared" si="3"/>
        <v>0.5</v>
      </c>
      <c r="R106" s="63">
        <v>16</v>
      </c>
      <c r="S106" s="63">
        <v>124</v>
      </c>
      <c r="T106" s="98">
        <f t="shared" si="4"/>
        <v>27</v>
      </c>
      <c r="U106" s="63">
        <v>138</v>
      </c>
      <c r="V106" s="98">
        <f t="shared" si="5"/>
        <v>3726</v>
      </c>
      <c r="W106" s="63">
        <v>3</v>
      </c>
      <c r="X106" s="63" t="s">
        <v>46</v>
      </c>
      <c r="Y106" s="63" t="s">
        <v>97</v>
      </c>
      <c r="Z106" s="63" t="s">
        <v>64</v>
      </c>
      <c r="AA106" s="63" t="s">
        <v>69</v>
      </c>
      <c r="AB106" s="63" t="s">
        <v>158</v>
      </c>
      <c r="AC106" s="97"/>
      <c r="AD106" s="97"/>
      <c r="AE106" s="97"/>
      <c r="AF106" s="97"/>
      <c r="AG106" s="97"/>
      <c r="AH106" s="97"/>
    </row>
    <row r="107" spans="1:34" x14ac:dyDescent="0.15">
      <c r="A107" s="63" t="s">
        <v>41</v>
      </c>
      <c r="B107" s="63" t="s">
        <v>157</v>
      </c>
      <c r="C107" s="71">
        <v>2019</v>
      </c>
      <c r="D107" s="72" t="s">
        <v>165</v>
      </c>
      <c r="E107" s="63" t="s">
        <v>201</v>
      </c>
      <c r="F107" s="63" t="s">
        <v>202</v>
      </c>
      <c r="G107" s="63" t="s">
        <v>42</v>
      </c>
      <c r="H107" s="63" t="s">
        <v>164</v>
      </c>
      <c r="I107" s="63" t="s">
        <v>159</v>
      </c>
      <c r="J107" s="63" t="s">
        <v>38</v>
      </c>
      <c r="K107" s="63" t="s">
        <v>161</v>
      </c>
      <c r="L107" s="63">
        <v>1</v>
      </c>
      <c r="N107" s="63">
        <v>5</v>
      </c>
      <c r="O107" s="63">
        <v>1</v>
      </c>
      <c r="P107" s="63">
        <v>1.1000000000000001</v>
      </c>
      <c r="Q107" s="92">
        <f t="shared" si="3"/>
        <v>1.05</v>
      </c>
      <c r="R107" s="63">
        <v>14.1</v>
      </c>
      <c r="S107" s="63">
        <v>118</v>
      </c>
      <c r="T107" s="73">
        <f t="shared" si="4"/>
        <v>30</v>
      </c>
      <c r="U107" s="63">
        <v>410</v>
      </c>
      <c r="V107" s="73">
        <f t="shared" si="5"/>
        <v>2460</v>
      </c>
      <c r="W107" s="63">
        <v>1</v>
      </c>
      <c r="X107" s="63" t="s">
        <v>46</v>
      </c>
      <c r="Y107" s="63" t="s">
        <v>97</v>
      </c>
      <c r="Z107" s="63" t="s">
        <v>64</v>
      </c>
      <c r="AA107" s="63" t="s">
        <v>69</v>
      </c>
      <c r="AB107" s="63" t="s">
        <v>158</v>
      </c>
      <c r="AC107" s="97"/>
      <c r="AD107" s="97"/>
      <c r="AE107" s="97"/>
      <c r="AF107" s="97"/>
      <c r="AG107" s="97"/>
      <c r="AH107" s="97"/>
    </row>
    <row r="108" spans="1:34" x14ac:dyDescent="0.15">
      <c r="A108" s="63" t="s">
        <v>41</v>
      </c>
      <c r="B108" s="63" t="s">
        <v>157</v>
      </c>
      <c r="C108" s="71">
        <v>2019</v>
      </c>
      <c r="D108" s="72" t="s">
        <v>165</v>
      </c>
      <c r="E108" s="63" t="s">
        <v>201</v>
      </c>
      <c r="F108" s="63" t="s">
        <v>202</v>
      </c>
      <c r="G108" s="63" t="s">
        <v>42</v>
      </c>
      <c r="H108" s="63" t="s">
        <v>164</v>
      </c>
      <c r="I108" s="63" t="s">
        <v>159</v>
      </c>
      <c r="J108" s="63" t="s">
        <v>38</v>
      </c>
      <c r="K108" s="63" t="s">
        <v>161</v>
      </c>
      <c r="L108" s="63">
        <v>2</v>
      </c>
      <c r="N108" s="63">
        <v>5</v>
      </c>
      <c r="O108" s="63">
        <v>0.95</v>
      </c>
      <c r="P108" s="63">
        <v>1</v>
      </c>
      <c r="Q108" s="92">
        <f t="shared" si="3"/>
        <v>0.97499999999999998</v>
      </c>
      <c r="R108" s="63">
        <v>13.2</v>
      </c>
      <c r="S108" s="63">
        <v>120</v>
      </c>
      <c r="T108" s="73">
        <f t="shared" si="4"/>
        <v>30</v>
      </c>
      <c r="U108" s="63">
        <v>410</v>
      </c>
      <c r="V108" s="73">
        <f t="shared" si="5"/>
        <v>2460</v>
      </c>
      <c r="W108" s="63">
        <v>1</v>
      </c>
      <c r="X108" s="63" t="s">
        <v>46</v>
      </c>
      <c r="Y108" s="63" t="s">
        <v>97</v>
      </c>
      <c r="Z108" s="63" t="s">
        <v>64</v>
      </c>
      <c r="AA108" s="63" t="s">
        <v>69</v>
      </c>
      <c r="AB108" s="63" t="s">
        <v>158</v>
      </c>
      <c r="AC108" s="97"/>
      <c r="AD108" s="97"/>
      <c r="AE108" s="97"/>
      <c r="AF108" s="97"/>
      <c r="AG108" s="97"/>
      <c r="AH108" s="97"/>
    </row>
    <row r="109" spans="1:34" x14ac:dyDescent="0.15">
      <c r="A109" s="63" t="s">
        <v>41</v>
      </c>
      <c r="B109" s="63" t="s">
        <v>157</v>
      </c>
      <c r="C109" s="71">
        <v>2019</v>
      </c>
      <c r="D109" s="72" t="s">
        <v>165</v>
      </c>
      <c r="E109" s="63" t="s">
        <v>201</v>
      </c>
      <c r="F109" s="63" t="s">
        <v>202</v>
      </c>
      <c r="G109" s="63" t="s">
        <v>42</v>
      </c>
      <c r="H109" s="63" t="s">
        <v>164</v>
      </c>
      <c r="I109" s="63" t="s">
        <v>159</v>
      </c>
      <c r="J109" s="63" t="s">
        <v>38</v>
      </c>
      <c r="K109" s="63" t="s">
        <v>161</v>
      </c>
      <c r="L109" s="63">
        <v>3</v>
      </c>
      <c r="N109" s="63">
        <v>5</v>
      </c>
      <c r="O109" s="63">
        <v>0.8</v>
      </c>
      <c r="P109" s="63">
        <v>0.8</v>
      </c>
      <c r="Q109" s="92">
        <f t="shared" si="3"/>
        <v>0.8</v>
      </c>
      <c r="R109" s="63">
        <v>13.8</v>
      </c>
      <c r="S109" s="63">
        <v>120</v>
      </c>
      <c r="T109" s="73">
        <f t="shared" si="4"/>
        <v>30</v>
      </c>
      <c r="U109" s="63">
        <v>410</v>
      </c>
      <c r="V109" s="73">
        <f t="shared" si="5"/>
        <v>2460</v>
      </c>
      <c r="W109" s="63">
        <v>1</v>
      </c>
      <c r="X109" s="63" t="s">
        <v>46</v>
      </c>
      <c r="Y109" s="63" t="s">
        <v>97</v>
      </c>
      <c r="Z109" s="63" t="s">
        <v>64</v>
      </c>
      <c r="AA109" s="63" t="s">
        <v>69</v>
      </c>
      <c r="AB109" s="63" t="s">
        <v>158</v>
      </c>
      <c r="AC109" s="97"/>
      <c r="AD109" s="97"/>
      <c r="AE109" s="97"/>
      <c r="AF109" s="97"/>
      <c r="AG109" s="97"/>
      <c r="AH109" s="97"/>
    </row>
    <row r="110" spans="1:34" x14ac:dyDescent="0.15">
      <c r="A110" s="63" t="s">
        <v>41</v>
      </c>
      <c r="B110" s="63" t="s">
        <v>157</v>
      </c>
      <c r="C110" s="71">
        <v>2019</v>
      </c>
      <c r="D110" s="72" t="s">
        <v>165</v>
      </c>
      <c r="E110" s="63" t="s">
        <v>201</v>
      </c>
      <c r="F110" s="63" t="s">
        <v>208</v>
      </c>
      <c r="G110" s="63" t="s">
        <v>42</v>
      </c>
      <c r="H110" s="63" t="s">
        <v>160</v>
      </c>
      <c r="I110" s="63" t="s">
        <v>159</v>
      </c>
      <c r="J110" s="63" t="s">
        <v>38</v>
      </c>
      <c r="K110" s="63" t="s">
        <v>161</v>
      </c>
      <c r="L110" s="63">
        <v>1</v>
      </c>
      <c r="N110" s="63">
        <v>1</v>
      </c>
      <c r="O110" s="63">
        <v>0.4</v>
      </c>
      <c r="P110" s="63">
        <v>0.3</v>
      </c>
      <c r="Q110" s="92">
        <v>0.47499999999999998</v>
      </c>
      <c r="R110" s="63">
        <v>17.100000000000001</v>
      </c>
      <c r="S110" s="63">
        <v>130</v>
      </c>
      <c r="T110" s="73">
        <f t="shared" si="4"/>
        <v>25</v>
      </c>
      <c r="U110" s="63">
        <v>138</v>
      </c>
      <c r="V110" s="73">
        <v>3726</v>
      </c>
      <c r="W110" s="63">
        <v>2</v>
      </c>
      <c r="X110" s="63" t="s">
        <v>46</v>
      </c>
      <c r="Y110" s="63" t="s">
        <v>69</v>
      </c>
      <c r="Z110" s="63" t="s">
        <v>55</v>
      </c>
      <c r="AA110" s="63" t="s">
        <v>64</v>
      </c>
      <c r="AB110" s="63" t="s">
        <v>158</v>
      </c>
      <c r="AC110" s="97"/>
      <c r="AD110" s="97"/>
      <c r="AE110" s="97"/>
      <c r="AF110" s="97"/>
      <c r="AG110" s="97"/>
      <c r="AH110" s="97"/>
    </row>
    <row r="111" spans="1:34" x14ac:dyDescent="0.15">
      <c r="A111" s="63" t="s">
        <v>41</v>
      </c>
      <c r="B111" s="63" t="s">
        <v>157</v>
      </c>
      <c r="C111" s="71">
        <v>2019</v>
      </c>
      <c r="D111" s="72" t="s">
        <v>165</v>
      </c>
      <c r="E111" s="63" t="s">
        <v>201</v>
      </c>
      <c r="F111" s="63" t="s">
        <v>208</v>
      </c>
      <c r="G111" s="63" t="s">
        <v>42</v>
      </c>
      <c r="H111" s="63" t="s">
        <v>160</v>
      </c>
      <c r="I111" s="63" t="s">
        <v>159</v>
      </c>
      <c r="J111" s="63" t="s">
        <v>38</v>
      </c>
      <c r="K111" s="63" t="s">
        <v>161</v>
      </c>
      <c r="L111" s="63">
        <v>2</v>
      </c>
      <c r="N111" s="63">
        <v>1</v>
      </c>
      <c r="O111" s="63">
        <v>0.5</v>
      </c>
      <c r="P111" s="63">
        <v>0.65</v>
      </c>
      <c r="Q111" s="92">
        <v>0.82499999999999996</v>
      </c>
      <c r="R111" s="63">
        <v>12.3</v>
      </c>
      <c r="S111" s="63">
        <v>129</v>
      </c>
      <c r="T111" s="73">
        <f t="shared" si="4"/>
        <v>25</v>
      </c>
      <c r="U111" s="63">
        <v>138</v>
      </c>
      <c r="V111" s="73">
        <v>3726</v>
      </c>
      <c r="W111" s="63">
        <v>2</v>
      </c>
      <c r="X111" s="63" t="s">
        <v>46</v>
      </c>
      <c r="Y111" s="63" t="s">
        <v>69</v>
      </c>
      <c r="Z111" s="63" t="s">
        <v>55</v>
      </c>
      <c r="AA111" s="63" t="s">
        <v>64</v>
      </c>
      <c r="AB111" s="63" t="s">
        <v>158</v>
      </c>
      <c r="AC111" s="97"/>
      <c r="AD111" s="97"/>
      <c r="AE111" s="97"/>
      <c r="AF111" s="97"/>
      <c r="AG111" s="97"/>
      <c r="AH111" s="97"/>
    </row>
    <row r="112" spans="1:34" x14ac:dyDescent="0.15">
      <c r="A112" s="63" t="s">
        <v>41</v>
      </c>
      <c r="B112" s="63" t="s">
        <v>157</v>
      </c>
      <c r="C112" s="71">
        <v>2019</v>
      </c>
      <c r="D112" s="72" t="s">
        <v>165</v>
      </c>
      <c r="E112" s="63" t="s">
        <v>201</v>
      </c>
      <c r="F112" s="63" t="s">
        <v>208</v>
      </c>
      <c r="G112" s="63" t="s">
        <v>42</v>
      </c>
      <c r="H112" s="63" t="s">
        <v>160</v>
      </c>
      <c r="I112" s="63" t="s">
        <v>159</v>
      </c>
      <c r="J112" s="63" t="s">
        <v>38</v>
      </c>
      <c r="K112" s="63" t="s">
        <v>161</v>
      </c>
      <c r="L112" s="63">
        <v>3</v>
      </c>
      <c r="N112" s="63">
        <v>1</v>
      </c>
      <c r="O112" s="63">
        <v>0.6</v>
      </c>
      <c r="P112" s="63">
        <v>0.45</v>
      </c>
      <c r="Q112" s="92">
        <v>0.52500000000000002</v>
      </c>
      <c r="R112" s="63">
        <v>15.9</v>
      </c>
      <c r="S112" s="63">
        <v>130</v>
      </c>
      <c r="T112" s="73">
        <f t="shared" si="4"/>
        <v>25</v>
      </c>
      <c r="U112" s="63">
        <v>138</v>
      </c>
      <c r="V112" s="73">
        <v>3726</v>
      </c>
      <c r="W112" s="63">
        <v>2</v>
      </c>
      <c r="X112" s="63" t="s">
        <v>46</v>
      </c>
      <c r="Y112" s="63" t="s">
        <v>69</v>
      </c>
      <c r="Z112" s="63" t="s">
        <v>55</v>
      </c>
      <c r="AA112" s="63" t="s">
        <v>64</v>
      </c>
      <c r="AB112" s="63" t="s">
        <v>158</v>
      </c>
      <c r="AC112" s="97"/>
      <c r="AD112" s="97"/>
      <c r="AE112" s="97"/>
      <c r="AF112" s="97"/>
      <c r="AG112" s="97"/>
      <c r="AH112" s="97"/>
    </row>
    <row r="113" spans="1:34" x14ac:dyDescent="0.15">
      <c r="A113" s="63" t="s">
        <v>41</v>
      </c>
      <c r="B113" s="63" t="s">
        <v>157</v>
      </c>
      <c r="C113" s="71">
        <v>2019</v>
      </c>
      <c r="D113" s="72" t="s">
        <v>165</v>
      </c>
      <c r="E113" s="63" t="s">
        <v>201</v>
      </c>
      <c r="F113" s="63" t="s">
        <v>208</v>
      </c>
      <c r="G113" s="63" t="s">
        <v>42</v>
      </c>
      <c r="H113" s="63" t="s">
        <v>160</v>
      </c>
      <c r="I113" s="63" t="s">
        <v>159</v>
      </c>
      <c r="J113" s="63" t="s">
        <v>38</v>
      </c>
      <c r="K113" s="63" t="s">
        <v>161</v>
      </c>
      <c r="L113" s="63">
        <v>1</v>
      </c>
      <c r="N113" s="63">
        <v>4</v>
      </c>
      <c r="O113" s="63">
        <v>0.65</v>
      </c>
      <c r="P113" s="63">
        <v>0.5</v>
      </c>
      <c r="Q113" s="92">
        <v>1.075</v>
      </c>
      <c r="R113" s="63">
        <v>12.3</v>
      </c>
      <c r="S113" s="63">
        <v>118</v>
      </c>
      <c r="T113" s="73">
        <f t="shared" si="4"/>
        <v>30</v>
      </c>
      <c r="U113" s="63">
        <v>519</v>
      </c>
      <c r="V113" s="73">
        <v>2460</v>
      </c>
      <c r="W113" s="63">
        <v>2</v>
      </c>
      <c r="X113" s="63" t="s">
        <v>46</v>
      </c>
      <c r="Y113" s="63" t="s">
        <v>69</v>
      </c>
      <c r="Z113" s="63" t="s">
        <v>55</v>
      </c>
      <c r="AA113" s="63" t="s">
        <v>64</v>
      </c>
      <c r="AB113" s="63" t="s">
        <v>158</v>
      </c>
      <c r="AC113" s="97"/>
      <c r="AD113" s="97"/>
      <c r="AE113" s="97"/>
      <c r="AF113" s="97"/>
      <c r="AG113" s="97"/>
      <c r="AH113" s="97"/>
    </row>
    <row r="114" spans="1:34" x14ac:dyDescent="0.15">
      <c r="A114" s="63" t="s">
        <v>41</v>
      </c>
      <c r="B114" s="63" t="s">
        <v>157</v>
      </c>
      <c r="C114" s="71">
        <v>2019</v>
      </c>
      <c r="D114" s="72" t="s">
        <v>165</v>
      </c>
      <c r="E114" s="63" t="s">
        <v>201</v>
      </c>
      <c r="F114" s="63" t="s">
        <v>208</v>
      </c>
      <c r="G114" s="63" t="s">
        <v>42</v>
      </c>
      <c r="H114" s="63" t="s">
        <v>160</v>
      </c>
      <c r="I114" s="63" t="s">
        <v>159</v>
      </c>
      <c r="J114" s="63" t="s">
        <v>38</v>
      </c>
      <c r="K114" s="63" t="s">
        <v>161</v>
      </c>
      <c r="L114" s="63">
        <v>2</v>
      </c>
      <c r="N114" s="63">
        <v>4</v>
      </c>
      <c r="O114" s="63">
        <v>0.8</v>
      </c>
      <c r="P114" s="63">
        <v>0.75</v>
      </c>
      <c r="Q114" s="92">
        <v>0.95</v>
      </c>
      <c r="R114" s="63">
        <v>14.1</v>
      </c>
      <c r="S114" s="63">
        <v>115</v>
      </c>
      <c r="T114" s="73">
        <f t="shared" si="4"/>
        <v>30</v>
      </c>
      <c r="U114" s="63">
        <v>519</v>
      </c>
      <c r="V114" s="73">
        <v>2460</v>
      </c>
      <c r="W114" s="63">
        <v>2</v>
      </c>
      <c r="X114" s="63" t="s">
        <v>46</v>
      </c>
      <c r="Y114" s="63" t="s">
        <v>69</v>
      </c>
      <c r="Z114" s="63" t="s">
        <v>55</v>
      </c>
      <c r="AA114" s="63" t="s">
        <v>64</v>
      </c>
      <c r="AB114" s="63" t="s">
        <v>158</v>
      </c>
      <c r="AC114" s="97"/>
      <c r="AD114" s="97"/>
      <c r="AE114" s="97"/>
      <c r="AF114" s="97"/>
      <c r="AG114" s="97"/>
      <c r="AH114" s="97"/>
    </row>
    <row r="115" spans="1:34" x14ac:dyDescent="0.15">
      <c r="A115" s="63" t="s">
        <v>41</v>
      </c>
      <c r="B115" s="63" t="s">
        <v>157</v>
      </c>
      <c r="C115" s="71">
        <v>2019</v>
      </c>
      <c r="D115" s="72" t="s">
        <v>165</v>
      </c>
      <c r="E115" s="63" t="s">
        <v>201</v>
      </c>
      <c r="F115" s="63" t="s">
        <v>208</v>
      </c>
      <c r="G115" s="63" t="s">
        <v>42</v>
      </c>
      <c r="H115" s="63" t="s">
        <v>160</v>
      </c>
      <c r="I115" s="63" t="s">
        <v>159</v>
      </c>
      <c r="J115" s="63" t="s">
        <v>38</v>
      </c>
      <c r="K115" s="63" t="s">
        <v>161</v>
      </c>
      <c r="L115" s="63">
        <v>3</v>
      </c>
      <c r="N115" s="63">
        <v>4</v>
      </c>
      <c r="O115" s="63">
        <v>0.7</v>
      </c>
      <c r="P115" s="63">
        <v>0.5</v>
      </c>
      <c r="Q115" s="92">
        <v>1.175</v>
      </c>
      <c r="R115" s="63">
        <v>14.6</v>
      </c>
      <c r="S115" s="63">
        <v>120</v>
      </c>
      <c r="T115" s="73">
        <f t="shared" si="4"/>
        <v>30</v>
      </c>
      <c r="U115" s="63">
        <v>519</v>
      </c>
      <c r="V115" s="73">
        <v>2214</v>
      </c>
      <c r="W115" s="63">
        <v>2</v>
      </c>
      <c r="X115" s="63" t="s">
        <v>46</v>
      </c>
      <c r="Y115" s="63" t="s">
        <v>69</v>
      </c>
      <c r="Z115" s="63" t="s">
        <v>55</v>
      </c>
      <c r="AA115" s="63" t="s">
        <v>64</v>
      </c>
      <c r="AB115" s="63" t="s">
        <v>158</v>
      </c>
      <c r="AC115" s="97"/>
      <c r="AD115" s="97"/>
      <c r="AE115" s="97"/>
      <c r="AF115" s="97"/>
      <c r="AG115" s="97"/>
      <c r="AH115" s="97"/>
    </row>
    <row r="116" spans="1:34" x14ac:dyDescent="0.15">
      <c r="A116" s="63" t="s">
        <v>41</v>
      </c>
      <c r="B116" s="63" t="s">
        <v>157</v>
      </c>
      <c r="C116" s="71">
        <v>2019</v>
      </c>
      <c r="D116" s="72" t="s">
        <v>165</v>
      </c>
      <c r="E116" s="63" t="s">
        <v>201</v>
      </c>
      <c r="F116" s="63" t="s">
        <v>208</v>
      </c>
      <c r="G116" s="63" t="s">
        <v>42</v>
      </c>
      <c r="H116" s="63" t="s">
        <v>160</v>
      </c>
      <c r="I116" s="63" t="s">
        <v>159</v>
      </c>
      <c r="J116" s="63" t="s">
        <v>38</v>
      </c>
      <c r="K116" s="63" t="s">
        <v>161</v>
      </c>
      <c r="L116" s="63">
        <v>1</v>
      </c>
      <c r="N116" s="63">
        <v>3</v>
      </c>
      <c r="O116" s="63">
        <v>0.45</v>
      </c>
      <c r="P116" s="63">
        <v>0.4</v>
      </c>
      <c r="Q116" s="92">
        <v>0.9</v>
      </c>
      <c r="R116" s="63">
        <v>16.8</v>
      </c>
      <c r="S116" s="63">
        <v>142</v>
      </c>
      <c r="T116" s="73">
        <f t="shared" si="4"/>
        <v>22</v>
      </c>
      <c r="U116" s="63">
        <v>430</v>
      </c>
      <c r="V116" s="73">
        <v>2582.25</v>
      </c>
      <c r="W116" s="63">
        <v>2</v>
      </c>
      <c r="X116" s="63" t="s">
        <v>46</v>
      </c>
      <c r="Y116" s="63" t="s">
        <v>69</v>
      </c>
      <c r="Z116" s="63" t="s">
        <v>55</v>
      </c>
      <c r="AA116" s="63" t="s">
        <v>64</v>
      </c>
      <c r="AB116" s="63" t="s">
        <v>158</v>
      </c>
      <c r="AC116" s="97"/>
      <c r="AD116" s="97"/>
      <c r="AE116" s="97"/>
      <c r="AF116" s="97"/>
      <c r="AG116" s="97"/>
      <c r="AH116" s="97"/>
    </row>
    <row r="117" spans="1:34" x14ac:dyDescent="0.15">
      <c r="A117" s="63" t="s">
        <v>41</v>
      </c>
      <c r="B117" s="63" t="s">
        <v>157</v>
      </c>
      <c r="C117" s="71">
        <v>2019</v>
      </c>
      <c r="D117" s="72" t="s">
        <v>165</v>
      </c>
      <c r="E117" s="63" t="s">
        <v>201</v>
      </c>
      <c r="F117" s="63" t="s">
        <v>208</v>
      </c>
      <c r="G117" s="63" t="s">
        <v>42</v>
      </c>
      <c r="H117" s="63" t="s">
        <v>160</v>
      </c>
      <c r="I117" s="63" t="s">
        <v>159</v>
      </c>
      <c r="J117" s="63" t="s">
        <v>38</v>
      </c>
      <c r="K117" s="63" t="s">
        <v>161</v>
      </c>
      <c r="L117" s="63">
        <v>2</v>
      </c>
      <c r="N117" s="63">
        <v>3</v>
      </c>
      <c r="O117" s="63">
        <v>0.35</v>
      </c>
      <c r="P117" s="63">
        <v>0.3</v>
      </c>
      <c r="Q117" s="92">
        <v>0.97499999999999998</v>
      </c>
      <c r="R117" s="63">
        <v>16</v>
      </c>
      <c r="S117" s="63">
        <v>140</v>
      </c>
      <c r="T117" s="73">
        <f t="shared" si="4"/>
        <v>22</v>
      </c>
      <c r="U117" s="63">
        <v>430</v>
      </c>
      <c r="V117" s="73">
        <v>2347.5</v>
      </c>
      <c r="W117" s="63">
        <v>2</v>
      </c>
      <c r="X117" s="63" t="s">
        <v>46</v>
      </c>
      <c r="Y117" s="63" t="s">
        <v>69</v>
      </c>
      <c r="Z117" s="63" t="s">
        <v>55</v>
      </c>
      <c r="AA117" s="63" t="s">
        <v>64</v>
      </c>
      <c r="AB117" s="63" t="s">
        <v>158</v>
      </c>
      <c r="AC117" s="97"/>
      <c r="AD117" s="97"/>
      <c r="AE117" s="97"/>
      <c r="AF117" s="97"/>
      <c r="AG117" s="97"/>
      <c r="AH117" s="97"/>
    </row>
    <row r="118" spans="1:34" x14ac:dyDescent="0.15">
      <c r="A118" s="63" t="s">
        <v>41</v>
      </c>
      <c r="B118" s="63" t="s">
        <v>157</v>
      </c>
      <c r="C118" s="71">
        <v>2019</v>
      </c>
      <c r="D118" s="72" t="s">
        <v>165</v>
      </c>
      <c r="E118" s="63" t="s">
        <v>201</v>
      </c>
      <c r="F118" s="63" t="s">
        <v>208</v>
      </c>
      <c r="G118" s="63" t="s">
        <v>42</v>
      </c>
      <c r="H118" s="63" t="s">
        <v>160</v>
      </c>
      <c r="I118" s="63" t="s">
        <v>159</v>
      </c>
      <c r="J118" s="63" t="s">
        <v>38</v>
      </c>
      <c r="K118" s="63" t="s">
        <v>161</v>
      </c>
      <c r="L118" s="63">
        <v>3</v>
      </c>
      <c r="N118" s="63">
        <v>3</v>
      </c>
      <c r="O118" s="63">
        <v>0.25</v>
      </c>
      <c r="P118" s="63">
        <v>0.25</v>
      </c>
      <c r="Q118" s="92">
        <v>0.875</v>
      </c>
      <c r="R118" s="63">
        <v>15.2</v>
      </c>
      <c r="S118" s="63">
        <v>139</v>
      </c>
      <c r="T118" s="73">
        <f t="shared" si="4"/>
        <v>22</v>
      </c>
      <c r="U118" s="63">
        <v>430</v>
      </c>
      <c r="V118" s="73">
        <v>2347.5</v>
      </c>
      <c r="W118" s="63">
        <v>2</v>
      </c>
      <c r="X118" s="63" t="s">
        <v>46</v>
      </c>
      <c r="Y118" s="63" t="s">
        <v>69</v>
      </c>
      <c r="Z118" s="63" t="s">
        <v>55</v>
      </c>
      <c r="AA118" s="63" t="s">
        <v>64</v>
      </c>
      <c r="AB118" s="63" t="s">
        <v>158</v>
      </c>
      <c r="AC118" s="97"/>
      <c r="AD118" s="97"/>
      <c r="AE118" s="97"/>
      <c r="AF118" s="97"/>
      <c r="AG118" s="97"/>
      <c r="AH118" s="97"/>
    </row>
    <row r="119" spans="1:34" x14ac:dyDescent="0.15">
      <c r="A119" s="63" t="s">
        <v>41</v>
      </c>
      <c r="B119" s="63" t="s">
        <v>157</v>
      </c>
      <c r="C119" s="71">
        <v>2019</v>
      </c>
      <c r="D119" s="72" t="s">
        <v>165</v>
      </c>
      <c r="E119" s="63" t="s">
        <v>201</v>
      </c>
      <c r="F119" s="63" t="s">
        <v>208</v>
      </c>
      <c r="G119" s="63" t="s">
        <v>42</v>
      </c>
      <c r="H119" s="63" t="s">
        <v>160</v>
      </c>
      <c r="I119" s="63" t="s">
        <v>159</v>
      </c>
      <c r="J119" s="63" t="s">
        <v>38</v>
      </c>
      <c r="K119" s="63" t="s">
        <v>161</v>
      </c>
      <c r="L119" s="63">
        <v>1</v>
      </c>
      <c r="N119" s="63">
        <v>7</v>
      </c>
      <c r="O119" s="63">
        <v>0.25</v>
      </c>
      <c r="P119" s="63">
        <v>0.25</v>
      </c>
      <c r="Q119" s="92">
        <v>0.67500000000000004</v>
      </c>
      <c r="R119" s="63">
        <v>14.8</v>
      </c>
      <c r="S119" s="63">
        <v>120</v>
      </c>
      <c r="T119" s="73">
        <f t="shared" si="4"/>
        <v>30</v>
      </c>
      <c r="U119" s="63">
        <v>735</v>
      </c>
      <c r="V119" s="73">
        <v>3726</v>
      </c>
      <c r="W119" s="63">
        <v>2</v>
      </c>
      <c r="X119" s="63" t="s">
        <v>46</v>
      </c>
      <c r="Y119" s="63" t="s">
        <v>69</v>
      </c>
      <c r="Z119" s="63" t="s">
        <v>55</v>
      </c>
      <c r="AA119" s="63" t="s">
        <v>64</v>
      </c>
      <c r="AB119" s="63" t="s">
        <v>158</v>
      </c>
      <c r="AC119" s="97"/>
      <c r="AD119" s="97"/>
      <c r="AE119" s="97"/>
      <c r="AF119" s="97"/>
      <c r="AG119" s="97"/>
      <c r="AH119" s="97"/>
    </row>
    <row r="120" spans="1:34" x14ac:dyDescent="0.15">
      <c r="A120" s="63" t="s">
        <v>41</v>
      </c>
      <c r="B120" s="63" t="s">
        <v>157</v>
      </c>
      <c r="C120" s="71">
        <v>2019</v>
      </c>
      <c r="D120" s="72" t="s">
        <v>165</v>
      </c>
      <c r="E120" s="63" t="s">
        <v>201</v>
      </c>
      <c r="F120" s="63" t="s">
        <v>208</v>
      </c>
      <c r="G120" s="63" t="s">
        <v>42</v>
      </c>
      <c r="H120" s="63" t="s">
        <v>160</v>
      </c>
      <c r="I120" s="63" t="s">
        <v>159</v>
      </c>
      <c r="J120" s="63" t="s">
        <v>38</v>
      </c>
      <c r="K120" s="63" t="s">
        <v>161</v>
      </c>
      <c r="L120" s="63">
        <v>2</v>
      </c>
      <c r="N120" s="63">
        <v>7</v>
      </c>
      <c r="O120" s="63">
        <v>0.25</v>
      </c>
      <c r="P120" s="63">
        <v>0.25</v>
      </c>
      <c r="Q120" s="92">
        <v>0.57499999999999996</v>
      </c>
      <c r="R120" s="63">
        <v>15.4</v>
      </c>
      <c r="S120" s="63">
        <v>118</v>
      </c>
      <c r="T120" s="73">
        <f t="shared" si="4"/>
        <v>30</v>
      </c>
      <c r="U120" s="63">
        <v>735</v>
      </c>
      <c r="V120" s="73">
        <v>3726</v>
      </c>
      <c r="W120" s="63">
        <v>2</v>
      </c>
      <c r="X120" s="63" t="s">
        <v>46</v>
      </c>
      <c r="Y120" s="63" t="s">
        <v>69</v>
      </c>
      <c r="Z120" s="63" t="s">
        <v>55</v>
      </c>
      <c r="AA120" s="63" t="s">
        <v>64</v>
      </c>
      <c r="AB120" s="63" t="s">
        <v>158</v>
      </c>
      <c r="AC120" s="97"/>
      <c r="AD120" s="97"/>
      <c r="AE120" s="97"/>
      <c r="AF120" s="97"/>
      <c r="AG120" s="97"/>
      <c r="AH120" s="97"/>
    </row>
    <row r="121" spans="1:34" x14ac:dyDescent="0.15">
      <c r="A121" s="63" t="s">
        <v>41</v>
      </c>
      <c r="B121" s="63" t="s">
        <v>157</v>
      </c>
      <c r="C121" s="71">
        <v>2019</v>
      </c>
      <c r="D121" s="72" t="s">
        <v>165</v>
      </c>
      <c r="E121" s="63" t="s">
        <v>201</v>
      </c>
      <c r="F121" s="63" t="s">
        <v>208</v>
      </c>
      <c r="G121" s="63" t="s">
        <v>42</v>
      </c>
      <c r="H121" s="63" t="s">
        <v>160</v>
      </c>
      <c r="I121" s="63" t="s">
        <v>159</v>
      </c>
      <c r="J121" s="63" t="s">
        <v>38</v>
      </c>
      <c r="K121" s="63" t="s">
        <v>161</v>
      </c>
      <c r="L121" s="63">
        <v>3</v>
      </c>
      <c r="N121" s="63">
        <v>7</v>
      </c>
      <c r="O121" s="63">
        <v>0.3</v>
      </c>
      <c r="P121" s="63">
        <v>0.3</v>
      </c>
      <c r="Q121" s="89">
        <v>0.55000000000000004</v>
      </c>
      <c r="R121" s="63">
        <v>16</v>
      </c>
      <c r="S121" s="63">
        <v>120</v>
      </c>
      <c r="T121" s="73">
        <f t="shared" si="4"/>
        <v>30</v>
      </c>
      <c r="U121" s="63">
        <v>735</v>
      </c>
      <c r="V121" s="73">
        <v>3726</v>
      </c>
      <c r="W121" s="63">
        <v>2</v>
      </c>
      <c r="X121" s="63" t="s">
        <v>46</v>
      </c>
      <c r="Y121" s="63" t="s">
        <v>69</v>
      </c>
      <c r="Z121" s="63" t="s">
        <v>55</v>
      </c>
      <c r="AA121" s="63" t="s">
        <v>64</v>
      </c>
      <c r="AB121" s="63" t="s">
        <v>158</v>
      </c>
      <c r="AC121" s="97"/>
      <c r="AD121" s="97"/>
      <c r="AE121" s="97"/>
      <c r="AF121" s="97"/>
      <c r="AG121" s="97"/>
      <c r="AH121" s="97"/>
    </row>
    <row r="122" spans="1:34" x14ac:dyDescent="0.15">
      <c r="A122" s="63" t="s">
        <v>41</v>
      </c>
      <c r="B122" s="63" t="s">
        <v>157</v>
      </c>
      <c r="C122" s="71">
        <v>2019</v>
      </c>
      <c r="D122" s="72" t="s">
        <v>165</v>
      </c>
      <c r="E122" s="63" t="s">
        <v>201</v>
      </c>
      <c r="F122" s="63" t="s">
        <v>208</v>
      </c>
      <c r="G122" s="63" t="s">
        <v>42</v>
      </c>
      <c r="H122" s="63" t="s">
        <v>164</v>
      </c>
      <c r="I122" s="63" t="s">
        <v>159</v>
      </c>
      <c r="J122" s="63" t="s">
        <v>38</v>
      </c>
      <c r="K122" s="63" t="s">
        <v>161</v>
      </c>
      <c r="L122" s="63">
        <v>1</v>
      </c>
      <c r="N122" s="63">
        <v>1</v>
      </c>
      <c r="O122" s="63">
        <v>0.9</v>
      </c>
      <c r="P122" s="63">
        <v>0.8</v>
      </c>
      <c r="Q122" s="89">
        <v>0.5</v>
      </c>
      <c r="R122" s="63">
        <v>16.2</v>
      </c>
      <c r="S122" s="63">
        <v>132</v>
      </c>
      <c r="T122" s="73">
        <f t="shared" si="4"/>
        <v>25</v>
      </c>
      <c r="U122" s="63">
        <v>138</v>
      </c>
      <c r="V122" s="73">
        <v>3885</v>
      </c>
      <c r="W122" s="63">
        <v>2</v>
      </c>
      <c r="X122" s="63" t="s">
        <v>46</v>
      </c>
      <c r="Y122" s="63" t="s">
        <v>69</v>
      </c>
      <c r="Z122" s="63" t="s">
        <v>55</v>
      </c>
      <c r="AA122" s="63" t="s">
        <v>64</v>
      </c>
      <c r="AB122" s="63" t="s">
        <v>158</v>
      </c>
      <c r="AC122" s="97"/>
      <c r="AD122" s="97"/>
      <c r="AE122" s="97"/>
      <c r="AF122" s="97"/>
      <c r="AG122" s="97"/>
      <c r="AH122" s="97"/>
    </row>
    <row r="123" spans="1:34" x14ac:dyDescent="0.15">
      <c r="A123" s="63" t="s">
        <v>41</v>
      </c>
      <c r="B123" s="63" t="s">
        <v>157</v>
      </c>
      <c r="C123" s="71">
        <v>2019</v>
      </c>
      <c r="D123" s="72" t="s">
        <v>165</v>
      </c>
      <c r="E123" s="63" t="s">
        <v>201</v>
      </c>
      <c r="F123" s="63" t="s">
        <v>208</v>
      </c>
      <c r="G123" s="63" t="s">
        <v>42</v>
      </c>
      <c r="H123" s="63" t="s">
        <v>164</v>
      </c>
      <c r="I123" s="63" t="s">
        <v>159</v>
      </c>
      <c r="J123" s="63" t="s">
        <v>38</v>
      </c>
      <c r="K123" s="63" t="s">
        <v>161</v>
      </c>
      <c r="L123" s="63">
        <v>2</v>
      </c>
      <c r="N123" s="63">
        <v>1</v>
      </c>
      <c r="O123" s="63">
        <v>0.8</v>
      </c>
      <c r="P123" s="63">
        <v>0.95</v>
      </c>
      <c r="Q123" s="89">
        <v>0.5</v>
      </c>
      <c r="R123" s="63">
        <v>16.399999999999999</v>
      </c>
      <c r="S123" s="63">
        <v>130</v>
      </c>
      <c r="T123" s="73">
        <f t="shared" si="4"/>
        <v>25</v>
      </c>
      <c r="U123" s="63">
        <v>138</v>
      </c>
      <c r="V123" s="73">
        <v>3885</v>
      </c>
      <c r="W123" s="63">
        <v>2</v>
      </c>
      <c r="X123" s="63" t="s">
        <v>46</v>
      </c>
      <c r="Y123" s="63" t="s">
        <v>69</v>
      </c>
      <c r="Z123" s="63" t="s">
        <v>55</v>
      </c>
      <c r="AA123" s="63" t="s">
        <v>64</v>
      </c>
      <c r="AB123" s="63" t="s">
        <v>158</v>
      </c>
      <c r="AC123" s="97"/>
      <c r="AD123" s="97"/>
      <c r="AE123" s="97"/>
      <c r="AF123" s="97"/>
      <c r="AG123" s="97"/>
      <c r="AH123" s="97"/>
    </row>
    <row r="124" spans="1:34" x14ac:dyDescent="0.15">
      <c r="A124" s="63" t="s">
        <v>41</v>
      </c>
      <c r="B124" s="63" t="s">
        <v>157</v>
      </c>
      <c r="C124" s="71">
        <v>2019</v>
      </c>
      <c r="D124" s="72" t="s">
        <v>165</v>
      </c>
      <c r="E124" s="63" t="s">
        <v>201</v>
      </c>
      <c r="F124" s="63" t="s">
        <v>208</v>
      </c>
      <c r="G124" s="63" t="s">
        <v>42</v>
      </c>
      <c r="H124" s="63" t="s">
        <v>164</v>
      </c>
      <c r="I124" s="63" t="s">
        <v>159</v>
      </c>
      <c r="J124" s="63" t="s">
        <v>38</v>
      </c>
      <c r="K124" s="63" t="s">
        <v>161</v>
      </c>
      <c r="L124" s="63">
        <v>3</v>
      </c>
      <c r="N124" s="63">
        <v>1</v>
      </c>
      <c r="O124" s="63">
        <v>0.65</v>
      </c>
      <c r="P124" s="63">
        <v>0.65</v>
      </c>
      <c r="Q124" s="89">
        <v>0.42499999999999999</v>
      </c>
      <c r="R124" s="63">
        <v>16.7</v>
      </c>
      <c r="S124" s="63">
        <v>129</v>
      </c>
      <c r="T124" s="73">
        <f t="shared" si="4"/>
        <v>25</v>
      </c>
      <c r="U124" s="63">
        <v>138</v>
      </c>
      <c r="V124" s="98">
        <v>3885</v>
      </c>
      <c r="W124" s="63">
        <v>2</v>
      </c>
      <c r="X124" s="63" t="s">
        <v>46</v>
      </c>
      <c r="Y124" s="63" t="s">
        <v>69</v>
      </c>
      <c r="Z124" s="63" t="s">
        <v>55</v>
      </c>
      <c r="AA124" s="63" t="s">
        <v>64</v>
      </c>
      <c r="AB124" s="63" t="s">
        <v>158</v>
      </c>
      <c r="AC124" s="97"/>
      <c r="AD124" s="97"/>
      <c r="AE124" s="97"/>
      <c r="AF124" s="97"/>
      <c r="AG124" s="97"/>
      <c r="AH124" s="97"/>
    </row>
    <row r="125" spans="1:34" x14ac:dyDescent="0.15">
      <c r="A125" s="63" t="s">
        <v>41</v>
      </c>
      <c r="B125" s="63" t="s">
        <v>157</v>
      </c>
      <c r="C125" s="71">
        <v>2019</v>
      </c>
      <c r="D125" s="72" t="s">
        <v>165</v>
      </c>
      <c r="E125" s="63" t="s">
        <v>201</v>
      </c>
      <c r="F125" s="63" t="s">
        <v>208</v>
      </c>
      <c r="G125" s="63" t="s">
        <v>42</v>
      </c>
      <c r="H125" s="63" t="s">
        <v>164</v>
      </c>
      <c r="I125" s="63" t="s">
        <v>159</v>
      </c>
      <c r="J125" s="63" t="s">
        <v>38</v>
      </c>
      <c r="K125" s="63" t="s">
        <v>161</v>
      </c>
      <c r="L125" s="63">
        <v>1</v>
      </c>
      <c r="N125" s="63">
        <v>5</v>
      </c>
      <c r="O125" s="63">
        <v>0.25</v>
      </c>
      <c r="P125" s="63">
        <v>0.25</v>
      </c>
      <c r="Q125" s="89">
        <v>0.27500000000000002</v>
      </c>
      <c r="R125" s="63">
        <v>15.3</v>
      </c>
      <c r="S125" s="63">
        <v>124</v>
      </c>
      <c r="T125" s="73">
        <f t="shared" si="4"/>
        <v>27</v>
      </c>
      <c r="U125" s="63">
        <v>410</v>
      </c>
      <c r="V125" s="98">
        <v>3146</v>
      </c>
      <c r="W125" s="63">
        <v>2</v>
      </c>
      <c r="X125" s="63" t="s">
        <v>46</v>
      </c>
      <c r="Y125" s="63" t="s">
        <v>69</v>
      </c>
      <c r="Z125" s="63" t="s">
        <v>55</v>
      </c>
      <c r="AA125" s="63" t="s">
        <v>64</v>
      </c>
      <c r="AB125" s="63" t="s">
        <v>158</v>
      </c>
      <c r="AC125" s="97"/>
      <c r="AD125" s="97"/>
      <c r="AE125" s="97"/>
      <c r="AF125" s="97"/>
      <c r="AG125" s="97"/>
      <c r="AH125" s="97"/>
    </row>
    <row r="126" spans="1:34" x14ac:dyDescent="0.15">
      <c r="A126" s="63" t="s">
        <v>41</v>
      </c>
      <c r="B126" s="63" t="s">
        <v>157</v>
      </c>
      <c r="C126" s="71">
        <v>2019</v>
      </c>
      <c r="D126" s="72" t="s">
        <v>165</v>
      </c>
      <c r="E126" s="63" t="s">
        <v>201</v>
      </c>
      <c r="F126" s="63" t="s">
        <v>208</v>
      </c>
      <c r="G126" s="63" t="s">
        <v>42</v>
      </c>
      <c r="H126" s="63" t="s">
        <v>164</v>
      </c>
      <c r="I126" s="63" t="s">
        <v>159</v>
      </c>
      <c r="J126" s="63" t="s">
        <v>38</v>
      </c>
      <c r="K126" s="63" t="s">
        <v>161</v>
      </c>
      <c r="L126" s="63">
        <v>2</v>
      </c>
      <c r="N126" s="63">
        <v>5</v>
      </c>
      <c r="O126" s="63">
        <v>0.25</v>
      </c>
      <c r="P126" s="63">
        <v>0.25</v>
      </c>
      <c r="Q126" s="89">
        <v>0.35</v>
      </c>
      <c r="R126" s="63">
        <v>15</v>
      </c>
      <c r="S126" s="63">
        <v>122</v>
      </c>
      <c r="T126" s="73">
        <f t="shared" si="4"/>
        <v>27</v>
      </c>
      <c r="U126" s="63">
        <v>410</v>
      </c>
      <c r="V126" s="98">
        <v>3146</v>
      </c>
      <c r="W126" s="63">
        <v>2</v>
      </c>
      <c r="X126" s="63" t="s">
        <v>46</v>
      </c>
      <c r="Y126" s="63" t="s">
        <v>69</v>
      </c>
      <c r="Z126" s="63" t="s">
        <v>55</v>
      </c>
      <c r="AA126" s="63" t="s">
        <v>64</v>
      </c>
      <c r="AB126" s="63" t="s">
        <v>158</v>
      </c>
      <c r="AC126" s="97"/>
      <c r="AD126" s="97"/>
      <c r="AE126" s="97"/>
      <c r="AF126" s="97"/>
      <c r="AG126" s="97"/>
      <c r="AH126" s="97"/>
    </row>
    <row r="127" spans="1:34" x14ac:dyDescent="0.15">
      <c r="A127" s="63" t="s">
        <v>41</v>
      </c>
      <c r="B127" s="63" t="s">
        <v>157</v>
      </c>
      <c r="C127" s="71">
        <v>2019</v>
      </c>
      <c r="D127" s="72" t="s">
        <v>165</v>
      </c>
      <c r="E127" s="63" t="s">
        <v>201</v>
      </c>
      <c r="F127" s="63" t="s">
        <v>208</v>
      </c>
      <c r="G127" s="63" t="s">
        <v>42</v>
      </c>
      <c r="H127" s="63" t="s">
        <v>164</v>
      </c>
      <c r="I127" s="63" t="s">
        <v>159</v>
      </c>
      <c r="J127" s="63" t="s">
        <v>38</v>
      </c>
      <c r="K127" s="63" t="s">
        <v>161</v>
      </c>
      <c r="L127" s="63">
        <v>3</v>
      </c>
      <c r="N127" s="63">
        <v>5</v>
      </c>
      <c r="O127" s="63">
        <v>0.3</v>
      </c>
      <c r="P127" s="63">
        <v>0.35</v>
      </c>
      <c r="Q127" s="89">
        <v>0.4</v>
      </c>
      <c r="R127" s="63">
        <v>14.4</v>
      </c>
      <c r="S127" s="63">
        <v>122</v>
      </c>
      <c r="T127" s="73">
        <f t="shared" si="4"/>
        <v>27</v>
      </c>
      <c r="U127" s="63">
        <v>410</v>
      </c>
      <c r="V127" s="98">
        <v>3146</v>
      </c>
      <c r="W127" s="63">
        <v>2</v>
      </c>
      <c r="X127" s="63" t="s">
        <v>46</v>
      </c>
      <c r="Y127" s="63" t="s">
        <v>69</v>
      </c>
      <c r="Z127" s="63" t="s">
        <v>55</v>
      </c>
      <c r="AA127" s="63" t="s">
        <v>64</v>
      </c>
      <c r="AB127" s="63" t="s">
        <v>158</v>
      </c>
      <c r="AC127" s="97"/>
      <c r="AD127" s="97"/>
      <c r="AE127" s="97"/>
      <c r="AF127" s="97"/>
      <c r="AG127" s="97"/>
      <c r="AH127" s="97"/>
    </row>
    <row r="128" spans="1:34" x14ac:dyDescent="0.15">
      <c r="A128" s="63" t="s">
        <v>41</v>
      </c>
      <c r="B128" s="63" t="s">
        <v>157</v>
      </c>
      <c r="C128" s="71">
        <v>2019</v>
      </c>
      <c r="D128" s="72" t="s">
        <v>165</v>
      </c>
      <c r="E128" s="63" t="s">
        <v>201</v>
      </c>
      <c r="F128" s="63" t="s">
        <v>208</v>
      </c>
      <c r="G128" s="63" t="s">
        <v>42</v>
      </c>
      <c r="H128" s="63" t="s">
        <v>164</v>
      </c>
      <c r="I128" s="63" t="s">
        <v>159</v>
      </c>
      <c r="J128" s="63" t="s">
        <v>38</v>
      </c>
      <c r="K128" s="63" t="s">
        <v>161</v>
      </c>
      <c r="L128" s="63">
        <v>1</v>
      </c>
      <c r="N128" s="63">
        <v>8</v>
      </c>
      <c r="O128" s="63">
        <v>0.4</v>
      </c>
      <c r="P128" s="63">
        <v>0.4</v>
      </c>
      <c r="Q128" s="89">
        <v>0.27500000000000002</v>
      </c>
      <c r="R128" s="63">
        <v>14.8</v>
      </c>
      <c r="S128" s="63">
        <v>115</v>
      </c>
      <c r="T128" s="73">
        <f t="shared" si="4"/>
        <v>30</v>
      </c>
      <c r="U128" s="63">
        <v>627</v>
      </c>
      <c r="V128" s="98">
        <v>3670</v>
      </c>
      <c r="W128" s="63">
        <v>2</v>
      </c>
      <c r="X128" s="63" t="s">
        <v>46</v>
      </c>
      <c r="Y128" s="63" t="s">
        <v>69</v>
      </c>
      <c r="Z128" s="63" t="s">
        <v>55</v>
      </c>
      <c r="AA128" s="63" t="s">
        <v>64</v>
      </c>
      <c r="AB128" s="63" t="s">
        <v>158</v>
      </c>
      <c r="AC128" s="97"/>
      <c r="AD128" s="97"/>
      <c r="AE128" s="97"/>
      <c r="AF128" s="97"/>
      <c r="AG128" s="97"/>
      <c r="AH128" s="97"/>
    </row>
    <row r="129" spans="1:34" x14ac:dyDescent="0.15">
      <c r="A129" s="63" t="s">
        <v>41</v>
      </c>
      <c r="B129" s="63" t="s">
        <v>157</v>
      </c>
      <c r="C129" s="71">
        <v>2019</v>
      </c>
      <c r="D129" s="72" t="s">
        <v>165</v>
      </c>
      <c r="E129" s="63" t="s">
        <v>201</v>
      </c>
      <c r="F129" s="63" t="s">
        <v>208</v>
      </c>
      <c r="G129" s="63" t="s">
        <v>42</v>
      </c>
      <c r="H129" s="63" t="s">
        <v>164</v>
      </c>
      <c r="I129" s="63" t="s">
        <v>159</v>
      </c>
      <c r="J129" s="63" t="s">
        <v>38</v>
      </c>
      <c r="K129" s="63" t="s">
        <v>161</v>
      </c>
      <c r="L129" s="63">
        <v>2</v>
      </c>
      <c r="N129" s="63">
        <v>8</v>
      </c>
      <c r="O129" s="63">
        <v>0.3</v>
      </c>
      <c r="P129" s="63">
        <v>0.5</v>
      </c>
      <c r="Q129" s="89">
        <v>0.52500000000000002</v>
      </c>
      <c r="R129" s="63">
        <v>13.8</v>
      </c>
      <c r="S129" s="63">
        <v>114</v>
      </c>
      <c r="T129" s="73">
        <f t="shared" si="4"/>
        <v>30</v>
      </c>
      <c r="U129" s="63">
        <v>627</v>
      </c>
      <c r="V129" s="98">
        <v>3303</v>
      </c>
      <c r="W129" s="63">
        <v>2</v>
      </c>
      <c r="X129" s="63" t="s">
        <v>46</v>
      </c>
      <c r="Y129" s="63" t="s">
        <v>69</v>
      </c>
      <c r="Z129" s="63" t="s">
        <v>55</v>
      </c>
      <c r="AA129" s="63" t="s">
        <v>64</v>
      </c>
      <c r="AB129" s="63" t="s">
        <v>158</v>
      </c>
      <c r="AC129" s="97"/>
      <c r="AD129" s="97"/>
      <c r="AE129" s="97"/>
      <c r="AF129" s="97"/>
      <c r="AG129" s="97"/>
      <c r="AH129" s="97"/>
    </row>
    <row r="130" spans="1:34" x14ac:dyDescent="0.15">
      <c r="A130" s="63" t="s">
        <v>41</v>
      </c>
      <c r="B130" s="63" t="s">
        <v>157</v>
      </c>
      <c r="C130" s="71">
        <v>2019</v>
      </c>
      <c r="D130" s="72" t="s">
        <v>165</v>
      </c>
      <c r="E130" s="63" t="s">
        <v>201</v>
      </c>
      <c r="F130" s="63" t="s">
        <v>208</v>
      </c>
      <c r="G130" s="63" t="s">
        <v>42</v>
      </c>
      <c r="H130" s="63" t="s">
        <v>164</v>
      </c>
      <c r="I130" s="63" t="s">
        <v>159</v>
      </c>
      <c r="J130" s="63" t="s">
        <v>38</v>
      </c>
      <c r="K130" s="63" t="s">
        <v>161</v>
      </c>
      <c r="L130" s="63">
        <v>3</v>
      </c>
      <c r="N130" s="63">
        <v>8</v>
      </c>
      <c r="O130" s="63">
        <v>0.5</v>
      </c>
      <c r="P130" s="63">
        <v>0.45</v>
      </c>
      <c r="Q130" s="89">
        <v>0.72499999999999998</v>
      </c>
      <c r="R130" s="63">
        <v>14</v>
      </c>
      <c r="S130" s="63">
        <v>117</v>
      </c>
      <c r="T130" s="73">
        <f t="shared" si="4"/>
        <v>30</v>
      </c>
      <c r="U130" s="63">
        <v>627</v>
      </c>
      <c r="V130" s="98">
        <v>3670</v>
      </c>
      <c r="W130" s="63">
        <v>2</v>
      </c>
      <c r="X130" s="63" t="s">
        <v>46</v>
      </c>
      <c r="Y130" s="63" t="s">
        <v>69</v>
      </c>
      <c r="Z130" s="63" t="s">
        <v>55</v>
      </c>
      <c r="AA130" s="63" t="s">
        <v>64</v>
      </c>
      <c r="AB130" s="63" t="s">
        <v>158</v>
      </c>
      <c r="AC130" s="97"/>
      <c r="AD130" s="97"/>
      <c r="AE130" s="97"/>
      <c r="AF130" s="97"/>
      <c r="AG130" s="97"/>
      <c r="AH130" s="97"/>
    </row>
    <row r="131" spans="1:34" x14ac:dyDescent="0.15">
      <c r="A131" s="63" t="s">
        <v>41</v>
      </c>
      <c r="B131" s="63" t="s">
        <v>157</v>
      </c>
      <c r="C131" s="71">
        <v>2019</v>
      </c>
      <c r="D131" s="72" t="s">
        <v>165</v>
      </c>
      <c r="E131" s="63" t="s">
        <v>204</v>
      </c>
      <c r="F131" s="63" t="s">
        <v>205</v>
      </c>
      <c r="G131" s="63" t="s">
        <v>42</v>
      </c>
      <c r="H131" s="63" t="s">
        <v>164</v>
      </c>
      <c r="I131" s="63" t="s">
        <v>159</v>
      </c>
      <c r="J131" s="63" t="s">
        <v>38</v>
      </c>
      <c r="K131" s="63" t="s">
        <v>161</v>
      </c>
      <c r="L131" s="63">
        <v>1</v>
      </c>
      <c r="N131" s="63">
        <v>1</v>
      </c>
      <c r="O131" s="63">
        <v>0.9</v>
      </c>
      <c r="P131" s="63">
        <v>0.85</v>
      </c>
      <c r="Q131" s="89">
        <f t="shared" ref="Q131:Q194" si="6">IF(OR(O131="",P131=""),"",AVERAGE(O131,P131))</f>
        <v>0.875</v>
      </c>
      <c r="R131" s="63">
        <v>13.2</v>
      </c>
      <c r="S131" s="63">
        <v>124</v>
      </c>
      <c r="T131" s="98">
        <f t="shared" si="4"/>
        <v>27</v>
      </c>
      <c r="U131" s="63">
        <v>138</v>
      </c>
      <c r="V131" s="73">
        <f t="shared" ref="V131:V194" si="7">IF(OR(N131="",U131="",T131=""),"",U131/N131*T131)</f>
        <v>3726</v>
      </c>
      <c r="W131" s="63">
        <v>3</v>
      </c>
      <c r="X131" s="63" t="s">
        <v>46</v>
      </c>
      <c r="Y131" s="63" t="s">
        <v>97</v>
      </c>
      <c r="Z131" s="63" t="s">
        <v>69</v>
      </c>
      <c r="AA131" s="63" t="s">
        <v>88</v>
      </c>
      <c r="AB131" s="63" t="s">
        <v>158</v>
      </c>
    </row>
    <row r="132" spans="1:34" x14ac:dyDescent="0.15">
      <c r="A132" s="63" t="s">
        <v>41</v>
      </c>
      <c r="B132" s="63" t="s">
        <v>157</v>
      </c>
      <c r="C132" s="71">
        <v>2019</v>
      </c>
      <c r="D132" s="72" t="s">
        <v>165</v>
      </c>
      <c r="E132" s="63" t="s">
        <v>204</v>
      </c>
      <c r="F132" s="63" t="s">
        <v>205</v>
      </c>
      <c r="G132" s="63" t="s">
        <v>42</v>
      </c>
      <c r="H132" s="63" t="s">
        <v>164</v>
      </c>
      <c r="I132" s="63" t="s">
        <v>159</v>
      </c>
      <c r="J132" s="63" t="s">
        <v>38</v>
      </c>
      <c r="K132" s="63" t="s">
        <v>161</v>
      </c>
      <c r="L132" s="63">
        <v>2</v>
      </c>
      <c r="N132" s="63">
        <v>1</v>
      </c>
      <c r="O132" s="63">
        <v>0.65</v>
      </c>
      <c r="P132" s="63">
        <v>0.75</v>
      </c>
      <c r="Q132" s="89">
        <f t="shared" si="6"/>
        <v>0.7</v>
      </c>
      <c r="R132" s="63">
        <v>12.6</v>
      </c>
      <c r="S132" s="63">
        <v>123</v>
      </c>
      <c r="T132" s="98">
        <f t="shared" si="4"/>
        <v>27</v>
      </c>
      <c r="U132" s="63">
        <v>138</v>
      </c>
      <c r="V132" s="73">
        <f t="shared" si="7"/>
        <v>3726</v>
      </c>
      <c r="W132" s="63">
        <v>3</v>
      </c>
      <c r="X132" s="63" t="s">
        <v>46</v>
      </c>
      <c r="Y132" s="63" t="s">
        <v>97</v>
      </c>
      <c r="Z132" s="63" t="s">
        <v>69</v>
      </c>
      <c r="AA132" s="63" t="s">
        <v>88</v>
      </c>
      <c r="AB132" s="63" t="s">
        <v>158</v>
      </c>
    </row>
    <row r="133" spans="1:34" x14ac:dyDescent="0.15">
      <c r="A133" s="63" t="s">
        <v>41</v>
      </c>
      <c r="B133" s="63" t="s">
        <v>157</v>
      </c>
      <c r="C133" s="71">
        <v>2019</v>
      </c>
      <c r="D133" s="72" t="s">
        <v>165</v>
      </c>
      <c r="E133" s="63" t="s">
        <v>204</v>
      </c>
      <c r="F133" s="63" t="s">
        <v>205</v>
      </c>
      <c r="G133" s="63" t="s">
        <v>42</v>
      </c>
      <c r="H133" s="63" t="s">
        <v>164</v>
      </c>
      <c r="I133" s="63" t="s">
        <v>159</v>
      </c>
      <c r="J133" s="63" t="s">
        <v>38</v>
      </c>
      <c r="K133" s="63" t="s">
        <v>161</v>
      </c>
      <c r="L133" s="63">
        <v>3</v>
      </c>
      <c r="N133" s="63">
        <v>1</v>
      </c>
      <c r="O133" s="63">
        <v>0.9</v>
      </c>
      <c r="P133" s="63">
        <v>0.8</v>
      </c>
      <c r="Q133" s="89">
        <f t="shared" si="6"/>
        <v>0.85000000000000009</v>
      </c>
      <c r="R133" s="63">
        <v>15.2</v>
      </c>
      <c r="S133" s="63">
        <v>122</v>
      </c>
      <c r="T133" s="98">
        <f t="shared" ref="T133:T196" si="8">IF(H133="","",IF(OR(H133="GREEN",H133="GK"),IF(S133&gt;=$AX$2,VLOOKUP(S133,$AX$2:$AY$10,2,1),""),IF(S133&gt;=$AZ$2,VLOOKUP(S133,$AZ$2:$BA$10,2,1),"")))</f>
        <v>27</v>
      </c>
      <c r="U133" s="63">
        <v>138</v>
      </c>
      <c r="V133" s="98">
        <f t="shared" si="7"/>
        <v>3726</v>
      </c>
      <c r="W133" s="63">
        <v>3</v>
      </c>
      <c r="X133" s="63" t="s">
        <v>46</v>
      </c>
      <c r="Y133" s="63" t="s">
        <v>97</v>
      </c>
      <c r="Z133" s="63" t="s">
        <v>69</v>
      </c>
      <c r="AA133" s="63" t="s">
        <v>88</v>
      </c>
      <c r="AB133" s="63" t="s">
        <v>158</v>
      </c>
    </row>
    <row r="134" spans="1:34" x14ac:dyDescent="0.15">
      <c r="A134" s="63" t="s">
        <v>41</v>
      </c>
      <c r="B134" s="63" t="s">
        <v>157</v>
      </c>
      <c r="C134" s="71">
        <v>2018</v>
      </c>
      <c r="D134" s="72" t="s">
        <v>165</v>
      </c>
      <c r="E134" s="63" t="s">
        <v>204</v>
      </c>
      <c r="F134" s="63" t="s">
        <v>205</v>
      </c>
      <c r="G134" s="63" t="s">
        <v>42</v>
      </c>
      <c r="H134" s="63" t="s">
        <v>164</v>
      </c>
      <c r="I134" s="63" t="s">
        <v>159</v>
      </c>
      <c r="J134" s="63" t="s">
        <v>38</v>
      </c>
      <c r="K134" s="63" t="s">
        <v>161</v>
      </c>
      <c r="L134" s="63">
        <v>1</v>
      </c>
      <c r="N134" s="63">
        <v>3</v>
      </c>
      <c r="O134" s="63">
        <v>0.45</v>
      </c>
      <c r="P134" s="63">
        <v>0.4</v>
      </c>
      <c r="Q134" s="73">
        <f t="shared" si="6"/>
        <v>0.42500000000000004</v>
      </c>
      <c r="R134" s="63">
        <v>14.1</v>
      </c>
      <c r="S134" s="63">
        <v>144</v>
      </c>
      <c r="T134" s="73">
        <f t="shared" si="8"/>
        <v>22</v>
      </c>
      <c r="U134" s="63">
        <v>410</v>
      </c>
      <c r="V134" s="73">
        <f t="shared" si="7"/>
        <v>3006.6666666666665</v>
      </c>
      <c r="W134" s="63">
        <v>1</v>
      </c>
      <c r="X134" s="63" t="s">
        <v>46</v>
      </c>
      <c r="Y134" s="63" t="s">
        <v>97</v>
      </c>
      <c r="Z134" s="63" t="s">
        <v>69</v>
      </c>
      <c r="AA134" s="63" t="s">
        <v>88</v>
      </c>
      <c r="AB134" s="63" t="s">
        <v>158</v>
      </c>
    </row>
    <row r="135" spans="1:34" x14ac:dyDescent="0.15">
      <c r="A135" s="63" t="s">
        <v>41</v>
      </c>
      <c r="B135" s="63" t="s">
        <v>157</v>
      </c>
      <c r="C135" s="71">
        <v>2018</v>
      </c>
      <c r="D135" s="72" t="s">
        <v>165</v>
      </c>
      <c r="E135" s="63" t="s">
        <v>204</v>
      </c>
      <c r="F135" s="63" t="s">
        <v>205</v>
      </c>
      <c r="G135" s="63" t="s">
        <v>42</v>
      </c>
      <c r="H135" s="63" t="s">
        <v>164</v>
      </c>
      <c r="I135" s="63" t="s">
        <v>159</v>
      </c>
      <c r="J135" s="63" t="s">
        <v>38</v>
      </c>
      <c r="K135" s="63" t="s">
        <v>161</v>
      </c>
      <c r="L135" s="63">
        <v>2</v>
      </c>
      <c r="N135" s="63">
        <v>3</v>
      </c>
      <c r="O135" s="63">
        <v>0.35</v>
      </c>
      <c r="P135" s="63">
        <v>0.3</v>
      </c>
      <c r="Q135" s="73">
        <f t="shared" si="6"/>
        <v>0.32499999999999996</v>
      </c>
      <c r="R135" s="63">
        <v>14.8</v>
      </c>
      <c r="S135" s="63">
        <v>138</v>
      </c>
      <c r="T135" s="73">
        <f t="shared" si="8"/>
        <v>22</v>
      </c>
      <c r="U135" s="63">
        <v>410</v>
      </c>
      <c r="V135" s="73">
        <f t="shared" si="7"/>
        <v>3006.6666666666665</v>
      </c>
      <c r="W135" s="63">
        <v>1</v>
      </c>
      <c r="X135" s="63" t="s">
        <v>46</v>
      </c>
      <c r="Y135" s="63" t="s">
        <v>97</v>
      </c>
      <c r="Z135" s="63" t="s">
        <v>69</v>
      </c>
      <c r="AA135" s="63" t="s">
        <v>88</v>
      </c>
      <c r="AB135" s="63" t="s">
        <v>158</v>
      </c>
    </row>
    <row r="136" spans="1:34" x14ac:dyDescent="0.15">
      <c r="A136" s="63" t="s">
        <v>41</v>
      </c>
      <c r="B136" s="63" t="s">
        <v>157</v>
      </c>
      <c r="C136" s="71">
        <v>2018</v>
      </c>
      <c r="D136" s="72" t="s">
        <v>165</v>
      </c>
      <c r="E136" s="63" t="s">
        <v>204</v>
      </c>
      <c r="F136" s="63" t="s">
        <v>205</v>
      </c>
      <c r="G136" s="63" t="s">
        <v>42</v>
      </c>
      <c r="H136" s="63" t="s">
        <v>164</v>
      </c>
      <c r="I136" s="63" t="s">
        <v>159</v>
      </c>
      <c r="J136" s="63" t="s">
        <v>38</v>
      </c>
      <c r="K136" s="63" t="s">
        <v>161</v>
      </c>
      <c r="L136" s="63">
        <v>3</v>
      </c>
      <c r="N136" s="63">
        <v>3</v>
      </c>
      <c r="O136" s="63">
        <v>0.6</v>
      </c>
      <c r="P136" s="63">
        <v>0.5</v>
      </c>
      <c r="Q136" s="73">
        <f t="shared" si="6"/>
        <v>0.55000000000000004</v>
      </c>
      <c r="R136" s="63">
        <v>15.1</v>
      </c>
      <c r="S136" s="63">
        <v>140</v>
      </c>
      <c r="T136" s="73">
        <f t="shared" si="8"/>
        <v>22</v>
      </c>
      <c r="U136" s="63">
        <v>410</v>
      </c>
      <c r="V136" s="73">
        <f t="shared" si="7"/>
        <v>3006.6666666666665</v>
      </c>
      <c r="W136" s="63">
        <v>1</v>
      </c>
      <c r="X136" s="63" t="s">
        <v>46</v>
      </c>
      <c r="Y136" s="63" t="s">
        <v>97</v>
      </c>
      <c r="Z136" s="63" t="s">
        <v>69</v>
      </c>
      <c r="AA136" s="63" t="s">
        <v>88</v>
      </c>
      <c r="AB136" s="63" t="s">
        <v>158</v>
      </c>
    </row>
    <row r="137" spans="1:34" x14ac:dyDescent="0.15">
      <c r="A137" s="63" t="s">
        <v>41</v>
      </c>
      <c r="B137" s="63" t="s">
        <v>157</v>
      </c>
      <c r="C137" s="71">
        <v>2018</v>
      </c>
      <c r="D137" s="72" t="s">
        <v>165</v>
      </c>
      <c r="E137" s="63" t="s">
        <v>204</v>
      </c>
      <c r="F137" s="63" t="s">
        <v>205</v>
      </c>
      <c r="G137" s="63" t="s">
        <v>42</v>
      </c>
      <c r="H137" s="63" t="s">
        <v>164</v>
      </c>
      <c r="I137" s="63" t="s">
        <v>159</v>
      </c>
      <c r="J137" s="63" t="s">
        <v>38</v>
      </c>
      <c r="K137" s="63" t="s">
        <v>161</v>
      </c>
      <c r="L137" s="63">
        <v>1</v>
      </c>
      <c r="N137" s="63">
        <v>8</v>
      </c>
      <c r="O137" s="63">
        <v>0.65</v>
      </c>
      <c r="P137" s="63">
        <v>0.7</v>
      </c>
      <c r="Q137" s="73">
        <f t="shared" si="6"/>
        <v>0.67500000000000004</v>
      </c>
      <c r="R137" s="63">
        <v>15</v>
      </c>
      <c r="S137" s="63">
        <v>122</v>
      </c>
      <c r="T137" s="73">
        <f t="shared" si="8"/>
        <v>27</v>
      </c>
      <c r="U137" s="63">
        <v>1058</v>
      </c>
      <c r="V137" s="73">
        <f t="shared" si="7"/>
        <v>3570.75</v>
      </c>
      <c r="W137" s="63">
        <v>1</v>
      </c>
      <c r="X137" s="63" t="s">
        <v>46</v>
      </c>
      <c r="Y137" s="63" t="s">
        <v>97</v>
      </c>
      <c r="Z137" s="63" t="s">
        <v>69</v>
      </c>
      <c r="AA137" s="63" t="s">
        <v>88</v>
      </c>
      <c r="AB137" s="63" t="s">
        <v>158</v>
      </c>
      <c r="AC137" s="97"/>
      <c r="AD137" s="97"/>
      <c r="AE137" s="97"/>
      <c r="AF137" s="97"/>
      <c r="AG137" s="97"/>
      <c r="AH137" s="97"/>
    </row>
    <row r="138" spans="1:34" x14ac:dyDescent="0.15">
      <c r="A138" s="63" t="s">
        <v>41</v>
      </c>
      <c r="B138" s="63" t="s">
        <v>157</v>
      </c>
      <c r="C138" s="71">
        <v>2018</v>
      </c>
      <c r="D138" s="72" t="s">
        <v>165</v>
      </c>
      <c r="E138" s="63" t="s">
        <v>204</v>
      </c>
      <c r="F138" s="63" t="s">
        <v>205</v>
      </c>
      <c r="G138" s="63" t="s">
        <v>42</v>
      </c>
      <c r="H138" s="63" t="s">
        <v>164</v>
      </c>
      <c r="I138" s="63" t="s">
        <v>159</v>
      </c>
      <c r="J138" s="63" t="s">
        <v>38</v>
      </c>
      <c r="K138" s="63" t="s">
        <v>161</v>
      </c>
      <c r="L138" s="63">
        <v>2</v>
      </c>
      <c r="N138" s="63">
        <v>8</v>
      </c>
      <c r="O138" s="63">
        <v>0.5</v>
      </c>
      <c r="P138" s="63">
        <v>0.45</v>
      </c>
      <c r="Q138" s="73">
        <f t="shared" si="6"/>
        <v>0.47499999999999998</v>
      </c>
      <c r="R138" s="63">
        <v>13.8</v>
      </c>
      <c r="S138" s="63">
        <v>124</v>
      </c>
      <c r="T138" s="73">
        <f t="shared" si="8"/>
        <v>27</v>
      </c>
      <c r="U138" s="63">
        <v>1058</v>
      </c>
      <c r="V138" s="73">
        <f t="shared" si="7"/>
        <v>3570.75</v>
      </c>
      <c r="W138" s="63">
        <v>1</v>
      </c>
      <c r="X138" s="63" t="s">
        <v>46</v>
      </c>
      <c r="Y138" s="63" t="s">
        <v>97</v>
      </c>
      <c r="Z138" s="63" t="s">
        <v>69</v>
      </c>
      <c r="AA138" s="63" t="s">
        <v>88</v>
      </c>
      <c r="AB138" s="63" t="s">
        <v>158</v>
      </c>
      <c r="AC138" s="97"/>
      <c r="AD138" s="97"/>
      <c r="AE138" s="97"/>
      <c r="AF138" s="97"/>
      <c r="AG138" s="97"/>
      <c r="AH138" s="97"/>
    </row>
    <row r="139" spans="1:34" x14ac:dyDescent="0.15">
      <c r="A139" s="63" t="s">
        <v>41</v>
      </c>
      <c r="B139" s="63" t="s">
        <v>157</v>
      </c>
      <c r="C139" s="71">
        <v>2018</v>
      </c>
      <c r="D139" s="72" t="s">
        <v>165</v>
      </c>
      <c r="E139" s="63" t="s">
        <v>204</v>
      </c>
      <c r="F139" s="63" t="s">
        <v>205</v>
      </c>
      <c r="G139" s="63" t="s">
        <v>42</v>
      </c>
      <c r="H139" s="63" t="s">
        <v>164</v>
      </c>
      <c r="I139" s="63" t="s">
        <v>159</v>
      </c>
      <c r="J139" s="63" t="s">
        <v>38</v>
      </c>
      <c r="K139" s="63" t="s">
        <v>161</v>
      </c>
      <c r="L139" s="63">
        <v>3</v>
      </c>
      <c r="N139" s="63">
        <v>8</v>
      </c>
      <c r="O139" s="63">
        <v>0.6</v>
      </c>
      <c r="P139" s="63">
        <v>0.65</v>
      </c>
      <c r="Q139" s="73">
        <f t="shared" si="6"/>
        <v>0.625</v>
      </c>
      <c r="R139" s="63">
        <v>16</v>
      </c>
      <c r="S139" s="63">
        <v>123</v>
      </c>
      <c r="T139" s="73">
        <f t="shared" si="8"/>
        <v>27</v>
      </c>
      <c r="U139" s="63">
        <v>1058</v>
      </c>
      <c r="V139" s="73">
        <f t="shared" si="7"/>
        <v>3570.75</v>
      </c>
      <c r="W139" s="63">
        <v>1</v>
      </c>
      <c r="X139" s="63" t="s">
        <v>46</v>
      </c>
      <c r="Y139" s="63" t="s">
        <v>97</v>
      </c>
      <c r="Z139" s="63" t="s">
        <v>69</v>
      </c>
      <c r="AA139" s="63" t="s">
        <v>88</v>
      </c>
      <c r="AB139" s="63" t="s">
        <v>158</v>
      </c>
      <c r="AC139" s="97"/>
      <c r="AD139" s="97"/>
      <c r="AE139" s="97"/>
      <c r="AF139" s="97"/>
      <c r="AG139" s="97"/>
      <c r="AH139" s="97"/>
    </row>
    <row r="140" spans="1:34" x14ac:dyDescent="0.15">
      <c r="A140" s="63" t="s">
        <v>41</v>
      </c>
      <c r="B140" s="63" t="s">
        <v>157</v>
      </c>
      <c r="C140" s="71">
        <v>2019</v>
      </c>
      <c r="D140" s="72" t="s">
        <v>165</v>
      </c>
      <c r="E140" s="63" t="s">
        <v>204</v>
      </c>
      <c r="F140" s="63" t="s">
        <v>205</v>
      </c>
      <c r="G140" s="63" t="s">
        <v>42</v>
      </c>
      <c r="H140" s="63" t="s">
        <v>160</v>
      </c>
      <c r="I140" s="63" t="s">
        <v>159</v>
      </c>
      <c r="J140" s="63" t="s">
        <v>38</v>
      </c>
      <c r="K140" s="63" t="s">
        <v>161</v>
      </c>
      <c r="L140" s="63">
        <v>1</v>
      </c>
      <c r="N140" s="63">
        <v>1</v>
      </c>
      <c r="O140" s="63">
        <v>0.25</v>
      </c>
      <c r="P140" s="63">
        <v>0.25</v>
      </c>
      <c r="Q140" s="89">
        <f t="shared" si="6"/>
        <v>0.25</v>
      </c>
      <c r="R140" s="63">
        <v>12.1</v>
      </c>
      <c r="S140" s="63">
        <v>121</v>
      </c>
      <c r="T140" s="98">
        <f t="shared" si="8"/>
        <v>27</v>
      </c>
      <c r="U140" s="63">
        <v>138</v>
      </c>
      <c r="V140" s="73">
        <f t="shared" si="7"/>
        <v>3726</v>
      </c>
      <c r="W140" s="63">
        <v>2</v>
      </c>
      <c r="X140" s="63" t="s">
        <v>46</v>
      </c>
      <c r="Y140" s="63" t="s">
        <v>97</v>
      </c>
      <c r="Z140" s="63" t="s">
        <v>69</v>
      </c>
      <c r="AA140" s="63" t="s">
        <v>88</v>
      </c>
      <c r="AB140" s="63" t="s">
        <v>158</v>
      </c>
    </row>
    <row r="141" spans="1:34" x14ac:dyDescent="0.15">
      <c r="A141" s="63" t="s">
        <v>41</v>
      </c>
      <c r="B141" s="63" t="s">
        <v>157</v>
      </c>
      <c r="C141" s="71">
        <v>2019</v>
      </c>
      <c r="D141" s="72" t="s">
        <v>165</v>
      </c>
      <c r="E141" s="63" t="s">
        <v>204</v>
      </c>
      <c r="F141" s="63" t="s">
        <v>205</v>
      </c>
      <c r="G141" s="63" t="s">
        <v>42</v>
      </c>
      <c r="H141" s="63" t="s">
        <v>160</v>
      </c>
      <c r="I141" s="63" t="s">
        <v>159</v>
      </c>
      <c r="J141" s="63" t="s">
        <v>38</v>
      </c>
      <c r="K141" s="63" t="s">
        <v>161</v>
      </c>
      <c r="L141" s="63">
        <v>2</v>
      </c>
      <c r="N141" s="63">
        <v>1</v>
      </c>
      <c r="O141" s="63">
        <v>0.25</v>
      </c>
      <c r="P141" s="63">
        <v>0.25</v>
      </c>
      <c r="Q141" s="89">
        <f t="shared" si="6"/>
        <v>0.25</v>
      </c>
      <c r="R141" s="63">
        <v>11.1</v>
      </c>
      <c r="S141" s="63">
        <v>122</v>
      </c>
      <c r="T141" s="98">
        <f t="shared" si="8"/>
        <v>27</v>
      </c>
      <c r="U141" s="63">
        <v>138</v>
      </c>
      <c r="V141" s="73">
        <f t="shared" si="7"/>
        <v>3726</v>
      </c>
      <c r="W141" s="63">
        <v>2</v>
      </c>
      <c r="X141" s="63" t="s">
        <v>46</v>
      </c>
      <c r="Y141" s="63" t="s">
        <v>97</v>
      </c>
      <c r="Z141" s="63" t="s">
        <v>69</v>
      </c>
      <c r="AA141" s="63" t="s">
        <v>88</v>
      </c>
      <c r="AB141" s="63" t="s">
        <v>158</v>
      </c>
    </row>
    <row r="142" spans="1:34" x14ac:dyDescent="0.15">
      <c r="A142" s="63" t="s">
        <v>41</v>
      </c>
      <c r="B142" s="63" t="s">
        <v>157</v>
      </c>
      <c r="C142" s="71">
        <v>2019</v>
      </c>
      <c r="D142" s="72" t="s">
        <v>165</v>
      </c>
      <c r="E142" s="63" t="s">
        <v>204</v>
      </c>
      <c r="F142" s="63" t="s">
        <v>205</v>
      </c>
      <c r="G142" s="63" t="s">
        <v>42</v>
      </c>
      <c r="H142" s="63" t="s">
        <v>160</v>
      </c>
      <c r="I142" s="63" t="s">
        <v>159</v>
      </c>
      <c r="J142" s="63" t="s">
        <v>38</v>
      </c>
      <c r="K142" s="63" t="s">
        <v>161</v>
      </c>
      <c r="L142" s="63">
        <v>3</v>
      </c>
      <c r="N142" s="63">
        <v>1</v>
      </c>
      <c r="O142" s="63">
        <v>0.25</v>
      </c>
      <c r="P142" s="63">
        <v>0.25</v>
      </c>
      <c r="Q142" s="89">
        <f t="shared" si="6"/>
        <v>0.25</v>
      </c>
      <c r="R142" s="63">
        <v>14.1</v>
      </c>
      <c r="S142" s="63">
        <v>122</v>
      </c>
      <c r="T142" s="98">
        <f t="shared" si="8"/>
        <v>27</v>
      </c>
      <c r="U142" s="63">
        <v>138</v>
      </c>
      <c r="V142" s="98">
        <f t="shared" si="7"/>
        <v>3726</v>
      </c>
      <c r="W142" s="63">
        <v>2</v>
      </c>
      <c r="X142" s="63" t="s">
        <v>46</v>
      </c>
      <c r="Y142" s="63" t="s">
        <v>97</v>
      </c>
      <c r="Z142" s="63" t="s">
        <v>69</v>
      </c>
      <c r="AA142" s="63" t="s">
        <v>88</v>
      </c>
      <c r="AB142" s="63" t="s">
        <v>158</v>
      </c>
    </row>
    <row r="143" spans="1:34" x14ac:dyDescent="0.15">
      <c r="A143" s="63" t="s">
        <v>41</v>
      </c>
      <c r="B143" s="63" t="s">
        <v>157</v>
      </c>
      <c r="C143" s="71">
        <v>2019</v>
      </c>
      <c r="D143" s="72" t="s">
        <v>165</v>
      </c>
      <c r="E143" s="63" t="s">
        <v>210</v>
      </c>
      <c r="F143" s="63" t="s">
        <v>211</v>
      </c>
      <c r="G143" s="63" t="s">
        <v>42</v>
      </c>
      <c r="H143" s="63" t="s">
        <v>160</v>
      </c>
      <c r="I143" s="63" t="s">
        <v>159</v>
      </c>
      <c r="J143" s="63" t="s">
        <v>38</v>
      </c>
      <c r="K143" s="63" t="s">
        <v>161</v>
      </c>
      <c r="L143" s="63">
        <v>1</v>
      </c>
      <c r="N143" s="63">
        <v>1</v>
      </c>
      <c r="O143" s="63">
        <v>0.25</v>
      </c>
      <c r="P143" s="63">
        <v>0.25</v>
      </c>
      <c r="Q143" s="73">
        <f t="shared" si="6"/>
        <v>0.25</v>
      </c>
      <c r="R143" s="63">
        <v>15.1</v>
      </c>
      <c r="S143" s="63">
        <v>124</v>
      </c>
      <c r="T143" s="98">
        <f t="shared" si="8"/>
        <v>27</v>
      </c>
      <c r="U143" s="63">
        <v>96</v>
      </c>
      <c r="V143" s="98">
        <f t="shared" si="7"/>
        <v>2592</v>
      </c>
      <c r="W143" s="63">
        <v>4</v>
      </c>
      <c r="X143" s="63" t="s">
        <v>46</v>
      </c>
      <c r="Y143" s="63" t="s">
        <v>97</v>
      </c>
      <c r="Z143" s="63" t="s">
        <v>69</v>
      </c>
      <c r="AA143" s="63" t="s">
        <v>64</v>
      </c>
      <c r="AB143" s="63" t="s">
        <v>158</v>
      </c>
      <c r="AC143" s="97"/>
      <c r="AD143" s="97"/>
      <c r="AE143" s="97"/>
      <c r="AF143" s="97"/>
      <c r="AG143" s="97"/>
      <c r="AH143" s="97"/>
    </row>
    <row r="144" spans="1:34" x14ac:dyDescent="0.15">
      <c r="A144" s="63" t="s">
        <v>41</v>
      </c>
      <c r="B144" s="63" t="s">
        <v>157</v>
      </c>
      <c r="C144" s="71">
        <v>2019</v>
      </c>
      <c r="D144" s="72" t="s">
        <v>165</v>
      </c>
      <c r="E144" s="63" t="s">
        <v>210</v>
      </c>
      <c r="F144" s="63" t="s">
        <v>211</v>
      </c>
      <c r="G144" s="63" t="s">
        <v>42</v>
      </c>
      <c r="H144" s="63" t="s">
        <v>160</v>
      </c>
      <c r="I144" s="63" t="s">
        <v>159</v>
      </c>
      <c r="J144" s="63" t="s">
        <v>38</v>
      </c>
      <c r="K144" s="63" t="s">
        <v>161</v>
      </c>
      <c r="L144" s="63">
        <v>2</v>
      </c>
      <c r="N144" s="63">
        <v>1</v>
      </c>
      <c r="O144" s="63">
        <v>0.25</v>
      </c>
      <c r="P144" s="63">
        <v>0.25</v>
      </c>
      <c r="Q144" s="73">
        <f t="shared" si="6"/>
        <v>0.25</v>
      </c>
      <c r="R144" s="63">
        <v>14.8</v>
      </c>
      <c r="S144" s="63">
        <v>125</v>
      </c>
      <c r="T144" s="98">
        <f t="shared" si="8"/>
        <v>27</v>
      </c>
      <c r="U144" s="63">
        <v>96</v>
      </c>
      <c r="V144" s="98">
        <f t="shared" si="7"/>
        <v>2592</v>
      </c>
      <c r="W144" s="63">
        <v>4</v>
      </c>
      <c r="X144" s="63" t="s">
        <v>46</v>
      </c>
      <c r="Y144" s="63" t="s">
        <v>97</v>
      </c>
      <c r="Z144" s="63" t="s">
        <v>69</v>
      </c>
      <c r="AA144" s="63" t="s">
        <v>64</v>
      </c>
      <c r="AB144" s="63" t="s">
        <v>158</v>
      </c>
      <c r="AC144" s="97"/>
      <c r="AD144" s="97"/>
      <c r="AE144" s="97"/>
      <c r="AF144" s="97"/>
      <c r="AG144" s="97"/>
      <c r="AH144" s="97"/>
    </row>
    <row r="145" spans="1:34" x14ac:dyDescent="0.15">
      <c r="A145" s="63" t="s">
        <v>41</v>
      </c>
      <c r="B145" s="63" t="s">
        <v>157</v>
      </c>
      <c r="C145" s="71">
        <v>2019</v>
      </c>
      <c r="D145" s="72" t="s">
        <v>165</v>
      </c>
      <c r="E145" s="63" t="s">
        <v>210</v>
      </c>
      <c r="F145" s="63" t="s">
        <v>211</v>
      </c>
      <c r="G145" s="63" t="s">
        <v>42</v>
      </c>
      <c r="H145" s="63" t="s">
        <v>160</v>
      </c>
      <c r="I145" s="63" t="s">
        <v>159</v>
      </c>
      <c r="J145" s="63" t="s">
        <v>38</v>
      </c>
      <c r="K145" s="63" t="s">
        <v>161</v>
      </c>
      <c r="L145" s="63">
        <v>3</v>
      </c>
      <c r="N145" s="63">
        <v>1</v>
      </c>
      <c r="O145" s="63">
        <v>0.25</v>
      </c>
      <c r="P145" s="63">
        <v>0.25</v>
      </c>
      <c r="Q145" s="73">
        <f t="shared" si="6"/>
        <v>0.25</v>
      </c>
      <c r="R145" s="63">
        <v>15.2</v>
      </c>
      <c r="S145" s="63">
        <v>122</v>
      </c>
      <c r="T145" s="98">
        <f t="shared" si="8"/>
        <v>27</v>
      </c>
      <c r="U145" s="63">
        <v>96</v>
      </c>
      <c r="V145" s="98">
        <f t="shared" si="7"/>
        <v>2592</v>
      </c>
      <c r="W145" s="63">
        <v>4</v>
      </c>
      <c r="X145" s="63" t="s">
        <v>46</v>
      </c>
      <c r="Y145" s="63" t="s">
        <v>97</v>
      </c>
      <c r="Z145" s="63" t="s">
        <v>69</v>
      </c>
      <c r="AA145" s="63" t="s">
        <v>64</v>
      </c>
      <c r="AB145" s="63" t="s">
        <v>158</v>
      </c>
      <c r="AC145" s="97"/>
      <c r="AD145" s="97"/>
      <c r="AE145" s="97"/>
      <c r="AF145" s="97"/>
      <c r="AG145" s="97"/>
      <c r="AH145" s="97"/>
    </row>
    <row r="146" spans="1:34" x14ac:dyDescent="0.15">
      <c r="A146" s="63" t="s">
        <v>41</v>
      </c>
      <c r="B146" s="63" t="s">
        <v>157</v>
      </c>
      <c r="C146" s="71">
        <v>2019</v>
      </c>
      <c r="D146" s="72" t="s">
        <v>165</v>
      </c>
      <c r="E146" s="63" t="s">
        <v>210</v>
      </c>
      <c r="F146" s="63" t="s">
        <v>211</v>
      </c>
      <c r="G146" s="63" t="s">
        <v>42</v>
      </c>
      <c r="H146" s="63" t="s">
        <v>160</v>
      </c>
      <c r="I146" s="63" t="s">
        <v>159</v>
      </c>
      <c r="J146" s="63" t="s">
        <v>38</v>
      </c>
      <c r="K146" s="63" t="s">
        <v>161</v>
      </c>
      <c r="L146" s="63">
        <v>1</v>
      </c>
      <c r="N146" s="63">
        <v>4</v>
      </c>
      <c r="O146" s="63">
        <v>0.3</v>
      </c>
      <c r="P146" s="63">
        <v>0.3</v>
      </c>
      <c r="Q146" s="73">
        <f t="shared" si="6"/>
        <v>0.3</v>
      </c>
      <c r="R146" s="63">
        <v>16.8</v>
      </c>
      <c r="S146" s="63">
        <v>120</v>
      </c>
      <c r="T146" s="98">
        <f t="shared" si="8"/>
        <v>30</v>
      </c>
      <c r="U146" s="63">
        <v>320</v>
      </c>
      <c r="V146" s="98">
        <f t="shared" si="7"/>
        <v>2400</v>
      </c>
      <c r="W146" s="63">
        <v>3</v>
      </c>
      <c r="X146" s="63" t="s">
        <v>46</v>
      </c>
      <c r="Y146" s="63" t="s">
        <v>97</v>
      </c>
      <c r="Z146" s="63" t="s">
        <v>69</v>
      </c>
      <c r="AA146" s="63" t="s">
        <v>64</v>
      </c>
      <c r="AB146" s="63" t="s">
        <v>158</v>
      </c>
      <c r="AC146" s="97"/>
      <c r="AD146" s="97"/>
      <c r="AE146" s="97"/>
      <c r="AF146" s="97"/>
      <c r="AG146" s="97"/>
      <c r="AH146" s="97"/>
    </row>
    <row r="147" spans="1:34" x14ac:dyDescent="0.15">
      <c r="A147" s="63" t="s">
        <v>41</v>
      </c>
      <c r="B147" s="63" t="s">
        <v>157</v>
      </c>
      <c r="C147" s="71">
        <v>2019</v>
      </c>
      <c r="D147" s="72" t="s">
        <v>165</v>
      </c>
      <c r="E147" s="63" t="s">
        <v>210</v>
      </c>
      <c r="F147" s="63" t="s">
        <v>211</v>
      </c>
      <c r="G147" s="63" t="s">
        <v>42</v>
      </c>
      <c r="H147" s="63" t="s">
        <v>160</v>
      </c>
      <c r="I147" s="63" t="s">
        <v>159</v>
      </c>
      <c r="J147" s="63" t="s">
        <v>38</v>
      </c>
      <c r="K147" s="63" t="s">
        <v>161</v>
      </c>
      <c r="L147" s="63">
        <v>2</v>
      </c>
      <c r="N147" s="63">
        <v>4</v>
      </c>
      <c r="O147" s="63">
        <v>0.45</v>
      </c>
      <c r="P147" s="63">
        <v>0.3</v>
      </c>
      <c r="Q147" s="73">
        <f t="shared" si="6"/>
        <v>0.375</v>
      </c>
      <c r="R147" s="63">
        <v>15.2</v>
      </c>
      <c r="S147" s="63">
        <v>118</v>
      </c>
      <c r="T147" s="98">
        <f t="shared" si="8"/>
        <v>30</v>
      </c>
      <c r="U147" s="63">
        <v>320</v>
      </c>
      <c r="V147" s="98">
        <f t="shared" si="7"/>
        <v>2400</v>
      </c>
      <c r="W147" s="63">
        <v>3</v>
      </c>
      <c r="X147" s="63" t="s">
        <v>46</v>
      </c>
      <c r="Y147" s="63" t="s">
        <v>97</v>
      </c>
      <c r="Z147" s="63" t="s">
        <v>69</v>
      </c>
      <c r="AA147" s="63" t="s">
        <v>64</v>
      </c>
      <c r="AB147" s="63" t="s">
        <v>158</v>
      </c>
      <c r="AC147" s="97"/>
      <c r="AD147" s="97"/>
      <c r="AE147" s="97"/>
      <c r="AF147" s="97"/>
      <c r="AG147" s="97"/>
      <c r="AH147" s="97"/>
    </row>
    <row r="148" spans="1:34" x14ac:dyDescent="0.15">
      <c r="A148" s="63" t="s">
        <v>41</v>
      </c>
      <c r="B148" s="63" t="s">
        <v>157</v>
      </c>
      <c r="C148" s="71">
        <v>2019</v>
      </c>
      <c r="D148" s="72" t="s">
        <v>165</v>
      </c>
      <c r="E148" s="63" t="s">
        <v>210</v>
      </c>
      <c r="F148" s="63" t="s">
        <v>211</v>
      </c>
      <c r="G148" s="63" t="s">
        <v>42</v>
      </c>
      <c r="H148" s="63" t="s">
        <v>160</v>
      </c>
      <c r="I148" s="63" t="s">
        <v>159</v>
      </c>
      <c r="J148" s="63" t="s">
        <v>38</v>
      </c>
      <c r="K148" s="63" t="s">
        <v>161</v>
      </c>
      <c r="L148" s="63">
        <v>3</v>
      </c>
      <c r="N148" s="63">
        <v>4</v>
      </c>
      <c r="O148" s="63">
        <v>0.3</v>
      </c>
      <c r="P148" s="63">
        <v>0.3</v>
      </c>
      <c r="Q148" s="73">
        <f t="shared" si="6"/>
        <v>0.3</v>
      </c>
      <c r="R148" s="63">
        <v>17.399999999999999</v>
      </c>
      <c r="S148" s="63">
        <v>115</v>
      </c>
      <c r="T148" s="98">
        <f t="shared" si="8"/>
        <v>30</v>
      </c>
      <c r="U148" s="63">
        <v>320</v>
      </c>
      <c r="V148" s="98">
        <f t="shared" si="7"/>
        <v>2400</v>
      </c>
      <c r="W148" s="63">
        <v>3</v>
      </c>
      <c r="X148" s="63" t="s">
        <v>46</v>
      </c>
      <c r="Y148" s="63" t="s">
        <v>97</v>
      </c>
      <c r="Z148" s="63" t="s">
        <v>69</v>
      </c>
      <c r="AA148" s="63" t="s">
        <v>64</v>
      </c>
      <c r="AB148" s="63" t="s">
        <v>158</v>
      </c>
      <c r="AC148" s="97"/>
      <c r="AD148" s="97"/>
      <c r="AE148" s="97"/>
      <c r="AF148" s="97"/>
      <c r="AG148" s="97"/>
      <c r="AH148" s="97"/>
    </row>
    <row r="149" spans="1:34" x14ac:dyDescent="0.15">
      <c r="A149" s="63" t="s">
        <v>41</v>
      </c>
      <c r="B149" s="63" t="s">
        <v>157</v>
      </c>
      <c r="C149" s="71">
        <v>2019</v>
      </c>
      <c r="D149" s="72" t="s">
        <v>165</v>
      </c>
      <c r="E149" s="63" t="s">
        <v>210</v>
      </c>
      <c r="F149" s="63" t="s">
        <v>211</v>
      </c>
      <c r="G149" s="63" t="s">
        <v>42</v>
      </c>
      <c r="H149" s="63" t="s">
        <v>164</v>
      </c>
      <c r="I149" s="63" t="s">
        <v>159</v>
      </c>
      <c r="J149" s="63" t="s">
        <v>38</v>
      </c>
      <c r="K149" s="63" t="s">
        <v>161</v>
      </c>
      <c r="L149" s="63">
        <v>1</v>
      </c>
      <c r="N149" s="63">
        <v>1</v>
      </c>
      <c r="O149" s="63">
        <v>0.65</v>
      </c>
      <c r="P149" s="63">
        <v>0.7</v>
      </c>
      <c r="Q149" s="73">
        <f t="shared" si="6"/>
        <v>0.67500000000000004</v>
      </c>
      <c r="R149" s="63">
        <v>14.8</v>
      </c>
      <c r="S149" s="63">
        <v>125</v>
      </c>
      <c r="T149" s="98">
        <f t="shared" si="8"/>
        <v>27</v>
      </c>
      <c r="U149" s="63">
        <v>96</v>
      </c>
      <c r="V149" s="98">
        <f t="shared" si="7"/>
        <v>2592</v>
      </c>
      <c r="W149" s="63">
        <v>2</v>
      </c>
      <c r="X149" s="63" t="s">
        <v>46</v>
      </c>
      <c r="Y149" s="63" t="s">
        <v>97</v>
      </c>
      <c r="Z149" s="63" t="s">
        <v>69</v>
      </c>
      <c r="AA149" s="63" t="s">
        <v>64</v>
      </c>
      <c r="AB149" s="63" t="s">
        <v>158</v>
      </c>
      <c r="AC149" s="97"/>
      <c r="AD149" s="97"/>
      <c r="AE149" s="97"/>
      <c r="AF149" s="97"/>
      <c r="AG149" s="97"/>
      <c r="AH149" s="97"/>
    </row>
    <row r="150" spans="1:34" x14ac:dyDescent="0.15">
      <c r="A150" s="63" t="s">
        <v>41</v>
      </c>
      <c r="B150" s="63" t="s">
        <v>157</v>
      </c>
      <c r="C150" s="71">
        <v>2019</v>
      </c>
      <c r="D150" s="72" t="s">
        <v>165</v>
      </c>
      <c r="E150" s="63" t="s">
        <v>210</v>
      </c>
      <c r="F150" s="63" t="s">
        <v>211</v>
      </c>
      <c r="G150" s="63" t="s">
        <v>42</v>
      </c>
      <c r="H150" s="63" t="s">
        <v>164</v>
      </c>
      <c r="I150" s="63" t="s">
        <v>159</v>
      </c>
      <c r="J150" s="63" t="s">
        <v>38</v>
      </c>
      <c r="K150" s="63" t="s">
        <v>161</v>
      </c>
      <c r="L150" s="63">
        <v>2</v>
      </c>
      <c r="N150" s="63">
        <v>1</v>
      </c>
      <c r="O150" s="63">
        <v>0.8</v>
      </c>
      <c r="P150" s="63">
        <v>0.65</v>
      </c>
      <c r="Q150" s="73">
        <f t="shared" si="6"/>
        <v>0.72500000000000009</v>
      </c>
      <c r="R150" s="63">
        <v>15.2</v>
      </c>
      <c r="S150" s="63">
        <v>123</v>
      </c>
      <c r="T150" s="98">
        <f t="shared" si="8"/>
        <v>27</v>
      </c>
      <c r="U150" s="63">
        <v>96</v>
      </c>
      <c r="V150" s="98">
        <f t="shared" si="7"/>
        <v>2592</v>
      </c>
      <c r="W150" s="63">
        <v>2</v>
      </c>
      <c r="X150" s="63" t="s">
        <v>46</v>
      </c>
      <c r="Y150" s="63" t="s">
        <v>97</v>
      </c>
      <c r="Z150" s="63" t="s">
        <v>69</v>
      </c>
      <c r="AA150" s="63" t="s">
        <v>64</v>
      </c>
      <c r="AB150" s="63" t="s">
        <v>158</v>
      </c>
      <c r="AC150" s="97"/>
      <c r="AD150" s="97"/>
      <c r="AE150" s="97"/>
      <c r="AF150" s="97"/>
      <c r="AG150" s="97"/>
      <c r="AH150" s="97"/>
    </row>
    <row r="151" spans="1:34" x14ac:dyDescent="0.15">
      <c r="A151" s="63" t="s">
        <v>41</v>
      </c>
      <c r="B151" s="63" t="s">
        <v>157</v>
      </c>
      <c r="C151" s="71">
        <v>2019</v>
      </c>
      <c r="D151" s="72" t="s">
        <v>165</v>
      </c>
      <c r="E151" s="63" t="s">
        <v>210</v>
      </c>
      <c r="F151" s="63" t="s">
        <v>211</v>
      </c>
      <c r="G151" s="63" t="s">
        <v>42</v>
      </c>
      <c r="H151" s="63" t="s">
        <v>164</v>
      </c>
      <c r="I151" s="63" t="s">
        <v>159</v>
      </c>
      <c r="J151" s="63" t="s">
        <v>38</v>
      </c>
      <c r="K151" s="63" t="s">
        <v>161</v>
      </c>
      <c r="L151" s="63">
        <v>3</v>
      </c>
      <c r="N151" s="63">
        <v>1</v>
      </c>
      <c r="O151" s="63">
        <v>0.7</v>
      </c>
      <c r="P151" s="63">
        <v>0.7</v>
      </c>
      <c r="Q151" s="73">
        <f t="shared" si="6"/>
        <v>0.7</v>
      </c>
      <c r="R151" s="63">
        <v>14</v>
      </c>
      <c r="S151" s="63">
        <v>123</v>
      </c>
      <c r="T151" s="98">
        <f t="shared" si="8"/>
        <v>27</v>
      </c>
      <c r="U151" s="63">
        <v>96</v>
      </c>
      <c r="V151" s="98">
        <f t="shared" si="7"/>
        <v>2592</v>
      </c>
      <c r="W151" s="63">
        <v>2</v>
      </c>
      <c r="X151" s="63" t="s">
        <v>46</v>
      </c>
      <c r="Y151" s="63" t="s">
        <v>97</v>
      </c>
      <c r="Z151" s="63" t="s">
        <v>69</v>
      </c>
      <c r="AA151" s="63" t="s">
        <v>64</v>
      </c>
      <c r="AB151" s="63" t="s">
        <v>158</v>
      </c>
      <c r="AC151" s="97"/>
      <c r="AD151" s="97"/>
      <c r="AE151" s="97"/>
      <c r="AF151" s="97"/>
      <c r="AG151" s="97"/>
      <c r="AH151" s="97"/>
    </row>
    <row r="152" spans="1:34" x14ac:dyDescent="0.15">
      <c r="Q152" s="92" t="str">
        <f t="shared" si="6"/>
        <v/>
      </c>
      <c r="T152" s="73" t="str">
        <f t="shared" si="8"/>
        <v/>
      </c>
      <c r="V152" s="73" t="str">
        <f t="shared" si="7"/>
        <v/>
      </c>
    </row>
    <row r="153" spans="1:34" x14ac:dyDescent="0.15">
      <c r="Q153" s="92" t="str">
        <f t="shared" si="6"/>
        <v/>
      </c>
      <c r="T153" s="73" t="str">
        <f t="shared" si="8"/>
        <v/>
      </c>
      <c r="V153" s="73" t="str">
        <f t="shared" si="7"/>
        <v/>
      </c>
    </row>
    <row r="154" spans="1:34" x14ac:dyDescent="0.15">
      <c r="Q154" s="92" t="str">
        <f t="shared" si="6"/>
        <v/>
      </c>
      <c r="T154" s="73" t="str">
        <f t="shared" si="8"/>
        <v/>
      </c>
      <c r="V154" s="73" t="str">
        <f t="shared" si="7"/>
        <v/>
      </c>
    </row>
    <row r="155" spans="1:34" x14ac:dyDescent="0.15">
      <c r="Q155" s="92" t="str">
        <f t="shared" si="6"/>
        <v/>
      </c>
      <c r="T155" s="73" t="str">
        <f t="shared" si="8"/>
        <v/>
      </c>
      <c r="V155" s="73" t="str">
        <f t="shared" si="7"/>
        <v/>
      </c>
    </row>
    <row r="156" spans="1:34" x14ac:dyDescent="0.15">
      <c r="Q156" s="92" t="str">
        <f t="shared" si="6"/>
        <v/>
      </c>
      <c r="T156" s="73" t="str">
        <f t="shared" si="8"/>
        <v/>
      </c>
      <c r="V156" s="73" t="str">
        <f t="shared" si="7"/>
        <v/>
      </c>
    </row>
    <row r="157" spans="1:34" x14ac:dyDescent="0.15">
      <c r="Q157" s="92" t="str">
        <f t="shared" si="6"/>
        <v/>
      </c>
      <c r="T157" s="73" t="str">
        <f t="shared" si="8"/>
        <v/>
      </c>
      <c r="V157" s="73" t="str">
        <f t="shared" si="7"/>
        <v/>
      </c>
    </row>
    <row r="158" spans="1:34" x14ac:dyDescent="0.15">
      <c r="Q158" s="92" t="str">
        <f t="shared" si="6"/>
        <v/>
      </c>
      <c r="T158" s="73" t="str">
        <f t="shared" si="8"/>
        <v/>
      </c>
      <c r="V158" s="73" t="str">
        <f t="shared" si="7"/>
        <v/>
      </c>
    </row>
    <row r="159" spans="1:34" x14ac:dyDescent="0.15">
      <c r="Q159" s="92" t="str">
        <f t="shared" si="6"/>
        <v/>
      </c>
      <c r="T159" s="73" t="str">
        <f t="shared" si="8"/>
        <v/>
      </c>
      <c r="V159" s="73" t="str">
        <f t="shared" si="7"/>
        <v/>
      </c>
    </row>
    <row r="160" spans="1:34" x14ac:dyDescent="0.15">
      <c r="Q160" s="92" t="str">
        <f t="shared" si="6"/>
        <v/>
      </c>
      <c r="T160" s="73" t="str">
        <f t="shared" si="8"/>
        <v/>
      </c>
      <c r="V160" s="73" t="str">
        <f t="shared" si="7"/>
        <v/>
      </c>
    </row>
    <row r="161" spans="17:22" x14ac:dyDescent="0.15">
      <c r="Q161" s="92" t="str">
        <f t="shared" si="6"/>
        <v/>
      </c>
      <c r="T161" s="73" t="str">
        <f t="shared" si="8"/>
        <v/>
      </c>
      <c r="V161" s="73" t="str">
        <f t="shared" si="7"/>
        <v/>
      </c>
    </row>
    <row r="162" spans="17:22" x14ac:dyDescent="0.15">
      <c r="Q162" s="92" t="str">
        <f t="shared" si="6"/>
        <v/>
      </c>
      <c r="T162" s="73" t="str">
        <f t="shared" si="8"/>
        <v/>
      </c>
      <c r="V162" s="73" t="str">
        <f t="shared" si="7"/>
        <v/>
      </c>
    </row>
    <row r="163" spans="17:22" x14ac:dyDescent="0.15">
      <c r="Q163" s="92" t="str">
        <f t="shared" si="6"/>
        <v/>
      </c>
      <c r="T163" s="73" t="str">
        <f t="shared" si="8"/>
        <v/>
      </c>
      <c r="V163" s="73" t="str">
        <f t="shared" si="7"/>
        <v/>
      </c>
    </row>
    <row r="164" spans="17:22" x14ac:dyDescent="0.15">
      <c r="Q164" s="92" t="str">
        <f t="shared" si="6"/>
        <v/>
      </c>
      <c r="T164" s="73" t="str">
        <f t="shared" si="8"/>
        <v/>
      </c>
      <c r="V164" s="73" t="str">
        <f t="shared" si="7"/>
        <v/>
      </c>
    </row>
    <row r="165" spans="17:22" x14ac:dyDescent="0.15">
      <c r="Q165" s="92" t="str">
        <f t="shared" si="6"/>
        <v/>
      </c>
      <c r="T165" s="73" t="str">
        <f t="shared" si="8"/>
        <v/>
      </c>
      <c r="V165" s="73" t="str">
        <f t="shared" si="7"/>
        <v/>
      </c>
    </row>
    <row r="166" spans="17:22" x14ac:dyDescent="0.15">
      <c r="Q166" s="92" t="str">
        <f t="shared" si="6"/>
        <v/>
      </c>
      <c r="T166" s="73" t="str">
        <f t="shared" si="8"/>
        <v/>
      </c>
      <c r="V166" s="73" t="str">
        <f t="shared" si="7"/>
        <v/>
      </c>
    </row>
    <row r="167" spans="17:22" x14ac:dyDescent="0.15">
      <c r="Q167" s="92" t="str">
        <f t="shared" si="6"/>
        <v/>
      </c>
      <c r="T167" s="73" t="str">
        <f t="shared" si="8"/>
        <v/>
      </c>
      <c r="V167" s="73" t="str">
        <f t="shared" si="7"/>
        <v/>
      </c>
    </row>
    <row r="168" spans="17:22" x14ac:dyDescent="0.15">
      <c r="Q168" s="92" t="str">
        <f t="shared" si="6"/>
        <v/>
      </c>
      <c r="T168" s="73" t="str">
        <f t="shared" si="8"/>
        <v/>
      </c>
      <c r="V168" s="73" t="str">
        <f t="shared" si="7"/>
        <v/>
      </c>
    </row>
    <row r="169" spans="17:22" x14ac:dyDescent="0.15">
      <c r="Q169" s="92" t="str">
        <f t="shared" si="6"/>
        <v/>
      </c>
      <c r="T169" s="73" t="str">
        <f t="shared" si="8"/>
        <v/>
      </c>
      <c r="V169" s="73" t="str">
        <f t="shared" si="7"/>
        <v/>
      </c>
    </row>
    <row r="170" spans="17:22" x14ac:dyDescent="0.15">
      <c r="Q170" s="92" t="str">
        <f t="shared" si="6"/>
        <v/>
      </c>
      <c r="T170" s="73" t="str">
        <f t="shared" si="8"/>
        <v/>
      </c>
      <c r="V170" s="73" t="str">
        <f t="shared" si="7"/>
        <v/>
      </c>
    </row>
    <row r="171" spans="17:22" x14ac:dyDescent="0.15">
      <c r="Q171" s="92" t="str">
        <f t="shared" si="6"/>
        <v/>
      </c>
      <c r="T171" s="73" t="str">
        <f t="shared" si="8"/>
        <v/>
      </c>
      <c r="V171" s="73" t="str">
        <f t="shared" si="7"/>
        <v/>
      </c>
    </row>
    <row r="172" spans="17:22" x14ac:dyDescent="0.15">
      <c r="Q172" s="92" t="str">
        <f t="shared" si="6"/>
        <v/>
      </c>
      <c r="T172" s="73" t="str">
        <f t="shared" si="8"/>
        <v/>
      </c>
      <c r="V172" s="73" t="str">
        <f t="shared" si="7"/>
        <v/>
      </c>
    </row>
    <row r="173" spans="17:22" x14ac:dyDescent="0.15">
      <c r="Q173" s="92" t="str">
        <f t="shared" si="6"/>
        <v/>
      </c>
      <c r="T173" s="73" t="str">
        <f t="shared" si="8"/>
        <v/>
      </c>
      <c r="V173" s="73" t="str">
        <f t="shared" si="7"/>
        <v/>
      </c>
    </row>
    <row r="174" spans="17:22" x14ac:dyDescent="0.15">
      <c r="Q174" s="92" t="str">
        <f t="shared" si="6"/>
        <v/>
      </c>
      <c r="T174" s="73" t="str">
        <f t="shared" si="8"/>
        <v/>
      </c>
      <c r="V174" s="73" t="str">
        <f t="shared" si="7"/>
        <v/>
      </c>
    </row>
    <row r="175" spans="17:22" x14ac:dyDescent="0.15">
      <c r="Q175" s="92" t="str">
        <f t="shared" si="6"/>
        <v/>
      </c>
      <c r="T175" s="73" t="str">
        <f t="shared" si="8"/>
        <v/>
      </c>
      <c r="V175" s="73" t="str">
        <f t="shared" si="7"/>
        <v/>
      </c>
    </row>
    <row r="176" spans="17:22" x14ac:dyDescent="0.15">
      <c r="Q176" s="92" t="str">
        <f t="shared" si="6"/>
        <v/>
      </c>
      <c r="T176" s="73" t="str">
        <f t="shared" si="8"/>
        <v/>
      </c>
      <c r="V176" s="73" t="str">
        <f t="shared" si="7"/>
        <v/>
      </c>
    </row>
    <row r="177" spans="17:22" x14ac:dyDescent="0.15">
      <c r="Q177" s="92" t="str">
        <f t="shared" si="6"/>
        <v/>
      </c>
      <c r="T177" s="73" t="str">
        <f t="shared" si="8"/>
        <v/>
      </c>
      <c r="V177" s="73" t="str">
        <f t="shared" si="7"/>
        <v/>
      </c>
    </row>
    <row r="178" spans="17:22" x14ac:dyDescent="0.15">
      <c r="Q178" s="92" t="str">
        <f t="shared" si="6"/>
        <v/>
      </c>
      <c r="T178" s="73" t="str">
        <f t="shared" si="8"/>
        <v/>
      </c>
      <c r="V178" s="73" t="str">
        <f t="shared" si="7"/>
        <v/>
      </c>
    </row>
    <row r="179" spans="17:22" x14ac:dyDescent="0.15">
      <c r="Q179" s="92" t="str">
        <f t="shared" si="6"/>
        <v/>
      </c>
      <c r="T179" s="73" t="str">
        <f t="shared" si="8"/>
        <v/>
      </c>
      <c r="V179" s="73" t="str">
        <f t="shared" si="7"/>
        <v/>
      </c>
    </row>
    <row r="180" spans="17:22" x14ac:dyDescent="0.15">
      <c r="Q180" s="92" t="str">
        <f t="shared" si="6"/>
        <v/>
      </c>
      <c r="T180" s="73" t="str">
        <f t="shared" si="8"/>
        <v/>
      </c>
      <c r="V180" s="73" t="str">
        <f t="shared" si="7"/>
        <v/>
      </c>
    </row>
    <row r="181" spans="17:22" x14ac:dyDescent="0.15">
      <c r="Q181" s="92" t="str">
        <f t="shared" si="6"/>
        <v/>
      </c>
      <c r="T181" s="73" t="str">
        <f t="shared" si="8"/>
        <v/>
      </c>
      <c r="V181" s="73" t="str">
        <f t="shared" si="7"/>
        <v/>
      </c>
    </row>
    <row r="182" spans="17:22" x14ac:dyDescent="0.15">
      <c r="Q182" s="92" t="str">
        <f t="shared" si="6"/>
        <v/>
      </c>
      <c r="T182" s="73" t="str">
        <f t="shared" si="8"/>
        <v/>
      </c>
      <c r="V182" s="73" t="str">
        <f t="shared" si="7"/>
        <v/>
      </c>
    </row>
    <row r="183" spans="17:22" x14ac:dyDescent="0.15">
      <c r="Q183" s="92" t="str">
        <f t="shared" si="6"/>
        <v/>
      </c>
      <c r="T183" s="73" t="str">
        <f t="shared" si="8"/>
        <v/>
      </c>
      <c r="V183" s="73" t="str">
        <f t="shared" si="7"/>
        <v/>
      </c>
    </row>
    <row r="184" spans="17:22" x14ac:dyDescent="0.15">
      <c r="Q184" s="92" t="str">
        <f t="shared" si="6"/>
        <v/>
      </c>
      <c r="T184" s="73" t="str">
        <f t="shared" si="8"/>
        <v/>
      </c>
      <c r="V184" s="73" t="str">
        <f t="shared" si="7"/>
        <v/>
      </c>
    </row>
    <row r="185" spans="17:22" x14ac:dyDescent="0.15">
      <c r="Q185" s="92" t="str">
        <f t="shared" si="6"/>
        <v/>
      </c>
      <c r="T185" s="73" t="str">
        <f t="shared" si="8"/>
        <v/>
      </c>
      <c r="V185" s="73" t="str">
        <f t="shared" si="7"/>
        <v/>
      </c>
    </row>
    <row r="186" spans="17:22" x14ac:dyDescent="0.15">
      <c r="Q186" s="92" t="str">
        <f t="shared" si="6"/>
        <v/>
      </c>
      <c r="T186" s="73" t="str">
        <f t="shared" si="8"/>
        <v/>
      </c>
      <c r="V186" s="73" t="str">
        <f t="shared" si="7"/>
        <v/>
      </c>
    </row>
    <row r="187" spans="17:22" x14ac:dyDescent="0.15">
      <c r="Q187" s="92" t="str">
        <f t="shared" si="6"/>
        <v/>
      </c>
      <c r="T187" s="73" t="str">
        <f t="shared" si="8"/>
        <v/>
      </c>
      <c r="V187" s="73" t="str">
        <f t="shared" si="7"/>
        <v/>
      </c>
    </row>
    <row r="188" spans="17:22" x14ac:dyDescent="0.15">
      <c r="Q188" s="92" t="str">
        <f t="shared" si="6"/>
        <v/>
      </c>
      <c r="T188" s="73" t="str">
        <f t="shared" si="8"/>
        <v/>
      </c>
      <c r="V188" s="73" t="str">
        <f t="shared" si="7"/>
        <v/>
      </c>
    </row>
    <row r="189" spans="17:22" x14ac:dyDescent="0.15">
      <c r="Q189" s="92" t="str">
        <f t="shared" si="6"/>
        <v/>
      </c>
      <c r="T189" s="73" t="str">
        <f t="shared" si="8"/>
        <v/>
      </c>
      <c r="V189" s="73" t="str">
        <f t="shared" si="7"/>
        <v/>
      </c>
    </row>
    <row r="190" spans="17:22" x14ac:dyDescent="0.15">
      <c r="Q190" s="92" t="str">
        <f t="shared" si="6"/>
        <v/>
      </c>
      <c r="T190" s="73" t="str">
        <f t="shared" si="8"/>
        <v/>
      </c>
      <c r="V190" s="73" t="str">
        <f t="shared" si="7"/>
        <v/>
      </c>
    </row>
    <row r="191" spans="17:22" x14ac:dyDescent="0.15">
      <c r="Q191" s="92" t="str">
        <f t="shared" si="6"/>
        <v/>
      </c>
      <c r="T191" s="73" t="str">
        <f t="shared" si="8"/>
        <v/>
      </c>
      <c r="V191" s="73" t="str">
        <f t="shared" si="7"/>
        <v/>
      </c>
    </row>
    <row r="192" spans="17:22" x14ac:dyDescent="0.15">
      <c r="Q192" s="92" t="str">
        <f t="shared" si="6"/>
        <v/>
      </c>
      <c r="T192" s="73" t="str">
        <f t="shared" si="8"/>
        <v/>
      </c>
      <c r="V192" s="73" t="str">
        <f t="shared" si="7"/>
        <v/>
      </c>
    </row>
    <row r="193" spans="17:22" x14ac:dyDescent="0.15">
      <c r="Q193" s="92" t="str">
        <f t="shared" si="6"/>
        <v/>
      </c>
      <c r="T193" s="73" t="str">
        <f t="shared" si="8"/>
        <v/>
      </c>
      <c r="V193" s="73" t="str">
        <f t="shared" si="7"/>
        <v/>
      </c>
    </row>
    <row r="194" spans="17:22" x14ac:dyDescent="0.15">
      <c r="Q194" s="92" t="str">
        <f t="shared" si="6"/>
        <v/>
      </c>
      <c r="T194" s="73" t="str">
        <f t="shared" si="8"/>
        <v/>
      </c>
      <c r="V194" s="73" t="str">
        <f t="shared" si="7"/>
        <v/>
      </c>
    </row>
    <row r="195" spans="17:22" x14ac:dyDescent="0.15">
      <c r="Q195" s="92" t="str">
        <f t="shared" ref="Q195:Q258" si="9">IF(OR(O195="",P195=""),"",AVERAGE(O195,P195))</f>
        <v/>
      </c>
      <c r="T195" s="73" t="str">
        <f t="shared" si="8"/>
        <v/>
      </c>
      <c r="V195" s="73" t="str">
        <f t="shared" ref="V195:V258" si="10">IF(OR(N195="",U195="",T195=""),"",U195/N195*T195)</f>
        <v/>
      </c>
    </row>
    <row r="196" spans="17:22" x14ac:dyDescent="0.15">
      <c r="Q196" s="92" t="str">
        <f t="shared" si="9"/>
        <v/>
      </c>
      <c r="T196" s="73" t="str">
        <f t="shared" si="8"/>
        <v/>
      </c>
      <c r="V196" s="73" t="str">
        <f t="shared" si="10"/>
        <v/>
      </c>
    </row>
    <row r="197" spans="17:22" x14ac:dyDescent="0.15">
      <c r="Q197" s="92" t="str">
        <f t="shared" si="9"/>
        <v/>
      </c>
      <c r="T197" s="73" t="str">
        <f t="shared" ref="T197:T260" si="11">IF(H197="","",IF(OR(H197="GREEN",H197="GK"),IF(S197&gt;=$AX$2,VLOOKUP(S197,$AX$2:$AY$10,2,1),""),IF(S197&gt;=$AZ$2,VLOOKUP(S197,$AZ$2:$BA$10,2,1),"")))</f>
        <v/>
      </c>
      <c r="V197" s="73" t="str">
        <f t="shared" si="10"/>
        <v/>
      </c>
    </row>
    <row r="198" spans="17:22" x14ac:dyDescent="0.15">
      <c r="Q198" s="92" t="str">
        <f t="shared" si="9"/>
        <v/>
      </c>
      <c r="T198" s="73" t="str">
        <f t="shared" si="11"/>
        <v/>
      </c>
      <c r="V198" s="73" t="str">
        <f t="shared" si="10"/>
        <v/>
      </c>
    </row>
    <row r="199" spans="17:22" x14ac:dyDescent="0.15">
      <c r="Q199" s="92" t="str">
        <f t="shared" si="9"/>
        <v/>
      </c>
      <c r="T199" s="73" t="str">
        <f t="shared" si="11"/>
        <v/>
      </c>
      <c r="V199" s="73" t="str">
        <f t="shared" si="10"/>
        <v/>
      </c>
    </row>
    <row r="200" spans="17:22" x14ac:dyDescent="0.15">
      <c r="Q200" s="92" t="str">
        <f t="shared" si="9"/>
        <v/>
      </c>
      <c r="T200" s="73" t="str">
        <f t="shared" si="11"/>
        <v/>
      </c>
      <c r="V200" s="73" t="str">
        <f t="shared" si="10"/>
        <v/>
      </c>
    </row>
    <row r="201" spans="17:22" x14ac:dyDescent="0.15">
      <c r="Q201" s="92" t="str">
        <f t="shared" si="9"/>
        <v/>
      </c>
      <c r="T201" s="73" t="str">
        <f t="shared" si="11"/>
        <v/>
      </c>
      <c r="V201" s="73" t="str">
        <f t="shared" si="10"/>
        <v/>
      </c>
    </row>
    <row r="202" spans="17:22" x14ac:dyDescent="0.15">
      <c r="Q202" s="92" t="str">
        <f t="shared" si="9"/>
        <v/>
      </c>
      <c r="T202" s="73" t="str">
        <f t="shared" si="11"/>
        <v/>
      </c>
      <c r="V202" s="73" t="str">
        <f t="shared" si="10"/>
        <v/>
      </c>
    </row>
    <row r="203" spans="17:22" x14ac:dyDescent="0.15">
      <c r="Q203" s="92" t="str">
        <f t="shared" si="9"/>
        <v/>
      </c>
      <c r="T203" s="73" t="str">
        <f t="shared" si="11"/>
        <v/>
      </c>
      <c r="V203" s="73" t="str">
        <f t="shared" si="10"/>
        <v/>
      </c>
    </row>
    <row r="204" spans="17:22" x14ac:dyDescent="0.15">
      <c r="Q204" s="92" t="str">
        <f t="shared" si="9"/>
        <v/>
      </c>
      <c r="T204" s="73" t="str">
        <f t="shared" si="11"/>
        <v/>
      </c>
      <c r="V204" s="73" t="str">
        <f t="shared" si="10"/>
        <v/>
      </c>
    </row>
    <row r="205" spans="17:22" x14ac:dyDescent="0.15">
      <c r="Q205" s="92" t="str">
        <f t="shared" si="9"/>
        <v/>
      </c>
      <c r="T205" s="73" t="str">
        <f t="shared" si="11"/>
        <v/>
      </c>
      <c r="V205" s="73" t="str">
        <f t="shared" si="10"/>
        <v/>
      </c>
    </row>
    <row r="206" spans="17:22" x14ac:dyDescent="0.15">
      <c r="Q206" s="92" t="str">
        <f t="shared" si="9"/>
        <v/>
      </c>
      <c r="T206" s="73" t="str">
        <f t="shared" si="11"/>
        <v/>
      </c>
      <c r="V206" s="73" t="str">
        <f t="shared" si="10"/>
        <v/>
      </c>
    </row>
    <row r="207" spans="17:22" x14ac:dyDescent="0.15">
      <c r="Q207" s="92" t="str">
        <f t="shared" si="9"/>
        <v/>
      </c>
      <c r="T207" s="73" t="str">
        <f t="shared" si="11"/>
        <v/>
      </c>
      <c r="V207" s="73" t="str">
        <f t="shared" si="10"/>
        <v/>
      </c>
    </row>
    <row r="208" spans="17:22" x14ac:dyDescent="0.15">
      <c r="Q208" s="92" t="str">
        <f t="shared" si="9"/>
        <v/>
      </c>
      <c r="T208" s="73" t="str">
        <f t="shared" si="11"/>
        <v/>
      </c>
      <c r="V208" s="73" t="str">
        <f t="shared" si="10"/>
        <v/>
      </c>
    </row>
    <row r="209" spans="17:22" x14ac:dyDescent="0.15">
      <c r="Q209" s="92" t="str">
        <f t="shared" si="9"/>
        <v/>
      </c>
      <c r="T209" s="73" t="str">
        <f t="shared" si="11"/>
        <v/>
      </c>
      <c r="V209" s="73" t="str">
        <f t="shared" si="10"/>
        <v/>
      </c>
    </row>
    <row r="210" spans="17:22" x14ac:dyDescent="0.15">
      <c r="Q210" s="92" t="str">
        <f t="shared" si="9"/>
        <v/>
      </c>
      <c r="T210" s="73" t="str">
        <f t="shared" si="11"/>
        <v/>
      </c>
      <c r="V210" s="73" t="str">
        <f t="shared" si="10"/>
        <v/>
      </c>
    </row>
    <row r="211" spans="17:22" x14ac:dyDescent="0.15">
      <c r="Q211" s="92" t="str">
        <f t="shared" si="9"/>
        <v/>
      </c>
      <c r="T211" s="73" t="str">
        <f t="shared" si="11"/>
        <v/>
      </c>
      <c r="V211" s="73" t="str">
        <f t="shared" si="10"/>
        <v/>
      </c>
    </row>
    <row r="212" spans="17:22" x14ac:dyDescent="0.15">
      <c r="Q212" s="92" t="str">
        <f t="shared" si="9"/>
        <v/>
      </c>
      <c r="T212" s="73" t="str">
        <f t="shared" si="11"/>
        <v/>
      </c>
      <c r="V212" s="73" t="str">
        <f t="shared" si="10"/>
        <v/>
      </c>
    </row>
    <row r="213" spans="17:22" x14ac:dyDescent="0.15">
      <c r="Q213" s="92" t="str">
        <f t="shared" si="9"/>
        <v/>
      </c>
      <c r="T213" s="73" t="str">
        <f t="shared" si="11"/>
        <v/>
      </c>
      <c r="V213" s="73" t="str">
        <f t="shared" si="10"/>
        <v/>
      </c>
    </row>
    <row r="214" spans="17:22" x14ac:dyDescent="0.15">
      <c r="Q214" s="92" t="str">
        <f t="shared" si="9"/>
        <v/>
      </c>
      <c r="T214" s="73" t="str">
        <f t="shared" si="11"/>
        <v/>
      </c>
      <c r="V214" s="73" t="str">
        <f t="shared" si="10"/>
        <v/>
      </c>
    </row>
    <row r="215" spans="17:22" x14ac:dyDescent="0.15">
      <c r="Q215" s="92" t="str">
        <f t="shared" si="9"/>
        <v/>
      </c>
      <c r="T215" s="73" t="str">
        <f t="shared" si="11"/>
        <v/>
      </c>
      <c r="V215" s="73" t="str">
        <f t="shared" si="10"/>
        <v/>
      </c>
    </row>
    <row r="216" spans="17:22" x14ac:dyDescent="0.15">
      <c r="Q216" s="92" t="str">
        <f t="shared" si="9"/>
        <v/>
      </c>
      <c r="T216" s="73" t="str">
        <f t="shared" si="11"/>
        <v/>
      </c>
      <c r="V216" s="73" t="str">
        <f t="shared" si="10"/>
        <v/>
      </c>
    </row>
    <row r="217" spans="17:22" x14ac:dyDescent="0.15">
      <c r="Q217" s="92" t="str">
        <f t="shared" si="9"/>
        <v/>
      </c>
      <c r="T217" s="73" t="str">
        <f t="shared" si="11"/>
        <v/>
      </c>
      <c r="V217" s="73" t="str">
        <f t="shared" si="10"/>
        <v/>
      </c>
    </row>
    <row r="218" spans="17:22" x14ac:dyDescent="0.15">
      <c r="Q218" s="92" t="str">
        <f t="shared" si="9"/>
        <v/>
      </c>
      <c r="T218" s="73" t="str">
        <f t="shared" si="11"/>
        <v/>
      </c>
      <c r="V218" s="73" t="str">
        <f t="shared" si="10"/>
        <v/>
      </c>
    </row>
    <row r="219" spans="17:22" x14ac:dyDescent="0.15">
      <c r="Q219" s="92" t="str">
        <f t="shared" si="9"/>
        <v/>
      </c>
      <c r="T219" s="73" t="str">
        <f t="shared" si="11"/>
        <v/>
      </c>
      <c r="V219" s="73" t="str">
        <f t="shared" si="10"/>
        <v/>
      </c>
    </row>
    <row r="220" spans="17:22" x14ac:dyDescent="0.15">
      <c r="Q220" s="92" t="str">
        <f t="shared" si="9"/>
        <v/>
      </c>
      <c r="T220" s="73" t="str">
        <f t="shared" si="11"/>
        <v/>
      </c>
      <c r="V220" s="73" t="str">
        <f t="shared" si="10"/>
        <v/>
      </c>
    </row>
    <row r="221" spans="17:22" x14ac:dyDescent="0.15">
      <c r="Q221" s="92" t="str">
        <f t="shared" si="9"/>
        <v/>
      </c>
      <c r="T221" s="73" t="str">
        <f t="shared" si="11"/>
        <v/>
      </c>
      <c r="V221" s="73" t="str">
        <f t="shared" si="10"/>
        <v/>
      </c>
    </row>
    <row r="222" spans="17:22" x14ac:dyDescent="0.15">
      <c r="Q222" s="92" t="str">
        <f t="shared" si="9"/>
        <v/>
      </c>
      <c r="T222" s="73" t="str">
        <f t="shared" si="11"/>
        <v/>
      </c>
      <c r="V222" s="73" t="str">
        <f t="shared" si="10"/>
        <v/>
      </c>
    </row>
    <row r="223" spans="17:22" x14ac:dyDescent="0.15">
      <c r="Q223" s="92" t="str">
        <f t="shared" si="9"/>
        <v/>
      </c>
      <c r="T223" s="73" t="str">
        <f t="shared" si="11"/>
        <v/>
      </c>
      <c r="V223" s="73" t="str">
        <f t="shared" si="10"/>
        <v/>
      </c>
    </row>
    <row r="224" spans="17:22" x14ac:dyDescent="0.15">
      <c r="Q224" s="92" t="str">
        <f t="shared" si="9"/>
        <v/>
      </c>
      <c r="T224" s="73" t="str">
        <f t="shared" si="11"/>
        <v/>
      </c>
      <c r="V224" s="73" t="str">
        <f t="shared" si="10"/>
        <v/>
      </c>
    </row>
    <row r="225" spans="17:22" x14ac:dyDescent="0.15">
      <c r="Q225" s="92" t="str">
        <f t="shared" si="9"/>
        <v/>
      </c>
      <c r="T225" s="73" t="str">
        <f t="shared" si="11"/>
        <v/>
      </c>
      <c r="V225" s="73" t="str">
        <f t="shared" si="10"/>
        <v/>
      </c>
    </row>
    <row r="226" spans="17:22" x14ac:dyDescent="0.15">
      <c r="Q226" s="92" t="str">
        <f t="shared" si="9"/>
        <v/>
      </c>
      <c r="T226" s="73" t="str">
        <f t="shared" si="11"/>
        <v/>
      </c>
      <c r="V226" s="73" t="str">
        <f t="shared" si="10"/>
        <v/>
      </c>
    </row>
    <row r="227" spans="17:22" x14ac:dyDescent="0.15">
      <c r="Q227" s="92" t="str">
        <f t="shared" si="9"/>
        <v/>
      </c>
      <c r="T227" s="73" t="str">
        <f t="shared" si="11"/>
        <v/>
      </c>
      <c r="V227" s="73" t="str">
        <f t="shared" si="10"/>
        <v/>
      </c>
    </row>
    <row r="228" spans="17:22" x14ac:dyDescent="0.15">
      <c r="Q228" s="92" t="str">
        <f t="shared" si="9"/>
        <v/>
      </c>
      <c r="T228" s="73" t="str">
        <f t="shared" si="11"/>
        <v/>
      </c>
      <c r="V228" s="73" t="str">
        <f t="shared" si="10"/>
        <v/>
      </c>
    </row>
    <row r="229" spans="17:22" x14ac:dyDescent="0.15">
      <c r="Q229" s="92" t="str">
        <f t="shared" si="9"/>
        <v/>
      </c>
      <c r="T229" s="73" t="str">
        <f t="shared" si="11"/>
        <v/>
      </c>
      <c r="V229" s="73" t="str">
        <f t="shared" si="10"/>
        <v/>
      </c>
    </row>
    <row r="230" spans="17:22" x14ac:dyDescent="0.15">
      <c r="Q230" s="92" t="str">
        <f t="shared" si="9"/>
        <v/>
      </c>
      <c r="T230" s="73" t="str">
        <f t="shared" si="11"/>
        <v/>
      </c>
      <c r="V230" s="73" t="str">
        <f t="shared" si="10"/>
        <v/>
      </c>
    </row>
    <row r="231" spans="17:22" x14ac:dyDescent="0.15">
      <c r="Q231" s="92" t="str">
        <f t="shared" si="9"/>
        <v/>
      </c>
      <c r="T231" s="73" t="str">
        <f t="shared" si="11"/>
        <v/>
      </c>
      <c r="V231" s="73" t="str">
        <f t="shared" si="10"/>
        <v/>
      </c>
    </row>
    <row r="232" spans="17:22" x14ac:dyDescent="0.15">
      <c r="Q232" s="92" t="str">
        <f t="shared" si="9"/>
        <v/>
      </c>
      <c r="T232" s="73" t="str">
        <f t="shared" si="11"/>
        <v/>
      </c>
      <c r="V232" s="73" t="str">
        <f t="shared" si="10"/>
        <v/>
      </c>
    </row>
    <row r="233" spans="17:22" x14ac:dyDescent="0.15">
      <c r="Q233" s="92" t="str">
        <f t="shared" si="9"/>
        <v/>
      </c>
      <c r="T233" s="73" t="str">
        <f t="shared" si="11"/>
        <v/>
      </c>
      <c r="V233" s="73" t="str">
        <f t="shared" si="10"/>
        <v/>
      </c>
    </row>
    <row r="234" spans="17:22" x14ac:dyDescent="0.15">
      <c r="Q234" s="92" t="str">
        <f t="shared" si="9"/>
        <v/>
      </c>
      <c r="T234" s="73" t="str">
        <f t="shared" si="11"/>
        <v/>
      </c>
      <c r="V234" s="73" t="str">
        <f t="shared" si="10"/>
        <v/>
      </c>
    </row>
    <row r="235" spans="17:22" x14ac:dyDescent="0.15">
      <c r="Q235" s="92" t="str">
        <f t="shared" si="9"/>
        <v/>
      </c>
      <c r="T235" s="73" t="str">
        <f t="shared" si="11"/>
        <v/>
      </c>
      <c r="V235" s="73" t="str">
        <f t="shared" si="10"/>
        <v/>
      </c>
    </row>
    <row r="236" spans="17:22" x14ac:dyDescent="0.15">
      <c r="Q236" s="92" t="str">
        <f t="shared" si="9"/>
        <v/>
      </c>
      <c r="T236" s="73" t="str">
        <f t="shared" si="11"/>
        <v/>
      </c>
      <c r="V236" s="73" t="str">
        <f t="shared" si="10"/>
        <v/>
      </c>
    </row>
    <row r="237" spans="17:22" x14ac:dyDescent="0.15">
      <c r="Q237" s="92" t="str">
        <f t="shared" si="9"/>
        <v/>
      </c>
      <c r="T237" s="73" t="str">
        <f t="shared" si="11"/>
        <v/>
      </c>
      <c r="V237" s="73" t="str">
        <f t="shared" si="10"/>
        <v/>
      </c>
    </row>
    <row r="238" spans="17:22" x14ac:dyDescent="0.15">
      <c r="Q238" s="92" t="str">
        <f t="shared" si="9"/>
        <v/>
      </c>
      <c r="T238" s="73" t="str">
        <f t="shared" si="11"/>
        <v/>
      </c>
      <c r="V238" s="73" t="str">
        <f t="shared" si="10"/>
        <v/>
      </c>
    </row>
    <row r="239" spans="17:22" x14ac:dyDescent="0.15">
      <c r="Q239" s="92" t="str">
        <f t="shared" si="9"/>
        <v/>
      </c>
      <c r="T239" s="73" t="str">
        <f t="shared" si="11"/>
        <v/>
      </c>
      <c r="V239" s="73" t="str">
        <f t="shared" si="10"/>
        <v/>
      </c>
    </row>
    <row r="240" spans="17:22" x14ac:dyDescent="0.15">
      <c r="Q240" s="92" t="str">
        <f t="shared" si="9"/>
        <v/>
      </c>
      <c r="T240" s="73" t="str">
        <f t="shared" si="11"/>
        <v/>
      </c>
      <c r="V240" s="73" t="str">
        <f t="shared" si="10"/>
        <v/>
      </c>
    </row>
    <row r="241" spans="17:22" x14ac:dyDescent="0.15">
      <c r="Q241" s="92" t="str">
        <f t="shared" si="9"/>
        <v/>
      </c>
      <c r="T241" s="73" t="str">
        <f t="shared" si="11"/>
        <v/>
      </c>
      <c r="V241" s="73" t="str">
        <f t="shared" si="10"/>
        <v/>
      </c>
    </row>
    <row r="242" spans="17:22" x14ac:dyDescent="0.15">
      <c r="Q242" s="92" t="str">
        <f t="shared" si="9"/>
        <v/>
      </c>
      <c r="T242" s="73" t="str">
        <f t="shared" si="11"/>
        <v/>
      </c>
      <c r="V242" s="73" t="str">
        <f t="shared" si="10"/>
        <v/>
      </c>
    </row>
    <row r="243" spans="17:22" x14ac:dyDescent="0.15">
      <c r="Q243" s="92" t="str">
        <f t="shared" si="9"/>
        <v/>
      </c>
      <c r="T243" s="73" t="str">
        <f t="shared" si="11"/>
        <v/>
      </c>
      <c r="V243" s="73" t="str">
        <f t="shared" si="10"/>
        <v/>
      </c>
    </row>
    <row r="244" spans="17:22" x14ac:dyDescent="0.15">
      <c r="Q244" s="92" t="str">
        <f t="shared" si="9"/>
        <v/>
      </c>
      <c r="T244" s="73" t="str">
        <f t="shared" si="11"/>
        <v/>
      </c>
      <c r="V244" s="73" t="str">
        <f t="shared" si="10"/>
        <v/>
      </c>
    </row>
    <row r="245" spans="17:22" x14ac:dyDescent="0.15">
      <c r="Q245" s="92" t="str">
        <f t="shared" si="9"/>
        <v/>
      </c>
      <c r="T245" s="73" t="str">
        <f t="shared" si="11"/>
        <v/>
      </c>
      <c r="V245" s="73" t="str">
        <f t="shared" si="10"/>
        <v/>
      </c>
    </row>
    <row r="246" spans="17:22" x14ac:dyDescent="0.15">
      <c r="Q246" s="92" t="str">
        <f t="shared" si="9"/>
        <v/>
      </c>
      <c r="T246" s="73" t="str">
        <f t="shared" si="11"/>
        <v/>
      </c>
      <c r="V246" s="73" t="str">
        <f t="shared" si="10"/>
        <v/>
      </c>
    </row>
    <row r="247" spans="17:22" x14ac:dyDescent="0.15">
      <c r="Q247" s="92" t="str">
        <f t="shared" si="9"/>
        <v/>
      </c>
      <c r="T247" s="73" t="str">
        <f t="shared" si="11"/>
        <v/>
      </c>
      <c r="V247" s="73" t="str">
        <f t="shared" si="10"/>
        <v/>
      </c>
    </row>
    <row r="248" spans="17:22" x14ac:dyDescent="0.15">
      <c r="Q248" s="92" t="str">
        <f t="shared" si="9"/>
        <v/>
      </c>
      <c r="T248" s="73" t="str">
        <f t="shared" si="11"/>
        <v/>
      </c>
      <c r="V248" s="73" t="str">
        <f t="shared" si="10"/>
        <v/>
      </c>
    </row>
    <row r="249" spans="17:22" x14ac:dyDescent="0.15">
      <c r="Q249" s="92" t="str">
        <f t="shared" si="9"/>
        <v/>
      </c>
      <c r="T249" s="73" t="str">
        <f t="shared" si="11"/>
        <v/>
      </c>
      <c r="V249" s="73" t="str">
        <f t="shared" si="10"/>
        <v/>
      </c>
    </row>
    <row r="250" spans="17:22" x14ac:dyDescent="0.15">
      <c r="Q250" s="92" t="str">
        <f t="shared" si="9"/>
        <v/>
      </c>
      <c r="T250" s="73" t="str">
        <f t="shared" si="11"/>
        <v/>
      </c>
      <c r="V250" s="73" t="str">
        <f t="shared" si="10"/>
        <v/>
      </c>
    </row>
    <row r="251" spans="17:22" x14ac:dyDescent="0.15">
      <c r="Q251" s="92" t="str">
        <f t="shared" si="9"/>
        <v/>
      </c>
      <c r="T251" s="73" t="str">
        <f t="shared" si="11"/>
        <v/>
      </c>
      <c r="V251" s="73" t="str">
        <f t="shared" si="10"/>
        <v/>
      </c>
    </row>
    <row r="252" spans="17:22" x14ac:dyDescent="0.15">
      <c r="Q252" s="92" t="str">
        <f t="shared" si="9"/>
        <v/>
      </c>
      <c r="T252" s="73" t="str">
        <f t="shared" si="11"/>
        <v/>
      </c>
      <c r="V252" s="73" t="str">
        <f t="shared" si="10"/>
        <v/>
      </c>
    </row>
    <row r="253" spans="17:22" x14ac:dyDescent="0.15">
      <c r="Q253" s="92" t="str">
        <f t="shared" si="9"/>
        <v/>
      </c>
      <c r="T253" s="73" t="str">
        <f t="shared" si="11"/>
        <v/>
      </c>
      <c r="V253" s="73" t="str">
        <f t="shared" si="10"/>
        <v/>
      </c>
    </row>
    <row r="254" spans="17:22" x14ac:dyDescent="0.15">
      <c r="Q254" s="92" t="str">
        <f t="shared" si="9"/>
        <v/>
      </c>
      <c r="T254" s="73" t="str">
        <f t="shared" si="11"/>
        <v/>
      </c>
      <c r="V254" s="73" t="str">
        <f t="shared" si="10"/>
        <v/>
      </c>
    </row>
    <row r="255" spans="17:22" x14ac:dyDescent="0.15">
      <c r="Q255" s="92" t="str">
        <f t="shared" si="9"/>
        <v/>
      </c>
      <c r="T255" s="73" t="str">
        <f t="shared" si="11"/>
        <v/>
      </c>
      <c r="V255" s="73" t="str">
        <f t="shared" si="10"/>
        <v/>
      </c>
    </row>
    <row r="256" spans="17:22" x14ac:dyDescent="0.15">
      <c r="Q256" s="92" t="str">
        <f t="shared" si="9"/>
        <v/>
      </c>
      <c r="T256" s="73" t="str">
        <f t="shared" si="11"/>
        <v/>
      </c>
      <c r="V256" s="73" t="str">
        <f t="shared" si="10"/>
        <v/>
      </c>
    </row>
    <row r="257" spans="17:22" x14ac:dyDescent="0.15">
      <c r="Q257" s="92" t="str">
        <f t="shared" si="9"/>
        <v/>
      </c>
      <c r="T257" s="73" t="str">
        <f t="shared" si="11"/>
        <v/>
      </c>
      <c r="V257" s="73" t="str">
        <f t="shared" si="10"/>
        <v/>
      </c>
    </row>
    <row r="258" spans="17:22" x14ac:dyDescent="0.15">
      <c r="Q258" s="92" t="str">
        <f t="shared" si="9"/>
        <v/>
      </c>
      <c r="T258" s="73" t="str">
        <f t="shared" si="11"/>
        <v/>
      </c>
      <c r="V258" s="73" t="str">
        <f t="shared" si="10"/>
        <v/>
      </c>
    </row>
    <row r="259" spans="17:22" x14ac:dyDescent="0.15">
      <c r="Q259" s="92" t="str">
        <f t="shared" ref="Q259:Q322" si="12">IF(OR(O259="",P259=""),"",AVERAGE(O259,P259))</f>
        <v/>
      </c>
      <c r="T259" s="73" t="str">
        <f t="shared" si="11"/>
        <v/>
      </c>
      <c r="V259" s="73" t="str">
        <f t="shared" ref="V259:V322" si="13">IF(OR(N259="",U259="",T259=""),"",U259/N259*T259)</f>
        <v/>
      </c>
    </row>
    <row r="260" spans="17:22" x14ac:dyDescent="0.15">
      <c r="Q260" s="92" t="str">
        <f t="shared" si="12"/>
        <v/>
      </c>
      <c r="T260" s="73" t="str">
        <f t="shared" si="11"/>
        <v/>
      </c>
      <c r="V260" s="73" t="str">
        <f t="shared" si="13"/>
        <v/>
      </c>
    </row>
    <row r="261" spans="17:22" x14ac:dyDescent="0.15">
      <c r="Q261" s="92" t="str">
        <f t="shared" si="12"/>
        <v/>
      </c>
      <c r="T261" s="73" t="str">
        <f t="shared" ref="T261:T324" si="14">IF(H261="","",IF(OR(H261="GREEN",H261="GK"),IF(S261&gt;=$AX$2,VLOOKUP(S261,$AX$2:$AY$10,2,1),""),IF(S261&gt;=$AZ$2,VLOOKUP(S261,$AZ$2:$BA$10,2,1),"")))</f>
        <v/>
      </c>
      <c r="V261" s="73" t="str">
        <f t="shared" si="13"/>
        <v/>
      </c>
    </row>
    <row r="262" spans="17:22" x14ac:dyDescent="0.15">
      <c r="Q262" s="92" t="str">
        <f t="shared" si="12"/>
        <v/>
      </c>
      <c r="T262" s="73" t="str">
        <f t="shared" si="14"/>
        <v/>
      </c>
      <c r="V262" s="73" t="str">
        <f t="shared" si="13"/>
        <v/>
      </c>
    </row>
    <row r="263" spans="17:22" x14ac:dyDescent="0.15">
      <c r="Q263" s="92" t="str">
        <f t="shared" si="12"/>
        <v/>
      </c>
      <c r="T263" s="73" t="str">
        <f t="shared" si="14"/>
        <v/>
      </c>
      <c r="V263" s="73" t="str">
        <f t="shared" si="13"/>
        <v/>
      </c>
    </row>
    <row r="264" spans="17:22" x14ac:dyDescent="0.15">
      <c r="Q264" s="92" t="str">
        <f t="shared" si="12"/>
        <v/>
      </c>
      <c r="T264" s="73" t="str">
        <f t="shared" si="14"/>
        <v/>
      </c>
      <c r="V264" s="73" t="str">
        <f t="shared" si="13"/>
        <v/>
      </c>
    </row>
    <row r="265" spans="17:22" x14ac:dyDescent="0.15">
      <c r="Q265" s="92" t="str">
        <f t="shared" si="12"/>
        <v/>
      </c>
      <c r="T265" s="73" t="str">
        <f t="shared" si="14"/>
        <v/>
      </c>
      <c r="V265" s="73" t="str">
        <f t="shared" si="13"/>
        <v/>
      </c>
    </row>
    <row r="266" spans="17:22" x14ac:dyDescent="0.15">
      <c r="Q266" s="92" t="str">
        <f t="shared" si="12"/>
        <v/>
      </c>
      <c r="T266" s="73" t="str">
        <f t="shared" si="14"/>
        <v/>
      </c>
      <c r="V266" s="73" t="str">
        <f t="shared" si="13"/>
        <v/>
      </c>
    </row>
    <row r="267" spans="17:22" x14ac:dyDescent="0.15">
      <c r="Q267" s="92" t="str">
        <f t="shared" si="12"/>
        <v/>
      </c>
      <c r="T267" s="73" t="str">
        <f t="shared" si="14"/>
        <v/>
      </c>
      <c r="V267" s="73" t="str">
        <f t="shared" si="13"/>
        <v/>
      </c>
    </row>
    <row r="268" spans="17:22" x14ac:dyDescent="0.15">
      <c r="Q268" s="92" t="str">
        <f t="shared" si="12"/>
        <v/>
      </c>
      <c r="T268" s="73" t="str">
        <f t="shared" si="14"/>
        <v/>
      </c>
      <c r="V268" s="73" t="str">
        <f t="shared" si="13"/>
        <v/>
      </c>
    </row>
    <row r="269" spans="17:22" x14ac:dyDescent="0.15">
      <c r="Q269" s="92" t="str">
        <f t="shared" si="12"/>
        <v/>
      </c>
      <c r="T269" s="73" t="str">
        <f t="shared" si="14"/>
        <v/>
      </c>
      <c r="V269" s="73" t="str">
        <f t="shared" si="13"/>
        <v/>
      </c>
    </row>
    <row r="270" spans="17:22" x14ac:dyDescent="0.15">
      <c r="Q270" s="92" t="str">
        <f t="shared" si="12"/>
        <v/>
      </c>
      <c r="T270" s="73" t="str">
        <f t="shared" si="14"/>
        <v/>
      </c>
      <c r="V270" s="73" t="str">
        <f t="shared" si="13"/>
        <v/>
      </c>
    </row>
    <row r="271" spans="17:22" x14ac:dyDescent="0.15">
      <c r="Q271" s="92" t="str">
        <f t="shared" si="12"/>
        <v/>
      </c>
      <c r="T271" s="73" t="str">
        <f t="shared" si="14"/>
        <v/>
      </c>
      <c r="V271" s="73" t="str">
        <f t="shared" si="13"/>
        <v/>
      </c>
    </row>
    <row r="272" spans="17:22" x14ac:dyDescent="0.15">
      <c r="Q272" s="92" t="str">
        <f t="shared" si="12"/>
        <v/>
      </c>
      <c r="T272" s="73" t="str">
        <f t="shared" si="14"/>
        <v/>
      </c>
      <c r="V272" s="73" t="str">
        <f t="shared" si="13"/>
        <v/>
      </c>
    </row>
    <row r="273" spans="17:22" x14ac:dyDescent="0.15">
      <c r="Q273" s="92" t="str">
        <f t="shared" si="12"/>
        <v/>
      </c>
      <c r="T273" s="73" t="str">
        <f t="shared" si="14"/>
        <v/>
      </c>
      <c r="V273" s="73" t="str">
        <f t="shared" si="13"/>
        <v/>
      </c>
    </row>
    <row r="274" spans="17:22" x14ac:dyDescent="0.15">
      <c r="Q274" s="92" t="str">
        <f t="shared" si="12"/>
        <v/>
      </c>
      <c r="T274" s="73" t="str">
        <f t="shared" si="14"/>
        <v/>
      </c>
      <c r="V274" s="73" t="str">
        <f t="shared" si="13"/>
        <v/>
      </c>
    </row>
    <row r="275" spans="17:22" x14ac:dyDescent="0.15">
      <c r="Q275" s="92" t="str">
        <f t="shared" si="12"/>
        <v/>
      </c>
      <c r="T275" s="73" t="str">
        <f t="shared" si="14"/>
        <v/>
      </c>
      <c r="V275" s="73" t="str">
        <f t="shared" si="13"/>
        <v/>
      </c>
    </row>
    <row r="276" spans="17:22" x14ac:dyDescent="0.15">
      <c r="Q276" s="92" t="str">
        <f t="shared" si="12"/>
        <v/>
      </c>
      <c r="T276" s="73" t="str">
        <f t="shared" si="14"/>
        <v/>
      </c>
      <c r="V276" s="73" t="str">
        <f t="shared" si="13"/>
        <v/>
      </c>
    </row>
    <row r="277" spans="17:22" x14ac:dyDescent="0.15">
      <c r="Q277" s="92" t="str">
        <f t="shared" si="12"/>
        <v/>
      </c>
      <c r="T277" s="73" t="str">
        <f t="shared" si="14"/>
        <v/>
      </c>
      <c r="V277" s="73" t="str">
        <f t="shared" si="13"/>
        <v/>
      </c>
    </row>
    <row r="278" spans="17:22" x14ac:dyDescent="0.15">
      <c r="Q278" s="92" t="str">
        <f t="shared" si="12"/>
        <v/>
      </c>
      <c r="T278" s="73" t="str">
        <f t="shared" si="14"/>
        <v/>
      </c>
      <c r="V278" s="73" t="str">
        <f t="shared" si="13"/>
        <v/>
      </c>
    </row>
    <row r="279" spans="17:22" x14ac:dyDescent="0.15">
      <c r="Q279" s="92" t="str">
        <f t="shared" si="12"/>
        <v/>
      </c>
      <c r="T279" s="73" t="str">
        <f t="shared" si="14"/>
        <v/>
      </c>
      <c r="V279" s="73" t="str">
        <f t="shared" si="13"/>
        <v/>
      </c>
    </row>
    <row r="280" spans="17:22" x14ac:dyDescent="0.15">
      <c r="Q280" s="92" t="str">
        <f t="shared" si="12"/>
        <v/>
      </c>
      <c r="T280" s="73" t="str">
        <f t="shared" si="14"/>
        <v/>
      </c>
      <c r="V280" s="73" t="str">
        <f t="shared" si="13"/>
        <v/>
      </c>
    </row>
    <row r="281" spans="17:22" x14ac:dyDescent="0.15">
      <c r="Q281" s="92" t="str">
        <f t="shared" si="12"/>
        <v/>
      </c>
      <c r="T281" s="73" t="str">
        <f t="shared" si="14"/>
        <v/>
      </c>
      <c r="V281" s="73" t="str">
        <f t="shared" si="13"/>
        <v/>
      </c>
    </row>
    <row r="282" spans="17:22" x14ac:dyDescent="0.15">
      <c r="Q282" s="92" t="str">
        <f t="shared" si="12"/>
        <v/>
      </c>
      <c r="T282" s="73" t="str">
        <f t="shared" si="14"/>
        <v/>
      </c>
      <c r="V282" s="73" t="str">
        <f t="shared" si="13"/>
        <v/>
      </c>
    </row>
    <row r="283" spans="17:22" x14ac:dyDescent="0.15">
      <c r="Q283" s="92" t="str">
        <f t="shared" si="12"/>
        <v/>
      </c>
      <c r="T283" s="73" t="str">
        <f t="shared" si="14"/>
        <v/>
      </c>
      <c r="V283" s="73" t="str">
        <f t="shared" si="13"/>
        <v/>
      </c>
    </row>
    <row r="284" spans="17:22" x14ac:dyDescent="0.15">
      <c r="Q284" s="92" t="str">
        <f t="shared" si="12"/>
        <v/>
      </c>
      <c r="T284" s="73" t="str">
        <f t="shared" si="14"/>
        <v/>
      </c>
      <c r="V284" s="73" t="str">
        <f t="shared" si="13"/>
        <v/>
      </c>
    </row>
    <row r="285" spans="17:22" x14ac:dyDescent="0.15">
      <c r="Q285" s="92" t="str">
        <f t="shared" si="12"/>
        <v/>
      </c>
      <c r="T285" s="73" t="str">
        <f t="shared" si="14"/>
        <v/>
      </c>
      <c r="V285" s="73" t="str">
        <f t="shared" si="13"/>
        <v/>
      </c>
    </row>
    <row r="286" spans="17:22" x14ac:dyDescent="0.15">
      <c r="Q286" s="92" t="str">
        <f t="shared" si="12"/>
        <v/>
      </c>
      <c r="T286" s="73" t="str">
        <f t="shared" si="14"/>
        <v/>
      </c>
      <c r="V286" s="73" t="str">
        <f t="shared" si="13"/>
        <v/>
      </c>
    </row>
    <row r="287" spans="17:22" x14ac:dyDescent="0.15">
      <c r="Q287" s="92" t="str">
        <f t="shared" si="12"/>
        <v/>
      </c>
      <c r="T287" s="73" t="str">
        <f t="shared" si="14"/>
        <v/>
      </c>
      <c r="V287" s="73" t="str">
        <f t="shared" si="13"/>
        <v/>
      </c>
    </row>
    <row r="288" spans="17:22" x14ac:dyDescent="0.15">
      <c r="Q288" s="92" t="str">
        <f t="shared" si="12"/>
        <v/>
      </c>
      <c r="T288" s="73" t="str">
        <f t="shared" si="14"/>
        <v/>
      </c>
      <c r="V288" s="73" t="str">
        <f t="shared" si="13"/>
        <v/>
      </c>
    </row>
    <row r="289" spans="17:22" x14ac:dyDescent="0.15">
      <c r="Q289" s="92" t="str">
        <f t="shared" si="12"/>
        <v/>
      </c>
      <c r="T289" s="73" t="str">
        <f t="shared" si="14"/>
        <v/>
      </c>
      <c r="V289" s="73" t="str">
        <f t="shared" si="13"/>
        <v/>
      </c>
    </row>
    <row r="290" spans="17:22" x14ac:dyDescent="0.15">
      <c r="Q290" s="92" t="str">
        <f t="shared" si="12"/>
        <v/>
      </c>
      <c r="T290" s="73" t="str">
        <f t="shared" si="14"/>
        <v/>
      </c>
      <c r="V290" s="73" t="str">
        <f t="shared" si="13"/>
        <v/>
      </c>
    </row>
    <row r="291" spans="17:22" x14ac:dyDescent="0.15">
      <c r="Q291" s="92" t="str">
        <f t="shared" si="12"/>
        <v/>
      </c>
      <c r="T291" s="73" t="str">
        <f t="shared" si="14"/>
        <v/>
      </c>
      <c r="V291" s="73" t="str">
        <f t="shared" si="13"/>
        <v/>
      </c>
    </row>
    <row r="292" spans="17:22" x14ac:dyDescent="0.15">
      <c r="Q292" s="92" t="str">
        <f t="shared" si="12"/>
        <v/>
      </c>
      <c r="T292" s="73" t="str">
        <f t="shared" si="14"/>
        <v/>
      </c>
      <c r="V292" s="73" t="str">
        <f t="shared" si="13"/>
        <v/>
      </c>
    </row>
    <row r="293" spans="17:22" x14ac:dyDescent="0.15">
      <c r="Q293" s="92" t="str">
        <f t="shared" si="12"/>
        <v/>
      </c>
      <c r="T293" s="73" t="str">
        <f t="shared" si="14"/>
        <v/>
      </c>
      <c r="V293" s="73" t="str">
        <f t="shared" si="13"/>
        <v/>
      </c>
    </row>
    <row r="294" spans="17:22" x14ac:dyDescent="0.15">
      <c r="Q294" s="92" t="str">
        <f t="shared" si="12"/>
        <v/>
      </c>
      <c r="T294" s="73" t="str">
        <f t="shared" si="14"/>
        <v/>
      </c>
      <c r="V294" s="73" t="str">
        <f t="shared" si="13"/>
        <v/>
      </c>
    </row>
    <row r="295" spans="17:22" x14ac:dyDescent="0.15">
      <c r="Q295" s="92" t="str">
        <f t="shared" si="12"/>
        <v/>
      </c>
      <c r="T295" s="73" t="str">
        <f t="shared" si="14"/>
        <v/>
      </c>
      <c r="V295" s="73" t="str">
        <f t="shared" si="13"/>
        <v/>
      </c>
    </row>
    <row r="296" spans="17:22" x14ac:dyDescent="0.15">
      <c r="Q296" s="92" t="str">
        <f t="shared" si="12"/>
        <v/>
      </c>
      <c r="T296" s="73" t="str">
        <f t="shared" si="14"/>
        <v/>
      </c>
      <c r="V296" s="73" t="str">
        <f t="shared" si="13"/>
        <v/>
      </c>
    </row>
    <row r="297" spans="17:22" x14ac:dyDescent="0.15">
      <c r="Q297" s="92" t="str">
        <f t="shared" si="12"/>
        <v/>
      </c>
      <c r="T297" s="73" t="str">
        <f t="shared" si="14"/>
        <v/>
      </c>
      <c r="V297" s="73" t="str">
        <f t="shared" si="13"/>
        <v/>
      </c>
    </row>
    <row r="298" spans="17:22" x14ac:dyDescent="0.15">
      <c r="Q298" s="92" t="str">
        <f t="shared" si="12"/>
        <v/>
      </c>
      <c r="T298" s="73" t="str">
        <f t="shared" si="14"/>
        <v/>
      </c>
      <c r="V298" s="73" t="str">
        <f t="shared" si="13"/>
        <v/>
      </c>
    </row>
    <row r="299" spans="17:22" x14ac:dyDescent="0.15">
      <c r="Q299" s="92" t="str">
        <f t="shared" si="12"/>
        <v/>
      </c>
      <c r="T299" s="73" t="str">
        <f t="shared" si="14"/>
        <v/>
      </c>
      <c r="V299" s="73" t="str">
        <f t="shared" si="13"/>
        <v/>
      </c>
    </row>
    <row r="300" spans="17:22" x14ac:dyDescent="0.15">
      <c r="Q300" s="92" t="str">
        <f t="shared" si="12"/>
        <v/>
      </c>
      <c r="T300" s="73" t="str">
        <f t="shared" si="14"/>
        <v/>
      </c>
      <c r="V300" s="73" t="str">
        <f t="shared" si="13"/>
        <v/>
      </c>
    </row>
    <row r="301" spans="17:22" x14ac:dyDescent="0.15">
      <c r="Q301" s="92" t="str">
        <f t="shared" si="12"/>
        <v/>
      </c>
      <c r="T301" s="73" t="str">
        <f t="shared" si="14"/>
        <v/>
      </c>
      <c r="V301" s="73" t="str">
        <f t="shared" si="13"/>
        <v/>
      </c>
    </row>
    <row r="302" spans="17:22" x14ac:dyDescent="0.15">
      <c r="Q302" s="92" t="str">
        <f t="shared" si="12"/>
        <v/>
      </c>
      <c r="T302" s="73" t="str">
        <f t="shared" si="14"/>
        <v/>
      </c>
      <c r="V302" s="73" t="str">
        <f t="shared" si="13"/>
        <v/>
      </c>
    </row>
    <row r="303" spans="17:22" x14ac:dyDescent="0.15">
      <c r="Q303" s="92" t="str">
        <f t="shared" si="12"/>
        <v/>
      </c>
      <c r="T303" s="73" t="str">
        <f t="shared" si="14"/>
        <v/>
      </c>
      <c r="V303" s="73" t="str">
        <f t="shared" si="13"/>
        <v/>
      </c>
    </row>
    <row r="304" spans="17:22" x14ac:dyDescent="0.15">
      <c r="Q304" s="92" t="str">
        <f t="shared" si="12"/>
        <v/>
      </c>
      <c r="T304" s="73" t="str">
        <f t="shared" si="14"/>
        <v/>
      </c>
      <c r="V304" s="73" t="str">
        <f t="shared" si="13"/>
        <v/>
      </c>
    </row>
    <row r="305" spans="17:22" x14ac:dyDescent="0.15">
      <c r="Q305" s="92" t="str">
        <f t="shared" si="12"/>
        <v/>
      </c>
      <c r="T305" s="73" t="str">
        <f t="shared" si="14"/>
        <v/>
      </c>
      <c r="V305" s="73" t="str">
        <f t="shared" si="13"/>
        <v/>
      </c>
    </row>
    <row r="306" spans="17:22" x14ac:dyDescent="0.15">
      <c r="Q306" s="92" t="str">
        <f t="shared" si="12"/>
        <v/>
      </c>
      <c r="T306" s="73" t="str">
        <f t="shared" si="14"/>
        <v/>
      </c>
      <c r="V306" s="73" t="str">
        <f t="shared" si="13"/>
        <v/>
      </c>
    </row>
    <row r="307" spans="17:22" x14ac:dyDescent="0.15">
      <c r="Q307" s="92" t="str">
        <f t="shared" si="12"/>
        <v/>
      </c>
      <c r="T307" s="73" t="str">
        <f t="shared" si="14"/>
        <v/>
      </c>
      <c r="V307" s="73" t="str">
        <f t="shared" si="13"/>
        <v/>
      </c>
    </row>
    <row r="308" spans="17:22" x14ac:dyDescent="0.15">
      <c r="Q308" s="92" t="str">
        <f t="shared" si="12"/>
        <v/>
      </c>
      <c r="T308" s="73" t="str">
        <f t="shared" si="14"/>
        <v/>
      </c>
      <c r="V308" s="73" t="str">
        <f t="shared" si="13"/>
        <v/>
      </c>
    </row>
    <row r="309" spans="17:22" x14ac:dyDescent="0.15">
      <c r="Q309" s="92" t="str">
        <f t="shared" si="12"/>
        <v/>
      </c>
      <c r="T309" s="73" t="str">
        <f t="shared" si="14"/>
        <v/>
      </c>
      <c r="V309" s="73" t="str">
        <f t="shared" si="13"/>
        <v/>
      </c>
    </row>
    <row r="310" spans="17:22" x14ac:dyDescent="0.15">
      <c r="Q310" s="92" t="str">
        <f t="shared" si="12"/>
        <v/>
      </c>
      <c r="T310" s="73" t="str">
        <f t="shared" si="14"/>
        <v/>
      </c>
      <c r="V310" s="73" t="str">
        <f t="shared" si="13"/>
        <v/>
      </c>
    </row>
    <row r="311" spans="17:22" x14ac:dyDescent="0.15">
      <c r="Q311" s="92" t="str">
        <f t="shared" si="12"/>
        <v/>
      </c>
      <c r="T311" s="73" t="str">
        <f t="shared" si="14"/>
        <v/>
      </c>
      <c r="V311" s="73" t="str">
        <f t="shared" si="13"/>
        <v/>
      </c>
    </row>
    <row r="312" spans="17:22" x14ac:dyDescent="0.15">
      <c r="Q312" s="92" t="str">
        <f t="shared" si="12"/>
        <v/>
      </c>
      <c r="T312" s="73" t="str">
        <f t="shared" si="14"/>
        <v/>
      </c>
      <c r="V312" s="73" t="str">
        <f t="shared" si="13"/>
        <v/>
      </c>
    </row>
    <row r="313" spans="17:22" x14ac:dyDescent="0.15">
      <c r="Q313" s="92" t="str">
        <f t="shared" si="12"/>
        <v/>
      </c>
      <c r="T313" s="73" t="str">
        <f t="shared" si="14"/>
        <v/>
      </c>
      <c r="V313" s="73" t="str">
        <f t="shared" si="13"/>
        <v/>
      </c>
    </row>
    <row r="314" spans="17:22" x14ac:dyDescent="0.15">
      <c r="Q314" s="92" t="str">
        <f t="shared" si="12"/>
        <v/>
      </c>
      <c r="T314" s="73" t="str">
        <f t="shared" si="14"/>
        <v/>
      </c>
      <c r="V314" s="73" t="str">
        <f t="shared" si="13"/>
        <v/>
      </c>
    </row>
    <row r="315" spans="17:22" x14ac:dyDescent="0.15">
      <c r="Q315" s="92" t="str">
        <f t="shared" si="12"/>
        <v/>
      </c>
      <c r="T315" s="73" t="str">
        <f t="shared" si="14"/>
        <v/>
      </c>
      <c r="V315" s="73" t="str">
        <f t="shared" si="13"/>
        <v/>
      </c>
    </row>
    <row r="316" spans="17:22" x14ac:dyDescent="0.15">
      <c r="Q316" s="92" t="str">
        <f t="shared" si="12"/>
        <v/>
      </c>
      <c r="T316" s="73" t="str">
        <f t="shared" si="14"/>
        <v/>
      </c>
      <c r="V316" s="73" t="str">
        <f t="shared" si="13"/>
        <v/>
      </c>
    </row>
    <row r="317" spans="17:22" x14ac:dyDescent="0.15">
      <c r="Q317" s="92" t="str">
        <f t="shared" si="12"/>
        <v/>
      </c>
      <c r="T317" s="73" t="str">
        <f t="shared" si="14"/>
        <v/>
      </c>
      <c r="V317" s="73" t="str">
        <f t="shared" si="13"/>
        <v/>
      </c>
    </row>
    <row r="318" spans="17:22" x14ac:dyDescent="0.15">
      <c r="Q318" s="92" t="str">
        <f t="shared" si="12"/>
        <v/>
      </c>
      <c r="T318" s="73" t="str">
        <f t="shared" si="14"/>
        <v/>
      </c>
      <c r="V318" s="73" t="str">
        <f t="shared" si="13"/>
        <v/>
      </c>
    </row>
    <row r="319" spans="17:22" x14ac:dyDescent="0.15">
      <c r="Q319" s="92" t="str">
        <f t="shared" si="12"/>
        <v/>
      </c>
      <c r="T319" s="73" t="str">
        <f t="shared" si="14"/>
        <v/>
      </c>
      <c r="V319" s="73" t="str">
        <f t="shared" si="13"/>
        <v/>
      </c>
    </row>
    <row r="320" spans="17:22" x14ac:dyDescent="0.15">
      <c r="Q320" s="92" t="str">
        <f t="shared" si="12"/>
        <v/>
      </c>
      <c r="T320" s="73" t="str">
        <f t="shared" si="14"/>
        <v/>
      </c>
      <c r="V320" s="73" t="str">
        <f t="shared" si="13"/>
        <v/>
      </c>
    </row>
    <row r="321" spans="17:22" x14ac:dyDescent="0.15">
      <c r="Q321" s="92" t="str">
        <f t="shared" si="12"/>
        <v/>
      </c>
      <c r="T321" s="73" t="str">
        <f t="shared" si="14"/>
        <v/>
      </c>
      <c r="V321" s="73" t="str">
        <f t="shared" si="13"/>
        <v/>
      </c>
    </row>
    <row r="322" spans="17:22" x14ac:dyDescent="0.15">
      <c r="Q322" s="92" t="str">
        <f t="shared" si="12"/>
        <v/>
      </c>
      <c r="T322" s="73" t="str">
        <f t="shared" si="14"/>
        <v/>
      </c>
      <c r="V322" s="73" t="str">
        <f t="shared" si="13"/>
        <v/>
      </c>
    </row>
    <row r="323" spans="17:22" x14ac:dyDescent="0.15">
      <c r="Q323" s="92" t="str">
        <f t="shared" ref="Q323:Q381" si="15">IF(OR(O323="",P323=""),"",AVERAGE(O323,P323))</f>
        <v/>
      </c>
      <c r="T323" s="73" t="str">
        <f t="shared" si="14"/>
        <v/>
      </c>
      <c r="V323" s="73" t="str">
        <f t="shared" ref="V323:V386" si="16">IF(OR(N323="",U323="",T323=""),"",U323/N323*T323)</f>
        <v/>
      </c>
    </row>
    <row r="324" spans="17:22" x14ac:dyDescent="0.15">
      <c r="Q324" s="92" t="str">
        <f t="shared" si="15"/>
        <v/>
      </c>
      <c r="T324" s="73" t="str">
        <f t="shared" si="14"/>
        <v/>
      </c>
      <c r="V324" s="73" t="str">
        <f t="shared" si="16"/>
        <v/>
      </c>
    </row>
    <row r="325" spans="17:22" x14ac:dyDescent="0.15">
      <c r="Q325" s="92" t="str">
        <f t="shared" si="15"/>
        <v/>
      </c>
      <c r="T325" s="73" t="str">
        <f t="shared" ref="T325:T388" si="17">IF(H325="","",IF(OR(H325="GREEN",H325="GK"),IF(S325&gt;=$AX$2,VLOOKUP(S325,$AX$2:$AY$10,2,1),""),IF(S325&gt;=$AZ$2,VLOOKUP(S325,$AZ$2:$BA$10,2,1),"")))</f>
        <v/>
      </c>
      <c r="V325" s="73" t="str">
        <f t="shared" si="16"/>
        <v/>
      </c>
    </row>
    <row r="326" spans="17:22" x14ac:dyDescent="0.15">
      <c r="Q326" s="92" t="str">
        <f t="shared" si="15"/>
        <v/>
      </c>
      <c r="T326" s="73" t="str">
        <f t="shared" si="17"/>
        <v/>
      </c>
      <c r="V326" s="73" t="str">
        <f t="shared" si="16"/>
        <v/>
      </c>
    </row>
    <row r="327" spans="17:22" x14ac:dyDescent="0.15">
      <c r="Q327" s="92" t="str">
        <f t="shared" si="15"/>
        <v/>
      </c>
      <c r="T327" s="73" t="str">
        <f t="shared" si="17"/>
        <v/>
      </c>
      <c r="V327" s="73" t="str">
        <f t="shared" si="16"/>
        <v/>
      </c>
    </row>
    <row r="328" spans="17:22" x14ac:dyDescent="0.15">
      <c r="Q328" s="92" t="str">
        <f t="shared" si="15"/>
        <v/>
      </c>
      <c r="T328" s="73" t="str">
        <f t="shared" si="17"/>
        <v/>
      </c>
      <c r="V328" s="73" t="str">
        <f t="shared" si="16"/>
        <v/>
      </c>
    </row>
    <row r="329" spans="17:22" x14ac:dyDescent="0.15">
      <c r="Q329" s="92" t="str">
        <f t="shared" si="15"/>
        <v/>
      </c>
      <c r="T329" s="73" t="str">
        <f t="shared" si="17"/>
        <v/>
      </c>
      <c r="V329" s="73" t="str">
        <f t="shared" si="16"/>
        <v/>
      </c>
    </row>
    <row r="330" spans="17:22" x14ac:dyDescent="0.15">
      <c r="Q330" s="92" t="str">
        <f t="shared" si="15"/>
        <v/>
      </c>
      <c r="T330" s="73" t="str">
        <f t="shared" si="17"/>
        <v/>
      </c>
      <c r="V330" s="73" t="str">
        <f t="shared" si="16"/>
        <v/>
      </c>
    </row>
    <row r="331" spans="17:22" x14ac:dyDescent="0.15">
      <c r="Q331" s="92" t="str">
        <f t="shared" si="15"/>
        <v/>
      </c>
      <c r="T331" s="73" t="str">
        <f t="shared" si="17"/>
        <v/>
      </c>
      <c r="V331" s="73" t="str">
        <f t="shared" si="16"/>
        <v/>
      </c>
    </row>
    <row r="332" spans="17:22" x14ac:dyDescent="0.15">
      <c r="Q332" s="92" t="str">
        <f t="shared" si="15"/>
        <v/>
      </c>
      <c r="T332" s="73" t="str">
        <f t="shared" si="17"/>
        <v/>
      </c>
      <c r="V332" s="73" t="str">
        <f t="shared" si="16"/>
        <v/>
      </c>
    </row>
    <row r="333" spans="17:22" x14ac:dyDescent="0.15">
      <c r="Q333" s="92" t="str">
        <f t="shared" si="15"/>
        <v/>
      </c>
      <c r="T333" s="73" t="str">
        <f t="shared" si="17"/>
        <v/>
      </c>
      <c r="V333" s="73" t="str">
        <f t="shared" si="16"/>
        <v/>
      </c>
    </row>
    <row r="334" spans="17:22" x14ac:dyDescent="0.15">
      <c r="Q334" s="92" t="str">
        <f t="shared" si="15"/>
        <v/>
      </c>
      <c r="T334" s="73" t="str">
        <f t="shared" si="17"/>
        <v/>
      </c>
      <c r="V334" s="73" t="str">
        <f t="shared" si="16"/>
        <v/>
      </c>
    </row>
    <row r="335" spans="17:22" x14ac:dyDescent="0.15">
      <c r="Q335" s="92" t="str">
        <f t="shared" si="15"/>
        <v/>
      </c>
      <c r="T335" s="73" t="str">
        <f t="shared" si="17"/>
        <v/>
      </c>
      <c r="V335" s="73" t="str">
        <f t="shared" si="16"/>
        <v/>
      </c>
    </row>
    <row r="336" spans="17:22" x14ac:dyDescent="0.15">
      <c r="Q336" s="92" t="str">
        <f t="shared" si="15"/>
        <v/>
      </c>
      <c r="T336" s="73" t="str">
        <f t="shared" si="17"/>
        <v/>
      </c>
      <c r="V336" s="73" t="str">
        <f t="shared" si="16"/>
        <v/>
      </c>
    </row>
    <row r="337" spans="17:22" x14ac:dyDescent="0.15">
      <c r="Q337" s="92" t="str">
        <f t="shared" si="15"/>
        <v/>
      </c>
      <c r="T337" s="73" t="str">
        <f t="shared" si="17"/>
        <v/>
      </c>
      <c r="V337" s="73" t="str">
        <f t="shared" si="16"/>
        <v/>
      </c>
    </row>
    <row r="338" spans="17:22" x14ac:dyDescent="0.15">
      <c r="Q338" s="92" t="str">
        <f t="shared" si="15"/>
        <v/>
      </c>
      <c r="T338" s="73" t="str">
        <f t="shared" si="17"/>
        <v/>
      </c>
      <c r="V338" s="73" t="str">
        <f t="shared" si="16"/>
        <v/>
      </c>
    </row>
    <row r="339" spans="17:22" x14ac:dyDescent="0.15">
      <c r="Q339" s="92" t="str">
        <f t="shared" si="15"/>
        <v/>
      </c>
      <c r="T339" s="73" t="str">
        <f t="shared" si="17"/>
        <v/>
      </c>
      <c r="V339" s="73" t="str">
        <f t="shared" si="16"/>
        <v/>
      </c>
    </row>
    <row r="340" spans="17:22" x14ac:dyDescent="0.15">
      <c r="Q340" s="92" t="str">
        <f t="shared" si="15"/>
        <v/>
      </c>
      <c r="T340" s="73" t="str">
        <f t="shared" si="17"/>
        <v/>
      </c>
      <c r="V340" s="73" t="str">
        <f t="shared" si="16"/>
        <v/>
      </c>
    </row>
    <row r="341" spans="17:22" x14ac:dyDescent="0.15">
      <c r="Q341" s="92" t="str">
        <f t="shared" si="15"/>
        <v/>
      </c>
      <c r="T341" s="73" t="str">
        <f t="shared" si="17"/>
        <v/>
      </c>
      <c r="V341" s="73" t="str">
        <f t="shared" si="16"/>
        <v/>
      </c>
    </row>
    <row r="342" spans="17:22" x14ac:dyDescent="0.15">
      <c r="Q342" s="92" t="str">
        <f t="shared" si="15"/>
        <v/>
      </c>
      <c r="T342" s="73" t="str">
        <f t="shared" si="17"/>
        <v/>
      </c>
      <c r="V342" s="73" t="str">
        <f t="shared" si="16"/>
        <v/>
      </c>
    </row>
    <row r="343" spans="17:22" x14ac:dyDescent="0.15">
      <c r="Q343" s="92" t="str">
        <f t="shared" si="15"/>
        <v/>
      </c>
      <c r="T343" s="73" t="str">
        <f t="shared" si="17"/>
        <v/>
      </c>
      <c r="V343" s="73" t="str">
        <f t="shared" si="16"/>
        <v/>
      </c>
    </row>
    <row r="344" spans="17:22" x14ac:dyDescent="0.15">
      <c r="Q344" s="92" t="str">
        <f t="shared" si="15"/>
        <v/>
      </c>
      <c r="T344" s="73" t="str">
        <f t="shared" si="17"/>
        <v/>
      </c>
      <c r="V344" s="73" t="str">
        <f t="shared" si="16"/>
        <v/>
      </c>
    </row>
    <row r="345" spans="17:22" x14ac:dyDescent="0.15">
      <c r="Q345" s="92" t="str">
        <f t="shared" si="15"/>
        <v/>
      </c>
      <c r="T345" s="73" t="str">
        <f t="shared" si="17"/>
        <v/>
      </c>
      <c r="V345" s="73" t="str">
        <f t="shared" si="16"/>
        <v/>
      </c>
    </row>
    <row r="346" spans="17:22" x14ac:dyDescent="0.15">
      <c r="Q346" s="92" t="str">
        <f t="shared" si="15"/>
        <v/>
      </c>
      <c r="T346" s="73" t="str">
        <f t="shared" si="17"/>
        <v/>
      </c>
      <c r="V346" s="73" t="str">
        <f t="shared" si="16"/>
        <v/>
      </c>
    </row>
    <row r="347" spans="17:22" x14ac:dyDescent="0.15">
      <c r="Q347" s="92" t="str">
        <f t="shared" si="15"/>
        <v/>
      </c>
      <c r="T347" s="73" t="str">
        <f t="shared" si="17"/>
        <v/>
      </c>
      <c r="V347" s="73" t="str">
        <f t="shared" si="16"/>
        <v/>
      </c>
    </row>
    <row r="348" spans="17:22" x14ac:dyDescent="0.15">
      <c r="Q348" s="92" t="str">
        <f t="shared" si="15"/>
        <v/>
      </c>
      <c r="T348" s="73" t="str">
        <f t="shared" si="17"/>
        <v/>
      </c>
      <c r="V348" s="73" t="str">
        <f t="shared" si="16"/>
        <v/>
      </c>
    </row>
    <row r="349" spans="17:22" x14ac:dyDescent="0.15">
      <c r="Q349" s="92" t="str">
        <f t="shared" si="15"/>
        <v/>
      </c>
      <c r="T349" s="73" t="str">
        <f t="shared" si="17"/>
        <v/>
      </c>
      <c r="V349" s="73" t="str">
        <f t="shared" si="16"/>
        <v/>
      </c>
    </row>
    <row r="350" spans="17:22" x14ac:dyDescent="0.15">
      <c r="Q350" s="92" t="str">
        <f t="shared" si="15"/>
        <v/>
      </c>
      <c r="T350" s="73" t="str">
        <f t="shared" si="17"/>
        <v/>
      </c>
      <c r="V350" s="73" t="str">
        <f t="shared" si="16"/>
        <v/>
      </c>
    </row>
    <row r="351" spans="17:22" x14ac:dyDescent="0.15">
      <c r="Q351" s="92" t="str">
        <f t="shared" si="15"/>
        <v/>
      </c>
      <c r="T351" s="73" t="str">
        <f t="shared" si="17"/>
        <v/>
      </c>
      <c r="V351" s="73" t="str">
        <f t="shared" si="16"/>
        <v/>
      </c>
    </row>
    <row r="352" spans="17:22" x14ac:dyDescent="0.15">
      <c r="Q352" s="92" t="str">
        <f t="shared" si="15"/>
        <v/>
      </c>
      <c r="T352" s="73" t="str">
        <f t="shared" si="17"/>
        <v/>
      </c>
      <c r="V352" s="73" t="str">
        <f t="shared" si="16"/>
        <v/>
      </c>
    </row>
    <row r="353" spans="17:22" x14ac:dyDescent="0.15">
      <c r="Q353" s="92" t="str">
        <f t="shared" si="15"/>
        <v/>
      </c>
      <c r="T353" s="73" t="str">
        <f t="shared" si="17"/>
        <v/>
      </c>
      <c r="V353" s="73" t="str">
        <f t="shared" si="16"/>
        <v/>
      </c>
    </row>
    <row r="354" spans="17:22" x14ac:dyDescent="0.15">
      <c r="Q354" s="92" t="str">
        <f t="shared" si="15"/>
        <v/>
      </c>
      <c r="T354" s="73" t="str">
        <f t="shared" si="17"/>
        <v/>
      </c>
      <c r="V354" s="73" t="str">
        <f t="shared" si="16"/>
        <v/>
      </c>
    </row>
    <row r="355" spans="17:22" x14ac:dyDescent="0.15">
      <c r="Q355" s="92" t="str">
        <f t="shared" si="15"/>
        <v/>
      </c>
      <c r="T355" s="73" t="str">
        <f t="shared" si="17"/>
        <v/>
      </c>
      <c r="V355" s="73" t="str">
        <f t="shared" si="16"/>
        <v/>
      </c>
    </row>
    <row r="356" spans="17:22" x14ac:dyDescent="0.15">
      <c r="Q356" s="92" t="str">
        <f t="shared" si="15"/>
        <v/>
      </c>
      <c r="T356" s="73" t="str">
        <f t="shared" si="17"/>
        <v/>
      </c>
      <c r="V356" s="73" t="str">
        <f t="shared" si="16"/>
        <v/>
      </c>
    </row>
    <row r="357" spans="17:22" x14ac:dyDescent="0.15">
      <c r="Q357" s="92" t="str">
        <f t="shared" si="15"/>
        <v/>
      </c>
      <c r="T357" s="73" t="str">
        <f t="shared" si="17"/>
        <v/>
      </c>
      <c r="V357" s="73" t="str">
        <f t="shared" si="16"/>
        <v/>
      </c>
    </row>
    <row r="358" spans="17:22" x14ac:dyDescent="0.15">
      <c r="Q358" s="92" t="str">
        <f t="shared" si="15"/>
        <v/>
      </c>
      <c r="T358" s="73" t="str">
        <f t="shared" si="17"/>
        <v/>
      </c>
      <c r="V358" s="73" t="str">
        <f t="shared" si="16"/>
        <v/>
      </c>
    </row>
    <row r="359" spans="17:22" x14ac:dyDescent="0.15">
      <c r="Q359" s="92" t="str">
        <f t="shared" si="15"/>
        <v/>
      </c>
      <c r="T359" s="73" t="str">
        <f t="shared" si="17"/>
        <v/>
      </c>
      <c r="V359" s="73" t="str">
        <f t="shared" si="16"/>
        <v/>
      </c>
    </row>
    <row r="360" spans="17:22" x14ac:dyDescent="0.15">
      <c r="Q360" s="92" t="str">
        <f t="shared" si="15"/>
        <v/>
      </c>
      <c r="T360" s="73" t="str">
        <f t="shared" si="17"/>
        <v/>
      </c>
      <c r="V360" s="73" t="str">
        <f t="shared" si="16"/>
        <v/>
      </c>
    </row>
    <row r="361" spans="17:22" x14ac:dyDescent="0.15">
      <c r="Q361" s="92" t="str">
        <f t="shared" si="15"/>
        <v/>
      </c>
      <c r="T361" s="73" t="str">
        <f t="shared" si="17"/>
        <v/>
      </c>
      <c r="V361" s="73" t="str">
        <f t="shared" si="16"/>
        <v/>
      </c>
    </row>
    <row r="362" spans="17:22" x14ac:dyDescent="0.15">
      <c r="Q362" s="92" t="str">
        <f t="shared" si="15"/>
        <v/>
      </c>
      <c r="T362" s="73" t="str">
        <f t="shared" si="17"/>
        <v/>
      </c>
      <c r="V362" s="73" t="str">
        <f t="shared" si="16"/>
        <v/>
      </c>
    </row>
    <row r="363" spans="17:22" x14ac:dyDescent="0.15">
      <c r="Q363" s="92" t="str">
        <f t="shared" si="15"/>
        <v/>
      </c>
      <c r="T363" s="73" t="str">
        <f t="shared" si="17"/>
        <v/>
      </c>
      <c r="V363" s="73" t="str">
        <f t="shared" si="16"/>
        <v/>
      </c>
    </row>
    <row r="364" spans="17:22" x14ac:dyDescent="0.15">
      <c r="Q364" s="92" t="str">
        <f t="shared" si="15"/>
        <v/>
      </c>
      <c r="T364" s="73" t="str">
        <f t="shared" si="17"/>
        <v/>
      </c>
      <c r="V364" s="73" t="str">
        <f t="shared" si="16"/>
        <v/>
      </c>
    </row>
    <row r="365" spans="17:22" x14ac:dyDescent="0.15">
      <c r="Q365" s="92" t="str">
        <f t="shared" si="15"/>
        <v/>
      </c>
      <c r="T365" s="73" t="str">
        <f t="shared" si="17"/>
        <v/>
      </c>
      <c r="V365" s="73" t="str">
        <f t="shared" si="16"/>
        <v/>
      </c>
    </row>
    <row r="366" spans="17:22" x14ac:dyDescent="0.15">
      <c r="T366" s="73" t="str">
        <f t="shared" si="17"/>
        <v/>
      </c>
      <c r="V366" s="73" t="str">
        <f t="shared" si="16"/>
        <v/>
      </c>
    </row>
    <row r="367" spans="17:22" x14ac:dyDescent="0.15">
      <c r="T367" s="73" t="str">
        <f t="shared" si="17"/>
        <v/>
      </c>
      <c r="V367" s="73" t="str">
        <f t="shared" si="16"/>
        <v/>
      </c>
    </row>
    <row r="368" spans="17:22" x14ac:dyDescent="0.15">
      <c r="T368" s="73" t="str">
        <f t="shared" si="17"/>
        <v/>
      </c>
      <c r="V368" s="73" t="str">
        <f t="shared" si="16"/>
        <v/>
      </c>
    </row>
    <row r="369" spans="20:22" x14ac:dyDescent="0.15">
      <c r="T369" s="73" t="str">
        <f t="shared" si="17"/>
        <v/>
      </c>
      <c r="V369" s="73" t="str">
        <f t="shared" si="16"/>
        <v/>
      </c>
    </row>
    <row r="370" spans="20:22" x14ac:dyDescent="0.15">
      <c r="T370" s="73" t="str">
        <f t="shared" si="17"/>
        <v/>
      </c>
      <c r="V370" s="73" t="str">
        <f t="shared" si="16"/>
        <v/>
      </c>
    </row>
    <row r="371" spans="20:22" x14ac:dyDescent="0.15">
      <c r="T371" s="73" t="str">
        <f t="shared" si="17"/>
        <v/>
      </c>
      <c r="V371" s="73" t="str">
        <f t="shared" si="16"/>
        <v/>
      </c>
    </row>
    <row r="372" spans="20:22" x14ac:dyDescent="0.15">
      <c r="T372" s="73" t="str">
        <f t="shared" si="17"/>
        <v/>
      </c>
      <c r="V372" s="73" t="str">
        <f t="shared" si="16"/>
        <v/>
      </c>
    </row>
    <row r="373" spans="20:22" x14ac:dyDescent="0.15">
      <c r="T373" s="73" t="str">
        <f t="shared" si="17"/>
        <v/>
      </c>
      <c r="V373" s="73" t="str">
        <f t="shared" si="16"/>
        <v/>
      </c>
    </row>
    <row r="374" spans="20:22" x14ac:dyDescent="0.15">
      <c r="T374" s="73" t="str">
        <f t="shared" si="17"/>
        <v/>
      </c>
    </row>
    <row r="375" spans="20:22" x14ac:dyDescent="0.15">
      <c r="T375" s="73" t="str">
        <f t="shared" si="17"/>
        <v/>
      </c>
    </row>
    <row r="376" spans="20:22" x14ac:dyDescent="0.15">
      <c r="T376" s="73" t="str">
        <f t="shared" si="17"/>
        <v/>
      </c>
    </row>
    <row r="377" spans="20:22" x14ac:dyDescent="0.15">
      <c r="T377" s="73" t="str">
        <f t="shared" si="17"/>
        <v/>
      </c>
    </row>
    <row r="378" spans="20:22" x14ac:dyDescent="0.15">
      <c r="T378" s="73" t="str">
        <f t="shared" si="17"/>
        <v/>
      </c>
    </row>
    <row r="379" spans="20:22" x14ac:dyDescent="0.15">
      <c r="T379" s="73" t="str">
        <f t="shared" si="17"/>
        <v/>
      </c>
    </row>
    <row r="380" spans="20:22" x14ac:dyDescent="0.15">
      <c r="T380" s="73" t="str">
        <f t="shared" si="17"/>
        <v/>
      </c>
    </row>
    <row r="381" spans="20:22" x14ac:dyDescent="0.15">
      <c r="T381" s="73" t="str">
        <f t="shared" si="17"/>
        <v/>
      </c>
    </row>
    <row r="382" spans="20:22" x14ac:dyDescent="0.15">
      <c r="T382" s="73" t="str">
        <f t="shared" si="17"/>
        <v/>
      </c>
    </row>
    <row r="383" spans="20:22" x14ac:dyDescent="0.15">
      <c r="T383" s="73" t="str">
        <f t="shared" si="17"/>
        <v/>
      </c>
    </row>
    <row r="384" spans="20:22" x14ac:dyDescent="0.15">
      <c r="T384" s="73" t="str">
        <f t="shared" si="17"/>
        <v/>
      </c>
    </row>
    <row r="385" spans="20:20" x14ac:dyDescent="0.15">
      <c r="T385" s="73" t="str">
        <f t="shared" si="17"/>
        <v/>
      </c>
    </row>
    <row r="386" spans="20:20" x14ac:dyDescent="0.15">
      <c r="T386" s="73" t="str">
        <f t="shared" si="17"/>
        <v/>
      </c>
    </row>
    <row r="387" spans="20:20" x14ac:dyDescent="0.15">
      <c r="T387" s="73" t="str">
        <f t="shared" si="17"/>
        <v/>
      </c>
    </row>
    <row r="388" spans="20:20" x14ac:dyDescent="0.15">
      <c r="T388" s="73" t="str">
        <f t="shared" si="17"/>
        <v/>
      </c>
    </row>
    <row r="389" spans="20:20" x14ac:dyDescent="0.15">
      <c r="T389" s="73" t="str">
        <f t="shared" ref="T389:T447" si="18">IF(H389="","",IF(OR(H389="GREEN",H389="GK"),IF(S389&gt;=$AX$2,VLOOKUP(S389,$AX$2:$AY$10,2,1),""),IF(S389&gt;=$AZ$2,VLOOKUP(S389,$AZ$2:$BA$10,2,1),"")))</f>
        <v/>
      </c>
    </row>
    <row r="390" spans="20:20" x14ac:dyDescent="0.15">
      <c r="T390" s="73" t="str">
        <f t="shared" si="18"/>
        <v/>
      </c>
    </row>
    <row r="391" spans="20:20" x14ac:dyDescent="0.15">
      <c r="T391" s="73" t="str">
        <f t="shared" si="18"/>
        <v/>
      </c>
    </row>
    <row r="392" spans="20:20" x14ac:dyDescent="0.15">
      <c r="T392" s="73" t="str">
        <f t="shared" si="18"/>
        <v/>
      </c>
    </row>
    <row r="393" spans="20:20" x14ac:dyDescent="0.15">
      <c r="T393" s="73" t="str">
        <f t="shared" si="18"/>
        <v/>
      </c>
    </row>
  </sheetData>
  <autoFilter ref="A1:BA393" xr:uid="{00000000-0009-0000-0000-000001000000}"/>
  <phoneticPr fontId="3"/>
  <dataValidations count="14">
    <dataValidation type="list" allowBlank="1" showInputMessage="1" showErrorMessage="1" sqref="X2:X349" xr:uid="{314A0B03-C62D-4F27-9267-76F3746ED466}">
      <formula1>$AT$2:$AT$3</formula1>
    </dataValidation>
    <dataValidation type="list" allowBlank="1" showInputMessage="1" showErrorMessage="1" sqref="A2:A349" xr:uid="{99B4A317-2E34-4971-A7E3-7B530A024A0E}">
      <formula1>$AE$2:$AE$16</formula1>
    </dataValidation>
    <dataValidation type="decimal" allowBlank="1" showInputMessage="1" showErrorMessage="1" error="硬度を正しく入力して下さい。" sqref="O2:P349" xr:uid="{0CB95AB8-7158-46DC-BFB9-E414F22802B6}">
      <formula1>0</formula1>
      <formula2>7</formula2>
    </dataValidation>
    <dataValidation type="list" allowBlank="1" showInputMessage="1" showErrorMessage="1" sqref="I2:I349" xr:uid="{BC52AC3C-99D8-4760-96D0-6666ADDFD51F}">
      <formula1>$AN$5:$AN$6</formula1>
    </dataValidation>
    <dataValidation type="list" allowBlank="1" showInputMessage="1" showErrorMessage="1" sqref="G2:G349" xr:uid="{910EDA8C-72BD-478F-B626-815F3F703112}">
      <formula1>$AJ$2:$AJ$4</formula1>
    </dataValidation>
    <dataValidation type="list" allowBlank="1" showInputMessage="1" showErrorMessage="1" sqref="F1:F65503" xr:uid="{49FCB60C-49EB-4BD2-85EE-A57D2518CC21}">
      <formula1>$AH$2:$AH$11</formula1>
    </dataValidation>
    <dataValidation type="list" allowBlank="1" showInputMessage="1" showErrorMessage="1" sqref="E1:E65503" xr:uid="{E61D1797-CB8B-4D4E-BED1-FCBA1D533F6B}">
      <formula1>$AG$2:$AG$11</formula1>
    </dataValidation>
    <dataValidation type="list" allowBlank="1" showInputMessage="1" showErrorMessage="1" sqref="J2:J349" xr:uid="{1D0257B4-D80F-4717-A273-3B822F0D1848}">
      <formula1>$AP$2:$AP$19</formula1>
    </dataValidation>
    <dataValidation type="list" allowBlank="1" showInputMessage="1" showErrorMessage="1" sqref="K2:K165" xr:uid="{C8C02707-586A-42E7-8D47-40FFA76B28D7}">
      <formula1>$AR$2:$AR$23</formula1>
    </dataValidation>
    <dataValidation type="list" allowBlank="1" showInputMessage="1" showErrorMessage="1" sqref="H2:H349" xr:uid="{8BF6FD6D-D2D3-4DC7-AED3-039D4CFFD89A}">
      <formula1>$AL$2:$AL$8</formula1>
    </dataValidation>
    <dataValidation allowBlank="1" showInputMessage="1" showErrorMessage="1" sqref="B2:B151" xr:uid="{BC491D3D-5C72-46D5-9008-66B362E1033E}"/>
    <dataValidation type="list" allowBlank="1" showInputMessage="1" showErrorMessage="1" sqref="Y2:AA151" xr:uid="{C7AD73CD-4700-4B0C-BBB1-5BDA530B5970}">
      <formula1>$AV$2:$AV$23</formula1>
    </dataValidation>
    <dataValidation type="list" allowBlank="1" showInputMessage="1" showErrorMessage="1" sqref="Y152:AA349" xr:uid="{0C6B6F8E-AD29-4AC0-A113-E40111ACE400}">
      <formula1>$AV$2:$AV$16</formula1>
    </dataValidation>
    <dataValidation type="list" allowBlank="1" showInputMessage="1" showErrorMessage="1" sqref="K166:K349" xr:uid="{3A30F9BB-3541-4951-A5B6-9432057E8DD2}">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28EA1-D921-4D08-8682-C3C61D1D7632}">
  <dimension ref="A1:BA82"/>
  <sheetViews>
    <sheetView zoomScale="85" zoomScaleNormal="85" workbookViewId="0">
      <selection activeCell="E61" sqref="E61"/>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210" t="s">
        <v>0</v>
      </c>
      <c r="B1" s="100" t="s">
        <v>1</v>
      </c>
      <c r="C1" s="100" t="s">
        <v>2</v>
      </c>
      <c r="D1" s="101" t="s">
        <v>3</v>
      </c>
      <c r="E1" s="211" t="s">
        <v>4</v>
      </c>
      <c r="F1" s="211" t="s">
        <v>5</v>
      </c>
      <c r="G1" s="211" t="s">
        <v>6</v>
      </c>
      <c r="H1" s="211" t="s">
        <v>7</v>
      </c>
      <c r="I1" s="211" t="s">
        <v>8</v>
      </c>
      <c r="J1" s="211" t="s">
        <v>9</v>
      </c>
      <c r="K1" s="211" t="s">
        <v>10</v>
      </c>
      <c r="L1" s="101" t="s">
        <v>11</v>
      </c>
      <c r="M1" s="101" t="s">
        <v>12</v>
      </c>
      <c r="N1" s="101" t="s">
        <v>13</v>
      </c>
      <c r="O1" s="101" t="s">
        <v>14</v>
      </c>
      <c r="P1" s="101" t="s">
        <v>15</v>
      </c>
      <c r="Q1" s="3" t="s">
        <v>16</v>
      </c>
      <c r="R1" s="101" t="s">
        <v>17</v>
      </c>
      <c r="S1" s="101" t="s">
        <v>18</v>
      </c>
      <c r="T1" s="3" t="s">
        <v>19</v>
      </c>
      <c r="U1" s="102" t="s">
        <v>108</v>
      </c>
      <c r="V1" s="5" t="s">
        <v>20</v>
      </c>
      <c r="W1" s="101" t="s">
        <v>21</v>
      </c>
      <c r="X1" s="211" t="s">
        <v>22</v>
      </c>
      <c r="Y1" s="211" t="s">
        <v>23</v>
      </c>
      <c r="Z1" s="211" t="s">
        <v>24</v>
      </c>
      <c r="AA1" s="212" t="s">
        <v>25</v>
      </c>
      <c r="AB1" s="132" t="s">
        <v>26</v>
      </c>
      <c r="AE1" s="106" t="s">
        <v>0</v>
      </c>
      <c r="AF1" s="107"/>
      <c r="AG1" s="106" t="s">
        <v>4</v>
      </c>
      <c r="AH1" s="106" t="s">
        <v>5</v>
      </c>
      <c r="AI1" s="107"/>
      <c r="AJ1" s="106" t="s">
        <v>6</v>
      </c>
      <c r="AK1" s="107"/>
      <c r="AL1" s="10" t="s">
        <v>7</v>
      </c>
      <c r="AM1" s="107"/>
      <c r="AN1" s="10" t="s">
        <v>8</v>
      </c>
      <c r="AO1" s="107"/>
      <c r="AP1" s="10" t="s">
        <v>27</v>
      </c>
      <c r="AQ1" s="107"/>
      <c r="AR1" s="10" t="s">
        <v>10</v>
      </c>
      <c r="AS1" s="107"/>
      <c r="AT1" s="11" t="s">
        <v>28</v>
      </c>
      <c r="AU1" s="107"/>
      <c r="AV1" s="10" t="s">
        <v>29</v>
      </c>
      <c r="AX1" s="12" t="s">
        <v>30</v>
      </c>
      <c r="AY1" s="13" t="s">
        <v>31</v>
      </c>
      <c r="AZ1" s="13" t="s">
        <v>32</v>
      </c>
      <c r="BA1" s="14" t="s">
        <v>33</v>
      </c>
    </row>
    <row r="2" spans="1:53" x14ac:dyDescent="0.15">
      <c r="A2" s="53" t="s">
        <v>56</v>
      </c>
      <c r="B2" s="53" t="s">
        <v>235</v>
      </c>
      <c r="C2" s="53">
        <v>2019</v>
      </c>
      <c r="D2" s="213" t="s">
        <v>312</v>
      </c>
      <c r="E2" s="53" t="s">
        <v>367</v>
      </c>
      <c r="F2" s="53" t="s">
        <v>368</v>
      </c>
      <c r="G2" s="53" t="s">
        <v>42</v>
      </c>
      <c r="H2" s="53" t="s">
        <v>164</v>
      </c>
      <c r="I2" s="53" t="s">
        <v>198</v>
      </c>
      <c r="J2" s="53" t="s">
        <v>38</v>
      </c>
      <c r="K2" s="53" t="s">
        <v>161</v>
      </c>
      <c r="L2" s="53">
        <v>1</v>
      </c>
      <c r="N2" s="53">
        <v>5</v>
      </c>
      <c r="O2" s="53">
        <v>0.6</v>
      </c>
      <c r="P2" s="53">
        <v>0.7</v>
      </c>
      <c r="Q2" s="110">
        <f t="shared" ref="Q2:Q61" si="0">IF(OR(O2="",P2=""),"",AVERAGE(O2,P2))</f>
        <v>0.64999999999999991</v>
      </c>
      <c r="R2" s="53">
        <v>12.3</v>
      </c>
      <c r="S2" s="53">
        <v>96</v>
      </c>
      <c r="T2" s="16">
        <f t="shared" ref="T2:T61" si="1">IF(H2="","",IF(OR(H2="GREEN",H2="GK"),IF(S2&gt;=$AX$2,VLOOKUP(S2,$AX$2:$AY$10,2,1),""),IF(S2&gt;=$AZ$2,VLOOKUP(S2,$AZ$2:$BA$10,2,1),"")))</f>
        <v>36</v>
      </c>
      <c r="U2" s="53">
        <v>539</v>
      </c>
      <c r="V2" s="16">
        <f t="shared" ref="V2:V61" si="2">IF(OR(N2="",U2="",T2=""),"",U2/N2*T2)</f>
        <v>3880.7999999999997</v>
      </c>
      <c r="W2" s="53">
        <v>6</v>
      </c>
      <c r="X2" s="53" t="s">
        <v>46</v>
      </c>
      <c r="Y2" s="53" t="s">
        <v>55</v>
      </c>
      <c r="Z2" s="53" t="s">
        <v>97</v>
      </c>
      <c r="AA2" s="53" t="s">
        <v>88</v>
      </c>
      <c r="AB2" s="53" t="s">
        <v>158</v>
      </c>
      <c r="AE2" s="112" t="s">
        <v>35</v>
      </c>
      <c r="AG2" s="23" t="s">
        <v>369</v>
      </c>
      <c r="AH2" s="214" t="s">
        <v>370</v>
      </c>
      <c r="AJ2" s="114" t="s">
        <v>36</v>
      </c>
      <c r="AL2" s="114" t="s">
        <v>127</v>
      </c>
      <c r="AN2" s="114" t="s">
        <v>37</v>
      </c>
      <c r="AP2" s="114" t="s">
        <v>38</v>
      </c>
      <c r="AR2" s="114" t="s">
        <v>120</v>
      </c>
      <c r="AT2" s="114" t="s">
        <v>39</v>
      </c>
      <c r="AV2" s="114" t="s">
        <v>40</v>
      </c>
      <c r="AX2" s="131">
        <v>1</v>
      </c>
      <c r="AY2" s="130">
        <v>50</v>
      </c>
      <c r="AZ2" s="130">
        <v>1</v>
      </c>
      <c r="BA2" s="129">
        <v>50</v>
      </c>
    </row>
    <row r="3" spans="1:53" x14ac:dyDescent="0.15">
      <c r="A3" s="53" t="s">
        <v>56</v>
      </c>
      <c r="B3" s="53" t="s">
        <v>235</v>
      </c>
      <c r="C3" s="53">
        <v>2019</v>
      </c>
      <c r="D3" s="213" t="s">
        <v>312</v>
      </c>
      <c r="E3" s="53" t="s">
        <v>367</v>
      </c>
      <c r="F3" s="53" t="s">
        <v>368</v>
      </c>
      <c r="G3" s="53" t="s">
        <v>42</v>
      </c>
      <c r="H3" s="53" t="s">
        <v>164</v>
      </c>
      <c r="I3" s="53" t="s">
        <v>198</v>
      </c>
      <c r="J3" s="53" t="s">
        <v>38</v>
      </c>
      <c r="K3" s="53" t="s">
        <v>161</v>
      </c>
      <c r="L3" s="53">
        <v>2</v>
      </c>
      <c r="N3" s="53">
        <v>5</v>
      </c>
      <c r="O3" s="53">
        <v>0.6</v>
      </c>
      <c r="P3" s="53">
        <v>0.6</v>
      </c>
      <c r="Q3" s="110">
        <f t="shared" si="0"/>
        <v>0.6</v>
      </c>
      <c r="R3" s="53">
        <v>11.9</v>
      </c>
      <c r="S3" s="53">
        <v>99</v>
      </c>
      <c r="T3" s="16">
        <f t="shared" si="1"/>
        <v>33</v>
      </c>
      <c r="U3" s="53">
        <v>539</v>
      </c>
      <c r="V3" s="16">
        <f t="shared" si="2"/>
        <v>3557.4</v>
      </c>
      <c r="W3" s="53">
        <v>6</v>
      </c>
      <c r="X3" s="53" t="s">
        <v>46</v>
      </c>
      <c r="Y3" s="53" t="s">
        <v>55</v>
      </c>
      <c r="Z3" s="53" t="s">
        <v>97</v>
      </c>
      <c r="AA3" s="53" t="s">
        <v>88</v>
      </c>
      <c r="AB3" s="53" t="s">
        <v>158</v>
      </c>
      <c r="AE3" s="22" t="s">
        <v>41</v>
      </c>
      <c r="AG3" s="23" t="s">
        <v>371</v>
      </c>
      <c r="AH3" s="214" t="s">
        <v>368</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235</v>
      </c>
      <c r="C4" s="53">
        <v>2019</v>
      </c>
      <c r="D4" s="213" t="s">
        <v>312</v>
      </c>
      <c r="E4" s="53" t="s">
        <v>367</v>
      </c>
      <c r="F4" s="53" t="s">
        <v>368</v>
      </c>
      <c r="G4" s="53" t="s">
        <v>42</v>
      </c>
      <c r="H4" s="53" t="s">
        <v>164</v>
      </c>
      <c r="I4" s="53" t="s">
        <v>198</v>
      </c>
      <c r="J4" s="53" t="s">
        <v>38</v>
      </c>
      <c r="K4" s="53" t="s">
        <v>161</v>
      </c>
      <c r="L4" s="53">
        <v>3</v>
      </c>
      <c r="N4" s="53">
        <v>5</v>
      </c>
      <c r="O4" s="53">
        <v>0.6</v>
      </c>
      <c r="P4" s="53">
        <v>0.7</v>
      </c>
      <c r="Q4" s="110">
        <f t="shared" si="0"/>
        <v>0.64999999999999991</v>
      </c>
      <c r="R4" s="53">
        <v>11.6</v>
      </c>
      <c r="S4" s="53">
        <v>97</v>
      </c>
      <c r="T4" s="16">
        <f t="shared" si="1"/>
        <v>36</v>
      </c>
      <c r="U4" s="53">
        <v>539</v>
      </c>
      <c r="V4" s="16">
        <f t="shared" si="2"/>
        <v>3880.7999999999997</v>
      </c>
      <c r="W4" s="53">
        <v>6</v>
      </c>
      <c r="X4" s="53" t="s">
        <v>46</v>
      </c>
      <c r="Y4" s="53" t="s">
        <v>55</v>
      </c>
      <c r="Z4" s="53" t="s">
        <v>97</v>
      </c>
      <c r="AA4" s="53" t="s">
        <v>88</v>
      </c>
      <c r="AB4" s="53" t="s">
        <v>158</v>
      </c>
      <c r="AE4" s="22" t="s">
        <v>34</v>
      </c>
      <c r="AG4" s="23" t="s">
        <v>372</v>
      </c>
      <c r="AH4" s="214" t="s">
        <v>373</v>
      </c>
      <c r="AJ4" s="27" t="s">
        <v>48</v>
      </c>
      <c r="AL4" s="27" t="s">
        <v>374</v>
      </c>
      <c r="AN4" s="28" t="s">
        <v>49</v>
      </c>
      <c r="AP4" s="23" t="s">
        <v>93</v>
      </c>
      <c r="AR4" s="23" t="s">
        <v>121</v>
      </c>
      <c r="AT4" s="28"/>
      <c r="AV4" s="23" t="s">
        <v>50</v>
      </c>
      <c r="AX4" s="24">
        <v>75</v>
      </c>
      <c r="AY4" s="25">
        <v>42</v>
      </c>
      <c r="AZ4" s="25">
        <v>76</v>
      </c>
      <c r="BA4" s="26">
        <v>39</v>
      </c>
    </row>
    <row r="5" spans="1:53" x14ac:dyDescent="0.15">
      <c r="A5" s="53" t="s">
        <v>56</v>
      </c>
      <c r="B5" s="53" t="s">
        <v>235</v>
      </c>
      <c r="C5" s="53">
        <v>2019</v>
      </c>
      <c r="D5" s="213" t="s">
        <v>312</v>
      </c>
      <c r="E5" s="53" t="s">
        <v>367</v>
      </c>
      <c r="F5" s="53" t="s">
        <v>368</v>
      </c>
      <c r="G5" s="53" t="s">
        <v>42</v>
      </c>
      <c r="H5" s="53" t="s">
        <v>160</v>
      </c>
      <c r="I5" s="53" t="s">
        <v>198</v>
      </c>
      <c r="J5" s="53" t="s">
        <v>38</v>
      </c>
      <c r="K5" s="53" t="s">
        <v>161</v>
      </c>
      <c r="L5" s="53">
        <v>1</v>
      </c>
      <c r="N5" s="53">
        <v>1</v>
      </c>
      <c r="O5" s="53">
        <v>0.85</v>
      </c>
      <c r="P5" s="53">
        <v>0.8</v>
      </c>
      <c r="Q5" s="110">
        <f t="shared" si="0"/>
        <v>0.82499999999999996</v>
      </c>
      <c r="R5" s="53">
        <v>18.100000000000001</v>
      </c>
      <c r="S5" s="53">
        <v>136</v>
      </c>
      <c r="T5" s="16">
        <f t="shared" si="1"/>
        <v>25</v>
      </c>
      <c r="U5" s="53">
        <v>183</v>
      </c>
      <c r="V5" s="16">
        <f t="shared" si="2"/>
        <v>4575</v>
      </c>
      <c r="W5" s="53">
        <v>6</v>
      </c>
      <c r="X5" s="53" t="s">
        <v>46</v>
      </c>
      <c r="Y5" s="53" t="s">
        <v>55</v>
      </c>
      <c r="Z5" s="53" t="s">
        <v>97</v>
      </c>
      <c r="AA5" s="53" t="s">
        <v>88</v>
      </c>
      <c r="AB5" s="53" t="s">
        <v>158</v>
      </c>
      <c r="AE5" s="22" t="s">
        <v>51</v>
      </c>
      <c r="AG5" s="23" t="s">
        <v>375</v>
      </c>
      <c r="AH5" s="214" t="s">
        <v>376</v>
      </c>
      <c r="AJ5" s="28"/>
      <c r="AL5" s="118" t="s">
        <v>66</v>
      </c>
      <c r="AN5" s="118" t="s">
        <v>52</v>
      </c>
      <c r="AP5" s="23" t="s">
        <v>305</v>
      </c>
      <c r="AR5" s="23" t="s">
        <v>54</v>
      </c>
      <c r="AV5" s="23" t="s">
        <v>55</v>
      </c>
      <c r="AX5" s="24">
        <v>84</v>
      </c>
      <c r="AY5" s="25">
        <v>39</v>
      </c>
      <c r="AZ5" s="25">
        <v>84</v>
      </c>
      <c r="BA5" s="26">
        <v>36</v>
      </c>
    </row>
    <row r="6" spans="1:53" x14ac:dyDescent="0.15">
      <c r="A6" s="53" t="s">
        <v>56</v>
      </c>
      <c r="B6" s="53" t="s">
        <v>235</v>
      </c>
      <c r="C6" s="53">
        <v>2019</v>
      </c>
      <c r="D6" s="213" t="s">
        <v>312</v>
      </c>
      <c r="E6" s="53" t="s">
        <v>367</v>
      </c>
      <c r="F6" s="53" t="s">
        <v>368</v>
      </c>
      <c r="G6" s="53" t="s">
        <v>42</v>
      </c>
      <c r="H6" s="53" t="s">
        <v>160</v>
      </c>
      <c r="I6" s="53" t="s">
        <v>198</v>
      </c>
      <c r="J6" s="53" t="s">
        <v>38</v>
      </c>
      <c r="K6" s="53" t="s">
        <v>161</v>
      </c>
      <c r="L6" s="53">
        <v>2</v>
      </c>
      <c r="N6" s="53">
        <v>1</v>
      </c>
      <c r="O6" s="53">
        <v>0.7</v>
      </c>
      <c r="P6" s="53">
        <v>0.75</v>
      </c>
      <c r="Q6" s="110">
        <f t="shared" si="0"/>
        <v>0.72499999999999998</v>
      </c>
      <c r="R6" s="53">
        <v>12.6</v>
      </c>
      <c r="S6" s="53">
        <v>147</v>
      </c>
      <c r="T6" s="16">
        <f t="shared" si="1"/>
        <v>22</v>
      </c>
      <c r="U6" s="53">
        <v>183</v>
      </c>
      <c r="V6" s="16">
        <f t="shared" si="2"/>
        <v>4026</v>
      </c>
      <c r="W6" s="53">
        <v>6</v>
      </c>
      <c r="X6" s="53" t="s">
        <v>46</v>
      </c>
      <c r="Y6" s="53" t="s">
        <v>55</v>
      </c>
      <c r="Z6" s="53" t="s">
        <v>97</v>
      </c>
      <c r="AA6" s="53" t="s">
        <v>88</v>
      </c>
      <c r="AB6" s="53" t="s">
        <v>158</v>
      </c>
      <c r="AE6" s="22" t="s">
        <v>56</v>
      </c>
      <c r="AG6" s="23" t="s">
        <v>377</v>
      </c>
      <c r="AH6" s="214" t="s">
        <v>376</v>
      </c>
      <c r="AL6" s="118" t="s">
        <v>99</v>
      </c>
      <c r="AN6" s="118" t="s">
        <v>57</v>
      </c>
      <c r="AP6" s="23" t="s">
        <v>53</v>
      </c>
      <c r="AR6" s="23" t="s">
        <v>59</v>
      </c>
      <c r="AV6" s="23" t="s">
        <v>60</v>
      </c>
      <c r="AX6" s="24">
        <v>97</v>
      </c>
      <c r="AY6" s="25">
        <v>36</v>
      </c>
      <c r="AZ6" s="25">
        <v>99</v>
      </c>
      <c r="BA6" s="26">
        <v>33</v>
      </c>
    </row>
    <row r="7" spans="1:53" x14ac:dyDescent="0.15">
      <c r="A7" s="53" t="s">
        <v>56</v>
      </c>
      <c r="B7" s="53" t="s">
        <v>235</v>
      </c>
      <c r="C7" s="53">
        <v>2019</v>
      </c>
      <c r="D7" s="213" t="s">
        <v>312</v>
      </c>
      <c r="E7" s="53" t="s">
        <v>367</v>
      </c>
      <c r="F7" s="53" t="s">
        <v>368</v>
      </c>
      <c r="G7" s="53" t="s">
        <v>42</v>
      </c>
      <c r="H7" s="53" t="s">
        <v>160</v>
      </c>
      <c r="I7" s="53" t="s">
        <v>198</v>
      </c>
      <c r="J7" s="53" t="s">
        <v>38</v>
      </c>
      <c r="K7" s="53" t="s">
        <v>161</v>
      </c>
      <c r="L7" s="53">
        <v>3</v>
      </c>
      <c r="N7" s="53">
        <v>1</v>
      </c>
      <c r="O7" s="53">
        <v>0.75</v>
      </c>
      <c r="P7" s="53">
        <v>0.7</v>
      </c>
      <c r="Q7" s="110">
        <f t="shared" si="0"/>
        <v>0.72499999999999998</v>
      </c>
      <c r="R7" s="53">
        <v>18.399999999999999</v>
      </c>
      <c r="S7" s="53">
        <v>136</v>
      </c>
      <c r="T7" s="16">
        <f t="shared" si="1"/>
        <v>25</v>
      </c>
      <c r="U7" s="53">
        <v>183</v>
      </c>
      <c r="V7" s="16">
        <f t="shared" si="2"/>
        <v>4575</v>
      </c>
      <c r="W7" s="53">
        <v>6</v>
      </c>
      <c r="X7" s="53" t="s">
        <v>46</v>
      </c>
      <c r="Y7" s="53" t="s">
        <v>55</v>
      </c>
      <c r="Z7" s="53" t="s">
        <v>97</v>
      </c>
      <c r="AA7" s="53" t="s">
        <v>88</v>
      </c>
      <c r="AB7" s="53" t="s">
        <v>158</v>
      </c>
      <c r="AE7" s="22" t="s">
        <v>61</v>
      </c>
      <c r="AG7" s="23" t="s">
        <v>378</v>
      </c>
      <c r="AH7" s="214" t="s">
        <v>379</v>
      </c>
      <c r="AL7" s="124" t="s">
        <v>109</v>
      </c>
      <c r="AP7" s="23" t="s">
        <v>58</v>
      </c>
      <c r="AR7" s="23" t="s">
        <v>122</v>
      </c>
      <c r="AV7" s="23" t="s">
        <v>64</v>
      </c>
      <c r="AX7" s="24">
        <v>109</v>
      </c>
      <c r="AY7" s="25">
        <v>33</v>
      </c>
      <c r="AZ7" s="25">
        <v>113</v>
      </c>
      <c r="BA7" s="26">
        <v>30</v>
      </c>
    </row>
    <row r="8" spans="1:53" x14ac:dyDescent="0.15">
      <c r="A8" s="53" t="s">
        <v>56</v>
      </c>
      <c r="B8" s="53" t="s">
        <v>235</v>
      </c>
      <c r="C8" s="53">
        <v>2019</v>
      </c>
      <c r="D8" s="213" t="s">
        <v>312</v>
      </c>
      <c r="E8" s="53" t="s">
        <v>380</v>
      </c>
      <c r="F8" s="53" t="s">
        <v>368</v>
      </c>
      <c r="G8" s="53" t="s">
        <v>42</v>
      </c>
      <c r="H8" s="53" t="s">
        <v>164</v>
      </c>
      <c r="I8" s="53" t="s">
        <v>159</v>
      </c>
      <c r="J8" s="53" t="s">
        <v>38</v>
      </c>
      <c r="K8" s="53" t="s">
        <v>161</v>
      </c>
      <c r="L8" s="53">
        <v>1</v>
      </c>
      <c r="N8" s="53">
        <v>1</v>
      </c>
      <c r="O8" s="53">
        <v>0.6</v>
      </c>
      <c r="P8" s="53">
        <v>0.65</v>
      </c>
      <c r="Q8" s="110">
        <f t="shared" si="0"/>
        <v>0.625</v>
      </c>
      <c r="R8" s="53">
        <v>15.9</v>
      </c>
      <c r="S8" s="53">
        <v>151</v>
      </c>
      <c r="T8" s="16">
        <f t="shared" si="1"/>
        <v>22</v>
      </c>
      <c r="U8" s="53">
        <v>138</v>
      </c>
      <c r="V8" s="16">
        <f t="shared" si="2"/>
        <v>3036</v>
      </c>
      <c r="W8" s="53">
        <v>4</v>
      </c>
      <c r="X8" s="53" t="s">
        <v>46</v>
      </c>
      <c r="Y8" s="53" t="s">
        <v>55</v>
      </c>
      <c r="Z8" s="53" t="s">
        <v>88</v>
      </c>
      <c r="AA8" s="53" t="s">
        <v>97</v>
      </c>
      <c r="AB8" s="53" t="s">
        <v>158</v>
      </c>
      <c r="AE8" s="22" t="s">
        <v>59</v>
      </c>
      <c r="AG8" s="23" t="s">
        <v>381</v>
      </c>
      <c r="AH8" s="214" t="s">
        <v>379</v>
      </c>
      <c r="AL8" s="124" t="s">
        <v>134</v>
      </c>
      <c r="AP8" s="23" t="s">
        <v>62</v>
      </c>
      <c r="AR8" s="23" t="s">
        <v>81</v>
      </c>
      <c r="AV8" s="23" t="s">
        <v>97</v>
      </c>
      <c r="AX8" s="24">
        <v>119</v>
      </c>
      <c r="AY8" s="25">
        <v>30</v>
      </c>
      <c r="AZ8" s="25">
        <v>121</v>
      </c>
      <c r="BA8" s="26">
        <v>27</v>
      </c>
    </row>
    <row r="9" spans="1:53" x14ac:dyDescent="0.15">
      <c r="A9" s="53" t="s">
        <v>56</v>
      </c>
      <c r="B9" s="53" t="s">
        <v>235</v>
      </c>
      <c r="C9" s="53">
        <v>2019</v>
      </c>
      <c r="D9" s="213" t="s">
        <v>312</v>
      </c>
      <c r="E9" s="53" t="s">
        <v>380</v>
      </c>
      <c r="F9" s="53" t="s">
        <v>368</v>
      </c>
      <c r="G9" s="53" t="s">
        <v>42</v>
      </c>
      <c r="H9" s="53" t="s">
        <v>164</v>
      </c>
      <c r="I9" s="53" t="s">
        <v>159</v>
      </c>
      <c r="J9" s="53" t="s">
        <v>38</v>
      </c>
      <c r="K9" s="53" t="s">
        <v>161</v>
      </c>
      <c r="L9" s="53">
        <v>2</v>
      </c>
      <c r="N9" s="53">
        <v>1</v>
      </c>
      <c r="O9" s="53">
        <v>0.85</v>
      </c>
      <c r="P9" s="53">
        <v>0.7</v>
      </c>
      <c r="Q9" s="110">
        <f t="shared" si="0"/>
        <v>0.77499999999999991</v>
      </c>
      <c r="R9" s="53">
        <v>14.1</v>
      </c>
      <c r="S9" s="53">
        <v>150</v>
      </c>
      <c r="T9" s="16">
        <f t="shared" si="1"/>
        <v>22</v>
      </c>
      <c r="U9" s="53">
        <v>138</v>
      </c>
      <c r="V9" s="16">
        <f t="shared" si="2"/>
        <v>3036</v>
      </c>
      <c r="W9" s="53">
        <v>4</v>
      </c>
      <c r="X9" s="53" t="s">
        <v>46</v>
      </c>
      <c r="Y9" s="53" t="s">
        <v>55</v>
      </c>
      <c r="Z9" s="53" t="s">
        <v>88</v>
      </c>
      <c r="AA9" s="53" t="s">
        <v>97</v>
      </c>
      <c r="AB9" s="53" t="s">
        <v>158</v>
      </c>
      <c r="AE9" s="22" t="s">
        <v>98</v>
      </c>
      <c r="AG9" s="23" t="s">
        <v>367</v>
      </c>
      <c r="AH9" s="23" t="s">
        <v>368</v>
      </c>
      <c r="AL9" s="118"/>
      <c r="AP9" s="23" t="s">
        <v>95</v>
      </c>
      <c r="AR9" s="23" t="s">
        <v>89</v>
      </c>
      <c r="AV9" s="23" t="s">
        <v>102</v>
      </c>
      <c r="AX9" s="24">
        <v>128</v>
      </c>
      <c r="AY9" s="25">
        <v>27</v>
      </c>
      <c r="AZ9" s="25">
        <v>129</v>
      </c>
      <c r="BA9" s="26">
        <v>25</v>
      </c>
    </row>
    <row r="10" spans="1:53" x14ac:dyDescent="0.15">
      <c r="A10" s="53" t="s">
        <v>56</v>
      </c>
      <c r="B10" s="53" t="s">
        <v>235</v>
      </c>
      <c r="C10" s="53">
        <v>2019</v>
      </c>
      <c r="D10" s="213" t="s">
        <v>312</v>
      </c>
      <c r="E10" s="53" t="s">
        <v>380</v>
      </c>
      <c r="F10" s="53" t="s">
        <v>368</v>
      </c>
      <c r="G10" s="53" t="s">
        <v>42</v>
      </c>
      <c r="H10" s="53" t="s">
        <v>164</v>
      </c>
      <c r="I10" s="53" t="s">
        <v>159</v>
      </c>
      <c r="J10" s="53" t="s">
        <v>38</v>
      </c>
      <c r="K10" s="53" t="s">
        <v>161</v>
      </c>
      <c r="L10" s="53">
        <v>3</v>
      </c>
      <c r="N10" s="53">
        <v>1</v>
      </c>
      <c r="O10" s="53">
        <v>0.65</v>
      </c>
      <c r="P10" s="53">
        <v>0.7</v>
      </c>
      <c r="Q10" s="110">
        <f t="shared" si="0"/>
        <v>0.67500000000000004</v>
      </c>
      <c r="R10" s="53">
        <v>17.899999999999999</v>
      </c>
      <c r="S10" s="53">
        <v>157</v>
      </c>
      <c r="T10" s="16">
        <f t="shared" si="1"/>
        <v>22</v>
      </c>
      <c r="U10" s="53">
        <v>138</v>
      </c>
      <c r="V10" s="16">
        <f t="shared" si="2"/>
        <v>3036</v>
      </c>
      <c r="W10" s="53">
        <v>4</v>
      </c>
      <c r="X10" s="53" t="s">
        <v>46</v>
      </c>
      <c r="Y10" s="53" t="s">
        <v>55</v>
      </c>
      <c r="Z10" s="53" t="s">
        <v>88</v>
      </c>
      <c r="AA10" s="53" t="s">
        <v>97</v>
      </c>
      <c r="AB10" s="53" t="s">
        <v>158</v>
      </c>
      <c r="AE10" s="22" t="s">
        <v>103</v>
      </c>
      <c r="AG10" s="23" t="s">
        <v>378</v>
      </c>
      <c r="AH10" s="214" t="s">
        <v>376</v>
      </c>
      <c r="AL10" s="124"/>
      <c r="AP10" s="23" t="s">
        <v>100</v>
      </c>
      <c r="AR10" s="23" t="s">
        <v>123</v>
      </c>
      <c r="AV10" s="23" t="s">
        <v>106</v>
      </c>
      <c r="AX10" s="24">
        <v>138</v>
      </c>
      <c r="AY10" s="25">
        <v>25</v>
      </c>
      <c r="AZ10" s="25">
        <v>138</v>
      </c>
      <c r="BA10" s="26">
        <v>22</v>
      </c>
    </row>
    <row r="11" spans="1:53" x14ac:dyDescent="0.15">
      <c r="A11" s="53" t="s">
        <v>56</v>
      </c>
      <c r="B11" s="53" t="s">
        <v>235</v>
      </c>
      <c r="C11" s="53">
        <v>2019</v>
      </c>
      <c r="D11" s="213" t="s">
        <v>312</v>
      </c>
      <c r="E11" s="53" t="s">
        <v>380</v>
      </c>
      <c r="F11" s="53" t="s">
        <v>368</v>
      </c>
      <c r="G11" s="53" t="s">
        <v>42</v>
      </c>
      <c r="H11" s="53" t="s">
        <v>160</v>
      </c>
      <c r="I11" s="53" t="s">
        <v>159</v>
      </c>
      <c r="J11" s="53" t="s">
        <v>38</v>
      </c>
      <c r="K11" s="53" t="s">
        <v>161</v>
      </c>
      <c r="L11" s="53">
        <v>1</v>
      </c>
      <c r="N11" s="53">
        <v>1</v>
      </c>
      <c r="O11" s="53">
        <v>0.6</v>
      </c>
      <c r="P11" s="53">
        <v>0.65</v>
      </c>
      <c r="Q11" s="110">
        <f t="shared" si="0"/>
        <v>0.625</v>
      </c>
      <c r="R11" s="53">
        <v>18.100000000000001</v>
      </c>
      <c r="S11" s="53">
        <v>153</v>
      </c>
      <c r="T11" s="16">
        <f t="shared" si="1"/>
        <v>22</v>
      </c>
      <c r="U11" s="53">
        <v>138</v>
      </c>
      <c r="V11" s="16">
        <f t="shared" si="2"/>
        <v>3036</v>
      </c>
      <c r="W11" s="53">
        <v>8</v>
      </c>
      <c r="X11" s="53" t="s">
        <v>46</v>
      </c>
      <c r="Y11" s="53" t="s">
        <v>55</v>
      </c>
      <c r="Z11" s="53" t="s">
        <v>88</v>
      </c>
      <c r="AA11" s="53" t="s">
        <v>97</v>
      </c>
      <c r="AB11" s="53" t="s">
        <v>158</v>
      </c>
      <c r="AE11" s="22" t="s">
        <v>65</v>
      </c>
      <c r="AG11" s="23" t="s">
        <v>377</v>
      </c>
      <c r="AH11" s="214" t="s">
        <v>376</v>
      </c>
      <c r="AJ11" s="124"/>
      <c r="AP11" s="23" t="s">
        <v>104</v>
      </c>
      <c r="AR11" s="23" t="s">
        <v>87</v>
      </c>
      <c r="AV11" s="23" t="s">
        <v>69</v>
      </c>
    </row>
    <row r="12" spans="1:53" x14ac:dyDescent="0.15">
      <c r="A12" s="53" t="s">
        <v>56</v>
      </c>
      <c r="B12" s="53" t="s">
        <v>235</v>
      </c>
      <c r="C12" s="53">
        <v>2019</v>
      </c>
      <c r="D12" s="213" t="s">
        <v>312</v>
      </c>
      <c r="E12" s="53" t="s">
        <v>380</v>
      </c>
      <c r="F12" s="53" t="s">
        <v>368</v>
      </c>
      <c r="G12" s="53" t="s">
        <v>42</v>
      </c>
      <c r="H12" s="53" t="s">
        <v>160</v>
      </c>
      <c r="I12" s="53" t="s">
        <v>159</v>
      </c>
      <c r="J12" s="53" t="s">
        <v>38</v>
      </c>
      <c r="K12" s="53" t="s">
        <v>161</v>
      </c>
      <c r="L12" s="53">
        <v>2</v>
      </c>
      <c r="N12" s="53">
        <v>1</v>
      </c>
      <c r="O12" s="53">
        <v>0.65</v>
      </c>
      <c r="P12" s="53">
        <v>0.65</v>
      </c>
      <c r="Q12" s="110">
        <f t="shared" si="0"/>
        <v>0.65</v>
      </c>
      <c r="R12" s="53">
        <v>18.100000000000001</v>
      </c>
      <c r="S12" s="53">
        <v>145</v>
      </c>
      <c r="T12" s="16">
        <f t="shared" si="1"/>
        <v>22</v>
      </c>
      <c r="U12" s="53">
        <v>138</v>
      </c>
      <c r="V12" s="16">
        <f t="shared" si="2"/>
        <v>3036</v>
      </c>
      <c r="W12" s="53">
        <v>8</v>
      </c>
      <c r="X12" s="53" t="s">
        <v>46</v>
      </c>
      <c r="Y12" s="53" t="s">
        <v>55</v>
      </c>
      <c r="Z12" s="53" t="s">
        <v>88</v>
      </c>
      <c r="AA12" s="53" t="s">
        <v>97</v>
      </c>
      <c r="AB12" s="53" t="s">
        <v>158</v>
      </c>
      <c r="AE12" s="22" t="s">
        <v>70</v>
      </c>
      <c r="AG12" s="23" t="s">
        <v>371</v>
      </c>
      <c r="AH12" s="214" t="s">
        <v>376</v>
      </c>
      <c r="AJ12" s="124"/>
      <c r="AP12" s="23" t="s">
        <v>67</v>
      </c>
      <c r="AR12" s="23" t="s">
        <v>124</v>
      </c>
      <c r="AV12" s="23" t="s">
        <v>72</v>
      </c>
    </row>
    <row r="13" spans="1:53" x14ac:dyDescent="0.15">
      <c r="A13" s="53" t="s">
        <v>56</v>
      </c>
      <c r="B13" s="53" t="s">
        <v>235</v>
      </c>
      <c r="C13" s="53">
        <v>2019</v>
      </c>
      <c r="D13" s="213" t="s">
        <v>312</v>
      </c>
      <c r="E13" s="53" t="s">
        <v>380</v>
      </c>
      <c r="F13" s="53" t="s">
        <v>368</v>
      </c>
      <c r="G13" s="53" t="s">
        <v>42</v>
      </c>
      <c r="H13" s="53" t="s">
        <v>160</v>
      </c>
      <c r="I13" s="53" t="s">
        <v>159</v>
      </c>
      <c r="J13" s="53" t="s">
        <v>38</v>
      </c>
      <c r="K13" s="53" t="s">
        <v>161</v>
      </c>
      <c r="L13" s="53">
        <v>3</v>
      </c>
      <c r="N13" s="53">
        <v>1</v>
      </c>
      <c r="O13" s="53">
        <v>0.55000000000000004</v>
      </c>
      <c r="P13" s="53">
        <v>0.6</v>
      </c>
      <c r="Q13" s="110">
        <f t="shared" si="0"/>
        <v>0.57499999999999996</v>
      </c>
      <c r="R13" s="53">
        <v>17.5</v>
      </c>
      <c r="S13" s="53">
        <v>154</v>
      </c>
      <c r="T13" s="16">
        <f t="shared" si="1"/>
        <v>22</v>
      </c>
      <c r="U13" s="53">
        <v>138</v>
      </c>
      <c r="V13" s="16">
        <f t="shared" si="2"/>
        <v>3036</v>
      </c>
      <c r="W13" s="53">
        <v>8</v>
      </c>
      <c r="X13" s="53" t="s">
        <v>46</v>
      </c>
      <c r="Y13" s="53" t="s">
        <v>55</v>
      </c>
      <c r="Z13" s="53" t="s">
        <v>88</v>
      </c>
      <c r="AA13" s="53" t="s">
        <v>97</v>
      </c>
      <c r="AB13" s="53" t="s">
        <v>158</v>
      </c>
      <c r="AE13" s="22" t="s">
        <v>73</v>
      </c>
      <c r="AP13" s="23" t="s">
        <v>71</v>
      </c>
      <c r="AR13" s="23" t="s">
        <v>103</v>
      </c>
      <c r="AV13" s="23" t="s">
        <v>75</v>
      </c>
    </row>
    <row r="14" spans="1:53" x14ac:dyDescent="0.15">
      <c r="A14" s="53" t="s">
        <v>56</v>
      </c>
      <c r="B14" s="53" t="s">
        <v>235</v>
      </c>
      <c r="C14" s="53">
        <v>2019</v>
      </c>
      <c r="D14" s="213" t="s">
        <v>312</v>
      </c>
      <c r="E14" s="53" t="s">
        <v>162</v>
      </c>
      <c r="F14" s="53" t="s">
        <v>382</v>
      </c>
      <c r="G14" s="53" t="s">
        <v>42</v>
      </c>
      <c r="H14" s="53" t="s">
        <v>164</v>
      </c>
      <c r="I14" s="53" t="s">
        <v>159</v>
      </c>
      <c r="J14" s="53" t="s">
        <v>38</v>
      </c>
      <c r="K14" s="53" t="s">
        <v>161</v>
      </c>
      <c r="L14" s="53">
        <v>1</v>
      </c>
      <c r="N14" s="53">
        <v>1</v>
      </c>
      <c r="O14" s="53">
        <v>0.65</v>
      </c>
      <c r="P14" s="53">
        <v>0.5</v>
      </c>
      <c r="Q14" s="110">
        <f t="shared" si="0"/>
        <v>0.57499999999999996</v>
      </c>
      <c r="R14" s="53">
        <v>17.8</v>
      </c>
      <c r="S14" s="53">
        <v>121</v>
      </c>
      <c r="T14" s="16">
        <f t="shared" si="1"/>
        <v>27</v>
      </c>
      <c r="U14" s="53">
        <v>84</v>
      </c>
      <c r="V14" s="16">
        <f t="shared" si="2"/>
        <v>2268</v>
      </c>
      <c r="W14" s="53">
        <v>4</v>
      </c>
      <c r="X14" s="53" t="s">
        <v>46</v>
      </c>
      <c r="Y14" s="53" t="s">
        <v>78</v>
      </c>
      <c r="Z14" s="53" t="s">
        <v>55</v>
      </c>
      <c r="AA14" s="53" t="s">
        <v>64</v>
      </c>
      <c r="AB14" s="53" t="s">
        <v>239</v>
      </c>
      <c r="AE14" s="22" t="s">
        <v>76</v>
      </c>
      <c r="AP14" s="23" t="s">
        <v>74</v>
      </c>
      <c r="AR14" s="23" t="s">
        <v>125</v>
      </c>
      <c r="AV14" s="23" t="s">
        <v>78</v>
      </c>
    </row>
    <row r="15" spans="1:53" x14ac:dyDescent="0.15">
      <c r="A15" s="53" t="s">
        <v>56</v>
      </c>
      <c r="B15" s="53" t="s">
        <v>235</v>
      </c>
      <c r="C15" s="53">
        <v>2019</v>
      </c>
      <c r="D15" s="213" t="s">
        <v>312</v>
      </c>
      <c r="E15" s="53" t="s">
        <v>162</v>
      </c>
      <c r="F15" s="53" t="s">
        <v>382</v>
      </c>
      <c r="G15" s="53" t="s">
        <v>42</v>
      </c>
      <c r="H15" s="53" t="s">
        <v>164</v>
      </c>
      <c r="I15" s="53" t="s">
        <v>159</v>
      </c>
      <c r="J15" s="53" t="s">
        <v>38</v>
      </c>
      <c r="K15" s="53" t="s">
        <v>161</v>
      </c>
      <c r="L15" s="53">
        <v>2</v>
      </c>
      <c r="N15" s="53">
        <v>1</v>
      </c>
      <c r="O15" s="53">
        <v>0.55000000000000004</v>
      </c>
      <c r="P15" s="53">
        <v>0.6</v>
      </c>
      <c r="Q15" s="110">
        <f t="shared" si="0"/>
        <v>0.57499999999999996</v>
      </c>
      <c r="R15" s="53">
        <v>13</v>
      </c>
      <c r="S15" s="53">
        <v>124</v>
      </c>
      <c r="T15" s="16">
        <f t="shared" si="1"/>
        <v>27</v>
      </c>
      <c r="U15" s="53">
        <v>84</v>
      </c>
      <c r="V15" s="16">
        <f t="shared" si="2"/>
        <v>2268</v>
      </c>
      <c r="W15" s="53">
        <v>4</v>
      </c>
      <c r="X15" s="53" t="s">
        <v>46</v>
      </c>
      <c r="Y15" s="53" t="s">
        <v>78</v>
      </c>
      <c r="Z15" s="53" t="s">
        <v>55</v>
      </c>
      <c r="AA15" s="53" t="s">
        <v>64</v>
      </c>
      <c r="AB15" s="53" t="s">
        <v>158</v>
      </c>
      <c r="AE15" s="22" t="s">
        <v>79</v>
      </c>
      <c r="AP15" s="23" t="s">
        <v>77</v>
      </c>
      <c r="AR15" s="23" t="s">
        <v>94</v>
      </c>
      <c r="AV15" s="23" t="s">
        <v>107</v>
      </c>
    </row>
    <row r="16" spans="1:53" x14ac:dyDescent="0.15">
      <c r="A16" s="53" t="s">
        <v>56</v>
      </c>
      <c r="B16" s="53" t="s">
        <v>235</v>
      </c>
      <c r="C16" s="53">
        <v>2019</v>
      </c>
      <c r="D16" s="213" t="s">
        <v>312</v>
      </c>
      <c r="E16" s="53" t="s">
        <v>162</v>
      </c>
      <c r="F16" s="53" t="s">
        <v>382</v>
      </c>
      <c r="G16" s="53" t="s">
        <v>42</v>
      </c>
      <c r="H16" s="53" t="s">
        <v>164</v>
      </c>
      <c r="I16" s="53" t="s">
        <v>159</v>
      </c>
      <c r="J16" s="53" t="s">
        <v>38</v>
      </c>
      <c r="K16" s="53" t="s">
        <v>161</v>
      </c>
      <c r="L16" s="53">
        <v>3</v>
      </c>
      <c r="N16" s="53">
        <v>1</v>
      </c>
      <c r="O16" s="53">
        <v>0.55000000000000004</v>
      </c>
      <c r="P16" s="53">
        <v>0.6</v>
      </c>
      <c r="Q16" s="110">
        <f t="shared" si="0"/>
        <v>0.57499999999999996</v>
      </c>
      <c r="R16" s="53">
        <v>17.600000000000001</v>
      </c>
      <c r="S16" s="53">
        <v>119</v>
      </c>
      <c r="T16" s="16">
        <f t="shared" si="1"/>
        <v>30</v>
      </c>
      <c r="U16" s="53">
        <v>84</v>
      </c>
      <c r="V16" s="16">
        <f t="shared" si="2"/>
        <v>2520</v>
      </c>
      <c r="W16" s="53">
        <v>4</v>
      </c>
      <c r="X16" s="53" t="s">
        <v>46</v>
      </c>
      <c r="Y16" s="53" t="s">
        <v>78</v>
      </c>
      <c r="Z16" s="53" t="s">
        <v>55</v>
      </c>
      <c r="AA16" s="53" t="s">
        <v>64</v>
      </c>
      <c r="AB16" s="53" t="s">
        <v>158</v>
      </c>
      <c r="AE16" s="22" t="s">
        <v>82</v>
      </c>
      <c r="AP16" s="23" t="s">
        <v>80</v>
      </c>
      <c r="AR16" s="23" t="s">
        <v>63</v>
      </c>
      <c r="AV16" s="23" t="s">
        <v>84</v>
      </c>
    </row>
    <row r="17" spans="1:48" x14ac:dyDescent="0.15">
      <c r="A17" s="53" t="s">
        <v>56</v>
      </c>
      <c r="B17" s="53" t="s">
        <v>235</v>
      </c>
      <c r="C17" s="53">
        <v>2019</v>
      </c>
      <c r="D17" s="213" t="s">
        <v>312</v>
      </c>
      <c r="E17" s="53" t="s">
        <v>162</v>
      </c>
      <c r="F17" s="53" t="s">
        <v>382</v>
      </c>
      <c r="G17" s="53" t="s">
        <v>42</v>
      </c>
      <c r="H17" s="53" t="s">
        <v>160</v>
      </c>
      <c r="I17" s="53" t="s">
        <v>159</v>
      </c>
      <c r="J17" s="53" t="s">
        <v>38</v>
      </c>
      <c r="K17" s="53" t="s">
        <v>161</v>
      </c>
      <c r="L17" s="53">
        <v>1</v>
      </c>
      <c r="N17" s="53">
        <v>1</v>
      </c>
      <c r="O17" s="53">
        <v>0.7</v>
      </c>
      <c r="P17" s="53">
        <v>0.65</v>
      </c>
      <c r="Q17" s="110">
        <f t="shared" si="0"/>
        <v>0.67500000000000004</v>
      </c>
      <c r="R17" s="53">
        <v>15.7</v>
      </c>
      <c r="S17" s="53">
        <v>117</v>
      </c>
      <c r="T17" s="16">
        <f t="shared" si="1"/>
        <v>30</v>
      </c>
      <c r="U17" s="53">
        <v>138</v>
      </c>
      <c r="V17" s="16">
        <f t="shared" si="2"/>
        <v>4140</v>
      </c>
      <c r="W17" s="53">
        <v>4</v>
      </c>
      <c r="X17" s="53" t="s">
        <v>46</v>
      </c>
      <c r="Y17" s="53" t="s">
        <v>78</v>
      </c>
      <c r="Z17" s="53" t="s">
        <v>55</v>
      </c>
      <c r="AA17" s="53" t="s">
        <v>64</v>
      </c>
      <c r="AB17" s="53" t="s">
        <v>158</v>
      </c>
      <c r="AE17" s="22" t="s">
        <v>85</v>
      </c>
      <c r="AP17" s="27" t="s">
        <v>110</v>
      </c>
      <c r="AR17" s="23" t="s">
        <v>96</v>
      </c>
      <c r="AV17" s="23" t="s">
        <v>86</v>
      </c>
    </row>
    <row r="18" spans="1:48" x14ac:dyDescent="0.15">
      <c r="A18" s="53" t="s">
        <v>56</v>
      </c>
      <c r="B18" s="53" t="s">
        <v>235</v>
      </c>
      <c r="C18" s="53">
        <v>2019</v>
      </c>
      <c r="D18" s="213" t="s">
        <v>312</v>
      </c>
      <c r="E18" s="53" t="s">
        <v>162</v>
      </c>
      <c r="F18" s="53" t="s">
        <v>382</v>
      </c>
      <c r="G18" s="53" t="s">
        <v>42</v>
      </c>
      <c r="H18" s="53" t="s">
        <v>160</v>
      </c>
      <c r="I18" s="53" t="s">
        <v>159</v>
      </c>
      <c r="J18" s="53" t="s">
        <v>38</v>
      </c>
      <c r="K18" s="53" t="s">
        <v>161</v>
      </c>
      <c r="L18" s="53">
        <v>2</v>
      </c>
      <c r="N18" s="53">
        <v>1</v>
      </c>
      <c r="O18" s="53">
        <v>0.65</v>
      </c>
      <c r="P18" s="53">
        <v>0.6</v>
      </c>
      <c r="Q18" s="110">
        <f t="shared" si="0"/>
        <v>0.625</v>
      </c>
      <c r="R18" s="53">
        <v>17.899999999999999</v>
      </c>
      <c r="S18" s="53">
        <v>118</v>
      </c>
      <c r="T18" s="16">
        <f t="shared" si="1"/>
        <v>30</v>
      </c>
      <c r="U18" s="53">
        <v>138</v>
      </c>
      <c r="V18" s="16">
        <f t="shared" si="2"/>
        <v>4140</v>
      </c>
      <c r="W18" s="53">
        <v>4</v>
      </c>
      <c r="X18" s="53" t="s">
        <v>46</v>
      </c>
      <c r="Y18" s="53" t="s">
        <v>78</v>
      </c>
      <c r="Z18" s="53" t="s">
        <v>55</v>
      </c>
      <c r="AA18" s="53" t="s">
        <v>64</v>
      </c>
      <c r="AB18" s="53" t="s">
        <v>158</v>
      </c>
      <c r="AE18" s="22" t="s">
        <v>87</v>
      </c>
      <c r="AP18" s="27" t="s">
        <v>111</v>
      </c>
      <c r="AR18" s="23" t="s">
        <v>101</v>
      </c>
      <c r="AV18" s="23" t="s">
        <v>88</v>
      </c>
    </row>
    <row r="19" spans="1:48" x14ac:dyDescent="0.15">
      <c r="A19" s="53" t="s">
        <v>56</v>
      </c>
      <c r="B19" s="53" t="s">
        <v>235</v>
      </c>
      <c r="C19" s="53">
        <v>2019</v>
      </c>
      <c r="D19" s="213" t="s">
        <v>312</v>
      </c>
      <c r="E19" s="53" t="s">
        <v>162</v>
      </c>
      <c r="F19" s="53" t="s">
        <v>382</v>
      </c>
      <c r="G19" s="53" t="s">
        <v>42</v>
      </c>
      <c r="H19" s="53" t="s">
        <v>160</v>
      </c>
      <c r="I19" s="53" t="s">
        <v>159</v>
      </c>
      <c r="J19" s="53" t="s">
        <v>38</v>
      </c>
      <c r="K19" s="53" t="s">
        <v>161</v>
      </c>
      <c r="L19" s="53">
        <v>3</v>
      </c>
      <c r="N19" s="53">
        <v>1</v>
      </c>
      <c r="O19" s="53">
        <v>0.7</v>
      </c>
      <c r="P19" s="53">
        <v>0.65</v>
      </c>
      <c r="Q19" s="110">
        <f t="shared" si="0"/>
        <v>0.67500000000000004</v>
      </c>
      <c r="R19" s="53">
        <v>17.600000000000001</v>
      </c>
      <c r="S19" s="53">
        <v>124</v>
      </c>
      <c r="T19" s="16">
        <f t="shared" si="1"/>
        <v>27</v>
      </c>
      <c r="U19" s="53">
        <v>138</v>
      </c>
      <c r="V19" s="16">
        <f t="shared" si="2"/>
        <v>3726</v>
      </c>
      <c r="W19" s="53">
        <v>4</v>
      </c>
      <c r="X19" s="53" t="s">
        <v>46</v>
      </c>
      <c r="Y19" s="53" t="s">
        <v>78</v>
      </c>
      <c r="Z19" s="53" t="s">
        <v>55</v>
      </c>
      <c r="AA19" s="53" t="s">
        <v>64</v>
      </c>
      <c r="AB19" s="53" t="s">
        <v>158</v>
      </c>
      <c r="AE19" s="35" t="s">
        <v>89</v>
      </c>
      <c r="AP19" s="27" t="s">
        <v>112</v>
      </c>
      <c r="AR19" s="23" t="s">
        <v>126</v>
      </c>
      <c r="AV19" s="23" t="s">
        <v>90</v>
      </c>
    </row>
    <row r="20" spans="1:48" x14ac:dyDescent="0.15">
      <c r="A20" s="53" t="s">
        <v>56</v>
      </c>
      <c r="B20" s="53" t="s">
        <v>235</v>
      </c>
      <c r="C20" s="53">
        <v>2019</v>
      </c>
      <c r="D20" s="213" t="s">
        <v>312</v>
      </c>
      <c r="E20" s="53" t="s">
        <v>383</v>
      </c>
      <c r="F20" s="53" t="s">
        <v>384</v>
      </c>
      <c r="G20" s="53" t="s">
        <v>42</v>
      </c>
      <c r="H20" s="53" t="s">
        <v>164</v>
      </c>
      <c r="I20" s="53" t="s">
        <v>159</v>
      </c>
      <c r="J20" s="53" t="s">
        <v>38</v>
      </c>
      <c r="K20" s="53" t="s">
        <v>161</v>
      </c>
      <c r="L20" s="53">
        <v>1</v>
      </c>
      <c r="N20" s="53">
        <v>8</v>
      </c>
      <c r="O20" s="53">
        <v>0.75</v>
      </c>
      <c r="P20" s="53">
        <v>0.7</v>
      </c>
      <c r="Q20" s="110">
        <f t="shared" si="0"/>
        <v>0.72499999999999998</v>
      </c>
      <c r="R20" s="53">
        <v>17.5</v>
      </c>
      <c r="S20" s="53">
        <v>99</v>
      </c>
      <c r="T20" s="16">
        <f t="shared" si="1"/>
        <v>33</v>
      </c>
      <c r="U20" s="53">
        <v>538</v>
      </c>
      <c r="V20" s="16">
        <f t="shared" si="2"/>
        <v>2219.25</v>
      </c>
      <c r="W20" s="53">
        <v>4</v>
      </c>
      <c r="X20" s="53" t="s">
        <v>46</v>
      </c>
      <c r="Y20" s="53" t="s">
        <v>55</v>
      </c>
      <c r="Z20" s="53" t="s">
        <v>88</v>
      </c>
      <c r="AA20" s="53" t="s">
        <v>97</v>
      </c>
      <c r="AB20" s="53" t="s">
        <v>158</v>
      </c>
      <c r="AP20" s="27" t="s">
        <v>113</v>
      </c>
      <c r="AR20" s="23" t="s">
        <v>105</v>
      </c>
      <c r="AV20" s="27" t="s">
        <v>135</v>
      </c>
    </row>
    <row r="21" spans="1:48" x14ac:dyDescent="0.15">
      <c r="A21" s="53" t="s">
        <v>56</v>
      </c>
      <c r="B21" s="53" t="s">
        <v>235</v>
      </c>
      <c r="C21" s="53">
        <v>2019</v>
      </c>
      <c r="D21" s="213" t="s">
        <v>312</v>
      </c>
      <c r="E21" s="53" t="s">
        <v>383</v>
      </c>
      <c r="F21" s="53" t="s">
        <v>384</v>
      </c>
      <c r="G21" s="53" t="s">
        <v>42</v>
      </c>
      <c r="H21" s="53" t="s">
        <v>164</v>
      </c>
      <c r="I21" s="53" t="s">
        <v>159</v>
      </c>
      <c r="J21" s="53" t="s">
        <v>38</v>
      </c>
      <c r="K21" s="53" t="s">
        <v>161</v>
      </c>
      <c r="L21" s="53">
        <v>2</v>
      </c>
      <c r="N21" s="53">
        <v>8</v>
      </c>
      <c r="O21" s="53">
        <v>0.7</v>
      </c>
      <c r="P21" s="53">
        <v>0.65</v>
      </c>
      <c r="Q21" s="110">
        <f t="shared" si="0"/>
        <v>0.67500000000000004</v>
      </c>
      <c r="R21" s="53">
        <v>12.2</v>
      </c>
      <c r="S21" s="53">
        <v>96</v>
      </c>
      <c r="T21" s="16">
        <f t="shared" si="1"/>
        <v>36</v>
      </c>
      <c r="U21" s="53">
        <v>538</v>
      </c>
      <c r="V21" s="16">
        <f t="shared" si="2"/>
        <v>2421</v>
      </c>
      <c r="W21" s="53">
        <v>4</v>
      </c>
      <c r="X21" s="53" t="s">
        <v>46</v>
      </c>
      <c r="Y21" s="53" t="s">
        <v>55</v>
      </c>
      <c r="Z21" s="53" t="s">
        <v>88</v>
      </c>
      <c r="AA21" s="53" t="s">
        <v>97</v>
      </c>
      <c r="AB21" s="53" t="s">
        <v>158</v>
      </c>
      <c r="AP21" s="27" t="s">
        <v>114</v>
      </c>
      <c r="AR21" s="23" t="s">
        <v>68</v>
      </c>
      <c r="AV21" s="28" t="s">
        <v>263</v>
      </c>
    </row>
    <row r="22" spans="1:48" x14ac:dyDescent="0.15">
      <c r="A22" s="53" t="s">
        <v>56</v>
      </c>
      <c r="B22" s="53" t="s">
        <v>235</v>
      </c>
      <c r="C22" s="53">
        <v>2019</v>
      </c>
      <c r="D22" s="213" t="s">
        <v>312</v>
      </c>
      <c r="E22" s="53" t="s">
        <v>383</v>
      </c>
      <c r="F22" s="53" t="s">
        <v>384</v>
      </c>
      <c r="G22" s="53" t="s">
        <v>42</v>
      </c>
      <c r="H22" s="53" t="s">
        <v>164</v>
      </c>
      <c r="I22" s="53" t="s">
        <v>159</v>
      </c>
      <c r="J22" s="53" t="s">
        <v>38</v>
      </c>
      <c r="K22" s="53" t="s">
        <v>161</v>
      </c>
      <c r="L22" s="53">
        <v>3</v>
      </c>
      <c r="N22" s="53">
        <v>8</v>
      </c>
      <c r="O22" s="53">
        <v>0.7</v>
      </c>
      <c r="P22" s="53">
        <v>0.7</v>
      </c>
      <c r="Q22" s="110">
        <f t="shared" si="0"/>
        <v>0.7</v>
      </c>
      <c r="R22" s="53">
        <v>12.3</v>
      </c>
      <c r="S22" s="53">
        <v>98</v>
      </c>
      <c r="T22" s="16">
        <f t="shared" si="1"/>
        <v>36</v>
      </c>
      <c r="U22" s="53">
        <v>538</v>
      </c>
      <c r="V22" s="16">
        <f t="shared" si="2"/>
        <v>2421</v>
      </c>
      <c r="W22" s="53">
        <v>4</v>
      </c>
      <c r="X22" s="53" t="s">
        <v>46</v>
      </c>
      <c r="Y22" s="53" t="s">
        <v>55</v>
      </c>
      <c r="Z22" s="53" t="s">
        <v>88</v>
      </c>
      <c r="AA22" s="53" t="s">
        <v>97</v>
      </c>
      <c r="AB22" s="53" t="s">
        <v>158</v>
      </c>
      <c r="AP22" s="27" t="s">
        <v>115</v>
      </c>
      <c r="AR22" s="23" t="s">
        <v>83</v>
      </c>
    </row>
    <row r="23" spans="1:48" x14ac:dyDescent="0.15">
      <c r="A23" s="53" t="s">
        <v>56</v>
      </c>
      <c r="B23" s="53" t="s">
        <v>235</v>
      </c>
      <c r="C23" s="53">
        <v>2019</v>
      </c>
      <c r="D23" s="213" t="s">
        <v>312</v>
      </c>
      <c r="E23" s="53" t="s">
        <v>383</v>
      </c>
      <c r="F23" s="53" t="s">
        <v>384</v>
      </c>
      <c r="G23" s="53" t="s">
        <v>42</v>
      </c>
      <c r="H23" s="53" t="s">
        <v>160</v>
      </c>
      <c r="I23" s="53" t="s">
        <v>159</v>
      </c>
      <c r="J23" s="53" t="s">
        <v>38</v>
      </c>
      <c r="K23" s="53" t="s">
        <v>161</v>
      </c>
      <c r="L23" s="53">
        <v>1</v>
      </c>
      <c r="N23" s="53">
        <v>1</v>
      </c>
      <c r="O23" s="53">
        <v>0.6</v>
      </c>
      <c r="P23" s="53">
        <v>0.7</v>
      </c>
      <c r="Q23" s="110">
        <f t="shared" si="0"/>
        <v>0.64999999999999991</v>
      </c>
      <c r="R23" s="53">
        <v>12.3</v>
      </c>
      <c r="S23" s="53">
        <v>125</v>
      </c>
      <c r="T23" s="16">
        <f t="shared" si="1"/>
        <v>27</v>
      </c>
      <c r="U23" s="53">
        <v>138</v>
      </c>
      <c r="V23" s="16">
        <f t="shared" si="2"/>
        <v>3726</v>
      </c>
      <c r="W23" s="53">
        <v>6</v>
      </c>
      <c r="X23" s="53" t="s">
        <v>46</v>
      </c>
      <c r="Y23" s="53" t="s">
        <v>55</v>
      </c>
      <c r="Z23" s="53" t="s">
        <v>88</v>
      </c>
      <c r="AA23" s="53" t="s">
        <v>97</v>
      </c>
      <c r="AB23" s="53" t="s">
        <v>158</v>
      </c>
      <c r="AP23" s="27" t="s">
        <v>137</v>
      </c>
      <c r="AR23" s="23" t="s">
        <v>61</v>
      </c>
    </row>
    <row r="24" spans="1:48" x14ac:dyDescent="0.15">
      <c r="A24" s="53" t="s">
        <v>56</v>
      </c>
      <c r="B24" s="53" t="s">
        <v>235</v>
      </c>
      <c r="C24" s="53">
        <v>2019</v>
      </c>
      <c r="D24" s="213" t="s">
        <v>312</v>
      </c>
      <c r="E24" s="53" t="s">
        <v>383</v>
      </c>
      <c r="F24" s="53" t="s">
        <v>384</v>
      </c>
      <c r="G24" s="53" t="s">
        <v>42</v>
      </c>
      <c r="H24" s="53" t="s">
        <v>160</v>
      </c>
      <c r="I24" s="53" t="s">
        <v>159</v>
      </c>
      <c r="J24" s="53" t="s">
        <v>38</v>
      </c>
      <c r="K24" s="53" t="s">
        <v>161</v>
      </c>
      <c r="L24" s="53">
        <v>2</v>
      </c>
      <c r="N24" s="53">
        <v>1</v>
      </c>
      <c r="O24" s="53">
        <v>0.65</v>
      </c>
      <c r="P24" s="53">
        <v>0.55000000000000004</v>
      </c>
      <c r="Q24" s="110">
        <f t="shared" si="0"/>
        <v>0.60000000000000009</v>
      </c>
      <c r="R24" s="53">
        <v>17.399999999999999</v>
      </c>
      <c r="S24" s="53">
        <v>128</v>
      </c>
      <c r="T24" s="16">
        <f t="shared" si="1"/>
        <v>27</v>
      </c>
      <c r="U24" s="53">
        <v>138</v>
      </c>
      <c r="V24" s="16">
        <f t="shared" si="2"/>
        <v>3726</v>
      </c>
      <c r="W24" s="53">
        <v>6</v>
      </c>
      <c r="X24" s="53" t="s">
        <v>46</v>
      </c>
      <c r="Y24" s="53" t="s">
        <v>55</v>
      </c>
      <c r="Z24" s="53" t="s">
        <v>88</v>
      </c>
      <c r="AA24" s="53" t="s">
        <v>97</v>
      </c>
      <c r="AB24" s="53" t="s">
        <v>158</v>
      </c>
      <c r="AP24" s="27" t="s">
        <v>138</v>
      </c>
      <c r="AR24" s="23" t="s">
        <v>91</v>
      </c>
    </row>
    <row r="25" spans="1:48" x14ac:dyDescent="0.15">
      <c r="A25" s="53" t="s">
        <v>56</v>
      </c>
      <c r="B25" s="53" t="s">
        <v>235</v>
      </c>
      <c r="C25" s="53">
        <v>2019</v>
      </c>
      <c r="D25" s="213" t="s">
        <v>312</v>
      </c>
      <c r="E25" s="53" t="s">
        <v>383</v>
      </c>
      <c r="F25" s="53" t="s">
        <v>384</v>
      </c>
      <c r="G25" s="53" t="s">
        <v>42</v>
      </c>
      <c r="H25" s="53" t="s">
        <v>160</v>
      </c>
      <c r="I25" s="53" t="s">
        <v>159</v>
      </c>
      <c r="J25" s="53" t="s">
        <v>38</v>
      </c>
      <c r="K25" s="53" t="s">
        <v>161</v>
      </c>
      <c r="L25" s="53">
        <v>3</v>
      </c>
      <c r="N25" s="53">
        <v>1</v>
      </c>
      <c r="O25" s="53">
        <v>0.65</v>
      </c>
      <c r="P25" s="53">
        <v>0.65</v>
      </c>
      <c r="Q25" s="110">
        <f t="shared" si="0"/>
        <v>0.65</v>
      </c>
      <c r="R25" s="53">
        <v>12.5</v>
      </c>
      <c r="S25" s="53">
        <v>131</v>
      </c>
      <c r="T25" s="16">
        <f t="shared" si="1"/>
        <v>25</v>
      </c>
      <c r="U25" s="53">
        <v>138</v>
      </c>
      <c r="V25" s="16">
        <f t="shared" si="2"/>
        <v>3450</v>
      </c>
      <c r="W25" s="53">
        <v>6</v>
      </c>
      <c r="X25" s="53" t="s">
        <v>46</v>
      </c>
      <c r="Y25" s="53" t="s">
        <v>55</v>
      </c>
      <c r="Z25" s="53" t="s">
        <v>88</v>
      </c>
      <c r="AA25" s="53" t="s">
        <v>97</v>
      </c>
      <c r="AB25" s="53" t="s">
        <v>158</v>
      </c>
      <c r="AP25" s="27" t="s">
        <v>116</v>
      </c>
      <c r="AR25" s="27" t="s">
        <v>92</v>
      </c>
    </row>
    <row r="26" spans="1:48" x14ac:dyDescent="0.15">
      <c r="A26" s="53" t="s">
        <v>56</v>
      </c>
      <c r="B26" s="53" t="s">
        <v>235</v>
      </c>
      <c r="C26" s="53">
        <v>2019</v>
      </c>
      <c r="D26" s="213" t="s">
        <v>312</v>
      </c>
      <c r="E26" s="53" t="s">
        <v>385</v>
      </c>
      <c r="F26" s="53" t="s">
        <v>382</v>
      </c>
      <c r="G26" s="53" t="s">
        <v>42</v>
      </c>
      <c r="H26" s="53" t="s">
        <v>164</v>
      </c>
      <c r="I26" s="53" t="s">
        <v>159</v>
      </c>
      <c r="J26" s="53" t="s">
        <v>38</v>
      </c>
      <c r="K26" s="53" t="s">
        <v>161</v>
      </c>
      <c r="L26" s="53">
        <v>1</v>
      </c>
      <c r="N26" s="53">
        <v>5</v>
      </c>
      <c r="O26" s="53">
        <v>0.9</v>
      </c>
      <c r="P26" s="53">
        <v>1</v>
      </c>
      <c r="Q26" s="16">
        <f t="shared" si="0"/>
        <v>0.95</v>
      </c>
      <c r="R26" s="53">
        <v>15.1</v>
      </c>
      <c r="S26" s="53">
        <v>93</v>
      </c>
      <c r="T26" s="16">
        <f t="shared" si="1"/>
        <v>36</v>
      </c>
      <c r="U26" s="53">
        <v>418</v>
      </c>
      <c r="V26" s="16">
        <f t="shared" si="2"/>
        <v>3009.6</v>
      </c>
      <c r="W26" s="53">
        <v>3</v>
      </c>
      <c r="X26" s="53" t="s">
        <v>39</v>
      </c>
      <c r="Y26" s="53" t="s">
        <v>55</v>
      </c>
      <c r="Z26" s="53" t="s">
        <v>97</v>
      </c>
      <c r="AA26" s="53" t="s">
        <v>78</v>
      </c>
      <c r="AB26" s="53" t="s">
        <v>158</v>
      </c>
      <c r="AP26" s="27" t="s">
        <v>117</v>
      </c>
      <c r="AR26" s="53" t="s">
        <v>153</v>
      </c>
    </row>
    <row r="27" spans="1:48" x14ac:dyDescent="0.15">
      <c r="A27" s="53" t="s">
        <v>56</v>
      </c>
      <c r="B27" s="53" t="s">
        <v>235</v>
      </c>
      <c r="C27" s="53">
        <v>2019</v>
      </c>
      <c r="D27" s="213" t="s">
        <v>312</v>
      </c>
      <c r="E27" s="53" t="s">
        <v>385</v>
      </c>
      <c r="F27" s="53" t="s">
        <v>382</v>
      </c>
      <c r="G27" s="53" t="s">
        <v>42</v>
      </c>
      <c r="H27" s="53" t="s">
        <v>164</v>
      </c>
      <c r="I27" s="53" t="s">
        <v>159</v>
      </c>
      <c r="J27" s="53" t="s">
        <v>38</v>
      </c>
      <c r="K27" s="53" t="s">
        <v>161</v>
      </c>
      <c r="L27" s="53">
        <v>2</v>
      </c>
      <c r="N27" s="53">
        <v>5</v>
      </c>
      <c r="O27" s="53">
        <v>1.1499999999999999</v>
      </c>
      <c r="P27" s="53">
        <v>1</v>
      </c>
      <c r="Q27" s="16">
        <f t="shared" si="0"/>
        <v>1.075</v>
      </c>
      <c r="R27" s="53">
        <v>14.5</v>
      </c>
      <c r="S27" s="53">
        <v>91</v>
      </c>
      <c r="T27" s="16">
        <f t="shared" si="1"/>
        <v>36</v>
      </c>
      <c r="U27" s="53">
        <v>418</v>
      </c>
      <c r="V27" s="16">
        <f t="shared" si="2"/>
        <v>3009.6</v>
      </c>
      <c r="W27" s="53">
        <v>3</v>
      </c>
      <c r="X27" s="53" t="s">
        <v>39</v>
      </c>
      <c r="Y27" s="53" t="s">
        <v>55</v>
      </c>
      <c r="Z27" s="53" t="s">
        <v>97</v>
      </c>
      <c r="AA27" s="53" t="s">
        <v>78</v>
      </c>
      <c r="AB27" s="53" t="s">
        <v>158</v>
      </c>
      <c r="AP27" s="27" t="s">
        <v>118</v>
      </c>
    </row>
    <row r="28" spans="1:48" x14ac:dyDescent="0.15">
      <c r="A28" s="53" t="s">
        <v>56</v>
      </c>
      <c r="B28" s="53" t="s">
        <v>235</v>
      </c>
      <c r="C28" s="53">
        <v>2019</v>
      </c>
      <c r="D28" s="213" t="s">
        <v>312</v>
      </c>
      <c r="E28" s="53" t="s">
        <v>385</v>
      </c>
      <c r="F28" s="53" t="s">
        <v>382</v>
      </c>
      <c r="G28" s="53" t="s">
        <v>42</v>
      </c>
      <c r="H28" s="53" t="s">
        <v>164</v>
      </c>
      <c r="I28" s="53" t="s">
        <v>159</v>
      </c>
      <c r="J28" s="53" t="s">
        <v>38</v>
      </c>
      <c r="K28" s="53" t="s">
        <v>161</v>
      </c>
      <c r="L28" s="53">
        <v>3</v>
      </c>
      <c r="N28" s="53">
        <v>5</v>
      </c>
      <c r="O28" s="53">
        <v>0.75</v>
      </c>
      <c r="P28" s="53">
        <v>0.75</v>
      </c>
      <c r="Q28" s="16">
        <f t="shared" si="0"/>
        <v>0.75</v>
      </c>
      <c r="R28" s="53">
        <v>12.1</v>
      </c>
      <c r="S28" s="53">
        <v>105</v>
      </c>
      <c r="T28" s="16">
        <f t="shared" si="1"/>
        <v>33</v>
      </c>
      <c r="U28" s="53">
        <v>418</v>
      </c>
      <c r="V28" s="16">
        <f t="shared" si="2"/>
        <v>2758.7999999999997</v>
      </c>
      <c r="W28" s="53">
        <v>3</v>
      </c>
      <c r="X28" s="53" t="s">
        <v>39</v>
      </c>
      <c r="Y28" s="53" t="s">
        <v>55</v>
      </c>
      <c r="Z28" s="53" t="s">
        <v>97</v>
      </c>
      <c r="AA28" s="53" t="s">
        <v>78</v>
      </c>
      <c r="AB28" s="53" t="s">
        <v>158</v>
      </c>
    </row>
    <row r="29" spans="1:48" x14ac:dyDescent="0.15">
      <c r="A29" s="53" t="s">
        <v>56</v>
      </c>
      <c r="B29" s="53" t="s">
        <v>235</v>
      </c>
      <c r="C29" s="53">
        <v>2019</v>
      </c>
      <c r="D29" s="213" t="s">
        <v>312</v>
      </c>
      <c r="E29" s="53" t="s">
        <v>385</v>
      </c>
      <c r="F29" s="53" t="s">
        <v>382</v>
      </c>
      <c r="G29" s="53" t="s">
        <v>42</v>
      </c>
      <c r="H29" s="53" t="s">
        <v>160</v>
      </c>
      <c r="I29" s="53" t="s">
        <v>159</v>
      </c>
      <c r="J29" s="53" t="s">
        <v>38</v>
      </c>
      <c r="K29" s="53" t="s">
        <v>161</v>
      </c>
      <c r="L29" s="53">
        <v>1</v>
      </c>
      <c r="N29" s="53">
        <v>4</v>
      </c>
      <c r="O29" s="53">
        <v>0.75</v>
      </c>
      <c r="P29" s="53">
        <v>0.7</v>
      </c>
      <c r="Q29" s="16">
        <f t="shared" si="0"/>
        <v>0.72499999999999998</v>
      </c>
      <c r="R29" s="53">
        <v>18.399999999999999</v>
      </c>
      <c r="S29" s="53">
        <v>101</v>
      </c>
      <c r="T29" s="16">
        <f t="shared" si="1"/>
        <v>33</v>
      </c>
      <c r="U29" s="53">
        <v>418</v>
      </c>
      <c r="V29" s="16">
        <f t="shared" si="2"/>
        <v>3448.5</v>
      </c>
      <c r="W29" s="53">
        <v>3</v>
      </c>
      <c r="X29" s="53" t="s">
        <v>39</v>
      </c>
      <c r="Y29" s="53" t="s">
        <v>55</v>
      </c>
      <c r="Z29" s="53" t="s">
        <v>97</v>
      </c>
      <c r="AA29" s="53" t="s">
        <v>78</v>
      </c>
      <c r="AB29" s="53" t="s">
        <v>158</v>
      </c>
    </row>
    <row r="30" spans="1:48" x14ac:dyDescent="0.15">
      <c r="A30" s="53" t="s">
        <v>56</v>
      </c>
      <c r="B30" s="53" t="s">
        <v>235</v>
      </c>
      <c r="C30" s="53">
        <v>2019</v>
      </c>
      <c r="D30" s="213" t="s">
        <v>312</v>
      </c>
      <c r="E30" s="53" t="s">
        <v>385</v>
      </c>
      <c r="F30" s="53" t="s">
        <v>382</v>
      </c>
      <c r="G30" s="53" t="s">
        <v>42</v>
      </c>
      <c r="H30" s="53" t="s">
        <v>160</v>
      </c>
      <c r="I30" s="53" t="s">
        <v>159</v>
      </c>
      <c r="J30" s="53" t="s">
        <v>38</v>
      </c>
      <c r="K30" s="53" t="s">
        <v>161</v>
      </c>
      <c r="L30" s="53">
        <v>2</v>
      </c>
      <c r="N30" s="53">
        <v>4</v>
      </c>
      <c r="O30" s="53">
        <v>0.65</v>
      </c>
      <c r="P30" s="53">
        <v>0.65</v>
      </c>
      <c r="Q30" s="16">
        <f t="shared" si="0"/>
        <v>0.65</v>
      </c>
      <c r="R30" s="53">
        <v>18.100000000000001</v>
      </c>
      <c r="S30" s="53">
        <v>95</v>
      </c>
      <c r="T30" s="16">
        <f t="shared" si="1"/>
        <v>36</v>
      </c>
      <c r="U30" s="53">
        <v>418</v>
      </c>
      <c r="V30" s="16">
        <f t="shared" si="2"/>
        <v>3762</v>
      </c>
      <c r="W30" s="53">
        <v>3</v>
      </c>
      <c r="X30" s="53" t="s">
        <v>39</v>
      </c>
      <c r="Y30" s="53" t="s">
        <v>55</v>
      </c>
      <c r="Z30" s="53" t="s">
        <v>97</v>
      </c>
      <c r="AA30" s="53" t="s">
        <v>78</v>
      </c>
      <c r="AB30" s="53" t="s">
        <v>158</v>
      </c>
    </row>
    <row r="31" spans="1:48" x14ac:dyDescent="0.15">
      <c r="A31" s="53" t="s">
        <v>56</v>
      </c>
      <c r="B31" s="53" t="s">
        <v>235</v>
      </c>
      <c r="C31" s="53">
        <v>2019</v>
      </c>
      <c r="D31" s="213" t="s">
        <v>312</v>
      </c>
      <c r="E31" s="53" t="s">
        <v>385</v>
      </c>
      <c r="F31" s="53" t="s">
        <v>382</v>
      </c>
      <c r="G31" s="53" t="s">
        <v>42</v>
      </c>
      <c r="H31" s="53" t="s">
        <v>160</v>
      </c>
      <c r="I31" s="53" t="s">
        <v>159</v>
      </c>
      <c r="J31" s="53" t="s">
        <v>38</v>
      </c>
      <c r="K31" s="53" t="s">
        <v>161</v>
      </c>
      <c r="L31" s="53">
        <v>3</v>
      </c>
      <c r="N31" s="53">
        <v>4</v>
      </c>
      <c r="O31" s="53">
        <v>0.6</v>
      </c>
      <c r="P31" s="53">
        <v>0.65</v>
      </c>
      <c r="Q31" s="16">
        <f t="shared" si="0"/>
        <v>0.625</v>
      </c>
      <c r="R31" s="53">
        <v>17.899999999999999</v>
      </c>
      <c r="S31" s="53">
        <v>92</v>
      </c>
      <c r="T31" s="16">
        <f t="shared" si="1"/>
        <v>36</v>
      </c>
      <c r="U31" s="53">
        <v>418</v>
      </c>
      <c r="V31" s="16">
        <f t="shared" si="2"/>
        <v>3762</v>
      </c>
      <c r="W31" s="53">
        <v>3</v>
      </c>
      <c r="X31" s="53" t="s">
        <v>39</v>
      </c>
      <c r="Y31" s="53" t="s">
        <v>55</v>
      </c>
      <c r="Z31" s="53" t="s">
        <v>97</v>
      </c>
      <c r="AA31" s="53" t="s">
        <v>78</v>
      </c>
      <c r="AB31" s="53" t="s">
        <v>158</v>
      </c>
    </row>
    <row r="32" spans="1:48" x14ac:dyDescent="0.15">
      <c r="A32" s="53" t="s">
        <v>56</v>
      </c>
      <c r="B32" s="53" t="s">
        <v>235</v>
      </c>
      <c r="C32" s="53">
        <v>2019</v>
      </c>
      <c r="D32" s="213" t="s">
        <v>312</v>
      </c>
      <c r="E32" s="53" t="s">
        <v>162</v>
      </c>
      <c r="F32" s="53" t="s">
        <v>379</v>
      </c>
      <c r="G32" s="53" t="s">
        <v>42</v>
      </c>
      <c r="H32" s="53" t="s">
        <v>164</v>
      </c>
      <c r="I32" s="53" t="s">
        <v>159</v>
      </c>
      <c r="J32" s="53" t="s">
        <v>38</v>
      </c>
      <c r="K32" s="53" t="s">
        <v>161</v>
      </c>
      <c r="L32" s="53">
        <v>1</v>
      </c>
      <c r="N32" s="53">
        <v>10</v>
      </c>
      <c r="O32" s="53">
        <v>0.55000000000000004</v>
      </c>
      <c r="P32" s="53">
        <v>0.6</v>
      </c>
      <c r="Q32" s="16">
        <f t="shared" si="0"/>
        <v>0.57499999999999996</v>
      </c>
      <c r="R32" s="53">
        <v>12.2</v>
      </c>
      <c r="S32" s="53">
        <v>77</v>
      </c>
      <c r="T32" s="16">
        <f t="shared" si="1"/>
        <v>39</v>
      </c>
      <c r="U32" s="53">
        <v>538</v>
      </c>
      <c r="V32" s="16">
        <f t="shared" si="2"/>
        <v>2098.1999999999998</v>
      </c>
      <c r="W32" s="53">
        <v>2</v>
      </c>
      <c r="X32" s="53" t="s">
        <v>46</v>
      </c>
      <c r="Y32" s="53" t="s">
        <v>55</v>
      </c>
      <c r="Z32" s="53" t="s">
        <v>60</v>
      </c>
      <c r="AA32" s="53" t="s">
        <v>88</v>
      </c>
      <c r="AB32" s="53" t="s">
        <v>158</v>
      </c>
    </row>
    <row r="33" spans="1:28" x14ac:dyDescent="0.15">
      <c r="A33" s="53" t="s">
        <v>56</v>
      </c>
      <c r="B33" s="53" t="s">
        <v>235</v>
      </c>
      <c r="C33" s="53">
        <v>2019</v>
      </c>
      <c r="D33" s="213" t="s">
        <v>312</v>
      </c>
      <c r="E33" s="53" t="s">
        <v>162</v>
      </c>
      <c r="F33" s="53" t="s">
        <v>379</v>
      </c>
      <c r="G33" s="53" t="s">
        <v>42</v>
      </c>
      <c r="H33" s="53" t="s">
        <v>164</v>
      </c>
      <c r="I33" s="53" t="s">
        <v>159</v>
      </c>
      <c r="J33" s="53" t="s">
        <v>38</v>
      </c>
      <c r="K33" s="53" t="s">
        <v>161</v>
      </c>
      <c r="L33" s="53">
        <v>2</v>
      </c>
      <c r="N33" s="53">
        <v>10</v>
      </c>
      <c r="O33" s="53">
        <v>0.55000000000000004</v>
      </c>
      <c r="P33" s="53">
        <v>0.55000000000000004</v>
      </c>
      <c r="Q33" s="16">
        <f t="shared" si="0"/>
        <v>0.55000000000000004</v>
      </c>
      <c r="R33" s="53">
        <v>11.8</v>
      </c>
      <c r="S33" s="53">
        <v>77</v>
      </c>
      <c r="T33" s="16">
        <f t="shared" si="1"/>
        <v>39</v>
      </c>
      <c r="U33" s="53">
        <v>538</v>
      </c>
      <c r="V33" s="16">
        <f t="shared" si="2"/>
        <v>2098.1999999999998</v>
      </c>
      <c r="W33" s="53">
        <v>2</v>
      </c>
      <c r="X33" s="53" t="s">
        <v>46</v>
      </c>
      <c r="Y33" s="53" t="s">
        <v>55</v>
      </c>
      <c r="Z33" s="53" t="s">
        <v>60</v>
      </c>
      <c r="AA33" s="53" t="s">
        <v>88</v>
      </c>
      <c r="AB33" s="53" t="s">
        <v>158</v>
      </c>
    </row>
    <row r="34" spans="1:28" x14ac:dyDescent="0.15">
      <c r="A34" s="53" t="s">
        <v>56</v>
      </c>
      <c r="B34" s="53" t="s">
        <v>235</v>
      </c>
      <c r="C34" s="53">
        <v>2019</v>
      </c>
      <c r="D34" s="213" t="s">
        <v>312</v>
      </c>
      <c r="E34" s="53" t="s">
        <v>162</v>
      </c>
      <c r="F34" s="53" t="s">
        <v>379</v>
      </c>
      <c r="G34" s="53" t="s">
        <v>42</v>
      </c>
      <c r="H34" s="53" t="s">
        <v>164</v>
      </c>
      <c r="I34" s="53" t="s">
        <v>159</v>
      </c>
      <c r="J34" s="53" t="s">
        <v>38</v>
      </c>
      <c r="K34" s="53" t="s">
        <v>161</v>
      </c>
      <c r="L34" s="53">
        <v>3</v>
      </c>
      <c r="N34" s="53">
        <v>10</v>
      </c>
      <c r="O34" s="53">
        <v>0.6</v>
      </c>
      <c r="P34" s="53">
        <v>0.6</v>
      </c>
      <c r="Q34" s="16">
        <f t="shared" si="0"/>
        <v>0.6</v>
      </c>
      <c r="R34" s="53">
        <v>12</v>
      </c>
      <c r="S34" s="53">
        <v>77</v>
      </c>
      <c r="T34" s="16">
        <f t="shared" si="1"/>
        <v>39</v>
      </c>
      <c r="U34" s="53">
        <v>538</v>
      </c>
      <c r="V34" s="16">
        <f t="shared" si="2"/>
        <v>2098.1999999999998</v>
      </c>
      <c r="W34" s="53">
        <v>2</v>
      </c>
      <c r="X34" s="53" t="s">
        <v>46</v>
      </c>
      <c r="Y34" s="53" t="s">
        <v>55</v>
      </c>
      <c r="Z34" s="53" t="s">
        <v>60</v>
      </c>
      <c r="AA34" s="53" t="s">
        <v>88</v>
      </c>
      <c r="AB34" s="53" t="s">
        <v>158</v>
      </c>
    </row>
    <row r="35" spans="1:28" x14ac:dyDescent="0.15">
      <c r="A35" s="53" t="s">
        <v>56</v>
      </c>
      <c r="B35" s="53" t="s">
        <v>235</v>
      </c>
      <c r="C35" s="53">
        <v>2019</v>
      </c>
      <c r="D35" s="213" t="s">
        <v>312</v>
      </c>
      <c r="E35" s="53" t="s">
        <v>162</v>
      </c>
      <c r="F35" s="53" t="s">
        <v>379</v>
      </c>
      <c r="G35" s="53" t="s">
        <v>42</v>
      </c>
      <c r="H35" s="53" t="s">
        <v>160</v>
      </c>
      <c r="I35" s="53" t="s">
        <v>159</v>
      </c>
      <c r="J35" s="53" t="s">
        <v>38</v>
      </c>
      <c r="K35" s="53" t="s">
        <v>161</v>
      </c>
      <c r="L35" s="53">
        <v>1</v>
      </c>
      <c r="N35" s="53">
        <v>1</v>
      </c>
      <c r="O35" s="53">
        <v>0.6</v>
      </c>
      <c r="P35" s="53">
        <v>0.65</v>
      </c>
      <c r="Q35" s="16">
        <f t="shared" si="0"/>
        <v>0.625</v>
      </c>
      <c r="R35" s="53">
        <v>18.3</v>
      </c>
      <c r="S35" s="53">
        <v>123</v>
      </c>
      <c r="T35" s="16">
        <f t="shared" si="1"/>
        <v>27</v>
      </c>
      <c r="U35" s="53">
        <v>138</v>
      </c>
      <c r="V35" s="16">
        <f t="shared" si="2"/>
        <v>3726</v>
      </c>
      <c r="W35" s="53">
        <v>3</v>
      </c>
      <c r="X35" s="53" t="s">
        <v>46</v>
      </c>
      <c r="Y35" s="53" t="s">
        <v>55</v>
      </c>
      <c r="Z35" s="53" t="s">
        <v>60</v>
      </c>
      <c r="AA35" s="53" t="s">
        <v>88</v>
      </c>
      <c r="AB35" s="53" t="s">
        <v>158</v>
      </c>
    </row>
    <row r="36" spans="1:28" x14ac:dyDescent="0.15">
      <c r="A36" s="53" t="s">
        <v>56</v>
      </c>
      <c r="B36" s="53" t="s">
        <v>235</v>
      </c>
      <c r="C36" s="53">
        <v>2019</v>
      </c>
      <c r="D36" s="213" t="s">
        <v>312</v>
      </c>
      <c r="E36" s="53" t="s">
        <v>162</v>
      </c>
      <c r="F36" s="53" t="s">
        <v>379</v>
      </c>
      <c r="G36" s="53" t="s">
        <v>42</v>
      </c>
      <c r="H36" s="53" t="s">
        <v>160</v>
      </c>
      <c r="I36" s="53" t="s">
        <v>159</v>
      </c>
      <c r="J36" s="53" t="s">
        <v>38</v>
      </c>
      <c r="K36" s="53" t="s">
        <v>161</v>
      </c>
      <c r="L36" s="53">
        <v>2</v>
      </c>
      <c r="N36" s="53">
        <v>1</v>
      </c>
      <c r="O36" s="53">
        <v>0.55000000000000004</v>
      </c>
      <c r="P36" s="53">
        <v>0.55000000000000004</v>
      </c>
      <c r="Q36" s="16">
        <f t="shared" si="0"/>
        <v>0.55000000000000004</v>
      </c>
      <c r="R36" s="53">
        <v>13.5</v>
      </c>
      <c r="S36" s="53">
        <v>119</v>
      </c>
      <c r="T36" s="16">
        <f t="shared" si="1"/>
        <v>30</v>
      </c>
      <c r="U36" s="53">
        <v>138</v>
      </c>
      <c r="V36" s="16">
        <f t="shared" si="2"/>
        <v>4140</v>
      </c>
      <c r="W36" s="53">
        <v>3</v>
      </c>
      <c r="X36" s="53" t="s">
        <v>46</v>
      </c>
      <c r="Y36" s="53" t="s">
        <v>55</v>
      </c>
      <c r="Z36" s="53" t="s">
        <v>60</v>
      </c>
      <c r="AA36" s="53" t="s">
        <v>88</v>
      </c>
      <c r="AB36" s="53" t="s">
        <v>158</v>
      </c>
    </row>
    <row r="37" spans="1:28" x14ac:dyDescent="0.15">
      <c r="A37" s="53" t="s">
        <v>56</v>
      </c>
      <c r="B37" s="53" t="s">
        <v>235</v>
      </c>
      <c r="C37" s="53">
        <v>2019</v>
      </c>
      <c r="D37" s="213" t="s">
        <v>312</v>
      </c>
      <c r="E37" s="53" t="s">
        <v>162</v>
      </c>
      <c r="F37" s="53" t="s">
        <v>379</v>
      </c>
      <c r="G37" s="53" t="s">
        <v>42</v>
      </c>
      <c r="H37" s="53" t="s">
        <v>160</v>
      </c>
      <c r="I37" s="53" t="s">
        <v>159</v>
      </c>
      <c r="J37" s="53" t="s">
        <v>38</v>
      </c>
      <c r="K37" s="53" t="s">
        <v>161</v>
      </c>
      <c r="L37" s="53">
        <v>3</v>
      </c>
      <c r="N37" s="53">
        <v>1</v>
      </c>
      <c r="O37" s="53">
        <v>0.6</v>
      </c>
      <c r="P37" s="53">
        <v>0.55000000000000004</v>
      </c>
      <c r="Q37" s="16">
        <f t="shared" si="0"/>
        <v>0.57499999999999996</v>
      </c>
      <c r="R37" s="53">
        <v>12.9</v>
      </c>
      <c r="S37" s="53">
        <v>121</v>
      </c>
      <c r="T37" s="16">
        <f t="shared" si="1"/>
        <v>27</v>
      </c>
      <c r="U37" s="53">
        <v>138</v>
      </c>
      <c r="V37" s="16">
        <f t="shared" si="2"/>
        <v>3726</v>
      </c>
      <c r="W37" s="53">
        <v>3</v>
      </c>
      <c r="X37" s="53" t="s">
        <v>46</v>
      </c>
      <c r="Y37" s="53" t="s">
        <v>55</v>
      </c>
      <c r="Z37" s="53" t="s">
        <v>60</v>
      </c>
      <c r="AA37" s="53" t="s">
        <v>88</v>
      </c>
      <c r="AB37" s="53" t="s">
        <v>158</v>
      </c>
    </row>
    <row r="38" spans="1:28" x14ac:dyDescent="0.15">
      <c r="A38" s="53" t="s">
        <v>56</v>
      </c>
      <c r="B38" s="53" t="s">
        <v>235</v>
      </c>
      <c r="C38" s="53">
        <v>2019</v>
      </c>
      <c r="D38" s="213" t="s">
        <v>312</v>
      </c>
      <c r="E38" s="53" t="s">
        <v>386</v>
      </c>
      <c r="F38" s="53" t="s">
        <v>379</v>
      </c>
      <c r="G38" s="53" t="s">
        <v>42</v>
      </c>
      <c r="H38" s="53" t="s">
        <v>164</v>
      </c>
      <c r="I38" s="53" t="s">
        <v>159</v>
      </c>
      <c r="J38" s="53" t="s">
        <v>38</v>
      </c>
      <c r="K38" s="53" t="s">
        <v>161</v>
      </c>
      <c r="L38" s="53">
        <v>1</v>
      </c>
      <c r="N38" s="53">
        <v>1</v>
      </c>
      <c r="O38" s="53">
        <v>0.6</v>
      </c>
      <c r="P38" s="53">
        <v>0.55000000000000004</v>
      </c>
      <c r="Q38" s="16">
        <f t="shared" si="0"/>
        <v>0.57499999999999996</v>
      </c>
      <c r="R38" s="53">
        <v>13.4</v>
      </c>
      <c r="S38" s="53">
        <v>126</v>
      </c>
      <c r="T38" s="16">
        <f t="shared" si="1"/>
        <v>27</v>
      </c>
      <c r="U38" s="53">
        <v>138</v>
      </c>
      <c r="V38" s="16">
        <f t="shared" si="2"/>
        <v>3726</v>
      </c>
      <c r="W38" s="53">
        <v>1</v>
      </c>
      <c r="X38" s="53" t="s">
        <v>39</v>
      </c>
      <c r="Y38" s="53" t="s">
        <v>88</v>
      </c>
      <c r="Z38" s="53" t="s">
        <v>78</v>
      </c>
      <c r="AA38" s="53" t="s">
        <v>90</v>
      </c>
      <c r="AB38" s="53" t="s">
        <v>158</v>
      </c>
    </row>
    <row r="39" spans="1:28" x14ac:dyDescent="0.15">
      <c r="A39" s="53" t="s">
        <v>56</v>
      </c>
      <c r="B39" s="53" t="s">
        <v>235</v>
      </c>
      <c r="C39" s="53">
        <v>2019</v>
      </c>
      <c r="D39" s="213" t="s">
        <v>312</v>
      </c>
      <c r="E39" s="53" t="s">
        <v>386</v>
      </c>
      <c r="F39" s="53" t="s">
        <v>379</v>
      </c>
      <c r="G39" s="53" t="s">
        <v>42</v>
      </c>
      <c r="H39" s="53" t="s">
        <v>164</v>
      </c>
      <c r="I39" s="53" t="s">
        <v>159</v>
      </c>
      <c r="J39" s="53" t="s">
        <v>38</v>
      </c>
      <c r="K39" s="53" t="s">
        <v>161</v>
      </c>
      <c r="L39" s="53">
        <v>2</v>
      </c>
      <c r="N39" s="53">
        <v>1</v>
      </c>
      <c r="O39" s="53">
        <v>0.65</v>
      </c>
      <c r="P39" s="53">
        <v>0.6</v>
      </c>
      <c r="Q39" s="16">
        <f t="shared" si="0"/>
        <v>0.625</v>
      </c>
      <c r="R39" s="53">
        <v>14.2</v>
      </c>
      <c r="S39" s="53">
        <v>130</v>
      </c>
      <c r="T39" s="16">
        <f t="shared" si="1"/>
        <v>25</v>
      </c>
      <c r="U39" s="53">
        <v>138</v>
      </c>
      <c r="V39" s="16">
        <f t="shared" si="2"/>
        <v>3450</v>
      </c>
      <c r="W39" s="53">
        <v>1</v>
      </c>
      <c r="X39" s="53" t="s">
        <v>39</v>
      </c>
      <c r="Y39" s="53" t="s">
        <v>88</v>
      </c>
      <c r="Z39" s="53" t="s">
        <v>78</v>
      </c>
      <c r="AA39" s="53" t="s">
        <v>90</v>
      </c>
      <c r="AB39" s="53" t="s">
        <v>158</v>
      </c>
    </row>
    <row r="40" spans="1:28" x14ac:dyDescent="0.15">
      <c r="A40" s="53" t="s">
        <v>56</v>
      </c>
      <c r="B40" s="53" t="s">
        <v>235</v>
      </c>
      <c r="C40" s="53">
        <v>2019</v>
      </c>
      <c r="D40" s="213" t="s">
        <v>312</v>
      </c>
      <c r="E40" s="53" t="s">
        <v>386</v>
      </c>
      <c r="F40" s="53" t="s">
        <v>379</v>
      </c>
      <c r="G40" s="53" t="s">
        <v>42</v>
      </c>
      <c r="H40" s="53" t="s">
        <v>164</v>
      </c>
      <c r="I40" s="53" t="s">
        <v>159</v>
      </c>
      <c r="J40" s="53" t="s">
        <v>38</v>
      </c>
      <c r="K40" s="53" t="s">
        <v>161</v>
      </c>
      <c r="L40" s="53">
        <v>3</v>
      </c>
      <c r="N40" s="53">
        <v>1</v>
      </c>
      <c r="O40" s="53">
        <v>0.6</v>
      </c>
      <c r="P40" s="53">
        <v>0.6</v>
      </c>
      <c r="Q40" s="16">
        <f t="shared" si="0"/>
        <v>0.6</v>
      </c>
      <c r="R40" s="53">
        <v>13.7</v>
      </c>
      <c r="S40" s="53">
        <v>125</v>
      </c>
      <c r="T40" s="16">
        <f t="shared" si="1"/>
        <v>27</v>
      </c>
      <c r="U40" s="53">
        <v>138</v>
      </c>
      <c r="V40" s="16">
        <f t="shared" si="2"/>
        <v>3726</v>
      </c>
      <c r="W40" s="53">
        <v>1</v>
      </c>
      <c r="X40" s="53" t="s">
        <v>39</v>
      </c>
      <c r="Y40" s="53" t="s">
        <v>88</v>
      </c>
      <c r="Z40" s="53" t="s">
        <v>78</v>
      </c>
      <c r="AA40" s="53" t="s">
        <v>90</v>
      </c>
      <c r="AB40" s="53" t="s">
        <v>158</v>
      </c>
    </row>
    <row r="41" spans="1:28" x14ac:dyDescent="0.15">
      <c r="A41" s="53" t="s">
        <v>56</v>
      </c>
      <c r="B41" s="53" t="s">
        <v>235</v>
      </c>
      <c r="C41" s="53">
        <v>2019</v>
      </c>
      <c r="D41" s="213" t="s">
        <v>312</v>
      </c>
      <c r="E41" s="53" t="s">
        <v>386</v>
      </c>
      <c r="F41" s="53" t="s">
        <v>379</v>
      </c>
      <c r="G41" s="53" t="s">
        <v>42</v>
      </c>
      <c r="H41" s="53" t="s">
        <v>160</v>
      </c>
      <c r="I41" s="53" t="s">
        <v>159</v>
      </c>
      <c r="J41" s="53" t="s">
        <v>38</v>
      </c>
      <c r="K41" s="53" t="s">
        <v>161</v>
      </c>
      <c r="L41" s="53">
        <v>1</v>
      </c>
      <c r="N41" s="53">
        <v>1</v>
      </c>
      <c r="O41" s="53">
        <v>0.65</v>
      </c>
      <c r="P41" s="53">
        <v>0.65</v>
      </c>
      <c r="Q41" s="16">
        <f t="shared" si="0"/>
        <v>0.65</v>
      </c>
      <c r="R41" s="53">
        <v>18.399999999999999</v>
      </c>
      <c r="S41" s="53">
        <v>132</v>
      </c>
      <c r="T41" s="16">
        <f t="shared" si="1"/>
        <v>25</v>
      </c>
      <c r="U41" s="53">
        <v>150</v>
      </c>
      <c r="V41" s="16">
        <f t="shared" si="2"/>
        <v>3750</v>
      </c>
      <c r="W41" s="53">
        <v>1</v>
      </c>
      <c r="X41" s="53" t="s">
        <v>39</v>
      </c>
      <c r="Y41" s="53" t="s">
        <v>88</v>
      </c>
      <c r="Z41" s="53" t="s">
        <v>78</v>
      </c>
      <c r="AA41" s="53" t="s">
        <v>90</v>
      </c>
      <c r="AB41" s="53" t="s">
        <v>158</v>
      </c>
    </row>
    <row r="42" spans="1:28" x14ac:dyDescent="0.15">
      <c r="A42" s="53" t="s">
        <v>56</v>
      </c>
      <c r="B42" s="53" t="s">
        <v>235</v>
      </c>
      <c r="C42" s="53">
        <v>2019</v>
      </c>
      <c r="D42" s="213" t="s">
        <v>312</v>
      </c>
      <c r="E42" s="53" t="s">
        <v>386</v>
      </c>
      <c r="F42" s="53" t="s">
        <v>379</v>
      </c>
      <c r="G42" s="53" t="s">
        <v>42</v>
      </c>
      <c r="H42" s="53" t="s">
        <v>160</v>
      </c>
      <c r="I42" s="53" t="s">
        <v>159</v>
      </c>
      <c r="J42" s="53" t="s">
        <v>38</v>
      </c>
      <c r="K42" s="53" t="s">
        <v>161</v>
      </c>
      <c r="L42" s="53">
        <v>2</v>
      </c>
      <c r="N42" s="53">
        <v>1</v>
      </c>
      <c r="O42" s="53">
        <v>0.6</v>
      </c>
      <c r="P42" s="53">
        <v>0.55000000000000004</v>
      </c>
      <c r="Q42" s="16">
        <f t="shared" si="0"/>
        <v>0.57499999999999996</v>
      </c>
      <c r="R42" s="53">
        <v>18.899999999999999</v>
      </c>
      <c r="S42" s="53">
        <v>129</v>
      </c>
      <c r="T42" s="16">
        <f t="shared" si="1"/>
        <v>25</v>
      </c>
      <c r="U42" s="53">
        <v>150</v>
      </c>
      <c r="V42" s="16">
        <f t="shared" si="2"/>
        <v>3750</v>
      </c>
      <c r="W42" s="53">
        <v>1</v>
      </c>
      <c r="X42" s="53" t="s">
        <v>39</v>
      </c>
      <c r="Y42" s="53" t="s">
        <v>88</v>
      </c>
      <c r="Z42" s="53" t="s">
        <v>78</v>
      </c>
      <c r="AA42" s="53" t="s">
        <v>90</v>
      </c>
      <c r="AB42" s="53" t="s">
        <v>158</v>
      </c>
    </row>
    <row r="43" spans="1:28" x14ac:dyDescent="0.15">
      <c r="A43" s="53" t="s">
        <v>56</v>
      </c>
      <c r="B43" s="53" t="s">
        <v>235</v>
      </c>
      <c r="C43" s="53">
        <v>2019</v>
      </c>
      <c r="D43" s="213" t="s">
        <v>312</v>
      </c>
      <c r="E43" s="53" t="s">
        <v>386</v>
      </c>
      <c r="F43" s="53" t="s">
        <v>379</v>
      </c>
      <c r="G43" s="53" t="s">
        <v>42</v>
      </c>
      <c r="H43" s="53" t="s">
        <v>160</v>
      </c>
      <c r="I43" s="53" t="s">
        <v>159</v>
      </c>
      <c r="J43" s="53" t="s">
        <v>38</v>
      </c>
      <c r="K43" s="53" t="s">
        <v>161</v>
      </c>
      <c r="L43" s="53">
        <v>3</v>
      </c>
      <c r="N43" s="53">
        <v>1</v>
      </c>
      <c r="O43" s="53">
        <v>0.65</v>
      </c>
      <c r="P43" s="53">
        <v>0.65</v>
      </c>
      <c r="Q43" s="16">
        <f t="shared" si="0"/>
        <v>0.65</v>
      </c>
      <c r="R43" s="53">
        <v>14.5</v>
      </c>
      <c r="S43" s="53">
        <v>131</v>
      </c>
      <c r="T43" s="16">
        <f t="shared" si="1"/>
        <v>25</v>
      </c>
      <c r="U43" s="53">
        <v>150</v>
      </c>
      <c r="V43" s="16">
        <f t="shared" si="2"/>
        <v>3750</v>
      </c>
      <c r="W43" s="53">
        <v>1</v>
      </c>
      <c r="X43" s="53" t="s">
        <v>39</v>
      </c>
      <c r="Y43" s="53" t="s">
        <v>88</v>
      </c>
      <c r="Z43" s="53" t="s">
        <v>78</v>
      </c>
      <c r="AA43" s="53" t="s">
        <v>90</v>
      </c>
      <c r="AB43" s="53" t="s">
        <v>158</v>
      </c>
    </row>
    <row r="44" spans="1:28" x14ac:dyDescent="0.15">
      <c r="A44" s="53" t="s">
        <v>56</v>
      </c>
      <c r="B44" s="53" t="s">
        <v>235</v>
      </c>
      <c r="C44" s="53">
        <v>2019</v>
      </c>
      <c r="D44" s="213" t="s">
        <v>312</v>
      </c>
      <c r="E44" s="53" t="s">
        <v>387</v>
      </c>
      <c r="F44" s="53" t="s">
        <v>370</v>
      </c>
      <c r="G44" s="53" t="s">
        <v>42</v>
      </c>
      <c r="H44" s="53" t="s">
        <v>164</v>
      </c>
      <c r="I44" s="53" t="s">
        <v>159</v>
      </c>
      <c r="J44" s="53" t="s">
        <v>38</v>
      </c>
      <c r="K44" s="53" t="s">
        <v>161</v>
      </c>
      <c r="L44" s="53">
        <v>1</v>
      </c>
      <c r="N44" s="53">
        <v>5</v>
      </c>
      <c r="O44" s="53">
        <v>0.85</v>
      </c>
      <c r="P44" s="53">
        <v>0.85</v>
      </c>
      <c r="Q44" s="16">
        <f t="shared" si="0"/>
        <v>0.85</v>
      </c>
      <c r="R44" s="53">
        <v>12.5</v>
      </c>
      <c r="S44" s="53">
        <v>96</v>
      </c>
      <c r="T44" s="16">
        <f t="shared" si="1"/>
        <v>36</v>
      </c>
      <c r="U44" s="53">
        <v>429</v>
      </c>
      <c r="V44" s="16">
        <f t="shared" si="2"/>
        <v>3088.7999999999997</v>
      </c>
      <c r="W44" s="53">
        <v>1</v>
      </c>
      <c r="X44" s="53" t="s">
        <v>39</v>
      </c>
      <c r="Y44" s="53" t="s">
        <v>47</v>
      </c>
      <c r="Z44" s="53" t="s">
        <v>55</v>
      </c>
      <c r="AA44" s="53" t="s">
        <v>64</v>
      </c>
      <c r="AB44" s="53" t="s">
        <v>158</v>
      </c>
    </row>
    <row r="45" spans="1:28" x14ac:dyDescent="0.15">
      <c r="A45" s="53" t="s">
        <v>56</v>
      </c>
      <c r="B45" s="53" t="s">
        <v>235</v>
      </c>
      <c r="C45" s="53">
        <v>2019</v>
      </c>
      <c r="D45" s="213" t="s">
        <v>312</v>
      </c>
      <c r="E45" s="53" t="s">
        <v>387</v>
      </c>
      <c r="F45" s="53" t="s">
        <v>370</v>
      </c>
      <c r="G45" s="53" t="s">
        <v>42</v>
      </c>
      <c r="H45" s="53" t="s">
        <v>164</v>
      </c>
      <c r="I45" s="53" t="s">
        <v>159</v>
      </c>
      <c r="J45" s="53" t="s">
        <v>38</v>
      </c>
      <c r="K45" s="53" t="s">
        <v>161</v>
      </c>
      <c r="L45" s="53">
        <v>2</v>
      </c>
      <c r="N45" s="53">
        <v>5</v>
      </c>
      <c r="O45" s="53">
        <v>0.9</v>
      </c>
      <c r="P45" s="53">
        <v>0.85</v>
      </c>
      <c r="Q45" s="16">
        <f t="shared" si="0"/>
        <v>0.875</v>
      </c>
      <c r="R45" s="53">
        <v>17.7</v>
      </c>
      <c r="S45" s="53">
        <v>102</v>
      </c>
      <c r="T45" s="16">
        <f t="shared" si="1"/>
        <v>33</v>
      </c>
      <c r="U45" s="53">
        <v>429</v>
      </c>
      <c r="V45" s="16">
        <f t="shared" si="2"/>
        <v>2831.4</v>
      </c>
      <c r="W45" s="53">
        <v>1</v>
      </c>
      <c r="X45" s="53" t="s">
        <v>39</v>
      </c>
      <c r="Y45" s="53" t="s">
        <v>47</v>
      </c>
      <c r="Z45" s="53" t="s">
        <v>55</v>
      </c>
      <c r="AA45" s="53" t="s">
        <v>64</v>
      </c>
      <c r="AB45" s="53" t="s">
        <v>158</v>
      </c>
    </row>
    <row r="46" spans="1:28" x14ac:dyDescent="0.15">
      <c r="A46" s="53" t="s">
        <v>56</v>
      </c>
      <c r="B46" s="53" t="s">
        <v>235</v>
      </c>
      <c r="C46" s="53">
        <v>2019</v>
      </c>
      <c r="D46" s="213" t="s">
        <v>312</v>
      </c>
      <c r="E46" s="53" t="s">
        <v>387</v>
      </c>
      <c r="F46" s="53" t="s">
        <v>370</v>
      </c>
      <c r="G46" s="53" t="s">
        <v>42</v>
      </c>
      <c r="H46" s="53" t="s">
        <v>164</v>
      </c>
      <c r="I46" s="53" t="s">
        <v>159</v>
      </c>
      <c r="J46" s="53" t="s">
        <v>38</v>
      </c>
      <c r="K46" s="53" t="s">
        <v>161</v>
      </c>
      <c r="L46" s="53">
        <v>3</v>
      </c>
      <c r="N46" s="53">
        <v>5</v>
      </c>
      <c r="O46" s="53">
        <v>0.95</v>
      </c>
      <c r="P46" s="53">
        <v>0.9</v>
      </c>
      <c r="Q46" s="16">
        <f t="shared" si="0"/>
        <v>0.92500000000000004</v>
      </c>
      <c r="R46" s="53">
        <v>13.1</v>
      </c>
      <c r="S46" s="53">
        <v>93</v>
      </c>
      <c r="T46" s="16">
        <f t="shared" si="1"/>
        <v>36</v>
      </c>
      <c r="U46" s="53">
        <v>429</v>
      </c>
      <c r="V46" s="16">
        <f t="shared" si="2"/>
        <v>3088.7999999999997</v>
      </c>
      <c r="W46" s="53">
        <v>1</v>
      </c>
      <c r="X46" s="53" t="s">
        <v>39</v>
      </c>
      <c r="Y46" s="53" t="s">
        <v>47</v>
      </c>
      <c r="Z46" s="53" t="s">
        <v>55</v>
      </c>
      <c r="AA46" s="53" t="s">
        <v>64</v>
      </c>
      <c r="AB46" s="53" t="s">
        <v>158</v>
      </c>
    </row>
    <row r="47" spans="1:28" x14ac:dyDescent="0.15">
      <c r="A47" s="53" t="s">
        <v>56</v>
      </c>
      <c r="B47" s="53" t="s">
        <v>235</v>
      </c>
      <c r="C47" s="53">
        <v>2019</v>
      </c>
      <c r="D47" s="213" t="s">
        <v>312</v>
      </c>
      <c r="E47" s="53" t="s">
        <v>387</v>
      </c>
      <c r="F47" s="53" t="s">
        <v>370</v>
      </c>
      <c r="G47" s="53" t="s">
        <v>42</v>
      </c>
      <c r="H47" s="53" t="s">
        <v>160</v>
      </c>
      <c r="I47" s="53" t="s">
        <v>159</v>
      </c>
      <c r="J47" s="53" t="s">
        <v>38</v>
      </c>
      <c r="K47" s="53" t="s">
        <v>161</v>
      </c>
      <c r="L47" s="53">
        <v>1</v>
      </c>
      <c r="N47" s="53">
        <v>4</v>
      </c>
      <c r="O47" s="53">
        <v>0.55000000000000004</v>
      </c>
      <c r="P47" s="53">
        <v>0.5</v>
      </c>
      <c r="Q47" s="16">
        <f t="shared" si="0"/>
        <v>0.52500000000000002</v>
      </c>
      <c r="R47" s="53">
        <v>13.1</v>
      </c>
      <c r="S47" s="53">
        <v>98</v>
      </c>
      <c r="T47" s="16">
        <f t="shared" si="1"/>
        <v>36</v>
      </c>
      <c r="U47" s="53">
        <v>429</v>
      </c>
      <c r="V47" s="16">
        <f t="shared" si="2"/>
        <v>3861</v>
      </c>
      <c r="W47" s="53">
        <v>1</v>
      </c>
      <c r="X47" s="53" t="s">
        <v>39</v>
      </c>
      <c r="Y47" s="53" t="s">
        <v>47</v>
      </c>
      <c r="Z47" s="53" t="s">
        <v>55</v>
      </c>
      <c r="AA47" s="53" t="s">
        <v>64</v>
      </c>
      <c r="AB47" s="53" t="s">
        <v>158</v>
      </c>
    </row>
    <row r="48" spans="1:28" x14ac:dyDescent="0.15">
      <c r="A48" s="53" t="s">
        <v>56</v>
      </c>
      <c r="B48" s="53" t="s">
        <v>235</v>
      </c>
      <c r="C48" s="53">
        <v>2019</v>
      </c>
      <c r="D48" s="213" t="s">
        <v>312</v>
      </c>
      <c r="E48" s="53" t="s">
        <v>387</v>
      </c>
      <c r="F48" s="53" t="s">
        <v>370</v>
      </c>
      <c r="G48" s="53" t="s">
        <v>42</v>
      </c>
      <c r="H48" s="53" t="s">
        <v>160</v>
      </c>
      <c r="I48" s="53" t="s">
        <v>159</v>
      </c>
      <c r="J48" s="53" t="s">
        <v>38</v>
      </c>
      <c r="K48" s="53" t="s">
        <v>161</v>
      </c>
      <c r="L48" s="53">
        <v>2</v>
      </c>
      <c r="N48" s="53">
        <v>4</v>
      </c>
      <c r="O48" s="53">
        <v>0.55000000000000004</v>
      </c>
      <c r="P48" s="53">
        <v>0.55000000000000004</v>
      </c>
      <c r="Q48" s="16">
        <f t="shared" si="0"/>
        <v>0.55000000000000004</v>
      </c>
      <c r="R48" s="53">
        <v>13.2</v>
      </c>
      <c r="S48" s="53">
        <v>103</v>
      </c>
      <c r="T48" s="16">
        <f t="shared" si="1"/>
        <v>33</v>
      </c>
      <c r="U48" s="53">
        <v>429</v>
      </c>
      <c r="V48" s="16">
        <f t="shared" si="2"/>
        <v>3539.25</v>
      </c>
      <c r="W48" s="53">
        <v>1</v>
      </c>
      <c r="X48" s="53" t="s">
        <v>39</v>
      </c>
      <c r="Y48" s="53" t="s">
        <v>47</v>
      </c>
      <c r="Z48" s="53" t="s">
        <v>55</v>
      </c>
      <c r="AA48" s="53" t="s">
        <v>64</v>
      </c>
      <c r="AB48" s="53" t="s">
        <v>158</v>
      </c>
    </row>
    <row r="49" spans="1:28" x14ac:dyDescent="0.15">
      <c r="A49" s="53" t="s">
        <v>56</v>
      </c>
      <c r="B49" s="53" t="s">
        <v>235</v>
      </c>
      <c r="C49" s="53">
        <v>2019</v>
      </c>
      <c r="D49" s="213" t="s">
        <v>312</v>
      </c>
      <c r="E49" s="53" t="s">
        <v>387</v>
      </c>
      <c r="F49" s="53" t="s">
        <v>370</v>
      </c>
      <c r="G49" s="53" t="s">
        <v>42</v>
      </c>
      <c r="H49" s="53" t="s">
        <v>160</v>
      </c>
      <c r="I49" s="53" t="s">
        <v>159</v>
      </c>
      <c r="J49" s="53" t="s">
        <v>38</v>
      </c>
      <c r="K49" s="53" t="s">
        <v>161</v>
      </c>
      <c r="L49" s="53">
        <v>3</v>
      </c>
      <c r="N49" s="53">
        <v>4</v>
      </c>
      <c r="O49" s="53">
        <v>0.55000000000000004</v>
      </c>
      <c r="P49" s="53">
        <v>0.55000000000000004</v>
      </c>
      <c r="Q49" s="16">
        <f t="shared" si="0"/>
        <v>0.55000000000000004</v>
      </c>
      <c r="R49" s="53">
        <v>13.5</v>
      </c>
      <c r="S49" s="53">
        <v>96</v>
      </c>
      <c r="T49" s="16">
        <f t="shared" si="1"/>
        <v>36</v>
      </c>
      <c r="U49" s="53">
        <v>429</v>
      </c>
      <c r="V49" s="16">
        <f t="shared" si="2"/>
        <v>3861</v>
      </c>
      <c r="W49" s="53">
        <v>1</v>
      </c>
      <c r="X49" s="53" t="s">
        <v>39</v>
      </c>
      <c r="Y49" s="53" t="s">
        <v>47</v>
      </c>
      <c r="Z49" s="53" t="s">
        <v>55</v>
      </c>
      <c r="AA49" s="53" t="s">
        <v>64</v>
      </c>
      <c r="AB49" s="53" t="s">
        <v>158</v>
      </c>
    </row>
    <row r="50" spans="1:28" x14ac:dyDescent="0.15">
      <c r="A50" s="53" t="s">
        <v>56</v>
      </c>
      <c r="B50" s="53" t="s">
        <v>235</v>
      </c>
      <c r="C50" s="53">
        <v>2019</v>
      </c>
      <c r="D50" s="213" t="s">
        <v>312</v>
      </c>
      <c r="E50" s="53" t="s">
        <v>380</v>
      </c>
      <c r="F50" s="53" t="s">
        <v>382</v>
      </c>
      <c r="G50" s="53" t="s">
        <v>42</v>
      </c>
      <c r="H50" s="53" t="s">
        <v>164</v>
      </c>
      <c r="I50" s="53" t="s">
        <v>159</v>
      </c>
      <c r="J50" s="53" t="s">
        <v>38</v>
      </c>
      <c r="K50" s="53" t="s">
        <v>161</v>
      </c>
      <c r="L50" s="53">
        <v>1</v>
      </c>
      <c r="N50" s="53">
        <v>1</v>
      </c>
      <c r="O50" s="53">
        <v>0.65</v>
      </c>
      <c r="P50" s="53">
        <v>0.6</v>
      </c>
      <c r="Q50" s="16">
        <f t="shared" si="0"/>
        <v>0.625</v>
      </c>
      <c r="R50" s="53">
        <v>14.7</v>
      </c>
      <c r="S50" s="53">
        <v>137</v>
      </c>
      <c r="T50" s="16">
        <f t="shared" si="1"/>
        <v>25</v>
      </c>
      <c r="U50" s="53">
        <v>108</v>
      </c>
      <c r="V50" s="16">
        <f t="shared" si="2"/>
        <v>2700</v>
      </c>
      <c r="W50" s="53">
        <v>6</v>
      </c>
      <c r="X50" s="53" t="s">
        <v>46</v>
      </c>
      <c r="Y50" s="53" t="s">
        <v>55</v>
      </c>
      <c r="Z50" s="53" t="s">
        <v>88</v>
      </c>
      <c r="AA50" s="53" t="s">
        <v>97</v>
      </c>
      <c r="AB50" s="53" t="s">
        <v>158</v>
      </c>
    </row>
    <row r="51" spans="1:28" x14ac:dyDescent="0.15">
      <c r="A51" s="53" t="s">
        <v>56</v>
      </c>
      <c r="B51" s="53" t="s">
        <v>235</v>
      </c>
      <c r="C51" s="53">
        <v>2019</v>
      </c>
      <c r="D51" s="213" t="s">
        <v>312</v>
      </c>
      <c r="E51" s="53" t="s">
        <v>380</v>
      </c>
      <c r="F51" s="53" t="s">
        <v>382</v>
      </c>
      <c r="G51" s="53" t="s">
        <v>42</v>
      </c>
      <c r="H51" s="53" t="s">
        <v>164</v>
      </c>
      <c r="I51" s="53" t="s">
        <v>159</v>
      </c>
      <c r="J51" s="53" t="s">
        <v>38</v>
      </c>
      <c r="K51" s="53" t="s">
        <v>161</v>
      </c>
      <c r="L51" s="53">
        <v>2</v>
      </c>
      <c r="N51" s="53">
        <v>1</v>
      </c>
      <c r="O51" s="53">
        <v>0.6</v>
      </c>
      <c r="P51" s="53">
        <v>0.6</v>
      </c>
      <c r="Q51" s="16">
        <f t="shared" si="0"/>
        <v>0.6</v>
      </c>
      <c r="R51" s="53">
        <v>15</v>
      </c>
      <c r="S51" s="53">
        <v>138</v>
      </c>
      <c r="T51" s="16">
        <f t="shared" si="1"/>
        <v>22</v>
      </c>
      <c r="U51" s="53">
        <v>108</v>
      </c>
      <c r="V51" s="16">
        <f t="shared" si="2"/>
        <v>2376</v>
      </c>
      <c r="W51" s="53">
        <v>6</v>
      </c>
      <c r="X51" s="53" t="s">
        <v>46</v>
      </c>
      <c r="Y51" s="53" t="s">
        <v>55</v>
      </c>
      <c r="Z51" s="53" t="s">
        <v>88</v>
      </c>
      <c r="AA51" s="53" t="s">
        <v>97</v>
      </c>
      <c r="AB51" s="53" t="s">
        <v>158</v>
      </c>
    </row>
    <row r="52" spans="1:28" x14ac:dyDescent="0.15">
      <c r="A52" s="53" t="s">
        <v>56</v>
      </c>
      <c r="B52" s="53" t="s">
        <v>235</v>
      </c>
      <c r="C52" s="53">
        <v>2019</v>
      </c>
      <c r="D52" s="213" t="s">
        <v>312</v>
      </c>
      <c r="E52" s="53" t="s">
        <v>380</v>
      </c>
      <c r="F52" s="53" t="s">
        <v>382</v>
      </c>
      <c r="G52" s="53" t="s">
        <v>42</v>
      </c>
      <c r="H52" s="53" t="s">
        <v>164</v>
      </c>
      <c r="I52" s="53" t="s">
        <v>159</v>
      </c>
      <c r="J52" s="53" t="s">
        <v>38</v>
      </c>
      <c r="K52" s="53" t="s">
        <v>161</v>
      </c>
      <c r="L52" s="53">
        <v>3</v>
      </c>
      <c r="N52" s="53">
        <v>1</v>
      </c>
      <c r="O52" s="53">
        <v>0.65</v>
      </c>
      <c r="P52" s="53">
        <v>0.65</v>
      </c>
      <c r="Q52" s="16">
        <f t="shared" si="0"/>
        <v>0.65</v>
      </c>
      <c r="R52" s="53">
        <v>13.2</v>
      </c>
      <c r="S52" s="53">
        <v>142</v>
      </c>
      <c r="T52" s="16">
        <f t="shared" si="1"/>
        <v>22</v>
      </c>
      <c r="U52" s="53">
        <v>108</v>
      </c>
      <c r="V52" s="16">
        <f t="shared" si="2"/>
        <v>2376</v>
      </c>
      <c r="W52" s="53">
        <v>6</v>
      </c>
      <c r="X52" s="53" t="s">
        <v>46</v>
      </c>
      <c r="Y52" s="53" t="s">
        <v>55</v>
      </c>
      <c r="Z52" s="53" t="s">
        <v>88</v>
      </c>
      <c r="AA52" s="53" t="s">
        <v>97</v>
      </c>
      <c r="AB52" s="53" t="s">
        <v>158</v>
      </c>
    </row>
    <row r="53" spans="1:28" x14ac:dyDescent="0.15">
      <c r="A53" s="53" t="s">
        <v>56</v>
      </c>
      <c r="B53" s="53" t="s">
        <v>235</v>
      </c>
      <c r="C53" s="53">
        <v>2019</v>
      </c>
      <c r="D53" s="213" t="s">
        <v>312</v>
      </c>
      <c r="E53" s="53" t="s">
        <v>380</v>
      </c>
      <c r="F53" s="53" t="s">
        <v>382</v>
      </c>
      <c r="G53" s="53" t="s">
        <v>42</v>
      </c>
      <c r="H53" s="53" t="s">
        <v>160</v>
      </c>
      <c r="I53" s="53" t="s">
        <v>159</v>
      </c>
      <c r="J53" s="53" t="s">
        <v>38</v>
      </c>
      <c r="K53" s="53" t="s">
        <v>161</v>
      </c>
      <c r="L53" s="53">
        <v>1</v>
      </c>
      <c r="N53" s="53">
        <v>1</v>
      </c>
      <c r="O53" s="53">
        <v>0.65</v>
      </c>
      <c r="P53" s="53">
        <v>0.7</v>
      </c>
      <c r="Q53" s="16">
        <f t="shared" si="0"/>
        <v>0.67500000000000004</v>
      </c>
      <c r="R53" s="53">
        <v>12.4</v>
      </c>
      <c r="S53" s="53">
        <v>126</v>
      </c>
      <c r="T53" s="16">
        <f t="shared" si="1"/>
        <v>27</v>
      </c>
      <c r="U53" s="53">
        <v>108</v>
      </c>
      <c r="V53" s="16">
        <f t="shared" si="2"/>
        <v>2916</v>
      </c>
      <c r="W53" s="53">
        <v>6</v>
      </c>
      <c r="X53" s="53" t="s">
        <v>46</v>
      </c>
      <c r="Y53" s="53" t="s">
        <v>55</v>
      </c>
      <c r="Z53" s="53" t="s">
        <v>88</v>
      </c>
      <c r="AA53" s="53" t="s">
        <v>97</v>
      </c>
      <c r="AB53" s="53" t="s">
        <v>158</v>
      </c>
    </row>
    <row r="54" spans="1:28" x14ac:dyDescent="0.15">
      <c r="A54" s="53" t="s">
        <v>56</v>
      </c>
      <c r="B54" s="53" t="s">
        <v>235</v>
      </c>
      <c r="C54" s="53">
        <v>2019</v>
      </c>
      <c r="D54" s="213" t="s">
        <v>312</v>
      </c>
      <c r="E54" s="53" t="s">
        <v>380</v>
      </c>
      <c r="F54" s="53" t="s">
        <v>382</v>
      </c>
      <c r="G54" s="53" t="s">
        <v>42</v>
      </c>
      <c r="H54" s="53" t="s">
        <v>160</v>
      </c>
      <c r="I54" s="53" t="s">
        <v>159</v>
      </c>
      <c r="J54" s="53" t="s">
        <v>38</v>
      </c>
      <c r="K54" s="53" t="s">
        <v>161</v>
      </c>
      <c r="L54" s="53">
        <v>2</v>
      </c>
      <c r="N54" s="53">
        <v>1</v>
      </c>
      <c r="O54" s="53">
        <v>0.75</v>
      </c>
      <c r="P54" s="53">
        <v>0.7</v>
      </c>
      <c r="Q54" s="16">
        <f t="shared" si="0"/>
        <v>0.72499999999999998</v>
      </c>
      <c r="R54" s="53">
        <v>12.2</v>
      </c>
      <c r="S54" s="53">
        <v>132</v>
      </c>
      <c r="T54" s="16">
        <f t="shared" si="1"/>
        <v>25</v>
      </c>
      <c r="U54" s="53">
        <v>108</v>
      </c>
      <c r="V54" s="16">
        <f t="shared" si="2"/>
        <v>2700</v>
      </c>
      <c r="W54" s="53">
        <v>6</v>
      </c>
      <c r="X54" s="53" t="s">
        <v>46</v>
      </c>
      <c r="Y54" s="53" t="s">
        <v>55</v>
      </c>
      <c r="Z54" s="53" t="s">
        <v>88</v>
      </c>
      <c r="AA54" s="53" t="s">
        <v>97</v>
      </c>
      <c r="AB54" s="53" t="s">
        <v>158</v>
      </c>
    </row>
    <row r="55" spans="1:28" x14ac:dyDescent="0.15">
      <c r="A55" s="53" t="s">
        <v>56</v>
      </c>
      <c r="B55" s="53" t="s">
        <v>235</v>
      </c>
      <c r="C55" s="53">
        <v>2019</v>
      </c>
      <c r="D55" s="213" t="s">
        <v>312</v>
      </c>
      <c r="E55" s="53" t="s">
        <v>380</v>
      </c>
      <c r="F55" s="53" t="s">
        <v>382</v>
      </c>
      <c r="G55" s="53" t="s">
        <v>42</v>
      </c>
      <c r="H55" s="53" t="s">
        <v>160</v>
      </c>
      <c r="I55" s="53" t="s">
        <v>159</v>
      </c>
      <c r="J55" s="53" t="s">
        <v>38</v>
      </c>
      <c r="K55" s="53" t="s">
        <v>161</v>
      </c>
      <c r="L55" s="53">
        <v>3</v>
      </c>
      <c r="N55" s="53">
        <v>1</v>
      </c>
      <c r="O55" s="53">
        <v>0.7</v>
      </c>
      <c r="P55" s="53">
        <v>0.7</v>
      </c>
      <c r="Q55" s="16">
        <f t="shared" si="0"/>
        <v>0.7</v>
      </c>
      <c r="R55" s="53">
        <v>13.1</v>
      </c>
      <c r="S55" s="53">
        <v>130</v>
      </c>
      <c r="T55" s="16">
        <f t="shared" si="1"/>
        <v>25</v>
      </c>
      <c r="U55" s="53">
        <v>108</v>
      </c>
      <c r="V55" s="16">
        <f t="shared" si="2"/>
        <v>2700</v>
      </c>
      <c r="W55" s="53">
        <v>6</v>
      </c>
      <c r="X55" s="53" t="s">
        <v>46</v>
      </c>
      <c r="Y55" s="53" t="s">
        <v>55</v>
      </c>
      <c r="Z55" s="53" t="s">
        <v>88</v>
      </c>
      <c r="AA55" s="53" t="s">
        <v>97</v>
      </c>
      <c r="AB55" s="53" t="s">
        <v>158</v>
      </c>
    </row>
    <row r="56" spans="1:28" x14ac:dyDescent="0.15">
      <c r="A56" s="53" t="s">
        <v>56</v>
      </c>
      <c r="B56" s="53" t="s">
        <v>235</v>
      </c>
      <c r="C56" s="53">
        <v>2019</v>
      </c>
      <c r="D56" s="213" t="s">
        <v>312</v>
      </c>
      <c r="E56" s="53" t="s">
        <v>388</v>
      </c>
      <c r="F56" s="53" t="s">
        <v>382</v>
      </c>
      <c r="G56" s="53" t="s">
        <v>42</v>
      </c>
      <c r="H56" s="53" t="s">
        <v>164</v>
      </c>
      <c r="I56" s="53" t="s">
        <v>159</v>
      </c>
      <c r="J56" s="53" t="s">
        <v>38</v>
      </c>
      <c r="K56" s="53" t="s">
        <v>161</v>
      </c>
      <c r="L56" s="53">
        <v>1</v>
      </c>
      <c r="N56" s="53">
        <v>5</v>
      </c>
      <c r="O56" s="53">
        <v>0.6</v>
      </c>
      <c r="P56" s="53">
        <v>0.65</v>
      </c>
      <c r="Q56" s="16">
        <f t="shared" si="0"/>
        <v>0.625</v>
      </c>
      <c r="R56" s="53">
        <v>13.2</v>
      </c>
      <c r="S56" s="53">
        <v>90</v>
      </c>
      <c r="T56" s="16">
        <f t="shared" si="1"/>
        <v>36</v>
      </c>
      <c r="U56" s="53">
        <v>430</v>
      </c>
      <c r="V56" s="16">
        <f t="shared" si="2"/>
        <v>3096</v>
      </c>
      <c r="W56" s="53">
        <v>4</v>
      </c>
      <c r="X56" s="53" t="s">
        <v>46</v>
      </c>
      <c r="Y56" s="53" t="s">
        <v>88</v>
      </c>
      <c r="Z56" s="53" t="s">
        <v>78</v>
      </c>
      <c r="AA56" s="53" t="s">
        <v>64</v>
      </c>
      <c r="AB56" s="53" t="s">
        <v>158</v>
      </c>
    </row>
    <row r="57" spans="1:28" x14ac:dyDescent="0.15">
      <c r="A57" s="53" t="s">
        <v>56</v>
      </c>
      <c r="B57" s="53" t="s">
        <v>235</v>
      </c>
      <c r="C57" s="53">
        <v>2019</v>
      </c>
      <c r="D57" s="213" t="s">
        <v>312</v>
      </c>
      <c r="E57" s="53" t="s">
        <v>388</v>
      </c>
      <c r="F57" s="53" t="s">
        <v>382</v>
      </c>
      <c r="G57" s="53" t="s">
        <v>42</v>
      </c>
      <c r="H57" s="53" t="s">
        <v>164</v>
      </c>
      <c r="I57" s="53" t="s">
        <v>159</v>
      </c>
      <c r="J57" s="53" t="s">
        <v>38</v>
      </c>
      <c r="K57" s="53" t="s">
        <v>161</v>
      </c>
      <c r="L57" s="53">
        <v>2</v>
      </c>
      <c r="N57" s="53">
        <v>5</v>
      </c>
      <c r="O57" s="53">
        <v>0.65</v>
      </c>
      <c r="P57" s="53">
        <v>0.65</v>
      </c>
      <c r="Q57" s="16">
        <f t="shared" si="0"/>
        <v>0.65</v>
      </c>
      <c r="R57" s="53">
        <v>13.2</v>
      </c>
      <c r="S57" s="53">
        <v>104</v>
      </c>
      <c r="T57" s="16">
        <f t="shared" si="1"/>
        <v>33</v>
      </c>
      <c r="U57" s="53">
        <v>430</v>
      </c>
      <c r="V57" s="16">
        <f t="shared" si="2"/>
        <v>2838</v>
      </c>
      <c r="W57" s="53">
        <v>4</v>
      </c>
      <c r="X57" s="53" t="s">
        <v>46</v>
      </c>
      <c r="Y57" s="53" t="s">
        <v>88</v>
      </c>
      <c r="Z57" s="53" t="s">
        <v>78</v>
      </c>
      <c r="AA57" s="53" t="s">
        <v>64</v>
      </c>
      <c r="AB57" s="53" t="s">
        <v>158</v>
      </c>
    </row>
    <row r="58" spans="1:28" x14ac:dyDescent="0.15">
      <c r="A58" s="53" t="s">
        <v>56</v>
      </c>
      <c r="B58" s="53" t="s">
        <v>235</v>
      </c>
      <c r="C58" s="53">
        <v>2019</v>
      </c>
      <c r="D58" s="213" t="s">
        <v>312</v>
      </c>
      <c r="E58" s="53" t="s">
        <v>388</v>
      </c>
      <c r="F58" s="53" t="s">
        <v>382</v>
      </c>
      <c r="G58" s="53" t="s">
        <v>42</v>
      </c>
      <c r="H58" s="53" t="s">
        <v>164</v>
      </c>
      <c r="I58" s="53" t="s">
        <v>159</v>
      </c>
      <c r="J58" s="53" t="s">
        <v>38</v>
      </c>
      <c r="K58" s="53" t="s">
        <v>161</v>
      </c>
      <c r="L58" s="53">
        <v>3</v>
      </c>
      <c r="N58" s="53">
        <v>5</v>
      </c>
      <c r="O58" s="53">
        <v>0.65</v>
      </c>
      <c r="P58" s="53">
        <v>0.7</v>
      </c>
      <c r="Q58" s="16">
        <f t="shared" si="0"/>
        <v>0.67500000000000004</v>
      </c>
      <c r="R58" s="53">
        <v>12.1</v>
      </c>
      <c r="S58" s="53">
        <v>89</v>
      </c>
      <c r="T58" s="16">
        <f t="shared" si="1"/>
        <v>36</v>
      </c>
      <c r="U58" s="53">
        <v>430</v>
      </c>
      <c r="V58" s="16">
        <f t="shared" si="2"/>
        <v>3096</v>
      </c>
      <c r="W58" s="53">
        <v>4</v>
      </c>
      <c r="X58" s="53" t="s">
        <v>46</v>
      </c>
      <c r="Y58" s="53" t="s">
        <v>88</v>
      </c>
      <c r="Z58" s="53" t="s">
        <v>78</v>
      </c>
      <c r="AA58" s="53" t="s">
        <v>64</v>
      </c>
      <c r="AB58" s="53" t="s">
        <v>158</v>
      </c>
    </row>
    <row r="59" spans="1:28" x14ac:dyDescent="0.15">
      <c r="A59" s="53" t="s">
        <v>56</v>
      </c>
      <c r="B59" s="53" t="s">
        <v>235</v>
      </c>
      <c r="C59" s="53">
        <v>2019</v>
      </c>
      <c r="D59" s="213" t="s">
        <v>312</v>
      </c>
      <c r="E59" s="53" t="s">
        <v>388</v>
      </c>
      <c r="F59" s="53" t="s">
        <v>382</v>
      </c>
      <c r="G59" s="53" t="s">
        <v>42</v>
      </c>
      <c r="H59" s="53" t="s">
        <v>160</v>
      </c>
      <c r="I59" s="53" t="s">
        <v>159</v>
      </c>
      <c r="J59" s="53" t="s">
        <v>38</v>
      </c>
      <c r="K59" s="53" t="s">
        <v>161</v>
      </c>
      <c r="L59" s="53">
        <v>1</v>
      </c>
      <c r="N59" s="53">
        <v>5</v>
      </c>
      <c r="O59" s="53">
        <v>0.6</v>
      </c>
      <c r="P59" s="53">
        <v>0.55000000000000004</v>
      </c>
      <c r="Q59" s="16">
        <f t="shared" si="0"/>
        <v>0.57499999999999996</v>
      </c>
      <c r="R59" s="53">
        <v>18.100000000000001</v>
      </c>
      <c r="S59" s="53">
        <v>107</v>
      </c>
      <c r="T59" s="16">
        <f t="shared" si="1"/>
        <v>33</v>
      </c>
      <c r="U59" s="53">
        <v>646</v>
      </c>
      <c r="V59" s="16">
        <f t="shared" si="2"/>
        <v>4263.5999999999995</v>
      </c>
      <c r="W59" s="53">
        <v>6</v>
      </c>
      <c r="X59" s="53" t="s">
        <v>46</v>
      </c>
      <c r="Y59" s="53" t="s">
        <v>88</v>
      </c>
      <c r="Z59" s="53" t="s">
        <v>78</v>
      </c>
      <c r="AA59" s="53" t="s">
        <v>64</v>
      </c>
      <c r="AB59" s="53" t="s">
        <v>158</v>
      </c>
    </row>
    <row r="60" spans="1:28" x14ac:dyDescent="0.15">
      <c r="A60" s="53" t="s">
        <v>56</v>
      </c>
      <c r="B60" s="53" t="s">
        <v>235</v>
      </c>
      <c r="C60" s="53">
        <v>2019</v>
      </c>
      <c r="D60" s="213" t="s">
        <v>312</v>
      </c>
      <c r="E60" s="53" t="s">
        <v>388</v>
      </c>
      <c r="F60" s="53" t="s">
        <v>382</v>
      </c>
      <c r="G60" s="53" t="s">
        <v>42</v>
      </c>
      <c r="H60" s="53" t="s">
        <v>160</v>
      </c>
      <c r="I60" s="53" t="s">
        <v>159</v>
      </c>
      <c r="J60" s="53" t="s">
        <v>38</v>
      </c>
      <c r="K60" s="53" t="s">
        <v>161</v>
      </c>
      <c r="L60" s="53">
        <v>2</v>
      </c>
      <c r="N60" s="53">
        <v>5</v>
      </c>
      <c r="O60" s="53">
        <v>0.6</v>
      </c>
      <c r="P60" s="53">
        <v>0.6</v>
      </c>
      <c r="Q60" s="16">
        <f t="shared" si="0"/>
        <v>0.6</v>
      </c>
      <c r="R60" s="53">
        <v>17.7</v>
      </c>
      <c r="S60" s="53">
        <v>118</v>
      </c>
      <c r="T60" s="16">
        <f t="shared" si="1"/>
        <v>30</v>
      </c>
      <c r="U60" s="53">
        <v>646</v>
      </c>
      <c r="V60" s="16">
        <f t="shared" si="2"/>
        <v>3875.9999999999995</v>
      </c>
      <c r="W60" s="53">
        <v>6</v>
      </c>
      <c r="X60" s="53" t="s">
        <v>46</v>
      </c>
      <c r="Y60" s="53" t="s">
        <v>88</v>
      </c>
      <c r="Z60" s="53" t="s">
        <v>78</v>
      </c>
      <c r="AA60" s="53" t="s">
        <v>64</v>
      </c>
      <c r="AB60" s="53" t="s">
        <v>158</v>
      </c>
    </row>
    <row r="61" spans="1:28" x14ac:dyDescent="0.15">
      <c r="A61" s="53" t="s">
        <v>56</v>
      </c>
      <c r="B61" s="53" t="s">
        <v>235</v>
      </c>
      <c r="C61" s="53">
        <v>2019</v>
      </c>
      <c r="D61" s="213" t="s">
        <v>312</v>
      </c>
      <c r="E61" s="53" t="s">
        <v>388</v>
      </c>
      <c r="F61" s="53" t="s">
        <v>382</v>
      </c>
      <c r="G61" s="53" t="s">
        <v>42</v>
      </c>
      <c r="H61" s="53" t="s">
        <v>160</v>
      </c>
      <c r="I61" s="53" t="s">
        <v>159</v>
      </c>
      <c r="J61" s="53" t="s">
        <v>38</v>
      </c>
      <c r="K61" s="53" t="s">
        <v>161</v>
      </c>
      <c r="L61" s="53">
        <v>3</v>
      </c>
      <c r="N61" s="53">
        <v>5</v>
      </c>
      <c r="O61" s="53">
        <v>0.65</v>
      </c>
      <c r="P61" s="53">
        <v>0.6</v>
      </c>
      <c r="Q61" s="16">
        <f t="shared" si="0"/>
        <v>0.625</v>
      </c>
      <c r="R61" s="53">
        <v>13.7</v>
      </c>
      <c r="S61" s="53">
        <v>112</v>
      </c>
      <c r="T61" s="16">
        <f t="shared" si="1"/>
        <v>33</v>
      </c>
      <c r="U61" s="53">
        <v>646</v>
      </c>
      <c r="V61" s="16">
        <f t="shared" si="2"/>
        <v>4263.5999999999995</v>
      </c>
      <c r="W61" s="53">
        <v>6</v>
      </c>
      <c r="X61" s="53" t="s">
        <v>46</v>
      </c>
      <c r="Y61" s="53" t="s">
        <v>88</v>
      </c>
      <c r="Z61" s="53" t="s">
        <v>78</v>
      </c>
      <c r="AA61" s="53" t="s">
        <v>64</v>
      </c>
      <c r="AB61" s="53" t="s">
        <v>158</v>
      </c>
    </row>
    <row r="62" spans="1:28" x14ac:dyDescent="0.15">
      <c r="D62" s="213"/>
    </row>
    <row r="63" spans="1:28" x14ac:dyDescent="0.15">
      <c r="D63" s="213"/>
    </row>
    <row r="64" spans="1:28" x14ac:dyDescent="0.15">
      <c r="D64" s="213"/>
    </row>
    <row r="65" spans="4:4" x14ac:dyDescent="0.15">
      <c r="D65" s="213"/>
    </row>
    <row r="66" spans="4:4" x14ac:dyDescent="0.15">
      <c r="D66" s="213"/>
    </row>
    <row r="67" spans="4:4" x14ac:dyDescent="0.15">
      <c r="D67" s="213"/>
    </row>
    <row r="68" spans="4:4" x14ac:dyDescent="0.15">
      <c r="D68" s="213"/>
    </row>
    <row r="69" spans="4:4" x14ac:dyDescent="0.15">
      <c r="D69" s="213"/>
    </row>
    <row r="70" spans="4:4" x14ac:dyDescent="0.15">
      <c r="D70" s="213"/>
    </row>
    <row r="71" spans="4:4" x14ac:dyDescent="0.15">
      <c r="D71" s="213"/>
    </row>
    <row r="72" spans="4:4" x14ac:dyDescent="0.15">
      <c r="D72" s="213"/>
    </row>
    <row r="73" spans="4:4" x14ac:dyDescent="0.15">
      <c r="D73" s="213"/>
    </row>
    <row r="74" spans="4:4" x14ac:dyDescent="0.15">
      <c r="D74" s="213"/>
    </row>
    <row r="75" spans="4:4" x14ac:dyDescent="0.15">
      <c r="D75" s="213"/>
    </row>
    <row r="76" spans="4:4" x14ac:dyDescent="0.15">
      <c r="D76" s="213"/>
    </row>
    <row r="77" spans="4:4" x14ac:dyDescent="0.15">
      <c r="D77" s="213"/>
    </row>
    <row r="78" spans="4:4" x14ac:dyDescent="0.15">
      <c r="D78" s="213"/>
    </row>
    <row r="79" spans="4:4" x14ac:dyDescent="0.15">
      <c r="D79" s="213"/>
    </row>
    <row r="80" spans="4:4" x14ac:dyDescent="0.15">
      <c r="D80" s="213"/>
    </row>
    <row r="81" spans="4:4" x14ac:dyDescent="0.15">
      <c r="D81" s="213"/>
    </row>
    <row r="82" spans="4:4" x14ac:dyDescent="0.15">
      <c r="D82" s="213"/>
    </row>
  </sheetData>
  <autoFilter ref="A1:BA52" xr:uid="{00000000-0009-0000-0000-000002000000}"/>
  <phoneticPr fontId="3"/>
  <dataValidations count="18">
    <dataValidation type="list" allowBlank="1" showInputMessage="1" showErrorMessage="1" sqref="K2:K450" xr:uid="{A15196F6-4F4C-47D4-B507-E692FBC879EA}">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B817D4FB-12D2-4905-B2BD-FDDB7CBA31DE}">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97B68662-DC61-44A6-B9B1-90231BEA70D7}">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18C854F5-F72D-4BF6-80E1-BC55144E5E63}">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419DF2D3-21C1-48B5-9826-A92F4446D48D}">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CD9269B0-C297-4A8F-B33E-FB2A641EBC1E}"/>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1E6824AE-B319-46AD-B3A3-358CB6BB77C1}">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3A40BE90-660E-4E31-AA8F-045EB724BAA5}">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026C1EE5-A833-4FB5-9767-F811BB066D48}">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7095C219-1020-4B23-94F0-68B99E361DA7}">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E586B21F-3BE0-40F6-8654-4D0860D381E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48097D12-41C0-4A89-9D69-A35B1B92CA7D}">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67B158C5-AA33-48A5-9E49-D9577A0FF9D9}">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FB69F534-31FD-4AC3-8B80-E52F667C3C6E}">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E00536F2-5FCD-44B6-807C-4BE0693684D2}">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P2:P500 O62:O500" xr:uid="{D2455BD2-0AAB-4A18-8DDE-4BAE1FFF2941}">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D58E3413-0005-4280-A380-01488DAEBAC3}">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6CF0C802-415E-474E-B075-D1EFE6C9375C}">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5017-3CAB-4A22-82C0-7406F15C1DE6}">
  <dimension ref="A1:BA91"/>
  <sheetViews>
    <sheetView zoomScale="85" zoomScaleNormal="85" workbookViewId="0">
      <selection activeCell="AB25" sqref="AB25"/>
    </sheetView>
  </sheetViews>
  <sheetFormatPr defaultColWidth="9" defaultRowHeight="13.5" x14ac:dyDescent="0.15"/>
  <cols>
    <col min="1" max="3" width="9" style="180"/>
    <col min="4" max="4" width="10.5" style="180" customWidth="1"/>
    <col min="5" max="16" width="9" style="180"/>
    <col min="17" max="17" width="9" style="190"/>
    <col min="18" max="18" width="9" style="180"/>
    <col min="19" max="19" width="9.5" style="180" customWidth="1"/>
    <col min="20" max="20" width="9" style="190"/>
    <col min="21" max="21" width="9" style="180"/>
    <col min="22" max="22" width="9" style="190"/>
    <col min="23" max="23" width="10.5" style="180" customWidth="1"/>
    <col min="24" max="32" width="9" style="180"/>
    <col min="33" max="33" width="19.625" style="180" customWidth="1"/>
    <col min="34" max="34" width="9.375" style="180" customWidth="1"/>
    <col min="35" max="259" width="9" style="180"/>
    <col min="260" max="260" width="10.5" style="180" customWidth="1"/>
    <col min="261" max="274" width="9" style="180"/>
    <col min="275" max="275" width="9.5" style="180" customWidth="1"/>
    <col min="276" max="278" width="9" style="180"/>
    <col min="279" max="279" width="10.5" style="180" customWidth="1"/>
    <col min="280" max="515" width="9" style="180"/>
    <col min="516" max="516" width="10.5" style="180" customWidth="1"/>
    <col min="517" max="530" width="9" style="180"/>
    <col min="531" max="531" width="9.5" style="180" customWidth="1"/>
    <col min="532" max="534" width="9" style="180"/>
    <col min="535" max="535" width="10.5" style="180" customWidth="1"/>
    <col min="536" max="771" width="9" style="180"/>
    <col min="772" max="772" width="10.5" style="180" customWidth="1"/>
    <col min="773" max="786" width="9" style="180"/>
    <col min="787" max="787" width="9.5" style="180" customWidth="1"/>
    <col min="788" max="790" width="9" style="180"/>
    <col min="791" max="791" width="10.5" style="180" customWidth="1"/>
    <col min="792" max="1027" width="9" style="180"/>
    <col min="1028" max="1028" width="10.5" style="180" customWidth="1"/>
    <col min="1029" max="1042" width="9" style="180"/>
    <col min="1043" max="1043" width="9.5" style="180" customWidth="1"/>
    <col min="1044" max="1046" width="9" style="180"/>
    <col min="1047" max="1047" width="10.5" style="180" customWidth="1"/>
    <col min="1048" max="1283" width="9" style="180"/>
    <col min="1284" max="1284" width="10.5" style="180" customWidth="1"/>
    <col min="1285" max="1298" width="9" style="180"/>
    <col min="1299" max="1299" width="9.5" style="180" customWidth="1"/>
    <col min="1300" max="1302" width="9" style="180"/>
    <col min="1303" max="1303" width="10.5" style="180" customWidth="1"/>
    <col min="1304" max="1539" width="9" style="180"/>
    <col min="1540" max="1540" width="10.5" style="180" customWidth="1"/>
    <col min="1541" max="1554" width="9" style="180"/>
    <col min="1555" max="1555" width="9.5" style="180" customWidth="1"/>
    <col min="1556" max="1558" width="9" style="180"/>
    <col min="1559" max="1559" width="10.5" style="180" customWidth="1"/>
    <col min="1560" max="1795" width="9" style="180"/>
    <col min="1796" max="1796" width="10.5" style="180" customWidth="1"/>
    <col min="1797" max="1810" width="9" style="180"/>
    <col min="1811" max="1811" width="9.5" style="180" customWidth="1"/>
    <col min="1812" max="1814" width="9" style="180"/>
    <col min="1815" max="1815" width="10.5" style="180" customWidth="1"/>
    <col min="1816" max="2051" width="9" style="180"/>
    <col min="2052" max="2052" width="10.5" style="180" customWidth="1"/>
    <col min="2053" max="2066" width="9" style="180"/>
    <col min="2067" max="2067" width="9.5" style="180" customWidth="1"/>
    <col min="2068" max="2070" width="9" style="180"/>
    <col min="2071" max="2071" width="10.5" style="180" customWidth="1"/>
    <col min="2072" max="2307" width="9" style="180"/>
    <col min="2308" max="2308" width="10.5" style="180" customWidth="1"/>
    <col min="2309" max="2322" width="9" style="180"/>
    <col min="2323" max="2323" width="9.5" style="180" customWidth="1"/>
    <col min="2324" max="2326" width="9" style="180"/>
    <col min="2327" max="2327" width="10.5" style="180" customWidth="1"/>
    <col min="2328" max="2563" width="9" style="180"/>
    <col min="2564" max="2564" width="10.5" style="180" customWidth="1"/>
    <col min="2565" max="2578" width="9" style="180"/>
    <col min="2579" max="2579" width="9.5" style="180" customWidth="1"/>
    <col min="2580" max="2582" width="9" style="180"/>
    <col min="2583" max="2583" width="10.5" style="180" customWidth="1"/>
    <col min="2584" max="2819" width="9" style="180"/>
    <col min="2820" max="2820" width="10.5" style="180" customWidth="1"/>
    <col min="2821" max="2834" width="9" style="180"/>
    <col min="2835" max="2835" width="9.5" style="180" customWidth="1"/>
    <col min="2836" max="2838" width="9" style="180"/>
    <col min="2839" max="2839" width="10.5" style="180" customWidth="1"/>
    <col min="2840" max="3075" width="9" style="180"/>
    <col min="3076" max="3076" width="10.5" style="180" customWidth="1"/>
    <col min="3077" max="3090" width="9" style="180"/>
    <col min="3091" max="3091" width="9.5" style="180" customWidth="1"/>
    <col min="3092" max="3094" width="9" style="180"/>
    <col min="3095" max="3095" width="10.5" style="180" customWidth="1"/>
    <col min="3096" max="3331" width="9" style="180"/>
    <col min="3332" max="3332" width="10.5" style="180" customWidth="1"/>
    <col min="3333" max="3346" width="9" style="180"/>
    <col min="3347" max="3347" width="9.5" style="180" customWidth="1"/>
    <col min="3348" max="3350" width="9" style="180"/>
    <col min="3351" max="3351" width="10.5" style="180" customWidth="1"/>
    <col min="3352" max="3587" width="9" style="180"/>
    <col min="3588" max="3588" width="10.5" style="180" customWidth="1"/>
    <col min="3589" max="3602" width="9" style="180"/>
    <col min="3603" max="3603" width="9.5" style="180" customWidth="1"/>
    <col min="3604" max="3606" width="9" style="180"/>
    <col min="3607" max="3607" width="10.5" style="180" customWidth="1"/>
    <col min="3608" max="3843" width="9" style="180"/>
    <col min="3844" max="3844" width="10.5" style="180" customWidth="1"/>
    <col min="3845" max="3858" width="9" style="180"/>
    <col min="3859" max="3859" width="9.5" style="180" customWidth="1"/>
    <col min="3860" max="3862" width="9" style="180"/>
    <col min="3863" max="3863" width="10.5" style="180" customWidth="1"/>
    <col min="3864" max="4099" width="9" style="180"/>
    <col min="4100" max="4100" width="10.5" style="180" customWidth="1"/>
    <col min="4101" max="4114" width="9" style="180"/>
    <col min="4115" max="4115" width="9.5" style="180" customWidth="1"/>
    <col min="4116" max="4118" width="9" style="180"/>
    <col min="4119" max="4119" width="10.5" style="180" customWidth="1"/>
    <col min="4120" max="4355" width="9" style="180"/>
    <col min="4356" max="4356" width="10.5" style="180" customWidth="1"/>
    <col min="4357" max="4370" width="9" style="180"/>
    <col min="4371" max="4371" width="9.5" style="180" customWidth="1"/>
    <col min="4372" max="4374" width="9" style="180"/>
    <col min="4375" max="4375" width="10.5" style="180" customWidth="1"/>
    <col min="4376" max="4611" width="9" style="180"/>
    <col min="4612" max="4612" width="10.5" style="180" customWidth="1"/>
    <col min="4613" max="4626" width="9" style="180"/>
    <col min="4627" max="4627" width="9.5" style="180" customWidth="1"/>
    <col min="4628" max="4630" width="9" style="180"/>
    <col min="4631" max="4631" width="10.5" style="180" customWidth="1"/>
    <col min="4632" max="4867" width="9" style="180"/>
    <col min="4868" max="4868" width="10.5" style="180" customWidth="1"/>
    <col min="4869" max="4882" width="9" style="180"/>
    <col min="4883" max="4883" width="9.5" style="180" customWidth="1"/>
    <col min="4884" max="4886" width="9" style="180"/>
    <col min="4887" max="4887" width="10.5" style="180" customWidth="1"/>
    <col min="4888" max="5123" width="9" style="180"/>
    <col min="5124" max="5124" width="10.5" style="180" customWidth="1"/>
    <col min="5125" max="5138" width="9" style="180"/>
    <col min="5139" max="5139" width="9.5" style="180" customWidth="1"/>
    <col min="5140" max="5142" width="9" style="180"/>
    <col min="5143" max="5143" width="10.5" style="180" customWidth="1"/>
    <col min="5144" max="5379" width="9" style="180"/>
    <col min="5380" max="5380" width="10.5" style="180" customWidth="1"/>
    <col min="5381" max="5394" width="9" style="180"/>
    <col min="5395" max="5395" width="9.5" style="180" customWidth="1"/>
    <col min="5396" max="5398" width="9" style="180"/>
    <col min="5399" max="5399" width="10.5" style="180" customWidth="1"/>
    <col min="5400" max="5635" width="9" style="180"/>
    <col min="5636" max="5636" width="10.5" style="180" customWidth="1"/>
    <col min="5637" max="5650" width="9" style="180"/>
    <col min="5651" max="5651" width="9.5" style="180" customWidth="1"/>
    <col min="5652" max="5654" width="9" style="180"/>
    <col min="5655" max="5655" width="10.5" style="180" customWidth="1"/>
    <col min="5656" max="5891" width="9" style="180"/>
    <col min="5892" max="5892" width="10.5" style="180" customWidth="1"/>
    <col min="5893" max="5906" width="9" style="180"/>
    <col min="5907" max="5907" width="9.5" style="180" customWidth="1"/>
    <col min="5908" max="5910" width="9" style="180"/>
    <col min="5911" max="5911" width="10.5" style="180" customWidth="1"/>
    <col min="5912" max="6147" width="9" style="180"/>
    <col min="6148" max="6148" width="10.5" style="180" customWidth="1"/>
    <col min="6149" max="6162" width="9" style="180"/>
    <col min="6163" max="6163" width="9.5" style="180" customWidth="1"/>
    <col min="6164" max="6166" width="9" style="180"/>
    <col min="6167" max="6167" width="10.5" style="180" customWidth="1"/>
    <col min="6168" max="6403" width="9" style="180"/>
    <col min="6404" max="6404" width="10.5" style="180" customWidth="1"/>
    <col min="6405" max="6418" width="9" style="180"/>
    <col min="6419" max="6419" width="9.5" style="180" customWidth="1"/>
    <col min="6420" max="6422" width="9" style="180"/>
    <col min="6423" max="6423" width="10.5" style="180" customWidth="1"/>
    <col min="6424" max="6659" width="9" style="180"/>
    <col min="6660" max="6660" width="10.5" style="180" customWidth="1"/>
    <col min="6661" max="6674" width="9" style="180"/>
    <col min="6675" max="6675" width="9.5" style="180" customWidth="1"/>
    <col min="6676" max="6678" width="9" style="180"/>
    <col min="6679" max="6679" width="10.5" style="180" customWidth="1"/>
    <col min="6680" max="6915" width="9" style="180"/>
    <col min="6916" max="6916" width="10.5" style="180" customWidth="1"/>
    <col min="6917" max="6930" width="9" style="180"/>
    <col min="6931" max="6931" width="9.5" style="180" customWidth="1"/>
    <col min="6932" max="6934" width="9" style="180"/>
    <col min="6935" max="6935" width="10.5" style="180" customWidth="1"/>
    <col min="6936" max="7171" width="9" style="180"/>
    <col min="7172" max="7172" width="10.5" style="180" customWidth="1"/>
    <col min="7173" max="7186" width="9" style="180"/>
    <col min="7187" max="7187" width="9.5" style="180" customWidth="1"/>
    <col min="7188" max="7190" width="9" style="180"/>
    <col min="7191" max="7191" width="10.5" style="180" customWidth="1"/>
    <col min="7192" max="7427" width="9" style="180"/>
    <col min="7428" max="7428" width="10.5" style="180" customWidth="1"/>
    <col min="7429" max="7442" width="9" style="180"/>
    <col min="7443" max="7443" width="9.5" style="180" customWidth="1"/>
    <col min="7444" max="7446" width="9" style="180"/>
    <col min="7447" max="7447" width="10.5" style="180" customWidth="1"/>
    <col min="7448" max="7683" width="9" style="180"/>
    <col min="7684" max="7684" width="10.5" style="180" customWidth="1"/>
    <col min="7685" max="7698" width="9" style="180"/>
    <col min="7699" max="7699" width="9.5" style="180" customWidth="1"/>
    <col min="7700" max="7702" width="9" style="180"/>
    <col min="7703" max="7703" width="10.5" style="180" customWidth="1"/>
    <col min="7704" max="7939" width="9" style="180"/>
    <col min="7940" max="7940" width="10.5" style="180" customWidth="1"/>
    <col min="7941" max="7954" width="9" style="180"/>
    <col min="7955" max="7955" width="9.5" style="180" customWidth="1"/>
    <col min="7956" max="7958" width="9" style="180"/>
    <col min="7959" max="7959" width="10.5" style="180" customWidth="1"/>
    <col min="7960" max="8195" width="9" style="180"/>
    <col min="8196" max="8196" width="10.5" style="180" customWidth="1"/>
    <col min="8197" max="8210" width="9" style="180"/>
    <col min="8211" max="8211" width="9.5" style="180" customWidth="1"/>
    <col min="8212" max="8214" width="9" style="180"/>
    <col min="8215" max="8215" width="10.5" style="180" customWidth="1"/>
    <col min="8216" max="8451" width="9" style="180"/>
    <col min="8452" max="8452" width="10.5" style="180" customWidth="1"/>
    <col min="8453" max="8466" width="9" style="180"/>
    <col min="8467" max="8467" width="9.5" style="180" customWidth="1"/>
    <col min="8468" max="8470" width="9" style="180"/>
    <col min="8471" max="8471" width="10.5" style="180" customWidth="1"/>
    <col min="8472" max="8707" width="9" style="180"/>
    <col min="8708" max="8708" width="10.5" style="180" customWidth="1"/>
    <col min="8709" max="8722" width="9" style="180"/>
    <col min="8723" max="8723" width="9.5" style="180" customWidth="1"/>
    <col min="8724" max="8726" width="9" style="180"/>
    <col min="8727" max="8727" width="10.5" style="180" customWidth="1"/>
    <col min="8728" max="8963" width="9" style="180"/>
    <col min="8964" max="8964" width="10.5" style="180" customWidth="1"/>
    <col min="8965" max="8978" width="9" style="180"/>
    <col min="8979" max="8979" width="9.5" style="180" customWidth="1"/>
    <col min="8980" max="8982" width="9" style="180"/>
    <col min="8983" max="8983" width="10.5" style="180" customWidth="1"/>
    <col min="8984" max="9219" width="9" style="180"/>
    <col min="9220" max="9220" width="10.5" style="180" customWidth="1"/>
    <col min="9221" max="9234" width="9" style="180"/>
    <col min="9235" max="9235" width="9.5" style="180" customWidth="1"/>
    <col min="9236" max="9238" width="9" style="180"/>
    <col min="9239" max="9239" width="10.5" style="180" customWidth="1"/>
    <col min="9240" max="9475" width="9" style="180"/>
    <col min="9476" max="9476" width="10.5" style="180" customWidth="1"/>
    <col min="9477" max="9490" width="9" style="180"/>
    <col min="9491" max="9491" width="9.5" style="180" customWidth="1"/>
    <col min="9492" max="9494" width="9" style="180"/>
    <col min="9495" max="9495" width="10.5" style="180" customWidth="1"/>
    <col min="9496" max="9731" width="9" style="180"/>
    <col min="9732" max="9732" width="10.5" style="180" customWidth="1"/>
    <col min="9733" max="9746" width="9" style="180"/>
    <col min="9747" max="9747" width="9.5" style="180" customWidth="1"/>
    <col min="9748" max="9750" width="9" style="180"/>
    <col min="9751" max="9751" width="10.5" style="180" customWidth="1"/>
    <col min="9752" max="9987" width="9" style="180"/>
    <col min="9988" max="9988" width="10.5" style="180" customWidth="1"/>
    <col min="9989" max="10002" width="9" style="180"/>
    <col min="10003" max="10003" width="9.5" style="180" customWidth="1"/>
    <col min="10004" max="10006" width="9" style="180"/>
    <col min="10007" max="10007" width="10.5" style="180" customWidth="1"/>
    <col min="10008" max="10243" width="9" style="180"/>
    <col min="10244" max="10244" width="10.5" style="180" customWidth="1"/>
    <col min="10245" max="10258" width="9" style="180"/>
    <col min="10259" max="10259" width="9.5" style="180" customWidth="1"/>
    <col min="10260" max="10262" width="9" style="180"/>
    <col min="10263" max="10263" width="10.5" style="180" customWidth="1"/>
    <col min="10264" max="10499" width="9" style="180"/>
    <col min="10500" max="10500" width="10.5" style="180" customWidth="1"/>
    <col min="10501" max="10514" width="9" style="180"/>
    <col min="10515" max="10515" width="9.5" style="180" customWidth="1"/>
    <col min="10516" max="10518" width="9" style="180"/>
    <col min="10519" max="10519" width="10.5" style="180" customWidth="1"/>
    <col min="10520" max="10755" width="9" style="180"/>
    <col min="10756" max="10756" width="10.5" style="180" customWidth="1"/>
    <col min="10757" max="10770" width="9" style="180"/>
    <col min="10771" max="10771" width="9.5" style="180" customWidth="1"/>
    <col min="10772" max="10774" width="9" style="180"/>
    <col min="10775" max="10775" width="10.5" style="180" customWidth="1"/>
    <col min="10776" max="11011" width="9" style="180"/>
    <col min="11012" max="11012" width="10.5" style="180" customWidth="1"/>
    <col min="11013" max="11026" width="9" style="180"/>
    <col min="11027" max="11027" width="9.5" style="180" customWidth="1"/>
    <col min="11028" max="11030" width="9" style="180"/>
    <col min="11031" max="11031" width="10.5" style="180" customWidth="1"/>
    <col min="11032" max="11267" width="9" style="180"/>
    <col min="11268" max="11268" width="10.5" style="180" customWidth="1"/>
    <col min="11269" max="11282" width="9" style="180"/>
    <col min="11283" max="11283" width="9.5" style="180" customWidth="1"/>
    <col min="11284" max="11286" width="9" style="180"/>
    <col min="11287" max="11287" width="10.5" style="180" customWidth="1"/>
    <col min="11288" max="11523" width="9" style="180"/>
    <col min="11524" max="11524" width="10.5" style="180" customWidth="1"/>
    <col min="11525" max="11538" width="9" style="180"/>
    <col min="11539" max="11539" width="9.5" style="180" customWidth="1"/>
    <col min="11540" max="11542" width="9" style="180"/>
    <col min="11543" max="11543" width="10.5" style="180" customWidth="1"/>
    <col min="11544" max="11779" width="9" style="180"/>
    <col min="11780" max="11780" width="10.5" style="180" customWidth="1"/>
    <col min="11781" max="11794" width="9" style="180"/>
    <col min="11795" max="11795" width="9.5" style="180" customWidth="1"/>
    <col min="11796" max="11798" width="9" style="180"/>
    <col min="11799" max="11799" width="10.5" style="180" customWidth="1"/>
    <col min="11800" max="12035" width="9" style="180"/>
    <col min="12036" max="12036" width="10.5" style="180" customWidth="1"/>
    <col min="12037" max="12050" width="9" style="180"/>
    <col min="12051" max="12051" width="9.5" style="180" customWidth="1"/>
    <col min="12052" max="12054" width="9" style="180"/>
    <col min="12055" max="12055" width="10.5" style="180" customWidth="1"/>
    <col min="12056" max="12291" width="9" style="180"/>
    <col min="12292" max="12292" width="10.5" style="180" customWidth="1"/>
    <col min="12293" max="12306" width="9" style="180"/>
    <col min="12307" max="12307" width="9.5" style="180" customWidth="1"/>
    <col min="12308" max="12310" width="9" style="180"/>
    <col min="12311" max="12311" width="10.5" style="180" customWidth="1"/>
    <col min="12312" max="12547" width="9" style="180"/>
    <col min="12548" max="12548" width="10.5" style="180" customWidth="1"/>
    <col min="12549" max="12562" width="9" style="180"/>
    <col min="12563" max="12563" width="9.5" style="180" customWidth="1"/>
    <col min="12564" max="12566" width="9" style="180"/>
    <col min="12567" max="12567" width="10.5" style="180" customWidth="1"/>
    <col min="12568" max="12803" width="9" style="180"/>
    <col min="12804" max="12804" width="10.5" style="180" customWidth="1"/>
    <col min="12805" max="12818" width="9" style="180"/>
    <col min="12819" max="12819" width="9.5" style="180" customWidth="1"/>
    <col min="12820" max="12822" width="9" style="180"/>
    <col min="12823" max="12823" width="10.5" style="180" customWidth="1"/>
    <col min="12824" max="13059" width="9" style="180"/>
    <col min="13060" max="13060" width="10.5" style="180" customWidth="1"/>
    <col min="13061" max="13074" width="9" style="180"/>
    <col min="13075" max="13075" width="9.5" style="180" customWidth="1"/>
    <col min="13076" max="13078" width="9" style="180"/>
    <col min="13079" max="13079" width="10.5" style="180" customWidth="1"/>
    <col min="13080" max="13315" width="9" style="180"/>
    <col min="13316" max="13316" width="10.5" style="180" customWidth="1"/>
    <col min="13317" max="13330" width="9" style="180"/>
    <col min="13331" max="13331" width="9.5" style="180" customWidth="1"/>
    <col min="13332" max="13334" width="9" style="180"/>
    <col min="13335" max="13335" width="10.5" style="180" customWidth="1"/>
    <col min="13336" max="13571" width="9" style="180"/>
    <col min="13572" max="13572" width="10.5" style="180" customWidth="1"/>
    <col min="13573" max="13586" width="9" style="180"/>
    <col min="13587" max="13587" width="9.5" style="180" customWidth="1"/>
    <col min="13588" max="13590" width="9" style="180"/>
    <col min="13591" max="13591" width="10.5" style="180" customWidth="1"/>
    <col min="13592" max="13827" width="9" style="180"/>
    <col min="13828" max="13828" width="10.5" style="180" customWidth="1"/>
    <col min="13829" max="13842" width="9" style="180"/>
    <col min="13843" max="13843" width="9.5" style="180" customWidth="1"/>
    <col min="13844" max="13846" width="9" style="180"/>
    <col min="13847" max="13847" width="10.5" style="180" customWidth="1"/>
    <col min="13848" max="14083" width="9" style="180"/>
    <col min="14084" max="14084" width="10.5" style="180" customWidth="1"/>
    <col min="14085" max="14098" width="9" style="180"/>
    <col min="14099" max="14099" width="9.5" style="180" customWidth="1"/>
    <col min="14100" max="14102" width="9" style="180"/>
    <col min="14103" max="14103" width="10.5" style="180" customWidth="1"/>
    <col min="14104" max="14339" width="9" style="180"/>
    <col min="14340" max="14340" width="10.5" style="180" customWidth="1"/>
    <col min="14341" max="14354" width="9" style="180"/>
    <col min="14355" max="14355" width="9.5" style="180" customWidth="1"/>
    <col min="14356" max="14358" width="9" style="180"/>
    <col min="14359" max="14359" width="10.5" style="180" customWidth="1"/>
    <col min="14360" max="14595" width="9" style="180"/>
    <col min="14596" max="14596" width="10.5" style="180" customWidth="1"/>
    <col min="14597" max="14610" width="9" style="180"/>
    <col min="14611" max="14611" width="9.5" style="180" customWidth="1"/>
    <col min="14612" max="14614" width="9" style="180"/>
    <col min="14615" max="14615" width="10.5" style="180" customWidth="1"/>
    <col min="14616" max="14851" width="9" style="180"/>
    <col min="14852" max="14852" width="10.5" style="180" customWidth="1"/>
    <col min="14853" max="14866" width="9" style="180"/>
    <col min="14867" max="14867" width="9.5" style="180" customWidth="1"/>
    <col min="14868" max="14870" width="9" style="180"/>
    <col min="14871" max="14871" width="10.5" style="180" customWidth="1"/>
    <col min="14872" max="15107" width="9" style="180"/>
    <col min="15108" max="15108" width="10.5" style="180" customWidth="1"/>
    <col min="15109" max="15122" width="9" style="180"/>
    <col min="15123" max="15123" width="9.5" style="180" customWidth="1"/>
    <col min="15124" max="15126" width="9" style="180"/>
    <col min="15127" max="15127" width="10.5" style="180" customWidth="1"/>
    <col min="15128" max="15363" width="9" style="180"/>
    <col min="15364" max="15364" width="10.5" style="180" customWidth="1"/>
    <col min="15365" max="15378" width="9" style="180"/>
    <col min="15379" max="15379" width="9.5" style="180" customWidth="1"/>
    <col min="15380" max="15382" width="9" style="180"/>
    <col min="15383" max="15383" width="10.5" style="180" customWidth="1"/>
    <col min="15384" max="15619" width="9" style="180"/>
    <col min="15620" max="15620" width="10.5" style="180" customWidth="1"/>
    <col min="15621" max="15634" width="9" style="180"/>
    <col min="15635" max="15635" width="9.5" style="180" customWidth="1"/>
    <col min="15636" max="15638" width="9" style="180"/>
    <col min="15639" max="15639" width="10.5" style="180" customWidth="1"/>
    <col min="15640" max="15875" width="9" style="180"/>
    <col min="15876" max="15876" width="10.5" style="180" customWidth="1"/>
    <col min="15877" max="15890" width="9" style="180"/>
    <col min="15891" max="15891" width="9.5" style="180" customWidth="1"/>
    <col min="15892" max="15894" width="9" style="180"/>
    <col min="15895" max="15895" width="10.5" style="180" customWidth="1"/>
    <col min="15896" max="16131" width="9" style="180"/>
    <col min="16132" max="16132" width="10.5" style="180" customWidth="1"/>
    <col min="16133" max="16146" width="9" style="180"/>
    <col min="16147" max="16147" width="9.5" style="180" customWidth="1"/>
    <col min="16148" max="16150" width="9" style="180"/>
    <col min="16151" max="16151" width="10.5" style="180" customWidth="1"/>
    <col min="16152" max="16384" width="9" style="180"/>
  </cols>
  <sheetData>
    <row r="1" spans="1:53" ht="45" x14ac:dyDescent="0.15">
      <c r="A1" s="171" t="s">
        <v>0</v>
      </c>
      <c r="B1" s="172" t="s">
        <v>167</v>
      </c>
      <c r="C1" s="172" t="s">
        <v>168</v>
      </c>
      <c r="D1" s="173" t="s">
        <v>3</v>
      </c>
      <c r="E1" s="174" t="s">
        <v>4</v>
      </c>
      <c r="F1" s="174" t="s">
        <v>5</v>
      </c>
      <c r="G1" s="174" t="s">
        <v>6</v>
      </c>
      <c r="H1" s="174" t="s">
        <v>7</v>
      </c>
      <c r="I1" s="174" t="s">
        <v>8</v>
      </c>
      <c r="J1" s="174" t="s">
        <v>9</v>
      </c>
      <c r="K1" s="174" t="s">
        <v>10</v>
      </c>
      <c r="L1" s="173" t="s">
        <v>169</v>
      </c>
      <c r="M1" s="173" t="s">
        <v>170</v>
      </c>
      <c r="N1" s="173" t="s">
        <v>13</v>
      </c>
      <c r="O1" s="173" t="s">
        <v>171</v>
      </c>
      <c r="P1" s="173" t="s">
        <v>172</v>
      </c>
      <c r="Q1" s="175" t="s">
        <v>173</v>
      </c>
      <c r="R1" s="173" t="s">
        <v>174</v>
      </c>
      <c r="S1" s="173" t="s">
        <v>175</v>
      </c>
      <c r="T1" s="175" t="s">
        <v>19</v>
      </c>
      <c r="U1" s="176" t="s">
        <v>108</v>
      </c>
      <c r="V1" s="177" t="s">
        <v>20</v>
      </c>
      <c r="W1" s="173" t="s">
        <v>176</v>
      </c>
      <c r="X1" s="174" t="s">
        <v>22</v>
      </c>
      <c r="Y1" s="174" t="s">
        <v>23</v>
      </c>
      <c r="Z1" s="174" t="s">
        <v>24</v>
      </c>
      <c r="AA1" s="178" t="s">
        <v>25</v>
      </c>
      <c r="AB1" s="179" t="s">
        <v>346</v>
      </c>
      <c r="AE1" s="181" t="s">
        <v>0</v>
      </c>
      <c r="AF1" s="182"/>
      <c r="AG1" s="181" t="s">
        <v>4</v>
      </c>
      <c r="AH1" s="181" t="s">
        <v>5</v>
      </c>
      <c r="AI1" s="182"/>
      <c r="AJ1" s="181" t="s">
        <v>6</v>
      </c>
      <c r="AK1" s="182"/>
      <c r="AL1" s="183" t="s">
        <v>7</v>
      </c>
      <c r="AM1" s="182"/>
      <c r="AN1" s="183" t="s">
        <v>8</v>
      </c>
      <c r="AO1" s="182"/>
      <c r="AP1" s="183" t="s">
        <v>27</v>
      </c>
      <c r="AQ1" s="182"/>
      <c r="AR1" s="183" t="s">
        <v>10</v>
      </c>
      <c r="AS1" s="182"/>
      <c r="AT1" s="184" t="s">
        <v>178</v>
      </c>
      <c r="AU1" s="182"/>
      <c r="AV1" s="183" t="s">
        <v>29</v>
      </c>
      <c r="AX1" s="185" t="s">
        <v>347</v>
      </c>
      <c r="AY1" s="186" t="s">
        <v>180</v>
      </c>
      <c r="AZ1" s="186" t="s">
        <v>348</v>
      </c>
      <c r="BA1" s="187" t="s">
        <v>182</v>
      </c>
    </row>
    <row r="2" spans="1:53" x14ac:dyDescent="0.15">
      <c r="A2" s="180" t="s">
        <v>51</v>
      </c>
      <c r="B2" s="180" t="s">
        <v>157</v>
      </c>
      <c r="C2" s="180">
        <v>2019</v>
      </c>
      <c r="D2" s="188" t="s">
        <v>349</v>
      </c>
      <c r="E2" s="180" t="s">
        <v>350</v>
      </c>
      <c r="F2" s="180" t="s">
        <v>351</v>
      </c>
      <c r="G2" s="180" t="s">
        <v>42</v>
      </c>
      <c r="H2" s="180" t="s">
        <v>164</v>
      </c>
      <c r="I2" s="180" t="s">
        <v>159</v>
      </c>
      <c r="J2" s="180" t="s">
        <v>38</v>
      </c>
      <c r="K2" s="180" t="s">
        <v>161</v>
      </c>
      <c r="L2" s="180">
        <v>1</v>
      </c>
      <c r="N2" s="180">
        <v>1</v>
      </c>
      <c r="O2" s="180">
        <v>0.7</v>
      </c>
      <c r="P2" s="180">
        <v>0.7</v>
      </c>
      <c r="Q2" s="189">
        <f t="shared" ref="Q2:Q65" si="0">IF(OR(O2="",P2=""),"",AVERAGE(O2,P2))</f>
        <v>0.7</v>
      </c>
      <c r="R2" s="180">
        <v>16.8</v>
      </c>
      <c r="S2" s="180">
        <v>128</v>
      </c>
      <c r="T2" s="190">
        <f t="shared" ref="T2:T65" si="1">IF(H2="","",IF(OR(H2="GREEN",H2="GK"),IF(S2&gt;=$AX$2,VLOOKUP(S2,$AX$2:$AY$12,2,1),""),IF(S2&gt;=$AZ$2,VLOOKUP(S2,$AZ$2:$BA$12,2,1),"")))</f>
        <v>27</v>
      </c>
      <c r="U2" s="180">
        <v>98</v>
      </c>
      <c r="V2" s="191">
        <f t="shared" ref="V2:V65" si="2">IF(OR(N2="",U2="",T2=""),"",U2/N2*T2)</f>
        <v>2646</v>
      </c>
      <c r="W2" s="180">
        <v>16</v>
      </c>
      <c r="X2" s="180" t="s">
        <v>46</v>
      </c>
      <c r="Y2" s="180" t="s">
        <v>88</v>
      </c>
      <c r="Z2" s="180" t="s">
        <v>97</v>
      </c>
      <c r="AA2" s="180" t="s">
        <v>69</v>
      </c>
      <c r="AB2" s="180" t="s">
        <v>158</v>
      </c>
      <c r="AE2" s="192" t="s">
        <v>35</v>
      </c>
      <c r="AG2" s="193" t="s">
        <v>210</v>
      </c>
      <c r="AH2" s="193" t="s">
        <v>352</v>
      </c>
      <c r="AJ2" s="193" t="s">
        <v>36</v>
      </c>
      <c r="AL2" s="193" t="s">
        <v>185</v>
      </c>
      <c r="AN2" s="193" t="s">
        <v>37</v>
      </c>
      <c r="AP2" s="193" t="s">
        <v>38</v>
      </c>
      <c r="AR2" s="193" t="s">
        <v>161</v>
      </c>
      <c r="AT2" s="193" t="s">
        <v>39</v>
      </c>
      <c r="AV2" s="193" t="s">
        <v>40</v>
      </c>
      <c r="AX2" s="194">
        <v>1</v>
      </c>
      <c r="AY2" s="195">
        <v>50</v>
      </c>
      <c r="AZ2" s="195">
        <v>1</v>
      </c>
      <c r="BA2" s="196">
        <v>50</v>
      </c>
    </row>
    <row r="3" spans="1:53" x14ac:dyDescent="0.15">
      <c r="A3" s="180" t="s">
        <v>51</v>
      </c>
      <c r="B3" s="180" t="s">
        <v>157</v>
      </c>
      <c r="C3" s="180">
        <v>2019</v>
      </c>
      <c r="D3" s="188" t="s">
        <v>349</v>
      </c>
      <c r="E3" s="180" t="s">
        <v>350</v>
      </c>
      <c r="F3" s="180" t="s">
        <v>351</v>
      </c>
      <c r="G3" s="180" t="s">
        <v>42</v>
      </c>
      <c r="H3" s="180" t="s">
        <v>164</v>
      </c>
      <c r="I3" s="180" t="s">
        <v>159</v>
      </c>
      <c r="J3" s="180" t="s">
        <v>38</v>
      </c>
      <c r="K3" s="180" t="s">
        <v>161</v>
      </c>
      <c r="L3" s="180">
        <v>2</v>
      </c>
      <c r="N3" s="180">
        <v>1</v>
      </c>
      <c r="O3" s="180">
        <v>0.75</v>
      </c>
      <c r="P3" s="180">
        <v>0.9</v>
      </c>
      <c r="Q3" s="189">
        <f t="shared" si="0"/>
        <v>0.82499999999999996</v>
      </c>
      <c r="R3" s="180">
        <v>16.399999999999999</v>
      </c>
      <c r="S3" s="180">
        <v>122</v>
      </c>
      <c r="T3" s="190">
        <f t="shared" si="1"/>
        <v>27</v>
      </c>
      <c r="U3" s="180">
        <v>98</v>
      </c>
      <c r="V3" s="191">
        <f t="shared" si="2"/>
        <v>2646</v>
      </c>
      <c r="W3" s="180">
        <v>16</v>
      </c>
      <c r="X3" s="180" t="s">
        <v>46</v>
      </c>
      <c r="Y3" s="180" t="s">
        <v>88</v>
      </c>
      <c r="Z3" s="180" t="s">
        <v>97</v>
      </c>
      <c r="AA3" s="180" t="s">
        <v>69</v>
      </c>
      <c r="AB3" s="180" t="s">
        <v>158</v>
      </c>
      <c r="AE3" s="197" t="s">
        <v>41</v>
      </c>
      <c r="AG3" s="193" t="s">
        <v>353</v>
      </c>
      <c r="AH3" s="193" t="s">
        <v>354</v>
      </c>
      <c r="AJ3" s="198" t="s">
        <v>42</v>
      </c>
      <c r="AL3" s="198" t="s">
        <v>187</v>
      </c>
      <c r="AN3" s="198" t="s">
        <v>43</v>
      </c>
      <c r="AP3" s="198" t="s">
        <v>44</v>
      </c>
      <c r="AR3" s="198" t="s">
        <v>45</v>
      </c>
      <c r="AT3" s="198" t="s">
        <v>46</v>
      </c>
      <c r="AV3" s="198" t="s">
        <v>47</v>
      </c>
      <c r="AX3" s="199">
        <v>72</v>
      </c>
      <c r="AY3" s="200">
        <v>46</v>
      </c>
      <c r="AZ3" s="200">
        <v>71</v>
      </c>
      <c r="BA3" s="201">
        <v>42</v>
      </c>
    </row>
    <row r="4" spans="1:53" x14ac:dyDescent="0.15">
      <c r="A4" s="180" t="s">
        <v>51</v>
      </c>
      <c r="B4" s="180" t="s">
        <v>157</v>
      </c>
      <c r="C4" s="180">
        <v>2019</v>
      </c>
      <c r="D4" s="188" t="s">
        <v>349</v>
      </c>
      <c r="E4" s="180" t="s">
        <v>350</v>
      </c>
      <c r="F4" s="180" t="s">
        <v>351</v>
      </c>
      <c r="G4" s="180" t="s">
        <v>42</v>
      </c>
      <c r="H4" s="180" t="s">
        <v>164</v>
      </c>
      <c r="I4" s="180" t="s">
        <v>159</v>
      </c>
      <c r="J4" s="180" t="s">
        <v>38</v>
      </c>
      <c r="K4" s="180" t="s">
        <v>161</v>
      </c>
      <c r="L4" s="180">
        <v>3</v>
      </c>
      <c r="N4" s="180">
        <v>1</v>
      </c>
      <c r="O4" s="180">
        <v>0.8</v>
      </c>
      <c r="P4" s="180">
        <v>0.75</v>
      </c>
      <c r="Q4" s="189">
        <f t="shared" si="0"/>
        <v>0.77500000000000002</v>
      </c>
      <c r="R4" s="180">
        <v>16.600000000000001</v>
      </c>
      <c r="S4" s="180">
        <v>124</v>
      </c>
      <c r="T4" s="190">
        <f t="shared" si="1"/>
        <v>27</v>
      </c>
      <c r="U4" s="180">
        <v>98</v>
      </c>
      <c r="V4" s="191">
        <f t="shared" si="2"/>
        <v>2646</v>
      </c>
      <c r="W4" s="180">
        <v>16</v>
      </c>
      <c r="X4" s="180" t="s">
        <v>46</v>
      </c>
      <c r="Y4" s="180" t="s">
        <v>88</v>
      </c>
      <c r="Z4" s="180" t="s">
        <v>97</v>
      </c>
      <c r="AA4" s="180" t="s">
        <v>69</v>
      </c>
      <c r="AB4" s="180" t="s">
        <v>158</v>
      </c>
      <c r="AE4" s="197" t="s">
        <v>34</v>
      </c>
      <c r="AG4" s="193" t="s">
        <v>355</v>
      </c>
      <c r="AH4" s="193" t="s">
        <v>356</v>
      </c>
      <c r="AJ4" s="202" t="s">
        <v>48</v>
      </c>
      <c r="AL4" s="202" t="s">
        <v>189</v>
      </c>
      <c r="AN4" s="203" t="s">
        <v>190</v>
      </c>
      <c r="AP4" s="198" t="s">
        <v>191</v>
      </c>
      <c r="AR4" s="198" t="s">
        <v>192</v>
      </c>
      <c r="AT4" s="203"/>
      <c r="AV4" s="198" t="s">
        <v>50</v>
      </c>
      <c r="AX4" s="199">
        <v>75</v>
      </c>
      <c r="AY4" s="200">
        <v>42</v>
      </c>
      <c r="AZ4" s="200">
        <v>76</v>
      </c>
      <c r="BA4" s="201">
        <v>39</v>
      </c>
    </row>
    <row r="5" spans="1:53" x14ac:dyDescent="0.15">
      <c r="A5" s="180" t="s">
        <v>51</v>
      </c>
      <c r="B5" s="180" t="s">
        <v>157</v>
      </c>
      <c r="C5" s="180">
        <v>2019</v>
      </c>
      <c r="D5" s="188" t="s">
        <v>349</v>
      </c>
      <c r="E5" s="180" t="s">
        <v>350</v>
      </c>
      <c r="F5" s="180" t="s">
        <v>351</v>
      </c>
      <c r="G5" s="180" t="s">
        <v>42</v>
      </c>
      <c r="H5" s="180" t="s">
        <v>160</v>
      </c>
      <c r="I5" s="180" t="s">
        <v>159</v>
      </c>
      <c r="J5" s="180" t="s">
        <v>38</v>
      </c>
      <c r="K5" s="180" t="s">
        <v>161</v>
      </c>
      <c r="L5" s="180">
        <v>1</v>
      </c>
      <c r="N5" s="180">
        <v>1</v>
      </c>
      <c r="O5" s="180">
        <v>0.65</v>
      </c>
      <c r="P5" s="180">
        <v>0.75</v>
      </c>
      <c r="Q5" s="189">
        <f t="shared" si="0"/>
        <v>0.7</v>
      </c>
      <c r="R5" s="180">
        <v>16.399999999999999</v>
      </c>
      <c r="S5" s="180">
        <v>130</v>
      </c>
      <c r="T5" s="190">
        <f t="shared" si="1"/>
        <v>25</v>
      </c>
      <c r="U5" s="180">
        <v>138</v>
      </c>
      <c r="V5" s="191">
        <f t="shared" si="2"/>
        <v>3450</v>
      </c>
      <c r="W5" s="180">
        <v>16</v>
      </c>
      <c r="X5" s="180" t="s">
        <v>46</v>
      </c>
      <c r="Y5" s="180" t="s">
        <v>88</v>
      </c>
      <c r="Z5" s="180" t="s">
        <v>97</v>
      </c>
      <c r="AA5" s="180" t="s">
        <v>69</v>
      </c>
      <c r="AB5" s="180" t="s">
        <v>158</v>
      </c>
      <c r="AE5" s="197" t="s">
        <v>51</v>
      </c>
      <c r="AG5" s="193" t="s">
        <v>324</v>
      </c>
      <c r="AH5" s="193" t="s">
        <v>351</v>
      </c>
      <c r="AJ5" s="203"/>
      <c r="AL5" s="204" t="s">
        <v>164</v>
      </c>
      <c r="AN5" s="204" t="s">
        <v>159</v>
      </c>
      <c r="AP5" s="198" t="s">
        <v>195</v>
      </c>
      <c r="AR5" s="198" t="s">
        <v>54</v>
      </c>
      <c r="AV5" s="198" t="s">
        <v>55</v>
      </c>
      <c r="AX5" s="199">
        <v>84</v>
      </c>
      <c r="AY5" s="200">
        <v>39</v>
      </c>
      <c r="AZ5" s="200">
        <v>84</v>
      </c>
      <c r="BA5" s="201">
        <v>36</v>
      </c>
    </row>
    <row r="6" spans="1:53" x14ac:dyDescent="0.15">
      <c r="A6" s="180" t="s">
        <v>51</v>
      </c>
      <c r="B6" s="180" t="s">
        <v>157</v>
      </c>
      <c r="C6" s="180">
        <v>2019</v>
      </c>
      <c r="D6" s="188" t="s">
        <v>349</v>
      </c>
      <c r="E6" s="180" t="s">
        <v>350</v>
      </c>
      <c r="F6" s="180" t="s">
        <v>351</v>
      </c>
      <c r="G6" s="180" t="s">
        <v>42</v>
      </c>
      <c r="H6" s="180" t="s">
        <v>160</v>
      </c>
      <c r="I6" s="180" t="s">
        <v>159</v>
      </c>
      <c r="J6" s="180" t="s">
        <v>38</v>
      </c>
      <c r="K6" s="180" t="s">
        <v>161</v>
      </c>
      <c r="L6" s="180">
        <v>2</v>
      </c>
      <c r="N6" s="180">
        <v>1</v>
      </c>
      <c r="O6" s="180">
        <v>0.75</v>
      </c>
      <c r="P6" s="180">
        <v>0.7</v>
      </c>
      <c r="Q6" s="189">
        <f t="shared" si="0"/>
        <v>0.72499999999999998</v>
      </c>
      <c r="R6" s="180">
        <v>16.600000000000001</v>
      </c>
      <c r="S6" s="180">
        <v>134</v>
      </c>
      <c r="T6" s="190">
        <f t="shared" si="1"/>
        <v>25</v>
      </c>
      <c r="U6" s="180">
        <v>138</v>
      </c>
      <c r="V6" s="191">
        <f t="shared" si="2"/>
        <v>3450</v>
      </c>
      <c r="W6" s="180">
        <v>16</v>
      </c>
      <c r="X6" s="180" t="s">
        <v>46</v>
      </c>
      <c r="Y6" s="180" t="s">
        <v>88</v>
      </c>
      <c r="Z6" s="180" t="s">
        <v>97</v>
      </c>
      <c r="AA6" s="180" t="s">
        <v>69</v>
      </c>
      <c r="AB6" s="180" t="s">
        <v>158</v>
      </c>
      <c r="AE6" s="197" t="s">
        <v>56</v>
      </c>
      <c r="AG6" s="193" t="s">
        <v>357</v>
      </c>
      <c r="AH6" s="193" t="s">
        <v>358</v>
      </c>
      <c r="AL6" s="204" t="s">
        <v>197</v>
      </c>
      <c r="AN6" s="204" t="s">
        <v>198</v>
      </c>
      <c r="AP6" s="198" t="s">
        <v>53</v>
      </c>
      <c r="AR6" s="198" t="s">
        <v>59</v>
      </c>
      <c r="AV6" s="198" t="s">
        <v>60</v>
      </c>
      <c r="AX6" s="199">
        <v>97</v>
      </c>
      <c r="AY6" s="200">
        <v>36</v>
      </c>
      <c r="AZ6" s="200">
        <v>99</v>
      </c>
      <c r="BA6" s="201">
        <v>33</v>
      </c>
    </row>
    <row r="7" spans="1:53" x14ac:dyDescent="0.15">
      <c r="A7" s="180" t="s">
        <v>51</v>
      </c>
      <c r="B7" s="180" t="s">
        <v>157</v>
      </c>
      <c r="C7" s="180">
        <v>2019</v>
      </c>
      <c r="D7" s="188" t="s">
        <v>349</v>
      </c>
      <c r="E7" s="180" t="s">
        <v>350</v>
      </c>
      <c r="F7" s="180" t="s">
        <v>351</v>
      </c>
      <c r="G7" s="180" t="s">
        <v>42</v>
      </c>
      <c r="H7" s="180" t="s">
        <v>160</v>
      </c>
      <c r="I7" s="180" t="s">
        <v>159</v>
      </c>
      <c r="J7" s="180" t="s">
        <v>38</v>
      </c>
      <c r="K7" s="180" t="s">
        <v>161</v>
      </c>
      <c r="L7" s="180">
        <v>3</v>
      </c>
      <c r="N7" s="180">
        <v>1</v>
      </c>
      <c r="O7" s="180">
        <v>0.7</v>
      </c>
      <c r="P7" s="180">
        <v>0.7</v>
      </c>
      <c r="Q7" s="189">
        <f t="shared" si="0"/>
        <v>0.7</v>
      </c>
      <c r="R7" s="180">
        <v>16.899999999999999</v>
      </c>
      <c r="S7" s="180">
        <v>132</v>
      </c>
      <c r="T7" s="190">
        <f t="shared" si="1"/>
        <v>25</v>
      </c>
      <c r="U7" s="180">
        <v>138</v>
      </c>
      <c r="V7" s="191">
        <f t="shared" si="2"/>
        <v>3450</v>
      </c>
      <c r="W7" s="180">
        <v>16</v>
      </c>
      <c r="X7" s="180" t="s">
        <v>46</v>
      </c>
      <c r="Y7" s="180" t="s">
        <v>88</v>
      </c>
      <c r="Z7" s="180" t="s">
        <v>97</v>
      </c>
      <c r="AA7" s="180" t="s">
        <v>69</v>
      </c>
      <c r="AB7" s="180" t="s">
        <v>158</v>
      </c>
      <c r="AE7" s="197" t="s">
        <v>61</v>
      </c>
      <c r="AG7" s="193" t="s">
        <v>359</v>
      </c>
      <c r="AH7" s="193" t="s">
        <v>352</v>
      </c>
      <c r="AL7" s="180" t="s">
        <v>193</v>
      </c>
      <c r="AP7" s="198" t="s">
        <v>58</v>
      </c>
      <c r="AR7" s="198" t="s">
        <v>200</v>
      </c>
      <c r="AV7" s="198" t="s">
        <v>64</v>
      </c>
      <c r="AX7" s="199">
        <v>109</v>
      </c>
      <c r="AY7" s="200">
        <v>33</v>
      </c>
      <c r="AZ7" s="200">
        <v>113</v>
      </c>
      <c r="BA7" s="201">
        <v>30</v>
      </c>
    </row>
    <row r="8" spans="1:53" x14ac:dyDescent="0.15">
      <c r="A8" s="180" t="s">
        <v>51</v>
      </c>
      <c r="B8" s="180" t="s">
        <v>157</v>
      </c>
      <c r="C8" s="180">
        <v>2019</v>
      </c>
      <c r="D8" s="188" t="s">
        <v>349</v>
      </c>
      <c r="E8" s="180" t="s">
        <v>353</v>
      </c>
      <c r="F8" s="180" t="s">
        <v>354</v>
      </c>
      <c r="G8" s="180" t="s">
        <v>36</v>
      </c>
      <c r="H8" s="180" t="s">
        <v>164</v>
      </c>
      <c r="I8" s="180" t="s">
        <v>159</v>
      </c>
      <c r="J8" s="180" t="s">
        <v>38</v>
      </c>
      <c r="K8" s="180" t="s">
        <v>161</v>
      </c>
      <c r="L8" s="180">
        <v>1</v>
      </c>
      <c r="N8" s="180">
        <v>3</v>
      </c>
      <c r="O8" s="180">
        <v>0.7</v>
      </c>
      <c r="P8" s="180">
        <v>0.85</v>
      </c>
      <c r="Q8" s="189">
        <f t="shared" si="0"/>
        <v>0.77499999999999991</v>
      </c>
      <c r="R8" s="180">
        <v>17.3</v>
      </c>
      <c r="S8" s="180">
        <v>144</v>
      </c>
      <c r="T8" s="190">
        <f t="shared" si="1"/>
        <v>22</v>
      </c>
      <c r="U8" s="180">
        <v>350</v>
      </c>
      <c r="V8" s="191">
        <f t="shared" si="2"/>
        <v>2566.666666666667</v>
      </c>
      <c r="W8" s="180">
        <v>10</v>
      </c>
      <c r="X8" s="180" t="s">
        <v>46</v>
      </c>
      <c r="Y8" s="180" t="s">
        <v>90</v>
      </c>
      <c r="Z8" s="180" t="s">
        <v>55</v>
      </c>
      <c r="AA8" s="180" t="s">
        <v>88</v>
      </c>
      <c r="AB8" s="180" t="s">
        <v>158</v>
      </c>
      <c r="AE8" s="197" t="s">
        <v>59</v>
      </c>
      <c r="AG8" s="193" t="s">
        <v>360</v>
      </c>
      <c r="AH8" s="193" t="s">
        <v>361</v>
      </c>
      <c r="AL8" s="180" t="s">
        <v>160</v>
      </c>
      <c r="AP8" s="198" t="s">
        <v>62</v>
      </c>
      <c r="AR8" s="198" t="s">
        <v>81</v>
      </c>
      <c r="AV8" s="198" t="s">
        <v>97</v>
      </c>
      <c r="AX8" s="199">
        <v>119</v>
      </c>
      <c r="AY8" s="200">
        <v>30</v>
      </c>
      <c r="AZ8" s="200">
        <v>121</v>
      </c>
      <c r="BA8" s="201">
        <v>27</v>
      </c>
    </row>
    <row r="9" spans="1:53" x14ac:dyDescent="0.15">
      <c r="A9" s="180" t="s">
        <v>51</v>
      </c>
      <c r="B9" s="180" t="s">
        <v>157</v>
      </c>
      <c r="C9" s="180">
        <v>2019</v>
      </c>
      <c r="D9" s="188" t="s">
        <v>349</v>
      </c>
      <c r="E9" s="180" t="s">
        <v>353</v>
      </c>
      <c r="F9" s="180" t="s">
        <v>354</v>
      </c>
      <c r="G9" s="180" t="s">
        <v>36</v>
      </c>
      <c r="H9" s="180" t="s">
        <v>164</v>
      </c>
      <c r="I9" s="180" t="s">
        <v>159</v>
      </c>
      <c r="J9" s="180" t="s">
        <v>38</v>
      </c>
      <c r="K9" s="180" t="s">
        <v>161</v>
      </c>
      <c r="L9" s="180">
        <v>2</v>
      </c>
      <c r="N9" s="180">
        <v>3</v>
      </c>
      <c r="O9" s="180">
        <v>0.8</v>
      </c>
      <c r="P9" s="180">
        <v>0.75</v>
      </c>
      <c r="Q9" s="189">
        <f t="shared" si="0"/>
        <v>0.77500000000000002</v>
      </c>
      <c r="R9" s="180">
        <v>17.100000000000001</v>
      </c>
      <c r="S9" s="180">
        <v>140</v>
      </c>
      <c r="T9" s="190">
        <f t="shared" si="1"/>
        <v>22</v>
      </c>
      <c r="U9" s="180">
        <v>350</v>
      </c>
      <c r="V9" s="191">
        <f t="shared" si="2"/>
        <v>2566.666666666667</v>
      </c>
      <c r="W9" s="180">
        <v>10</v>
      </c>
      <c r="X9" s="180" t="s">
        <v>46</v>
      </c>
      <c r="Y9" s="180" t="s">
        <v>90</v>
      </c>
      <c r="Z9" s="180" t="s">
        <v>55</v>
      </c>
      <c r="AA9" s="180" t="s">
        <v>88</v>
      </c>
      <c r="AB9" s="180" t="s">
        <v>158</v>
      </c>
      <c r="AE9" s="197" t="s">
        <v>203</v>
      </c>
      <c r="AG9" s="193" t="s">
        <v>362</v>
      </c>
      <c r="AH9" s="193" t="s">
        <v>351</v>
      </c>
      <c r="AL9" s="204"/>
      <c r="AP9" s="198" t="s">
        <v>95</v>
      </c>
      <c r="AR9" s="198" t="s">
        <v>206</v>
      </c>
      <c r="AV9" s="198" t="s">
        <v>102</v>
      </c>
      <c r="AX9" s="199">
        <v>128</v>
      </c>
      <c r="AY9" s="200">
        <v>27</v>
      </c>
      <c r="AZ9" s="200">
        <v>129</v>
      </c>
      <c r="BA9" s="201">
        <v>25</v>
      </c>
    </row>
    <row r="10" spans="1:53" x14ac:dyDescent="0.15">
      <c r="A10" s="180" t="s">
        <v>51</v>
      </c>
      <c r="B10" s="180" t="s">
        <v>157</v>
      </c>
      <c r="C10" s="180">
        <v>2019</v>
      </c>
      <c r="D10" s="188" t="s">
        <v>349</v>
      </c>
      <c r="E10" s="180" t="s">
        <v>353</v>
      </c>
      <c r="F10" s="180" t="s">
        <v>354</v>
      </c>
      <c r="G10" s="180" t="s">
        <v>36</v>
      </c>
      <c r="H10" s="180" t="s">
        <v>164</v>
      </c>
      <c r="I10" s="180" t="s">
        <v>159</v>
      </c>
      <c r="J10" s="180" t="s">
        <v>38</v>
      </c>
      <c r="K10" s="180" t="s">
        <v>161</v>
      </c>
      <c r="L10" s="180">
        <v>3</v>
      </c>
      <c r="N10" s="180">
        <v>3</v>
      </c>
      <c r="O10" s="180">
        <v>0.75</v>
      </c>
      <c r="P10" s="180">
        <v>0.7</v>
      </c>
      <c r="Q10" s="189">
        <f t="shared" si="0"/>
        <v>0.72499999999999998</v>
      </c>
      <c r="R10" s="180">
        <v>16.7</v>
      </c>
      <c r="S10" s="180">
        <v>142</v>
      </c>
      <c r="T10" s="190">
        <f t="shared" si="1"/>
        <v>22</v>
      </c>
      <c r="U10" s="180">
        <v>350</v>
      </c>
      <c r="V10" s="191">
        <f t="shared" si="2"/>
        <v>2566.666666666667</v>
      </c>
      <c r="W10" s="180">
        <v>10</v>
      </c>
      <c r="X10" s="180" t="s">
        <v>46</v>
      </c>
      <c r="Y10" s="180" t="s">
        <v>90</v>
      </c>
      <c r="Z10" s="180" t="s">
        <v>55</v>
      </c>
      <c r="AA10" s="180" t="s">
        <v>88</v>
      </c>
      <c r="AB10" s="180" t="s">
        <v>158</v>
      </c>
      <c r="AE10" s="197" t="s">
        <v>207</v>
      </c>
      <c r="AG10" s="193" t="s">
        <v>350</v>
      </c>
      <c r="AH10" s="198" t="s">
        <v>351</v>
      </c>
      <c r="AP10" s="198" t="s">
        <v>100</v>
      </c>
      <c r="AR10" s="198" t="s">
        <v>209</v>
      </c>
      <c r="AV10" s="198" t="s">
        <v>106</v>
      </c>
      <c r="AX10" s="199">
        <v>138</v>
      </c>
      <c r="AY10" s="200">
        <v>25</v>
      </c>
      <c r="AZ10" s="200">
        <v>138</v>
      </c>
      <c r="BA10" s="201">
        <v>22</v>
      </c>
    </row>
    <row r="11" spans="1:53" x14ac:dyDescent="0.15">
      <c r="A11" s="180" t="s">
        <v>51</v>
      </c>
      <c r="B11" s="180" t="s">
        <v>157</v>
      </c>
      <c r="C11" s="180">
        <v>2019</v>
      </c>
      <c r="D11" s="188" t="s">
        <v>349</v>
      </c>
      <c r="E11" s="180" t="s">
        <v>353</v>
      </c>
      <c r="F11" s="180" t="s">
        <v>354</v>
      </c>
      <c r="G11" s="180" t="s">
        <v>36</v>
      </c>
      <c r="H11" s="180" t="s">
        <v>160</v>
      </c>
      <c r="I11" s="180" t="s">
        <v>159</v>
      </c>
      <c r="J11" s="180" t="s">
        <v>38</v>
      </c>
      <c r="K11" s="180" t="s">
        <v>161</v>
      </c>
      <c r="L11" s="180">
        <v>1</v>
      </c>
      <c r="N11" s="180">
        <v>3</v>
      </c>
      <c r="O11" s="180">
        <v>0.75</v>
      </c>
      <c r="P11" s="180">
        <v>0.75</v>
      </c>
      <c r="Q11" s="189">
        <f t="shared" si="0"/>
        <v>0.75</v>
      </c>
      <c r="R11" s="180">
        <v>17.8</v>
      </c>
      <c r="S11" s="180">
        <v>132</v>
      </c>
      <c r="T11" s="190">
        <f t="shared" si="1"/>
        <v>25</v>
      </c>
      <c r="U11" s="180">
        <v>350</v>
      </c>
      <c r="V11" s="191">
        <f t="shared" si="2"/>
        <v>2916.666666666667</v>
      </c>
      <c r="W11" s="180">
        <v>10</v>
      </c>
      <c r="X11" s="180" t="s">
        <v>46</v>
      </c>
      <c r="Y11" s="180" t="s">
        <v>90</v>
      </c>
      <c r="Z11" s="180" t="s">
        <v>55</v>
      </c>
      <c r="AA11" s="180" t="s">
        <v>88</v>
      </c>
      <c r="AB11" s="180" t="s">
        <v>158</v>
      </c>
      <c r="AE11" s="197" t="s">
        <v>68</v>
      </c>
      <c r="AG11" s="193" t="s">
        <v>139</v>
      </c>
      <c r="AH11" s="198" t="s">
        <v>363</v>
      </c>
      <c r="AP11" s="198" t="s">
        <v>104</v>
      </c>
      <c r="AR11" s="198" t="s">
        <v>212</v>
      </c>
      <c r="AV11" s="198" t="s">
        <v>69</v>
      </c>
      <c r="AX11" s="199">
        <v>151</v>
      </c>
      <c r="AY11" s="200">
        <v>22</v>
      </c>
      <c r="AZ11" s="200">
        <v>152</v>
      </c>
      <c r="BA11" s="201">
        <v>18</v>
      </c>
    </row>
    <row r="12" spans="1:53" x14ac:dyDescent="0.15">
      <c r="A12" s="180" t="s">
        <v>51</v>
      </c>
      <c r="B12" s="180" t="s">
        <v>157</v>
      </c>
      <c r="C12" s="180">
        <v>2019</v>
      </c>
      <c r="D12" s="188" t="s">
        <v>349</v>
      </c>
      <c r="E12" s="180" t="s">
        <v>353</v>
      </c>
      <c r="F12" s="180" t="s">
        <v>354</v>
      </c>
      <c r="G12" s="180" t="s">
        <v>36</v>
      </c>
      <c r="H12" s="180" t="s">
        <v>160</v>
      </c>
      <c r="I12" s="180" t="s">
        <v>159</v>
      </c>
      <c r="J12" s="180" t="s">
        <v>38</v>
      </c>
      <c r="K12" s="180" t="s">
        <v>161</v>
      </c>
      <c r="L12" s="180">
        <v>2</v>
      </c>
      <c r="N12" s="180">
        <v>3</v>
      </c>
      <c r="O12" s="180">
        <v>0.65</v>
      </c>
      <c r="P12" s="180">
        <v>0.7</v>
      </c>
      <c r="Q12" s="189">
        <f t="shared" si="0"/>
        <v>0.67500000000000004</v>
      </c>
      <c r="R12" s="180">
        <v>19.100000000000001</v>
      </c>
      <c r="S12" s="180">
        <v>130</v>
      </c>
      <c r="T12" s="190">
        <f t="shared" si="1"/>
        <v>25</v>
      </c>
      <c r="U12" s="180">
        <v>350</v>
      </c>
      <c r="V12" s="191">
        <f t="shared" si="2"/>
        <v>2916.666666666667</v>
      </c>
      <c r="W12" s="180">
        <v>10</v>
      </c>
      <c r="X12" s="180" t="s">
        <v>46</v>
      </c>
      <c r="Y12" s="180" t="s">
        <v>90</v>
      </c>
      <c r="Z12" s="180" t="s">
        <v>55</v>
      </c>
      <c r="AA12" s="180" t="s">
        <v>88</v>
      </c>
      <c r="AB12" s="180" t="s">
        <v>158</v>
      </c>
      <c r="AE12" s="197" t="s">
        <v>213</v>
      </c>
      <c r="AG12" s="198"/>
      <c r="AH12" s="198"/>
      <c r="AP12" s="198" t="s">
        <v>67</v>
      </c>
      <c r="AR12" s="198" t="s">
        <v>214</v>
      </c>
      <c r="AV12" s="198" t="s">
        <v>72</v>
      </c>
      <c r="AX12" s="205">
        <v>180</v>
      </c>
      <c r="AY12" s="206">
        <v>18</v>
      </c>
      <c r="AZ12" s="206">
        <v>181</v>
      </c>
      <c r="BA12" s="207">
        <v>16</v>
      </c>
    </row>
    <row r="13" spans="1:53" x14ac:dyDescent="0.15">
      <c r="A13" s="180" t="s">
        <v>51</v>
      </c>
      <c r="B13" s="180" t="s">
        <v>157</v>
      </c>
      <c r="C13" s="180">
        <v>2019</v>
      </c>
      <c r="D13" s="188" t="s">
        <v>349</v>
      </c>
      <c r="E13" s="180" t="s">
        <v>353</v>
      </c>
      <c r="F13" s="180" t="s">
        <v>354</v>
      </c>
      <c r="G13" s="180" t="s">
        <v>36</v>
      </c>
      <c r="H13" s="180" t="s">
        <v>160</v>
      </c>
      <c r="I13" s="180" t="s">
        <v>159</v>
      </c>
      <c r="J13" s="180" t="s">
        <v>38</v>
      </c>
      <c r="K13" s="180" t="s">
        <v>161</v>
      </c>
      <c r="L13" s="180">
        <v>3</v>
      </c>
      <c r="N13" s="180">
        <v>3</v>
      </c>
      <c r="O13" s="180">
        <v>0.8</v>
      </c>
      <c r="P13" s="180">
        <v>0.8</v>
      </c>
      <c r="Q13" s="189">
        <f t="shared" si="0"/>
        <v>0.8</v>
      </c>
      <c r="R13" s="180">
        <v>18.2</v>
      </c>
      <c r="S13" s="180">
        <v>136</v>
      </c>
      <c r="T13" s="190">
        <f t="shared" si="1"/>
        <v>25</v>
      </c>
      <c r="U13" s="180">
        <v>350</v>
      </c>
      <c r="V13" s="191">
        <f t="shared" si="2"/>
        <v>2916.666666666667</v>
      </c>
      <c r="W13" s="180">
        <v>10</v>
      </c>
      <c r="X13" s="180" t="s">
        <v>46</v>
      </c>
      <c r="Y13" s="180" t="s">
        <v>90</v>
      </c>
      <c r="Z13" s="180" t="s">
        <v>55</v>
      </c>
      <c r="AA13" s="180" t="s">
        <v>88</v>
      </c>
      <c r="AB13" s="180" t="s">
        <v>158</v>
      </c>
      <c r="AE13" s="197" t="s">
        <v>215</v>
      </c>
      <c r="AG13" s="198"/>
      <c r="AH13" s="198"/>
      <c r="AP13" s="198" t="s">
        <v>71</v>
      </c>
      <c r="AR13" s="198" t="s">
        <v>207</v>
      </c>
      <c r="AV13" s="198" t="s">
        <v>75</v>
      </c>
    </row>
    <row r="14" spans="1:53" x14ac:dyDescent="0.15">
      <c r="A14" s="180" t="s">
        <v>51</v>
      </c>
      <c r="B14" s="180" t="s">
        <v>157</v>
      </c>
      <c r="C14" s="180">
        <v>2019</v>
      </c>
      <c r="D14" s="188" t="s">
        <v>349</v>
      </c>
      <c r="E14" s="180" t="s">
        <v>139</v>
      </c>
      <c r="F14" s="180" t="s">
        <v>363</v>
      </c>
      <c r="G14" s="180" t="s">
        <v>42</v>
      </c>
      <c r="H14" s="180" t="s">
        <v>164</v>
      </c>
      <c r="I14" s="180" t="s">
        <v>159</v>
      </c>
      <c r="J14" s="180" t="s">
        <v>38</v>
      </c>
      <c r="K14" s="180" t="s">
        <v>161</v>
      </c>
      <c r="L14" s="180">
        <v>1</v>
      </c>
      <c r="N14" s="180">
        <v>1</v>
      </c>
      <c r="O14" s="180">
        <v>0.7</v>
      </c>
      <c r="P14" s="180">
        <v>0.7</v>
      </c>
      <c r="Q14" s="189">
        <f t="shared" si="0"/>
        <v>0.7</v>
      </c>
      <c r="R14" s="180">
        <v>15.5</v>
      </c>
      <c r="S14" s="180">
        <v>110</v>
      </c>
      <c r="T14" s="190">
        <f t="shared" si="1"/>
        <v>33</v>
      </c>
      <c r="U14" s="180">
        <v>98</v>
      </c>
      <c r="V14" s="191">
        <f t="shared" si="2"/>
        <v>3234</v>
      </c>
      <c r="W14" s="180">
        <v>17</v>
      </c>
      <c r="X14" s="180" t="s">
        <v>46</v>
      </c>
      <c r="Y14" s="180" t="s">
        <v>69</v>
      </c>
      <c r="Z14" s="180" t="s">
        <v>55</v>
      </c>
      <c r="AA14" s="180" t="s">
        <v>88</v>
      </c>
      <c r="AB14" s="180" t="s">
        <v>158</v>
      </c>
      <c r="AE14" s="197" t="s">
        <v>96</v>
      </c>
      <c r="AG14" s="198"/>
      <c r="AH14" s="198"/>
      <c r="AP14" s="198" t="s">
        <v>74</v>
      </c>
      <c r="AR14" s="198" t="s">
        <v>216</v>
      </c>
      <c r="AV14" s="198" t="s">
        <v>78</v>
      </c>
    </row>
    <row r="15" spans="1:53" x14ac:dyDescent="0.15">
      <c r="A15" s="180" t="s">
        <v>51</v>
      </c>
      <c r="B15" s="180" t="s">
        <v>157</v>
      </c>
      <c r="C15" s="180">
        <v>2019</v>
      </c>
      <c r="D15" s="188" t="s">
        <v>349</v>
      </c>
      <c r="E15" s="180" t="s">
        <v>139</v>
      </c>
      <c r="F15" s="180" t="s">
        <v>363</v>
      </c>
      <c r="G15" s="180" t="s">
        <v>42</v>
      </c>
      <c r="H15" s="180" t="s">
        <v>164</v>
      </c>
      <c r="I15" s="180" t="s">
        <v>159</v>
      </c>
      <c r="J15" s="180" t="s">
        <v>38</v>
      </c>
      <c r="K15" s="180" t="s">
        <v>161</v>
      </c>
      <c r="L15" s="180">
        <v>2</v>
      </c>
      <c r="N15" s="180">
        <v>1</v>
      </c>
      <c r="O15" s="180">
        <v>0.8</v>
      </c>
      <c r="P15" s="180">
        <v>0.65</v>
      </c>
      <c r="Q15" s="189">
        <f t="shared" si="0"/>
        <v>0.72500000000000009</v>
      </c>
      <c r="R15" s="180">
        <v>15.3</v>
      </c>
      <c r="S15" s="180">
        <v>110</v>
      </c>
      <c r="T15" s="190">
        <f t="shared" si="1"/>
        <v>33</v>
      </c>
      <c r="U15" s="180">
        <v>98</v>
      </c>
      <c r="V15" s="191">
        <f t="shared" si="2"/>
        <v>3234</v>
      </c>
      <c r="W15" s="180">
        <v>17</v>
      </c>
      <c r="X15" s="180" t="s">
        <v>46</v>
      </c>
      <c r="Y15" s="180" t="s">
        <v>69</v>
      </c>
      <c r="Z15" s="180" t="s">
        <v>55</v>
      </c>
      <c r="AA15" s="180" t="s">
        <v>88</v>
      </c>
      <c r="AB15" s="180" t="s">
        <v>158</v>
      </c>
      <c r="AE15" s="197" t="s">
        <v>217</v>
      </c>
      <c r="AG15" s="198"/>
      <c r="AH15" s="198"/>
      <c r="AP15" s="198" t="s">
        <v>77</v>
      </c>
      <c r="AR15" s="198" t="s">
        <v>80</v>
      </c>
      <c r="AV15" s="198" t="s">
        <v>107</v>
      </c>
    </row>
    <row r="16" spans="1:53" x14ac:dyDescent="0.15">
      <c r="A16" s="180" t="s">
        <v>51</v>
      </c>
      <c r="B16" s="180" t="s">
        <v>157</v>
      </c>
      <c r="C16" s="180">
        <v>2019</v>
      </c>
      <c r="D16" s="188" t="s">
        <v>349</v>
      </c>
      <c r="E16" s="180" t="s">
        <v>139</v>
      </c>
      <c r="F16" s="180" t="s">
        <v>363</v>
      </c>
      <c r="G16" s="180" t="s">
        <v>42</v>
      </c>
      <c r="H16" s="180" t="s">
        <v>164</v>
      </c>
      <c r="I16" s="180" t="s">
        <v>159</v>
      </c>
      <c r="J16" s="180" t="s">
        <v>38</v>
      </c>
      <c r="K16" s="180" t="s">
        <v>161</v>
      </c>
      <c r="L16" s="180">
        <v>3</v>
      </c>
      <c r="N16" s="180">
        <v>1</v>
      </c>
      <c r="O16" s="180">
        <v>0.75</v>
      </c>
      <c r="P16" s="180">
        <v>0.75</v>
      </c>
      <c r="Q16" s="189">
        <f t="shared" si="0"/>
        <v>0.75</v>
      </c>
      <c r="R16" s="180">
        <v>14.7</v>
      </c>
      <c r="S16" s="180">
        <v>108</v>
      </c>
      <c r="T16" s="190">
        <f t="shared" si="1"/>
        <v>33</v>
      </c>
      <c r="U16" s="180">
        <v>98</v>
      </c>
      <c r="V16" s="191">
        <f t="shared" si="2"/>
        <v>3234</v>
      </c>
      <c r="W16" s="180">
        <v>17</v>
      </c>
      <c r="X16" s="180" t="s">
        <v>46</v>
      </c>
      <c r="Y16" s="180" t="s">
        <v>69</v>
      </c>
      <c r="Z16" s="180" t="s">
        <v>55</v>
      </c>
      <c r="AA16" s="180" t="s">
        <v>88</v>
      </c>
      <c r="AB16" s="180" t="s">
        <v>158</v>
      </c>
      <c r="AE16" s="197" t="s">
        <v>218</v>
      </c>
      <c r="AG16" s="203"/>
      <c r="AH16" s="203"/>
      <c r="AP16" s="198" t="s">
        <v>80</v>
      </c>
      <c r="AR16" s="198" t="s">
        <v>63</v>
      </c>
      <c r="AV16" s="198" t="s">
        <v>84</v>
      </c>
    </row>
    <row r="17" spans="1:48" x14ac:dyDescent="0.15">
      <c r="A17" s="180" t="s">
        <v>51</v>
      </c>
      <c r="B17" s="180" t="s">
        <v>157</v>
      </c>
      <c r="C17" s="180">
        <v>2019</v>
      </c>
      <c r="D17" s="188" t="s">
        <v>349</v>
      </c>
      <c r="E17" s="180" t="s">
        <v>139</v>
      </c>
      <c r="F17" s="180" t="s">
        <v>363</v>
      </c>
      <c r="G17" s="180" t="s">
        <v>42</v>
      </c>
      <c r="H17" s="180" t="s">
        <v>160</v>
      </c>
      <c r="I17" s="180" t="s">
        <v>159</v>
      </c>
      <c r="J17" s="180" t="s">
        <v>38</v>
      </c>
      <c r="K17" s="180" t="s">
        <v>161</v>
      </c>
      <c r="L17" s="180">
        <v>1</v>
      </c>
      <c r="N17" s="180">
        <v>4</v>
      </c>
      <c r="O17" s="180">
        <v>0.55000000000000004</v>
      </c>
      <c r="P17" s="180">
        <v>0.25</v>
      </c>
      <c r="Q17" s="189">
        <f t="shared" si="0"/>
        <v>0.4</v>
      </c>
      <c r="R17" s="180">
        <v>16.100000000000001</v>
      </c>
      <c r="S17" s="180">
        <v>110</v>
      </c>
      <c r="T17" s="190">
        <f t="shared" si="1"/>
        <v>33</v>
      </c>
      <c r="U17" s="180">
        <v>498</v>
      </c>
      <c r="V17" s="191">
        <f t="shared" si="2"/>
        <v>4108.5</v>
      </c>
      <c r="W17" s="180">
        <v>17</v>
      </c>
      <c r="X17" s="180" t="s">
        <v>46</v>
      </c>
      <c r="Y17" s="180" t="s">
        <v>69</v>
      </c>
      <c r="Z17" s="180" t="s">
        <v>55</v>
      </c>
      <c r="AA17" s="180" t="s">
        <v>88</v>
      </c>
      <c r="AB17" s="180" t="s">
        <v>158</v>
      </c>
      <c r="AE17" s="197" t="s">
        <v>219</v>
      </c>
      <c r="AP17" s="202" t="s">
        <v>220</v>
      </c>
      <c r="AR17" s="198" t="s">
        <v>96</v>
      </c>
      <c r="AV17" s="198" t="s">
        <v>86</v>
      </c>
    </row>
    <row r="18" spans="1:48" x14ac:dyDescent="0.15">
      <c r="A18" s="180" t="s">
        <v>51</v>
      </c>
      <c r="B18" s="180" t="s">
        <v>157</v>
      </c>
      <c r="C18" s="180">
        <v>2019</v>
      </c>
      <c r="D18" s="188" t="s">
        <v>349</v>
      </c>
      <c r="E18" s="180" t="s">
        <v>139</v>
      </c>
      <c r="F18" s="180" t="s">
        <v>363</v>
      </c>
      <c r="G18" s="180" t="s">
        <v>42</v>
      </c>
      <c r="H18" s="180" t="s">
        <v>160</v>
      </c>
      <c r="I18" s="180" t="s">
        <v>159</v>
      </c>
      <c r="J18" s="180" t="s">
        <v>38</v>
      </c>
      <c r="K18" s="180" t="s">
        <v>161</v>
      </c>
      <c r="L18" s="180">
        <v>2</v>
      </c>
      <c r="N18" s="180">
        <v>4</v>
      </c>
      <c r="O18" s="180">
        <v>0.65</v>
      </c>
      <c r="P18" s="180">
        <v>0.65</v>
      </c>
      <c r="Q18" s="189">
        <f t="shared" si="0"/>
        <v>0.65</v>
      </c>
      <c r="R18" s="180">
        <v>16.8</v>
      </c>
      <c r="S18" s="180">
        <v>114</v>
      </c>
      <c r="T18" s="190">
        <f t="shared" si="1"/>
        <v>30</v>
      </c>
      <c r="U18" s="180">
        <v>498</v>
      </c>
      <c r="V18" s="191">
        <f t="shared" si="2"/>
        <v>3735</v>
      </c>
      <c r="W18" s="180">
        <v>17</v>
      </c>
      <c r="X18" s="180" t="s">
        <v>46</v>
      </c>
      <c r="Y18" s="180" t="s">
        <v>69</v>
      </c>
      <c r="Z18" s="180" t="s">
        <v>55</v>
      </c>
      <c r="AA18" s="180" t="s">
        <v>88</v>
      </c>
      <c r="AB18" s="180" t="s">
        <v>158</v>
      </c>
      <c r="AE18" s="197" t="s">
        <v>212</v>
      </c>
      <c r="AP18" s="202" t="s">
        <v>221</v>
      </c>
      <c r="AR18" s="198" t="s">
        <v>101</v>
      </c>
      <c r="AV18" s="198" t="s">
        <v>88</v>
      </c>
    </row>
    <row r="19" spans="1:48" x14ac:dyDescent="0.15">
      <c r="A19" s="180" t="s">
        <v>51</v>
      </c>
      <c r="B19" s="180" t="s">
        <v>157</v>
      </c>
      <c r="C19" s="180">
        <v>2019</v>
      </c>
      <c r="D19" s="188" t="s">
        <v>349</v>
      </c>
      <c r="E19" s="180" t="s">
        <v>139</v>
      </c>
      <c r="F19" s="180" t="s">
        <v>363</v>
      </c>
      <c r="G19" s="180" t="s">
        <v>42</v>
      </c>
      <c r="H19" s="180" t="s">
        <v>160</v>
      </c>
      <c r="I19" s="180" t="s">
        <v>159</v>
      </c>
      <c r="J19" s="180" t="s">
        <v>38</v>
      </c>
      <c r="K19" s="180" t="s">
        <v>161</v>
      </c>
      <c r="L19" s="180">
        <v>3</v>
      </c>
      <c r="N19" s="180">
        <v>4</v>
      </c>
      <c r="O19" s="180">
        <v>0.7</v>
      </c>
      <c r="P19" s="180">
        <v>0.55000000000000004</v>
      </c>
      <c r="Q19" s="189">
        <f t="shared" si="0"/>
        <v>0.625</v>
      </c>
      <c r="R19" s="180">
        <v>17</v>
      </c>
      <c r="S19" s="180">
        <v>116</v>
      </c>
      <c r="T19" s="190">
        <f t="shared" si="1"/>
        <v>30</v>
      </c>
      <c r="U19" s="180">
        <v>498</v>
      </c>
      <c r="V19" s="191">
        <f t="shared" si="2"/>
        <v>3735</v>
      </c>
      <c r="W19" s="180">
        <v>17</v>
      </c>
      <c r="X19" s="180" t="s">
        <v>46</v>
      </c>
      <c r="Y19" s="180" t="s">
        <v>69</v>
      </c>
      <c r="Z19" s="180" t="s">
        <v>55</v>
      </c>
      <c r="AA19" s="180" t="s">
        <v>88</v>
      </c>
      <c r="AB19" s="180" t="s">
        <v>158</v>
      </c>
      <c r="AE19" s="208" t="s">
        <v>206</v>
      </c>
      <c r="AP19" s="202" t="s">
        <v>222</v>
      </c>
      <c r="AR19" s="198" t="s">
        <v>223</v>
      </c>
      <c r="AV19" s="198" t="s">
        <v>90</v>
      </c>
    </row>
    <row r="20" spans="1:48" x14ac:dyDescent="0.15">
      <c r="A20" s="180" t="s">
        <v>51</v>
      </c>
      <c r="B20" s="180" t="s">
        <v>157</v>
      </c>
      <c r="C20" s="180">
        <v>2019</v>
      </c>
      <c r="D20" s="188" t="s">
        <v>349</v>
      </c>
      <c r="E20" s="180" t="s">
        <v>357</v>
      </c>
      <c r="F20" s="180" t="s">
        <v>358</v>
      </c>
      <c r="G20" s="180" t="s">
        <v>36</v>
      </c>
      <c r="H20" s="180" t="s">
        <v>164</v>
      </c>
      <c r="I20" s="180" t="s">
        <v>159</v>
      </c>
      <c r="J20" s="180" t="s">
        <v>38</v>
      </c>
      <c r="K20" s="180" t="s">
        <v>161</v>
      </c>
      <c r="L20" s="180">
        <v>1</v>
      </c>
      <c r="N20" s="180">
        <v>1</v>
      </c>
      <c r="O20" s="180">
        <v>0.6</v>
      </c>
      <c r="P20" s="180">
        <v>0.6</v>
      </c>
      <c r="Q20" s="189">
        <f t="shared" si="0"/>
        <v>0.6</v>
      </c>
      <c r="R20" s="180">
        <v>16.5</v>
      </c>
      <c r="S20" s="180">
        <v>146</v>
      </c>
      <c r="T20" s="190">
        <f t="shared" si="1"/>
        <v>22</v>
      </c>
      <c r="U20" s="180">
        <v>128</v>
      </c>
      <c r="V20" s="191">
        <f t="shared" si="2"/>
        <v>2816</v>
      </c>
      <c r="W20" s="180">
        <v>14</v>
      </c>
      <c r="X20" s="180" t="s">
        <v>46</v>
      </c>
      <c r="Y20" s="180" t="s">
        <v>55</v>
      </c>
      <c r="Z20" s="180" t="s">
        <v>69</v>
      </c>
      <c r="AA20" s="180" t="s">
        <v>90</v>
      </c>
      <c r="AB20" s="180" t="s">
        <v>158</v>
      </c>
      <c r="AE20" s="208"/>
      <c r="AP20" s="202" t="s">
        <v>224</v>
      </c>
      <c r="AR20" s="198" t="s">
        <v>105</v>
      </c>
      <c r="AV20" s="202" t="s">
        <v>225</v>
      </c>
    </row>
    <row r="21" spans="1:48" x14ac:dyDescent="0.15">
      <c r="A21" s="180" t="s">
        <v>51</v>
      </c>
      <c r="B21" s="180" t="s">
        <v>157</v>
      </c>
      <c r="C21" s="180">
        <v>2019</v>
      </c>
      <c r="D21" s="188" t="s">
        <v>349</v>
      </c>
      <c r="E21" s="180" t="s">
        <v>357</v>
      </c>
      <c r="F21" s="180" t="s">
        <v>358</v>
      </c>
      <c r="G21" s="180" t="s">
        <v>36</v>
      </c>
      <c r="H21" s="180" t="s">
        <v>164</v>
      </c>
      <c r="I21" s="180" t="s">
        <v>159</v>
      </c>
      <c r="J21" s="180" t="s">
        <v>38</v>
      </c>
      <c r="K21" s="180" t="s">
        <v>161</v>
      </c>
      <c r="L21" s="180">
        <v>2</v>
      </c>
      <c r="N21" s="180">
        <v>1</v>
      </c>
      <c r="O21" s="180">
        <v>0.7</v>
      </c>
      <c r="P21" s="180">
        <v>0.65</v>
      </c>
      <c r="Q21" s="189">
        <f t="shared" si="0"/>
        <v>0.67500000000000004</v>
      </c>
      <c r="R21" s="180">
        <v>17.3</v>
      </c>
      <c r="S21" s="180">
        <v>154</v>
      </c>
      <c r="T21" s="190">
        <f t="shared" si="1"/>
        <v>18</v>
      </c>
      <c r="U21" s="180">
        <v>128</v>
      </c>
      <c r="V21" s="191">
        <f t="shared" si="2"/>
        <v>2304</v>
      </c>
      <c r="W21" s="180">
        <v>14</v>
      </c>
      <c r="X21" s="180" t="s">
        <v>46</v>
      </c>
      <c r="Y21" s="180" t="s">
        <v>55</v>
      </c>
      <c r="Z21" s="180" t="s">
        <v>69</v>
      </c>
      <c r="AA21" s="180" t="s">
        <v>90</v>
      </c>
      <c r="AB21" s="180" t="s">
        <v>158</v>
      </c>
      <c r="AE21" s="203"/>
      <c r="AP21" s="202" t="s">
        <v>226</v>
      </c>
      <c r="AR21" s="198" t="s">
        <v>68</v>
      </c>
      <c r="AV21" s="202" t="s">
        <v>227</v>
      </c>
    </row>
    <row r="22" spans="1:48" x14ac:dyDescent="0.15">
      <c r="A22" s="180" t="s">
        <v>51</v>
      </c>
      <c r="B22" s="180" t="s">
        <v>157</v>
      </c>
      <c r="C22" s="180">
        <v>2019</v>
      </c>
      <c r="D22" s="188" t="s">
        <v>349</v>
      </c>
      <c r="E22" s="180" t="s">
        <v>357</v>
      </c>
      <c r="F22" s="180" t="s">
        <v>358</v>
      </c>
      <c r="G22" s="180" t="s">
        <v>36</v>
      </c>
      <c r="H22" s="180" t="s">
        <v>164</v>
      </c>
      <c r="I22" s="180" t="s">
        <v>159</v>
      </c>
      <c r="J22" s="180" t="s">
        <v>38</v>
      </c>
      <c r="K22" s="180" t="s">
        <v>161</v>
      </c>
      <c r="L22" s="180">
        <v>3</v>
      </c>
      <c r="N22" s="180">
        <v>1</v>
      </c>
      <c r="O22" s="180">
        <v>0.5</v>
      </c>
      <c r="P22" s="180">
        <v>0.55000000000000004</v>
      </c>
      <c r="Q22" s="189">
        <f t="shared" si="0"/>
        <v>0.52500000000000002</v>
      </c>
      <c r="R22" s="180">
        <v>16.8</v>
      </c>
      <c r="S22" s="180">
        <v>146</v>
      </c>
      <c r="T22" s="190">
        <f t="shared" si="1"/>
        <v>22</v>
      </c>
      <c r="U22" s="180">
        <v>128</v>
      </c>
      <c r="V22" s="191">
        <f t="shared" si="2"/>
        <v>2816</v>
      </c>
      <c r="W22" s="180">
        <v>14</v>
      </c>
      <c r="X22" s="180" t="s">
        <v>46</v>
      </c>
      <c r="Y22" s="180" t="s">
        <v>55</v>
      </c>
      <c r="Z22" s="180" t="s">
        <v>69</v>
      </c>
      <c r="AA22" s="180" t="s">
        <v>90</v>
      </c>
      <c r="AB22" s="180" t="s">
        <v>158</v>
      </c>
      <c r="AP22" s="202" t="s">
        <v>228</v>
      </c>
      <c r="AR22" s="198" t="s">
        <v>83</v>
      </c>
      <c r="AV22" s="202"/>
    </row>
    <row r="23" spans="1:48" x14ac:dyDescent="0.15">
      <c r="A23" s="180" t="s">
        <v>51</v>
      </c>
      <c r="B23" s="180" t="s">
        <v>157</v>
      </c>
      <c r="C23" s="180">
        <v>2019</v>
      </c>
      <c r="D23" s="188" t="s">
        <v>349</v>
      </c>
      <c r="E23" s="180" t="s">
        <v>357</v>
      </c>
      <c r="F23" s="180" t="s">
        <v>358</v>
      </c>
      <c r="G23" s="180" t="s">
        <v>36</v>
      </c>
      <c r="H23" s="180" t="s">
        <v>193</v>
      </c>
      <c r="I23" s="180" t="s">
        <v>159</v>
      </c>
      <c r="J23" s="180" t="s">
        <v>38</v>
      </c>
      <c r="K23" s="180" t="s">
        <v>161</v>
      </c>
      <c r="L23" s="180">
        <v>1</v>
      </c>
      <c r="N23" s="180">
        <v>5</v>
      </c>
      <c r="O23" s="180">
        <v>0.6</v>
      </c>
      <c r="P23" s="180">
        <v>0.6</v>
      </c>
      <c r="Q23" s="189">
        <f t="shared" si="0"/>
        <v>0.6</v>
      </c>
      <c r="R23" s="180">
        <v>16.899999999999999</v>
      </c>
      <c r="S23" s="180">
        <v>83</v>
      </c>
      <c r="T23" s="190">
        <f t="shared" si="1"/>
        <v>39</v>
      </c>
      <c r="U23" s="180">
        <v>398</v>
      </c>
      <c r="V23" s="191">
        <f t="shared" si="2"/>
        <v>3104.3999999999996</v>
      </c>
      <c r="W23" s="180">
        <v>14</v>
      </c>
      <c r="X23" s="180" t="s">
        <v>46</v>
      </c>
      <c r="Y23" s="180" t="s">
        <v>55</v>
      </c>
      <c r="Z23" s="180" t="s">
        <v>69</v>
      </c>
      <c r="AA23" s="180" t="s">
        <v>90</v>
      </c>
      <c r="AB23" s="180" t="s">
        <v>158</v>
      </c>
      <c r="AP23" s="202" t="s">
        <v>364</v>
      </c>
      <c r="AR23" s="198" t="s">
        <v>61</v>
      </c>
    </row>
    <row r="24" spans="1:48" x14ac:dyDescent="0.15">
      <c r="A24" s="180" t="s">
        <v>51</v>
      </c>
      <c r="B24" s="180" t="s">
        <v>157</v>
      </c>
      <c r="C24" s="180">
        <v>2019</v>
      </c>
      <c r="D24" s="188" t="s">
        <v>349</v>
      </c>
      <c r="E24" s="180" t="s">
        <v>357</v>
      </c>
      <c r="F24" s="180" t="s">
        <v>358</v>
      </c>
      <c r="G24" s="180" t="s">
        <v>36</v>
      </c>
      <c r="H24" s="180" t="s">
        <v>193</v>
      </c>
      <c r="I24" s="180" t="s">
        <v>159</v>
      </c>
      <c r="J24" s="180" t="s">
        <v>38</v>
      </c>
      <c r="K24" s="180" t="s">
        <v>161</v>
      </c>
      <c r="L24" s="180">
        <v>2</v>
      </c>
      <c r="N24" s="180">
        <v>5</v>
      </c>
      <c r="O24" s="180">
        <v>0.25</v>
      </c>
      <c r="P24" s="180">
        <v>0.25</v>
      </c>
      <c r="Q24" s="189">
        <f t="shared" si="0"/>
        <v>0.25</v>
      </c>
      <c r="R24" s="180">
        <v>15.8</v>
      </c>
      <c r="S24" s="180">
        <v>71</v>
      </c>
      <c r="T24" s="190">
        <f t="shared" si="1"/>
        <v>42</v>
      </c>
      <c r="U24" s="180">
        <v>398</v>
      </c>
      <c r="V24" s="191">
        <f t="shared" si="2"/>
        <v>3343.2</v>
      </c>
      <c r="W24" s="180">
        <v>14</v>
      </c>
      <c r="X24" s="180" t="s">
        <v>46</v>
      </c>
      <c r="Y24" s="180" t="s">
        <v>55</v>
      </c>
      <c r="Z24" s="180" t="s">
        <v>69</v>
      </c>
      <c r="AA24" s="180" t="s">
        <v>90</v>
      </c>
      <c r="AB24" s="180" t="s">
        <v>158</v>
      </c>
      <c r="AP24" s="202" t="s">
        <v>365</v>
      </c>
      <c r="AR24" s="198" t="s">
        <v>91</v>
      </c>
    </row>
    <row r="25" spans="1:48" x14ac:dyDescent="0.15">
      <c r="A25" s="180" t="s">
        <v>51</v>
      </c>
      <c r="B25" s="180" t="s">
        <v>157</v>
      </c>
      <c r="C25" s="180">
        <v>2019</v>
      </c>
      <c r="D25" s="188" t="s">
        <v>349</v>
      </c>
      <c r="E25" s="180" t="s">
        <v>357</v>
      </c>
      <c r="F25" s="180" t="s">
        <v>358</v>
      </c>
      <c r="G25" s="180" t="s">
        <v>36</v>
      </c>
      <c r="H25" s="180" t="s">
        <v>193</v>
      </c>
      <c r="I25" s="180" t="s">
        <v>159</v>
      </c>
      <c r="J25" s="180" t="s">
        <v>38</v>
      </c>
      <c r="K25" s="180" t="s">
        <v>161</v>
      </c>
      <c r="L25" s="180">
        <v>3</v>
      </c>
      <c r="N25" s="180">
        <v>5</v>
      </c>
      <c r="O25" s="180">
        <v>0.5</v>
      </c>
      <c r="P25" s="180">
        <v>0.5</v>
      </c>
      <c r="Q25" s="189">
        <f t="shared" si="0"/>
        <v>0.5</v>
      </c>
      <c r="R25" s="180">
        <v>16.399999999999999</v>
      </c>
      <c r="S25" s="180">
        <v>75</v>
      </c>
      <c r="T25" s="190">
        <f t="shared" si="1"/>
        <v>42</v>
      </c>
      <c r="U25" s="180">
        <v>398</v>
      </c>
      <c r="V25" s="191">
        <f t="shared" si="2"/>
        <v>3343.2</v>
      </c>
      <c r="W25" s="180">
        <v>14</v>
      </c>
      <c r="X25" s="180" t="s">
        <v>46</v>
      </c>
      <c r="Y25" s="180" t="s">
        <v>55</v>
      </c>
      <c r="Z25" s="180" t="s">
        <v>69</v>
      </c>
      <c r="AA25" s="180" t="s">
        <v>90</v>
      </c>
      <c r="AB25" s="180" t="s">
        <v>239</v>
      </c>
      <c r="AP25" s="202" t="s">
        <v>366</v>
      </c>
      <c r="AR25" s="202" t="s">
        <v>51</v>
      </c>
    </row>
    <row r="26" spans="1:48" x14ac:dyDescent="0.15">
      <c r="A26" s="180" t="s">
        <v>51</v>
      </c>
      <c r="B26" s="180" t="s">
        <v>157</v>
      </c>
      <c r="C26" s="180">
        <v>2019</v>
      </c>
      <c r="D26" s="188" t="s">
        <v>349</v>
      </c>
      <c r="E26" s="180" t="s">
        <v>357</v>
      </c>
      <c r="F26" s="180" t="s">
        <v>358</v>
      </c>
      <c r="G26" s="180" t="s">
        <v>36</v>
      </c>
      <c r="H26" s="180" t="s">
        <v>160</v>
      </c>
      <c r="I26" s="180" t="s">
        <v>159</v>
      </c>
      <c r="J26" s="180" t="s">
        <v>38</v>
      </c>
      <c r="K26" s="180" t="s">
        <v>161</v>
      </c>
      <c r="L26" s="180">
        <v>1</v>
      </c>
      <c r="N26" s="180">
        <v>1</v>
      </c>
      <c r="O26" s="180">
        <v>0.55000000000000004</v>
      </c>
      <c r="P26" s="180">
        <v>0.65</v>
      </c>
      <c r="Q26" s="189">
        <f t="shared" si="0"/>
        <v>0.60000000000000009</v>
      </c>
      <c r="R26" s="180">
        <v>17.5</v>
      </c>
      <c r="S26" s="180">
        <v>136</v>
      </c>
      <c r="T26" s="190">
        <f t="shared" si="1"/>
        <v>25</v>
      </c>
      <c r="U26" s="180">
        <v>128</v>
      </c>
      <c r="V26" s="191">
        <f t="shared" si="2"/>
        <v>3200</v>
      </c>
      <c r="W26" s="180">
        <v>14</v>
      </c>
      <c r="X26" s="180" t="s">
        <v>46</v>
      </c>
      <c r="Y26" s="180" t="s">
        <v>55</v>
      </c>
      <c r="Z26" s="180" t="s">
        <v>69</v>
      </c>
      <c r="AA26" s="180" t="s">
        <v>90</v>
      </c>
      <c r="AB26" s="180" t="s">
        <v>158</v>
      </c>
      <c r="AP26" s="202" t="s">
        <v>229</v>
      </c>
      <c r="AR26" s="180" t="s">
        <v>230</v>
      </c>
    </row>
    <row r="27" spans="1:48" x14ac:dyDescent="0.15">
      <c r="A27" s="180" t="s">
        <v>51</v>
      </c>
      <c r="B27" s="180" t="s">
        <v>157</v>
      </c>
      <c r="C27" s="180">
        <v>2019</v>
      </c>
      <c r="D27" s="188" t="s">
        <v>349</v>
      </c>
      <c r="E27" s="180" t="s">
        <v>357</v>
      </c>
      <c r="F27" s="180" t="s">
        <v>358</v>
      </c>
      <c r="G27" s="180" t="s">
        <v>36</v>
      </c>
      <c r="H27" s="180" t="s">
        <v>160</v>
      </c>
      <c r="I27" s="180" t="s">
        <v>159</v>
      </c>
      <c r="J27" s="180" t="s">
        <v>38</v>
      </c>
      <c r="K27" s="180" t="s">
        <v>161</v>
      </c>
      <c r="L27" s="180">
        <v>2</v>
      </c>
      <c r="N27" s="180">
        <v>1</v>
      </c>
      <c r="O27" s="180">
        <v>0.25</v>
      </c>
      <c r="P27" s="180">
        <v>0.25</v>
      </c>
      <c r="Q27" s="189">
        <f t="shared" si="0"/>
        <v>0.25</v>
      </c>
      <c r="R27" s="180">
        <v>16.8</v>
      </c>
      <c r="S27" s="180">
        <v>130</v>
      </c>
      <c r="T27" s="190">
        <f t="shared" si="1"/>
        <v>25</v>
      </c>
      <c r="U27" s="180">
        <v>128</v>
      </c>
      <c r="V27" s="191">
        <f t="shared" si="2"/>
        <v>3200</v>
      </c>
      <c r="W27" s="180">
        <v>14</v>
      </c>
      <c r="X27" s="180" t="s">
        <v>46</v>
      </c>
      <c r="Y27" s="180" t="s">
        <v>55</v>
      </c>
      <c r="Z27" s="180" t="s">
        <v>69</v>
      </c>
      <c r="AA27" s="180" t="s">
        <v>90</v>
      </c>
      <c r="AB27" s="180" t="s">
        <v>158</v>
      </c>
      <c r="AP27" s="202" t="s">
        <v>231</v>
      </c>
    </row>
    <row r="28" spans="1:48" x14ac:dyDescent="0.15">
      <c r="A28" s="180" t="s">
        <v>51</v>
      </c>
      <c r="B28" s="180" t="s">
        <v>157</v>
      </c>
      <c r="C28" s="180">
        <v>2019</v>
      </c>
      <c r="D28" s="188" t="s">
        <v>349</v>
      </c>
      <c r="E28" s="180" t="s">
        <v>357</v>
      </c>
      <c r="F28" s="180" t="s">
        <v>358</v>
      </c>
      <c r="G28" s="180" t="s">
        <v>36</v>
      </c>
      <c r="H28" s="180" t="s">
        <v>160</v>
      </c>
      <c r="I28" s="180" t="s">
        <v>159</v>
      </c>
      <c r="J28" s="180" t="s">
        <v>38</v>
      </c>
      <c r="K28" s="180" t="s">
        <v>161</v>
      </c>
      <c r="L28" s="180">
        <v>3</v>
      </c>
      <c r="N28" s="180">
        <v>1</v>
      </c>
      <c r="O28" s="180">
        <v>0.7</v>
      </c>
      <c r="P28" s="180">
        <v>0.65</v>
      </c>
      <c r="Q28" s="189">
        <f t="shared" si="0"/>
        <v>0.67500000000000004</v>
      </c>
      <c r="R28" s="180">
        <v>16.3</v>
      </c>
      <c r="S28" s="180">
        <v>136</v>
      </c>
      <c r="T28" s="190">
        <f t="shared" si="1"/>
        <v>25</v>
      </c>
      <c r="U28" s="180">
        <v>128</v>
      </c>
      <c r="V28" s="191">
        <f t="shared" si="2"/>
        <v>3200</v>
      </c>
      <c r="W28" s="180">
        <v>14</v>
      </c>
      <c r="X28" s="180" t="s">
        <v>46</v>
      </c>
      <c r="Y28" s="180" t="s">
        <v>55</v>
      </c>
      <c r="Z28" s="180" t="s">
        <v>69</v>
      </c>
      <c r="AA28" s="180" t="s">
        <v>90</v>
      </c>
      <c r="AB28" s="180" t="s">
        <v>158</v>
      </c>
    </row>
    <row r="29" spans="1:48" x14ac:dyDescent="0.15">
      <c r="A29" s="180" t="s">
        <v>51</v>
      </c>
      <c r="B29" s="180" t="s">
        <v>157</v>
      </c>
      <c r="C29" s="180">
        <v>2019</v>
      </c>
      <c r="D29" s="188" t="s">
        <v>349</v>
      </c>
      <c r="E29" s="180" t="s">
        <v>210</v>
      </c>
      <c r="F29" s="180" t="s">
        <v>352</v>
      </c>
      <c r="G29" s="180" t="s">
        <v>42</v>
      </c>
      <c r="H29" s="180" t="s">
        <v>164</v>
      </c>
      <c r="I29" s="180" t="s">
        <v>159</v>
      </c>
      <c r="J29" s="180" t="s">
        <v>38</v>
      </c>
      <c r="K29" s="180" t="s">
        <v>161</v>
      </c>
      <c r="L29" s="180">
        <v>1</v>
      </c>
      <c r="N29" s="180">
        <v>1</v>
      </c>
      <c r="O29" s="180">
        <v>0.7</v>
      </c>
      <c r="P29" s="180">
        <v>0.75</v>
      </c>
      <c r="Q29" s="189">
        <f t="shared" si="0"/>
        <v>0.72499999999999998</v>
      </c>
      <c r="R29" s="180">
        <v>14.6</v>
      </c>
      <c r="S29" s="180">
        <v>114</v>
      </c>
      <c r="T29" s="190">
        <f t="shared" si="1"/>
        <v>30</v>
      </c>
      <c r="U29" s="180">
        <v>89</v>
      </c>
      <c r="V29" s="191">
        <f t="shared" si="2"/>
        <v>2670</v>
      </c>
      <c r="W29" s="180">
        <v>14</v>
      </c>
      <c r="X29" s="180" t="s">
        <v>46</v>
      </c>
      <c r="Y29" s="180" t="s">
        <v>88</v>
      </c>
      <c r="Z29" s="180" t="s">
        <v>55</v>
      </c>
      <c r="AA29" s="180" t="s">
        <v>69</v>
      </c>
      <c r="AB29" s="180" t="s">
        <v>158</v>
      </c>
    </row>
    <row r="30" spans="1:48" x14ac:dyDescent="0.15">
      <c r="A30" s="180" t="s">
        <v>51</v>
      </c>
      <c r="B30" s="180" t="s">
        <v>157</v>
      </c>
      <c r="C30" s="180">
        <v>2019</v>
      </c>
      <c r="D30" s="188" t="s">
        <v>349</v>
      </c>
      <c r="E30" s="180" t="s">
        <v>210</v>
      </c>
      <c r="F30" s="180" t="s">
        <v>352</v>
      </c>
      <c r="G30" s="180" t="s">
        <v>42</v>
      </c>
      <c r="H30" s="180" t="s">
        <v>164</v>
      </c>
      <c r="I30" s="180" t="s">
        <v>159</v>
      </c>
      <c r="J30" s="180" t="s">
        <v>38</v>
      </c>
      <c r="K30" s="180" t="s">
        <v>161</v>
      </c>
      <c r="L30" s="180">
        <v>2</v>
      </c>
      <c r="N30" s="180">
        <v>1</v>
      </c>
      <c r="O30" s="180">
        <v>0.7</v>
      </c>
      <c r="P30" s="180">
        <v>0.65</v>
      </c>
      <c r="Q30" s="189">
        <f t="shared" si="0"/>
        <v>0.67500000000000004</v>
      </c>
      <c r="R30" s="180">
        <v>14.4</v>
      </c>
      <c r="S30" s="180">
        <v>110</v>
      </c>
      <c r="T30" s="190">
        <f t="shared" si="1"/>
        <v>33</v>
      </c>
      <c r="U30" s="180">
        <v>89</v>
      </c>
      <c r="V30" s="191">
        <f t="shared" si="2"/>
        <v>2937</v>
      </c>
      <c r="W30" s="180">
        <v>14</v>
      </c>
      <c r="X30" s="180" t="s">
        <v>46</v>
      </c>
      <c r="Y30" s="180" t="s">
        <v>88</v>
      </c>
      <c r="Z30" s="180" t="s">
        <v>55</v>
      </c>
      <c r="AA30" s="180" t="s">
        <v>69</v>
      </c>
      <c r="AB30" s="180" t="s">
        <v>158</v>
      </c>
    </row>
    <row r="31" spans="1:48" x14ac:dyDescent="0.15">
      <c r="A31" s="180" t="s">
        <v>51</v>
      </c>
      <c r="B31" s="180" t="s">
        <v>157</v>
      </c>
      <c r="C31" s="180">
        <v>2019</v>
      </c>
      <c r="D31" s="188" t="s">
        <v>349</v>
      </c>
      <c r="E31" s="180" t="s">
        <v>210</v>
      </c>
      <c r="F31" s="180" t="s">
        <v>352</v>
      </c>
      <c r="G31" s="180" t="s">
        <v>42</v>
      </c>
      <c r="H31" s="180" t="s">
        <v>164</v>
      </c>
      <c r="I31" s="180" t="s">
        <v>159</v>
      </c>
      <c r="J31" s="180" t="s">
        <v>38</v>
      </c>
      <c r="K31" s="180" t="s">
        <v>161</v>
      </c>
      <c r="L31" s="180">
        <v>3</v>
      </c>
      <c r="N31" s="180">
        <v>1</v>
      </c>
      <c r="O31" s="180">
        <v>0.55000000000000004</v>
      </c>
      <c r="P31" s="180">
        <v>0.7</v>
      </c>
      <c r="Q31" s="189">
        <f t="shared" si="0"/>
        <v>0.625</v>
      </c>
      <c r="R31" s="180">
        <v>15.1</v>
      </c>
      <c r="S31" s="180">
        <v>110</v>
      </c>
      <c r="T31" s="190">
        <f t="shared" si="1"/>
        <v>33</v>
      </c>
      <c r="U31" s="180">
        <v>89</v>
      </c>
      <c r="V31" s="191">
        <f t="shared" si="2"/>
        <v>2937</v>
      </c>
      <c r="W31" s="180">
        <v>14</v>
      </c>
      <c r="X31" s="180" t="s">
        <v>46</v>
      </c>
      <c r="Y31" s="180" t="s">
        <v>88</v>
      </c>
      <c r="Z31" s="180" t="s">
        <v>55</v>
      </c>
      <c r="AA31" s="180" t="s">
        <v>69</v>
      </c>
      <c r="AB31" s="180" t="s">
        <v>158</v>
      </c>
    </row>
    <row r="32" spans="1:48" x14ac:dyDescent="0.15">
      <c r="A32" s="180" t="s">
        <v>51</v>
      </c>
      <c r="B32" s="180" t="s">
        <v>157</v>
      </c>
      <c r="C32" s="180">
        <v>2019</v>
      </c>
      <c r="D32" s="188" t="s">
        <v>349</v>
      </c>
      <c r="E32" s="180" t="s">
        <v>210</v>
      </c>
      <c r="F32" s="180" t="s">
        <v>352</v>
      </c>
      <c r="G32" s="180" t="s">
        <v>42</v>
      </c>
      <c r="H32" s="180" t="s">
        <v>160</v>
      </c>
      <c r="I32" s="180" t="s">
        <v>159</v>
      </c>
      <c r="J32" s="180" t="s">
        <v>38</v>
      </c>
      <c r="K32" s="180" t="s">
        <v>161</v>
      </c>
      <c r="L32" s="180">
        <v>1</v>
      </c>
      <c r="N32" s="180">
        <v>1</v>
      </c>
      <c r="O32" s="180">
        <v>0.8</v>
      </c>
      <c r="P32" s="180">
        <v>0.9</v>
      </c>
      <c r="Q32" s="189">
        <f t="shared" si="0"/>
        <v>0.85000000000000009</v>
      </c>
      <c r="R32" s="180">
        <v>15.8</v>
      </c>
      <c r="S32" s="180">
        <v>136</v>
      </c>
      <c r="T32" s="190">
        <f t="shared" si="1"/>
        <v>25</v>
      </c>
      <c r="U32" s="180">
        <v>89</v>
      </c>
      <c r="V32" s="191">
        <f t="shared" si="2"/>
        <v>2225</v>
      </c>
      <c r="W32" s="180">
        <v>14</v>
      </c>
      <c r="X32" s="180" t="s">
        <v>46</v>
      </c>
      <c r="Y32" s="180" t="s">
        <v>88</v>
      </c>
      <c r="Z32" s="180" t="s">
        <v>55</v>
      </c>
      <c r="AA32" s="180" t="s">
        <v>69</v>
      </c>
      <c r="AB32" s="180" t="s">
        <v>158</v>
      </c>
    </row>
    <row r="33" spans="1:28" x14ac:dyDescent="0.15">
      <c r="A33" s="180" t="s">
        <v>51</v>
      </c>
      <c r="B33" s="180" t="s">
        <v>157</v>
      </c>
      <c r="C33" s="180">
        <v>2019</v>
      </c>
      <c r="D33" s="188" t="s">
        <v>349</v>
      </c>
      <c r="E33" s="180" t="s">
        <v>210</v>
      </c>
      <c r="F33" s="180" t="s">
        <v>352</v>
      </c>
      <c r="G33" s="180" t="s">
        <v>42</v>
      </c>
      <c r="H33" s="180" t="s">
        <v>160</v>
      </c>
      <c r="I33" s="180" t="s">
        <v>159</v>
      </c>
      <c r="J33" s="180" t="s">
        <v>38</v>
      </c>
      <c r="K33" s="180" t="s">
        <v>161</v>
      </c>
      <c r="L33" s="180">
        <v>2</v>
      </c>
      <c r="N33" s="180">
        <v>1</v>
      </c>
      <c r="O33" s="180">
        <v>1</v>
      </c>
      <c r="P33" s="180">
        <v>0.85</v>
      </c>
      <c r="Q33" s="189">
        <f t="shared" si="0"/>
        <v>0.92500000000000004</v>
      </c>
      <c r="R33" s="180">
        <v>15.6</v>
      </c>
      <c r="S33" s="180">
        <v>138</v>
      </c>
      <c r="T33" s="190">
        <f t="shared" si="1"/>
        <v>22</v>
      </c>
      <c r="U33" s="180">
        <v>89</v>
      </c>
      <c r="V33" s="191">
        <f t="shared" si="2"/>
        <v>1958</v>
      </c>
      <c r="W33" s="180">
        <v>14</v>
      </c>
      <c r="X33" s="180" t="s">
        <v>46</v>
      </c>
      <c r="Y33" s="180" t="s">
        <v>88</v>
      </c>
      <c r="Z33" s="180" t="s">
        <v>55</v>
      </c>
      <c r="AA33" s="180" t="s">
        <v>69</v>
      </c>
      <c r="AB33" s="180" t="s">
        <v>158</v>
      </c>
    </row>
    <row r="34" spans="1:28" x14ac:dyDescent="0.15">
      <c r="A34" s="180" t="s">
        <v>51</v>
      </c>
      <c r="B34" s="180" t="s">
        <v>157</v>
      </c>
      <c r="C34" s="180">
        <v>2019</v>
      </c>
      <c r="D34" s="188" t="s">
        <v>349</v>
      </c>
      <c r="E34" s="180" t="s">
        <v>210</v>
      </c>
      <c r="F34" s="180" t="s">
        <v>352</v>
      </c>
      <c r="G34" s="180" t="s">
        <v>42</v>
      </c>
      <c r="H34" s="180" t="s">
        <v>160</v>
      </c>
      <c r="I34" s="180" t="s">
        <v>159</v>
      </c>
      <c r="J34" s="180" t="s">
        <v>38</v>
      </c>
      <c r="K34" s="180" t="s">
        <v>161</v>
      </c>
      <c r="L34" s="180">
        <v>3</v>
      </c>
      <c r="N34" s="180">
        <v>1</v>
      </c>
      <c r="O34" s="180">
        <v>0.85</v>
      </c>
      <c r="P34" s="180">
        <v>0.95</v>
      </c>
      <c r="Q34" s="189">
        <f t="shared" si="0"/>
        <v>0.89999999999999991</v>
      </c>
      <c r="R34" s="180">
        <v>14.4</v>
      </c>
      <c r="S34" s="180">
        <v>132</v>
      </c>
      <c r="T34" s="190">
        <f t="shared" si="1"/>
        <v>25</v>
      </c>
      <c r="U34" s="180">
        <v>89</v>
      </c>
      <c r="V34" s="191">
        <f t="shared" si="2"/>
        <v>2225</v>
      </c>
      <c r="W34" s="180">
        <v>14</v>
      </c>
      <c r="X34" s="180" t="s">
        <v>46</v>
      </c>
      <c r="Y34" s="180" t="s">
        <v>88</v>
      </c>
      <c r="Z34" s="180" t="s">
        <v>55</v>
      </c>
      <c r="AA34" s="180" t="s">
        <v>69</v>
      </c>
      <c r="AB34" s="180" t="s">
        <v>158</v>
      </c>
    </row>
    <row r="35" spans="1:28" x14ac:dyDescent="0.15">
      <c r="A35" s="180" t="s">
        <v>51</v>
      </c>
      <c r="B35" s="180" t="s">
        <v>157</v>
      </c>
      <c r="C35" s="180">
        <v>2019</v>
      </c>
      <c r="D35" s="188" t="s">
        <v>349</v>
      </c>
      <c r="E35" s="180" t="s">
        <v>359</v>
      </c>
      <c r="F35" s="180" t="s">
        <v>352</v>
      </c>
      <c r="G35" s="180" t="s">
        <v>42</v>
      </c>
      <c r="H35" s="180" t="s">
        <v>164</v>
      </c>
      <c r="I35" s="180" t="s">
        <v>159</v>
      </c>
      <c r="J35" s="180" t="s">
        <v>38</v>
      </c>
      <c r="K35" s="180" t="s">
        <v>161</v>
      </c>
      <c r="L35" s="180">
        <v>1</v>
      </c>
      <c r="N35" s="180">
        <v>3</v>
      </c>
      <c r="O35" s="180">
        <v>0.55000000000000004</v>
      </c>
      <c r="P35" s="180">
        <v>0.65</v>
      </c>
      <c r="Q35" s="189">
        <f t="shared" si="0"/>
        <v>0.60000000000000009</v>
      </c>
      <c r="R35" s="180">
        <v>16.3</v>
      </c>
      <c r="S35" s="180">
        <v>144</v>
      </c>
      <c r="T35" s="190">
        <f t="shared" si="1"/>
        <v>22</v>
      </c>
      <c r="U35" s="180">
        <v>398</v>
      </c>
      <c r="V35" s="191">
        <f t="shared" si="2"/>
        <v>2918.6666666666665</v>
      </c>
      <c r="W35" s="180">
        <v>19</v>
      </c>
      <c r="X35" s="180" t="s">
        <v>46</v>
      </c>
      <c r="Y35" s="180" t="s">
        <v>69</v>
      </c>
      <c r="Z35" s="180" t="s">
        <v>88</v>
      </c>
      <c r="AA35" s="180" t="s">
        <v>55</v>
      </c>
      <c r="AB35" s="180" t="s">
        <v>158</v>
      </c>
    </row>
    <row r="36" spans="1:28" x14ac:dyDescent="0.15">
      <c r="A36" s="180" t="s">
        <v>51</v>
      </c>
      <c r="B36" s="180" t="s">
        <v>157</v>
      </c>
      <c r="C36" s="180">
        <v>2019</v>
      </c>
      <c r="D36" s="188" t="s">
        <v>349</v>
      </c>
      <c r="E36" s="180" t="s">
        <v>359</v>
      </c>
      <c r="F36" s="180" t="s">
        <v>352</v>
      </c>
      <c r="G36" s="180" t="s">
        <v>42</v>
      </c>
      <c r="H36" s="180" t="s">
        <v>164</v>
      </c>
      <c r="I36" s="180" t="s">
        <v>159</v>
      </c>
      <c r="J36" s="180" t="s">
        <v>38</v>
      </c>
      <c r="K36" s="180" t="s">
        <v>161</v>
      </c>
      <c r="L36" s="180">
        <v>2</v>
      </c>
      <c r="N36" s="180">
        <v>3</v>
      </c>
      <c r="O36" s="180">
        <v>0.6</v>
      </c>
      <c r="P36" s="180">
        <v>0.7</v>
      </c>
      <c r="Q36" s="189">
        <f t="shared" si="0"/>
        <v>0.64999999999999991</v>
      </c>
      <c r="R36" s="180">
        <v>15.8</v>
      </c>
      <c r="S36" s="180">
        <v>138</v>
      </c>
      <c r="T36" s="190">
        <f t="shared" si="1"/>
        <v>22</v>
      </c>
      <c r="U36" s="180">
        <v>398</v>
      </c>
      <c r="V36" s="191">
        <f t="shared" si="2"/>
        <v>2918.6666666666665</v>
      </c>
      <c r="W36" s="180">
        <v>19</v>
      </c>
      <c r="X36" s="180" t="s">
        <v>46</v>
      </c>
      <c r="Y36" s="180" t="s">
        <v>69</v>
      </c>
      <c r="Z36" s="180" t="s">
        <v>88</v>
      </c>
      <c r="AA36" s="180" t="s">
        <v>55</v>
      </c>
      <c r="AB36" s="180" t="s">
        <v>158</v>
      </c>
    </row>
    <row r="37" spans="1:28" x14ac:dyDescent="0.15">
      <c r="A37" s="180" t="s">
        <v>51</v>
      </c>
      <c r="B37" s="180" t="s">
        <v>157</v>
      </c>
      <c r="C37" s="180">
        <v>2019</v>
      </c>
      <c r="D37" s="188" t="s">
        <v>349</v>
      </c>
      <c r="E37" s="180" t="s">
        <v>359</v>
      </c>
      <c r="F37" s="180" t="s">
        <v>352</v>
      </c>
      <c r="G37" s="180" t="s">
        <v>42</v>
      </c>
      <c r="H37" s="180" t="s">
        <v>164</v>
      </c>
      <c r="I37" s="180" t="s">
        <v>159</v>
      </c>
      <c r="J37" s="180" t="s">
        <v>38</v>
      </c>
      <c r="K37" s="180" t="s">
        <v>161</v>
      </c>
      <c r="L37" s="180">
        <v>3</v>
      </c>
      <c r="N37" s="180">
        <v>3</v>
      </c>
      <c r="O37" s="180">
        <v>0.75</v>
      </c>
      <c r="P37" s="180">
        <v>0.65</v>
      </c>
      <c r="Q37" s="189">
        <f t="shared" si="0"/>
        <v>0.7</v>
      </c>
      <c r="R37" s="180">
        <v>16</v>
      </c>
      <c r="S37" s="180">
        <v>142</v>
      </c>
      <c r="T37" s="190">
        <f t="shared" si="1"/>
        <v>22</v>
      </c>
      <c r="U37" s="180">
        <v>398</v>
      </c>
      <c r="V37" s="191">
        <f t="shared" si="2"/>
        <v>2918.6666666666665</v>
      </c>
      <c r="W37" s="180">
        <v>19</v>
      </c>
      <c r="X37" s="180" t="s">
        <v>46</v>
      </c>
      <c r="Y37" s="180" t="s">
        <v>69</v>
      </c>
      <c r="Z37" s="180" t="s">
        <v>88</v>
      </c>
      <c r="AA37" s="180" t="s">
        <v>55</v>
      </c>
      <c r="AB37" s="180" t="s">
        <v>158</v>
      </c>
    </row>
    <row r="38" spans="1:28" x14ac:dyDescent="0.15">
      <c r="A38" s="180" t="s">
        <v>51</v>
      </c>
      <c r="B38" s="180" t="s">
        <v>157</v>
      </c>
      <c r="C38" s="180">
        <v>2019</v>
      </c>
      <c r="D38" s="188" t="s">
        <v>349</v>
      </c>
      <c r="E38" s="180" t="s">
        <v>359</v>
      </c>
      <c r="F38" s="180" t="s">
        <v>352</v>
      </c>
      <c r="G38" s="180" t="s">
        <v>42</v>
      </c>
      <c r="H38" s="180" t="s">
        <v>164</v>
      </c>
      <c r="I38" s="180" t="s">
        <v>198</v>
      </c>
      <c r="J38" s="180" t="s">
        <v>38</v>
      </c>
      <c r="K38" s="180" t="s">
        <v>161</v>
      </c>
      <c r="L38" s="180">
        <v>1</v>
      </c>
      <c r="N38" s="180">
        <v>4</v>
      </c>
      <c r="O38" s="180">
        <v>0.25</v>
      </c>
      <c r="P38" s="180">
        <v>0.25</v>
      </c>
      <c r="Q38" s="189">
        <f t="shared" si="0"/>
        <v>0.25</v>
      </c>
      <c r="R38" s="180">
        <v>14.5</v>
      </c>
      <c r="S38" s="180">
        <v>94</v>
      </c>
      <c r="T38" s="190">
        <f t="shared" si="1"/>
        <v>36</v>
      </c>
      <c r="U38" s="180">
        <v>398</v>
      </c>
      <c r="V38" s="191">
        <f t="shared" si="2"/>
        <v>3582</v>
      </c>
      <c r="W38" s="180">
        <v>19</v>
      </c>
      <c r="X38" s="180" t="s">
        <v>46</v>
      </c>
      <c r="Y38" s="180" t="s">
        <v>69</v>
      </c>
      <c r="Z38" s="180" t="s">
        <v>88</v>
      </c>
      <c r="AA38" s="180" t="s">
        <v>55</v>
      </c>
      <c r="AB38" s="180" t="s">
        <v>158</v>
      </c>
    </row>
    <row r="39" spans="1:28" x14ac:dyDescent="0.15">
      <c r="A39" s="180" t="s">
        <v>51</v>
      </c>
      <c r="B39" s="180" t="s">
        <v>157</v>
      </c>
      <c r="C39" s="180">
        <v>2019</v>
      </c>
      <c r="D39" s="188" t="s">
        <v>349</v>
      </c>
      <c r="E39" s="180" t="s">
        <v>359</v>
      </c>
      <c r="F39" s="180" t="s">
        <v>352</v>
      </c>
      <c r="G39" s="180" t="s">
        <v>42</v>
      </c>
      <c r="H39" s="180" t="s">
        <v>164</v>
      </c>
      <c r="I39" s="180" t="s">
        <v>198</v>
      </c>
      <c r="J39" s="180" t="s">
        <v>38</v>
      </c>
      <c r="K39" s="180" t="s">
        <v>161</v>
      </c>
      <c r="L39" s="180">
        <v>2</v>
      </c>
      <c r="N39" s="180">
        <v>4</v>
      </c>
      <c r="O39" s="180">
        <v>0.5</v>
      </c>
      <c r="P39" s="180">
        <v>0.5</v>
      </c>
      <c r="Q39" s="189">
        <f t="shared" si="0"/>
        <v>0.5</v>
      </c>
      <c r="R39" s="180">
        <v>15.2</v>
      </c>
      <c r="S39" s="180">
        <v>96</v>
      </c>
      <c r="T39" s="190">
        <f t="shared" si="1"/>
        <v>36</v>
      </c>
      <c r="U39" s="180">
        <v>398</v>
      </c>
      <c r="V39" s="191">
        <f t="shared" si="2"/>
        <v>3582</v>
      </c>
      <c r="W39" s="180">
        <v>19</v>
      </c>
      <c r="X39" s="180" t="s">
        <v>46</v>
      </c>
      <c r="Y39" s="180" t="s">
        <v>69</v>
      </c>
      <c r="Z39" s="180" t="s">
        <v>88</v>
      </c>
      <c r="AA39" s="180" t="s">
        <v>55</v>
      </c>
      <c r="AB39" s="180" t="s">
        <v>158</v>
      </c>
    </row>
    <row r="40" spans="1:28" x14ac:dyDescent="0.15">
      <c r="A40" s="180" t="s">
        <v>51</v>
      </c>
      <c r="B40" s="180" t="s">
        <v>157</v>
      </c>
      <c r="C40" s="180">
        <v>2019</v>
      </c>
      <c r="D40" s="188" t="s">
        <v>349</v>
      </c>
      <c r="E40" s="180" t="s">
        <v>359</v>
      </c>
      <c r="F40" s="180" t="s">
        <v>352</v>
      </c>
      <c r="G40" s="180" t="s">
        <v>42</v>
      </c>
      <c r="H40" s="180" t="s">
        <v>164</v>
      </c>
      <c r="I40" s="180" t="s">
        <v>198</v>
      </c>
      <c r="J40" s="180" t="s">
        <v>38</v>
      </c>
      <c r="K40" s="180" t="s">
        <v>161</v>
      </c>
      <c r="L40" s="180">
        <v>3</v>
      </c>
      <c r="N40" s="180">
        <v>4</v>
      </c>
      <c r="O40" s="180">
        <v>0.55000000000000004</v>
      </c>
      <c r="P40" s="180">
        <v>0.5</v>
      </c>
      <c r="Q40" s="189">
        <f t="shared" si="0"/>
        <v>0.52500000000000002</v>
      </c>
      <c r="R40" s="180">
        <v>15.6</v>
      </c>
      <c r="S40" s="180">
        <v>97</v>
      </c>
      <c r="T40" s="190">
        <f t="shared" si="1"/>
        <v>36</v>
      </c>
      <c r="U40" s="180">
        <v>398</v>
      </c>
      <c r="V40" s="191">
        <f t="shared" si="2"/>
        <v>3582</v>
      </c>
      <c r="W40" s="180">
        <v>19</v>
      </c>
      <c r="X40" s="180" t="s">
        <v>46</v>
      </c>
      <c r="Y40" s="180" t="s">
        <v>69</v>
      </c>
      <c r="Z40" s="180" t="s">
        <v>88</v>
      </c>
      <c r="AA40" s="180" t="s">
        <v>55</v>
      </c>
      <c r="AB40" s="180" t="s">
        <v>158</v>
      </c>
    </row>
    <row r="41" spans="1:28" x14ac:dyDescent="0.15">
      <c r="A41" s="180" t="s">
        <v>51</v>
      </c>
      <c r="B41" s="180" t="s">
        <v>157</v>
      </c>
      <c r="C41" s="180">
        <v>2019</v>
      </c>
      <c r="D41" s="188" t="s">
        <v>349</v>
      </c>
      <c r="E41" s="180" t="s">
        <v>359</v>
      </c>
      <c r="F41" s="180" t="s">
        <v>352</v>
      </c>
      <c r="G41" s="180" t="s">
        <v>42</v>
      </c>
      <c r="H41" s="180" t="s">
        <v>160</v>
      </c>
      <c r="I41" s="180" t="s">
        <v>159</v>
      </c>
      <c r="J41" s="180" t="s">
        <v>38</v>
      </c>
      <c r="K41" s="180" t="s">
        <v>161</v>
      </c>
      <c r="L41" s="180">
        <v>1</v>
      </c>
      <c r="N41" s="180">
        <v>1</v>
      </c>
      <c r="O41" s="180">
        <v>0.5</v>
      </c>
      <c r="P41" s="180">
        <v>0.6</v>
      </c>
      <c r="Q41" s="189">
        <f t="shared" si="0"/>
        <v>0.55000000000000004</v>
      </c>
      <c r="R41" s="180">
        <v>18.600000000000001</v>
      </c>
      <c r="S41" s="180">
        <v>108</v>
      </c>
      <c r="T41" s="190">
        <f t="shared" si="1"/>
        <v>33</v>
      </c>
      <c r="U41" s="180">
        <v>98</v>
      </c>
      <c r="V41" s="191">
        <f t="shared" si="2"/>
        <v>3234</v>
      </c>
      <c r="W41" s="180">
        <v>19</v>
      </c>
      <c r="X41" s="180" t="s">
        <v>46</v>
      </c>
      <c r="Y41" s="180" t="s">
        <v>69</v>
      </c>
      <c r="Z41" s="180" t="s">
        <v>88</v>
      </c>
      <c r="AA41" s="180" t="s">
        <v>55</v>
      </c>
      <c r="AB41" s="180" t="s">
        <v>158</v>
      </c>
    </row>
    <row r="42" spans="1:28" x14ac:dyDescent="0.15">
      <c r="A42" s="180" t="s">
        <v>51</v>
      </c>
      <c r="B42" s="180" t="s">
        <v>157</v>
      </c>
      <c r="C42" s="180">
        <v>2019</v>
      </c>
      <c r="D42" s="188" t="s">
        <v>349</v>
      </c>
      <c r="E42" s="180" t="s">
        <v>359</v>
      </c>
      <c r="F42" s="180" t="s">
        <v>352</v>
      </c>
      <c r="G42" s="180" t="s">
        <v>42</v>
      </c>
      <c r="H42" s="180" t="s">
        <v>160</v>
      </c>
      <c r="I42" s="180" t="s">
        <v>159</v>
      </c>
      <c r="J42" s="180" t="s">
        <v>38</v>
      </c>
      <c r="K42" s="180" t="s">
        <v>161</v>
      </c>
      <c r="L42" s="180">
        <v>2</v>
      </c>
      <c r="N42" s="180">
        <v>1</v>
      </c>
      <c r="O42" s="180">
        <v>0.65</v>
      </c>
      <c r="P42" s="180">
        <v>0.5</v>
      </c>
      <c r="Q42" s="189">
        <f t="shared" si="0"/>
        <v>0.57499999999999996</v>
      </c>
      <c r="R42" s="180">
        <v>17.8</v>
      </c>
      <c r="S42" s="180">
        <v>114</v>
      </c>
      <c r="T42" s="190">
        <f t="shared" si="1"/>
        <v>30</v>
      </c>
      <c r="U42" s="180">
        <v>98</v>
      </c>
      <c r="V42" s="191">
        <f t="shared" si="2"/>
        <v>2940</v>
      </c>
      <c r="W42" s="180">
        <v>19</v>
      </c>
      <c r="X42" s="180" t="s">
        <v>46</v>
      </c>
      <c r="Y42" s="180" t="s">
        <v>69</v>
      </c>
      <c r="Z42" s="180" t="s">
        <v>88</v>
      </c>
      <c r="AA42" s="180" t="s">
        <v>55</v>
      </c>
      <c r="AB42" s="180" t="s">
        <v>158</v>
      </c>
    </row>
    <row r="43" spans="1:28" x14ac:dyDescent="0.15">
      <c r="A43" s="180" t="s">
        <v>51</v>
      </c>
      <c r="B43" s="180" t="s">
        <v>157</v>
      </c>
      <c r="C43" s="180">
        <v>2019</v>
      </c>
      <c r="D43" s="188" t="s">
        <v>349</v>
      </c>
      <c r="E43" s="180" t="s">
        <v>359</v>
      </c>
      <c r="F43" s="180" t="s">
        <v>352</v>
      </c>
      <c r="G43" s="180" t="s">
        <v>42</v>
      </c>
      <c r="H43" s="180" t="s">
        <v>160</v>
      </c>
      <c r="I43" s="180" t="s">
        <v>159</v>
      </c>
      <c r="J43" s="180" t="s">
        <v>38</v>
      </c>
      <c r="K43" s="180" t="s">
        <v>161</v>
      </c>
      <c r="L43" s="180">
        <v>3</v>
      </c>
      <c r="N43" s="180">
        <v>1</v>
      </c>
      <c r="O43" s="180">
        <v>0.55000000000000004</v>
      </c>
      <c r="P43" s="180">
        <v>0.65</v>
      </c>
      <c r="Q43" s="189">
        <f t="shared" si="0"/>
        <v>0.60000000000000009</v>
      </c>
      <c r="R43" s="180">
        <v>17.3</v>
      </c>
      <c r="S43" s="180">
        <v>114</v>
      </c>
      <c r="T43" s="190">
        <f t="shared" si="1"/>
        <v>30</v>
      </c>
      <c r="U43" s="180">
        <v>98</v>
      </c>
      <c r="V43" s="191">
        <f t="shared" si="2"/>
        <v>2940</v>
      </c>
      <c r="W43" s="180">
        <v>19</v>
      </c>
      <c r="X43" s="180" t="s">
        <v>46</v>
      </c>
      <c r="Y43" s="180" t="s">
        <v>69</v>
      </c>
      <c r="Z43" s="180" t="s">
        <v>88</v>
      </c>
      <c r="AA43" s="180" t="s">
        <v>55</v>
      </c>
      <c r="AB43" s="180" t="s">
        <v>158</v>
      </c>
    </row>
    <row r="44" spans="1:28" x14ac:dyDescent="0.15">
      <c r="A44" s="180" t="s">
        <v>51</v>
      </c>
      <c r="B44" s="180" t="s">
        <v>157</v>
      </c>
      <c r="C44" s="180">
        <v>2019</v>
      </c>
      <c r="D44" s="188" t="s">
        <v>349</v>
      </c>
      <c r="E44" s="180" t="s">
        <v>359</v>
      </c>
      <c r="F44" s="180" t="s">
        <v>352</v>
      </c>
      <c r="G44" s="180" t="s">
        <v>42</v>
      </c>
      <c r="H44" s="180" t="s">
        <v>160</v>
      </c>
      <c r="I44" s="180" t="s">
        <v>198</v>
      </c>
      <c r="J44" s="180" t="s">
        <v>38</v>
      </c>
      <c r="K44" s="180" t="s">
        <v>161</v>
      </c>
      <c r="L44" s="180">
        <v>1</v>
      </c>
      <c r="N44" s="180">
        <v>4</v>
      </c>
      <c r="O44" s="180">
        <v>0.65</v>
      </c>
      <c r="P44" s="180">
        <v>0.5</v>
      </c>
      <c r="Q44" s="189">
        <f t="shared" si="0"/>
        <v>0.57499999999999996</v>
      </c>
      <c r="R44" s="180">
        <v>17.600000000000001</v>
      </c>
      <c r="S44" s="180">
        <v>98</v>
      </c>
      <c r="T44" s="190">
        <f t="shared" si="1"/>
        <v>36</v>
      </c>
      <c r="U44" s="180">
        <v>498</v>
      </c>
      <c r="V44" s="191">
        <f t="shared" si="2"/>
        <v>4482</v>
      </c>
      <c r="W44" s="180">
        <v>19</v>
      </c>
      <c r="X44" s="180" t="s">
        <v>46</v>
      </c>
      <c r="Y44" s="180" t="s">
        <v>69</v>
      </c>
      <c r="Z44" s="180" t="s">
        <v>88</v>
      </c>
      <c r="AA44" s="180" t="s">
        <v>55</v>
      </c>
      <c r="AB44" s="180" t="s">
        <v>158</v>
      </c>
    </row>
    <row r="45" spans="1:28" x14ac:dyDescent="0.15">
      <c r="A45" s="180" t="s">
        <v>51</v>
      </c>
      <c r="B45" s="180" t="s">
        <v>157</v>
      </c>
      <c r="C45" s="180">
        <v>2019</v>
      </c>
      <c r="D45" s="188" t="s">
        <v>349</v>
      </c>
      <c r="E45" s="180" t="s">
        <v>359</v>
      </c>
      <c r="F45" s="180" t="s">
        <v>352</v>
      </c>
      <c r="G45" s="180" t="s">
        <v>42</v>
      </c>
      <c r="H45" s="180" t="s">
        <v>160</v>
      </c>
      <c r="I45" s="180" t="s">
        <v>198</v>
      </c>
      <c r="J45" s="180" t="s">
        <v>38</v>
      </c>
      <c r="K45" s="180" t="s">
        <v>161</v>
      </c>
      <c r="L45" s="180">
        <v>2</v>
      </c>
      <c r="N45" s="180">
        <v>4</v>
      </c>
      <c r="O45" s="180">
        <v>0.7</v>
      </c>
      <c r="P45" s="180">
        <v>0.65</v>
      </c>
      <c r="Q45" s="189">
        <f t="shared" si="0"/>
        <v>0.67500000000000004</v>
      </c>
      <c r="R45" s="180">
        <v>17.2</v>
      </c>
      <c r="S45" s="180">
        <v>99</v>
      </c>
      <c r="T45" s="190">
        <f t="shared" si="1"/>
        <v>33</v>
      </c>
      <c r="U45" s="180">
        <v>498</v>
      </c>
      <c r="V45" s="191">
        <f t="shared" si="2"/>
        <v>4108.5</v>
      </c>
      <c r="W45" s="180">
        <v>19</v>
      </c>
      <c r="X45" s="180" t="s">
        <v>46</v>
      </c>
      <c r="Y45" s="180" t="s">
        <v>69</v>
      </c>
      <c r="Z45" s="180" t="s">
        <v>88</v>
      </c>
      <c r="AA45" s="180" t="s">
        <v>55</v>
      </c>
      <c r="AB45" s="180" t="s">
        <v>158</v>
      </c>
    </row>
    <row r="46" spans="1:28" x14ac:dyDescent="0.15">
      <c r="A46" s="180" t="s">
        <v>51</v>
      </c>
      <c r="B46" s="180" t="s">
        <v>157</v>
      </c>
      <c r="C46" s="180">
        <v>2019</v>
      </c>
      <c r="D46" s="188" t="s">
        <v>349</v>
      </c>
      <c r="E46" s="180" t="s">
        <v>359</v>
      </c>
      <c r="F46" s="180" t="s">
        <v>352</v>
      </c>
      <c r="G46" s="180" t="s">
        <v>42</v>
      </c>
      <c r="H46" s="180" t="s">
        <v>160</v>
      </c>
      <c r="I46" s="180" t="s">
        <v>198</v>
      </c>
      <c r="J46" s="180" t="s">
        <v>38</v>
      </c>
      <c r="K46" s="180" t="s">
        <v>161</v>
      </c>
      <c r="L46" s="180">
        <v>3</v>
      </c>
      <c r="N46" s="180">
        <v>4</v>
      </c>
      <c r="O46" s="180">
        <v>0.65</v>
      </c>
      <c r="P46" s="180">
        <v>0.55000000000000004</v>
      </c>
      <c r="Q46" s="189">
        <f t="shared" si="0"/>
        <v>0.60000000000000009</v>
      </c>
      <c r="R46" s="180">
        <v>18.399999999999999</v>
      </c>
      <c r="S46" s="180">
        <v>94</v>
      </c>
      <c r="T46" s="190">
        <f t="shared" si="1"/>
        <v>36</v>
      </c>
      <c r="U46" s="180">
        <v>498</v>
      </c>
      <c r="V46" s="191">
        <f t="shared" si="2"/>
        <v>4482</v>
      </c>
      <c r="W46" s="180">
        <v>19</v>
      </c>
      <c r="X46" s="180" t="s">
        <v>46</v>
      </c>
      <c r="Y46" s="180" t="s">
        <v>69</v>
      </c>
      <c r="Z46" s="180" t="s">
        <v>88</v>
      </c>
      <c r="AA46" s="180" t="s">
        <v>55</v>
      </c>
      <c r="AB46" s="180" t="s">
        <v>158</v>
      </c>
    </row>
    <row r="47" spans="1:28" x14ac:dyDescent="0.15">
      <c r="A47" s="180" t="s">
        <v>51</v>
      </c>
      <c r="B47" s="180" t="s">
        <v>157</v>
      </c>
      <c r="C47" s="180">
        <v>2019</v>
      </c>
      <c r="D47" s="188" t="s">
        <v>349</v>
      </c>
      <c r="E47" s="180" t="s">
        <v>355</v>
      </c>
      <c r="F47" s="180" t="s">
        <v>356</v>
      </c>
      <c r="G47" s="180" t="s">
        <v>42</v>
      </c>
      <c r="H47" s="180" t="s">
        <v>164</v>
      </c>
      <c r="I47" s="180" t="s">
        <v>159</v>
      </c>
      <c r="J47" s="180" t="s">
        <v>38</v>
      </c>
      <c r="K47" s="180" t="s">
        <v>161</v>
      </c>
      <c r="L47" s="180">
        <v>1</v>
      </c>
      <c r="N47" s="180">
        <v>1</v>
      </c>
      <c r="O47" s="180">
        <v>0.75</v>
      </c>
      <c r="P47" s="180">
        <v>0.75</v>
      </c>
      <c r="Q47" s="189">
        <f t="shared" si="0"/>
        <v>0.75</v>
      </c>
      <c r="R47" s="180">
        <v>16.7</v>
      </c>
      <c r="S47" s="180">
        <v>130</v>
      </c>
      <c r="T47" s="190">
        <f t="shared" si="1"/>
        <v>25</v>
      </c>
      <c r="U47" s="180">
        <v>99</v>
      </c>
      <c r="V47" s="191">
        <f t="shared" si="2"/>
        <v>2475</v>
      </c>
      <c r="W47" s="180">
        <v>5</v>
      </c>
      <c r="X47" s="180" t="s">
        <v>39</v>
      </c>
      <c r="Y47" s="180" t="s">
        <v>69</v>
      </c>
      <c r="Z47" s="180" t="s">
        <v>78</v>
      </c>
      <c r="AA47" s="180" t="s">
        <v>55</v>
      </c>
      <c r="AB47" s="180" t="s">
        <v>158</v>
      </c>
    </row>
    <row r="48" spans="1:28" x14ac:dyDescent="0.15">
      <c r="A48" s="180" t="s">
        <v>51</v>
      </c>
      <c r="B48" s="180" t="s">
        <v>157</v>
      </c>
      <c r="C48" s="180">
        <v>2019</v>
      </c>
      <c r="D48" s="188" t="s">
        <v>349</v>
      </c>
      <c r="E48" s="180" t="s">
        <v>355</v>
      </c>
      <c r="F48" s="180" t="s">
        <v>356</v>
      </c>
      <c r="G48" s="180" t="s">
        <v>42</v>
      </c>
      <c r="H48" s="180" t="s">
        <v>164</v>
      </c>
      <c r="I48" s="180" t="s">
        <v>159</v>
      </c>
      <c r="J48" s="180" t="s">
        <v>38</v>
      </c>
      <c r="K48" s="180" t="s">
        <v>161</v>
      </c>
      <c r="L48" s="180">
        <v>2</v>
      </c>
      <c r="N48" s="180">
        <v>1</v>
      </c>
      <c r="O48" s="180">
        <v>0.8</v>
      </c>
      <c r="P48" s="180">
        <v>0.65</v>
      </c>
      <c r="Q48" s="189">
        <f t="shared" si="0"/>
        <v>0.72500000000000009</v>
      </c>
      <c r="R48" s="180">
        <v>16.899999999999999</v>
      </c>
      <c r="S48" s="180">
        <v>134</v>
      </c>
      <c r="T48" s="190">
        <f t="shared" si="1"/>
        <v>25</v>
      </c>
      <c r="U48" s="180">
        <v>99</v>
      </c>
      <c r="V48" s="191">
        <f t="shared" si="2"/>
        <v>2475</v>
      </c>
      <c r="W48" s="180">
        <v>5</v>
      </c>
      <c r="X48" s="180" t="s">
        <v>39</v>
      </c>
      <c r="Y48" s="180" t="s">
        <v>69</v>
      </c>
      <c r="Z48" s="180" t="s">
        <v>78</v>
      </c>
      <c r="AA48" s="180" t="s">
        <v>55</v>
      </c>
      <c r="AB48" s="180" t="s">
        <v>158</v>
      </c>
    </row>
    <row r="49" spans="1:28" x14ac:dyDescent="0.15">
      <c r="A49" s="180" t="s">
        <v>51</v>
      </c>
      <c r="B49" s="180" t="s">
        <v>157</v>
      </c>
      <c r="C49" s="180">
        <v>2019</v>
      </c>
      <c r="D49" s="188" t="s">
        <v>349</v>
      </c>
      <c r="E49" s="180" t="s">
        <v>355</v>
      </c>
      <c r="F49" s="180" t="s">
        <v>356</v>
      </c>
      <c r="G49" s="180" t="s">
        <v>42</v>
      </c>
      <c r="H49" s="180" t="s">
        <v>164</v>
      </c>
      <c r="I49" s="180" t="s">
        <v>159</v>
      </c>
      <c r="J49" s="180" t="s">
        <v>38</v>
      </c>
      <c r="K49" s="180" t="s">
        <v>161</v>
      </c>
      <c r="L49" s="180">
        <v>3</v>
      </c>
      <c r="N49" s="180">
        <v>1</v>
      </c>
      <c r="O49" s="180">
        <v>0.7</v>
      </c>
      <c r="P49" s="180">
        <v>0.7</v>
      </c>
      <c r="Q49" s="189">
        <f t="shared" si="0"/>
        <v>0.7</v>
      </c>
      <c r="R49" s="180">
        <v>17</v>
      </c>
      <c r="S49" s="180">
        <v>130</v>
      </c>
      <c r="T49" s="190">
        <f t="shared" si="1"/>
        <v>25</v>
      </c>
      <c r="U49" s="180">
        <v>99</v>
      </c>
      <c r="V49" s="191">
        <f t="shared" si="2"/>
        <v>2475</v>
      </c>
      <c r="W49" s="180">
        <v>5</v>
      </c>
      <c r="X49" s="180" t="s">
        <v>39</v>
      </c>
      <c r="Y49" s="180" t="s">
        <v>69</v>
      </c>
      <c r="Z49" s="180" t="s">
        <v>78</v>
      </c>
      <c r="AA49" s="180" t="s">
        <v>55</v>
      </c>
      <c r="AB49" s="180" t="s">
        <v>158</v>
      </c>
    </row>
    <row r="50" spans="1:28" x14ac:dyDescent="0.15">
      <c r="A50" s="180" t="s">
        <v>51</v>
      </c>
      <c r="B50" s="180" t="s">
        <v>157</v>
      </c>
      <c r="C50" s="180">
        <v>2019</v>
      </c>
      <c r="D50" s="188" t="s">
        <v>349</v>
      </c>
      <c r="E50" s="180" t="s">
        <v>355</v>
      </c>
      <c r="F50" s="180" t="s">
        <v>356</v>
      </c>
      <c r="G50" s="180" t="s">
        <v>42</v>
      </c>
      <c r="H50" s="180" t="s">
        <v>160</v>
      </c>
      <c r="I50" s="180" t="s">
        <v>159</v>
      </c>
      <c r="J50" s="180" t="s">
        <v>38</v>
      </c>
      <c r="K50" s="180" t="s">
        <v>161</v>
      </c>
      <c r="L50" s="180">
        <v>1</v>
      </c>
      <c r="N50" s="180">
        <v>1</v>
      </c>
      <c r="O50" s="180">
        <v>0.75</v>
      </c>
      <c r="P50" s="180">
        <v>0.7</v>
      </c>
      <c r="Q50" s="189">
        <f t="shared" si="0"/>
        <v>0.72499999999999998</v>
      </c>
      <c r="R50" s="180">
        <v>17.2</v>
      </c>
      <c r="S50" s="180">
        <v>134</v>
      </c>
      <c r="T50" s="190">
        <f t="shared" si="1"/>
        <v>25</v>
      </c>
      <c r="U50" s="180">
        <v>99</v>
      </c>
      <c r="V50" s="191">
        <f t="shared" si="2"/>
        <v>2475</v>
      </c>
      <c r="W50" s="180">
        <v>5</v>
      </c>
      <c r="X50" s="180" t="s">
        <v>39</v>
      </c>
      <c r="Y50" s="180" t="s">
        <v>69</v>
      </c>
      <c r="Z50" s="180" t="s">
        <v>78</v>
      </c>
      <c r="AA50" s="180" t="s">
        <v>55</v>
      </c>
      <c r="AB50" s="180" t="s">
        <v>158</v>
      </c>
    </row>
    <row r="51" spans="1:28" x14ac:dyDescent="0.15">
      <c r="A51" s="180" t="s">
        <v>51</v>
      </c>
      <c r="B51" s="180" t="s">
        <v>157</v>
      </c>
      <c r="C51" s="180">
        <v>2019</v>
      </c>
      <c r="D51" s="188" t="s">
        <v>349</v>
      </c>
      <c r="E51" s="180" t="s">
        <v>355</v>
      </c>
      <c r="F51" s="180" t="s">
        <v>356</v>
      </c>
      <c r="G51" s="180" t="s">
        <v>42</v>
      </c>
      <c r="H51" s="180" t="s">
        <v>160</v>
      </c>
      <c r="I51" s="180" t="s">
        <v>159</v>
      </c>
      <c r="J51" s="180" t="s">
        <v>38</v>
      </c>
      <c r="K51" s="180" t="s">
        <v>161</v>
      </c>
      <c r="L51" s="180">
        <v>2</v>
      </c>
      <c r="N51" s="180">
        <v>1</v>
      </c>
      <c r="O51" s="180">
        <v>0.65</v>
      </c>
      <c r="P51" s="180">
        <v>0.7</v>
      </c>
      <c r="Q51" s="189">
        <f t="shared" si="0"/>
        <v>0.67500000000000004</v>
      </c>
      <c r="R51" s="180">
        <v>16.600000000000001</v>
      </c>
      <c r="S51" s="180">
        <v>128</v>
      </c>
      <c r="T51" s="190">
        <f t="shared" si="1"/>
        <v>27</v>
      </c>
      <c r="U51" s="180">
        <v>99</v>
      </c>
      <c r="V51" s="191">
        <f t="shared" si="2"/>
        <v>2673</v>
      </c>
      <c r="W51" s="180">
        <v>5</v>
      </c>
      <c r="X51" s="180" t="s">
        <v>39</v>
      </c>
      <c r="Y51" s="180" t="s">
        <v>69</v>
      </c>
      <c r="Z51" s="180" t="s">
        <v>78</v>
      </c>
      <c r="AA51" s="180" t="s">
        <v>55</v>
      </c>
      <c r="AB51" s="180" t="s">
        <v>158</v>
      </c>
    </row>
    <row r="52" spans="1:28" x14ac:dyDescent="0.15">
      <c r="A52" s="180" t="s">
        <v>51</v>
      </c>
      <c r="B52" s="180" t="s">
        <v>157</v>
      </c>
      <c r="C52" s="180">
        <v>2019</v>
      </c>
      <c r="D52" s="188" t="s">
        <v>349</v>
      </c>
      <c r="E52" s="180" t="s">
        <v>355</v>
      </c>
      <c r="F52" s="180" t="s">
        <v>356</v>
      </c>
      <c r="G52" s="180" t="s">
        <v>42</v>
      </c>
      <c r="H52" s="180" t="s">
        <v>160</v>
      </c>
      <c r="I52" s="180" t="s">
        <v>159</v>
      </c>
      <c r="J52" s="180" t="s">
        <v>38</v>
      </c>
      <c r="K52" s="180" t="s">
        <v>161</v>
      </c>
      <c r="L52" s="180">
        <v>3</v>
      </c>
      <c r="N52" s="180">
        <v>1</v>
      </c>
      <c r="O52" s="180">
        <v>0.8</v>
      </c>
      <c r="P52" s="180">
        <v>0.75</v>
      </c>
      <c r="Q52" s="189">
        <f t="shared" si="0"/>
        <v>0.77500000000000002</v>
      </c>
      <c r="R52" s="180">
        <v>16.8</v>
      </c>
      <c r="S52" s="180">
        <v>134</v>
      </c>
      <c r="T52" s="190">
        <f t="shared" si="1"/>
        <v>25</v>
      </c>
      <c r="U52" s="180">
        <v>99</v>
      </c>
      <c r="V52" s="191">
        <f t="shared" si="2"/>
        <v>2475</v>
      </c>
      <c r="W52" s="180">
        <v>5</v>
      </c>
      <c r="X52" s="180" t="s">
        <v>39</v>
      </c>
      <c r="Y52" s="180" t="s">
        <v>69</v>
      </c>
      <c r="Z52" s="180" t="s">
        <v>78</v>
      </c>
      <c r="AA52" s="180" t="s">
        <v>55</v>
      </c>
      <c r="AB52" s="180" t="s">
        <v>158</v>
      </c>
    </row>
    <row r="53" spans="1:28" x14ac:dyDescent="0.15">
      <c r="A53" s="180" t="s">
        <v>51</v>
      </c>
      <c r="B53" s="180" t="s">
        <v>157</v>
      </c>
      <c r="C53" s="180">
        <v>2019</v>
      </c>
      <c r="D53" s="188" t="s">
        <v>349</v>
      </c>
      <c r="E53" s="180" t="s">
        <v>324</v>
      </c>
      <c r="F53" s="180" t="s">
        <v>351</v>
      </c>
      <c r="G53" s="180" t="s">
        <v>36</v>
      </c>
      <c r="H53" s="180" t="s">
        <v>164</v>
      </c>
      <c r="I53" s="180" t="s">
        <v>159</v>
      </c>
      <c r="J53" s="180" t="s">
        <v>38</v>
      </c>
      <c r="K53" s="180" t="s">
        <v>161</v>
      </c>
      <c r="L53" s="180">
        <v>1</v>
      </c>
      <c r="N53" s="180">
        <v>1</v>
      </c>
      <c r="O53" s="180">
        <v>0.7</v>
      </c>
      <c r="P53" s="180">
        <v>0.7</v>
      </c>
      <c r="Q53" s="189">
        <f t="shared" si="0"/>
        <v>0.7</v>
      </c>
      <c r="R53" s="180">
        <v>15.6</v>
      </c>
      <c r="S53" s="180">
        <v>110</v>
      </c>
      <c r="T53" s="190">
        <f t="shared" si="1"/>
        <v>33</v>
      </c>
      <c r="U53" s="180">
        <v>100</v>
      </c>
      <c r="V53" s="191">
        <f t="shared" si="2"/>
        <v>3300</v>
      </c>
      <c r="W53" s="180">
        <v>3</v>
      </c>
      <c r="X53" s="180" t="s">
        <v>46</v>
      </c>
      <c r="Y53" s="180" t="s">
        <v>97</v>
      </c>
      <c r="Z53" s="180" t="s">
        <v>88</v>
      </c>
      <c r="AA53" s="180" t="s">
        <v>69</v>
      </c>
      <c r="AB53" s="180" t="s">
        <v>158</v>
      </c>
    </row>
    <row r="54" spans="1:28" x14ac:dyDescent="0.15">
      <c r="A54" s="180" t="s">
        <v>51</v>
      </c>
      <c r="B54" s="180" t="s">
        <v>157</v>
      </c>
      <c r="C54" s="180">
        <v>2019</v>
      </c>
      <c r="D54" s="188" t="s">
        <v>349</v>
      </c>
      <c r="E54" s="180" t="s">
        <v>324</v>
      </c>
      <c r="F54" s="180" t="s">
        <v>351</v>
      </c>
      <c r="G54" s="180" t="s">
        <v>36</v>
      </c>
      <c r="H54" s="180" t="s">
        <v>164</v>
      </c>
      <c r="I54" s="180" t="s">
        <v>159</v>
      </c>
      <c r="J54" s="180" t="s">
        <v>38</v>
      </c>
      <c r="K54" s="180" t="s">
        <v>161</v>
      </c>
      <c r="L54" s="180">
        <v>2</v>
      </c>
      <c r="N54" s="180">
        <v>1</v>
      </c>
      <c r="O54" s="180">
        <v>0.6</v>
      </c>
      <c r="P54" s="180">
        <v>0.55000000000000004</v>
      </c>
      <c r="Q54" s="189">
        <f t="shared" si="0"/>
        <v>0.57499999999999996</v>
      </c>
      <c r="R54" s="180">
        <v>16.399999999999999</v>
      </c>
      <c r="S54" s="180">
        <v>114</v>
      </c>
      <c r="T54" s="190">
        <f t="shared" si="1"/>
        <v>30</v>
      </c>
      <c r="U54" s="180">
        <v>100</v>
      </c>
      <c r="V54" s="191">
        <f t="shared" si="2"/>
        <v>3000</v>
      </c>
      <c r="W54" s="180">
        <v>3</v>
      </c>
      <c r="X54" s="180" t="s">
        <v>46</v>
      </c>
      <c r="Y54" s="180" t="s">
        <v>97</v>
      </c>
      <c r="Z54" s="180" t="s">
        <v>88</v>
      </c>
      <c r="AA54" s="180" t="s">
        <v>69</v>
      </c>
      <c r="AB54" s="180" t="s">
        <v>158</v>
      </c>
    </row>
    <row r="55" spans="1:28" x14ac:dyDescent="0.15">
      <c r="A55" s="180" t="s">
        <v>51</v>
      </c>
      <c r="B55" s="180" t="s">
        <v>157</v>
      </c>
      <c r="C55" s="180">
        <v>2019</v>
      </c>
      <c r="D55" s="188" t="s">
        <v>349</v>
      </c>
      <c r="E55" s="180" t="s">
        <v>324</v>
      </c>
      <c r="F55" s="180" t="s">
        <v>351</v>
      </c>
      <c r="G55" s="180" t="s">
        <v>36</v>
      </c>
      <c r="H55" s="180" t="s">
        <v>164</v>
      </c>
      <c r="I55" s="180" t="s">
        <v>159</v>
      </c>
      <c r="J55" s="180" t="s">
        <v>38</v>
      </c>
      <c r="K55" s="180" t="s">
        <v>161</v>
      </c>
      <c r="L55" s="180">
        <v>3</v>
      </c>
      <c r="N55" s="180">
        <v>1</v>
      </c>
      <c r="O55" s="180">
        <v>0.65</v>
      </c>
      <c r="P55" s="180">
        <v>0.75</v>
      </c>
      <c r="Q55" s="189">
        <f t="shared" si="0"/>
        <v>0.7</v>
      </c>
      <c r="R55" s="180">
        <v>15.7</v>
      </c>
      <c r="S55" s="180">
        <v>112</v>
      </c>
      <c r="T55" s="190">
        <f t="shared" si="1"/>
        <v>33</v>
      </c>
      <c r="U55" s="180">
        <v>100</v>
      </c>
      <c r="V55" s="191">
        <f t="shared" si="2"/>
        <v>3300</v>
      </c>
      <c r="W55" s="180">
        <v>3</v>
      </c>
      <c r="X55" s="180" t="s">
        <v>46</v>
      </c>
      <c r="Y55" s="180" t="s">
        <v>97</v>
      </c>
      <c r="Z55" s="180" t="s">
        <v>88</v>
      </c>
      <c r="AA55" s="180" t="s">
        <v>69</v>
      </c>
      <c r="AB55" s="180" t="s">
        <v>158</v>
      </c>
    </row>
    <row r="56" spans="1:28" x14ac:dyDescent="0.15">
      <c r="A56" s="180" t="s">
        <v>51</v>
      </c>
      <c r="B56" s="180" t="s">
        <v>157</v>
      </c>
      <c r="C56" s="180">
        <v>2019</v>
      </c>
      <c r="D56" s="188" t="s">
        <v>349</v>
      </c>
      <c r="E56" s="180" t="s">
        <v>324</v>
      </c>
      <c r="F56" s="180" t="s">
        <v>351</v>
      </c>
      <c r="G56" s="180" t="s">
        <v>36</v>
      </c>
      <c r="H56" s="180" t="s">
        <v>160</v>
      </c>
      <c r="I56" s="180" t="s">
        <v>159</v>
      </c>
      <c r="J56" s="180" t="s">
        <v>38</v>
      </c>
      <c r="K56" s="180" t="s">
        <v>161</v>
      </c>
      <c r="L56" s="180">
        <v>1</v>
      </c>
      <c r="N56" s="180">
        <v>1</v>
      </c>
      <c r="O56" s="180">
        <v>0.65</v>
      </c>
      <c r="P56" s="180">
        <v>0.5</v>
      </c>
      <c r="Q56" s="189">
        <f t="shared" si="0"/>
        <v>0.57499999999999996</v>
      </c>
      <c r="R56" s="180">
        <v>16.8</v>
      </c>
      <c r="S56" s="180">
        <v>114</v>
      </c>
      <c r="T56" s="190">
        <f t="shared" si="1"/>
        <v>30</v>
      </c>
      <c r="U56" s="180">
        <v>100</v>
      </c>
      <c r="V56" s="191">
        <f t="shared" si="2"/>
        <v>3000</v>
      </c>
      <c r="W56" s="180">
        <v>3</v>
      </c>
      <c r="X56" s="180" t="s">
        <v>46</v>
      </c>
      <c r="Y56" s="180" t="s">
        <v>97</v>
      </c>
      <c r="Z56" s="180" t="s">
        <v>88</v>
      </c>
      <c r="AA56" s="180" t="s">
        <v>69</v>
      </c>
      <c r="AB56" s="180" t="s">
        <v>158</v>
      </c>
    </row>
    <row r="57" spans="1:28" x14ac:dyDescent="0.15">
      <c r="A57" s="180" t="s">
        <v>51</v>
      </c>
      <c r="B57" s="180" t="s">
        <v>157</v>
      </c>
      <c r="C57" s="180">
        <v>2019</v>
      </c>
      <c r="D57" s="188" t="s">
        <v>349</v>
      </c>
      <c r="E57" s="180" t="s">
        <v>324</v>
      </c>
      <c r="F57" s="180" t="s">
        <v>351</v>
      </c>
      <c r="G57" s="180" t="s">
        <v>36</v>
      </c>
      <c r="H57" s="180" t="s">
        <v>160</v>
      </c>
      <c r="I57" s="180" t="s">
        <v>159</v>
      </c>
      <c r="J57" s="180" t="s">
        <v>38</v>
      </c>
      <c r="K57" s="180" t="s">
        <v>161</v>
      </c>
      <c r="L57" s="180">
        <v>2</v>
      </c>
      <c r="N57" s="180">
        <v>1</v>
      </c>
      <c r="O57" s="180">
        <v>0.65</v>
      </c>
      <c r="P57" s="180">
        <v>0.7</v>
      </c>
      <c r="Q57" s="189">
        <f t="shared" si="0"/>
        <v>0.67500000000000004</v>
      </c>
      <c r="R57" s="180">
        <v>16.3</v>
      </c>
      <c r="S57" s="180">
        <v>114</v>
      </c>
      <c r="T57" s="190">
        <f t="shared" si="1"/>
        <v>30</v>
      </c>
      <c r="U57" s="180">
        <v>100</v>
      </c>
      <c r="V57" s="191">
        <f t="shared" si="2"/>
        <v>3000</v>
      </c>
      <c r="W57" s="180">
        <v>3</v>
      </c>
      <c r="X57" s="180" t="s">
        <v>46</v>
      </c>
      <c r="Y57" s="180" t="s">
        <v>97</v>
      </c>
      <c r="Z57" s="180" t="s">
        <v>88</v>
      </c>
      <c r="AA57" s="180" t="s">
        <v>69</v>
      </c>
      <c r="AB57" s="180" t="s">
        <v>158</v>
      </c>
    </row>
    <row r="58" spans="1:28" x14ac:dyDescent="0.15">
      <c r="A58" s="180" t="s">
        <v>51</v>
      </c>
      <c r="B58" s="180" t="s">
        <v>157</v>
      </c>
      <c r="C58" s="180">
        <v>2019</v>
      </c>
      <c r="D58" s="188" t="s">
        <v>349</v>
      </c>
      <c r="E58" s="180" t="s">
        <v>324</v>
      </c>
      <c r="F58" s="180" t="s">
        <v>351</v>
      </c>
      <c r="G58" s="180" t="s">
        <v>36</v>
      </c>
      <c r="H58" s="180" t="s">
        <v>160</v>
      </c>
      <c r="I58" s="180" t="s">
        <v>159</v>
      </c>
      <c r="J58" s="180" t="s">
        <v>38</v>
      </c>
      <c r="K58" s="180" t="s">
        <v>161</v>
      </c>
      <c r="L58" s="180">
        <v>3</v>
      </c>
      <c r="N58" s="180">
        <v>1</v>
      </c>
      <c r="O58" s="180">
        <v>0.75</v>
      </c>
      <c r="P58" s="180">
        <v>0.7</v>
      </c>
      <c r="Q58" s="189">
        <f t="shared" si="0"/>
        <v>0.72499999999999998</v>
      </c>
      <c r="R58" s="180">
        <v>16</v>
      </c>
      <c r="S58" s="180">
        <v>112</v>
      </c>
      <c r="T58" s="190">
        <f t="shared" si="1"/>
        <v>33</v>
      </c>
      <c r="U58" s="180">
        <v>100</v>
      </c>
      <c r="V58" s="191">
        <f t="shared" si="2"/>
        <v>3300</v>
      </c>
      <c r="W58" s="180">
        <v>3</v>
      </c>
      <c r="X58" s="180" t="s">
        <v>46</v>
      </c>
      <c r="Y58" s="180" t="s">
        <v>97</v>
      </c>
      <c r="Z58" s="180" t="s">
        <v>88</v>
      </c>
      <c r="AA58" s="180" t="s">
        <v>69</v>
      </c>
      <c r="AB58" s="180" t="s">
        <v>158</v>
      </c>
    </row>
    <row r="59" spans="1:28" x14ac:dyDescent="0.15">
      <c r="A59" s="180" t="s">
        <v>51</v>
      </c>
      <c r="B59" s="180" t="s">
        <v>157</v>
      </c>
      <c r="C59" s="180">
        <v>2019</v>
      </c>
      <c r="D59" s="188" t="s">
        <v>349</v>
      </c>
      <c r="E59" s="180" t="s">
        <v>360</v>
      </c>
      <c r="F59" s="180" t="s">
        <v>361</v>
      </c>
      <c r="G59" s="180" t="s">
        <v>36</v>
      </c>
      <c r="H59" s="180" t="s">
        <v>164</v>
      </c>
      <c r="I59" s="180" t="s">
        <v>159</v>
      </c>
      <c r="J59" s="180" t="s">
        <v>38</v>
      </c>
      <c r="K59" s="180" t="s">
        <v>161</v>
      </c>
      <c r="L59" s="180">
        <v>1</v>
      </c>
      <c r="N59" s="180">
        <v>1</v>
      </c>
      <c r="O59" s="180">
        <v>0.7</v>
      </c>
      <c r="P59" s="180">
        <v>0.7</v>
      </c>
      <c r="Q59" s="189">
        <f t="shared" si="0"/>
        <v>0.7</v>
      </c>
      <c r="R59" s="180">
        <v>16.3</v>
      </c>
      <c r="S59" s="180">
        <v>146</v>
      </c>
      <c r="T59" s="190">
        <f t="shared" si="1"/>
        <v>22</v>
      </c>
      <c r="U59" s="180">
        <v>98</v>
      </c>
      <c r="V59" s="191">
        <f t="shared" si="2"/>
        <v>2156</v>
      </c>
      <c r="W59" s="180">
        <v>10</v>
      </c>
      <c r="X59" s="180" t="s">
        <v>46</v>
      </c>
      <c r="Y59" s="180" t="s">
        <v>69</v>
      </c>
      <c r="Z59" s="180" t="s">
        <v>97</v>
      </c>
      <c r="AA59" s="180" t="s">
        <v>55</v>
      </c>
      <c r="AB59" s="180" t="s">
        <v>158</v>
      </c>
    </row>
    <row r="60" spans="1:28" x14ac:dyDescent="0.15">
      <c r="A60" s="180" t="s">
        <v>51</v>
      </c>
      <c r="B60" s="180" t="s">
        <v>157</v>
      </c>
      <c r="C60" s="180">
        <v>2019</v>
      </c>
      <c r="D60" s="188" t="s">
        <v>349</v>
      </c>
      <c r="E60" s="180" t="s">
        <v>360</v>
      </c>
      <c r="F60" s="180" t="s">
        <v>361</v>
      </c>
      <c r="G60" s="180" t="s">
        <v>36</v>
      </c>
      <c r="H60" s="180" t="s">
        <v>164</v>
      </c>
      <c r="I60" s="180" t="s">
        <v>159</v>
      </c>
      <c r="J60" s="180" t="s">
        <v>38</v>
      </c>
      <c r="K60" s="180" t="s">
        <v>161</v>
      </c>
      <c r="L60" s="180">
        <v>2</v>
      </c>
      <c r="N60" s="180">
        <v>1</v>
      </c>
      <c r="O60" s="180">
        <v>0.75</v>
      </c>
      <c r="P60" s="180">
        <v>0.75</v>
      </c>
      <c r="Q60" s="189">
        <f t="shared" si="0"/>
        <v>0.75</v>
      </c>
      <c r="R60" s="180">
        <v>15.8</v>
      </c>
      <c r="S60" s="180">
        <v>140</v>
      </c>
      <c r="T60" s="190">
        <f t="shared" si="1"/>
        <v>22</v>
      </c>
      <c r="U60" s="180">
        <v>98</v>
      </c>
      <c r="V60" s="191">
        <f t="shared" si="2"/>
        <v>2156</v>
      </c>
      <c r="W60" s="180">
        <v>10</v>
      </c>
      <c r="X60" s="180" t="s">
        <v>46</v>
      </c>
      <c r="Y60" s="180" t="s">
        <v>69</v>
      </c>
      <c r="Z60" s="180" t="s">
        <v>97</v>
      </c>
      <c r="AA60" s="180" t="s">
        <v>55</v>
      </c>
      <c r="AB60" s="180" t="s">
        <v>158</v>
      </c>
    </row>
    <row r="61" spans="1:28" x14ac:dyDescent="0.15">
      <c r="A61" s="180" t="s">
        <v>51</v>
      </c>
      <c r="B61" s="180" t="s">
        <v>157</v>
      </c>
      <c r="C61" s="180">
        <v>2019</v>
      </c>
      <c r="D61" s="188" t="s">
        <v>349</v>
      </c>
      <c r="E61" s="180" t="s">
        <v>360</v>
      </c>
      <c r="F61" s="180" t="s">
        <v>361</v>
      </c>
      <c r="G61" s="180" t="s">
        <v>36</v>
      </c>
      <c r="H61" s="180" t="s">
        <v>164</v>
      </c>
      <c r="I61" s="180" t="s">
        <v>159</v>
      </c>
      <c r="J61" s="180" t="s">
        <v>38</v>
      </c>
      <c r="K61" s="180" t="s">
        <v>161</v>
      </c>
      <c r="L61" s="180">
        <v>3</v>
      </c>
      <c r="N61" s="180">
        <v>1</v>
      </c>
      <c r="O61" s="180">
        <v>0.7</v>
      </c>
      <c r="P61" s="180">
        <v>0.65</v>
      </c>
      <c r="Q61" s="189">
        <f t="shared" si="0"/>
        <v>0.67500000000000004</v>
      </c>
      <c r="R61" s="180">
        <v>16.5</v>
      </c>
      <c r="S61" s="180">
        <v>146</v>
      </c>
      <c r="T61" s="190">
        <f t="shared" si="1"/>
        <v>22</v>
      </c>
      <c r="U61" s="180">
        <v>98</v>
      </c>
      <c r="V61" s="191">
        <f t="shared" si="2"/>
        <v>2156</v>
      </c>
      <c r="W61" s="180">
        <v>10</v>
      </c>
      <c r="X61" s="180" t="s">
        <v>46</v>
      </c>
      <c r="Y61" s="180" t="s">
        <v>69</v>
      </c>
      <c r="Z61" s="180" t="s">
        <v>97</v>
      </c>
      <c r="AA61" s="180" t="s">
        <v>55</v>
      </c>
      <c r="AB61" s="180" t="s">
        <v>158</v>
      </c>
    </row>
    <row r="62" spans="1:28" x14ac:dyDescent="0.15">
      <c r="A62" s="180" t="s">
        <v>51</v>
      </c>
      <c r="B62" s="180" t="s">
        <v>157</v>
      </c>
      <c r="C62" s="180">
        <v>2019</v>
      </c>
      <c r="D62" s="188" t="s">
        <v>349</v>
      </c>
      <c r="E62" s="180" t="s">
        <v>360</v>
      </c>
      <c r="F62" s="180" t="s">
        <v>361</v>
      </c>
      <c r="G62" s="180" t="s">
        <v>36</v>
      </c>
      <c r="H62" s="180" t="s">
        <v>160</v>
      </c>
      <c r="I62" s="180" t="s">
        <v>159</v>
      </c>
      <c r="J62" s="180" t="s">
        <v>38</v>
      </c>
      <c r="K62" s="180" t="s">
        <v>161</v>
      </c>
      <c r="L62" s="180">
        <v>1</v>
      </c>
      <c r="N62" s="180">
        <v>1</v>
      </c>
      <c r="O62" s="180">
        <v>1</v>
      </c>
      <c r="P62" s="180">
        <v>0.9</v>
      </c>
      <c r="Q62" s="189">
        <f t="shared" si="0"/>
        <v>0.95</v>
      </c>
      <c r="R62" s="180">
        <v>16.399999999999999</v>
      </c>
      <c r="S62" s="180">
        <v>136</v>
      </c>
      <c r="T62" s="190">
        <f t="shared" si="1"/>
        <v>25</v>
      </c>
      <c r="U62" s="180">
        <v>98</v>
      </c>
      <c r="V62" s="191">
        <f t="shared" si="2"/>
        <v>2450</v>
      </c>
      <c r="W62" s="180">
        <v>10</v>
      </c>
      <c r="X62" s="180" t="s">
        <v>46</v>
      </c>
      <c r="Y62" s="180" t="s">
        <v>69</v>
      </c>
      <c r="Z62" s="180" t="s">
        <v>97</v>
      </c>
      <c r="AA62" s="180" t="s">
        <v>55</v>
      </c>
      <c r="AB62" s="180" t="s">
        <v>158</v>
      </c>
    </row>
    <row r="63" spans="1:28" x14ac:dyDescent="0.15">
      <c r="A63" s="180" t="s">
        <v>51</v>
      </c>
      <c r="B63" s="180" t="s">
        <v>157</v>
      </c>
      <c r="C63" s="180">
        <v>2019</v>
      </c>
      <c r="D63" s="188" t="s">
        <v>349</v>
      </c>
      <c r="E63" s="180" t="s">
        <v>360</v>
      </c>
      <c r="F63" s="180" t="s">
        <v>361</v>
      </c>
      <c r="G63" s="180" t="s">
        <v>36</v>
      </c>
      <c r="H63" s="180" t="s">
        <v>160</v>
      </c>
      <c r="I63" s="180" t="s">
        <v>159</v>
      </c>
      <c r="J63" s="180" t="s">
        <v>38</v>
      </c>
      <c r="K63" s="180" t="s">
        <v>161</v>
      </c>
      <c r="L63" s="180">
        <v>2</v>
      </c>
      <c r="N63" s="180">
        <v>1</v>
      </c>
      <c r="O63" s="180">
        <v>0.95</v>
      </c>
      <c r="P63" s="180">
        <v>1.05</v>
      </c>
      <c r="Q63" s="189">
        <f t="shared" si="0"/>
        <v>1</v>
      </c>
      <c r="R63" s="180">
        <v>16.100000000000001</v>
      </c>
      <c r="S63" s="180">
        <v>136</v>
      </c>
      <c r="T63" s="190">
        <f t="shared" si="1"/>
        <v>25</v>
      </c>
      <c r="U63" s="180">
        <v>98</v>
      </c>
      <c r="V63" s="191">
        <f t="shared" si="2"/>
        <v>2450</v>
      </c>
      <c r="W63" s="180">
        <v>10</v>
      </c>
      <c r="X63" s="180" t="s">
        <v>46</v>
      </c>
      <c r="Y63" s="180" t="s">
        <v>69</v>
      </c>
      <c r="Z63" s="180" t="s">
        <v>97</v>
      </c>
      <c r="AA63" s="180" t="s">
        <v>55</v>
      </c>
      <c r="AB63" s="180" t="s">
        <v>158</v>
      </c>
    </row>
    <row r="64" spans="1:28" x14ac:dyDescent="0.15">
      <c r="A64" s="180" t="s">
        <v>51</v>
      </c>
      <c r="B64" s="180" t="s">
        <v>157</v>
      </c>
      <c r="C64" s="180">
        <v>2019</v>
      </c>
      <c r="D64" s="188" t="s">
        <v>349</v>
      </c>
      <c r="E64" s="180" t="s">
        <v>360</v>
      </c>
      <c r="F64" s="180" t="s">
        <v>361</v>
      </c>
      <c r="G64" s="180" t="s">
        <v>36</v>
      </c>
      <c r="H64" s="180" t="s">
        <v>160</v>
      </c>
      <c r="I64" s="180" t="s">
        <v>159</v>
      </c>
      <c r="J64" s="180" t="s">
        <v>38</v>
      </c>
      <c r="K64" s="180" t="s">
        <v>161</v>
      </c>
      <c r="L64" s="180">
        <v>3</v>
      </c>
      <c r="N64" s="180">
        <v>1</v>
      </c>
      <c r="O64" s="180">
        <v>0.9</v>
      </c>
      <c r="P64" s="180">
        <v>0.95</v>
      </c>
      <c r="Q64" s="189">
        <f t="shared" si="0"/>
        <v>0.92500000000000004</v>
      </c>
      <c r="R64" s="180">
        <v>16.7</v>
      </c>
      <c r="S64" s="180">
        <v>136</v>
      </c>
      <c r="T64" s="190">
        <f t="shared" si="1"/>
        <v>25</v>
      </c>
      <c r="U64" s="180">
        <v>98</v>
      </c>
      <c r="V64" s="191">
        <f t="shared" si="2"/>
        <v>2450</v>
      </c>
      <c r="W64" s="180">
        <v>10</v>
      </c>
      <c r="X64" s="180" t="s">
        <v>46</v>
      </c>
      <c r="Y64" s="180" t="s">
        <v>69</v>
      </c>
      <c r="Z64" s="180" t="s">
        <v>97</v>
      </c>
      <c r="AA64" s="180" t="s">
        <v>55</v>
      </c>
      <c r="AB64" s="180" t="s">
        <v>158</v>
      </c>
    </row>
    <row r="65" spans="1:28" x14ac:dyDescent="0.15">
      <c r="A65" s="180" t="s">
        <v>51</v>
      </c>
      <c r="B65" s="180" t="s">
        <v>157</v>
      </c>
      <c r="C65" s="180">
        <v>2019</v>
      </c>
      <c r="D65" s="188" t="s">
        <v>349</v>
      </c>
      <c r="E65" s="180" t="s">
        <v>362</v>
      </c>
      <c r="F65" s="180" t="s">
        <v>351</v>
      </c>
      <c r="G65" s="180" t="s">
        <v>42</v>
      </c>
      <c r="H65" s="180" t="s">
        <v>164</v>
      </c>
      <c r="I65" s="180" t="s">
        <v>159</v>
      </c>
      <c r="J65" s="180" t="s">
        <v>38</v>
      </c>
      <c r="K65" s="180" t="s">
        <v>161</v>
      </c>
      <c r="L65" s="180">
        <v>1</v>
      </c>
      <c r="N65" s="180">
        <v>1</v>
      </c>
      <c r="O65" s="180">
        <v>0.75</v>
      </c>
      <c r="P65" s="180">
        <v>0.6</v>
      </c>
      <c r="Q65" s="190">
        <f t="shared" si="0"/>
        <v>0.67500000000000004</v>
      </c>
      <c r="R65" s="180">
        <v>17.100000000000001</v>
      </c>
      <c r="S65" s="180">
        <v>112</v>
      </c>
      <c r="T65" s="190">
        <f t="shared" si="1"/>
        <v>33</v>
      </c>
      <c r="U65" s="180">
        <v>78</v>
      </c>
      <c r="V65" s="190">
        <f t="shared" si="2"/>
        <v>2574</v>
      </c>
      <c r="W65" s="180">
        <v>6</v>
      </c>
      <c r="X65" s="180" t="s">
        <v>46</v>
      </c>
      <c r="Y65" s="180" t="s">
        <v>88</v>
      </c>
      <c r="Z65" s="180" t="s">
        <v>69</v>
      </c>
      <c r="AA65" s="180" t="s">
        <v>97</v>
      </c>
      <c r="AB65" s="180" t="s">
        <v>158</v>
      </c>
    </row>
    <row r="66" spans="1:28" x14ac:dyDescent="0.15">
      <c r="A66" s="180" t="s">
        <v>51</v>
      </c>
      <c r="B66" s="180" t="s">
        <v>157</v>
      </c>
      <c r="C66" s="180">
        <v>2019</v>
      </c>
      <c r="D66" s="188" t="s">
        <v>349</v>
      </c>
      <c r="E66" s="180" t="s">
        <v>362</v>
      </c>
      <c r="F66" s="180" t="s">
        <v>351</v>
      </c>
      <c r="G66" s="180" t="s">
        <v>42</v>
      </c>
      <c r="H66" s="180" t="s">
        <v>164</v>
      </c>
      <c r="I66" s="180" t="s">
        <v>159</v>
      </c>
      <c r="J66" s="180" t="s">
        <v>38</v>
      </c>
      <c r="K66" s="180" t="s">
        <v>161</v>
      </c>
      <c r="L66" s="180">
        <v>2</v>
      </c>
      <c r="N66" s="180">
        <v>1</v>
      </c>
      <c r="O66" s="180">
        <v>0.7</v>
      </c>
      <c r="P66" s="180">
        <v>0.7</v>
      </c>
      <c r="Q66" s="190">
        <f t="shared" ref="Q66:Q85" si="3">IF(OR(O66="",P66=""),"",AVERAGE(O66,P66))</f>
        <v>0.7</v>
      </c>
      <c r="R66" s="180">
        <v>16.7</v>
      </c>
      <c r="S66" s="180">
        <v>108</v>
      </c>
      <c r="T66" s="190">
        <f t="shared" ref="T66:T85" si="4">IF(H66="","",IF(OR(H66="GREEN",H66="GK"),IF(S66&gt;=$AX$2,VLOOKUP(S66,$AX$2:$AY$12,2,1),""),IF(S66&gt;=$AZ$2,VLOOKUP(S66,$AZ$2:$BA$12,2,1),"")))</f>
        <v>33</v>
      </c>
      <c r="U66" s="180">
        <v>78</v>
      </c>
      <c r="V66" s="190">
        <f t="shared" ref="V66:V85" si="5">IF(OR(N66="",U66="",T66=""),"",U66/N66*T66)</f>
        <v>2574</v>
      </c>
      <c r="W66" s="180">
        <v>6</v>
      </c>
      <c r="X66" s="180" t="s">
        <v>46</v>
      </c>
      <c r="Y66" s="180" t="s">
        <v>88</v>
      </c>
      <c r="Z66" s="180" t="s">
        <v>69</v>
      </c>
      <c r="AA66" s="180" t="s">
        <v>97</v>
      </c>
      <c r="AB66" s="180" t="s">
        <v>158</v>
      </c>
    </row>
    <row r="67" spans="1:28" x14ac:dyDescent="0.15">
      <c r="A67" s="180" t="s">
        <v>51</v>
      </c>
      <c r="B67" s="180" t="s">
        <v>157</v>
      </c>
      <c r="C67" s="180">
        <v>2019</v>
      </c>
      <c r="D67" s="188" t="s">
        <v>349</v>
      </c>
      <c r="E67" s="180" t="s">
        <v>362</v>
      </c>
      <c r="F67" s="180" t="s">
        <v>351</v>
      </c>
      <c r="G67" s="180" t="s">
        <v>42</v>
      </c>
      <c r="H67" s="180" t="s">
        <v>164</v>
      </c>
      <c r="I67" s="180" t="s">
        <v>159</v>
      </c>
      <c r="J67" s="180" t="s">
        <v>38</v>
      </c>
      <c r="K67" s="180" t="s">
        <v>161</v>
      </c>
      <c r="L67" s="180">
        <v>3</v>
      </c>
      <c r="N67" s="180">
        <v>1</v>
      </c>
      <c r="O67" s="180">
        <v>0.7</v>
      </c>
      <c r="P67" s="180">
        <v>0.8</v>
      </c>
      <c r="Q67" s="190">
        <f t="shared" si="3"/>
        <v>0.75</v>
      </c>
      <c r="R67" s="180">
        <v>16.3</v>
      </c>
      <c r="S67" s="180">
        <v>114</v>
      </c>
      <c r="T67" s="190">
        <f t="shared" si="4"/>
        <v>30</v>
      </c>
      <c r="U67" s="180">
        <v>78</v>
      </c>
      <c r="V67" s="190">
        <f t="shared" si="5"/>
        <v>2340</v>
      </c>
      <c r="W67" s="180">
        <v>6</v>
      </c>
      <c r="X67" s="180" t="s">
        <v>46</v>
      </c>
      <c r="Y67" s="180" t="s">
        <v>88</v>
      </c>
      <c r="Z67" s="180" t="s">
        <v>69</v>
      </c>
      <c r="AA67" s="180" t="s">
        <v>97</v>
      </c>
      <c r="AB67" s="180" t="s">
        <v>158</v>
      </c>
    </row>
    <row r="68" spans="1:28" x14ac:dyDescent="0.15">
      <c r="A68" s="180" t="s">
        <v>51</v>
      </c>
      <c r="B68" s="180" t="s">
        <v>157</v>
      </c>
      <c r="C68" s="180">
        <v>2019</v>
      </c>
      <c r="D68" s="188" t="s">
        <v>349</v>
      </c>
      <c r="E68" s="180" t="s">
        <v>362</v>
      </c>
      <c r="F68" s="180" t="s">
        <v>351</v>
      </c>
      <c r="G68" s="180" t="s">
        <v>42</v>
      </c>
      <c r="H68" s="180" t="s">
        <v>160</v>
      </c>
      <c r="I68" s="180" t="s">
        <v>159</v>
      </c>
      <c r="J68" s="180" t="s">
        <v>38</v>
      </c>
      <c r="K68" s="180" t="s">
        <v>161</v>
      </c>
      <c r="L68" s="180">
        <v>1</v>
      </c>
      <c r="N68" s="180">
        <v>1</v>
      </c>
      <c r="O68" s="180">
        <v>0.7</v>
      </c>
      <c r="P68" s="180">
        <v>0.65</v>
      </c>
      <c r="Q68" s="190">
        <f t="shared" si="3"/>
        <v>0.67500000000000004</v>
      </c>
      <c r="R68" s="180">
        <v>17.600000000000001</v>
      </c>
      <c r="S68" s="180">
        <v>138</v>
      </c>
      <c r="T68" s="190">
        <f t="shared" si="4"/>
        <v>22</v>
      </c>
      <c r="U68" s="180">
        <v>128</v>
      </c>
      <c r="V68" s="190">
        <f t="shared" si="5"/>
        <v>2816</v>
      </c>
      <c r="W68" s="180">
        <v>6</v>
      </c>
      <c r="X68" s="180" t="s">
        <v>46</v>
      </c>
      <c r="Y68" s="180" t="s">
        <v>88</v>
      </c>
      <c r="Z68" s="180" t="s">
        <v>69</v>
      </c>
      <c r="AA68" s="180" t="s">
        <v>97</v>
      </c>
      <c r="AB68" s="180" t="s">
        <v>158</v>
      </c>
    </row>
    <row r="69" spans="1:28" x14ac:dyDescent="0.15">
      <c r="A69" s="180" t="s">
        <v>51</v>
      </c>
      <c r="B69" s="180" t="s">
        <v>157</v>
      </c>
      <c r="C69" s="180">
        <v>2019</v>
      </c>
      <c r="D69" s="188" t="s">
        <v>349</v>
      </c>
      <c r="E69" s="180" t="s">
        <v>362</v>
      </c>
      <c r="F69" s="180" t="s">
        <v>351</v>
      </c>
      <c r="G69" s="180" t="s">
        <v>42</v>
      </c>
      <c r="H69" s="180" t="s">
        <v>160</v>
      </c>
      <c r="I69" s="180" t="s">
        <v>159</v>
      </c>
      <c r="J69" s="180" t="s">
        <v>38</v>
      </c>
      <c r="K69" s="180" t="s">
        <v>161</v>
      </c>
      <c r="L69" s="180">
        <v>2</v>
      </c>
      <c r="N69" s="180">
        <v>1</v>
      </c>
      <c r="O69" s="180">
        <v>0.55000000000000004</v>
      </c>
      <c r="P69" s="180">
        <v>0.6</v>
      </c>
      <c r="Q69" s="190">
        <f t="shared" si="3"/>
        <v>0.57499999999999996</v>
      </c>
      <c r="R69" s="180">
        <v>17.399999999999999</v>
      </c>
      <c r="S69" s="180">
        <v>136</v>
      </c>
      <c r="T69" s="190">
        <f t="shared" si="4"/>
        <v>25</v>
      </c>
      <c r="U69" s="180">
        <v>128</v>
      </c>
      <c r="V69" s="190">
        <f t="shared" si="5"/>
        <v>3200</v>
      </c>
      <c r="W69" s="180">
        <v>6</v>
      </c>
      <c r="X69" s="180" t="s">
        <v>46</v>
      </c>
      <c r="Y69" s="180" t="s">
        <v>88</v>
      </c>
      <c r="Z69" s="180" t="s">
        <v>69</v>
      </c>
      <c r="AA69" s="180" t="s">
        <v>97</v>
      </c>
      <c r="AB69" s="180" t="s">
        <v>158</v>
      </c>
    </row>
    <row r="70" spans="1:28" x14ac:dyDescent="0.15">
      <c r="A70" s="180" t="s">
        <v>51</v>
      </c>
      <c r="B70" s="180" t="s">
        <v>157</v>
      </c>
      <c r="C70" s="180">
        <v>2019</v>
      </c>
      <c r="D70" s="188" t="s">
        <v>349</v>
      </c>
      <c r="E70" s="180" t="s">
        <v>362</v>
      </c>
      <c r="F70" s="180" t="s">
        <v>351</v>
      </c>
      <c r="G70" s="180" t="s">
        <v>42</v>
      </c>
      <c r="H70" s="180" t="s">
        <v>160</v>
      </c>
      <c r="I70" s="180" t="s">
        <v>159</v>
      </c>
      <c r="J70" s="180" t="s">
        <v>38</v>
      </c>
      <c r="K70" s="180" t="s">
        <v>161</v>
      </c>
      <c r="L70" s="180">
        <v>3</v>
      </c>
      <c r="N70" s="180">
        <v>1</v>
      </c>
      <c r="O70" s="180">
        <v>0.65</v>
      </c>
      <c r="P70" s="180">
        <v>0.65</v>
      </c>
      <c r="Q70" s="190">
        <f t="shared" si="3"/>
        <v>0.65</v>
      </c>
      <c r="R70" s="180">
        <v>17.100000000000001</v>
      </c>
      <c r="S70" s="180">
        <v>136</v>
      </c>
      <c r="T70" s="190">
        <f t="shared" si="4"/>
        <v>25</v>
      </c>
      <c r="U70" s="180">
        <v>128</v>
      </c>
      <c r="V70" s="190">
        <f t="shared" si="5"/>
        <v>3200</v>
      </c>
      <c r="W70" s="180">
        <v>6</v>
      </c>
      <c r="X70" s="180" t="s">
        <v>46</v>
      </c>
      <c r="Y70" s="180" t="s">
        <v>88</v>
      </c>
      <c r="Z70" s="180" t="s">
        <v>69</v>
      </c>
      <c r="AA70" s="180" t="s">
        <v>97</v>
      </c>
      <c r="AB70" s="180" t="s">
        <v>158</v>
      </c>
    </row>
    <row r="71" spans="1:28" x14ac:dyDescent="0.15">
      <c r="D71" s="188"/>
      <c r="Q71" s="190" t="str">
        <f t="shared" si="3"/>
        <v/>
      </c>
      <c r="T71" s="190" t="str">
        <f t="shared" si="4"/>
        <v/>
      </c>
      <c r="V71" s="190" t="str">
        <f t="shared" si="5"/>
        <v/>
      </c>
    </row>
    <row r="72" spans="1:28" x14ac:dyDescent="0.15">
      <c r="D72" s="188"/>
      <c r="Q72" s="190" t="str">
        <f t="shared" si="3"/>
        <v/>
      </c>
      <c r="T72" s="190" t="str">
        <f t="shared" si="4"/>
        <v/>
      </c>
      <c r="V72" s="190" t="str">
        <f t="shared" si="5"/>
        <v/>
      </c>
    </row>
    <row r="73" spans="1:28" x14ac:dyDescent="0.15">
      <c r="D73" s="188"/>
      <c r="Q73" s="190" t="str">
        <f t="shared" si="3"/>
        <v/>
      </c>
      <c r="T73" s="190" t="str">
        <f t="shared" si="4"/>
        <v/>
      </c>
      <c r="V73" s="190" t="str">
        <f t="shared" si="5"/>
        <v/>
      </c>
    </row>
    <row r="74" spans="1:28" x14ac:dyDescent="0.15">
      <c r="D74" s="188"/>
      <c r="Q74" s="190" t="str">
        <f t="shared" si="3"/>
        <v/>
      </c>
      <c r="T74" s="190" t="str">
        <f t="shared" si="4"/>
        <v/>
      </c>
      <c r="V74" s="190" t="str">
        <f t="shared" si="5"/>
        <v/>
      </c>
    </row>
    <row r="75" spans="1:28" x14ac:dyDescent="0.15">
      <c r="D75" s="188"/>
      <c r="Q75" s="190" t="str">
        <f t="shared" si="3"/>
        <v/>
      </c>
      <c r="T75" s="190" t="str">
        <f t="shared" si="4"/>
        <v/>
      </c>
      <c r="V75" s="190" t="str">
        <f t="shared" si="5"/>
        <v/>
      </c>
    </row>
    <row r="76" spans="1:28" x14ac:dyDescent="0.15">
      <c r="D76" s="188"/>
      <c r="Q76" s="190" t="str">
        <f t="shared" si="3"/>
        <v/>
      </c>
      <c r="T76" s="190" t="str">
        <f t="shared" si="4"/>
        <v/>
      </c>
      <c r="V76" s="190" t="str">
        <f t="shared" si="5"/>
        <v/>
      </c>
    </row>
    <row r="77" spans="1:28" x14ac:dyDescent="0.15">
      <c r="D77" s="188"/>
      <c r="Q77" s="190" t="str">
        <f t="shared" si="3"/>
        <v/>
      </c>
      <c r="T77" s="190" t="str">
        <f t="shared" si="4"/>
        <v/>
      </c>
      <c r="V77" s="190" t="str">
        <f t="shared" si="5"/>
        <v/>
      </c>
    </row>
    <row r="78" spans="1:28" x14ac:dyDescent="0.15">
      <c r="D78" s="188"/>
      <c r="Q78" s="190" t="str">
        <f t="shared" si="3"/>
        <v/>
      </c>
      <c r="T78" s="190" t="str">
        <f t="shared" si="4"/>
        <v/>
      </c>
      <c r="V78" s="190" t="str">
        <f t="shared" si="5"/>
        <v/>
      </c>
    </row>
    <row r="79" spans="1:28" x14ac:dyDescent="0.15">
      <c r="D79" s="188"/>
      <c r="Q79" s="190" t="str">
        <f t="shared" si="3"/>
        <v/>
      </c>
      <c r="T79" s="190" t="str">
        <f t="shared" si="4"/>
        <v/>
      </c>
      <c r="V79" s="190" t="str">
        <f t="shared" si="5"/>
        <v/>
      </c>
    </row>
    <row r="80" spans="1:28" x14ac:dyDescent="0.15">
      <c r="D80" s="209"/>
      <c r="Q80" s="190" t="str">
        <f t="shared" si="3"/>
        <v/>
      </c>
      <c r="T80" s="190" t="str">
        <f t="shared" si="4"/>
        <v/>
      </c>
      <c r="V80" s="190" t="str">
        <f t="shared" si="5"/>
        <v/>
      </c>
    </row>
    <row r="81" spans="4:22" x14ac:dyDescent="0.15">
      <c r="D81" s="209"/>
      <c r="Q81" s="190" t="str">
        <f t="shared" si="3"/>
        <v/>
      </c>
      <c r="T81" s="190" t="str">
        <f t="shared" si="4"/>
        <v/>
      </c>
      <c r="V81" s="190" t="str">
        <f t="shared" si="5"/>
        <v/>
      </c>
    </row>
    <row r="82" spans="4:22" x14ac:dyDescent="0.15">
      <c r="D82" s="209"/>
      <c r="Q82" s="190" t="str">
        <f t="shared" si="3"/>
        <v/>
      </c>
      <c r="T82" s="190" t="str">
        <f t="shared" si="4"/>
        <v/>
      </c>
      <c r="V82" s="190" t="str">
        <f t="shared" si="5"/>
        <v/>
      </c>
    </row>
    <row r="83" spans="4:22" x14ac:dyDescent="0.15">
      <c r="D83" s="209"/>
      <c r="Q83" s="190" t="str">
        <f t="shared" si="3"/>
        <v/>
      </c>
      <c r="T83" s="190" t="str">
        <f t="shared" si="4"/>
        <v/>
      </c>
      <c r="V83" s="190" t="str">
        <f t="shared" si="5"/>
        <v/>
      </c>
    </row>
    <row r="84" spans="4:22" x14ac:dyDescent="0.15">
      <c r="D84" s="209"/>
      <c r="Q84" s="190" t="str">
        <f t="shared" si="3"/>
        <v/>
      </c>
      <c r="T84" s="190" t="str">
        <f t="shared" si="4"/>
        <v/>
      </c>
      <c r="V84" s="190" t="str">
        <f t="shared" si="5"/>
        <v/>
      </c>
    </row>
    <row r="85" spans="4:22" x14ac:dyDescent="0.15">
      <c r="D85" s="209"/>
      <c r="Q85" s="190" t="str">
        <f t="shared" si="3"/>
        <v/>
      </c>
      <c r="T85" s="190" t="str">
        <f t="shared" si="4"/>
        <v/>
      </c>
      <c r="V85" s="190" t="str">
        <f t="shared" si="5"/>
        <v/>
      </c>
    </row>
    <row r="86" spans="4:22" x14ac:dyDescent="0.15">
      <c r="D86" s="209"/>
    </row>
    <row r="87" spans="4:22" x14ac:dyDescent="0.15">
      <c r="D87" s="209"/>
    </row>
    <row r="88" spans="4:22" x14ac:dyDescent="0.15">
      <c r="D88" s="209"/>
    </row>
    <row r="89" spans="4:22" x14ac:dyDescent="0.15">
      <c r="D89" s="209"/>
    </row>
    <row r="90" spans="4:22" x14ac:dyDescent="0.15">
      <c r="D90" s="209"/>
    </row>
    <row r="91" spans="4:22" x14ac:dyDescent="0.15">
      <c r="D91" s="209"/>
    </row>
  </sheetData>
  <autoFilter ref="A1:BA85" xr:uid="{00000000-0009-0000-0000-000000000000}"/>
  <phoneticPr fontId="3"/>
  <dataValidations count="15">
    <dataValidation type="decimal" allowBlank="1" showInputMessage="1" showErrorMessage="1" error="硬度を正しく入力して下さい。" sqref="O2:P500" xr:uid="{4F904E70-A1C3-4B0F-8D22-09FD09AF69C6}">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CD0A6485-E0C7-44B6-A393-B184BA3A65AC}">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DAB43D01-ADBE-4B37-A1B2-013A27146A97}">
      <formula1>$AT$2:$AT$3</formula1>
    </dataValidation>
    <dataValidation type="list" allowBlank="1" showInputMessage="1" showErrorMessage="1" sqref="K2:K89" xr:uid="{D4054849-6347-4FA2-A5DF-26842CD4F8CE}">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CDA4D1F0-AB7A-4576-AD5C-8E20F85D3D6C}">
      <formula1>$AR$2:$AR$25</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D36850A5-CA4D-4555-8622-9050D28DD4DC}">
      <formula1>$AN$5:$AN$6</formula1>
    </dataValidation>
    <dataValidation type="list" allowBlank="1" showInputMessage="1" showErrorMessage="1" sqref="Y2:AA500" xr:uid="{68946583-2DEC-400B-80AF-586C1994B573}">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64A40837-B023-4AA0-9ECB-2EE0CB99A461}">
      <formula1>$AP$2:$AP$27</formula1>
    </dataValidation>
    <dataValidation type="list" allowBlank="1" showInputMessage="1" showErrorMessage="1" sqref="H2:H500" xr:uid="{209AC2D4-B82F-401C-91C7-D4C9E581860A}">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2E3456D3-0B7B-4A5C-BA12-13E709587F99}">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63C559E8-2BAA-4878-B0FC-9F490852B2E4}"/>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ACF70312-6594-4D11-A2C4-4574199F5F04}">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2F57620C-902F-43C7-A4D8-DA10BC9ACAAF}">
      <formula1>$AL$4:$AL$12</formula1>
    </dataValidation>
    <dataValidation type="list" allowBlank="1" showInputMessage="1" showErrorMessage="1" sqref="WVI983042:WVI983119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A2:A500" xr:uid="{E907BFAE-1961-4289-B032-39B607F73E90}">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DF7CBB2-8CC1-4C51-B0E7-0819BB0312F8}">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06C9-B005-484F-92DF-4402C6525332}">
  <sheetPr>
    <pageSetUpPr fitToPage="1"/>
  </sheetPr>
  <dimension ref="A1:BA114"/>
  <sheetViews>
    <sheetView zoomScale="80" zoomScaleNormal="80" workbookViewId="0">
      <selection activeCell="M72" sqref="M72"/>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99" t="s">
        <v>232</v>
      </c>
      <c r="B1" s="100" t="s">
        <v>1</v>
      </c>
      <c r="C1" s="100" t="s">
        <v>2</v>
      </c>
      <c r="D1" s="101" t="s">
        <v>3</v>
      </c>
      <c r="E1" s="101" t="s">
        <v>233</v>
      </c>
      <c r="F1" s="101" t="s">
        <v>5</v>
      </c>
      <c r="G1" s="101" t="s">
        <v>6</v>
      </c>
      <c r="H1" s="101" t="s">
        <v>234</v>
      </c>
      <c r="I1" s="101" t="s">
        <v>8</v>
      </c>
      <c r="J1" s="101" t="s">
        <v>9</v>
      </c>
      <c r="K1" s="101" t="s">
        <v>10</v>
      </c>
      <c r="L1" s="101" t="s">
        <v>11</v>
      </c>
      <c r="M1" s="101" t="s">
        <v>12</v>
      </c>
      <c r="N1" s="101" t="s">
        <v>13</v>
      </c>
      <c r="O1" s="101" t="s">
        <v>14</v>
      </c>
      <c r="P1" s="101" t="s">
        <v>15</v>
      </c>
      <c r="Q1" s="3" t="s">
        <v>16</v>
      </c>
      <c r="R1" s="101" t="s">
        <v>17</v>
      </c>
      <c r="S1" s="101" t="s">
        <v>18</v>
      </c>
      <c r="T1" s="3" t="s">
        <v>19</v>
      </c>
      <c r="U1" s="102" t="s">
        <v>108</v>
      </c>
      <c r="V1" s="5" t="s">
        <v>20</v>
      </c>
      <c r="W1" s="101" t="s">
        <v>21</v>
      </c>
      <c r="X1" s="101" t="s">
        <v>22</v>
      </c>
      <c r="Y1" s="101" t="s">
        <v>23</v>
      </c>
      <c r="Z1" s="101" t="s">
        <v>24</v>
      </c>
      <c r="AA1" s="103" t="s">
        <v>25</v>
      </c>
      <c r="AB1" s="104" t="s">
        <v>26</v>
      </c>
      <c r="AC1" s="105"/>
      <c r="AE1" s="106" t="s">
        <v>0</v>
      </c>
      <c r="AF1" s="107"/>
      <c r="AG1" s="106" t="s">
        <v>4</v>
      </c>
      <c r="AH1" s="106" t="s">
        <v>5</v>
      </c>
      <c r="AI1" s="107"/>
      <c r="AJ1" s="106" t="s">
        <v>6</v>
      </c>
      <c r="AK1" s="107"/>
      <c r="AL1" s="10" t="s">
        <v>7</v>
      </c>
      <c r="AM1" s="107"/>
      <c r="AN1" s="10" t="s">
        <v>8</v>
      </c>
      <c r="AO1" s="107"/>
      <c r="AP1" s="10" t="s">
        <v>27</v>
      </c>
      <c r="AQ1" s="107"/>
      <c r="AR1" s="10" t="s">
        <v>10</v>
      </c>
      <c r="AS1" s="107"/>
      <c r="AT1" s="11" t="s">
        <v>28</v>
      </c>
      <c r="AU1" s="107"/>
      <c r="AV1" s="10" t="s">
        <v>29</v>
      </c>
      <c r="AX1" s="12" t="s">
        <v>30</v>
      </c>
      <c r="AY1" s="13" t="s">
        <v>31</v>
      </c>
      <c r="AZ1" s="13" t="s">
        <v>32</v>
      </c>
      <c r="BA1" s="14" t="s">
        <v>33</v>
      </c>
    </row>
    <row r="2" spans="1:53" s="108" customFormat="1" x14ac:dyDescent="0.15">
      <c r="A2" s="108" t="s">
        <v>61</v>
      </c>
      <c r="B2" s="108" t="s">
        <v>235</v>
      </c>
      <c r="C2" s="108">
        <v>2019</v>
      </c>
      <c r="D2" s="109" t="s">
        <v>236</v>
      </c>
      <c r="E2" s="108" t="s">
        <v>237</v>
      </c>
      <c r="F2" s="108" t="s">
        <v>238</v>
      </c>
      <c r="G2" s="108" t="s">
        <v>42</v>
      </c>
      <c r="H2" s="53" t="s">
        <v>164</v>
      </c>
      <c r="I2" s="53" t="s">
        <v>159</v>
      </c>
      <c r="J2" s="108" t="s">
        <v>38</v>
      </c>
      <c r="K2" s="53" t="s">
        <v>161</v>
      </c>
      <c r="L2" s="53">
        <v>1</v>
      </c>
      <c r="M2" s="53"/>
      <c r="N2" s="53">
        <v>1</v>
      </c>
      <c r="O2" s="53">
        <v>0.9</v>
      </c>
      <c r="P2" s="53">
        <v>0.75</v>
      </c>
      <c r="Q2" s="110">
        <f t="shared" ref="Q2:Q65" si="0">IF(OR(O2="",P2=""),"",AVERAGE(O2,P2))</f>
        <v>0.82499999999999996</v>
      </c>
      <c r="R2" s="53">
        <v>18.899999999999999</v>
      </c>
      <c r="S2" s="53">
        <v>106</v>
      </c>
      <c r="T2" s="16">
        <f t="shared" ref="T2:T65" si="1">IF(H2="","",IF(OR(H2="GREEN",H2="GK"),IF(S2&gt;=$AX$2,VLOOKUP(S2,$AX$2:$AY$15,2,1),""),IF(S2&gt;=$AZ$2,VLOOKUP(S2,$AZ$2:$BA$15,2,1),"")))</f>
        <v>33</v>
      </c>
      <c r="U2" s="53">
        <v>118</v>
      </c>
      <c r="V2" s="111">
        <f t="shared" ref="V2:V65" si="2">IF(OR(N2="",U2="",T2=""),"",U2/N2*T2)</f>
        <v>3894</v>
      </c>
      <c r="W2" s="53">
        <v>4</v>
      </c>
      <c r="X2" s="108" t="s">
        <v>39</v>
      </c>
      <c r="Y2" s="53" t="s">
        <v>97</v>
      </c>
      <c r="Z2" s="53" t="s">
        <v>86</v>
      </c>
      <c r="AA2" s="53" t="s">
        <v>47</v>
      </c>
      <c r="AB2" s="108" t="s">
        <v>239</v>
      </c>
      <c r="AC2" s="34"/>
      <c r="AE2" s="112" t="s">
        <v>35</v>
      </c>
      <c r="AG2" s="49" t="s">
        <v>237</v>
      </c>
      <c r="AH2" s="49" t="s">
        <v>238</v>
      </c>
      <c r="AJ2" s="113" t="s">
        <v>36</v>
      </c>
      <c r="AL2" s="114" t="s">
        <v>127</v>
      </c>
      <c r="AN2" s="113" t="s">
        <v>37</v>
      </c>
      <c r="AP2" s="114" t="s">
        <v>38</v>
      </c>
      <c r="AR2" s="114" t="s">
        <v>120</v>
      </c>
      <c r="AT2" s="113" t="s">
        <v>39</v>
      </c>
      <c r="AV2" s="114" t="s">
        <v>40</v>
      </c>
      <c r="AX2" s="115">
        <v>1</v>
      </c>
      <c r="AY2" s="116">
        <v>50</v>
      </c>
      <c r="AZ2" s="116">
        <v>1</v>
      </c>
      <c r="BA2" s="117">
        <v>50</v>
      </c>
    </row>
    <row r="3" spans="1:53" x14ac:dyDescent="0.15">
      <c r="A3" s="108" t="s">
        <v>61</v>
      </c>
      <c r="B3" s="108" t="s">
        <v>235</v>
      </c>
      <c r="C3" s="108">
        <v>2019</v>
      </c>
      <c r="D3" s="109" t="s">
        <v>236</v>
      </c>
      <c r="E3" s="108" t="s">
        <v>237</v>
      </c>
      <c r="F3" s="108" t="s">
        <v>238</v>
      </c>
      <c r="G3" s="108" t="s">
        <v>42</v>
      </c>
      <c r="H3" s="53" t="s">
        <v>164</v>
      </c>
      <c r="I3" s="53" t="s">
        <v>159</v>
      </c>
      <c r="J3" s="108" t="s">
        <v>38</v>
      </c>
      <c r="K3" s="53" t="s">
        <v>161</v>
      </c>
      <c r="L3" s="53">
        <v>2</v>
      </c>
      <c r="N3" s="53">
        <v>1</v>
      </c>
      <c r="O3" s="53">
        <v>1</v>
      </c>
      <c r="P3" s="53">
        <v>1.1499999999999999</v>
      </c>
      <c r="Q3" s="110">
        <f t="shared" si="0"/>
        <v>1.075</v>
      </c>
      <c r="R3" s="53">
        <v>17.8</v>
      </c>
      <c r="S3" s="53">
        <v>102</v>
      </c>
      <c r="T3" s="16">
        <f t="shared" si="1"/>
        <v>33</v>
      </c>
      <c r="U3" s="53">
        <v>118</v>
      </c>
      <c r="V3" s="111">
        <f t="shared" si="2"/>
        <v>3894</v>
      </c>
      <c r="W3" s="53">
        <v>4</v>
      </c>
      <c r="X3" s="108" t="s">
        <v>39</v>
      </c>
      <c r="Y3" s="53" t="s">
        <v>97</v>
      </c>
      <c r="Z3" s="53" t="s">
        <v>86</v>
      </c>
      <c r="AA3" s="53" t="s">
        <v>47</v>
      </c>
      <c r="AB3" s="108" t="s">
        <v>239</v>
      </c>
      <c r="AC3" s="34"/>
      <c r="AE3" s="22" t="s">
        <v>41</v>
      </c>
      <c r="AG3" s="49" t="s">
        <v>240</v>
      </c>
      <c r="AH3" s="49" t="s">
        <v>241</v>
      </c>
      <c r="AJ3" s="23" t="s">
        <v>42</v>
      </c>
      <c r="AL3" s="23" t="s">
        <v>128</v>
      </c>
      <c r="AN3" s="23" t="s">
        <v>43</v>
      </c>
      <c r="AP3" s="23" t="s">
        <v>44</v>
      </c>
      <c r="AR3" s="23" t="s">
        <v>45</v>
      </c>
      <c r="AT3" s="23" t="s">
        <v>46</v>
      </c>
      <c r="AV3" s="23" t="s">
        <v>47</v>
      </c>
      <c r="AX3" s="24">
        <v>72</v>
      </c>
      <c r="AY3" s="25">
        <v>46</v>
      </c>
      <c r="AZ3" s="25">
        <v>71</v>
      </c>
      <c r="BA3" s="26">
        <v>42</v>
      </c>
    </row>
    <row r="4" spans="1:53" x14ac:dyDescent="0.15">
      <c r="A4" s="108" t="s">
        <v>61</v>
      </c>
      <c r="B4" s="108" t="s">
        <v>235</v>
      </c>
      <c r="C4" s="108">
        <v>2019</v>
      </c>
      <c r="D4" s="109" t="s">
        <v>242</v>
      </c>
      <c r="E4" s="108" t="s">
        <v>237</v>
      </c>
      <c r="F4" s="108" t="s">
        <v>238</v>
      </c>
      <c r="G4" s="108" t="s">
        <v>42</v>
      </c>
      <c r="H4" s="53" t="s">
        <v>164</v>
      </c>
      <c r="I4" s="53" t="s">
        <v>159</v>
      </c>
      <c r="J4" s="108" t="s">
        <v>38</v>
      </c>
      <c r="K4" s="53" t="s">
        <v>161</v>
      </c>
      <c r="L4" s="53">
        <v>3</v>
      </c>
      <c r="N4" s="53">
        <v>1</v>
      </c>
      <c r="O4" s="53">
        <v>0.95</v>
      </c>
      <c r="P4" s="53">
        <v>1</v>
      </c>
      <c r="Q4" s="110">
        <f t="shared" si="0"/>
        <v>0.97499999999999998</v>
      </c>
      <c r="R4" s="53">
        <v>17.7</v>
      </c>
      <c r="S4" s="53">
        <v>99</v>
      </c>
      <c r="T4" s="16">
        <f t="shared" si="1"/>
        <v>33</v>
      </c>
      <c r="U4" s="53">
        <v>118</v>
      </c>
      <c r="V4" s="111">
        <f t="shared" si="2"/>
        <v>3894</v>
      </c>
      <c r="W4" s="53">
        <v>4</v>
      </c>
      <c r="X4" s="108" t="s">
        <v>39</v>
      </c>
      <c r="Y4" s="53" t="s">
        <v>97</v>
      </c>
      <c r="Z4" s="53" t="s">
        <v>86</v>
      </c>
      <c r="AA4" s="53" t="s">
        <v>47</v>
      </c>
      <c r="AB4" s="108" t="s">
        <v>239</v>
      </c>
      <c r="AC4" s="34"/>
      <c r="AE4" s="22" t="s">
        <v>34</v>
      </c>
      <c r="AG4" s="49" t="s">
        <v>243</v>
      </c>
      <c r="AH4" s="49" t="s">
        <v>244</v>
      </c>
      <c r="AJ4" s="27" t="s">
        <v>48</v>
      </c>
      <c r="AL4" s="27" t="s">
        <v>129</v>
      </c>
      <c r="AN4" s="28" t="s">
        <v>49</v>
      </c>
      <c r="AP4" s="23" t="s">
        <v>93</v>
      </c>
      <c r="AR4" s="23" t="s">
        <v>121</v>
      </c>
      <c r="AT4" s="28"/>
      <c r="AV4" s="23" t="s">
        <v>50</v>
      </c>
      <c r="AX4" s="24">
        <v>75</v>
      </c>
      <c r="AY4" s="25">
        <v>42</v>
      </c>
      <c r="AZ4" s="25">
        <v>76</v>
      </c>
      <c r="BA4" s="26">
        <v>39</v>
      </c>
    </row>
    <row r="5" spans="1:53" x14ac:dyDescent="0.15">
      <c r="A5" s="108" t="s">
        <v>61</v>
      </c>
      <c r="B5" s="108" t="s">
        <v>235</v>
      </c>
      <c r="C5" s="108">
        <v>2019</v>
      </c>
      <c r="D5" s="109" t="s">
        <v>242</v>
      </c>
      <c r="E5" s="108" t="s">
        <v>237</v>
      </c>
      <c r="F5" s="108" t="s">
        <v>238</v>
      </c>
      <c r="G5" s="108" t="s">
        <v>42</v>
      </c>
      <c r="H5" s="53" t="s">
        <v>160</v>
      </c>
      <c r="I5" s="53" t="s">
        <v>159</v>
      </c>
      <c r="J5" s="108" t="s">
        <v>38</v>
      </c>
      <c r="K5" s="53" t="s">
        <v>161</v>
      </c>
      <c r="L5" s="53">
        <v>1</v>
      </c>
      <c r="N5" s="53">
        <v>1</v>
      </c>
      <c r="O5" s="53">
        <v>0.75</v>
      </c>
      <c r="P5" s="53">
        <v>0.7</v>
      </c>
      <c r="Q5" s="110">
        <f t="shared" si="0"/>
        <v>0.72499999999999998</v>
      </c>
      <c r="R5" s="53">
        <v>17.600000000000001</v>
      </c>
      <c r="S5" s="53">
        <v>123</v>
      </c>
      <c r="T5" s="16">
        <f t="shared" si="1"/>
        <v>27</v>
      </c>
      <c r="U5" s="53">
        <v>118</v>
      </c>
      <c r="V5" s="111">
        <f t="shared" si="2"/>
        <v>3186</v>
      </c>
      <c r="W5" s="53">
        <v>4</v>
      </c>
      <c r="X5" s="108" t="s">
        <v>39</v>
      </c>
      <c r="Y5" s="53" t="s">
        <v>97</v>
      </c>
      <c r="Z5" s="53" t="s">
        <v>86</v>
      </c>
      <c r="AA5" s="53" t="s">
        <v>47</v>
      </c>
      <c r="AB5" s="108" t="s">
        <v>239</v>
      </c>
      <c r="AC5" s="34"/>
      <c r="AE5" s="22" t="s">
        <v>51</v>
      </c>
      <c r="AG5" s="49" t="s">
        <v>245</v>
      </c>
      <c r="AH5" s="49" t="s">
        <v>246</v>
      </c>
      <c r="AJ5" s="27"/>
      <c r="AL5" s="118" t="s">
        <v>66</v>
      </c>
      <c r="AN5" s="118" t="s">
        <v>52</v>
      </c>
      <c r="AP5" s="23" t="s">
        <v>119</v>
      </c>
      <c r="AR5" s="23" t="s">
        <v>54</v>
      </c>
      <c r="AV5" s="23" t="s">
        <v>55</v>
      </c>
      <c r="AX5" s="24">
        <v>84</v>
      </c>
      <c r="AY5" s="25">
        <v>39</v>
      </c>
      <c r="AZ5" s="25">
        <v>84</v>
      </c>
      <c r="BA5" s="26">
        <v>36</v>
      </c>
    </row>
    <row r="6" spans="1:53" x14ac:dyDescent="0.15">
      <c r="A6" s="108" t="s">
        <v>61</v>
      </c>
      <c r="B6" s="108" t="s">
        <v>235</v>
      </c>
      <c r="C6" s="108">
        <v>2019</v>
      </c>
      <c r="D6" s="109" t="s">
        <v>242</v>
      </c>
      <c r="E6" s="108" t="s">
        <v>237</v>
      </c>
      <c r="F6" s="108" t="s">
        <v>238</v>
      </c>
      <c r="G6" s="108" t="s">
        <v>42</v>
      </c>
      <c r="H6" s="53" t="s">
        <v>160</v>
      </c>
      <c r="I6" s="53" t="s">
        <v>159</v>
      </c>
      <c r="J6" s="108" t="s">
        <v>38</v>
      </c>
      <c r="K6" s="53" t="s">
        <v>161</v>
      </c>
      <c r="L6" s="53">
        <v>2</v>
      </c>
      <c r="N6" s="53">
        <v>1</v>
      </c>
      <c r="O6" s="53">
        <v>0.7</v>
      </c>
      <c r="P6" s="53">
        <v>0.7</v>
      </c>
      <c r="Q6" s="110">
        <f t="shared" si="0"/>
        <v>0.7</v>
      </c>
      <c r="R6" s="53">
        <v>19.100000000000001</v>
      </c>
      <c r="S6" s="53">
        <v>115</v>
      </c>
      <c r="T6" s="16">
        <f t="shared" si="1"/>
        <v>30</v>
      </c>
      <c r="U6" s="53">
        <v>118</v>
      </c>
      <c r="V6" s="111">
        <f t="shared" si="2"/>
        <v>3540</v>
      </c>
      <c r="W6" s="53">
        <v>4</v>
      </c>
      <c r="X6" s="108" t="s">
        <v>39</v>
      </c>
      <c r="Y6" s="53" t="s">
        <v>97</v>
      </c>
      <c r="Z6" s="53" t="s">
        <v>86</v>
      </c>
      <c r="AA6" s="53" t="s">
        <v>47</v>
      </c>
      <c r="AB6" s="108" t="s">
        <v>239</v>
      </c>
      <c r="AC6" s="34"/>
      <c r="AE6" s="22" t="s">
        <v>56</v>
      </c>
      <c r="AG6" s="49" t="s">
        <v>247</v>
      </c>
      <c r="AH6" s="49" t="s">
        <v>248</v>
      </c>
      <c r="AJ6" s="27"/>
      <c r="AL6" s="118" t="s">
        <v>99</v>
      </c>
      <c r="AN6" s="118" t="s">
        <v>57</v>
      </c>
      <c r="AP6" s="23" t="s">
        <v>53</v>
      </c>
      <c r="AR6" s="23" t="s">
        <v>59</v>
      </c>
      <c r="AV6" s="23" t="s">
        <v>60</v>
      </c>
      <c r="AX6" s="24">
        <v>97</v>
      </c>
      <c r="AY6" s="25">
        <v>36</v>
      </c>
      <c r="AZ6" s="25">
        <v>99</v>
      </c>
      <c r="BA6" s="26">
        <v>33</v>
      </c>
    </row>
    <row r="7" spans="1:53" x14ac:dyDescent="0.15">
      <c r="A7" s="108" t="s">
        <v>61</v>
      </c>
      <c r="B7" s="108" t="s">
        <v>235</v>
      </c>
      <c r="C7" s="108">
        <v>2019</v>
      </c>
      <c r="D7" s="109" t="s">
        <v>242</v>
      </c>
      <c r="E7" s="108" t="s">
        <v>237</v>
      </c>
      <c r="F7" s="108" t="s">
        <v>238</v>
      </c>
      <c r="G7" s="108" t="s">
        <v>42</v>
      </c>
      <c r="H7" s="53" t="s">
        <v>160</v>
      </c>
      <c r="I7" s="53" t="s">
        <v>159</v>
      </c>
      <c r="J7" s="108" t="s">
        <v>38</v>
      </c>
      <c r="K7" s="53" t="s">
        <v>161</v>
      </c>
      <c r="L7" s="53">
        <v>3</v>
      </c>
      <c r="N7" s="53">
        <v>1</v>
      </c>
      <c r="O7" s="53">
        <v>0.75</v>
      </c>
      <c r="P7" s="53">
        <v>0.75</v>
      </c>
      <c r="Q7" s="110">
        <f t="shared" si="0"/>
        <v>0.75</v>
      </c>
      <c r="R7" s="53">
        <v>17.600000000000001</v>
      </c>
      <c r="S7" s="53">
        <v>123</v>
      </c>
      <c r="T7" s="16">
        <f t="shared" si="1"/>
        <v>27</v>
      </c>
      <c r="U7" s="53">
        <v>118</v>
      </c>
      <c r="V7" s="111">
        <f t="shared" si="2"/>
        <v>3186</v>
      </c>
      <c r="W7" s="53">
        <v>4</v>
      </c>
      <c r="X7" s="108" t="s">
        <v>39</v>
      </c>
      <c r="Y7" s="53" t="s">
        <v>97</v>
      </c>
      <c r="Z7" s="53" t="s">
        <v>86</v>
      </c>
      <c r="AA7" s="53" t="s">
        <v>47</v>
      </c>
      <c r="AB7" s="108" t="s">
        <v>239</v>
      </c>
      <c r="AC7" s="34"/>
      <c r="AE7" s="22" t="s">
        <v>61</v>
      </c>
      <c r="AG7" s="49" t="s">
        <v>249</v>
      </c>
      <c r="AH7" s="49" t="s">
        <v>250</v>
      </c>
      <c r="AJ7" s="27"/>
      <c r="AL7" s="34" t="s">
        <v>109</v>
      </c>
      <c r="AN7" s="118"/>
      <c r="AP7" s="23" t="s">
        <v>58</v>
      </c>
      <c r="AR7" s="23" t="s">
        <v>122</v>
      </c>
      <c r="AV7" s="23" t="s">
        <v>64</v>
      </c>
      <c r="AX7" s="24">
        <v>109</v>
      </c>
      <c r="AY7" s="25">
        <v>33</v>
      </c>
      <c r="AZ7" s="25">
        <v>113</v>
      </c>
      <c r="BA7" s="26">
        <v>30</v>
      </c>
    </row>
    <row r="8" spans="1:53" x14ac:dyDescent="0.15">
      <c r="A8" s="108" t="s">
        <v>61</v>
      </c>
      <c r="B8" s="108" t="s">
        <v>235</v>
      </c>
      <c r="C8" s="108">
        <v>2019</v>
      </c>
      <c r="D8" s="109" t="s">
        <v>242</v>
      </c>
      <c r="E8" s="108" t="s">
        <v>240</v>
      </c>
      <c r="F8" s="108" t="s">
        <v>241</v>
      </c>
      <c r="G8" s="108" t="s">
        <v>42</v>
      </c>
      <c r="H8" s="53" t="s">
        <v>164</v>
      </c>
      <c r="I8" s="53" t="s">
        <v>159</v>
      </c>
      <c r="J8" s="108" t="s">
        <v>38</v>
      </c>
      <c r="K8" s="53" t="s">
        <v>161</v>
      </c>
      <c r="L8" s="53">
        <v>1</v>
      </c>
      <c r="N8" s="53">
        <v>4</v>
      </c>
      <c r="O8" s="53">
        <v>0.9</v>
      </c>
      <c r="P8" s="53">
        <v>0.95</v>
      </c>
      <c r="Q8" s="110">
        <f t="shared" si="0"/>
        <v>0.92500000000000004</v>
      </c>
      <c r="R8" s="53">
        <v>16.100000000000001</v>
      </c>
      <c r="S8" s="53">
        <v>103</v>
      </c>
      <c r="T8" s="16">
        <f t="shared" si="1"/>
        <v>33</v>
      </c>
      <c r="U8" s="53">
        <v>398</v>
      </c>
      <c r="V8" s="111">
        <f t="shared" si="2"/>
        <v>3283.5</v>
      </c>
      <c r="W8" s="53">
        <v>5</v>
      </c>
      <c r="X8" s="108" t="s">
        <v>46</v>
      </c>
      <c r="Y8" s="53" t="s">
        <v>97</v>
      </c>
      <c r="Z8" s="53" t="s">
        <v>88</v>
      </c>
      <c r="AA8" s="53" t="s">
        <v>78</v>
      </c>
      <c r="AB8" s="108" t="s">
        <v>239</v>
      </c>
      <c r="AC8" s="34"/>
      <c r="AE8" s="22" t="s">
        <v>59</v>
      </c>
      <c r="AG8" s="49" t="s">
        <v>251</v>
      </c>
      <c r="AH8" s="49" t="s">
        <v>252</v>
      </c>
      <c r="AJ8" s="28"/>
      <c r="AL8" s="34" t="s">
        <v>134</v>
      </c>
      <c r="AN8" s="118"/>
      <c r="AP8" s="23" t="s">
        <v>62</v>
      </c>
      <c r="AR8" s="23" t="s">
        <v>81</v>
      </c>
      <c r="AV8" s="23" t="s">
        <v>97</v>
      </c>
      <c r="AX8" s="24">
        <v>119</v>
      </c>
      <c r="AY8" s="25">
        <v>30</v>
      </c>
      <c r="AZ8" s="25">
        <v>121</v>
      </c>
      <c r="BA8" s="26">
        <v>27</v>
      </c>
    </row>
    <row r="9" spans="1:53" x14ac:dyDescent="0.15">
      <c r="A9" s="108" t="s">
        <v>61</v>
      </c>
      <c r="B9" s="108" t="s">
        <v>235</v>
      </c>
      <c r="C9" s="108">
        <v>2019</v>
      </c>
      <c r="D9" s="109" t="s">
        <v>242</v>
      </c>
      <c r="E9" s="108" t="s">
        <v>240</v>
      </c>
      <c r="F9" s="108" t="s">
        <v>241</v>
      </c>
      <c r="G9" s="108" t="s">
        <v>42</v>
      </c>
      <c r="H9" s="53" t="s">
        <v>164</v>
      </c>
      <c r="I9" s="53" t="s">
        <v>159</v>
      </c>
      <c r="J9" s="108" t="s">
        <v>38</v>
      </c>
      <c r="K9" s="53" t="s">
        <v>161</v>
      </c>
      <c r="L9" s="53">
        <v>2</v>
      </c>
      <c r="N9" s="53">
        <v>4</v>
      </c>
      <c r="O9" s="53">
        <v>1.2</v>
      </c>
      <c r="P9" s="53">
        <v>1.25</v>
      </c>
      <c r="Q9" s="110">
        <f t="shared" si="0"/>
        <v>1.2250000000000001</v>
      </c>
      <c r="R9" s="34">
        <v>17.2</v>
      </c>
      <c r="S9" s="53">
        <v>106</v>
      </c>
      <c r="T9" s="16">
        <f t="shared" si="1"/>
        <v>33</v>
      </c>
      <c r="U9" s="53">
        <v>398</v>
      </c>
      <c r="V9" s="111">
        <f t="shared" si="2"/>
        <v>3283.5</v>
      </c>
      <c r="W9" s="53">
        <v>5</v>
      </c>
      <c r="X9" s="108" t="s">
        <v>46</v>
      </c>
      <c r="Y9" s="53" t="s">
        <v>97</v>
      </c>
      <c r="Z9" s="53" t="s">
        <v>88</v>
      </c>
      <c r="AA9" s="53" t="s">
        <v>78</v>
      </c>
      <c r="AB9" s="108" t="s">
        <v>239</v>
      </c>
      <c r="AC9" s="34"/>
      <c r="AE9" s="22" t="s">
        <v>98</v>
      </c>
      <c r="AG9" s="49" t="s">
        <v>133</v>
      </c>
      <c r="AH9" s="49" t="s">
        <v>253</v>
      </c>
      <c r="AL9" s="118"/>
      <c r="AN9" s="118"/>
      <c r="AP9" s="23" t="s">
        <v>95</v>
      </c>
      <c r="AR9" s="23" t="s">
        <v>89</v>
      </c>
      <c r="AV9" s="23" t="s">
        <v>102</v>
      </c>
      <c r="AX9" s="24">
        <v>128</v>
      </c>
      <c r="AY9" s="25">
        <v>27</v>
      </c>
      <c r="AZ9" s="25">
        <v>129</v>
      </c>
      <c r="BA9" s="26">
        <v>25</v>
      </c>
    </row>
    <row r="10" spans="1:53" x14ac:dyDescent="0.15">
      <c r="A10" s="108" t="s">
        <v>61</v>
      </c>
      <c r="B10" s="108" t="s">
        <v>235</v>
      </c>
      <c r="C10" s="108">
        <v>2019</v>
      </c>
      <c r="D10" s="109" t="s">
        <v>242</v>
      </c>
      <c r="E10" s="108" t="s">
        <v>240</v>
      </c>
      <c r="F10" s="108" t="s">
        <v>241</v>
      </c>
      <c r="G10" s="108" t="s">
        <v>42</v>
      </c>
      <c r="H10" s="53" t="s">
        <v>164</v>
      </c>
      <c r="I10" s="53" t="s">
        <v>159</v>
      </c>
      <c r="J10" s="108" t="s">
        <v>38</v>
      </c>
      <c r="K10" s="53" t="s">
        <v>161</v>
      </c>
      <c r="L10" s="53">
        <v>3</v>
      </c>
      <c r="N10" s="53">
        <v>4</v>
      </c>
      <c r="O10" s="53">
        <v>1.4</v>
      </c>
      <c r="P10" s="53">
        <v>1.1499999999999999</v>
      </c>
      <c r="Q10" s="110">
        <f t="shared" si="0"/>
        <v>1.2749999999999999</v>
      </c>
      <c r="R10" s="53">
        <v>14.4</v>
      </c>
      <c r="S10" s="53">
        <v>101</v>
      </c>
      <c r="T10" s="16">
        <f t="shared" si="1"/>
        <v>33</v>
      </c>
      <c r="U10" s="53">
        <v>398</v>
      </c>
      <c r="V10" s="111">
        <f t="shared" si="2"/>
        <v>3283.5</v>
      </c>
      <c r="W10" s="53">
        <v>5</v>
      </c>
      <c r="X10" s="108" t="s">
        <v>46</v>
      </c>
      <c r="Y10" s="53" t="s">
        <v>97</v>
      </c>
      <c r="Z10" s="53" t="s">
        <v>88</v>
      </c>
      <c r="AA10" s="53" t="s">
        <v>78</v>
      </c>
      <c r="AB10" s="108" t="s">
        <v>239</v>
      </c>
      <c r="AC10" s="34"/>
      <c r="AE10" s="22" t="s">
        <v>103</v>
      </c>
      <c r="AG10" s="49" t="s">
        <v>254</v>
      </c>
      <c r="AH10" s="49" t="s">
        <v>255</v>
      </c>
      <c r="AL10" s="27"/>
      <c r="AP10" s="23" t="s">
        <v>100</v>
      </c>
      <c r="AR10" s="23" t="s">
        <v>123</v>
      </c>
      <c r="AV10" s="23" t="s">
        <v>106</v>
      </c>
      <c r="AX10" s="24">
        <v>138</v>
      </c>
      <c r="AY10" s="25">
        <v>25</v>
      </c>
      <c r="AZ10" s="25">
        <v>138</v>
      </c>
      <c r="BA10" s="26">
        <v>22</v>
      </c>
    </row>
    <row r="11" spans="1:53" x14ac:dyDescent="0.15">
      <c r="A11" s="108" t="s">
        <v>61</v>
      </c>
      <c r="B11" s="108" t="s">
        <v>235</v>
      </c>
      <c r="C11" s="108">
        <v>2019</v>
      </c>
      <c r="D11" s="109" t="s">
        <v>242</v>
      </c>
      <c r="E11" s="108" t="s">
        <v>240</v>
      </c>
      <c r="F11" s="108" t="s">
        <v>241</v>
      </c>
      <c r="G11" s="108" t="s">
        <v>42</v>
      </c>
      <c r="H11" s="53" t="s">
        <v>160</v>
      </c>
      <c r="I11" s="53" t="s">
        <v>159</v>
      </c>
      <c r="J11" s="108" t="s">
        <v>38</v>
      </c>
      <c r="K11" s="53" t="s">
        <v>161</v>
      </c>
      <c r="L11" s="53">
        <v>1</v>
      </c>
      <c r="N11" s="53">
        <v>1</v>
      </c>
      <c r="O11" s="53">
        <v>0.65</v>
      </c>
      <c r="P11" s="53">
        <v>0.6</v>
      </c>
      <c r="Q11" s="110">
        <f t="shared" si="0"/>
        <v>0.625</v>
      </c>
      <c r="R11" s="53">
        <v>16.899999999999999</v>
      </c>
      <c r="S11" s="53">
        <v>140</v>
      </c>
      <c r="T11" s="16">
        <f t="shared" si="1"/>
        <v>22</v>
      </c>
      <c r="U11" s="53">
        <v>158</v>
      </c>
      <c r="V11" s="111">
        <f t="shared" si="2"/>
        <v>3476</v>
      </c>
      <c r="W11" s="53">
        <v>5</v>
      </c>
      <c r="X11" s="108" t="s">
        <v>46</v>
      </c>
      <c r="Y11" s="53" t="s">
        <v>97</v>
      </c>
      <c r="Z11" s="53" t="s">
        <v>88</v>
      </c>
      <c r="AA11" s="53" t="s">
        <v>78</v>
      </c>
      <c r="AB11" s="108" t="s">
        <v>239</v>
      </c>
      <c r="AC11" s="34"/>
      <c r="AE11" s="22" t="s">
        <v>65</v>
      </c>
      <c r="AG11" s="49" t="s">
        <v>256</v>
      </c>
      <c r="AH11" s="49" t="s">
        <v>255</v>
      </c>
      <c r="AL11" s="119"/>
      <c r="AP11" s="23" t="s">
        <v>104</v>
      </c>
      <c r="AR11" s="23" t="s">
        <v>87</v>
      </c>
      <c r="AV11" s="120" t="s">
        <v>257</v>
      </c>
      <c r="AX11" s="24">
        <v>151</v>
      </c>
      <c r="AY11" s="25">
        <v>22</v>
      </c>
      <c r="AZ11" s="25">
        <v>152</v>
      </c>
      <c r="BA11" s="26">
        <v>18</v>
      </c>
    </row>
    <row r="12" spans="1:53" x14ac:dyDescent="0.15">
      <c r="A12" s="108" t="s">
        <v>61</v>
      </c>
      <c r="B12" s="108" t="s">
        <v>235</v>
      </c>
      <c r="C12" s="108">
        <v>2019</v>
      </c>
      <c r="D12" s="109" t="s">
        <v>242</v>
      </c>
      <c r="E12" s="108" t="s">
        <v>240</v>
      </c>
      <c r="F12" s="108" t="s">
        <v>241</v>
      </c>
      <c r="G12" s="108" t="s">
        <v>42</v>
      </c>
      <c r="H12" s="53" t="s">
        <v>160</v>
      </c>
      <c r="I12" s="53" t="s">
        <v>159</v>
      </c>
      <c r="J12" s="108" t="s">
        <v>38</v>
      </c>
      <c r="K12" s="53" t="s">
        <v>161</v>
      </c>
      <c r="L12" s="53">
        <v>2</v>
      </c>
      <c r="N12" s="53">
        <v>1</v>
      </c>
      <c r="O12" s="53">
        <v>0.85</v>
      </c>
      <c r="P12" s="53">
        <v>0.75</v>
      </c>
      <c r="Q12" s="110">
        <f t="shared" si="0"/>
        <v>0.8</v>
      </c>
      <c r="R12" s="34">
        <v>18.100000000000001</v>
      </c>
      <c r="S12" s="53">
        <v>136</v>
      </c>
      <c r="T12" s="16">
        <f t="shared" si="1"/>
        <v>25</v>
      </c>
      <c r="U12" s="53">
        <v>158</v>
      </c>
      <c r="V12" s="111">
        <f t="shared" si="2"/>
        <v>3950</v>
      </c>
      <c r="W12" s="53">
        <v>5</v>
      </c>
      <c r="X12" s="108" t="s">
        <v>46</v>
      </c>
      <c r="Y12" s="53" t="s">
        <v>97</v>
      </c>
      <c r="Z12" s="53" t="s">
        <v>88</v>
      </c>
      <c r="AA12" s="53" t="s">
        <v>78</v>
      </c>
      <c r="AB12" s="108" t="s">
        <v>239</v>
      </c>
      <c r="AC12" s="34"/>
      <c r="AE12" s="22" t="s">
        <v>70</v>
      </c>
      <c r="AG12" s="23"/>
      <c r="AH12" s="22"/>
      <c r="AL12" s="119"/>
      <c r="AP12" s="23" t="s">
        <v>67</v>
      </c>
      <c r="AR12" s="23" t="s">
        <v>124</v>
      </c>
      <c r="AV12" s="120" t="s">
        <v>258</v>
      </c>
      <c r="AX12" s="24">
        <v>180</v>
      </c>
      <c r="AY12" s="25">
        <v>18</v>
      </c>
      <c r="AZ12" s="25">
        <v>181</v>
      </c>
      <c r="BA12" s="26">
        <v>16</v>
      </c>
    </row>
    <row r="13" spans="1:53" x14ac:dyDescent="0.15">
      <c r="A13" s="108" t="s">
        <v>61</v>
      </c>
      <c r="B13" s="108" t="s">
        <v>235</v>
      </c>
      <c r="C13" s="108">
        <v>2019</v>
      </c>
      <c r="D13" s="109" t="s">
        <v>242</v>
      </c>
      <c r="E13" s="108" t="s">
        <v>240</v>
      </c>
      <c r="F13" s="108" t="s">
        <v>241</v>
      </c>
      <c r="G13" s="108" t="s">
        <v>42</v>
      </c>
      <c r="H13" s="53" t="s">
        <v>160</v>
      </c>
      <c r="I13" s="53" t="s">
        <v>159</v>
      </c>
      <c r="J13" s="108" t="s">
        <v>38</v>
      </c>
      <c r="K13" s="53" t="s">
        <v>161</v>
      </c>
      <c r="L13" s="53">
        <v>3</v>
      </c>
      <c r="N13" s="53">
        <v>1</v>
      </c>
      <c r="O13" s="53">
        <v>0.5</v>
      </c>
      <c r="P13" s="53">
        <v>0.95</v>
      </c>
      <c r="Q13" s="110">
        <f t="shared" si="0"/>
        <v>0.72499999999999998</v>
      </c>
      <c r="R13" s="53">
        <v>18.399999999999999</v>
      </c>
      <c r="S13" s="53">
        <v>141</v>
      </c>
      <c r="T13" s="16">
        <f t="shared" si="1"/>
        <v>22</v>
      </c>
      <c r="U13" s="53">
        <v>158</v>
      </c>
      <c r="V13" s="111">
        <f t="shared" si="2"/>
        <v>3476</v>
      </c>
      <c r="W13" s="53">
        <v>5</v>
      </c>
      <c r="X13" s="108" t="s">
        <v>46</v>
      </c>
      <c r="Y13" s="53" t="s">
        <v>97</v>
      </c>
      <c r="Z13" s="53" t="s">
        <v>88</v>
      </c>
      <c r="AA13" s="53" t="s">
        <v>78</v>
      </c>
      <c r="AB13" s="108" t="s">
        <v>239</v>
      </c>
      <c r="AC13" s="34"/>
      <c r="AE13" s="22" t="s">
        <v>73</v>
      </c>
      <c r="AG13" s="23"/>
      <c r="AH13" s="22"/>
      <c r="AL13" s="121"/>
      <c r="AP13" s="23" t="s">
        <v>71</v>
      </c>
      <c r="AR13" s="23" t="s">
        <v>103</v>
      </c>
      <c r="AV13" s="120" t="s">
        <v>259</v>
      </c>
      <c r="AX13" s="24"/>
      <c r="AY13" s="25"/>
      <c r="AZ13" s="25"/>
      <c r="BA13" s="26"/>
    </row>
    <row r="14" spans="1:53" x14ac:dyDescent="0.15">
      <c r="A14" s="108" t="s">
        <v>61</v>
      </c>
      <c r="B14" s="108" t="s">
        <v>235</v>
      </c>
      <c r="C14" s="108">
        <v>2019</v>
      </c>
      <c r="D14" s="109" t="s">
        <v>242</v>
      </c>
      <c r="E14" s="108" t="s">
        <v>243</v>
      </c>
      <c r="F14" s="108" t="s">
        <v>244</v>
      </c>
      <c r="G14" s="108" t="s">
        <v>42</v>
      </c>
      <c r="H14" s="53" t="s">
        <v>164</v>
      </c>
      <c r="I14" s="53" t="s">
        <v>159</v>
      </c>
      <c r="J14" s="108" t="s">
        <v>38</v>
      </c>
      <c r="K14" s="53" t="s">
        <v>161</v>
      </c>
      <c r="L14" s="53">
        <v>1</v>
      </c>
      <c r="N14" s="53">
        <v>4</v>
      </c>
      <c r="O14" s="53">
        <v>0.85</v>
      </c>
      <c r="P14" s="53">
        <v>0.85</v>
      </c>
      <c r="Q14" s="110">
        <f t="shared" si="0"/>
        <v>0.85</v>
      </c>
      <c r="R14" s="53">
        <v>17.3</v>
      </c>
      <c r="S14" s="53">
        <v>78</v>
      </c>
      <c r="T14" s="16">
        <f t="shared" si="1"/>
        <v>39</v>
      </c>
      <c r="U14" s="53">
        <v>298</v>
      </c>
      <c r="V14" s="111">
        <f t="shared" si="2"/>
        <v>2905.5</v>
      </c>
      <c r="W14" s="53">
        <v>12</v>
      </c>
      <c r="X14" s="108" t="s">
        <v>46</v>
      </c>
      <c r="Y14" s="53" t="s">
        <v>69</v>
      </c>
      <c r="Z14" s="53" t="s">
        <v>97</v>
      </c>
      <c r="AA14" s="53" t="s">
        <v>55</v>
      </c>
      <c r="AB14" s="108" t="s">
        <v>239</v>
      </c>
      <c r="AC14" s="34"/>
      <c r="AE14" s="22" t="s">
        <v>76</v>
      </c>
      <c r="AG14" s="23"/>
      <c r="AH14" s="22"/>
      <c r="AL14" s="34"/>
      <c r="AP14" s="23" t="s">
        <v>74</v>
      </c>
      <c r="AR14" s="23" t="s">
        <v>125</v>
      </c>
      <c r="AV14" s="120" t="s">
        <v>260</v>
      </c>
      <c r="AX14" s="24"/>
      <c r="AY14" s="25"/>
      <c r="AZ14" s="25"/>
      <c r="BA14" s="26"/>
    </row>
    <row r="15" spans="1:53" x14ac:dyDescent="0.15">
      <c r="A15" s="108" t="s">
        <v>61</v>
      </c>
      <c r="B15" s="108" t="s">
        <v>235</v>
      </c>
      <c r="C15" s="108">
        <v>2019</v>
      </c>
      <c r="D15" s="109" t="s">
        <v>242</v>
      </c>
      <c r="E15" s="108" t="s">
        <v>243</v>
      </c>
      <c r="F15" s="108" t="s">
        <v>244</v>
      </c>
      <c r="G15" s="108" t="s">
        <v>42</v>
      </c>
      <c r="H15" s="53" t="s">
        <v>164</v>
      </c>
      <c r="I15" s="53" t="s">
        <v>159</v>
      </c>
      <c r="J15" s="108" t="s">
        <v>38</v>
      </c>
      <c r="K15" s="53" t="s">
        <v>161</v>
      </c>
      <c r="L15" s="53">
        <v>2</v>
      </c>
      <c r="N15" s="53">
        <v>4</v>
      </c>
      <c r="O15" s="53">
        <v>0.5</v>
      </c>
      <c r="P15" s="53">
        <v>0.5</v>
      </c>
      <c r="Q15" s="110">
        <f t="shared" si="0"/>
        <v>0.5</v>
      </c>
      <c r="R15" s="34">
        <v>17.600000000000001</v>
      </c>
      <c r="S15" s="53">
        <v>81</v>
      </c>
      <c r="T15" s="16">
        <f t="shared" si="1"/>
        <v>39</v>
      </c>
      <c r="U15" s="53">
        <v>298</v>
      </c>
      <c r="V15" s="111">
        <f t="shared" si="2"/>
        <v>2905.5</v>
      </c>
      <c r="W15" s="53">
        <v>12</v>
      </c>
      <c r="X15" s="108" t="s">
        <v>46</v>
      </c>
      <c r="Y15" s="53" t="s">
        <v>69</v>
      </c>
      <c r="Z15" s="53" t="s">
        <v>97</v>
      </c>
      <c r="AA15" s="53" t="s">
        <v>55</v>
      </c>
      <c r="AB15" s="108" t="s">
        <v>239</v>
      </c>
      <c r="AC15" s="34"/>
      <c r="AE15" s="22" t="s">
        <v>79</v>
      </c>
      <c r="AG15" s="23"/>
      <c r="AH15" s="23"/>
      <c r="AL15" s="34"/>
      <c r="AP15" s="23" t="s">
        <v>77</v>
      </c>
      <c r="AR15" s="23" t="s">
        <v>94</v>
      </c>
      <c r="AV15" s="120" t="s">
        <v>261</v>
      </c>
      <c r="AX15" s="31"/>
      <c r="AY15" s="32"/>
      <c r="AZ15" s="32"/>
      <c r="BA15" s="33"/>
    </row>
    <row r="16" spans="1:53" x14ac:dyDescent="0.15">
      <c r="A16" s="108" t="s">
        <v>61</v>
      </c>
      <c r="B16" s="108" t="s">
        <v>235</v>
      </c>
      <c r="C16" s="108">
        <v>2019</v>
      </c>
      <c r="D16" s="109" t="s">
        <v>242</v>
      </c>
      <c r="E16" s="108" t="s">
        <v>243</v>
      </c>
      <c r="F16" s="108" t="s">
        <v>244</v>
      </c>
      <c r="G16" s="108" t="s">
        <v>42</v>
      </c>
      <c r="H16" s="53" t="s">
        <v>164</v>
      </c>
      <c r="I16" s="53" t="s">
        <v>159</v>
      </c>
      <c r="J16" s="108" t="s">
        <v>38</v>
      </c>
      <c r="K16" s="53" t="s">
        <v>161</v>
      </c>
      <c r="L16" s="53">
        <v>3</v>
      </c>
      <c r="N16" s="53">
        <v>4</v>
      </c>
      <c r="O16" s="53">
        <v>0.8</v>
      </c>
      <c r="P16" s="53">
        <v>0.75</v>
      </c>
      <c r="Q16" s="110">
        <f t="shared" si="0"/>
        <v>0.77500000000000002</v>
      </c>
      <c r="R16" s="53">
        <v>17.3</v>
      </c>
      <c r="S16" s="53">
        <v>86</v>
      </c>
      <c r="T16" s="16">
        <f t="shared" si="1"/>
        <v>36</v>
      </c>
      <c r="U16" s="53">
        <v>298</v>
      </c>
      <c r="V16" s="111">
        <f t="shared" si="2"/>
        <v>2682</v>
      </c>
      <c r="W16" s="53">
        <v>12</v>
      </c>
      <c r="X16" s="108" t="s">
        <v>46</v>
      </c>
      <c r="Y16" s="53" t="s">
        <v>69</v>
      </c>
      <c r="Z16" s="53" t="s">
        <v>97</v>
      </c>
      <c r="AA16" s="53" t="s">
        <v>55</v>
      </c>
      <c r="AB16" s="108" t="s">
        <v>239</v>
      </c>
      <c r="AC16" s="34"/>
      <c r="AE16" s="22" t="s">
        <v>82</v>
      </c>
      <c r="AG16" s="23"/>
      <c r="AH16" s="23"/>
      <c r="AP16" s="23" t="s">
        <v>80</v>
      </c>
      <c r="AR16" s="23" t="s">
        <v>63</v>
      </c>
      <c r="AV16" s="120" t="s">
        <v>262</v>
      </c>
    </row>
    <row r="17" spans="1:48" x14ac:dyDescent="0.15">
      <c r="A17" s="108" t="s">
        <v>61</v>
      </c>
      <c r="B17" s="108" t="s">
        <v>235</v>
      </c>
      <c r="C17" s="108">
        <v>2019</v>
      </c>
      <c r="D17" s="109" t="s">
        <v>242</v>
      </c>
      <c r="E17" s="108" t="s">
        <v>243</v>
      </c>
      <c r="F17" s="108" t="s">
        <v>244</v>
      </c>
      <c r="G17" s="108" t="s">
        <v>42</v>
      </c>
      <c r="H17" s="53" t="s">
        <v>160</v>
      </c>
      <c r="I17" s="53" t="s">
        <v>159</v>
      </c>
      <c r="J17" s="108" t="s">
        <v>38</v>
      </c>
      <c r="K17" s="53" t="s">
        <v>161</v>
      </c>
      <c r="L17" s="53">
        <v>1</v>
      </c>
      <c r="N17" s="53">
        <v>4</v>
      </c>
      <c r="O17" s="53">
        <v>0.7</v>
      </c>
      <c r="P17" s="53">
        <v>0.75</v>
      </c>
      <c r="Q17" s="110">
        <f t="shared" si="0"/>
        <v>0.72499999999999998</v>
      </c>
      <c r="R17" s="53">
        <v>18.2</v>
      </c>
      <c r="S17" s="53">
        <v>116</v>
      </c>
      <c r="T17" s="16">
        <f t="shared" si="1"/>
        <v>30</v>
      </c>
      <c r="U17" s="53">
        <v>398</v>
      </c>
      <c r="V17" s="111">
        <f t="shared" si="2"/>
        <v>2985</v>
      </c>
      <c r="W17" s="53">
        <v>12</v>
      </c>
      <c r="X17" s="108" t="s">
        <v>46</v>
      </c>
      <c r="Y17" s="53" t="s">
        <v>69</v>
      </c>
      <c r="Z17" s="53" t="s">
        <v>97</v>
      </c>
      <c r="AA17" s="53" t="s">
        <v>55</v>
      </c>
      <c r="AB17" s="108" t="s">
        <v>239</v>
      </c>
      <c r="AC17" s="34"/>
      <c r="AE17" s="22" t="s">
        <v>85</v>
      </c>
      <c r="AP17" s="27" t="s">
        <v>110</v>
      </c>
      <c r="AR17" s="23" t="s">
        <v>96</v>
      </c>
      <c r="AV17" s="120" t="s">
        <v>263</v>
      </c>
    </row>
    <row r="18" spans="1:48" x14ac:dyDescent="0.15">
      <c r="A18" s="108" t="s">
        <v>61</v>
      </c>
      <c r="B18" s="108" t="s">
        <v>235</v>
      </c>
      <c r="C18" s="108">
        <v>2019</v>
      </c>
      <c r="D18" s="109" t="s">
        <v>242</v>
      </c>
      <c r="E18" s="108" t="s">
        <v>243</v>
      </c>
      <c r="F18" s="108" t="s">
        <v>244</v>
      </c>
      <c r="G18" s="108" t="s">
        <v>42</v>
      </c>
      <c r="H18" s="53" t="s">
        <v>160</v>
      </c>
      <c r="I18" s="53" t="s">
        <v>159</v>
      </c>
      <c r="J18" s="108" t="s">
        <v>38</v>
      </c>
      <c r="K18" s="53" t="s">
        <v>161</v>
      </c>
      <c r="L18" s="53">
        <v>2</v>
      </c>
      <c r="N18" s="53">
        <v>4</v>
      </c>
      <c r="O18" s="53">
        <v>0.65</v>
      </c>
      <c r="P18" s="53">
        <v>0.7</v>
      </c>
      <c r="Q18" s="110">
        <f t="shared" si="0"/>
        <v>0.67500000000000004</v>
      </c>
      <c r="R18" s="34">
        <v>18</v>
      </c>
      <c r="S18" s="53">
        <v>122</v>
      </c>
      <c r="T18" s="16">
        <f t="shared" si="1"/>
        <v>27</v>
      </c>
      <c r="U18" s="53">
        <v>398</v>
      </c>
      <c r="V18" s="111">
        <f t="shared" si="2"/>
        <v>2686.5</v>
      </c>
      <c r="W18" s="53">
        <v>12</v>
      </c>
      <c r="X18" s="108" t="s">
        <v>46</v>
      </c>
      <c r="Y18" s="53" t="s">
        <v>69</v>
      </c>
      <c r="Z18" s="53" t="s">
        <v>97</v>
      </c>
      <c r="AA18" s="53" t="s">
        <v>55</v>
      </c>
      <c r="AB18" s="108" t="s">
        <v>239</v>
      </c>
      <c r="AC18" s="34"/>
      <c r="AE18" s="22" t="s">
        <v>87</v>
      </c>
      <c r="AP18" s="27" t="s">
        <v>111</v>
      </c>
      <c r="AR18" s="23" t="s">
        <v>101</v>
      </c>
      <c r="AV18" s="120" t="s">
        <v>135</v>
      </c>
    </row>
    <row r="19" spans="1:48" x14ac:dyDescent="0.15">
      <c r="A19" s="108" t="s">
        <v>61</v>
      </c>
      <c r="B19" s="108" t="s">
        <v>235</v>
      </c>
      <c r="C19" s="108">
        <v>2019</v>
      </c>
      <c r="D19" s="109" t="s">
        <v>242</v>
      </c>
      <c r="E19" s="108" t="s">
        <v>243</v>
      </c>
      <c r="F19" s="108" t="s">
        <v>244</v>
      </c>
      <c r="G19" s="108" t="s">
        <v>42</v>
      </c>
      <c r="H19" s="53" t="s">
        <v>160</v>
      </c>
      <c r="I19" s="53" t="s">
        <v>159</v>
      </c>
      <c r="J19" s="108" t="s">
        <v>38</v>
      </c>
      <c r="K19" s="53" t="s">
        <v>161</v>
      </c>
      <c r="L19" s="53">
        <v>3</v>
      </c>
      <c r="N19" s="53">
        <v>4</v>
      </c>
      <c r="O19" s="34">
        <v>0.7</v>
      </c>
      <c r="P19" s="53">
        <v>0.75</v>
      </c>
      <c r="Q19" s="110">
        <f t="shared" si="0"/>
        <v>0.72499999999999998</v>
      </c>
      <c r="R19" s="53">
        <v>17.899999999999999</v>
      </c>
      <c r="S19" s="53">
        <v>118</v>
      </c>
      <c r="T19" s="16">
        <f t="shared" si="1"/>
        <v>30</v>
      </c>
      <c r="U19" s="53">
        <v>398</v>
      </c>
      <c r="V19" s="111">
        <f t="shared" si="2"/>
        <v>2985</v>
      </c>
      <c r="W19" s="53">
        <v>12</v>
      </c>
      <c r="X19" s="108" t="s">
        <v>46</v>
      </c>
      <c r="Y19" s="53" t="s">
        <v>264</v>
      </c>
      <c r="Z19" s="53" t="s">
        <v>97</v>
      </c>
      <c r="AA19" s="53" t="s">
        <v>55</v>
      </c>
      <c r="AB19" s="108" t="s">
        <v>239</v>
      </c>
      <c r="AC19" s="34"/>
      <c r="AE19" s="35" t="s">
        <v>89</v>
      </c>
      <c r="AP19" s="27" t="s">
        <v>112</v>
      </c>
      <c r="AR19" s="23" t="s">
        <v>126</v>
      </c>
      <c r="AV19" s="120" t="s">
        <v>265</v>
      </c>
    </row>
    <row r="20" spans="1:48" x14ac:dyDescent="0.15">
      <c r="A20" s="108" t="s">
        <v>61</v>
      </c>
      <c r="B20" s="108" t="s">
        <v>235</v>
      </c>
      <c r="C20" s="108">
        <v>2019</v>
      </c>
      <c r="D20" s="109" t="s">
        <v>242</v>
      </c>
      <c r="E20" s="108" t="s">
        <v>245</v>
      </c>
      <c r="F20" s="108" t="s">
        <v>246</v>
      </c>
      <c r="G20" s="108" t="s">
        <v>42</v>
      </c>
      <c r="H20" s="53" t="s">
        <v>164</v>
      </c>
      <c r="I20" s="53" t="s">
        <v>159</v>
      </c>
      <c r="J20" s="108" t="s">
        <v>38</v>
      </c>
      <c r="K20" s="53" t="s">
        <v>161</v>
      </c>
      <c r="L20" s="53">
        <v>1</v>
      </c>
      <c r="N20" s="53">
        <v>1</v>
      </c>
      <c r="O20" s="53">
        <v>0.8</v>
      </c>
      <c r="P20" s="53">
        <v>0.85</v>
      </c>
      <c r="Q20" s="110">
        <f t="shared" si="0"/>
        <v>0.82499999999999996</v>
      </c>
      <c r="R20" s="53">
        <v>16.399999999999999</v>
      </c>
      <c r="S20" s="53">
        <v>108</v>
      </c>
      <c r="T20" s="16">
        <f t="shared" si="1"/>
        <v>33</v>
      </c>
      <c r="U20" s="53">
        <v>128</v>
      </c>
      <c r="V20" s="111">
        <f t="shared" si="2"/>
        <v>4224</v>
      </c>
      <c r="W20" s="53">
        <v>12</v>
      </c>
      <c r="X20" s="108" t="s">
        <v>46</v>
      </c>
      <c r="Y20" s="53" t="s">
        <v>97</v>
      </c>
      <c r="Z20" s="53" t="s">
        <v>86</v>
      </c>
      <c r="AA20" s="53" t="s">
        <v>264</v>
      </c>
      <c r="AB20" s="108" t="s">
        <v>239</v>
      </c>
      <c r="AC20" s="34"/>
      <c r="AE20" s="22"/>
      <c r="AP20" s="27" t="s">
        <v>113</v>
      </c>
      <c r="AR20" s="23" t="s">
        <v>105</v>
      </c>
      <c r="AV20" s="120" t="s">
        <v>266</v>
      </c>
    </row>
    <row r="21" spans="1:48" x14ac:dyDescent="0.15">
      <c r="A21" s="108" t="s">
        <v>61</v>
      </c>
      <c r="B21" s="108" t="s">
        <v>235</v>
      </c>
      <c r="C21" s="108">
        <v>2019</v>
      </c>
      <c r="D21" s="109" t="s">
        <v>242</v>
      </c>
      <c r="E21" s="108" t="s">
        <v>245</v>
      </c>
      <c r="F21" s="108" t="s">
        <v>246</v>
      </c>
      <c r="G21" s="108" t="s">
        <v>42</v>
      </c>
      <c r="H21" s="53" t="s">
        <v>164</v>
      </c>
      <c r="I21" s="53" t="s">
        <v>159</v>
      </c>
      <c r="J21" s="108" t="s">
        <v>38</v>
      </c>
      <c r="K21" s="53" t="s">
        <v>161</v>
      </c>
      <c r="L21" s="53">
        <v>2</v>
      </c>
      <c r="N21" s="53">
        <v>1</v>
      </c>
      <c r="O21" s="53">
        <v>0.7</v>
      </c>
      <c r="P21" s="53">
        <v>0.7</v>
      </c>
      <c r="Q21" s="110">
        <f t="shared" si="0"/>
        <v>0.7</v>
      </c>
      <c r="R21" s="53">
        <v>17.2</v>
      </c>
      <c r="S21" s="53">
        <v>100</v>
      </c>
      <c r="T21" s="16">
        <f t="shared" si="1"/>
        <v>33</v>
      </c>
      <c r="U21" s="53">
        <v>128</v>
      </c>
      <c r="V21" s="111">
        <f t="shared" si="2"/>
        <v>4224</v>
      </c>
      <c r="W21" s="53">
        <v>12</v>
      </c>
      <c r="X21" s="108" t="s">
        <v>46</v>
      </c>
      <c r="Y21" s="53" t="s">
        <v>97</v>
      </c>
      <c r="Z21" s="53" t="s">
        <v>86</v>
      </c>
      <c r="AA21" s="53" t="s">
        <v>264</v>
      </c>
      <c r="AB21" s="108" t="s">
        <v>239</v>
      </c>
      <c r="AC21" s="34"/>
      <c r="AE21" s="22"/>
      <c r="AP21" s="27" t="s">
        <v>114</v>
      </c>
      <c r="AR21" s="23" t="s">
        <v>68</v>
      </c>
      <c r="AV21" s="120" t="s">
        <v>267</v>
      </c>
    </row>
    <row r="22" spans="1:48" x14ac:dyDescent="0.15">
      <c r="A22" s="108" t="s">
        <v>61</v>
      </c>
      <c r="B22" s="108" t="s">
        <v>235</v>
      </c>
      <c r="C22" s="108">
        <v>2019</v>
      </c>
      <c r="D22" s="109" t="s">
        <v>242</v>
      </c>
      <c r="E22" s="108" t="s">
        <v>245</v>
      </c>
      <c r="F22" s="108" t="s">
        <v>246</v>
      </c>
      <c r="G22" s="108" t="s">
        <v>42</v>
      </c>
      <c r="H22" s="53" t="s">
        <v>164</v>
      </c>
      <c r="I22" s="53" t="s">
        <v>159</v>
      </c>
      <c r="J22" s="108" t="s">
        <v>38</v>
      </c>
      <c r="K22" s="53" t="s">
        <v>161</v>
      </c>
      <c r="L22" s="53">
        <v>3</v>
      </c>
      <c r="N22" s="53">
        <v>1</v>
      </c>
      <c r="O22" s="53">
        <v>0.75</v>
      </c>
      <c r="P22" s="53">
        <v>0.75</v>
      </c>
      <c r="Q22" s="110">
        <f t="shared" si="0"/>
        <v>0.75</v>
      </c>
      <c r="R22" s="53">
        <v>16.8</v>
      </c>
      <c r="S22" s="53">
        <v>100</v>
      </c>
      <c r="T22" s="16">
        <f t="shared" si="1"/>
        <v>33</v>
      </c>
      <c r="U22" s="53">
        <v>128</v>
      </c>
      <c r="V22" s="111">
        <f t="shared" si="2"/>
        <v>4224</v>
      </c>
      <c r="W22" s="53">
        <v>12</v>
      </c>
      <c r="X22" s="108" t="s">
        <v>46</v>
      </c>
      <c r="Y22" s="53" t="s">
        <v>97</v>
      </c>
      <c r="Z22" s="53" t="s">
        <v>86</v>
      </c>
      <c r="AA22" s="53" t="s">
        <v>264</v>
      </c>
      <c r="AB22" s="108" t="s">
        <v>239</v>
      </c>
      <c r="AC22" s="34"/>
      <c r="AE22" s="35"/>
      <c r="AP22" s="27" t="s">
        <v>115</v>
      </c>
      <c r="AR22" s="23" t="s">
        <v>83</v>
      </c>
      <c r="AV22" s="23"/>
    </row>
    <row r="23" spans="1:48" x14ac:dyDescent="0.15">
      <c r="A23" s="108" t="s">
        <v>61</v>
      </c>
      <c r="B23" s="108" t="s">
        <v>235</v>
      </c>
      <c r="C23" s="108">
        <v>2019</v>
      </c>
      <c r="D23" s="109" t="s">
        <v>242</v>
      </c>
      <c r="E23" s="108" t="s">
        <v>245</v>
      </c>
      <c r="F23" s="108" t="s">
        <v>246</v>
      </c>
      <c r="G23" s="108" t="s">
        <v>42</v>
      </c>
      <c r="H23" s="53" t="s">
        <v>160</v>
      </c>
      <c r="I23" s="53" t="s">
        <v>159</v>
      </c>
      <c r="J23" s="108" t="s">
        <v>38</v>
      </c>
      <c r="K23" s="53" t="s">
        <v>161</v>
      </c>
      <c r="L23" s="53">
        <v>1</v>
      </c>
      <c r="N23" s="53">
        <v>4</v>
      </c>
      <c r="O23" s="53">
        <v>0.5</v>
      </c>
      <c r="P23" s="53">
        <v>0.5</v>
      </c>
      <c r="Q23" s="110">
        <f t="shared" si="0"/>
        <v>0.5</v>
      </c>
      <c r="R23" s="53">
        <v>18.100000000000001</v>
      </c>
      <c r="S23" s="53">
        <v>98</v>
      </c>
      <c r="T23" s="16">
        <f t="shared" si="1"/>
        <v>36</v>
      </c>
      <c r="U23" s="53">
        <v>398</v>
      </c>
      <c r="V23" s="111">
        <f t="shared" si="2"/>
        <v>3582</v>
      </c>
      <c r="W23" s="53">
        <v>12</v>
      </c>
      <c r="X23" s="108" t="s">
        <v>46</v>
      </c>
      <c r="Y23" s="53" t="s">
        <v>97</v>
      </c>
      <c r="Z23" s="53" t="s">
        <v>86</v>
      </c>
      <c r="AA23" s="53" t="s">
        <v>264</v>
      </c>
      <c r="AB23" s="108" t="s">
        <v>239</v>
      </c>
      <c r="AC23" s="34"/>
      <c r="AE23" s="22"/>
      <c r="AP23" s="27" t="s">
        <v>137</v>
      </c>
      <c r="AR23" s="23" t="s">
        <v>61</v>
      </c>
    </row>
    <row r="24" spans="1:48" x14ac:dyDescent="0.15">
      <c r="A24" s="108" t="s">
        <v>61</v>
      </c>
      <c r="B24" s="108" t="s">
        <v>235</v>
      </c>
      <c r="C24" s="108">
        <v>2019</v>
      </c>
      <c r="D24" s="109" t="s">
        <v>242</v>
      </c>
      <c r="E24" s="108" t="s">
        <v>245</v>
      </c>
      <c r="F24" s="108" t="s">
        <v>246</v>
      </c>
      <c r="G24" s="108" t="s">
        <v>42</v>
      </c>
      <c r="H24" s="53" t="s">
        <v>160</v>
      </c>
      <c r="I24" s="53" t="s">
        <v>159</v>
      </c>
      <c r="J24" s="108" t="s">
        <v>38</v>
      </c>
      <c r="K24" s="53" t="s">
        <v>161</v>
      </c>
      <c r="L24" s="53">
        <v>2</v>
      </c>
      <c r="N24" s="53">
        <v>4</v>
      </c>
      <c r="O24" s="53">
        <v>0.5</v>
      </c>
      <c r="P24" s="53">
        <v>0.5</v>
      </c>
      <c r="Q24" s="110">
        <f t="shared" si="0"/>
        <v>0.5</v>
      </c>
      <c r="R24" s="53">
        <v>18.600000000000001</v>
      </c>
      <c r="S24" s="53">
        <v>101</v>
      </c>
      <c r="T24" s="16">
        <f t="shared" si="1"/>
        <v>33</v>
      </c>
      <c r="U24" s="53">
        <v>398</v>
      </c>
      <c r="V24" s="111">
        <f t="shared" si="2"/>
        <v>3283.5</v>
      </c>
      <c r="W24" s="53">
        <v>12</v>
      </c>
      <c r="X24" s="108" t="s">
        <v>46</v>
      </c>
      <c r="Y24" s="53" t="s">
        <v>97</v>
      </c>
      <c r="Z24" s="53" t="s">
        <v>86</v>
      </c>
      <c r="AA24" s="53" t="s">
        <v>264</v>
      </c>
      <c r="AB24" s="108" t="s">
        <v>239</v>
      </c>
      <c r="AC24" s="34"/>
      <c r="AE24" s="22"/>
      <c r="AP24" s="27" t="s">
        <v>138</v>
      </c>
      <c r="AR24" s="23" t="s">
        <v>91</v>
      </c>
    </row>
    <row r="25" spans="1:48" x14ac:dyDescent="0.15">
      <c r="A25" s="108" t="s">
        <v>61</v>
      </c>
      <c r="B25" s="108" t="s">
        <v>235</v>
      </c>
      <c r="C25" s="108">
        <v>2019</v>
      </c>
      <c r="D25" s="109" t="s">
        <v>242</v>
      </c>
      <c r="E25" s="108" t="s">
        <v>245</v>
      </c>
      <c r="F25" s="108" t="s">
        <v>246</v>
      </c>
      <c r="G25" s="108" t="s">
        <v>42</v>
      </c>
      <c r="H25" s="53" t="s">
        <v>160</v>
      </c>
      <c r="I25" s="53" t="s">
        <v>159</v>
      </c>
      <c r="J25" s="108" t="s">
        <v>38</v>
      </c>
      <c r="K25" s="53" t="s">
        <v>161</v>
      </c>
      <c r="L25" s="53">
        <v>3</v>
      </c>
      <c r="N25" s="53">
        <v>4</v>
      </c>
      <c r="O25" s="34">
        <v>0.5</v>
      </c>
      <c r="P25" s="53">
        <v>0.5</v>
      </c>
      <c r="Q25" s="110">
        <f t="shared" si="0"/>
        <v>0.5</v>
      </c>
      <c r="R25" s="53">
        <v>19.100000000000001</v>
      </c>
      <c r="S25" s="53">
        <v>99</v>
      </c>
      <c r="T25" s="16">
        <f t="shared" si="1"/>
        <v>33</v>
      </c>
      <c r="U25" s="53">
        <v>398</v>
      </c>
      <c r="V25" s="111">
        <f t="shared" si="2"/>
        <v>3283.5</v>
      </c>
      <c r="W25" s="53">
        <v>12</v>
      </c>
      <c r="X25" s="108" t="s">
        <v>46</v>
      </c>
      <c r="Y25" s="53" t="s">
        <v>97</v>
      </c>
      <c r="Z25" s="53" t="s">
        <v>86</v>
      </c>
      <c r="AA25" s="53" t="s">
        <v>264</v>
      </c>
      <c r="AB25" s="108" t="s">
        <v>239</v>
      </c>
      <c r="AC25" s="34"/>
      <c r="AE25" s="35"/>
      <c r="AP25" s="27" t="s">
        <v>116</v>
      </c>
      <c r="AR25" s="27" t="s">
        <v>92</v>
      </c>
    </row>
    <row r="26" spans="1:48" x14ac:dyDescent="0.15">
      <c r="A26" s="108" t="s">
        <v>61</v>
      </c>
      <c r="B26" s="108" t="s">
        <v>235</v>
      </c>
      <c r="C26" s="108">
        <v>2019</v>
      </c>
      <c r="D26" s="109" t="s">
        <v>242</v>
      </c>
      <c r="E26" s="108" t="s">
        <v>247</v>
      </c>
      <c r="F26" s="108" t="s">
        <v>248</v>
      </c>
      <c r="G26" s="108" t="s">
        <v>42</v>
      </c>
      <c r="H26" s="53" t="s">
        <v>164</v>
      </c>
      <c r="I26" s="53" t="s">
        <v>198</v>
      </c>
      <c r="J26" s="108" t="s">
        <v>38</v>
      </c>
      <c r="K26" s="53" t="s">
        <v>161</v>
      </c>
      <c r="L26" s="53">
        <v>1</v>
      </c>
      <c r="N26" s="53">
        <v>4</v>
      </c>
      <c r="O26" s="34">
        <v>0.65</v>
      </c>
      <c r="P26" s="53">
        <v>0.6</v>
      </c>
      <c r="Q26" s="110">
        <f t="shared" si="0"/>
        <v>0.625</v>
      </c>
      <c r="R26" s="53">
        <v>17.399999999999999</v>
      </c>
      <c r="S26" s="53">
        <v>102</v>
      </c>
      <c r="T26" s="16">
        <f t="shared" si="1"/>
        <v>33</v>
      </c>
      <c r="U26" s="53">
        <v>398</v>
      </c>
      <c r="V26" s="111">
        <f t="shared" si="2"/>
        <v>3283.5</v>
      </c>
      <c r="W26" s="53">
        <v>10</v>
      </c>
      <c r="X26" s="108" t="s">
        <v>46</v>
      </c>
      <c r="Y26" s="53" t="s">
        <v>69</v>
      </c>
      <c r="Z26" s="53" t="s">
        <v>97</v>
      </c>
      <c r="AA26" s="53" t="s">
        <v>88</v>
      </c>
      <c r="AB26" s="108" t="s">
        <v>239</v>
      </c>
      <c r="AC26" s="34"/>
      <c r="AD26" s="34"/>
      <c r="AE26" s="35"/>
      <c r="AP26" s="27" t="s">
        <v>117</v>
      </c>
      <c r="AR26" s="23" t="s">
        <v>153</v>
      </c>
    </row>
    <row r="27" spans="1:48" x14ac:dyDescent="0.15">
      <c r="A27" s="108" t="s">
        <v>61</v>
      </c>
      <c r="B27" s="108" t="s">
        <v>235</v>
      </c>
      <c r="C27" s="108">
        <v>2019</v>
      </c>
      <c r="D27" s="109" t="s">
        <v>242</v>
      </c>
      <c r="E27" s="108" t="s">
        <v>247</v>
      </c>
      <c r="F27" s="108" t="s">
        <v>248</v>
      </c>
      <c r="G27" s="108" t="s">
        <v>42</v>
      </c>
      <c r="H27" s="53" t="s">
        <v>164</v>
      </c>
      <c r="I27" s="53" t="s">
        <v>198</v>
      </c>
      <c r="J27" s="108" t="s">
        <v>38</v>
      </c>
      <c r="K27" s="53" t="s">
        <v>161</v>
      </c>
      <c r="L27" s="53">
        <v>2</v>
      </c>
      <c r="N27" s="53">
        <v>4</v>
      </c>
      <c r="O27" s="34">
        <v>0.5</v>
      </c>
      <c r="P27" s="53">
        <v>0.75</v>
      </c>
      <c r="Q27" s="110">
        <f t="shared" si="0"/>
        <v>0.625</v>
      </c>
      <c r="R27" s="53">
        <v>17.600000000000001</v>
      </c>
      <c r="S27" s="53">
        <v>111</v>
      </c>
      <c r="T27" s="16">
        <f t="shared" si="1"/>
        <v>33</v>
      </c>
      <c r="U27" s="53">
        <v>398</v>
      </c>
      <c r="V27" s="111">
        <f t="shared" si="2"/>
        <v>3283.5</v>
      </c>
      <c r="W27" s="53">
        <v>10</v>
      </c>
      <c r="X27" s="108" t="s">
        <v>46</v>
      </c>
      <c r="Y27" s="53" t="s">
        <v>69</v>
      </c>
      <c r="Z27" s="53" t="s">
        <v>97</v>
      </c>
      <c r="AA27" s="53" t="s">
        <v>88</v>
      </c>
      <c r="AB27" s="108" t="s">
        <v>239</v>
      </c>
      <c r="AC27" s="34"/>
      <c r="AD27" s="34"/>
      <c r="AE27" s="28"/>
      <c r="AP27" s="27" t="s">
        <v>118</v>
      </c>
      <c r="AR27" s="23"/>
    </row>
    <row r="28" spans="1:48" x14ac:dyDescent="0.15">
      <c r="A28" s="108" t="s">
        <v>61</v>
      </c>
      <c r="B28" s="108" t="s">
        <v>235</v>
      </c>
      <c r="C28" s="108">
        <v>2019</v>
      </c>
      <c r="D28" s="109" t="s">
        <v>242</v>
      </c>
      <c r="E28" s="108" t="s">
        <v>247</v>
      </c>
      <c r="F28" s="108" t="s">
        <v>248</v>
      </c>
      <c r="G28" s="108" t="s">
        <v>42</v>
      </c>
      <c r="H28" s="53" t="s">
        <v>164</v>
      </c>
      <c r="I28" s="53" t="s">
        <v>198</v>
      </c>
      <c r="J28" s="108" t="s">
        <v>38</v>
      </c>
      <c r="K28" s="53" t="s">
        <v>161</v>
      </c>
      <c r="L28" s="53">
        <v>3</v>
      </c>
      <c r="N28" s="53">
        <v>4</v>
      </c>
      <c r="O28" s="34">
        <v>0.75</v>
      </c>
      <c r="P28" s="53">
        <v>0.6</v>
      </c>
      <c r="Q28" s="110">
        <f t="shared" si="0"/>
        <v>0.67500000000000004</v>
      </c>
      <c r="R28" s="53">
        <v>17.2</v>
      </c>
      <c r="S28" s="53">
        <v>110</v>
      </c>
      <c r="T28" s="16">
        <f t="shared" si="1"/>
        <v>33</v>
      </c>
      <c r="U28" s="53">
        <v>398</v>
      </c>
      <c r="V28" s="111">
        <f t="shared" si="2"/>
        <v>3283.5</v>
      </c>
      <c r="W28" s="53">
        <v>10</v>
      </c>
      <c r="X28" s="108" t="s">
        <v>46</v>
      </c>
      <c r="Y28" s="53" t="s">
        <v>69</v>
      </c>
      <c r="Z28" s="53" t="s">
        <v>97</v>
      </c>
      <c r="AA28" s="53" t="s">
        <v>88</v>
      </c>
      <c r="AB28" s="108" t="s">
        <v>239</v>
      </c>
      <c r="AC28" s="34"/>
      <c r="AD28" s="34"/>
      <c r="AP28" s="27"/>
      <c r="AR28" s="23"/>
    </row>
    <row r="29" spans="1:48" s="53" customFormat="1" x14ac:dyDescent="0.15">
      <c r="A29" s="108" t="s">
        <v>61</v>
      </c>
      <c r="B29" s="108" t="s">
        <v>235</v>
      </c>
      <c r="C29" s="108">
        <v>2019</v>
      </c>
      <c r="D29" s="109" t="s">
        <v>242</v>
      </c>
      <c r="E29" s="108" t="s">
        <v>247</v>
      </c>
      <c r="F29" s="108" t="s">
        <v>248</v>
      </c>
      <c r="G29" s="108" t="s">
        <v>42</v>
      </c>
      <c r="H29" s="53" t="s">
        <v>193</v>
      </c>
      <c r="I29" s="53" t="s">
        <v>159</v>
      </c>
      <c r="J29" s="108" t="s">
        <v>38</v>
      </c>
      <c r="K29" s="53" t="s">
        <v>161</v>
      </c>
      <c r="L29" s="53">
        <v>1</v>
      </c>
      <c r="N29" s="53">
        <v>1</v>
      </c>
      <c r="O29" s="34">
        <v>0.5</v>
      </c>
      <c r="P29" s="53">
        <v>0.75</v>
      </c>
      <c r="Q29" s="110">
        <f t="shared" si="0"/>
        <v>0.625</v>
      </c>
      <c r="R29" s="53">
        <v>16.100000000000001</v>
      </c>
      <c r="S29" s="53">
        <v>100</v>
      </c>
      <c r="T29" s="16">
        <f t="shared" si="1"/>
        <v>33</v>
      </c>
      <c r="U29" s="53">
        <v>100</v>
      </c>
      <c r="V29" s="111">
        <f t="shared" si="2"/>
        <v>3300</v>
      </c>
      <c r="W29" s="53">
        <v>10</v>
      </c>
      <c r="X29" s="108" t="s">
        <v>46</v>
      </c>
      <c r="Y29" s="53" t="s">
        <v>69</v>
      </c>
      <c r="Z29" s="53" t="s">
        <v>97</v>
      </c>
      <c r="AA29" s="53" t="s">
        <v>88</v>
      </c>
      <c r="AB29" s="108" t="s">
        <v>239</v>
      </c>
      <c r="AC29" s="34"/>
      <c r="AD29" s="34"/>
      <c r="AE29" s="35"/>
      <c r="AP29" s="27" t="s">
        <v>117</v>
      </c>
      <c r="AR29" s="23" t="s">
        <v>153</v>
      </c>
    </row>
    <row r="30" spans="1:48" s="53" customFormat="1" x14ac:dyDescent="0.15">
      <c r="A30" s="108" t="s">
        <v>61</v>
      </c>
      <c r="B30" s="108" t="s">
        <v>235</v>
      </c>
      <c r="C30" s="108">
        <v>2019</v>
      </c>
      <c r="D30" s="109" t="s">
        <v>242</v>
      </c>
      <c r="E30" s="108" t="s">
        <v>247</v>
      </c>
      <c r="F30" s="108" t="s">
        <v>248</v>
      </c>
      <c r="G30" s="108" t="s">
        <v>42</v>
      </c>
      <c r="H30" s="53" t="s">
        <v>193</v>
      </c>
      <c r="I30" s="53" t="s">
        <v>159</v>
      </c>
      <c r="J30" s="108" t="s">
        <v>38</v>
      </c>
      <c r="K30" s="53" t="s">
        <v>161</v>
      </c>
      <c r="L30" s="53">
        <v>2</v>
      </c>
      <c r="N30" s="53">
        <v>1</v>
      </c>
      <c r="O30" s="34">
        <v>0.6</v>
      </c>
      <c r="P30" s="53">
        <v>0.6</v>
      </c>
      <c r="Q30" s="110">
        <f t="shared" si="0"/>
        <v>0.6</v>
      </c>
      <c r="R30" s="53">
        <v>17</v>
      </c>
      <c r="S30" s="53">
        <v>99</v>
      </c>
      <c r="T30" s="16">
        <f t="shared" si="1"/>
        <v>33</v>
      </c>
      <c r="U30" s="53">
        <v>100</v>
      </c>
      <c r="V30" s="111">
        <f t="shared" si="2"/>
        <v>3300</v>
      </c>
      <c r="W30" s="53">
        <v>10</v>
      </c>
      <c r="X30" s="108" t="s">
        <v>46</v>
      </c>
      <c r="Y30" s="53" t="s">
        <v>69</v>
      </c>
      <c r="Z30" s="53" t="s">
        <v>97</v>
      </c>
      <c r="AA30" s="53" t="s">
        <v>88</v>
      </c>
      <c r="AB30" s="108" t="s">
        <v>239</v>
      </c>
      <c r="AC30" s="34"/>
      <c r="AD30" s="34"/>
      <c r="AE30" s="28"/>
      <c r="AP30" s="27" t="s">
        <v>118</v>
      </c>
      <c r="AR30" s="23"/>
    </row>
    <row r="31" spans="1:48" s="53" customFormat="1" x14ac:dyDescent="0.15">
      <c r="A31" s="108" t="s">
        <v>61</v>
      </c>
      <c r="B31" s="108" t="s">
        <v>235</v>
      </c>
      <c r="C31" s="108">
        <v>2019</v>
      </c>
      <c r="D31" s="109" t="s">
        <v>242</v>
      </c>
      <c r="E31" s="108" t="s">
        <v>247</v>
      </c>
      <c r="F31" s="108" t="s">
        <v>248</v>
      </c>
      <c r="G31" s="108" t="s">
        <v>42</v>
      </c>
      <c r="H31" s="53" t="s">
        <v>193</v>
      </c>
      <c r="I31" s="53" t="s">
        <v>159</v>
      </c>
      <c r="J31" s="108" t="s">
        <v>38</v>
      </c>
      <c r="K31" s="53" t="s">
        <v>161</v>
      </c>
      <c r="L31" s="53">
        <v>3</v>
      </c>
      <c r="N31" s="53">
        <v>1</v>
      </c>
      <c r="O31" s="34">
        <v>0.65</v>
      </c>
      <c r="P31" s="53">
        <v>0.85</v>
      </c>
      <c r="Q31" s="110">
        <f t="shared" si="0"/>
        <v>0.75</v>
      </c>
      <c r="R31" s="53">
        <v>16.2</v>
      </c>
      <c r="S31" s="53">
        <v>96</v>
      </c>
      <c r="T31" s="16">
        <f t="shared" si="1"/>
        <v>36</v>
      </c>
      <c r="U31" s="53">
        <v>100</v>
      </c>
      <c r="V31" s="111">
        <f t="shared" si="2"/>
        <v>3600</v>
      </c>
      <c r="W31" s="53">
        <v>10</v>
      </c>
      <c r="X31" s="108" t="s">
        <v>46</v>
      </c>
      <c r="Y31" s="53" t="s">
        <v>69</v>
      </c>
      <c r="Z31" s="53" t="s">
        <v>97</v>
      </c>
      <c r="AA31" s="53" t="s">
        <v>88</v>
      </c>
      <c r="AB31" s="108" t="s">
        <v>239</v>
      </c>
      <c r="AC31" s="34"/>
      <c r="AD31" s="34"/>
      <c r="AP31" s="27"/>
      <c r="AR31" s="23"/>
    </row>
    <row r="32" spans="1:48" s="53" customFormat="1" x14ac:dyDescent="0.15">
      <c r="A32" s="108" t="s">
        <v>61</v>
      </c>
      <c r="B32" s="108" t="s">
        <v>235</v>
      </c>
      <c r="C32" s="108">
        <v>2019</v>
      </c>
      <c r="D32" s="109" t="s">
        <v>242</v>
      </c>
      <c r="E32" s="108" t="s">
        <v>247</v>
      </c>
      <c r="F32" s="108" t="s">
        <v>248</v>
      </c>
      <c r="G32" s="108" t="s">
        <v>42</v>
      </c>
      <c r="H32" s="53" t="s">
        <v>160</v>
      </c>
      <c r="I32" s="53" t="s">
        <v>159</v>
      </c>
      <c r="J32" s="108" t="s">
        <v>38</v>
      </c>
      <c r="K32" s="53" t="s">
        <v>161</v>
      </c>
      <c r="L32" s="53">
        <v>1</v>
      </c>
      <c r="N32" s="53">
        <v>1</v>
      </c>
      <c r="O32" s="34">
        <v>0.75</v>
      </c>
      <c r="P32" s="53">
        <v>0.75</v>
      </c>
      <c r="Q32" s="110">
        <f t="shared" si="0"/>
        <v>0.75</v>
      </c>
      <c r="R32" s="53">
        <v>18.100000000000001</v>
      </c>
      <c r="S32" s="53">
        <v>109</v>
      </c>
      <c r="T32" s="16">
        <f t="shared" si="1"/>
        <v>33</v>
      </c>
      <c r="U32" s="53">
        <v>100</v>
      </c>
      <c r="V32" s="111">
        <f t="shared" si="2"/>
        <v>3300</v>
      </c>
      <c r="W32" s="53">
        <v>10</v>
      </c>
      <c r="X32" s="108" t="s">
        <v>46</v>
      </c>
      <c r="Y32" s="53" t="s">
        <v>69</v>
      </c>
      <c r="Z32" s="53" t="s">
        <v>97</v>
      </c>
      <c r="AA32" s="53" t="s">
        <v>88</v>
      </c>
      <c r="AB32" s="108" t="s">
        <v>239</v>
      </c>
      <c r="AC32" s="34"/>
    </row>
    <row r="33" spans="1:29" s="53" customFormat="1" x14ac:dyDescent="0.15">
      <c r="A33" s="108" t="s">
        <v>61</v>
      </c>
      <c r="B33" s="108" t="s">
        <v>235</v>
      </c>
      <c r="C33" s="108">
        <v>2019</v>
      </c>
      <c r="D33" s="109" t="s">
        <v>242</v>
      </c>
      <c r="E33" s="108" t="s">
        <v>247</v>
      </c>
      <c r="F33" s="108" t="s">
        <v>248</v>
      </c>
      <c r="G33" s="108" t="s">
        <v>42</v>
      </c>
      <c r="H33" s="53" t="s">
        <v>160</v>
      </c>
      <c r="I33" s="53" t="s">
        <v>159</v>
      </c>
      <c r="J33" s="108" t="s">
        <v>38</v>
      </c>
      <c r="K33" s="53" t="s">
        <v>161</v>
      </c>
      <c r="L33" s="53">
        <v>2</v>
      </c>
      <c r="N33" s="53">
        <v>1</v>
      </c>
      <c r="O33" s="34">
        <v>0.5</v>
      </c>
      <c r="P33" s="53">
        <v>0.95</v>
      </c>
      <c r="Q33" s="110">
        <f t="shared" si="0"/>
        <v>0.72499999999999998</v>
      </c>
      <c r="R33" s="53">
        <v>18.2</v>
      </c>
      <c r="S33" s="53">
        <v>120</v>
      </c>
      <c r="T33" s="16">
        <f t="shared" si="1"/>
        <v>30</v>
      </c>
      <c r="U33" s="53">
        <v>100</v>
      </c>
      <c r="V33" s="111">
        <f t="shared" si="2"/>
        <v>3000</v>
      </c>
      <c r="W33" s="53">
        <v>10</v>
      </c>
      <c r="X33" s="108" t="s">
        <v>46</v>
      </c>
      <c r="Y33" s="53" t="s">
        <v>69</v>
      </c>
      <c r="Z33" s="53" t="s">
        <v>97</v>
      </c>
      <c r="AA33" s="53" t="s">
        <v>88</v>
      </c>
      <c r="AB33" s="108" t="s">
        <v>239</v>
      </c>
      <c r="AC33" s="34"/>
    </row>
    <row r="34" spans="1:29" s="53" customFormat="1" x14ac:dyDescent="0.15">
      <c r="A34" s="108" t="s">
        <v>61</v>
      </c>
      <c r="B34" s="108" t="s">
        <v>235</v>
      </c>
      <c r="C34" s="108">
        <v>2019</v>
      </c>
      <c r="D34" s="109" t="s">
        <v>242</v>
      </c>
      <c r="E34" s="108" t="s">
        <v>247</v>
      </c>
      <c r="F34" s="108" t="s">
        <v>248</v>
      </c>
      <c r="G34" s="108" t="s">
        <v>42</v>
      </c>
      <c r="H34" s="53" t="s">
        <v>160</v>
      </c>
      <c r="I34" s="53" t="s">
        <v>159</v>
      </c>
      <c r="J34" s="108" t="s">
        <v>38</v>
      </c>
      <c r="K34" s="53" t="s">
        <v>161</v>
      </c>
      <c r="L34" s="53">
        <v>3</v>
      </c>
      <c r="N34" s="53">
        <v>1</v>
      </c>
      <c r="O34" s="34">
        <v>0.7</v>
      </c>
      <c r="P34" s="53">
        <v>0.5</v>
      </c>
      <c r="Q34" s="110">
        <f t="shared" si="0"/>
        <v>0.6</v>
      </c>
      <c r="R34" s="53">
        <v>17.7</v>
      </c>
      <c r="S34" s="53">
        <v>112</v>
      </c>
      <c r="T34" s="16">
        <f t="shared" si="1"/>
        <v>33</v>
      </c>
      <c r="U34" s="53">
        <v>100</v>
      </c>
      <c r="V34" s="111">
        <f t="shared" si="2"/>
        <v>3300</v>
      </c>
      <c r="W34" s="53">
        <v>10</v>
      </c>
      <c r="X34" s="108" t="s">
        <v>46</v>
      </c>
      <c r="Y34" s="53" t="s">
        <v>69</v>
      </c>
      <c r="Z34" s="53" t="s">
        <v>97</v>
      </c>
      <c r="AA34" s="53" t="s">
        <v>88</v>
      </c>
      <c r="AB34" s="108" t="s">
        <v>239</v>
      </c>
      <c r="AC34" s="34"/>
    </row>
    <row r="35" spans="1:29" s="53" customFormat="1" x14ac:dyDescent="0.15">
      <c r="A35" s="108" t="s">
        <v>61</v>
      </c>
      <c r="B35" s="108" t="s">
        <v>235</v>
      </c>
      <c r="C35" s="108">
        <v>2019</v>
      </c>
      <c r="D35" s="109" t="s">
        <v>242</v>
      </c>
      <c r="E35" s="108" t="s">
        <v>247</v>
      </c>
      <c r="F35" s="108" t="s">
        <v>248</v>
      </c>
      <c r="G35" s="108" t="s">
        <v>42</v>
      </c>
      <c r="H35" s="53" t="s">
        <v>160</v>
      </c>
      <c r="I35" s="53" t="s">
        <v>198</v>
      </c>
      <c r="J35" s="108" t="s">
        <v>38</v>
      </c>
      <c r="K35" s="53" t="s">
        <v>161</v>
      </c>
      <c r="L35" s="53">
        <v>1</v>
      </c>
      <c r="N35" s="53">
        <v>1</v>
      </c>
      <c r="O35" s="34">
        <v>0.5</v>
      </c>
      <c r="P35" s="53">
        <v>0.5</v>
      </c>
      <c r="Q35" s="110">
        <f t="shared" si="0"/>
        <v>0.5</v>
      </c>
      <c r="R35" s="53">
        <v>16.899999999999999</v>
      </c>
      <c r="S35" s="53">
        <v>114</v>
      </c>
      <c r="T35" s="16">
        <f t="shared" si="1"/>
        <v>30</v>
      </c>
      <c r="U35" s="53">
        <v>128</v>
      </c>
      <c r="V35" s="111">
        <f t="shared" si="2"/>
        <v>3840</v>
      </c>
      <c r="W35" s="53">
        <v>10</v>
      </c>
      <c r="X35" s="108" t="s">
        <v>46</v>
      </c>
      <c r="Y35" s="53" t="s">
        <v>69</v>
      </c>
      <c r="Z35" s="53" t="s">
        <v>97</v>
      </c>
      <c r="AA35" s="53" t="s">
        <v>88</v>
      </c>
      <c r="AB35" s="108" t="s">
        <v>239</v>
      </c>
      <c r="AC35" s="34"/>
    </row>
    <row r="36" spans="1:29" s="53" customFormat="1" x14ac:dyDescent="0.15">
      <c r="A36" s="108" t="s">
        <v>61</v>
      </c>
      <c r="B36" s="108" t="s">
        <v>235</v>
      </c>
      <c r="C36" s="108">
        <v>2019</v>
      </c>
      <c r="D36" s="109" t="s">
        <v>242</v>
      </c>
      <c r="E36" s="108" t="s">
        <v>247</v>
      </c>
      <c r="F36" s="108" t="s">
        <v>248</v>
      </c>
      <c r="G36" s="108" t="s">
        <v>42</v>
      </c>
      <c r="H36" s="53" t="s">
        <v>160</v>
      </c>
      <c r="I36" s="53" t="s">
        <v>198</v>
      </c>
      <c r="J36" s="108" t="s">
        <v>38</v>
      </c>
      <c r="K36" s="53" t="s">
        <v>161</v>
      </c>
      <c r="L36" s="53">
        <v>2</v>
      </c>
      <c r="N36" s="53">
        <v>1</v>
      </c>
      <c r="O36" s="34">
        <v>0.65</v>
      </c>
      <c r="P36" s="53">
        <v>0.6</v>
      </c>
      <c r="Q36" s="110">
        <f t="shared" si="0"/>
        <v>0.625</v>
      </c>
      <c r="R36" s="53">
        <v>18.399999999999999</v>
      </c>
      <c r="S36" s="53">
        <v>114</v>
      </c>
      <c r="T36" s="16">
        <f t="shared" si="1"/>
        <v>30</v>
      </c>
      <c r="U36" s="53">
        <v>128</v>
      </c>
      <c r="V36" s="111">
        <f t="shared" si="2"/>
        <v>3840</v>
      </c>
      <c r="W36" s="53">
        <v>10</v>
      </c>
      <c r="X36" s="108" t="s">
        <v>46</v>
      </c>
      <c r="Y36" s="53" t="s">
        <v>69</v>
      </c>
      <c r="Z36" s="53" t="s">
        <v>97</v>
      </c>
      <c r="AA36" s="53" t="s">
        <v>88</v>
      </c>
      <c r="AB36" s="108" t="s">
        <v>239</v>
      </c>
      <c r="AC36" s="34"/>
    </row>
    <row r="37" spans="1:29" s="53" customFormat="1" x14ac:dyDescent="0.15">
      <c r="A37" s="108" t="s">
        <v>61</v>
      </c>
      <c r="B37" s="108" t="s">
        <v>235</v>
      </c>
      <c r="C37" s="108">
        <v>2019</v>
      </c>
      <c r="D37" s="109" t="s">
        <v>242</v>
      </c>
      <c r="E37" s="108" t="s">
        <v>247</v>
      </c>
      <c r="F37" s="108" t="s">
        <v>248</v>
      </c>
      <c r="G37" s="108" t="s">
        <v>42</v>
      </c>
      <c r="H37" s="53" t="s">
        <v>160</v>
      </c>
      <c r="I37" s="53" t="s">
        <v>198</v>
      </c>
      <c r="J37" s="108" t="s">
        <v>38</v>
      </c>
      <c r="K37" s="53" t="s">
        <v>161</v>
      </c>
      <c r="L37" s="53">
        <v>3</v>
      </c>
      <c r="N37" s="53">
        <v>1</v>
      </c>
      <c r="O37" s="34">
        <v>0.65</v>
      </c>
      <c r="P37" s="53">
        <v>0.5</v>
      </c>
      <c r="Q37" s="110">
        <f t="shared" si="0"/>
        <v>0.57499999999999996</v>
      </c>
      <c r="R37" s="53">
        <v>18</v>
      </c>
      <c r="S37" s="53">
        <v>110</v>
      </c>
      <c r="T37" s="16">
        <f t="shared" si="1"/>
        <v>33</v>
      </c>
      <c r="U37" s="53">
        <v>128</v>
      </c>
      <c r="V37" s="111">
        <f t="shared" si="2"/>
        <v>4224</v>
      </c>
      <c r="W37" s="53">
        <v>10</v>
      </c>
      <c r="X37" s="108" t="s">
        <v>46</v>
      </c>
      <c r="Y37" s="53" t="s">
        <v>69</v>
      </c>
      <c r="Z37" s="53" t="s">
        <v>97</v>
      </c>
      <c r="AA37" s="53" t="s">
        <v>88</v>
      </c>
      <c r="AB37" s="108" t="s">
        <v>239</v>
      </c>
      <c r="AC37" s="34"/>
    </row>
    <row r="38" spans="1:29" x14ac:dyDescent="0.15">
      <c r="A38" s="108" t="s">
        <v>61</v>
      </c>
      <c r="B38" s="108" t="s">
        <v>235</v>
      </c>
      <c r="C38" s="108">
        <v>2019</v>
      </c>
      <c r="D38" s="109" t="s">
        <v>242</v>
      </c>
      <c r="E38" s="108" t="s">
        <v>249</v>
      </c>
      <c r="F38" s="108" t="s">
        <v>250</v>
      </c>
      <c r="G38" s="108" t="s">
        <v>42</v>
      </c>
      <c r="H38" s="53" t="s">
        <v>164</v>
      </c>
      <c r="I38" s="53" t="s">
        <v>159</v>
      </c>
      <c r="J38" s="108" t="s">
        <v>38</v>
      </c>
      <c r="K38" s="53" t="s">
        <v>161</v>
      </c>
      <c r="L38" s="53">
        <v>1</v>
      </c>
      <c r="N38" s="53">
        <v>1</v>
      </c>
      <c r="O38" s="34">
        <v>0.5</v>
      </c>
      <c r="P38" s="53">
        <v>0.5</v>
      </c>
      <c r="Q38" s="110">
        <f t="shared" si="0"/>
        <v>0.5</v>
      </c>
      <c r="R38" s="53">
        <v>16.100000000000001</v>
      </c>
      <c r="S38" s="53">
        <v>119</v>
      </c>
      <c r="T38" s="16">
        <f t="shared" si="1"/>
        <v>30</v>
      </c>
      <c r="U38" s="53">
        <v>98</v>
      </c>
      <c r="V38" s="111">
        <f t="shared" si="2"/>
        <v>2940</v>
      </c>
      <c r="W38" s="53">
        <v>12</v>
      </c>
      <c r="X38" s="108" t="s">
        <v>46</v>
      </c>
      <c r="Y38" s="53" t="s">
        <v>69</v>
      </c>
      <c r="Z38" s="53" t="s">
        <v>55</v>
      </c>
      <c r="AA38" s="53" t="s">
        <v>90</v>
      </c>
      <c r="AB38" s="108" t="s">
        <v>239</v>
      </c>
      <c r="AC38" s="34"/>
    </row>
    <row r="39" spans="1:29" x14ac:dyDescent="0.15">
      <c r="A39" s="108" t="s">
        <v>61</v>
      </c>
      <c r="B39" s="108" t="s">
        <v>235</v>
      </c>
      <c r="C39" s="108">
        <v>2019</v>
      </c>
      <c r="D39" s="109" t="s">
        <v>242</v>
      </c>
      <c r="E39" s="108" t="s">
        <v>249</v>
      </c>
      <c r="F39" s="108" t="s">
        <v>250</v>
      </c>
      <c r="G39" s="108" t="s">
        <v>42</v>
      </c>
      <c r="H39" s="53" t="s">
        <v>164</v>
      </c>
      <c r="I39" s="53" t="s">
        <v>159</v>
      </c>
      <c r="J39" s="108" t="s">
        <v>38</v>
      </c>
      <c r="K39" s="53" t="s">
        <v>161</v>
      </c>
      <c r="L39" s="53">
        <v>2</v>
      </c>
      <c r="N39" s="53">
        <v>1</v>
      </c>
      <c r="O39" s="34">
        <v>0.5</v>
      </c>
      <c r="P39" s="53">
        <v>0.5</v>
      </c>
      <c r="Q39" s="110">
        <f t="shared" si="0"/>
        <v>0.5</v>
      </c>
      <c r="R39" s="53">
        <v>14.2</v>
      </c>
      <c r="S39" s="53">
        <v>120</v>
      </c>
      <c r="T39" s="16">
        <f t="shared" si="1"/>
        <v>30</v>
      </c>
      <c r="U39" s="53">
        <v>98</v>
      </c>
      <c r="V39" s="111">
        <f t="shared" si="2"/>
        <v>2940</v>
      </c>
      <c r="W39" s="53">
        <v>12</v>
      </c>
      <c r="X39" s="108" t="s">
        <v>46</v>
      </c>
      <c r="Y39" s="53" t="s">
        <v>69</v>
      </c>
      <c r="Z39" s="53" t="s">
        <v>55</v>
      </c>
      <c r="AA39" s="53" t="s">
        <v>90</v>
      </c>
      <c r="AB39" s="108" t="s">
        <v>239</v>
      </c>
      <c r="AC39" s="34"/>
    </row>
    <row r="40" spans="1:29" x14ac:dyDescent="0.15">
      <c r="A40" s="108" t="s">
        <v>61</v>
      </c>
      <c r="B40" s="108" t="s">
        <v>235</v>
      </c>
      <c r="C40" s="108">
        <v>2019</v>
      </c>
      <c r="D40" s="109" t="s">
        <v>242</v>
      </c>
      <c r="E40" s="108" t="s">
        <v>249</v>
      </c>
      <c r="F40" s="108" t="s">
        <v>250</v>
      </c>
      <c r="G40" s="108" t="s">
        <v>42</v>
      </c>
      <c r="H40" s="53" t="s">
        <v>164</v>
      </c>
      <c r="I40" s="53" t="s">
        <v>159</v>
      </c>
      <c r="J40" s="108" t="s">
        <v>38</v>
      </c>
      <c r="K40" s="53" t="s">
        <v>161</v>
      </c>
      <c r="L40" s="53">
        <v>3</v>
      </c>
      <c r="N40" s="53">
        <v>1</v>
      </c>
      <c r="O40" s="34">
        <v>0.5</v>
      </c>
      <c r="P40" s="53">
        <v>0.5</v>
      </c>
      <c r="Q40" s="110">
        <f t="shared" si="0"/>
        <v>0.5</v>
      </c>
      <c r="R40" s="53">
        <v>16.8</v>
      </c>
      <c r="S40" s="53">
        <v>115</v>
      </c>
      <c r="T40" s="16">
        <f t="shared" si="1"/>
        <v>30</v>
      </c>
      <c r="U40" s="53">
        <v>98</v>
      </c>
      <c r="V40" s="111">
        <f t="shared" si="2"/>
        <v>2940</v>
      </c>
      <c r="W40" s="53">
        <v>12</v>
      </c>
      <c r="X40" s="108" t="s">
        <v>46</v>
      </c>
      <c r="Y40" s="53" t="s">
        <v>69</v>
      </c>
      <c r="Z40" s="53" t="s">
        <v>55</v>
      </c>
      <c r="AA40" s="53" t="s">
        <v>90</v>
      </c>
      <c r="AB40" s="108" t="s">
        <v>239</v>
      </c>
      <c r="AC40" s="34"/>
    </row>
    <row r="41" spans="1:29" s="53" customFormat="1" x14ac:dyDescent="0.15">
      <c r="A41" s="108" t="s">
        <v>61</v>
      </c>
      <c r="B41" s="108" t="s">
        <v>235</v>
      </c>
      <c r="C41" s="108">
        <v>2019</v>
      </c>
      <c r="D41" s="109" t="s">
        <v>242</v>
      </c>
      <c r="E41" s="108" t="s">
        <v>249</v>
      </c>
      <c r="F41" s="108" t="s">
        <v>250</v>
      </c>
      <c r="G41" s="108" t="s">
        <v>42</v>
      </c>
      <c r="H41" s="53" t="s">
        <v>160</v>
      </c>
      <c r="I41" s="53" t="s">
        <v>159</v>
      </c>
      <c r="J41" s="108" t="s">
        <v>38</v>
      </c>
      <c r="K41" s="53" t="s">
        <v>161</v>
      </c>
      <c r="L41" s="53">
        <v>1</v>
      </c>
      <c r="N41" s="53">
        <v>1</v>
      </c>
      <c r="O41" s="34">
        <v>0.5</v>
      </c>
      <c r="P41" s="53">
        <v>0.5</v>
      </c>
      <c r="Q41" s="110">
        <f t="shared" si="0"/>
        <v>0.5</v>
      </c>
      <c r="R41" s="53">
        <v>18.2</v>
      </c>
      <c r="S41" s="53">
        <v>101</v>
      </c>
      <c r="T41" s="16">
        <f t="shared" si="1"/>
        <v>33</v>
      </c>
      <c r="U41" s="53">
        <v>128</v>
      </c>
      <c r="V41" s="111">
        <f t="shared" si="2"/>
        <v>4224</v>
      </c>
      <c r="W41" s="53">
        <v>12</v>
      </c>
      <c r="X41" s="108" t="s">
        <v>46</v>
      </c>
      <c r="Y41" s="53" t="s">
        <v>69</v>
      </c>
      <c r="Z41" s="53" t="s">
        <v>55</v>
      </c>
      <c r="AA41" s="53" t="s">
        <v>90</v>
      </c>
      <c r="AB41" s="108" t="s">
        <v>239</v>
      </c>
      <c r="AC41" s="34"/>
    </row>
    <row r="42" spans="1:29" s="53" customFormat="1" x14ac:dyDescent="0.15">
      <c r="A42" s="108" t="s">
        <v>61</v>
      </c>
      <c r="B42" s="108" t="s">
        <v>235</v>
      </c>
      <c r="C42" s="108">
        <v>2019</v>
      </c>
      <c r="D42" s="109" t="s">
        <v>242</v>
      </c>
      <c r="E42" s="108" t="s">
        <v>249</v>
      </c>
      <c r="F42" s="108" t="s">
        <v>250</v>
      </c>
      <c r="G42" s="108" t="s">
        <v>42</v>
      </c>
      <c r="H42" s="53" t="s">
        <v>160</v>
      </c>
      <c r="I42" s="53" t="s">
        <v>159</v>
      </c>
      <c r="J42" s="108" t="s">
        <v>38</v>
      </c>
      <c r="K42" s="53" t="s">
        <v>161</v>
      </c>
      <c r="L42" s="53">
        <v>2</v>
      </c>
      <c r="N42" s="53">
        <v>1</v>
      </c>
      <c r="O42" s="34">
        <v>0.5</v>
      </c>
      <c r="P42" s="53">
        <v>0.5</v>
      </c>
      <c r="Q42" s="110">
        <f t="shared" si="0"/>
        <v>0.5</v>
      </c>
      <c r="R42" s="53">
        <v>18.899999999999999</v>
      </c>
      <c r="S42" s="53">
        <v>99</v>
      </c>
      <c r="T42" s="16">
        <f t="shared" si="1"/>
        <v>33</v>
      </c>
      <c r="U42" s="53">
        <v>128</v>
      </c>
      <c r="V42" s="111">
        <f t="shared" si="2"/>
        <v>4224</v>
      </c>
      <c r="W42" s="53">
        <v>12</v>
      </c>
      <c r="X42" s="108" t="s">
        <v>46</v>
      </c>
      <c r="Y42" s="53" t="s">
        <v>69</v>
      </c>
      <c r="Z42" s="53" t="s">
        <v>55</v>
      </c>
      <c r="AA42" s="53" t="s">
        <v>90</v>
      </c>
      <c r="AB42" s="108" t="s">
        <v>239</v>
      </c>
      <c r="AC42" s="34"/>
    </row>
    <row r="43" spans="1:29" s="53" customFormat="1" x14ac:dyDescent="0.15">
      <c r="A43" s="108" t="s">
        <v>61</v>
      </c>
      <c r="B43" s="108" t="s">
        <v>235</v>
      </c>
      <c r="C43" s="108">
        <v>2019</v>
      </c>
      <c r="D43" s="109" t="s">
        <v>242</v>
      </c>
      <c r="E43" s="108" t="s">
        <v>249</v>
      </c>
      <c r="F43" s="108" t="s">
        <v>250</v>
      </c>
      <c r="G43" s="108" t="s">
        <v>42</v>
      </c>
      <c r="H43" s="53" t="s">
        <v>160</v>
      </c>
      <c r="I43" s="53" t="s">
        <v>159</v>
      </c>
      <c r="J43" s="108" t="s">
        <v>38</v>
      </c>
      <c r="K43" s="53" t="s">
        <v>161</v>
      </c>
      <c r="L43" s="53">
        <v>3</v>
      </c>
      <c r="N43" s="53">
        <v>1</v>
      </c>
      <c r="O43" s="53">
        <v>0.5</v>
      </c>
      <c r="P43" s="53">
        <v>0.75</v>
      </c>
      <c r="Q43" s="110">
        <f t="shared" si="0"/>
        <v>0.625</v>
      </c>
      <c r="R43" s="53">
        <v>18</v>
      </c>
      <c r="S43" s="53">
        <v>102</v>
      </c>
      <c r="T43" s="16">
        <f t="shared" si="1"/>
        <v>33</v>
      </c>
      <c r="U43" s="53">
        <v>128</v>
      </c>
      <c r="V43" s="111">
        <f t="shared" si="2"/>
        <v>4224</v>
      </c>
      <c r="W43" s="53">
        <v>12</v>
      </c>
      <c r="X43" s="108" t="s">
        <v>46</v>
      </c>
      <c r="Y43" s="53" t="s">
        <v>69</v>
      </c>
      <c r="Z43" s="53" t="s">
        <v>55</v>
      </c>
      <c r="AA43" s="53" t="s">
        <v>90</v>
      </c>
      <c r="AB43" s="108" t="s">
        <v>239</v>
      </c>
      <c r="AC43" s="34"/>
    </row>
    <row r="44" spans="1:29" s="53" customFormat="1" x14ac:dyDescent="0.15">
      <c r="A44" s="108" t="s">
        <v>61</v>
      </c>
      <c r="B44" s="108" t="s">
        <v>235</v>
      </c>
      <c r="C44" s="108">
        <v>2019</v>
      </c>
      <c r="D44" s="109" t="s">
        <v>242</v>
      </c>
      <c r="E44" s="108" t="s">
        <v>251</v>
      </c>
      <c r="F44" s="108" t="s">
        <v>252</v>
      </c>
      <c r="G44" s="108" t="s">
        <v>42</v>
      </c>
      <c r="H44" s="53" t="s">
        <v>164</v>
      </c>
      <c r="I44" s="53" t="s">
        <v>159</v>
      </c>
      <c r="J44" s="108" t="s">
        <v>38</v>
      </c>
      <c r="K44" s="53" t="s">
        <v>161</v>
      </c>
      <c r="L44" s="53">
        <v>1</v>
      </c>
      <c r="N44" s="53">
        <v>5</v>
      </c>
      <c r="O44" s="34">
        <v>0.85</v>
      </c>
      <c r="P44" s="53">
        <v>1.25</v>
      </c>
      <c r="Q44" s="110">
        <f t="shared" si="0"/>
        <v>1.05</v>
      </c>
      <c r="R44" s="53">
        <v>17.399999999999999</v>
      </c>
      <c r="S44" s="53">
        <v>89</v>
      </c>
      <c r="T44" s="16">
        <f t="shared" si="1"/>
        <v>36</v>
      </c>
      <c r="U44" s="53">
        <v>321</v>
      </c>
      <c r="V44" s="111">
        <f t="shared" si="2"/>
        <v>2311.2000000000003</v>
      </c>
      <c r="W44" s="53">
        <v>6</v>
      </c>
      <c r="X44" s="108" t="s">
        <v>46</v>
      </c>
      <c r="Y44" s="53" t="s">
        <v>97</v>
      </c>
      <c r="Z44" s="53" t="s">
        <v>88</v>
      </c>
      <c r="AA44" s="53" t="s">
        <v>47</v>
      </c>
      <c r="AB44" s="108" t="s">
        <v>239</v>
      </c>
    </row>
    <row r="45" spans="1:29" s="53" customFormat="1" x14ac:dyDescent="0.15">
      <c r="A45" s="108" t="s">
        <v>61</v>
      </c>
      <c r="B45" s="108" t="s">
        <v>235</v>
      </c>
      <c r="C45" s="108">
        <v>2020</v>
      </c>
      <c r="D45" s="109" t="s">
        <v>242</v>
      </c>
      <c r="E45" s="108" t="s">
        <v>251</v>
      </c>
      <c r="F45" s="108" t="s">
        <v>252</v>
      </c>
      <c r="G45" s="108" t="s">
        <v>42</v>
      </c>
      <c r="H45" s="53" t="s">
        <v>164</v>
      </c>
      <c r="I45" s="53" t="s">
        <v>159</v>
      </c>
      <c r="J45" s="108" t="s">
        <v>38</v>
      </c>
      <c r="K45" s="53" t="s">
        <v>161</v>
      </c>
      <c r="L45" s="53">
        <v>2</v>
      </c>
      <c r="N45" s="53">
        <v>5</v>
      </c>
      <c r="O45" s="34">
        <v>1.5</v>
      </c>
      <c r="P45" s="53">
        <v>1.25</v>
      </c>
      <c r="Q45" s="110">
        <f t="shared" si="0"/>
        <v>1.375</v>
      </c>
      <c r="R45" s="53">
        <v>17.2</v>
      </c>
      <c r="S45" s="53">
        <v>90</v>
      </c>
      <c r="T45" s="16">
        <f t="shared" si="1"/>
        <v>36</v>
      </c>
      <c r="U45" s="53">
        <v>321</v>
      </c>
      <c r="V45" s="111">
        <f t="shared" si="2"/>
        <v>2311.2000000000003</v>
      </c>
      <c r="W45" s="53">
        <v>6</v>
      </c>
      <c r="X45" s="108" t="s">
        <v>46</v>
      </c>
      <c r="Y45" s="53" t="s">
        <v>97</v>
      </c>
      <c r="Z45" s="53" t="s">
        <v>88</v>
      </c>
      <c r="AA45" s="53" t="s">
        <v>47</v>
      </c>
      <c r="AB45" s="108" t="s">
        <v>239</v>
      </c>
    </row>
    <row r="46" spans="1:29" s="53" customFormat="1" x14ac:dyDescent="0.15">
      <c r="A46" s="108" t="s">
        <v>61</v>
      </c>
      <c r="B46" s="108" t="s">
        <v>235</v>
      </c>
      <c r="C46" s="108">
        <v>2021</v>
      </c>
      <c r="D46" s="109" t="s">
        <v>242</v>
      </c>
      <c r="E46" s="108" t="s">
        <v>251</v>
      </c>
      <c r="F46" s="108" t="s">
        <v>252</v>
      </c>
      <c r="G46" s="108" t="s">
        <v>42</v>
      </c>
      <c r="H46" s="53" t="s">
        <v>164</v>
      </c>
      <c r="I46" s="53" t="s">
        <v>159</v>
      </c>
      <c r="J46" s="108" t="s">
        <v>38</v>
      </c>
      <c r="K46" s="53" t="s">
        <v>161</v>
      </c>
      <c r="L46" s="53">
        <v>3</v>
      </c>
      <c r="N46" s="53">
        <v>5</v>
      </c>
      <c r="O46" s="34">
        <v>0.95</v>
      </c>
      <c r="P46" s="53">
        <v>1</v>
      </c>
      <c r="Q46" s="110">
        <f t="shared" si="0"/>
        <v>0.97499999999999998</v>
      </c>
      <c r="R46" s="53">
        <v>17.3</v>
      </c>
      <c r="S46" s="53">
        <v>92</v>
      </c>
      <c r="T46" s="16">
        <f t="shared" si="1"/>
        <v>36</v>
      </c>
      <c r="U46" s="53">
        <v>321</v>
      </c>
      <c r="V46" s="111">
        <f t="shared" si="2"/>
        <v>2311.2000000000003</v>
      </c>
      <c r="W46" s="53">
        <v>6</v>
      </c>
      <c r="X46" s="108" t="s">
        <v>46</v>
      </c>
      <c r="Y46" s="53" t="s">
        <v>97</v>
      </c>
      <c r="Z46" s="53" t="s">
        <v>88</v>
      </c>
      <c r="AA46" s="53" t="s">
        <v>47</v>
      </c>
      <c r="AB46" s="108" t="s">
        <v>239</v>
      </c>
    </row>
    <row r="47" spans="1:29" x14ac:dyDescent="0.15">
      <c r="A47" s="108" t="s">
        <v>61</v>
      </c>
      <c r="B47" s="108" t="s">
        <v>235</v>
      </c>
      <c r="C47" s="108">
        <v>2022</v>
      </c>
      <c r="D47" s="109" t="s">
        <v>242</v>
      </c>
      <c r="E47" s="108" t="s">
        <v>251</v>
      </c>
      <c r="F47" s="108" t="s">
        <v>252</v>
      </c>
      <c r="G47" s="108" t="s">
        <v>42</v>
      </c>
      <c r="H47" s="53" t="s">
        <v>160</v>
      </c>
      <c r="I47" s="53" t="s">
        <v>159</v>
      </c>
      <c r="J47" s="108" t="s">
        <v>38</v>
      </c>
      <c r="K47" s="53" t="s">
        <v>161</v>
      </c>
      <c r="L47" s="53">
        <v>1</v>
      </c>
      <c r="N47" s="53">
        <v>1</v>
      </c>
      <c r="O47" s="34">
        <v>0.75</v>
      </c>
      <c r="P47" s="53">
        <v>0.75</v>
      </c>
      <c r="Q47" s="110">
        <f t="shared" si="0"/>
        <v>0.75</v>
      </c>
      <c r="R47" s="53">
        <v>17.7</v>
      </c>
      <c r="S47" s="53">
        <v>102</v>
      </c>
      <c r="T47" s="16">
        <f t="shared" si="1"/>
        <v>33</v>
      </c>
      <c r="U47" s="53">
        <v>105</v>
      </c>
      <c r="V47" s="111">
        <f t="shared" si="2"/>
        <v>3465</v>
      </c>
      <c r="W47" s="53">
        <v>6</v>
      </c>
      <c r="X47" s="108" t="s">
        <v>46</v>
      </c>
      <c r="Y47" s="53" t="s">
        <v>97</v>
      </c>
      <c r="Z47" s="53" t="s">
        <v>88</v>
      </c>
      <c r="AA47" s="53" t="s">
        <v>47</v>
      </c>
      <c r="AB47" s="108" t="s">
        <v>239</v>
      </c>
      <c r="AC47" s="34"/>
    </row>
    <row r="48" spans="1:29" x14ac:dyDescent="0.15">
      <c r="A48" s="108" t="s">
        <v>61</v>
      </c>
      <c r="B48" s="108" t="s">
        <v>235</v>
      </c>
      <c r="C48" s="108">
        <v>2023</v>
      </c>
      <c r="D48" s="109" t="s">
        <v>242</v>
      </c>
      <c r="E48" s="108" t="s">
        <v>251</v>
      </c>
      <c r="F48" s="108" t="s">
        <v>252</v>
      </c>
      <c r="G48" s="108" t="s">
        <v>42</v>
      </c>
      <c r="H48" s="53" t="s">
        <v>160</v>
      </c>
      <c r="I48" s="53" t="s">
        <v>159</v>
      </c>
      <c r="J48" s="108" t="s">
        <v>38</v>
      </c>
      <c r="K48" s="53" t="s">
        <v>161</v>
      </c>
      <c r="L48" s="53">
        <v>2</v>
      </c>
      <c r="N48" s="53">
        <v>1</v>
      </c>
      <c r="O48" s="34">
        <v>0.9</v>
      </c>
      <c r="P48" s="53">
        <v>1</v>
      </c>
      <c r="Q48" s="110">
        <f t="shared" si="0"/>
        <v>0.95</v>
      </c>
      <c r="R48" s="53">
        <v>17.600000000000001</v>
      </c>
      <c r="S48" s="53">
        <v>110</v>
      </c>
      <c r="T48" s="16">
        <f t="shared" si="1"/>
        <v>33</v>
      </c>
      <c r="U48" s="53">
        <v>105</v>
      </c>
      <c r="V48" s="111">
        <f t="shared" si="2"/>
        <v>3465</v>
      </c>
      <c r="W48" s="53">
        <v>6</v>
      </c>
      <c r="X48" s="108" t="s">
        <v>46</v>
      </c>
      <c r="Y48" s="53" t="s">
        <v>97</v>
      </c>
      <c r="Z48" s="53" t="s">
        <v>88</v>
      </c>
      <c r="AA48" s="53" t="s">
        <v>47</v>
      </c>
      <c r="AB48" s="108" t="s">
        <v>239</v>
      </c>
      <c r="AC48" s="34"/>
    </row>
    <row r="49" spans="1:29" x14ac:dyDescent="0.15">
      <c r="A49" s="108" t="s">
        <v>61</v>
      </c>
      <c r="B49" s="108" t="s">
        <v>235</v>
      </c>
      <c r="C49" s="108">
        <v>2024</v>
      </c>
      <c r="D49" s="109" t="s">
        <v>242</v>
      </c>
      <c r="E49" s="108" t="s">
        <v>251</v>
      </c>
      <c r="F49" s="108" t="s">
        <v>252</v>
      </c>
      <c r="G49" s="108" t="s">
        <v>42</v>
      </c>
      <c r="H49" s="53" t="s">
        <v>160</v>
      </c>
      <c r="I49" s="53" t="s">
        <v>159</v>
      </c>
      <c r="J49" s="108" t="s">
        <v>38</v>
      </c>
      <c r="K49" s="53" t="s">
        <v>161</v>
      </c>
      <c r="L49" s="53">
        <v>3</v>
      </c>
      <c r="N49" s="53">
        <v>1</v>
      </c>
      <c r="O49" s="34">
        <v>1.2</v>
      </c>
      <c r="P49" s="53">
        <v>1.05</v>
      </c>
      <c r="Q49" s="110">
        <f t="shared" si="0"/>
        <v>1.125</v>
      </c>
      <c r="R49" s="34">
        <v>18.899999999999999</v>
      </c>
      <c r="S49" s="53">
        <v>109</v>
      </c>
      <c r="T49" s="16">
        <f t="shared" si="1"/>
        <v>33</v>
      </c>
      <c r="U49" s="53">
        <v>105</v>
      </c>
      <c r="V49" s="111">
        <f t="shared" si="2"/>
        <v>3465</v>
      </c>
      <c r="W49" s="53">
        <v>6</v>
      </c>
      <c r="X49" s="108" t="s">
        <v>46</v>
      </c>
      <c r="Y49" s="53" t="s">
        <v>97</v>
      </c>
      <c r="Z49" s="53" t="s">
        <v>88</v>
      </c>
      <c r="AA49" s="53" t="s">
        <v>47</v>
      </c>
      <c r="AB49" s="108" t="s">
        <v>239</v>
      </c>
      <c r="AC49" s="34"/>
    </row>
    <row r="50" spans="1:29" s="53" customFormat="1" x14ac:dyDescent="0.15">
      <c r="A50" s="108" t="s">
        <v>61</v>
      </c>
      <c r="B50" s="108" t="s">
        <v>235</v>
      </c>
      <c r="C50" s="108">
        <v>2019</v>
      </c>
      <c r="D50" s="109" t="s">
        <v>242</v>
      </c>
      <c r="E50" s="108" t="s">
        <v>133</v>
      </c>
      <c r="F50" s="108" t="s">
        <v>253</v>
      </c>
      <c r="G50" s="108" t="s">
        <v>42</v>
      </c>
      <c r="H50" s="53" t="s">
        <v>164</v>
      </c>
      <c r="I50" s="53" t="s">
        <v>159</v>
      </c>
      <c r="J50" s="108" t="s">
        <v>38</v>
      </c>
      <c r="K50" s="53" t="s">
        <v>161</v>
      </c>
      <c r="L50" s="53">
        <v>1</v>
      </c>
      <c r="N50" s="53">
        <v>1</v>
      </c>
      <c r="O50" s="53">
        <v>0.75</v>
      </c>
      <c r="P50" s="53">
        <v>0.85</v>
      </c>
      <c r="Q50" s="110">
        <f t="shared" si="0"/>
        <v>0.8</v>
      </c>
      <c r="R50" s="53">
        <v>17.3</v>
      </c>
      <c r="S50" s="53">
        <v>102</v>
      </c>
      <c r="T50" s="16">
        <f t="shared" si="1"/>
        <v>33</v>
      </c>
      <c r="U50" s="53">
        <v>98</v>
      </c>
      <c r="V50" s="111">
        <f t="shared" si="2"/>
        <v>3234</v>
      </c>
      <c r="W50" s="53">
        <v>24</v>
      </c>
      <c r="X50" s="108" t="s">
        <v>46</v>
      </c>
      <c r="Y50" s="53" t="s">
        <v>97</v>
      </c>
      <c r="Z50" s="53" t="s">
        <v>69</v>
      </c>
      <c r="AA50" s="53" t="s">
        <v>55</v>
      </c>
      <c r="AB50" s="108" t="s">
        <v>239</v>
      </c>
      <c r="AC50" s="34"/>
    </row>
    <row r="51" spans="1:29" s="53" customFormat="1" x14ac:dyDescent="0.15">
      <c r="A51" s="108" t="s">
        <v>61</v>
      </c>
      <c r="B51" s="108" t="s">
        <v>235</v>
      </c>
      <c r="C51" s="108">
        <v>2019</v>
      </c>
      <c r="D51" s="109" t="s">
        <v>242</v>
      </c>
      <c r="E51" s="108" t="s">
        <v>133</v>
      </c>
      <c r="F51" s="108" t="s">
        <v>253</v>
      </c>
      <c r="G51" s="108" t="s">
        <v>42</v>
      </c>
      <c r="H51" s="53" t="s">
        <v>164</v>
      </c>
      <c r="I51" s="53" t="s">
        <v>159</v>
      </c>
      <c r="J51" s="108" t="s">
        <v>38</v>
      </c>
      <c r="K51" s="53" t="s">
        <v>161</v>
      </c>
      <c r="L51" s="53">
        <v>2</v>
      </c>
      <c r="N51" s="53">
        <v>1</v>
      </c>
      <c r="O51" s="53">
        <v>0.8</v>
      </c>
      <c r="P51" s="53">
        <v>0.85</v>
      </c>
      <c r="Q51" s="110">
        <f t="shared" si="0"/>
        <v>0.82499999999999996</v>
      </c>
      <c r="R51" s="53">
        <v>17.2</v>
      </c>
      <c r="S51" s="53">
        <v>108</v>
      </c>
      <c r="T51" s="16">
        <f t="shared" si="1"/>
        <v>33</v>
      </c>
      <c r="U51" s="53">
        <v>98</v>
      </c>
      <c r="V51" s="111">
        <f t="shared" si="2"/>
        <v>3234</v>
      </c>
      <c r="W51" s="53">
        <v>24</v>
      </c>
      <c r="X51" s="108" t="s">
        <v>46</v>
      </c>
      <c r="Y51" s="53" t="s">
        <v>97</v>
      </c>
      <c r="Z51" s="53" t="s">
        <v>69</v>
      </c>
      <c r="AA51" s="53" t="s">
        <v>55</v>
      </c>
      <c r="AB51" s="108" t="s">
        <v>239</v>
      </c>
      <c r="AC51" s="34"/>
    </row>
    <row r="52" spans="1:29" s="53" customFormat="1" x14ac:dyDescent="0.15">
      <c r="A52" s="108" t="s">
        <v>61</v>
      </c>
      <c r="B52" s="108" t="s">
        <v>235</v>
      </c>
      <c r="C52" s="108">
        <v>2019</v>
      </c>
      <c r="D52" s="109" t="s">
        <v>242</v>
      </c>
      <c r="E52" s="108" t="s">
        <v>133</v>
      </c>
      <c r="F52" s="108" t="s">
        <v>253</v>
      </c>
      <c r="G52" s="108" t="s">
        <v>42</v>
      </c>
      <c r="H52" s="53" t="s">
        <v>164</v>
      </c>
      <c r="I52" s="53" t="s">
        <v>159</v>
      </c>
      <c r="J52" s="108" t="s">
        <v>38</v>
      </c>
      <c r="K52" s="53" t="s">
        <v>161</v>
      </c>
      <c r="L52" s="53">
        <v>3</v>
      </c>
      <c r="N52" s="53">
        <v>1</v>
      </c>
      <c r="O52" s="53">
        <v>0.9</v>
      </c>
      <c r="P52" s="53">
        <v>0.85</v>
      </c>
      <c r="Q52" s="110">
        <f t="shared" si="0"/>
        <v>0.875</v>
      </c>
      <c r="R52" s="53">
        <v>17.8</v>
      </c>
      <c r="S52" s="53">
        <v>108</v>
      </c>
      <c r="T52" s="16">
        <f t="shared" si="1"/>
        <v>33</v>
      </c>
      <c r="U52" s="53">
        <v>98</v>
      </c>
      <c r="V52" s="111">
        <f t="shared" si="2"/>
        <v>3234</v>
      </c>
      <c r="W52" s="53">
        <v>24</v>
      </c>
      <c r="X52" s="108" t="s">
        <v>46</v>
      </c>
      <c r="Y52" s="53" t="s">
        <v>97</v>
      </c>
      <c r="Z52" s="53" t="s">
        <v>69</v>
      </c>
      <c r="AA52" s="53" t="s">
        <v>55</v>
      </c>
      <c r="AB52" s="108" t="s">
        <v>239</v>
      </c>
      <c r="AC52" s="34"/>
    </row>
    <row r="53" spans="1:29" x14ac:dyDescent="0.15">
      <c r="A53" s="108" t="s">
        <v>61</v>
      </c>
      <c r="B53" s="108" t="s">
        <v>235</v>
      </c>
      <c r="C53" s="108">
        <v>2019</v>
      </c>
      <c r="D53" s="109" t="s">
        <v>242</v>
      </c>
      <c r="E53" s="108" t="s">
        <v>133</v>
      </c>
      <c r="F53" s="108" t="s">
        <v>253</v>
      </c>
      <c r="G53" s="108" t="s">
        <v>42</v>
      </c>
      <c r="H53" s="53" t="s">
        <v>160</v>
      </c>
      <c r="I53" s="53" t="s">
        <v>159</v>
      </c>
      <c r="J53" s="108" t="s">
        <v>38</v>
      </c>
      <c r="K53" s="53" t="s">
        <v>161</v>
      </c>
      <c r="L53" s="53">
        <v>1</v>
      </c>
      <c r="N53" s="53">
        <v>1</v>
      </c>
      <c r="O53" s="53">
        <v>0.7</v>
      </c>
      <c r="P53" s="53">
        <v>0.65</v>
      </c>
      <c r="Q53" s="110">
        <f t="shared" si="0"/>
        <v>0.67500000000000004</v>
      </c>
      <c r="R53" s="53">
        <v>18.2</v>
      </c>
      <c r="S53" s="53">
        <v>90</v>
      </c>
      <c r="T53" s="16">
        <f t="shared" si="1"/>
        <v>36</v>
      </c>
      <c r="U53" s="53">
        <v>98</v>
      </c>
      <c r="V53" s="111">
        <f t="shared" si="2"/>
        <v>3528</v>
      </c>
      <c r="W53" s="53">
        <v>24</v>
      </c>
      <c r="X53" s="108" t="s">
        <v>46</v>
      </c>
      <c r="Y53" s="53" t="s">
        <v>97</v>
      </c>
      <c r="Z53" s="53" t="s">
        <v>69</v>
      </c>
      <c r="AA53" s="53" t="s">
        <v>55</v>
      </c>
      <c r="AB53" s="108" t="s">
        <v>239</v>
      </c>
      <c r="AC53" s="34"/>
    </row>
    <row r="54" spans="1:29" x14ac:dyDescent="0.15">
      <c r="A54" s="108" t="s">
        <v>61</v>
      </c>
      <c r="B54" s="108" t="s">
        <v>235</v>
      </c>
      <c r="C54" s="108">
        <v>2019</v>
      </c>
      <c r="D54" s="109" t="s">
        <v>242</v>
      </c>
      <c r="E54" s="108" t="s">
        <v>133</v>
      </c>
      <c r="F54" s="108" t="s">
        <v>253</v>
      </c>
      <c r="G54" s="108" t="s">
        <v>42</v>
      </c>
      <c r="H54" s="53" t="s">
        <v>160</v>
      </c>
      <c r="I54" s="53" t="s">
        <v>159</v>
      </c>
      <c r="J54" s="108" t="s">
        <v>38</v>
      </c>
      <c r="K54" s="53" t="s">
        <v>161</v>
      </c>
      <c r="L54" s="53">
        <v>2</v>
      </c>
      <c r="N54" s="53">
        <v>1</v>
      </c>
      <c r="O54" s="53">
        <v>0.65</v>
      </c>
      <c r="P54" s="53">
        <v>0.5</v>
      </c>
      <c r="Q54" s="110">
        <f t="shared" si="0"/>
        <v>0.57499999999999996</v>
      </c>
      <c r="R54" s="53">
        <v>19.100000000000001</v>
      </c>
      <c r="S54" s="53">
        <v>101</v>
      </c>
      <c r="T54" s="16">
        <f t="shared" si="1"/>
        <v>33</v>
      </c>
      <c r="U54" s="53">
        <v>98</v>
      </c>
      <c r="V54" s="111">
        <f t="shared" si="2"/>
        <v>3234</v>
      </c>
      <c r="W54" s="53">
        <v>24</v>
      </c>
      <c r="X54" s="108" t="s">
        <v>46</v>
      </c>
      <c r="Y54" s="53" t="s">
        <v>97</v>
      </c>
      <c r="Z54" s="53" t="s">
        <v>69</v>
      </c>
      <c r="AA54" s="53" t="s">
        <v>55</v>
      </c>
      <c r="AB54" s="108" t="s">
        <v>239</v>
      </c>
      <c r="AC54" s="34"/>
    </row>
    <row r="55" spans="1:29" x14ac:dyDescent="0.15">
      <c r="A55" s="108" t="s">
        <v>61</v>
      </c>
      <c r="B55" s="108" t="s">
        <v>235</v>
      </c>
      <c r="C55" s="108">
        <v>2019</v>
      </c>
      <c r="D55" s="109" t="s">
        <v>242</v>
      </c>
      <c r="E55" s="108" t="s">
        <v>133</v>
      </c>
      <c r="F55" s="108" t="s">
        <v>253</v>
      </c>
      <c r="G55" s="108" t="s">
        <v>42</v>
      </c>
      <c r="H55" s="53" t="s">
        <v>160</v>
      </c>
      <c r="I55" s="53" t="s">
        <v>159</v>
      </c>
      <c r="J55" s="108" t="s">
        <v>38</v>
      </c>
      <c r="K55" s="53" t="s">
        <v>161</v>
      </c>
      <c r="L55" s="53">
        <v>3</v>
      </c>
      <c r="N55" s="53">
        <v>1</v>
      </c>
      <c r="O55" s="53">
        <v>0.75</v>
      </c>
      <c r="P55" s="53">
        <v>0.7</v>
      </c>
      <c r="Q55" s="110">
        <f t="shared" si="0"/>
        <v>0.72499999999999998</v>
      </c>
      <c r="R55" s="53">
        <v>18.899999999999999</v>
      </c>
      <c r="S55" s="53">
        <v>98</v>
      </c>
      <c r="T55" s="16">
        <f t="shared" si="1"/>
        <v>36</v>
      </c>
      <c r="U55" s="53">
        <v>98</v>
      </c>
      <c r="V55" s="111">
        <f t="shared" si="2"/>
        <v>3528</v>
      </c>
      <c r="W55" s="53">
        <v>24</v>
      </c>
      <c r="X55" s="108" t="s">
        <v>46</v>
      </c>
      <c r="Y55" s="53" t="s">
        <v>97</v>
      </c>
      <c r="Z55" s="53" t="s">
        <v>69</v>
      </c>
      <c r="AA55" s="53" t="s">
        <v>55</v>
      </c>
      <c r="AB55" s="108" t="s">
        <v>239</v>
      </c>
      <c r="AC55" s="34"/>
    </row>
    <row r="56" spans="1:29" x14ac:dyDescent="0.15">
      <c r="A56" s="108" t="s">
        <v>61</v>
      </c>
      <c r="B56" s="108" t="s">
        <v>235</v>
      </c>
      <c r="C56" s="108">
        <v>2019</v>
      </c>
      <c r="D56" s="109" t="s">
        <v>242</v>
      </c>
      <c r="E56" s="108" t="s">
        <v>254</v>
      </c>
      <c r="F56" s="108" t="s">
        <v>255</v>
      </c>
      <c r="G56" s="108" t="s">
        <v>42</v>
      </c>
      <c r="H56" s="53" t="s">
        <v>164</v>
      </c>
      <c r="I56" s="53" t="s">
        <v>159</v>
      </c>
      <c r="J56" s="108" t="s">
        <v>38</v>
      </c>
      <c r="K56" s="53" t="s">
        <v>161</v>
      </c>
      <c r="L56" s="53">
        <v>1</v>
      </c>
      <c r="N56" s="53">
        <v>1</v>
      </c>
      <c r="O56" s="53">
        <v>0.6</v>
      </c>
      <c r="P56" s="53">
        <v>0.5</v>
      </c>
      <c r="Q56" s="110">
        <f t="shared" si="0"/>
        <v>0.55000000000000004</v>
      </c>
      <c r="R56" s="53">
        <v>17.399999999999999</v>
      </c>
      <c r="S56" s="53">
        <v>90</v>
      </c>
      <c r="T56" s="16">
        <f t="shared" si="1"/>
        <v>36</v>
      </c>
      <c r="U56" s="53">
        <v>128</v>
      </c>
      <c r="V56" s="111">
        <f t="shared" si="2"/>
        <v>4608</v>
      </c>
      <c r="W56" s="53">
        <v>12</v>
      </c>
      <c r="X56" s="108" t="s">
        <v>46</v>
      </c>
      <c r="Y56" s="53" t="s">
        <v>97</v>
      </c>
      <c r="Z56" s="53" t="s">
        <v>69</v>
      </c>
      <c r="AA56" s="53" t="s">
        <v>55</v>
      </c>
      <c r="AB56" s="108" t="s">
        <v>239</v>
      </c>
    </row>
    <row r="57" spans="1:29" x14ac:dyDescent="0.15">
      <c r="A57" s="108" t="s">
        <v>61</v>
      </c>
      <c r="B57" s="108" t="s">
        <v>235</v>
      </c>
      <c r="C57" s="108">
        <v>2019</v>
      </c>
      <c r="D57" s="109" t="s">
        <v>242</v>
      </c>
      <c r="E57" s="108" t="s">
        <v>254</v>
      </c>
      <c r="F57" s="108" t="s">
        <v>255</v>
      </c>
      <c r="G57" s="108" t="s">
        <v>42</v>
      </c>
      <c r="H57" s="53" t="s">
        <v>164</v>
      </c>
      <c r="I57" s="53" t="s">
        <v>159</v>
      </c>
      <c r="J57" s="108" t="s">
        <v>38</v>
      </c>
      <c r="K57" s="53" t="s">
        <v>161</v>
      </c>
      <c r="L57" s="53">
        <v>2</v>
      </c>
      <c r="N57" s="53">
        <v>1</v>
      </c>
      <c r="O57" s="53">
        <v>0.5</v>
      </c>
      <c r="P57" s="53">
        <v>0.5</v>
      </c>
      <c r="Q57" s="110">
        <f t="shared" si="0"/>
        <v>0.5</v>
      </c>
      <c r="R57" s="53">
        <v>18</v>
      </c>
      <c r="S57" s="53">
        <v>101</v>
      </c>
      <c r="T57" s="16">
        <f t="shared" si="1"/>
        <v>33</v>
      </c>
      <c r="U57" s="53">
        <v>128</v>
      </c>
      <c r="V57" s="111">
        <f t="shared" si="2"/>
        <v>4224</v>
      </c>
      <c r="W57" s="53">
        <v>12</v>
      </c>
      <c r="X57" s="108" t="s">
        <v>46</v>
      </c>
      <c r="Y57" s="53" t="s">
        <v>97</v>
      </c>
      <c r="Z57" s="53" t="s">
        <v>69</v>
      </c>
      <c r="AA57" s="53" t="s">
        <v>55</v>
      </c>
      <c r="AB57" s="108" t="s">
        <v>239</v>
      </c>
    </row>
    <row r="58" spans="1:29" x14ac:dyDescent="0.15">
      <c r="A58" s="108" t="s">
        <v>61</v>
      </c>
      <c r="B58" s="108" t="s">
        <v>235</v>
      </c>
      <c r="C58" s="108">
        <v>2019</v>
      </c>
      <c r="D58" s="109" t="s">
        <v>242</v>
      </c>
      <c r="E58" s="108" t="s">
        <v>254</v>
      </c>
      <c r="F58" s="108" t="s">
        <v>255</v>
      </c>
      <c r="G58" s="108" t="s">
        <v>42</v>
      </c>
      <c r="H58" s="53" t="s">
        <v>164</v>
      </c>
      <c r="I58" s="53" t="s">
        <v>159</v>
      </c>
      <c r="J58" s="108" t="s">
        <v>38</v>
      </c>
      <c r="K58" s="53" t="s">
        <v>161</v>
      </c>
      <c r="L58" s="53">
        <v>3</v>
      </c>
      <c r="N58" s="53">
        <v>1</v>
      </c>
      <c r="O58" s="53">
        <v>0.5</v>
      </c>
      <c r="P58" s="53">
        <v>0.5</v>
      </c>
      <c r="Q58" s="110">
        <f t="shared" si="0"/>
        <v>0.5</v>
      </c>
      <c r="R58" s="53">
        <v>16.899999999999999</v>
      </c>
      <c r="S58" s="53">
        <v>98</v>
      </c>
      <c r="T58" s="16">
        <f t="shared" si="1"/>
        <v>36</v>
      </c>
      <c r="U58" s="53">
        <v>128</v>
      </c>
      <c r="V58" s="111">
        <f t="shared" si="2"/>
        <v>4608</v>
      </c>
      <c r="W58" s="53">
        <v>12</v>
      </c>
      <c r="X58" s="108" t="s">
        <v>46</v>
      </c>
      <c r="Y58" s="53" t="s">
        <v>97</v>
      </c>
      <c r="Z58" s="53" t="s">
        <v>69</v>
      </c>
      <c r="AA58" s="53" t="s">
        <v>55</v>
      </c>
      <c r="AB58" s="108" t="s">
        <v>239</v>
      </c>
    </row>
    <row r="59" spans="1:29" x14ac:dyDescent="0.15">
      <c r="A59" s="108" t="s">
        <v>61</v>
      </c>
      <c r="B59" s="108" t="s">
        <v>235</v>
      </c>
      <c r="C59" s="108">
        <v>2019</v>
      </c>
      <c r="D59" s="109" t="s">
        <v>242</v>
      </c>
      <c r="E59" s="108" t="s">
        <v>254</v>
      </c>
      <c r="F59" s="108" t="s">
        <v>255</v>
      </c>
      <c r="G59" s="108" t="s">
        <v>42</v>
      </c>
      <c r="H59" s="53" t="s">
        <v>160</v>
      </c>
      <c r="I59" s="53" t="s">
        <v>159</v>
      </c>
      <c r="J59" s="108" t="s">
        <v>38</v>
      </c>
      <c r="K59" s="53" t="s">
        <v>161</v>
      </c>
      <c r="L59" s="53">
        <v>1</v>
      </c>
      <c r="N59" s="53">
        <v>1</v>
      </c>
      <c r="O59" s="53">
        <v>0.75</v>
      </c>
      <c r="P59" s="53">
        <v>0.65</v>
      </c>
      <c r="Q59" s="110">
        <f t="shared" si="0"/>
        <v>0.7</v>
      </c>
      <c r="R59" s="53">
        <v>17.399999999999999</v>
      </c>
      <c r="S59" s="53">
        <v>107</v>
      </c>
      <c r="T59" s="16">
        <f t="shared" si="1"/>
        <v>33</v>
      </c>
      <c r="U59" s="53">
        <v>138</v>
      </c>
      <c r="V59" s="111">
        <f t="shared" si="2"/>
        <v>4554</v>
      </c>
      <c r="W59" s="53">
        <v>12</v>
      </c>
      <c r="X59" s="108" t="s">
        <v>46</v>
      </c>
      <c r="Y59" s="53" t="s">
        <v>97</v>
      </c>
      <c r="Z59" s="53" t="s">
        <v>69</v>
      </c>
      <c r="AA59" s="53" t="s">
        <v>55</v>
      </c>
      <c r="AB59" s="108" t="s">
        <v>239</v>
      </c>
      <c r="AC59" s="34"/>
    </row>
    <row r="60" spans="1:29" x14ac:dyDescent="0.15">
      <c r="A60" s="108" t="s">
        <v>61</v>
      </c>
      <c r="B60" s="108" t="s">
        <v>235</v>
      </c>
      <c r="C60" s="108">
        <v>2019</v>
      </c>
      <c r="D60" s="109" t="s">
        <v>242</v>
      </c>
      <c r="E60" s="108" t="s">
        <v>254</v>
      </c>
      <c r="F60" s="108" t="s">
        <v>255</v>
      </c>
      <c r="G60" s="108" t="s">
        <v>42</v>
      </c>
      <c r="H60" s="53" t="s">
        <v>160</v>
      </c>
      <c r="I60" s="53" t="s">
        <v>159</v>
      </c>
      <c r="J60" s="108" t="s">
        <v>38</v>
      </c>
      <c r="K60" s="53" t="s">
        <v>161</v>
      </c>
      <c r="L60" s="53">
        <v>2</v>
      </c>
      <c r="N60" s="53">
        <v>1</v>
      </c>
      <c r="O60" s="53">
        <v>0.5</v>
      </c>
      <c r="P60" s="53">
        <v>0.65</v>
      </c>
      <c r="Q60" s="110">
        <f t="shared" si="0"/>
        <v>0.57499999999999996</v>
      </c>
      <c r="R60" s="53">
        <v>17.2</v>
      </c>
      <c r="S60" s="53">
        <v>110</v>
      </c>
      <c r="T60" s="16">
        <f t="shared" si="1"/>
        <v>33</v>
      </c>
      <c r="U60" s="53">
        <v>138</v>
      </c>
      <c r="V60" s="111">
        <f t="shared" si="2"/>
        <v>4554</v>
      </c>
      <c r="W60" s="53">
        <v>12</v>
      </c>
      <c r="X60" s="108" t="s">
        <v>46</v>
      </c>
      <c r="Y60" s="53" t="s">
        <v>97</v>
      </c>
      <c r="Z60" s="53" t="s">
        <v>69</v>
      </c>
      <c r="AA60" s="53" t="s">
        <v>55</v>
      </c>
      <c r="AB60" s="108" t="s">
        <v>239</v>
      </c>
      <c r="AC60" s="34"/>
    </row>
    <row r="61" spans="1:29" x14ac:dyDescent="0.15">
      <c r="A61" s="108" t="s">
        <v>61</v>
      </c>
      <c r="B61" s="108" t="s">
        <v>235</v>
      </c>
      <c r="C61" s="108">
        <v>2019</v>
      </c>
      <c r="D61" s="109" t="s">
        <v>242</v>
      </c>
      <c r="E61" s="108" t="s">
        <v>254</v>
      </c>
      <c r="F61" s="108" t="s">
        <v>255</v>
      </c>
      <c r="G61" s="108" t="s">
        <v>42</v>
      </c>
      <c r="H61" s="53" t="s">
        <v>160</v>
      </c>
      <c r="I61" s="53" t="s">
        <v>159</v>
      </c>
      <c r="J61" s="108" t="s">
        <v>38</v>
      </c>
      <c r="K61" s="53" t="s">
        <v>161</v>
      </c>
      <c r="L61" s="53">
        <v>3</v>
      </c>
      <c r="N61" s="53">
        <v>1</v>
      </c>
      <c r="O61" s="53">
        <v>0.8</v>
      </c>
      <c r="P61" s="53">
        <v>0.85</v>
      </c>
      <c r="Q61" s="110">
        <f t="shared" si="0"/>
        <v>0.82499999999999996</v>
      </c>
      <c r="R61" s="53">
        <v>17.600000000000001</v>
      </c>
      <c r="S61" s="53">
        <v>99</v>
      </c>
      <c r="T61" s="16">
        <f t="shared" si="1"/>
        <v>33</v>
      </c>
      <c r="U61" s="53">
        <v>138</v>
      </c>
      <c r="V61" s="111">
        <f t="shared" si="2"/>
        <v>4554</v>
      </c>
      <c r="W61" s="53">
        <v>12</v>
      </c>
      <c r="X61" s="108" t="s">
        <v>46</v>
      </c>
      <c r="Y61" s="53" t="s">
        <v>97</v>
      </c>
      <c r="Z61" s="53" t="s">
        <v>69</v>
      </c>
      <c r="AA61" s="53" t="s">
        <v>55</v>
      </c>
      <c r="AB61" s="108" t="s">
        <v>239</v>
      </c>
      <c r="AC61" s="34"/>
    </row>
    <row r="62" spans="1:29" x14ac:dyDescent="0.15">
      <c r="A62" s="108" t="s">
        <v>61</v>
      </c>
      <c r="B62" s="108" t="s">
        <v>235</v>
      </c>
      <c r="C62" s="108">
        <v>2019</v>
      </c>
      <c r="D62" s="109" t="s">
        <v>242</v>
      </c>
      <c r="E62" s="108" t="s">
        <v>256</v>
      </c>
      <c r="F62" s="108" t="s">
        <v>255</v>
      </c>
      <c r="G62" s="108" t="s">
        <v>42</v>
      </c>
      <c r="H62" s="53" t="s">
        <v>164</v>
      </c>
      <c r="I62" s="53" t="s">
        <v>159</v>
      </c>
      <c r="J62" s="108" t="s">
        <v>38</v>
      </c>
      <c r="K62" s="53" t="s">
        <v>161</v>
      </c>
      <c r="L62" s="53">
        <v>1</v>
      </c>
      <c r="N62" s="53">
        <v>1</v>
      </c>
      <c r="O62" s="53">
        <v>0.8</v>
      </c>
      <c r="P62" s="53">
        <v>0.8</v>
      </c>
      <c r="Q62" s="110">
        <f t="shared" si="0"/>
        <v>0.8</v>
      </c>
      <c r="R62" s="53">
        <v>17.2</v>
      </c>
      <c r="S62" s="53">
        <v>87</v>
      </c>
      <c r="T62" s="16">
        <f t="shared" si="1"/>
        <v>36</v>
      </c>
      <c r="U62" s="53">
        <v>138</v>
      </c>
      <c r="V62" s="111">
        <f t="shared" si="2"/>
        <v>4968</v>
      </c>
      <c r="W62" s="53">
        <v>16</v>
      </c>
      <c r="X62" s="108" t="s">
        <v>46</v>
      </c>
      <c r="Y62" s="53" t="s">
        <v>97</v>
      </c>
      <c r="Z62" s="53" t="s">
        <v>78</v>
      </c>
      <c r="AA62" s="53" t="s">
        <v>55</v>
      </c>
      <c r="AB62" s="108" t="s">
        <v>239</v>
      </c>
      <c r="AC62" s="34"/>
    </row>
    <row r="63" spans="1:29" x14ac:dyDescent="0.15">
      <c r="A63" s="108" t="s">
        <v>61</v>
      </c>
      <c r="B63" s="108" t="s">
        <v>235</v>
      </c>
      <c r="C63" s="108">
        <v>2019</v>
      </c>
      <c r="D63" s="109" t="s">
        <v>242</v>
      </c>
      <c r="E63" s="108" t="s">
        <v>256</v>
      </c>
      <c r="F63" s="108" t="s">
        <v>255</v>
      </c>
      <c r="G63" s="108" t="s">
        <v>42</v>
      </c>
      <c r="H63" s="53" t="s">
        <v>164</v>
      </c>
      <c r="I63" s="53" t="s">
        <v>159</v>
      </c>
      <c r="J63" s="108" t="s">
        <v>38</v>
      </c>
      <c r="K63" s="53" t="s">
        <v>161</v>
      </c>
      <c r="L63" s="53">
        <v>2</v>
      </c>
      <c r="N63" s="53">
        <v>1</v>
      </c>
      <c r="O63" s="53">
        <v>0.75</v>
      </c>
      <c r="P63" s="53">
        <v>0.75</v>
      </c>
      <c r="Q63" s="110">
        <f t="shared" si="0"/>
        <v>0.75</v>
      </c>
      <c r="R63" s="53">
        <v>17.2</v>
      </c>
      <c r="S63" s="53">
        <v>93</v>
      </c>
      <c r="T63" s="16">
        <f t="shared" si="1"/>
        <v>36</v>
      </c>
      <c r="U63" s="53">
        <v>138</v>
      </c>
      <c r="V63" s="111">
        <f t="shared" si="2"/>
        <v>4968</v>
      </c>
      <c r="W63" s="53">
        <v>16</v>
      </c>
      <c r="X63" s="108" t="s">
        <v>46</v>
      </c>
      <c r="Y63" s="53" t="s">
        <v>97</v>
      </c>
      <c r="Z63" s="53" t="s">
        <v>78</v>
      </c>
      <c r="AA63" s="53" t="s">
        <v>55</v>
      </c>
      <c r="AB63" s="108" t="s">
        <v>239</v>
      </c>
      <c r="AC63" s="34"/>
    </row>
    <row r="64" spans="1:29" x14ac:dyDescent="0.15">
      <c r="A64" s="108" t="s">
        <v>61</v>
      </c>
      <c r="B64" s="108" t="s">
        <v>235</v>
      </c>
      <c r="C64" s="108">
        <v>2019</v>
      </c>
      <c r="D64" s="109" t="s">
        <v>242</v>
      </c>
      <c r="E64" s="108" t="s">
        <v>256</v>
      </c>
      <c r="F64" s="108" t="s">
        <v>255</v>
      </c>
      <c r="G64" s="108" t="s">
        <v>42</v>
      </c>
      <c r="H64" s="53" t="s">
        <v>164</v>
      </c>
      <c r="I64" s="53" t="s">
        <v>159</v>
      </c>
      <c r="J64" s="108" t="s">
        <v>38</v>
      </c>
      <c r="K64" s="53" t="s">
        <v>161</v>
      </c>
      <c r="L64" s="53">
        <v>3</v>
      </c>
      <c r="N64" s="53">
        <v>1</v>
      </c>
      <c r="O64" s="53">
        <v>0.5</v>
      </c>
      <c r="P64" s="53">
        <v>0.5</v>
      </c>
      <c r="Q64" s="110">
        <f t="shared" si="0"/>
        <v>0.5</v>
      </c>
      <c r="R64" s="53">
        <v>17.600000000000001</v>
      </c>
      <c r="S64" s="53">
        <v>88</v>
      </c>
      <c r="T64" s="16">
        <f t="shared" si="1"/>
        <v>36</v>
      </c>
      <c r="U64" s="53">
        <v>138</v>
      </c>
      <c r="V64" s="111">
        <f t="shared" si="2"/>
        <v>4968</v>
      </c>
      <c r="W64" s="53">
        <v>16</v>
      </c>
      <c r="X64" s="108" t="s">
        <v>46</v>
      </c>
      <c r="Y64" s="53" t="s">
        <v>97</v>
      </c>
      <c r="Z64" s="53" t="s">
        <v>78</v>
      </c>
      <c r="AA64" s="53" t="s">
        <v>55</v>
      </c>
      <c r="AB64" s="108" t="s">
        <v>239</v>
      </c>
      <c r="AC64" s="34"/>
    </row>
    <row r="65" spans="1:29" x14ac:dyDescent="0.15">
      <c r="A65" s="108" t="s">
        <v>61</v>
      </c>
      <c r="B65" s="108" t="s">
        <v>235</v>
      </c>
      <c r="C65" s="108">
        <v>2019</v>
      </c>
      <c r="D65" s="109" t="s">
        <v>242</v>
      </c>
      <c r="E65" s="108" t="s">
        <v>256</v>
      </c>
      <c r="F65" s="108" t="s">
        <v>255</v>
      </c>
      <c r="G65" s="108" t="s">
        <v>42</v>
      </c>
      <c r="H65" s="53" t="s">
        <v>160</v>
      </c>
      <c r="I65" s="53" t="s">
        <v>159</v>
      </c>
      <c r="J65" s="108" t="s">
        <v>38</v>
      </c>
      <c r="K65" s="53" t="s">
        <v>161</v>
      </c>
      <c r="L65" s="53">
        <v>1</v>
      </c>
      <c r="N65" s="53">
        <v>1</v>
      </c>
      <c r="O65" s="53">
        <v>0.5</v>
      </c>
      <c r="P65" s="53">
        <v>0.5</v>
      </c>
      <c r="Q65" s="110">
        <f t="shared" si="0"/>
        <v>0.5</v>
      </c>
      <c r="R65" s="53">
        <v>18.3</v>
      </c>
      <c r="S65" s="53">
        <v>99</v>
      </c>
      <c r="T65" s="16">
        <f t="shared" si="1"/>
        <v>33</v>
      </c>
      <c r="U65" s="53">
        <v>138</v>
      </c>
      <c r="V65" s="111">
        <f t="shared" si="2"/>
        <v>4554</v>
      </c>
      <c r="W65" s="53">
        <v>16</v>
      </c>
      <c r="X65" s="108" t="s">
        <v>46</v>
      </c>
      <c r="Y65" s="53" t="s">
        <v>97</v>
      </c>
      <c r="Z65" s="53" t="s">
        <v>78</v>
      </c>
      <c r="AA65" s="53" t="s">
        <v>55</v>
      </c>
      <c r="AB65" s="108" t="s">
        <v>239</v>
      </c>
    </row>
    <row r="66" spans="1:29" x14ac:dyDescent="0.15">
      <c r="A66" s="108" t="s">
        <v>61</v>
      </c>
      <c r="B66" s="108" t="s">
        <v>235</v>
      </c>
      <c r="C66" s="108">
        <v>2019</v>
      </c>
      <c r="D66" s="109" t="s">
        <v>242</v>
      </c>
      <c r="E66" s="108" t="s">
        <v>256</v>
      </c>
      <c r="F66" s="108" t="s">
        <v>255</v>
      </c>
      <c r="G66" s="108" t="s">
        <v>42</v>
      </c>
      <c r="H66" s="53" t="s">
        <v>160</v>
      </c>
      <c r="I66" s="53" t="s">
        <v>159</v>
      </c>
      <c r="J66" s="108" t="s">
        <v>38</v>
      </c>
      <c r="K66" s="53" t="s">
        <v>161</v>
      </c>
      <c r="L66" s="53">
        <v>2</v>
      </c>
      <c r="N66" s="53">
        <v>1</v>
      </c>
      <c r="O66" s="53">
        <v>0.5</v>
      </c>
      <c r="P66" s="53">
        <v>0.5</v>
      </c>
      <c r="Q66" s="110">
        <f t="shared" ref="Q66:Q95" si="3">IF(OR(O66="",P66=""),"",AVERAGE(O66,P66))</f>
        <v>0.5</v>
      </c>
      <c r="R66" s="53">
        <v>18.2</v>
      </c>
      <c r="S66" s="53">
        <v>113</v>
      </c>
      <c r="T66" s="16">
        <f t="shared" ref="T66:T73" si="4">IF(H66="","",IF(OR(H66="GREEN",H66="GK"),IF(S66&gt;=$AX$2,VLOOKUP(S66,$AX$2:$AY$15,2,1),""),IF(S66&gt;=$AZ$2,VLOOKUP(S66,$AZ$2:$BA$15,2,1),"")))</f>
        <v>30</v>
      </c>
      <c r="U66" s="53">
        <v>138</v>
      </c>
      <c r="V66" s="111">
        <f t="shared" ref="V66:V95" si="5">IF(OR(N66="",U66="",T66=""),"",U66/N66*T66)</f>
        <v>4140</v>
      </c>
      <c r="W66" s="53">
        <v>16</v>
      </c>
      <c r="X66" s="108" t="s">
        <v>46</v>
      </c>
      <c r="Y66" s="53" t="s">
        <v>97</v>
      </c>
      <c r="Z66" s="53" t="s">
        <v>78</v>
      </c>
      <c r="AA66" s="53" t="s">
        <v>55</v>
      </c>
      <c r="AB66" s="108" t="s">
        <v>239</v>
      </c>
    </row>
    <row r="67" spans="1:29" x14ac:dyDescent="0.15">
      <c r="A67" s="108" t="s">
        <v>61</v>
      </c>
      <c r="B67" s="108" t="s">
        <v>235</v>
      </c>
      <c r="C67" s="108">
        <v>2019</v>
      </c>
      <c r="D67" s="109" t="s">
        <v>242</v>
      </c>
      <c r="E67" s="108" t="s">
        <v>256</v>
      </c>
      <c r="F67" s="108" t="s">
        <v>255</v>
      </c>
      <c r="G67" s="108" t="s">
        <v>42</v>
      </c>
      <c r="H67" s="53" t="s">
        <v>160</v>
      </c>
      <c r="I67" s="53" t="s">
        <v>159</v>
      </c>
      <c r="J67" s="108" t="s">
        <v>38</v>
      </c>
      <c r="K67" s="53" t="s">
        <v>161</v>
      </c>
      <c r="L67" s="53">
        <v>3</v>
      </c>
      <c r="N67" s="53">
        <v>1</v>
      </c>
      <c r="O67" s="53">
        <v>0.5</v>
      </c>
      <c r="P67" s="53">
        <v>0.5</v>
      </c>
      <c r="Q67" s="110">
        <f t="shared" si="3"/>
        <v>0.5</v>
      </c>
      <c r="R67" s="53">
        <v>19.100000000000001</v>
      </c>
      <c r="S67" s="53">
        <v>113</v>
      </c>
      <c r="T67" s="16">
        <f t="shared" si="4"/>
        <v>30</v>
      </c>
      <c r="U67" s="53">
        <v>138</v>
      </c>
      <c r="V67" s="111">
        <f t="shared" si="5"/>
        <v>4140</v>
      </c>
      <c r="W67" s="53">
        <v>16</v>
      </c>
      <c r="X67" s="108" t="s">
        <v>46</v>
      </c>
      <c r="Y67" s="53" t="s">
        <v>97</v>
      </c>
      <c r="Z67" s="53" t="s">
        <v>78</v>
      </c>
      <c r="AA67" s="53" t="s">
        <v>55</v>
      </c>
      <c r="AB67" s="108" t="s">
        <v>239</v>
      </c>
    </row>
    <row r="68" spans="1:29" x14ac:dyDescent="0.15">
      <c r="A68" s="108"/>
      <c r="B68" s="108"/>
      <c r="C68" s="108"/>
      <c r="D68" s="109"/>
      <c r="E68" s="108"/>
      <c r="F68" s="108"/>
      <c r="G68" s="108"/>
      <c r="J68" s="108"/>
      <c r="Q68" s="110" t="str">
        <f t="shared" si="3"/>
        <v/>
      </c>
      <c r="T68" s="16" t="str">
        <f t="shared" si="4"/>
        <v/>
      </c>
      <c r="V68" s="111" t="str">
        <f t="shared" si="5"/>
        <v/>
      </c>
      <c r="X68" s="108"/>
      <c r="AB68" s="108"/>
      <c r="AC68" s="34"/>
    </row>
    <row r="69" spans="1:29" x14ac:dyDescent="0.15">
      <c r="A69" s="108"/>
      <c r="B69" s="108"/>
      <c r="C69" s="108"/>
      <c r="D69" s="109"/>
      <c r="E69" s="108"/>
      <c r="F69" s="108"/>
      <c r="G69" s="108"/>
      <c r="J69" s="108"/>
      <c r="Q69" s="110" t="str">
        <f t="shared" si="3"/>
        <v/>
      </c>
      <c r="R69" s="34"/>
      <c r="T69" s="16" t="str">
        <f t="shared" si="4"/>
        <v/>
      </c>
      <c r="V69" s="111" t="str">
        <f t="shared" si="5"/>
        <v/>
      </c>
      <c r="X69" s="108"/>
      <c r="AB69" s="108"/>
      <c r="AC69" s="34"/>
    </row>
    <row r="70" spans="1:29" x14ac:dyDescent="0.15">
      <c r="A70" s="108"/>
      <c r="B70" s="108"/>
      <c r="C70" s="108"/>
      <c r="D70" s="109"/>
      <c r="F70" s="108"/>
      <c r="G70" s="108"/>
      <c r="J70" s="108"/>
      <c r="Q70" s="110" t="str">
        <f t="shared" si="3"/>
        <v/>
      </c>
      <c r="R70" s="34"/>
      <c r="T70" s="16" t="str">
        <f t="shared" si="4"/>
        <v/>
      </c>
      <c r="V70" s="111" t="str">
        <f t="shared" si="5"/>
        <v/>
      </c>
      <c r="X70" s="108"/>
      <c r="AB70" s="108"/>
      <c r="AC70" s="34"/>
    </row>
    <row r="71" spans="1:29" x14ac:dyDescent="0.15">
      <c r="A71" s="108"/>
      <c r="B71" s="108"/>
      <c r="C71" s="108"/>
      <c r="D71" s="109"/>
      <c r="F71" s="108"/>
      <c r="G71" s="108"/>
      <c r="J71" s="108"/>
      <c r="Q71" s="110" t="str">
        <f t="shared" si="3"/>
        <v/>
      </c>
      <c r="T71" s="16" t="str">
        <f t="shared" si="4"/>
        <v/>
      </c>
      <c r="V71" s="111" t="str">
        <f t="shared" si="5"/>
        <v/>
      </c>
      <c r="X71" s="108"/>
      <c r="AB71" s="108"/>
      <c r="AC71" s="34"/>
    </row>
    <row r="72" spans="1:29" x14ac:dyDescent="0.15">
      <c r="A72" s="108"/>
      <c r="B72" s="108"/>
      <c r="C72" s="108"/>
      <c r="D72" s="109"/>
      <c r="F72" s="108"/>
      <c r="G72" s="108"/>
      <c r="J72" s="108"/>
      <c r="Q72" s="110" t="str">
        <f t="shared" si="3"/>
        <v/>
      </c>
      <c r="T72" s="16" t="str">
        <f t="shared" si="4"/>
        <v/>
      </c>
      <c r="V72" s="111" t="str">
        <f t="shared" si="5"/>
        <v/>
      </c>
      <c r="X72" s="108"/>
      <c r="AB72" s="108"/>
      <c r="AC72" s="34"/>
    </row>
    <row r="73" spans="1:29" x14ac:dyDescent="0.15">
      <c r="A73" s="108"/>
      <c r="B73" s="108"/>
      <c r="C73" s="108"/>
      <c r="D73" s="109"/>
      <c r="G73" s="108"/>
      <c r="J73" s="108"/>
      <c r="Q73" s="110" t="str">
        <f t="shared" si="3"/>
        <v/>
      </c>
      <c r="T73" s="16" t="str">
        <f t="shared" si="4"/>
        <v/>
      </c>
      <c r="V73" s="111" t="str">
        <f t="shared" si="5"/>
        <v/>
      </c>
      <c r="X73" s="108"/>
      <c r="AB73" s="108"/>
      <c r="AC73" s="34"/>
    </row>
    <row r="74" spans="1:29" x14ac:dyDescent="0.15">
      <c r="A74" s="108"/>
      <c r="B74" s="108"/>
      <c r="C74" s="108"/>
      <c r="D74" s="109"/>
      <c r="G74" s="108"/>
      <c r="J74" s="108"/>
      <c r="Q74" s="110"/>
      <c r="V74" s="111"/>
      <c r="X74" s="108"/>
      <c r="AB74" s="108"/>
    </row>
    <row r="75" spans="1:29" x14ac:dyDescent="0.15">
      <c r="A75" s="108"/>
      <c r="B75" s="108"/>
      <c r="C75" s="108"/>
      <c r="D75" s="109"/>
      <c r="G75" s="108"/>
      <c r="J75" s="108"/>
      <c r="Q75" s="110"/>
      <c r="V75" s="111"/>
      <c r="X75" s="108"/>
      <c r="AB75" s="108"/>
    </row>
    <row r="76" spans="1:29" x14ac:dyDescent="0.15">
      <c r="A76" s="108"/>
      <c r="B76" s="108"/>
      <c r="C76" s="108"/>
      <c r="D76" s="109"/>
      <c r="G76" s="108"/>
      <c r="J76" s="108"/>
      <c r="Q76" s="110"/>
      <c r="V76" s="111"/>
      <c r="X76" s="108"/>
      <c r="AB76" s="108"/>
    </row>
    <row r="77" spans="1:29" x14ac:dyDescent="0.15">
      <c r="A77" s="108"/>
      <c r="B77" s="108"/>
      <c r="C77" s="108"/>
      <c r="D77" s="109"/>
      <c r="G77" s="108"/>
      <c r="J77" s="108"/>
      <c r="Q77" s="110" t="str">
        <f t="shared" ref="Q77:Q79" si="6">IF(OR(O77="",P77=""),"",AVERAGE(O77,P77))</f>
        <v/>
      </c>
      <c r="T77" s="16" t="str">
        <f>IF(H77="","",IF(OR(H77="GREEN",H77="GK"),IF(S77&gt;=$AX$2,VLOOKUP(S77,$AX$2:$AY$15,2,1),""),IF(S77&gt;=$AZ$2,VLOOKUP(S77,$AZ$2:$BA$15,2,1),"")))</f>
        <v/>
      </c>
      <c r="V77" s="111" t="str">
        <f t="shared" ref="V77:V79" si="7">IF(OR(N77="",U77="",T77=""),"",U77/N77*T77)</f>
        <v/>
      </c>
      <c r="X77" s="108"/>
      <c r="AB77" s="108"/>
    </row>
    <row r="78" spans="1:29" x14ac:dyDescent="0.15">
      <c r="A78" s="108"/>
      <c r="B78" s="108"/>
      <c r="C78" s="108"/>
      <c r="D78" s="109"/>
      <c r="G78" s="108"/>
      <c r="J78" s="108"/>
      <c r="Q78" s="110" t="str">
        <f t="shared" si="6"/>
        <v/>
      </c>
      <c r="T78" s="16" t="str">
        <f>IF(H78="","",IF(OR(H78="GREEN",H78="GK"),IF(S78&gt;=$AX$2,VLOOKUP(S78,$AX$2:$AY$15,2,1),""),IF(S78&gt;=$AZ$2,VLOOKUP(S78,$AZ$2:$BA$15,2,1),"")))</f>
        <v/>
      </c>
      <c r="V78" s="111" t="str">
        <f t="shared" si="7"/>
        <v/>
      </c>
      <c r="X78" s="108"/>
      <c r="AB78" s="108"/>
    </row>
    <row r="79" spans="1:29" x14ac:dyDescent="0.15">
      <c r="A79" s="108"/>
      <c r="B79" s="108"/>
      <c r="C79" s="108"/>
      <c r="D79" s="109"/>
      <c r="G79" s="108"/>
      <c r="J79" s="108"/>
      <c r="Q79" s="110" t="str">
        <f t="shared" si="6"/>
        <v/>
      </c>
      <c r="T79" s="16" t="str">
        <f>IF(H79="","",IF(OR(H79="GREEN",H79="GK"),IF(S79&gt;=$AX$2,VLOOKUP(S79,$AX$2:$AY$15,2,1),""),IF(S79&gt;=$AZ$2,VLOOKUP(S79,$AZ$2:$BA$15,2,1),"")))</f>
        <v/>
      </c>
      <c r="V79" s="111" t="str">
        <f t="shared" si="7"/>
        <v/>
      </c>
      <c r="X79" s="108"/>
      <c r="AB79" s="108"/>
    </row>
    <row r="80" spans="1:29" x14ac:dyDescent="0.15">
      <c r="A80" s="108"/>
      <c r="B80" s="108"/>
      <c r="C80" s="108"/>
      <c r="D80" s="109"/>
      <c r="G80" s="108"/>
      <c r="J80" s="108"/>
      <c r="Q80" s="110"/>
      <c r="V80" s="111"/>
      <c r="X80" s="108"/>
      <c r="AB80" s="108"/>
    </row>
    <row r="81" spans="1:28" x14ac:dyDescent="0.15">
      <c r="A81" s="108"/>
      <c r="B81" s="108"/>
      <c r="C81" s="108"/>
      <c r="D81" s="109"/>
      <c r="G81" s="108"/>
      <c r="J81" s="108"/>
      <c r="Q81" s="110"/>
      <c r="V81" s="111"/>
      <c r="X81" s="108"/>
      <c r="AB81" s="108"/>
    </row>
    <row r="82" spans="1:28" x14ac:dyDescent="0.15">
      <c r="A82" s="108"/>
      <c r="B82" s="108"/>
      <c r="C82" s="108"/>
      <c r="D82" s="109"/>
      <c r="G82" s="108"/>
      <c r="J82" s="108"/>
      <c r="Q82" s="110"/>
      <c r="V82" s="111"/>
      <c r="X82" s="108"/>
      <c r="AB82" s="108"/>
    </row>
    <row r="83" spans="1:28" x14ac:dyDescent="0.15">
      <c r="A83" s="108"/>
      <c r="B83" s="108"/>
      <c r="C83" s="108"/>
      <c r="D83" s="109"/>
      <c r="G83" s="108"/>
      <c r="J83" s="108"/>
      <c r="Q83" s="110"/>
      <c r="V83" s="111"/>
      <c r="X83" s="108"/>
      <c r="AB83" s="108"/>
    </row>
    <row r="84" spans="1:28" x14ac:dyDescent="0.15">
      <c r="A84" s="108"/>
      <c r="B84" s="108"/>
      <c r="C84" s="108"/>
      <c r="D84" s="109"/>
      <c r="G84" s="108"/>
      <c r="J84" s="108"/>
      <c r="Q84" s="110"/>
      <c r="V84" s="111"/>
      <c r="X84" s="108"/>
      <c r="AB84" s="108"/>
    </row>
    <row r="85" spans="1:28" x14ac:dyDescent="0.15">
      <c r="A85" s="108"/>
      <c r="B85" s="108"/>
      <c r="C85" s="108"/>
      <c r="D85" s="109"/>
      <c r="G85" s="108"/>
      <c r="J85" s="108"/>
      <c r="Q85" s="110"/>
      <c r="V85" s="111"/>
      <c r="X85" s="108"/>
      <c r="AB85" s="108"/>
    </row>
    <row r="86" spans="1:28" x14ac:dyDescent="0.15">
      <c r="A86" s="108"/>
      <c r="B86" s="108"/>
      <c r="C86" s="108"/>
      <c r="D86" s="109"/>
      <c r="G86" s="108"/>
      <c r="J86" s="108"/>
      <c r="Q86" s="110"/>
      <c r="V86" s="111"/>
      <c r="X86" s="108"/>
      <c r="AB86" s="108"/>
    </row>
    <row r="87" spans="1:28" x14ac:dyDescent="0.15">
      <c r="A87" s="108"/>
      <c r="B87" s="108"/>
      <c r="C87" s="108"/>
      <c r="D87" s="109"/>
      <c r="G87" s="108"/>
      <c r="J87" s="108"/>
      <c r="Q87" s="110"/>
      <c r="V87" s="111"/>
      <c r="X87" s="108"/>
      <c r="AB87" s="108"/>
    </row>
    <row r="88" spans="1:28" x14ac:dyDescent="0.15">
      <c r="A88" s="108"/>
      <c r="B88" s="108"/>
      <c r="C88" s="108"/>
      <c r="D88" s="109"/>
      <c r="G88" s="108"/>
      <c r="J88" s="108"/>
      <c r="Q88" s="110"/>
      <c r="V88" s="111"/>
      <c r="X88" s="108"/>
      <c r="AB88" s="108"/>
    </row>
    <row r="89" spans="1:28" x14ac:dyDescent="0.15">
      <c r="A89" s="108"/>
      <c r="B89" s="108"/>
      <c r="C89" s="108"/>
      <c r="D89" s="109"/>
      <c r="G89" s="108"/>
      <c r="J89" s="108"/>
      <c r="Q89" s="110"/>
      <c r="V89" s="111"/>
      <c r="X89" s="108"/>
      <c r="AB89" s="108"/>
    </row>
    <row r="90" spans="1:28" x14ac:dyDescent="0.15">
      <c r="A90" s="108"/>
      <c r="B90" s="108"/>
      <c r="C90" s="108"/>
      <c r="D90" s="109"/>
      <c r="G90" s="108"/>
      <c r="J90" s="108"/>
      <c r="Q90" s="110"/>
      <c r="V90" s="111"/>
      <c r="X90" s="108"/>
      <c r="AB90" s="108"/>
    </row>
    <row r="91" spans="1:28" x14ac:dyDescent="0.15">
      <c r="A91" s="108"/>
      <c r="B91" s="108"/>
      <c r="C91" s="108"/>
      <c r="D91" s="109"/>
      <c r="G91" s="108"/>
      <c r="J91" s="108"/>
      <c r="Q91" s="110"/>
      <c r="V91" s="111"/>
      <c r="X91" s="108"/>
      <c r="AB91" s="108"/>
    </row>
    <row r="92" spans="1:28" x14ac:dyDescent="0.15">
      <c r="A92" s="108"/>
      <c r="B92" s="108"/>
      <c r="C92" s="108"/>
      <c r="D92" s="109"/>
      <c r="G92" s="108"/>
      <c r="J92" s="108"/>
      <c r="Q92" s="110"/>
      <c r="V92" s="111"/>
      <c r="X92" s="108"/>
      <c r="AB92" s="108"/>
    </row>
    <row r="93" spans="1:28" x14ac:dyDescent="0.15">
      <c r="A93" s="108"/>
      <c r="B93" s="108"/>
      <c r="C93" s="108"/>
      <c r="D93" s="109"/>
      <c r="G93" s="108"/>
      <c r="J93" s="108"/>
      <c r="Q93" s="110"/>
      <c r="V93" s="111"/>
      <c r="X93" s="108"/>
      <c r="AB93" s="108"/>
    </row>
    <row r="94" spans="1:28" x14ac:dyDescent="0.15">
      <c r="A94" s="108"/>
      <c r="B94" s="108"/>
      <c r="C94" s="108"/>
      <c r="D94" s="109"/>
      <c r="G94" s="108"/>
      <c r="J94" s="108"/>
      <c r="Q94" s="110"/>
      <c r="V94" s="111"/>
      <c r="X94" s="108"/>
      <c r="AB94" s="108"/>
    </row>
    <row r="95" spans="1:28" x14ac:dyDescent="0.15">
      <c r="D95" s="109"/>
    </row>
    <row r="96" spans="1:28" x14ac:dyDescent="0.15">
      <c r="A96" s="108"/>
      <c r="B96" s="108"/>
      <c r="C96" s="108"/>
      <c r="D96" s="109"/>
      <c r="G96" s="108"/>
      <c r="J96" s="108"/>
      <c r="Q96" s="110"/>
      <c r="V96" s="111"/>
      <c r="X96" s="108"/>
      <c r="AB96" s="108"/>
    </row>
    <row r="97" spans="1:28" x14ac:dyDescent="0.15">
      <c r="A97" s="108"/>
      <c r="B97" s="108"/>
      <c r="C97" s="108"/>
      <c r="G97" s="108"/>
      <c r="J97" s="108"/>
      <c r="Q97" s="110"/>
      <c r="V97" s="111"/>
      <c r="X97" s="108"/>
      <c r="AB97" s="108"/>
    </row>
    <row r="98" spans="1:28" x14ac:dyDescent="0.15">
      <c r="A98" s="108"/>
      <c r="B98" s="108"/>
      <c r="C98" s="108"/>
      <c r="D98" s="109"/>
      <c r="G98" s="108"/>
      <c r="J98" s="108"/>
      <c r="Q98" s="110"/>
      <c r="V98" s="111"/>
      <c r="X98" s="108"/>
      <c r="AB98" s="108"/>
    </row>
    <row r="99" spans="1:28" x14ac:dyDescent="0.15">
      <c r="A99" s="108"/>
      <c r="B99" s="108"/>
      <c r="C99" s="108"/>
      <c r="D99" s="109"/>
      <c r="G99" s="108"/>
      <c r="J99" s="108"/>
      <c r="Q99" s="110"/>
      <c r="V99" s="111"/>
      <c r="X99" s="108"/>
      <c r="AB99" s="108"/>
    </row>
    <row r="100" spans="1:28" x14ac:dyDescent="0.15">
      <c r="A100" s="108"/>
      <c r="B100" s="108"/>
      <c r="C100" s="108"/>
      <c r="D100" s="109"/>
      <c r="G100" s="108"/>
      <c r="J100" s="108"/>
      <c r="Q100" s="110"/>
      <c r="V100" s="111"/>
      <c r="X100" s="108"/>
      <c r="AB100" s="108"/>
    </row>
    <row r="101" spans="1:28" x14ac:dyDescent="0.15">
      <c r="A101" s="108"/>
      <c r="B101" s="108"/>
      <c r="C101" s="108"/>
      <c r="D101" s="109"/>
      <c r="G101" s="108"/>
      <c r="J101" s="108"/>
      <c r="Q101" s="110"/>
      <c r="V101" s="111"/>
      <c r="X101" s="108"/>
      <c r="AB101" s="108"/>
    </row>
    <row r="102" spans="1:28" x14ac:dyDescent="0.15">
      <c r="A102" s="108"/>
      <c r="B102" s="108"/>
      <c r="C102" s="108"/>
      <c r="D102" s="109"/>
      <c r="G102" s="108"/>
      <c r="J102" s="108"/>
      <c r="Q102" s="110"/>
      <c r="V102" s="111"/>
      <c r="X102" s="108"/>
      <c r="AB102" s="108"/>
    </row>
    <row r="103" spans="1:28" x14ac:dyDescent="0.15">
      <c r="A103" s="108"/>
      <c r="B103" s="108"/>
      <c r="C103" s="108"/>
      <c r="D103" s="109"/>
      <c r="G103" s="108"/>
      <c r="J103" s="108"/>
      <c r="Q103" s="110"/>
      <c r="V103" s="111"/>
      <c r="X103" s="108"/>
      <c r="AB103" s="108"/>
    </row>
    <row r="104" spans="1:28" x14ac:dyDescent="0.15">
      <c r="A104" s="108"/>
      <c r="B104" s="108"/>
      <c r="C104" s="108"/>
      <c r="D104" s="109"/>
      <c r="G104" s="108"/>
      <c r="J104" s="108"/>
      <c r="Q104" s="110"/>
      <c r="V104" s="111"/>
      <c r="X104" s="108"/>
      <c r="AB104" s="108"/>
    </row>
    <row r="105" spans="1:28" x14ac:dyDescent="0.15">
      <c r="A105" s="108"/>
      <c r="B105" s="108"/>
      <c r="C105" s="108"/>
      <c r="D105" s="109"/>
      <c r="G105" s="108"/>
      <c r="J105" s="108"/>
      <c r="Q105" s="110"/>
      <c r="V105" s="111"/>
      <c r="X105" s="108"/>
      <c r="AB105" s="108"/>
    </row>
    <row r="106" spans="1:28" x14ac:dyDescent="0.15">
      <c r="A106" s="108"/>
      <c r="B106" s="108"/>
      <c r="C106" s="108"/>
      <c r="D106" s="109"/>
      <c r="G106" s="108"/>
      <c r="J106" s="108"/>
      <c r="Q106" s="110"/>
      <c r="V106" s="111"/>
      <c r="X106" s="108"/>
      <c r="AB106" s="108"/>
    </row>
    <row r="107" spans="1:28" x14ac:dyDescent="0.15">
      <c r="A107" s="108"/>
      <c r="B107" s="108"/>
      <c r="C107" s="108"/>
      <c r="D107" s="109"/>
      <c r="G107" s="108"/>
      <c r="J107" s="108"/>
      <c r="Q107" s="110"/>
      <c r="V107" s="111"/>
      <c r="X107" s="108"/>
      <c r="AB107" s="108"/>
    </row>
    <row r="108" spans="1:28" x14ac:dyDescent="0.15">
      <c r="A108" s="108"/>
      <c r="B108" s="108"/>
      <c r="C108" s="108"/>
      <c r="D108" s="109"/>
      <c r="G108" s="108"/>
      <c r="J108" s="108"/>
      <c r="Q108" s="110"/>
      <c r="V108" s="111"/>
      <c r="X108" s="108"/>
      <c r="AB108" s="108"/>
    </row>
    <row r="109" spans="1:28" x14ac:dyDescent="0.15">
      <c r="A109" s="108"/>
      <c r="B109" s="108"/>
      <c r="C109" s="108"/>
      <c r="D109" s="109"/>
      <c r="G109" s="108"/>
      <c r="J109" s="108"/>
      <c r="Q109" s="110"/>
      <c r="V109" s="111"/>
      <c r="X109" s="108"/>
      <c r="AB109" s="108"/>
    </row>
    <row r="110" spans="1:28" x14ac:dyDescent="0.15">
      <c r="A110" s="108"/>
      <c r="B110" s="108"/>
      <c r="C110" s="108"/>
      <c r="D110" s="109"/>
      <c r="G110" s="108"/>
      <c r="J110" s="108"/>
      <c r="Q110" s="110"/>
      <c r="V110" s="111"/>
      <c r="X110" s="108"/>
      <c r="AB110" s="108"/>
    </row>
    <row r="111" spans="1:28" x14ac:dyDescent="0.15">
      <c r="A111" s="108"/>
      <c r="B111" s="108"/>
      <c r="C111" s="108"/>
      <c r="D111" s="109"/>
      <c r="G111" s="108"/>
      <c r="J111" s="108"/>
      <c r="Q111" s="110"/>
      <c r="V111" s="111"/>
      <c r="X111" s="108"/>
      <c r="AB111" s="108"/>
    </row>
    <row r="112" spans="1:28" x14ac:dyDescent="0.15">
      <c r="A112" s="108"/>
      <c r="B112" s="108"/>
      <c r="C112" s="108"/>
      <c r="D112" s="109"/>
      <c r="G112" s="108"/>
      <c r="J112" s="108"/>
      <c r="Q112" s="110"/>
      <c r="V112" s="111"/>
      <c r="X112" s="108"/>
      <c r="AB112" s="108"/>
    </row>
    <row r="113" spans="4:4" x14ac:dyDescent="0.15">
      <c r="D113" s="109"/>
    </row>
    <row r="114" spans="4:4" x14ac:dyDescent="0.15">
      <c r="D114" s="109"/>
    </row>
  </sheetData>
  <autoFilter ref="A1:BA1" xr:uid="{00000000-0009-0000-0000-000004000000}"/>
  <phoneticPr fontId="3"/>
  <dataValidations count="21">
    <dataValidation type="list" allowBlank="1" showInputMessage="1" showErrorMessage="1" sqref="K2:K120" xr:uid="{0D08DD54-AE7A-4F6A-8D46-4FCD9C5A7DE2}">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BF7C313E-F86B-42AB-B597-3215176F5AEF}">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947972F4-6DA9-48F6-B939-2F3FE3F92D8A}">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WVR2:WVR73 WLV2:WLV73 WBZ2:WBZ73 VSD2:VSD73 VIH2:VIH73 UYL2:UYL73 UOP2:UOP73 UET2:UET73 TUX2:TUX73 TLB2:TLB73 TBF2:TBF73 SRJ2:SRJ73 SHN2:SHN73 RXR2:RXR73 RNV2:RNV73 RDZ2:RDZ73 QUD2:QUD73 QKH2:QKH73 QAL2:QAL73 PQP2:PQP73 PGT2:PGT73 OWX2:OWX73 ONB2:ONB73 ODF2:ODF73 NTJ2:NTJ73 NJN2:NJN73 MZR2:MZR73 MPV2:MPV73 MFZ2:MFZ73 LWD2:LWD73 LMH2:LMH73 LCL2:LCL73 KSP2:KSP73 KIT2:KIT73 JYX2:JYX73 JPB2:JPB73 JFF2:JFF73 IVJ2:IVJ73 ILN2:ILN73 IBR2:IBR73 HRV2:HRV73 HHZ2:HHZ73 GYD2:GYD73 GOH2:GOH73 GEL2:GEL73 FUP2:FUP73 FKT2:FKT73 FAX2:FAX73 ERB2:ERB73 EHF2:EHF73 DXJ2:DXJ73 DNN2:DNN73 DDR2:DDR73 CTV2:CTV73 CJZ2:CJZ73 CAD2:CAD73 BQH2:BQH73 BGL2:BGL73 AWP2:AWP73 AMT2:AMT73 ACX2:ACX73 TB2:TB73 JF2:JF73" xr:uid="{C25BF29E-21A4-4721-83F9-4C320A30E7C8}">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6:F981905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80:F916369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4:F850833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8:F785297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2:F719761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6:F654225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600:F588689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4:F523153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8:F457617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2:F392081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6:F326545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20:F261009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4:F195473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8:F129937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2:F64401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8A6546A4-1E9C-46B2-89DD-E1C24D31608D}">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6:E981905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80:E916369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4:E850833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8:E785297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2:E719761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6:E654225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600:E588689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4:E523153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8:E457617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2:E392081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6:E326545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20:E261009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4:E195473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8:E129937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2:E64401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E3872D4C-1C23-479E-A92D-BD9D40AFC422}">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X96:X500 X2:X94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JT2:JT73" xr:uid="{89F64EE7-0D3B-41EF-B316-416D50A2C49A}">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B96:B112 B2:B94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IX2:IX73" xr:uid="{58C34254-B192-4334-B84E-2174C9777B18}"/>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WVI2:WVI73 WLM2:WLM73 WBQ2:WBQ73 VRU2:VRU73 VHY2:VHY73 UYC2:UYC73 UOG2:UOG73 UEK2:UEK73 TUO2:TUO73 TKS2:TKS73 TAW2:TAW73 SRA2:SRA73 SHE2:SHE73 RXI2:RXI73 RNM2:RNM73 RDQ2:RDQ73 QTU2:QTU73 QJY2:QJY73 QAC2:QAC73 PQG2:PQG73 PGK2:PGK73 OWO2:OWO73 OMS2:OMS73 OCW2:OCW73 NTA2:NTA73 NJE2:NJE73 MZI2:MZI73 MPM2:MPM73 MFQ2:MFQ73 LVU2:LVU73 LLY2:LLY73 LCC2:LCC73 KSG2:KSG73 KIK2:KIK73 JYO2:JYO73 JOS2:JOS73 JEW2:JEW73 IVA2:IVA73 ILE2:ILE73 IBI2:IBI73 HRM2:HRM73 HHQ2:HHQ73 GXU2:GXU73 GNY2:GNY73 GEC2:GEC73 FUG2:FUG73 FKK2:FKK73 FAO2:FAO73 EQS2:EQS73 EGW2:EGW73 DXA2:DXA73 DNE2:DNE73 DDI2:DDI73 CTM2:CTM73 CJQ2:CJQ73 BZU2:BZU73 BPY2:BPY73 BGC2:BGC73 AWG2:AWG73 AMK2:AMK73 ACO2:ACO73 SS2:SS73 IW2:IW73" xr:uid="{74F103F2-CB3A-42BF-B669-57EAB51D00CE}">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G96:G500 G2:G94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JC2:JC73" xr:uid="{791C53A5-C36B-4DD5-A4E0-3062321C157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642FA942-DD23-4CEB-AFA9-2BE628D0900D}">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I96:I500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94" xr:uid="{91E996A0-42C5-4BBF-B9D4-D5C56BA49CE4}">
      <formula1>$AN$5:$AN$6</formula1>
    </dataValidation>
    <dataValidation type="list" allowBlank="1" showInputMessage="1" showErrorMessage="1" sqref="WWG981805:WWI981888 WCO981805:WCQ981888 WMK981805:WMM981888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JU2:JW73 TQ2:TS73 ADM2:ADO73 ANI2:ANK73 AXE2:AXG73 BHA2:BHC73 BQW2:BQY73 CAS2:CAU73 CKO2:CKQ73 CUK2:CUM73 DEG2:DEI73 DOC2:DOE73 DXY2:DYA73 EHU2:EHW73 ERQ2:ERS73 FBM2:FBO73 FLI2:FLK73 FVE2:FVG73 GFA2:GFC73 GOW2:GOY73 GYS2:GYU73 HIO2:HIQ73 HSK2:HSM73 ICG2:ICI73 IMC2:IME73 IVY2:IWA73 JFU2:JFW73 JPQ2:JPS73 JZM2:JZO73 KJI2:KJK73 KTE2:KTG73 LDA2:LDC73 LMW2:LMY73 LWS2:LWU73 MGO2:MGQ73 MQK2:MQM73 NAG2:NAI73 NKC2:NKE73 NTY2:NUA73 ODU2:ODW73 ONQ2:ONS73 OXM2:OXO73 PHI2:PHK73 PRE2:PRG73 QBA2:QBC73 QKW2:QKY73 QUS2:QUU73 REO2:REQ73 ROK2:ROM73 RYG2:RYI73 SIC2:SIE73 SRY2:SSA73 TBU2:TBW73 TLQ2:TLS73 TVM2:TVO73 UFI2:UFK73 UPE2:UPG73 UZA2:UZC73 VIW2:VIY73 VSS2:VSU73 WCO2:WCQ73 WMK2:WMM73 WWG2:WWI73" xr:uid="{344D1BC5-7DAA-41D9-90F8-D02385DF2AE7}">
      <formula1>$AV$2:$AV$22</formula1>
    </dataValidation>
    <dataValidation type="list" allowBlank="1" showInputMessage="1" showErrorMessage="1" sqref="K121:K500" xr:uid="{C1E13BAB-67E6-4616-A7A5-7F4396436C83}">
      <formula1>$AR$2:$AR$25</formula1>
    </dataValidation>
    <dataValidation type="list" allowBlank="1" showInputMessage="1" showErrorMessage="1" sqref="J96:J500 J2:J94" xr:uid="{7701CA63-3F5D-47E5-ACAD-0479DD613CA2}">
      <formula1>$AP$2:$AP$27</formula1>
    </dataValidation>
    <dataValidation type="list" allowBlank="1" showInputMessage="1" showErrorMessage="1" sqref="F98:F502 F2:F96" xr:uid="{6F30F1DA-B1D7-44EF-87D3-2EC1F29EECB5}">
      <formula1>$AH$2:$AH$10</formula1>
    </dataValidation>
    <dataValidation type="list" allowBlank="1" showInputMessage="1" showErrorMessage="1" sqref="E98:E502 E2:E96" xr:uid="{89A56A95-8A93-4BE0-8AF6-402A56CCE665}">
      <formula1>$AG$2:$AG$11</formula1>
    </dataValidation>
    <dataValidation type="list" allowBlank="1" showInputMessage="1" showErrorMessage="1" sqref="A96:A500 A2:A94" xr:uid="{8762ED94-6486-47AE-8141-8CC7C514E713}">
      <formula1>$AE$2:$AE$19</formula1>
    </dataValidation>
    <dataValidation type="list" allowBlank="1" showInputMessage="1" showErrorMessage="1" sqref="H96:H500 H2:H94" xr:uid="{B7F396DD-3D37-489C-8A3F-4697C7CD23BF}">
      <formula1>$AL$2:$AL$8</formula1>
    </dataValidation>
    <dataValidation type="list" allowBlank="1" showInputMessage="1" showErrorMessage="1" sqref="Y96:AA500 Y2:AA94" xr:uid="{84BC4007-91DA-439E-94E4-1264A286E725}">
      <formula1>$AV$2:$AV$21</formula1>
    </dataValidation>
    <dataValidation type="decimal" allowBlank="1" showInputMessage="1" showErrorMessage="1" error="硬度を正しく入力して下さい。" sqref="O96:P500 O18:P19 P15 P13 O68:P94 O23:P49" xr:uid="{B117955A-873D-4494-B301-7A7638768FD1}">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36572-28E4-4259-8AEC-EEB2501BFDE8}">
  <dimension ref="A1:BA145"/>
  <sheetViews>
    <sheetView zoomScale="85" zoomScaleNormal="85"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100" t="s">
        <v>1</v>
      </c>
      <c r="C1" s="100" t="s">
        <v>2</v>
      </c>
      <c r="D1" s="101" t="s">
        <v>3</v>
      </c>
      <c r="E1" s="45" t="s">
        <v>4</v>
      </c>
      <c r="F1" s="45" t="s">
        <v>5</v>
      </c>
      <c r="G1" s="45" t="s">
        <v>6</v>
      </c>
      <c r="H1" s="45" t="s">
        <v>7</v>
      </c>
      <c r="I1" s="45" t="s">
        <v>8</v>
      </c>
      <c r="J1" s="45" t="s">
        <v>9</v>
      </c>
      <c r="K1" s="45" t="s">
        <v>10</v>
      </c>
      <c r="L1" s="101" t="s">
        <v>11</v>
      </c>
      <c r="M1" s="101" t="s">
        <v>12</v>
      </c>
      <c r="N1" s="101" t="s">
        <v>311</v>
      </c>
      <c r="O1" s="101" t="s">
        <v>14</v>
      </c>
      <c r="P1" s="101" t="s">
        <v>15</v>
      </c>
      <c r="Q1" s="3" t="s">
        <v>16</v>
      </c>
      <c r="R1" s="101" t="s">
        <v>17</v>
      </c>
      <c r="S1" s="101" t="s">
        <v>18</v>
      </c>
      <c r="T1" s="3" t="s">
        <v>19</v>
      </c>
      <c r="U1" s="102" t="s">
        <v>310</v>
      </c>
      <c r="V1" s="5" t="s">
        <v>20</v>
      </c>
      <c r="W1" s="101" t="s">
        <v>21</v>
      </c>
      <c r="X1" s="45" t="s">
        <v>22</v>
      </c>
      <c r="Y1" s="45" t="s">
        <v>23</v>
      </c>
      <c r="Z1" s="45" t="s">
        <v>24</v>
      </c>
      <c r="AA1" s="46" t="s">
        <v>25</v>
      </c>
      <c r="AB1" s="132" t="s">
        <v>26</v>
      </c>
      <c r="AE1" s="106" t="s">
        <v>0</v>
      </c>
      <c r="AF1" s="107"/>
      <c r="AG1" s="106" t="s">
        <v>4</v>
      </c>
      <c r="AH1" s="106" t="s">
        <v>5</v>
      </c>
      <c r="AI1" s="107"/>
      <c r="AJ1" s="106" t="s">
        <v>6</v>
      </c>
      <c r="AK1" s="107"/>
      <c r="AL1" s="10" t="s">
        <v>7</v>
      </c>
      <c r="AM1" s="107"/>
      <c r="AN1" s="10" t="s">
        <v>8</v>
      </c>
      <c r="AO1" s="107"/>
      <c r="AP1" s="10" t="s">
        <v>27</v>
      </c>
      <c r="AQ1" s="107"/>
      <c r="AR1" s="10" t="s">
        <v>10</v>
      </c>
      <c r="AS1" s="107"/>
      <c r="AT1" s="11" t="s">
        <v>28</v>
      </c>
      <c r="AU1" s="107"/>
      <c r="AV1" s="10" t="s">
        <v>29</v>
      </c>
      <c r="AX1" s="12" t="s">
        <v>30</v>
      </c>
      <c r="AY1" s="13" t="s">
        <v>31</v>
      </c>
      <c r="AZ1" s="13" t="s">
        <v>32</v>
      </c>
      <c r="BA1" s="14" t="s">
        <v>33</v>
      </c>
    </row>
    <row r="2" spans="1:53" x14ac:dyDescent="0.15">
      <c r="A2" s="53" t="s">
        <v>59</v>
      </c>
      <c r="B2" s="53" t="s">
        <v>235</v>
      </c>
      <c r="C2" s="122">
        <v>2019</v>
      </c>
      <c r="D2" s="123" t="s">
        <v>236</v>
      </c>
      <c r="E2" s="53" t="s">
        <v>302</v>
      </c>
      <c r="F2" s="53" t="s">
        <v>301</v>
      </c>
      <c r="G2" s="53" t="s">
        <v>36</v>
      </c>
      <c r="H2" s="53" t="s">
        <v>160</v>
      </c>
      <c r="I2" s="53" t="s">
        <v>159</v>
      </c>
      <c r="J2" s="53" t="s">
        <v>38</v>
      </c>
      <c r="K2" s="53" t="s">
        <v>161</v>
      </c>
      <c r="L2" s="53">
        <v>1</v>
      </c>
      <c r="N2" s="53">
        <v>4</v>
      </c>
      <c r="O2" s="53">
        <v>0.44</v>
      </c>
      <c r="P2" s="53">
        <v>0.44</v>
      </c>
      <c r="Q2" s="110">
        <f>IF(OR(O2="",P2=""),"",AVERAGE(O2,P2))</f>
        <v>0.44</v>
      </c>
      <c r="R2" s="53">
        <v>14.9</v>
      </c>
      <c r="S2" s="53">
        <v>106</v>
      </c>
      <c r="T2" s="16">
        <f>IF(H2="","",IF(OR(H2="GREEN",H2="GK"),IF(S2&gt;=$AX$2,VLOOKUP(S2,$AX$2:$AY$12,2,1),""),IF(S2&gt;=$AZ$2,VLOOKUP(S2,$AZ$2:$BA$12,2,1),"")))</f>
        <v>33</v>
      </c>
      <c r="U2" s="53">
        <v>398</v>
      </c>
      <c r="V2" s="16">
        <f>IF(J2="","",IF(OR(J2="GREEN",J2="GK"),IF(U2&gt;=$AX$2,VLOOKUP(U2,$AX$2:$AY$12,2,1),""),IF(U2&gt;=$AZ$2,VLOOKUP(U2,$AZ$2:$BA$12,2,1),"")))</f>
        <v>16</v>
      </c>
      <c r="W2" s="53">
        <v>2</v>
      </c>
      <c r="X2" s="53" t="s">
        <v>46</v>
      </c>
      <c r="Y2" s="53" t="s">
        <v>293</v>
      </c>
      <c r="Z2" s="53" t="s">
        <v>78</v>
      </c>
      <c r="AA2" s="53" t="s">
        <v>69</v>
      </c>
      <c r="AB2" s="53" t="s">
        <v>268</v>
      </c>
      <c r="AE2" s="112" t="s">
        <v>35</v>
      </c>
      <c r="AG2" s="128" t="s">
        <v>295</v>
      </c>
      <c r="AH2" s="126" t="s">
        <v>294</v>
      </c>
      <c r="AJ2" s="114" t="s">
        <v>36</v>
      </c>
      <c r="AL2" s="114" t="s">
        <v>127</v>
      </c>
      <c r="AN2" s="114" t="s">
        <v>309</v>
      </c>
      <c r="AP2" s="114" t="s">
        <v>38</v>
      </c>
      <c r="AR2" s="114" t="s">
        <v>120</v>
      </c>
      <c r="AT2" s="114" t="s">
        <v>39</v>
      </c>
      <c r="AV2" s="23" t="s">
        <v>55</v>
      </c>
      <c r="AX2" s="131">
        <v>1</v>
      </c>
      <c r="AY2" s="130">
        <v>50</v>
      </c>
      <c r="AZ2" s="130">
        <v>1</v>
      </c>
      <c r="BA2" s="129">
        <v>50</v>
      </c>
    </row>
    <row r="3" spans="1:53" x14ac:dyDescent="0.15">
      <c r="A3" s="53" t="s">
        <v>59</v>
      </c>
      <c r="B3" s="53" t="s">
        <v>235</v>
      </c>
      <c r="C3" s="122">
        <v>2019</v>
      </c>
      <c r="D3" s="123" t="s">
        <v>236</v>
      </c>
      <c r="E3" s="53" t="s">
        <v>302</v>
      </c>
      <c r="F3" s="53" t="s">
        <v>301</v>
      </c>
      <c r="G3" s="53" t="s">
        <v>36</v>
      </c>
      <c r="H3" s="53" t="s">
        <v>160</v>
      </c>
      <c r="I3" s="53" t="s">
        <v>159</v>
      </c>
      <c r="J3" s="53" t="s">
        <v>38</v>
      </c>
      <c r="K3" s="53" t="s">
        <v>161</v>
      </c>
      <c r="L3" s="53">
        <v>2</v>
      </c>
      <c r="N3" s="53">
        <v>4</v>
      </c>
      <c r="O3" s="53">
        <v>0.47</v>
      </c>
      <c r="P3" s="53">
        <v>0.43</v>
      </c>
      <c r="Q3" s="110">
        <f>IF(OR(O3="",P3=""),"",AVERAGE(O3,P3))</f>
        <v>0.44999999999999996</v>
      </c>
      <c r="R3" s="53">
        <v>14.6</v>
      </c>
      <c r="S3" s="53">
        <v>111</v>
      </c>
      <c r="T3" s="16">
        <f>IF(H3="","",IF(OR(H3="GREEN",H3="GK"),IF(S3&gt;=$AX$2,VLOOKUP(S3,$AX$2:$AY$12,2,1),""),IF(S3&gt;=$AZ$2,VLOOKUP(S3,$AZ$2:$BA$12,2,1),"")))</f>
        <v>33</v>
      </c>
      <c r="U3" s="53">
        <v>398</v>
      </c>
      <c r="V3" s="16">
        <f>IF(J3="","",IF(OR(J3="GREEN",J3="GK"),IF(U3&gt;=$AX$2,VLOOKUP(U3,$AX$2:$AY$12,2,1),""),IF(U3&gt;=$AZ$2,VLOOKUP(U3,$AZ$2:$BA$12,2,1),"")))</f>
        <v>16</v>
      </c>
      <c r="W3" s="53">
        <v>2</v>
      </c>
      <c r="X3" s="53" t="s">
        <v>46</v>
      </c>
      <c r="Y3" s="53" t="s">
        <v>293</v>
      </c>
      <c r="Z3" s="53" t="s">
        <v>78</v>
      </c>
      <c r="AA3" s="53" t="s">
        <v>69</v>
      </c>
      <c r="AB3" s="53" t="s">
        <v>268</v>
      </c>
      <c r="AE3" s="22" t="s">
        <v>41</v>
      </c>
      <c r="AG3" s="128" t="s">
        <v>308</v>
      </c>
      <c r="AH3" s="126" t="s">
        <v>301</v>
      </c>
      <c r="AJ3" s="23" t="s">
        <v>42</v>
      </c>
      <c r="AL3" s="23" t="s">
        <v>128</v>
      </c>
      <c r="AN3" s="23" t="s">
        <v>43</v>
      </c>
      <c r="AP3" s="23" t="s">
        <v>44</v>
      </c>
      <c r="AR3" s="23" t="s">
        <v>45</v>
      </c>
      <c r="AT3" s="23" t="s">
        <v>46</v>
      </c>
      <c r="AV3" s="23" t="s">
        <v>264</v>
      </c>
      <c r="AX3" s="24">
        <v>72</v>
      </c>
      <c r="AY3" s="25">
        <v>46</v>
      </c>
      <c r="AZ3" s="25">
        <v>71</v>
      </c>
      <c r="BA3" s="26">
        <v>42</v>
      </c>
    </row>
    <row r="4" spans="1:53" x14ac:dyDescent="0.15">
      <c r="A4" s="53" t="s">
        <v>59</v>
      </c>
      <c r="B4" s="53" t="s">
        <v>235</v>
      </c>
      <c r="C4" s="122">
        <v>2019</v>
      </c>
      <c r="D4" s="123" t="s">
        <v>236</v>
      </c>
      <c r="E4" s="53" t="s">
        <v>302</v>
      </c>
      <c r="F4" s="53" t="s">
        <v>301</v>
      </c>
      <c r="G4" s="53" t="s">
        <v>36</v>
      </c>
      <c r="H4" s="53" t="s">
        <v>160</v>
      </c>
      <c r="I4" s="53" t="s">
        <v>307</v>
      </c>
      <c r="J4" s="53" t="s">
        <v>38</v>
      </c>
      <c r="K4" s="53" t="s">
        <v>161</v>
      </c>
      <c r="L4" s="53">
        <v>3</v>
      </c>
      <c r="N4" s="53">
        <v>4</v>
      </c>
      <c r="O4" s="53">
        <v>0.45</v>
      </c>
      <c r="P4" s="53">
        <v>0.42</v>
      </c>
      <c r="Q4" s="110">
        <f>IF(OR(O4="",P4=""),"",AVERAGE(O4,P4))</f>
        <v>0.435</v>
      </c>
      <c r="R4" s="53">
        <v>15.2</v>
      </c>
      <c r="S4" s="53">
        <v>107</v>
      </c>
      <c r="T4" s="16">
        <f>IF(H4="","",IF(OR(H4="GREEN",H4="GK"),IF(S4&gt;=$AX$2,VLOOKUP(S4,$AX$2:$AY$12,2,1),""),IF(S4&gt;=$AZ$2,VLOOKUP(S4,$AZ$2:$BA$12,2,1),"")))</f>
        <v>33</v>
      </c>
      <c r="U4" s="53">
        <v>398</v>
      </c>
      <c r="V4" s="16">
        <f>IF(J4="","",IF(OR(J4="GREEN",J4="GK"),IF(U4&gt;=$AX$2,VLOOKUP(U4,$AX$2:$AY$12,2,1),""),IF(U4&gt;=$AZ$2,VLOOKUP(U4,$AZ$2:$BA$12,2,1),"")))</f>
        <v>16</v>
      </c>
      <c r="W4" s="53">
        <v>2</v>
      </c>
      <c r="X4" s="53" t="s">
        <v>46</v>
      </c>
      <c r="Y4" s="53" t="s">
        <v>293</v>
      </c>
      <c r="Z4" s="53" t="s">
        <v>78</v>
      </c>
      <c r="AA4" s="53" t="s">
        <v>69</v>
      </c>
      <c r="AB4" s="53" t="s">
        <v>268</v>
      </c>
      <c r="AE4" s="22" t="s">
        <v>34</v>
      </c>
      <c r="AG4" s="128" t="s">
        <v>274</v>
      </c>
      <c r="AH4" s="126" t="s">
        <v>273</v>
      </c>
      <c r="AJ4" s="27" t="s">
        <v>48</v>
      </c>
      <c r="AL4" s="27" t="s">
        <v>129</v>
      </c>
      <c r="AN4" s="28" t="s">
        <v>49</v>
      </c>
      <c r="AP4" s="23" t="s">
        <v>93</v>
      </c>
      <c r="AR4" s="23" t="s">
        <v>306</v>
      </c>
      <c r="AT4" s="28"/>
      <c r="AV4" s="23" t="s">
        <v>293</v>
      </c>
      <c r="AX4" s="24">
        <v>75</v>
      </c>
      <c r="AY4" s="25">
        <v>42</v>
      </c>
      <c r="AZ4" s="25">
        <v>76</v>
      </c>
      <c r="BA4" s="26">
        <v>39</v>
      </c>
    </row>
    <row r="5" spans="1:53" x14ac:dyDescent="0.15">
      <c r="A5" s="53" t="s">
        <v>59</v>
      </c>
      <c r="B5" s="53" t="s">
        <v>235</v>
      </c>
      <c r="C5" s="122">
        <v>2019</v>
      </c>
      <c r="D5" s="123" t="s">
        <v>236</v>
      </c>
      <c r="E5" s="53" t="s">
        <v>302</v>
      </c>
      <c r="F5" s="53" t="s">
        <v>301</v>
      </c>
      <c r="G5" s="53" t="s">
        <v>36</v>
      </c>
      <c r="H5" s="53" t="s">
        <v>164</v>
      </c>
      <c r="I5" s="53" t="s">
        <v>159</v>
      </c>
      <c r="J5" s="53" t="s">
        <v>38</v>
      </c>
      <c r="K5" s="53" t="s">
        <v>161</v>
      </c>
      <c r="L5" s="53">
        <v>1</v>
      </c>
      <c r="N5" s="53">
        <v>5</v>
      </c>
      <c r="O5" s="53">
        <v>0.48</v>
      </c>
      <c r="P5" s="53">
        <v>0.54</v>
      </c>
      <c r="Q5" s="110">
        <f>IF(OR(O5="",P5=""),"",AVERAGE(O5,P5))</f>
        <v>0.51</v>
      </c>
      <c r="R5" s="53">
        <v>13.9</v>
      </c>
      <c r="S5" s="53">
        <v>87</v>
      </c>
      <c r="T5" s="16">
        <f>IF(H5="","",IF(OR(H5="GREEN",H5="GK"),IF(S5&gt;=$AX$2,VLOOKUP(S5,$AX$2:$AY$12,2,1),""),IF(S5&gt;=$AZ$2,VLOOKUP(S5,$AZ$2:$BA$12,2,1),"")))</f>
        <v>36</v>
      </c>
      <c r="U5" s="53">
        <v>348</v>
      </c>
      <c r="V5" s="16">
        <f>IF(J5="","",IF(OR(J5="GREEN",J5="GK"),IF(U5&gt;=$AX$2,VLOOKUP(U5,$AX$2:$AY$12,2,1),""),IF(U5&gt;=$AZ$2,VLOOKUP(U5,$AZ$2:$BA$12,2,1),"")))</f>
        <v>16</v>
      </c>
      <c r="W5" s="53">
        <v>2</v>
      </c>
      <c r="X5" s="53" t="s">
        <v>46</v>
      </c>
      <c r="Y5" s="53" t="s">
        <v>293</v>
      </c>
      <c r="Z5" s="53" t="s">
        <v>78</v>
      </c>
      <c r="AA5" s="53" t="s">
        <v>69</v>
      </c>
      <c r="AB5" s="53" t="s">
        <v>268</v>
      </c>
      <c r="AE5" s="22" t="s">
        <v>51</v>
      </c>
      <c r="AG5" s="128" t="s">
        <v>287</v>
      </c>
      <c r="AH5" s="126" t="s">
        <v>279</v>
      </c>
      <c r="AJ5" s="28"/>
      <c r="AL5" s="118" t="s">
        <v>66</v>
      </c>
      <c r="AN5" s="118" t="s">
        <v>52</v>
      </c>
      <c r="AP5" s="23" t="s">
        <v>305</v>
      </c>
      <c r="AR5" s="23" t="s">
        <v>54</v>
      </c>
      <c r="AV5" s="23" t="s">
        <v>304</v>
      </c>
      <c r="AX5" s="24">
        <v>84</v>
      </c>
      <c r="AY5" s="25">
        <v>39</v>
      </c>
      <c r="AZ5" s="25">
        <v>84</v>
      </c>
      <c r="BA5" s="26">
        <v>36</v>
      </c>
    </row>
    <row r="6" spans="1:53" x14ac:dyDescent="0.15">
      <c r="A6" s="53" t="s">
        <v>59</v>
      </c>
      <c r="B6" s="53" t="s">
        <v>235</v>
      </c>
      <c r="C6" s="122">
        <v>2019</v>
      </c>
      <c r="D6" s="123" t="s">
        <v>236</v>
      </c>
      <c r="E6" s="53" t="s">
        <v>302</v>
      </c>
      <c r="F6" s="53" t="s">
        <v>301</v>
      </c>
      <c r="G6" s="53" t="s">
        <v>36</v>
      </c>
      <c r="H6" s="53" t="s">
        <v>164</v>
      </c>
      <c r="I6" s="53" t="s">
        <v>159</v>
      </c>
      <c r="J6" s="53" t="s">
        <v>38</v>
      </c>
      <c r="K6" s="53" t="s">
        <v>161</v>
      </c>
      <c r="L6" s="53">
        <v>2</v>
      </c>
      <c r="N6" s="53">
        <v>5</v>
      </c>
      <c r="O6" s="53">
        <v>0.46</v>
      </c>
      <c r="P6" s="53">
        <v>0.45</v>
      </c>
      <c r="Q6" s="110">
        <f>IF(OR(O6="",P6=""),"",AVERAGE(O6,P6))</f>
        <v>0.45500000000000002</v>
      </c>
      <c r="R6" s="53">
        <v>14.3</v>
      </c>
      <c r="S6" s="53">
        <v>90</v>
      </c>
      <c r="T6" s="16">
        <f>IF(H6="","",IF(OR(H6="GREEN",H6="GK"),IF(S6&gt;=$AX$2,VLOOKUP(S6,$AX$2:$AY$12,2,1),""),IF(S6&gt;=$AZ$2,VLOOKUP(S6,$AZ$2:$BA$12,2,1),"")))</f>
        <v>36</v>
      </c>
      <c r="U6" s="53">
        <v>348</v>
      </c>
      <c r="V6" s="16">
        <f>IF(J6="","",IF(OR(J6="GREEN",J6="GK"),IF(U6&gt;=$AX$2,VLOOKUP(U6,$AX$2:$AY$12,2,1),""),IF(U6&gt;=$AZ$2,VLOOKUP(U6,$AZ$2:$BA$12,2,1),"")))</f>
        <v>16</v>
      </c>
      <c r="W6" s="53">
        <v>2</v>
      </c>
      <c r="X6" s="53" t="s">
        <v>46</v>
      </c>
      <c r="Y6" s="53" t="s">
        <v>293</v>
      </c>
      <c r="Z6" s="53" t="s">
        <v>78</v>
      </c>
      <c r="AA6" s="53" t="s">
        <v>69</v>
      </c>
      <c r="AB6" s="53" t="s">
        <v>268</v>
      </c>
      <c r="AE6" s="22" t="s">
        <v>56</v>
      </c>
      <c r="AG6" s="128" t="s">
        <v>270</v>
      </c>
      <c r="AH6" s="126" t="s">
        <v>269</v>
      </c>
      <c r="AL6" s="118" t="s">
        <v>99</v>
      </c>
      <c r="AN6" s="118" t="s">
        <v>57</v>
      </c>
      <c r="AP6" s="23" t="s">
        <v>53</v>
      </c>
      <c r="AR6" s="23" t="s">
        <v>303</v>
      </c>
      <c r="AV6" s="23" t="s">
        <v>60</v>
      </c>
      <c r="AX6" s="24">
        <v>97</v>
      </c>
      <c r="AY6" s="25">
        <v>36</v>
      </c>
      <c r="AZ6" s="25">
        <v>99</v>
      </c>
      <c r="BA6" s="26">
        <v>33</v>
      </c>
    </row>
    <row r="7" spans="1:53" x14ac:dyDescent="0.15">
      <c r="A7" s="53" t="s">
        <v>59</v>
      </c>
      <c r="B7" s="53" t="s">
        <v>235</v>
      </c>
      <c r="C7" s="122">
        <v>2019</v>
      </c>
      <c r="D7" s="123" t="s">
        <v>236</v>
      </c>
      <c r="E7" s="53" t="s">
        <v>302</v>
      </c>
      <c r="F7" s="53" t="s">
        <v>301</v>
      </c>
      <c r="G7" s="53" t="s">
        <v>36</v>
      </c>
      <c r="H7" s="53" t="s">
        <v>164</v>
      </c>
      <c r="I7" s="53" t="s">
        <v>159</v>
      </c>
      <c r="J7" s="53" t="s">
        <v>38</v>
      </c>
      <c r="K7" s="53" t="s">
        <v>161</v>
      </c>
      <c r="L7" s="53">
        <v>3</v>
      </c>
      <c r="N7" s="53">
        <v>5</v>
      </c>
      <c r="O7" s="53">
        <v>0.47</v>
      </c>
      <c r="P7" s="53">
        <v>0.5</v>
      </c>
      <c r="Q7" s="110">
        <f>IF(OR(O7="",P7=""),"",AVERAGE(O7,P7))</f>
        <v>0.48499999999999999</v>
      </c>
      <c r="R7" s="53">
        <v>13.6</v>
      </c>
      <c r="S7" s="53">
        <v>94</v>
      </c>
      <c r="T7" s="16">
        <f>IF(H7="","",IF(OR(H7="GREEN",H7="GK"),IF(S7&gt;=$AX$2,VLOOKUP(S7,$AX$2:$AY$12,2,1),""),IF(S7&gt;=$AZ$2,VLOOKUP(S7,$AZ$2:$BA$12,2,1),"")))</f>
        <v>36</v>
      </c>
      <c r="U7" s="53">
        <v>348</v>
      </c>
      <c r="V7" s="16">
        <f>IF(J7="","",IF(OR(J7="GREEN",J7="GK"),IF(U7&gt;=$AX$2,VLOOKUP(U7,$AX$2:$AY$12,2,1),""),IF(U7&gt;=$AZ$2,VLOOKUP(U7,$AZ$2:$BA$12,2,1),"")))</f>
        <v>16</v>
      </c>
      <c r="W7" s="53">
        <v>2</v>
      </c>
      <c r="X7" s="53" t="s">
        <v>46</v>
      </c>
      <c r="Y7" s="53" t="s">
        <v>293</v>
      </c>
      <c r="Z7" s="53" t="s">
        <v>78</v>
      </c>
      <c r="AA7" s="53" t="s">
        <v>69</v>
      </c>
      <c r="AB7" s="53" t="s">
        <v>268</v>
      </c>
      <c r="AE7" s="22" t="s">
        <v>61</v>
      </c>
      <c r="AG7" s="128" t="s">
        <v>276</v>
      </c>
      <c r="AH7" s="126" t="s">
        <v>275</v>
      </c>
      <c r="AL7" s="34" t="s">
        <v>109</v>
      </c>
      <c r="AP7" s="23" t="s">
        <v>58</v>
      </c>
      <c r="AR7" s="23" t="s">
        <v>300</v>
      </c>
      <c r="AV7" s="23" t="s">
        <v>64</v>
      </c>
      <c r="AX7" s="24">
        <v>109</v>
      </c>
      <c r="AY7" s="25">
        <v>33</v>
      </c>
      <c r="AZ7" s="25">
        <v>113</v>
      </c>
      <c r="BA7" s="26">
        <v>30</v>
      </c>
    </row>
    <row r="8" spans="1:53" x14ac:dyDescent="0.15">
      <c r="A8" s="53" t="s">
        <v>59</v>
      </c>
      <c r="B8" s="53" t="s">
        <v>235</v>
      </c>
      <c r="C8" s="122">
        <v>2019</v>
      </c>
      <c r="D8" s="123" t="s">
        <v>236</v>
      </c>
      <c r="E8" s="53" t="s">
        <v>295</v>
      </c>
      <c r="F8" s="53" t="s">
        <v>294</v>
      </c>
      <c r="G8" s="53" t="s">
        <v>36</v>
      </c>
      <c r="H8" s="53" t="s">
        <v>160</v>
      </c>
      <c r="I8" s="53" t="s">
        <v>159</v>
      </c>
      <c r="J8" s="53" t="s">
        <v>38</v>
      </c>
      <c r="K8" s="53" t="s">
        <v>161</v>
      </c>
      <c r="L8" s="53">
        <v>1</v>
      </c>
      <c r="N8" s="53">
        <v>1</v>
      </c>
      <c r="O8" s="53">
        <v>0.66</v>
      </c>
      <c r="P8" s="53">
        <v>0.63</v>
      </c>
      <c r="Q8" s="110">
        <f>IF(OR(O8="",P8=""),"",AVERAGE(O8,P8))</f>
        <v>0.64500000000000002</v>
      </c>
      <c r="R8" s="53">
        <v>14.7</v>
      </c>
      <c r="S8" s="53">
        <v>121</v>
      </c>
      <c r="T8" s="16">
        <f>IF(H8="","",IF(OR(H8="GREEN",H8="GK"),IF(S8&gt;=$AX$2,VLOOKUP(S8,$AX$2:$AY$12,2,1),""),IF(S8&gt;=$AZ$2,VLOOKUP(S8,$AZ$2:$BA$12,2,1),"")))</f>
        <v>27</v>
      </c>
      <c r="U8" s="53">
        <v>89</v>
      </c>
      <c r="V8" s="16">
        <f>IF(J8="","",IF(OR(J8="GREEN",J8="GK"),IF(U8&gt;=$AX$2,VLOOKUP(U8,$AX$2:$AY$12,2,1),""),IF(U8&gt;=$AZ$2,VLOOKUP(U8,$AZ$2:$BA$12,2,1),"")))</f>
        <v>36</v>
      </c>
      <c r="W8" s="53">
        <v>10</v>
      </c>
      <c r="X8" s="53" t="s">
        <v>39</v>
      </c>
      <c r="Y8" s="53" t="s">
        <v>293</v>
      </c>
      <c r="Z8" s="53" t="s">
        <v>69</v>
      </c>
      <c r="AA8" s="53" t="s">
        <v>97</v>
      </c>
      <c r="AB8" s="53" t="s">
        <v>268</v>
      </c>
      <c r="AE8" s="22" t="s">
        <v>59</v>
      </c>
      <c r="AG8" s="127" t="s">
        <v>162</v>
      </c>
      <c r="AH8" s="126" t="s">
        <v>277</v>
      </c>
      <c r="AL8" s="34" t="s">
        <v>134</v>
      </c>
      <c r="AP8" s="23" t="s">
        <v>62</v>
      </c>
      <c r="AR8" s="23" t="s">
        <v>81</v>
      </c>
      <c r="AV8" s="23" t="s">
        <v>97</v>
      </c>
      <c r="AX8" s="24">
        <v>119</v>
      </c>
      <c r="AY8" s="25">
        <v>30</v>
      </c>
      <c r="AZ8" s="25">
        <v>121</v>
      </c>
      <c r="BA8" s="26">
        <v>27</v>
      </c>
    </row>
    <row r="9" spans="1:53" x14ac:dyDescent="0.15">
      <c r="A9" s="53" t="s">
        <v>59</v>
      </c>
      <c r="B9" s="53" t="s">
        <v>235</v>
      </c>
      <c r="C9" s="122">
        <v>2019</v>
      </c>
      <c r="D9" s="123" t="s">
        <v>236</v>
      </c>
      <c r="E9" s="53" t="s">
        <v>295</v>
      </c>
      <c r="F9" s="53" t="s">
        <v>294</v>
      </c>
      <c r="G9" s="53" t="s">
        <v>36</v>
      </c>
      <c r="H9" s="53" t="s">
        <v>160</v>
      </c>
      <c r="I9" s="53" t="s">
        <v>159</v>
      </c>
      <c r="J9" s="53" t="s">
        <v>38</v>
      </c>
      <c r="K9" s="53" t="s">
        <v>161</v>
      </c>
      <c r="L9" s="53">
        <v>2</v>
      </c>
      <c r="N9" s="53">
        <v>1</v>
      </c>
      <c r="O9" s="53">
        <v>0.57999999999999996</v>
      </c>
      <c r="P9" s="53">
        <v>0.5</v>
      </c>
      <c r="Q9" s="110">
        <f>IF(OR(O9="",P9=""),"",AVERAGE(O9,P9))</f>
        <v>0.54</v>
      </c>
      <c r="R9" s="53">
        <v>15.2</v>
      </c>
      <c r="S9" s="53">
        <v>126</v>
      </c>
      <c r="T9" s="16">
        <f>IF(H9="","",IF(OR(H9="GREEN",H9="GK"),IF(S9&gt;=$AX$2,VLOOKUP(S9,$AX$2:$AY$12,2,1),""),IF(S9&gt;=$AZ$2,VLOOKUP(S9,$AZ$2:$BA$12,2,1),"")))</f>
        <v>27</v>
      </c>
      <c r="U9" s="53">
        <v>89</v>
      </c>
      <c r="V9" s="16">
        <f>IF(J9="","",IF(OR(J9="GREEN",J9="GK"),IF(U9&gt;=$AX$2,VLOOKUP(U9,$AX$2:$AY$12,2,1),""),IF(U9&gt;=$AZ$2,VLOOKUP(U9,$AZ$2:$BA$12,2,1),"")))</f>
        <v>36</v>
      </c>
      <c r="W9" s="53">
        <v>10</v>
      </c>
      <c r="X9" s="53" t="s">
        <v>39</v>
      </c>
      <c r="Y9" s="53" t="s">
        <v>293</v>
      </c>
      <c r="Z9" s="53" t="s">
        <v>69</v>
      </c>
      <c r="AA9" s="53" t="s">
        <v>97</v>
      </c>
      <c r="AB9" s="53" t="s">
        <v>268</v>
      </c>
      <c r="AE9" s="22" t="s">
        <v>98</v>
      </c>
      <c r="AG9" s="127" t="s">
        <v>278</v>
      </c>
      <c r="AH9" s="126" t="s">
        <v>277</v>
      </c>
      <c r="AL9" s="118"/>
      <c r="AP9" s="23" t="s">
        <v>299</v>
      </c>
      <c r="AR9" s="23" t="s">
        <v>89</v>
      </c>
      <c r="AV9" s="23" t="s">
        <v>102</v>
      </c>
      <c r="AX9" s="24">
        <v>128</v>
      </c>
      <c r="AY9" s="25">
        <v>27</v>
      </c>
      <c r="AZ9" s="25">
        <v>129</v>
      </c>
      <c r="BA9" s="26">
        <v>25</v>
      </c>
    </row>
    <row r="10" spans="1:53" x14ac:dyDescent="0.15">
      <c r="A10" s="53" t="s">
        <v>59</v>
      </c>
      <c r="B10" s="53" t="s">
        <v>235</v>
      </c>
      <c r="C10" s="122">
        <v>2019</v>
      </c>
      <c r="D10" s="123" t="s">
        <v>236</v>
      </c>
      <c r="E10" s="53" t="s">
        <v>295</v>
      </c>
      <c r="F10" s="53" t="s">
        <v>294</v>
      </c>
      <c r="G10" s="53" t="s">
        <v>36</v>
      </c>
      <c r="H10" s="53" t="s">
        <v>160</v>
      </c>
      <c r="I10" s="53" t="s">
        <v>159</v>
      </c>
      <c r="J10" s="53" t="s">
        <v>38</v>
      </c>
      <c r="K10" s="53" t="s">
        <v>161</v>
      </c>
      <c r="L10" s="53">
        <v>3</v>
      </c>
      <c r="N10" s="53">
        <v>1</v>
      </c>
      <c r="O10" s="53">
        <v>0.67</v>
      </c>
      <c r="P10" s="53">
        <v>0.61</v>
      </c>
      <c r="Q10" s="110">
        <f>IF(OR(O10="",P10=""),"",AVERAGE(O10,P10))</f>
        <v>0.64</v>
      </c>
      <c r="R10" s="53">
        <v>15.7</v>
      </c>
      <c r="S10" s="53">
        <v>130</v>
      </c>
      <c r="T10" s="16">
        <f>IF(H10="","",IF(OR(H10="GREEN",H10="GK"),IF(S10&gt;=$AX$2,VLOOKUP(S10,$AX$2:$AY$12,2,1),""),IF(S10&gt;=$AZ$2,VLOOKUP(S10,$AZ$2:$BA$12,2,1),"")))</f>
        <v>25</v>
      </c>
      <c r="U10" s="53">
        <v>89</v>
      </c>
      <c r="V10" s="16">
        <f>IF(J10="","",IF(OR(J10="GREEN",J10="GK"),IF(U10&gt;=$AX$2,VLOOKUP(U10,$AX$2:$AY$12,2,1),""),IF(U10&gt;=$AZ$2,VLOOKUP(U10,$AZ$2:$BA$12,2,1),"")))</f>
        <v>36</v>
      </c>
      <c r="W10" s="53">
        <v>10</v>
      </c>
      <c r="X10" s="53" t="s">
        <v>39</v>
      </c>
      <c r="Y10" s="53" t="s">
        <v>293</v>
      </c>
      <c r="Z10" s="53" t="s">
        <v>69</v>
      </c>
      <c r="AA10" s="53" t="s">
        <v>97</v>
      </c>
      <c r="AB10" s="53" t="s">
        <v>268</v>
      </c>
      <c r="AE10" s="22" t="s">
        <v>103</v>
      </c>
      <c r="AG10" s="128" t="s">
        <v>280</v>
      </c>
      <c r="AH10" s="126" t="s">
        <v>279</v>
      </c>
      <c r="AL10" s="124"/>
      <c r="AP10" s="23" t="s">
        <v>100</v>
      </c>
      <c r="AR10" s="23" t="s">
        <v>123</v>
      </c>
      <c r="AV10" s="23" t="s">
        <v>106</v>
      </c>
      <c r="AX10" s="24">
        <v>138</v>
      </c>
      <c r="AY10" s="25">
        <v>25</v>
      </c>
      <c r="AZ10" s="25">
        <v>138</v>
      </c>
      <c r="BA10" s="26">
        <v>22</v>
      </c>
    </row>
    <row r="11" spans="1:53" x14ac:dyDescent="0.15">
      <c r="A11" s="53" t="s">
        <v>59</v>
      </c>
      <c r="B11" s="53" t="s">
        <v>235</v>
      </c>
      <c r="C11" s="122">
        <v>2019</v>
      </c>
      <c r="D11" s="123" t="s">
        <v>236</v>
      </c>
      <c r="E11" s="53" t="s">
        <v>295</v>
      </c>
      <c r="F11" s="53" t="s">
        <v>294</v>
      </c>
      <c r="G11" s="53" t="s">
        <v>36</v>
      </c>
      <c r="H11" s="53" t="s">
        <v>164</v>
      </c>
      <c r="I11" s="53" t="s">
        <v>159</v>
      </c>
      <c r="J11" s="53" t="s">
        <v>38</v>
      </c>
      <c r="K11" s="53" t="s">
        <v>161</v>
      </c>
      <c r="L11" s="53">
        <v>1</v>
      </c>
      <c r="N11" s="53">
        <v>4</v>
      </c>
      <c r="O11" s="53">
        <v>0.22</v>
      </c>
      <c r="P11" s="53">
        <v>0.24</v>
      </c>
      <c r="Q11" s="110">
        <f>IF(OR(O11="",P11=""),"",AVERAGE(O11,P11))</f>
        <v>0.22999999999999998</v>
      </c>
      <c r="R11" s="53">
        <v>15.6</v>
      </c>
      <c r="S11" s="53">
        <v>90</v>
      </c>
      <c r="T11" s="16">
        <f>IF(H11="","",IF(OR(H11="GREEN",H11="GK"),IF(S11&gt;=$AX$2,VLOOKUP(S11,$AX$2:$AY$12,2,1),""),IF(S11&gt;=$AZ$2,VLOOKUP(S11,$AZ$2:$BA$12,2,1),"")))</f>
        <v>36</v>
      </c>
      <c r="U11" s="53">
        <v>157</v>
      </c>
      <c r="V11" s="16">
        <f>IF(J11="","",IF(OR(J11="GREEN",J11="GK"),IF(U11&gt;=$AX$2,VLOOKUP(U11,$AX$2:$AY$12,2,1),""),IF(U11&gt;=$AZ$2,VLOOKUP(U11,$AZ$2:$BA$12,2,1),"")))</f>
        <v>18</v>
      </c>
      <c r="W11" s="53">
        <v>8</v>
      </c>
      <c r="X11" s="53" t="s">
        <v>39</v>
      </c>
      <c r="Y11" s="53" t="s">
        <v>293</v>
      </c>
      <c r="Z11" s="53" t="s">
        <v>69</v>
      </c>
      <c r="AA11" s="53" t="s">
        <v>97</v>
      </c>
      <c r="AB11" s="53" t="s">
        <v>268</v>
      </c>
      <c r="AE11" s="22" t="s">
        <v>65</v>
      </c>
      <c r="AG11" s="127" t="s">
        <v>272</v>
      </c>
      <c r="AH11" s="126" t="s">
        <v>271</v>
      </c>
      <c r="AL11" s="124"/>
      <c r="AP11" s="23" t="s">
        <v>298</v>
      </c>
      <c r="AR11" s="23" t="s">
        <v>297</v>
      </c>
      <c r="AV11" s="23" t="s">
        <v>296</v>
      </c>
      <c r="AX11" s="24">
        <v>151</v>
      </c>
      <c r="AY11" s="25">
        <v>22</v>
      </c>
      <c r="AZ11" s="25">
        <v>152</v>
      </c>
      <c r="BA11" s="26">
        <v>18</v>
      </c>
    </row>
    <row r="12" spans="1:53" x14ac:dyDescent="0.15">
      <c r="A12" s="53" t="s">
        <v>59</v>
      </c>
      <c r="B12" s="53" t="s">
        <v>235</v>
      </c>
      <c r="C12" s="122">
        <v>2019</v>
      </c>
      <c r="D12" s="123" t="s">
        <v>236</v>
      </c>
      <c r="E12" s="53" t="s">
        <v>295</v>
      </c>
      <c r="F12" s="53" t="s">
        <v>294</v>
      </c>
      <c r="G12" s="53" t="s">
        <v>36</v>
      </c>
      <c r="H12" s="53" t="s">
        <v>164</v>
      </c>
      <c r="I12" s="53" t="s">
        <v>159</v>
      </c>
      <c r="J12" s="53" t="s">
        <v>38</v>
      </c>
      <c r="K12" s="53" t="s">
        <v>161</v>
      </c>
      <c r="L12" s="53">
        <v>2</v>
      </c>
      <c r="N12" s="53">
        <v>4</v>
      </c>
      <c r="O12" s="53">
        <v>0.32</v>
      </c>
      <c r="P12" s="53">
        <v>0.31</v>
      </c>
      <c r="Q12" s="110">
        <f>IF(OR(O12="",P12=""),"",AVERAGE(O12,P12))</f>
        <v>0.315</v>
      </c>
      <c r="R12" s="53">
        <v>15.4</v>
      </c>
      <c r="S12" s="53">
        <v>103</v>
      </c>
      <c r="T12" s="16">
        <f>IF(H12="","",IF(OR(H12="GREEN",H12="GK"),IF(S12&gt;=$AX$2,VLOOKUP(S12,$AX$2:$AY$12,2,1),""),IF(S12&gt;=$AZ$2,VLOOKUP(S12,$AZ$2:$BA$12,2,1),"")))</f>
        <v>33</v>
      </c>
      <c r="U12" s="53">
        <v>157</v>
      </c>
      <c r="V12" s="16">
        <f>IF(J12="","",IF(OR(J12="GREEN",J12="GK"),IF(U12&gt;=$AX$2,VLOOKUP(U12,$AX$2:$AY$12,2,1),""),IF(U12&gt;=$AZ$2,VLOOKUP(U12,$AZ$2:$BA$12,2,1),"")))</f>
        <v>18</v>
      </c>
      <c r="W12" s="53">
        <v>8</v>
      </c>
      <c r="X12" s="53" t="s">
        <v>39</v>
      </c>
      <c r="Y12" s="53" t="s">
        <v>293</v>
      </c>
      <c r="Z12" s="53" t="s">
        <v>69</v>
      </c>
      <c r="AA12" s="53" t="s">
        <v>97</v>
      </c>
      <c r="AB12" s="53" t="s">
        <v>268</v>
      </c>
      <c r="AE12" s="22" t="s">
        <v>70</v>
      </c>
      <c r="AG12" s="23"/>
      <c r="AH12" s="125"/>
      <c r="AL12" s="124"/>
      <c r="AP12" s="23" t="s">
        <v>67</v>
      </c>
      <c r="AR12" s="23" t="s">
        <v>124</v>
      </c>
      <c r="AV12" s="23" t="s">
        <v>72</v>
      </c>
      <c r="AX12" s="31">
        <v>180</v>
      </c>
      <c r="AY12" s="32">
        <v>18</v>
      </c>
      <c r="AZ12" s="32">
        <v>181</v>
      </c>
      <c r="BA12" s="33">
        <v>16</v>
      </c>
    </row>
    <row r="13" spans="1:53" x14ac:dyDescent="0.15">
      <c r="A13" s="53" t="s">
        <v>59</v>
      </c>
      <c r="B13" s="53" t="s">
        <v>235</v>
      </c>
      <c r="C13" s="122">
        <v>2019</v>
      </c>
      <c r="D13" s="123" t="s">
        <v>236</v>
      </c>
      <c r="E13" s="53" t="s">
        <v>295</v>
      </c>
      <c r="F13" s="53" t="s">
        <v>294</v>
      </c>
      <c r="G13" s="53" t="s">
        <v>36</v>
      </c>
      <c r="H13" s="53" t="s">
        <v>164</v>
      </c>
      <c r="I13" s="53" t="s">
        <v>159</v>
      </c>
      <c r="J13" s="53" t="s">
        <v>38</v>
      </c>
      <c r="K13" s="53" t="s">
        <v>161</v>
      </c>
      <c r="L13" s="53">
        <v>3</v>
      </c>
      <c r="N13" s="53">
        <v>4</v>
      </c>
      <c r="O13" s="53">
        <v>0.32</v>
      </c>
      <c r="P13" s="53">
        <v>0.27</v>
      </c>
      <c r="Q13" s="110">
        <f>IF(OR(O13="",P13=""),"",AVERAGE(O13,P13))</f>
        <v>0.29500000000000004</v>
      </c>
      <c r="R13" s="53">
        <v>15.1</v>
      </c>
      <c r="S13" s="53">
        <v>103</v>
      </c>
      <c r="T13" s="16">
        <f>IF(H13="","",IF(OR(H13="GREEN",H13="GK"),IF(S13&gt;=$AX$2,VLOOKUP(S13,$AX$2:$AY$12,2,1),""),IF(S13&gt;=$AZ$2,VLOOKUP(S13,$AZ$2:$BA$12,2,1),"")))</f>
        <v>33</v>
      </c>
      <c r="U13" s="53">
        <v>157</v>
      </c>
      <c r="V13" s="16">
        <f>IF(J13="","",IF(OR(J13="GREEN",J13="GK"),IF(U13&gt;=$AX$2,VLOOKUP(U13,$AX$2:$AY$12,2,1),""),IF(U13&gt;=$AZ$2,VLOOKUP(U13,$AZ$2:$BA$12,2,1),"")))</f>
        <v>18</v>
      </c>
      <c r="W13" s="53">
        <v>8</v>
      </c>
      <c r="X13" s="53" t="s">
        <v>39</v>
      </c>
      <c r="Y13" s="53" t="s">
        <v>293</v>
      </c>
      <c r="Z13" s="53" t="s">
        <v>69</v>
      </c>
      <c r="AA13" s="53" t="s">
        <v>97</v>
      </c>
      <c r="AB13" s="53" t="s">
        <v>268</v>
      </c>
      <c r="AE13" s="22" t="s">
        <v>73</v>
      </c>
      <c r="AG13" s="23"/>
      <c r="AH13" s="23"/>
      <c r="AP13" s="23" t="s">
        <v>71</v>
      </c>
      <c r="AR13" s="23" t="s">
        <v>103</v>
      </c>
      <c r="AV13" s="23" t="s">
        <v>75</v>
      </c>
    </row>
    <row r="14" spans="1:53" x14ac:dyDescent="0.15">
      <c r="A14" s="53" t="s">
        <v>59</v>
      </c>
      <c r="B14" s="53" t="s">
        <v>235</v>
      </c>
      <c r="C14" s="122">
        <v>2019</v>
      </c>
      <c r="D14" s="123" t="s">
        <v>236</v>
      </c>
      <c r="E14" s="53" t="s">
        <v>287</v>
      </c>
      <c r="F14" s="53" t="s">
        <v>279</v>
      </c>
      <c r="G14" s="53" t="s">
        <v>36</v>
      </c>
      <c r="H14" s="53" t="s">
        <v>160</v>
      </c>
      <c r="I14" s="53" t="s">
        <v>159</v>
      </c>
      <c r="J14" s="53" t="s">
        <v>38</v>
      </c>
      <c r="K14" s="53" t="s">
        <v>161</v>
      </c>
      <c r="L14" s="53">
        <v>1</v>
      </c>
      <c r="N14" s="53">
        <v>3</v>
      </c>
      <c r="O14" s="53">
        <v>0.47</v>
      </c>
      <c r="P14" s="53">
        <v>0.39</v>
      </c>
      <c r="Q14" s="110">
        <f>IF(OR(O14="",P14=""),"",AVERAGE(O14,P14))</f>
        <v>0.43</v>
      </c>
      <c r="R14" s="53">
        <v>15.9</v>
      </c>
      <c r="S14" s="53">
        <v>130</v>
      </c>
      <c r="T14" s="16">
        <f>IF(H14="","",IF(OR(H14="GREEN",H14="GK"),IF(S14&gt;=$AX$2,VLOOKUP(S14,$AX$2:$AY$12,2,1),""),IF(S14&gt;=$AZ$2,VLOOKUP(S14,$AZ$2:$BA$12,2,1),"")))</f>
        <v>25</v>
      </c>
      <c r="U14" s="53">
        <v>399</v>
      </c>
      <c r="V14" s="16">
        <f>IF(J14="","",IF(OR(J14="GREEN",J14="GK"),IF(U14&gt;=$AX$2,VLOOKUP(U14,$AX$2:$AY$12,2,1),""),IF(U14&gt;=$AZ$2,VLOOKUP(U14,$AZ$2:$BA$12,2,1),"")))</f>
        <v>16</v>
      </c>
      <c r="W14" s="53">
        <v>8</v>
      </c>
      <c r="X14" s="53" t="s">
        <v>46</v>
      </c>
      <c r="Y14" s="53" t="s">
        <v>55</v>
      </c>
      <c r="Z14" s="53" t="s">
        <v>90</v>
      </c>
      <c r="AA14" s="53" t="s">
        <v>69</v>
      </c>
      <c r="AB14" s="53" t="s">
        <v>268</v>
      </c>
      <c r="AE14" s="22" t="s">
        <v>76</v>
      </c>
      <c r="AG14" s="23"/>
      <c r="AH14" s="23"/>
      <c r="AP14" s="23" t="s">
        <v>292</v>
      </c>
      <c r="AR14" s="23" t="s">
        <v>125</v>
      </c>
      <c r="AV14" s="23" t="s">
        <v>78</v>
      </c>
    </row>
    <row r="15" spans="1:53" x14ac:dyDescent="0.15">
      <c r="A15" s="53" t="s">
        <v>59</v>
      </c>
      <c r="B15" s="53" t="s">
        <v>235</v>
      </c>
      <c r="C15" s="122">
        <v>2019</v>
      </c>
      <c r="D15" s="123" t="s">
        <v>236</v>
      </c>
      <c r="E15" s="53" t="s">
        <v>287</v>
      </c>
      <c r="F15" s="53" t="s">
        <v>279</v>
      </c>
      <c r="G15" s="53" t="s">
        <v>36</v>
      </c>
      <c r="H15" s="53" t="s">
        <v>160</v>
      </c>
      <c r="I15" s="53" t="s">
        <v>159</v>
      </c>
      <c r="J15" s="53" t="s">
        <v>38</v>
      </c>
      <c r="K15" s="53" t="s">
        <v>161</v>
      </c>
      <c r="L15" s="53">
        <v>2</v>
      </c>
      <c r="N15" s="53">
        <v>3</v>
      </c>
      <c r="O15" s="53">
        <v>0.38</v>
      </c>
      <c r="P15" s="53">
        <v>0.42</v>
      </c>
      <c r="Q15" s="110">
        <f>IF(OR(O15="",P15=""),"",AVERAGE(O15,P15))</f>
        <v>0.4</v>
      </c>
      <c r="R15" s="53">
        <v>15.8</v>
      </c>
      <c r="S15" s="53">
        <v>125</v>
      </c>
      <c r="T15" s="16">
        <f>IF(H15="","",IF(OR(H15="GREEN",H15="GK"),IF(S15&gt;=$AX$2,VLOOKUP(S15,$AX$2:$AY$12,2,1),""),IF(S15&gt;=$AZ$2,VLOOKUP(S15,$AZ$2:$BA$12,2,1),"")))</f>
        <v>27</v>
      </c>
      <c r="U15" s="53">
        <v>399</v>
      </c>
      <c r="V15" s="16">
        <f>IF(J15="","",IF(OR(J15="GREEN",J15="GK"),IF(U15&gt;=$AX$2,VLOOKUP(U15,$AX$2:$AY$12,2,1),""),IF(U15&gt;=$AZ$2,VLOOKUP(U15,$AZ$2:$BA$12,2,1),"")))</f>
        <v>16</v>
      </c>
      <c r="W15" s="53">
        <v>8</v>
      </c>
      <c r="X15" s="53" t="s">
        <v>46</v>
      </c>
      <c r="Y15" s="53" t="s">
        <v>55</v>
      </c>
      <c r="Z15" s="53" t="s">
        <v>90</v>
      </c>
      <c r="AA15" s="53" t="s">
        <v>69</v>
      </c>
      <c r="AB15" s="53" t="s">
        <v>268</v>
      </c>
      <c r="AE15" s="22" t="s">
        <v>79</v>
      </c>
      <c r="AG15" s="23"/>
      <c r="AH15" s="23"/>
      <c r="AP15" s="23" t="s">
        <v>291</v>
      </c>
      <c r="AR15" s="23" t="s">
        <v>94</v>
      </c>
      <c r="AV15" s="23" t="s">
        <v>107</v>
      </c>
    </row>
    <row r="16" spans="1:53" x14ac:dyDescent="0.15">
      <c r="A16" s="53" t="s">
        <v>59</v>
      </c>
      <c r="B16" s="53" t="s">
        <v>235</v>
      </c>
      <c r="C16" s="122">
        <v>2019</v>
      </c>
      <c r="D16" s="123" t="s">
        <v>236</v>
      </c>
      <c r="E16" s="53" t="s">
        <v>287</v>
      </c>
      <c r="F16" s="53" t="s">
        <v>279</v>
      </c>
      <c r="G16" s="53" t="s">
        <v>36</v>
      </c>
      <c r="H16" s="53" t="s">
        <v>160</v>
      </c>
      <c r="I16" s="53" t="s">
        <v>159</v>
      </c>
      <c r="J16" s="53" t="s">
        <v>38</v>
      </c>
      <c r="K16" s="53" t="s">
        <v>161</v>
      </c>
      <c r="L16" s="53">
        <v>3</v>
      </c>
      <c r="N16" s="53">
        <v>3</v>
      </c>
      <c r="O16" s="53">
        <v>0.43</v>
      </c>
      <c r="P16" s="53">
        <v>0.4</v>
      </c>
      <c r="Q16" s="110">
        <f>IF(OR(O16="",P16=""),"",AVERAGE(O16,P16))</f>
        <v>0.41500000000000004</v>
      </c>
      <c r="R16" s="53">
        <v>16.3</v>
      </c>
      <c r="S16" s="53">
        <v>129</v>
      </c>
      <c r="T16" s="16">
        <f>IF(H16="","",IF(OR(H16="GREEN",H16="GK"),IF(S16&gt;=$AX$2,VLOOKUP(S16,$AX$2:$AY$12,2,1),""),IF(S16&gt;=$AZ$2,VLOOKUP(S16,$AZ$2:$BA$12,2,1),"")))</f>
        <v>25</v>
      </c>
      <c r="U16" s="53">
        <v>399</v>
      </c>
      <c r="V16" s="16">
        <f>IF(J16="","",IF(OR(J16="GREEN",J16="GK"),IF(U16&gt;=$AX$2,VLOOKUP(U16,$AX$2:$AY$12,2,1),""),IF(U16&gt;=$AZ$2,VLOOKUP(U16,$AZ$2:$BA$12,2,1),"")))</f>
        <v>16</v>
      </c>
      <c r="W16" s="53">
        <v>8</v>
      </c>
      <c r="X16" s="53" t="s">
        <v>46</v>
      </c>
      <c r="Y16" s="53" t="s">
        <v>55</v>
      </c>
      <c r="Z16" s="53" t="s">
        <v>90</v>
      </c>
      <c r="AA16" s="53" t="s">
        <v>69</v>
      </c>
      <c r="AB16" s="53" t="s">
        <v>268</v>
      </c>
      <c r="AE16" s="22" t="s">
        <v>82</v>
      </c>
      <c r="AG16" s="28"/>
      <c r="AH16" s="28"/>
      <c r="AP16" s="23" t="s">
        <v>80</v>
      </c>
      <c r="AR16" s="23" t="s">
        <v>63</v>
      </c>
      <c r="AV16" s="23" t="s">
        <v>84</v>
      </c>
    </row>
    <row r="17" spans="1:48" x14ac:dyDescent="0.15">
      <c r="A17" s="53" t="s">
        <v>59</v>
      </c>
      <c r="B17" s="53" t="s">
        <v>235</v>
      </c>
      <c r="C17" s="122">
        <v>2019</v>
      </c>
      <c r="D17" s="123" t="s">
        <v>236</v>
      </c>
      <c r="E17" s="53" t="s">
        <v>287</v>
      </c>
      <c r="F17" s="53" t="s">
        <v>279</v>
      </c>
      <c r="G17" s="53" t="s">
        <v>36</v>
      </c>
      <c r="H17" s="53" t="s">
        <v>164</v>
      </c>
      <c r="I17" s="53" t="s">
        <v>159</v>
      </c>
      <c r="J17" s="53" t="s">
        <v>38</v>
      </c>
      <c r="K17" s="53" t="s">
        <v>161</v>
      </c>
      <c r="L17" s="53">
        <v>1</v>
      </c>
      <c r="N17" s="53">
        <v>4</v>
      </c>
      <c r="O17" s="53">
        <v>0.36</v>
      </c>
      <c r="P17" s="53">
        <v>0.35</v>
      </c>
      <c r="Q17" s="110">
        <f>IF(OR(O17="",P17=""),"",AVERAGE(O17,P17))</f>
        <v>0.35499999999999998</v>
      </c>
      <c r="R17" s="53">
        <v>14</v>
      </c>
      <c r="S17" s="53">
        <v>99</v>
      </c>
      <c r="T17" s="16">
        <f>IF(H17="","",IF(OR(H17="GREEN",H17="GK"),IF(S17&gt;=$AX$2,VLOOKUP(S17,$AX$2:$AY$12,2,1),""),IF(S17&gt;=$AZ$2,VLOOKUP(S17,$AZ$2:$BA$12,2,1),"")))</f>
        <v>33</v>
      </c>
      <c r="U17" s="53">
        <v>399</v>
      </c>
      <c r="V17" s="16">
        <f>IF(J17="","",IF(OR(J17="GREEN",J17="GK"),IF(U17&gt;=$AX$2,VLOOKUP(U17,$AX$2:$AY$12,2,1),""),IF(U17&gt;=$AZ$2,VLOOKUP(U17,$AZ$2:$BA$12,2,1),"")))</f>
        <v>16</v>
      </c>
      <c r="W17" s="53">
        <v>2</v>
      </c>
      <c r="X17" s="53" t="s">
        <v>46</v>
      </c>
      <c r="Y17" s="53" t="s">
        <v>55</v>
      </c>
      <c r="Z17" s="53" t="s">
        <v>90</v>
      </c>
      <c r="AA17" s="53" t="s">
        <v>69</v>
      </c>
      <c r="AB17" s="53" t="s">
        <v>268</v>
      </c>
      <c r="AE17" s="22" t="s">
        <v>85</v>
      </c>
      <c r="AP17" s="27" t="s">
        <v>110</v>
      </c>
      <c r="AR17" s="23" t="s">
        <v>96</v>
      </c>
      <c r="AV17" s="23" t="s">
        <v>86</v>
      </c>
    </row>
    <row r="18" spans="1:48" x14ac:dyDescent="0.15">
      <c r="A18" s="53" t="s">
        <v>59</v>
      </c>
      <c r="B18" s="53" t="s">
        <v>235</v>
      </c>
      <c r="C18" s="122">
        <v>2019</v>
      </c>
      <c r="D18" s="123" t="s">
        <v>236</v>
      </c>
      <c r="E18" s="53" t="s">
        <v>287</v>
      </c>
      <c r="F18" s="53" t="s">
        <v>279</v>
      </c>
      <c r="G18" s="53" t="s">
        <v>36</v>
      </c>
      <c r="H18" s="53" t="s">
        <v>164</v>
      </c>
      <c r="I18" s="53" t="s">
        <v>159</v>
      </c>
      <c r="J18" s="53" t="s">
        <v>38</v>
      </c>
      <c r="K18" s="53" t="s">
        <v>161</v>
      </c>
      <c r="L18" s="53">
        <v>2</v>
      </c>
      <c r="N18" s="53">
        <v>4</v>
      </c>
      <c r="O18" s="53">
        <v>0.35</v>
      </c>
      <c r="P18" s="53">
        <v>0.43</v>
      </c>
      <c r="Q18" s="110">
        <f>IF(OR(O18="",P18=""),"",AVERAGE(O18,P18))</f>
        <v>0.39</v>
      </c>
      <c r="R18" s="53">
        <v>15.8</v>
      </c>
      <c r="S18" s="53">
        <v>105</v>
      </c>
      <c r="T18" s="16">
        <f>IF(H18="","",IF(OR(H18="GREEN",H18="GK"),IF(S18&gt;=$AX$2,VLOOKUP(S18,$AX$2:$AY$12,2,1),""),IF(S18&gt;=$AZ$2,VLOOKUP(S18,$AZ$2:$BA$12,2,1),"")))</f>
        <v>33</v>
      </c>
      <c r="U18" s="53">
        <v>399</v>
      </c>
      <c r="V18" s="16">
        <f>IF(J18="","",IF(OR(J18="GREEN",J18="GK"),IF(U18&gt;=$AX$2,VLOOKUP(U18,$AX$2:$AY$12,2,1),""),IF(U18&gt;=$AZ$2,VLOOKUP(U18,$AZ$2:$BA$12,2,1),"")))</f>
        <v>16</v>
      </c>
      <c r="W18" s="53">
        <v>2</v>
      </c>
      <c r="X18" s="53" t="s">
        <v>46</v>
      </c>
      <c r="Y18" s="53" t="s">
        <v>55</v>
      </c>
      <c r="Z18" s="53" t="s">
        <v>90</v>
      </c>
      <c r="AA18" s="53" t="s">
        <v>69</v>
      </c>
      <c r="AB18" s="53" t="s">
        <v>268</v>
      </c>
      <c r="AE18" s="22" t="s">
        <v>87</v>
      </c>
      <c r="AP18" s="27" t="s">
        <v>290</v>
      </c>
      <c r="AR18" s="23" t="s">
        <v>101</v>
      </c>
      <c r="AV18" s="23" t="s">
        <v>88</v>
      </c>
    </row>
    <row r="19" spans="1:48" x14ac:dyDescent="0.15">
      <c r="A19" s="53" t="s">
        <v>59</v>
      </c>
      <c r="B19" s="53" t="s">
        <v>235</v>
      </c>
      <c r="C19" s="122">
        <v>2019</v>
      </c>
      <c r="D19" s="123" t="s">
        <v>236</v>
      </c>
      <c r="E19" s="53" t="s">
        <v>287</v>
      </c>
      <c r="F19" s="53" t="s">
        <v>279</v>
      </c>
      <c r="G19" s="53" t="s">
        <v>36</v>
      </c>
      <c r="H19" s="53" t="s">
        <v>164</v>
      </c>
      <c r="I19" s="53" t="s">
        <v>159</v>
      </c>
      <c r="J19" s="53" t="s">
        <v>38</v>
      </c>
      <c r="K19" s="53" t="s">
        <v>161</v>
      </c>
      <c r="L19" s="53">
        <v>3</v>
      </c>
      <c r="N19" s="53">
        <v>4</v>
      </c>
      <c r="O19" s="53">
        <v>0.39</v>
      </c>
      <c r="P19" s="53">
        <v>0.42</v>
      </c>
      <c r="Q19" s="110">
        <f>IF(OR(O19="",P19=""),"",AVERAGE(O19,P19))</f>
        <v>0.40500000000000003</v>
      </c>
      <c r="R19" s="53">
        <v>14.4</v>
      </c>
      <c r="S19" s="53">
        <v>102</v>
      </c>
      <c r="T19" s="16">
        <f>IF(H19="","",IF(OR(H19="GREEN",H19="GK"),IF(S19&gt;=$AX$2,VLOOKUP(S19,$AX$2:$AY$12,2,1),""),IF(S19&gt;=$AZ$2,VLOOKUP(S19,$AZ$2:$BA$12,2,1),"")))</f>
        <v>33</v>
      </c>
      <c r="U19" s="53">
        <v>399</v>
      </c>
      <c r="V19" s="16">
        <f>IF(J19="","",IF(OR(J19="GREEN",J19="GK"),IF(U19&gt;=$AX$2,VLOOKUP(U19,$AX$2:$AY$12,2,1),""),IF(U19&gt;=$AZ$2,VLOOKUP(U19,$AZ$2:$BA$12,2,1),"")))</f>
        <v>16</v>
      </c>
      <c r="W19" s="53">
        <v>2</v>
      </c>
      <c r="X19" s="53" t="s">
        <v>46</v>
      </c>
      <c r="Y19" s="53" t="s">
        <v>55</v>
      </c>
      <c r="Z19" s="53" t="s">
        <v>90</v>
      </c>
      <c r="AA19" s="53" t="s">
        <v>69</v>
      </c>
      <c r="AB19" s="53" t="s">
        <v>268</v>
      </c>
      <c r="AE19" s="35" t="s">
        <v>89</v>
      </c>
      <c r="AP19" s="27" t="s">
        <v>112</v>
      </c>
      <c r="AR19" s="23" t="s">
        <v>126</v>
      </c>
      <c r="AV19" s="23" t="s">
        <v>289</v>
      </c>
    </row>
    <row r="20" spans="1:48" x14ac:dyDescent="0.15">
      <c r="A20" s="53" t="s">
        <v>59</v>
      </c>
      <c r="B20" s="53" t="s">
        <v>235</v>
      </c>
      <c r="C20" s="122">
        <v>2019</v>
      </c>
      <c r="D20" s="123" t="s">
        <v>236</v>
      </c>
      <c r="E20" s="53" t="s">
        <v>287</v>
      </c>
      <c r="F20" s="53" t="s">
        <v>279</v>
      </c>
      <c r="G20" s="53" t="s">
        <v>36</v>
      </c>
      <c r="H20" s="53" t="s">
        <v>193</v>
      </c>
      <c r="I20" s="53" t="s">
        <v>159</v>
      </c>
      <c r="J20" s="53" t="s">
        <v>38</v>
      </c>
      <c r="K20" s="53" t="s">
        <v>161</v>
      </c>
      <c r="L20" s="53">
        <v>1</v>
      </c>
      <c r="N20" s="53">
        <v>4</v>
      </c>
      <c r="O20" s="53">
        <v>0.27</v>
      </c>
      <c r="P20" s="53">
        <v>0.28000000000000003</v>
      </c>
      <c r="Q20" s="110">
        <f>IF(OR(O20="",P20=""),"",AVERAGE(O20,P20))</f>
        <v>0.27500000000000002</v>
      </c>
      <c r="R20" s="53">
        <v>15.7</v>
      </c>
      <c r="S20" s="53">
        <v>76</v>
      </c>
      <c r="T20" s="16">
        <f>IF(H20="","",IF(OR(H20="GREEN",H20="GK"),IF(S20&gt;=$AX$2,VLOOKUP(S20,$AX$2:$AY$12,2,1),""),IF(S20&gt;=$AZ$2,VLOOKUP(S20,$AZ$2:$BA$12,2,1),"")))</f>
        <v>39</v>
      </c>
      <c r="U20" s="53">
        <v>399</v>
      </c>
      <c r="V20" s="16">
        <f>IF(J20="","",IF(OR(J20="GREEN",J20="GK"),IF(U20&gt;=$AX$2,VLOOKUP(U20,$AX$2:$AY$12,2,1),""),IF(U20&gt;=$AZ$2,VLOOKUP(U20,$AZ$2:$BA$12,2,1),"")))</f>
        <v>16</v>
      </c>
      <c r="W20" s="53">
        <v>1</v>
      </c>
      <c r="X20" s="53" t="s">
        <v>46</v>
      </c>
      <c r="Y20" s="53" t="s">
        <v>55</v>
      </c>
      <c r="Z20" s="53" t="s">
        <v>90</v>
      </c>
      <c r="AA20" s="53" t="s">
        <v>69</v>
      </c>
      <c r="AB20" s="53" t="s">
        <v>268</v>
      </c>
      <c r="AE20" s="35"/>
      <c r="AP20" s="27" t="s">
        <v>113</v>
      </c>
      <c r="AR20" s="23" t="s">
        <v>105</v>
      </c>
      <c r="AV20" s="27" t="s">
        <v>135</v>
      </c>
    </row>
    <row r="21" spans="1:48" x14ac:dyDescent="0.15">
      <c r="A21" s="53" t="s">
        <v>59</v>
      </c>
      <c r="B21" s="53" t="s">
        <v>235</v>
      </c>
      <c r="C21" s="122">
        <v>2019</v>
      </c>
      <c r="D21" s="123" t="s">
        <v>236</v>
      </c>
      <c r="E21" s="53" t="s">
        <v>287</v>
      </c>
      <c r="F21" s="53" t="s">
        <v>279</v>
      </c>
      <c r="G21" s="53" t="s">
        <v>36</v>
      </c>
      <c r="H21" s="53" t="s">
        <v>193</v>
      </c>
      <c r="I21" s="53" t="s">
        <v>159</v>
      </c>
      <c r="J21" s="53" t="s">
        <v>38</v>
      </c>
      <c r="K21" s="53" t="s">
        <v>161</v>
      </c>
      <c r="L21" s="53">
        <v>2</v>
      </c>
      <c r="N21" s="53">
        <v>4</v>
      </c>
      <c r="O21" s="53">
        <v>0.36</v>
      </c>
      <c r="P21" s="53">
        <v>0.33</v>
      </c>
      <c r="Q21" s="110">
        <f>IF(OR(O21="",P21=""),"",AVERAGE(O21,P21))</f>
        <v>0.34499999999999997</v>
      </c>
      <c r="R21" s="53">
        <v>16</v>
      </c>
      <c r="S21" s="53">
        <v>72</v>
      </c>
      <c r="T21" s="16">
        <f>IF(H21="","",IF(OR(H21="GREEN",H21="GK"),IF(S21&gt;=$AX$2,VLOOKUP(S21,$AX$2:$AY$12,2,1),""),IF(S21&gt;=$AZ$2,VLOOKUP(S21,$AZ$2:$BA$12,2,1),"")))</f>
        <v>42</v>
      </c>
      <c r="U21" s="53">
        <v>399</v>
      </c>
      <c r="V21" s="16">
        <f>IF(J21="","",IF(OR(J21="GREEN",J21="GK"),IF(U21&gt;=$AX$2,VLOOKUP(U21,$AX$2:$AY$12,2,1),""),IF(U21&gt;=$AZ$2,VLOOKUP(U21,$AZ$2:$BA$12,2,1),"")))</f>
        <v>16</v>
      </c>
      <c r="W21" s="53">
        <v>1</v>
      </c>
      <c r="X21" s="53" t="s">
        <v>46</v>
      </c>
      <c r="Y21" s="53" t="s">
        <v>55</v>
      </c>
      <c r="Z21" s="53" t="s">
        <v>90</v>
      </c>
      <c r="AA21" s="53" t="s">
        <v>69</v>
      </c>
      <c r="AB21" s="53" t="s">
        <v>268</v>
      </c>
      <c r="AE21" s="28"/>
      <c r="AP21" s="27" t="s">
        <v>288</v>
      </c>
      <c r="AR21" s="23" t="s">
        <v>68</v>
      </c>
      <c r="AV21" s="27" t="s">
        <v>136</v>
      </c>
    </row>
    <row r="22" spans="1:48" x14ac:dyDescent="0.15">
      <c r="A22" s="53" t="s">
        <v>59</v>
      </c>
      <c r="B22" s="53" t="s">
        <v>235</v>
      </c>
      <c r="C22" s="122">
        <v>2019</v>
      </c>
      <c r="D22" s="123" t="s">
        <v>236</v>
      </c>
      <c r="E22" s="53" t="s">
        <v>287</v>
      </c>
      <c r="F22" s="53" t="s">
        <v>279</v>
      </c>
      <c r="G22" s="53" t="s">
        <v>36</v>
      </c>
      <c r="H22" s="53" t="s">
        <v>193</v>
      </c>
      <c r="I22" s="53" t="s">
        <v>159</v>
      </c>
      <c r="J22" s="53" t="s">
        <v>38</v>
      </c>
      <c r="K22" s="53" t="s">
        <v>161</v>
      </c>
      <c r="L22" s="53">
        <v>3</v>
      </c>
      <c r="N22" s="53">
        <v>4</v>
      </c>
      <c r="O22" s="53">
        <v>0.31</v>
      </c>
      <c r="P22" s="53">
        <v>0.27</v>
      </c>
      <c r="Q22" s="110">
        <f>IF(OR(O22="",P22=""),"",AVERAGE(O22,P22))</f>
        <v>0.29000000000000004</v>
      </c>
      <c r="R22" s="53">
        <v>15.9</v>
      </c>
      <c r="S22" s="53">
        <v>94</v>
      </c>
      <c r="T22" s="16">
        <f>IF(H22="","",IF(OR(H22="GREEN",H22="GK"),IF(S22&gt;=$AX$2,VLOOKUP(S22,$AX$2:$AY$12,2,1),""),IF(S22&gt;=$AZ$2,VLOOKUP(S22,$AZ$2:$BA$12,2,1),"")))</f>
        <v>36</v>
      </c>
      <c r="U22" s="53">
        <v>399</v>
      </c>
      <c r="V22" s="16">
        <f>IF(J22="","",IF(OR(J22="GREEN",J22="GK"),IF(U22&gt;=$AX$2,VLOOKUP(U22,$AX$2:$AY$12,2,1),""),IF(U22&gt;=$AZ$2,VLOOKUP(U22,$AZ$2:$BA$12,2,1),"")))</f>
        <v>16</v>
      </c>
      <c r="W22" s="53">
        <v>1</v>
      </c>
      <c r="X22" s="53" t="s">
        <v>46</v>
      </c>
      <c r="Y22" s="53" t="s">
        <v>55</v>
      </c>
      <c r="Z22" s="53" t="s">
        <v>90</v>
      </c>
      <c r="AA22" s="53" t="s">
        <v>69</v>
      </c>
      <c r="AB22" s="53" t="s">
        <v>268</v>
      </c>
      <c r="AP22" s="27" t="s">
        <v>286</v>
      </c>
      <c r="AR22" s="23" t="s">
        <v>83</v>
      </c>
      <c r="AV22" s="27" t="s">
        <v>285</v>
      </c>
    </row>
    <row r="23" spans="1:48" x14ac:dyDescent="0.15">
      <c r="A23" s="53" t="s">
        <v>59</v>
      </c>
      <c r="B23" s="53" t="s">
        <v>235</v>
      </c>
      <c r="C23" s="122">
        <v>2019</v>
      </c>
      <c r="D23" s="123" t="s">
        <v>236</v>
      </c>
      <c r="E23" s="53" t="s">
        <v>280</v>
      </c>
      <c r="F23" s="53" t="s">
        <v>279</v>
      </c>
      <c r="G23" s="53" t="s">
        <v>36</v>
      </c>
      <c r="H23" s="53" t="s">
        <v>160</v>
      </c>
      <c r="I23" s="53" t="s">
        <v>159</v>
      </c>
      <c r="J23" s="53" t="s">
        <v>38</v>
      </c>
      <c r="K23" s="53" t="s">
        <v>161</v>
      </c>
      <c r="L23" s="53">
        <v>1</v>
      </c>
      <c r="N23" s="53">
        <v>2</v>
      </c>
      <c r="O23" s="53">
        <v>0.44</v>
      </c>
      <c r="P23" s="53">
        <v>0.4</v>
      </c>
      <c r="Q23" s="110">
        <f>IF(OR(O23="",P23=""),"",AVERAGE(O23,P23))</f>
        <v>0.42000000000000004</v>
      </c>
      <c r="R23" s="53">
        <v>15.9</v>
      </c>
      <c r="S23" s="53">
        <v>152</v>
      </c>
      <c r="T23" s="16">
        <f>IF(H23="","",IF(OR(H23="GREEN",H23="GK"),IF(S23&gt;=$AX$2,VLOOKUP(S23,$AX$2:$AY$12,2,1),""),IF(S23&gt;=$AZ$2,VLOOKUP(S23,$AZ$2:$BA$12,2,1),"")))</f>
        <v>18</v>
      </c>
      <c r="U23" s="53">
        <v>429</v>
      </c>
      <c r="V23" s="16">
        <f>IF(J23="","",IF(OR(J23="GREEN",J23="GK"),IF(U23&gt;=$AX$2,VLOOKUP(U23,$AX$2:$AY$12,2,1),""),IF(U23&gt;=$AZ$2,VLOOKUP(U23,$AZ$2:$BA$12,2,1),"")))</f>
        <v>16</v>
      </c>
      <c r="W23" s="53">
        <v>4</v>
      </c>
      <c r="X23" s="53" t="s">
        <v>46</v>
      </c>
      <c r="Y23" s="53" t="s">
        <v>78</v>
      </c>
      <c r="Z23" s="53" t="s">
        <v>88</v>
      </c>
      <c r="AA23" s="53" t="s">
        <v>55</v>
      </c>
      <c r="AB23" s="53" t="s">
        <v>268</v>
      </c>
      <c r="AP23" s="27" t="s">
        <v>137</v>
      </c>
      <c r="AR23" s="23" t="s">
        <v>61</v>
      </c>
      <c r="AV23" s="27" t="s">
        <v>284</v>
      </c>
    </row>
    <row r="24" spans="1:48" x14ac:dyDescent="0.15">
      <c r="A24" s="53" t="s">
        <v>59</v>
      </c>
      <c r="B24" s="53" t="s">
        <v>235</v>
      </c>
      <c r="C24" s="122">
        <v>2019</v>
      </c>
      <c r="D24" s="123" t="s">
        <v>236</v>
      </c>
      <c r="E24" s="53" t="s">
        <v>280</v>
      </c>
      <c r="F24" s="53" t="s">
        <v>279</v>
      </c>
      <c r="G24" s="53" t="s">
        <v>36</v>
      </c>
      <c r="H24" s="53" t="s">
        <v>160</v>
      </c>
      <c r="I24" s="53" t="s">
        <v>159</v>
      </c>
      <c r="J24" s="53" t="s">
        <v>38</v>
      </c>
      <c r="K24" s="53" t="s">
        <v>161</v>
      </c>
      <c r="L24" s="53">
        <v>2</v>
      </c>
      <c r="N24" s="53">
        <v>2</v>
      </c>
      <c r="O24" s="53">
        <v>0.44</v>
      </c>
      <c r="P24" s="53">
        <v>0.43</v>
      </c>
      <c r="Q24" s="110">
        <f>IF(OR(O24="",P24=""),"",AVERAGE(O24,P24))</f>
        <v>0.435</v>
      </c>
      <c r="R24" s="53">
        <v>17.2</v>
      </c>
      <c r="S24" s="53">
        <v>150</v>
      </c>
      <c r="T24" s="16">
        <f>IF(H24="","",IF(OR(H24="GREEN",H24="GK"),IF(S24&gt;=$AX$2,VLOOKUP(S24,$AX$2:$AY$12,2,1),""),IF(S24&gt;=$AZ$2,VLOOKUP(S24,$AZ$2:$BA$12,2,1),"")))</f>
        <v>22</v>
      </c>
      <c r="U24" s="53">
        <v>429</v>
      </c>
      <c r="V24" s="16">
        <f>IF(J24="","",IF(OR(J24="GREEN",J24="GK"),IF(U24&gt;=$AX$2,VLOOKUP(U24,$AX$2:$AY$12,2,1),""),IF(U24&gt;=$AZ$2,VLOOKUP(U24,$AZ$2:$BA$12,2,1),"")))</f>
        <v>16</v>
      </c>
      <c r="W24" s="53">
        <v>4</v>
      </c>
      <c r="X24" s="53" t="s">
        <v>46</v>
      </c>
      <c r="Y24" s="53" t="s">
        <v>78</v>
      </c>
      <c r="Z24" s="53" t="s">
        <v>88</v>
      </c>
      <c r="AA24" s="53" t="s">
        <v>55</v>
      </c>
      <c r="AB24" s="53" t="s">
        <v>268</v>
      </c>
      <c r="AP24" s="27" t="s">
        <v>138</v>
      </c>
      <c r="AR24" s="23" t="s">
        <v>91</v>
      </c>
      <c r="AV24" s="27" t="s">
        <v>283</v>
      </c>
    </row>
    <row r="25" spans="1:48" x14ac:dyDescent="0.15">
      <c r="A25" s="53" t="s">
        <v>59</v>
      </c>
      <c r="B25" s="53" t="s">
        <v>235</v>
      </c>
      <c r="C25" s="122">
        <v>2019</v>
      </c>
      <c r="D25" s="123" t="s">
        <v>236</v>
      </c>
      <c r="E25" s="53" t="s">
        <v>280</v>
      </c>
      <c r="F25" s="53" t="s">
        <v>279</v>
      </c>
      <c r="G25" s="53" t="s">
        <v>36</v>
      </c>
      <c r="H25" s="53" t="s">
        <v>160</v>
      </c>
      <c r="I25" s="53" t="s">
        <v>159</v>
      </c>
      <c r="J25" s="53" t="s">
        <v>38</v>
      </c>
      <c r="K25" s="53" t="s">
        <v>161</v>
      </c>
      <c r="L25" s="53">
        <v>3</v>
      </c>
      <c r="N25" s="53">
        <v>2</v>
      </c>
      <c r="O25" s="53">
        <v>0.43</v>
      </c>
      <c r="P25" s="53">
        <v>0.42</v>
      </c>
      <c r="Q25" s="110">
        <f>IF(OR(O25="",P25=""),"",AVERAGE(O25,P25))</f>
        <v>0.42499999999999999</v>
      </c>
      <c r="R25" s="53">
        <v>17.5</v>
      </c>
      <c r="S25" s="53">
        <v>155</v>
      </c>
      <c r="T25" s="16">
        <f>IF(H25="","",IF(OR(H25="GREEN",H25="GK"),IF(S25&gt;=$AX$2,VLOOKUP(S25,$AX$2:$AY$12,2,1),""),IF(S25&gt;=$AZ$2,VLOOKUP(S25,$AZ$2:$BA$12,2,1),"")))</f>
        <v>18</v>
      </c>
      <c r="U25" s="53">
        <v>429</v>
      </c>
      <c r="V25" s="16">
        <f>IF(J25="","",IF(OR(J25="GREEN",J25="GK"),IF(U25&gt;=$AX$2,VLOOKUP(U25,$AX$2:$AY$12,2,1),""),IF(U25&gt;=$AZ$2,VLOOKUP(U25,$AZ$2:$BA$12,2,1),"")))</f>
        <v>16</v>
      </c>
      <c r="W25" s="53">
        <v>4</v>
      </c>
      <c r="X25" s="53" t="s">
        <v>46</v>
      </c>
      <c r="Y25" s="53" t="s">
        <v>78</v>
      </c>
      <c r="Z25" s="53" t="s">
        <v>88</v>
      </c>
      <c r="AA25" s="53" t="s">
        <v>55</v>
      </c>
      <c r="AB25" s="53" t="s">
        <v>268</v>
      </c>
      <c r="AP25" s="27" t="s">
        <v>116</v>
      </c>
      <c r="AR25" s="27" t="s">
        <v>92</v>
      </c>
      <c r="AV25" s="27" t="s">
        <v>282</v>
      </c>
    </row>
    <row r="26" spans="1:48" x14ac:dyDescent="0.15">
      <c r="A26" s="53" t="s">
        <v>59</v>
      </c>
      <c r="B26" s="53" t="s">
        <v>235</v>
      </c>
      <c r="C26" s="122">
        <v>2019</v>
      </c>
      <c r="D26" s="123" t="s">
        <v>236</v>
      </c>
      <c r="E26" s="53" t="s">
        <v>280</v>
      </c>
      <c r="F26" s="53" t="s">
        <v>279</v>
      </c>
      <c r="G26" s="53" t="s">
        <v>36</v>
      </c>
      <c r="H26" s="53" t="s">
        <v>164</v>
      </c>
      <c r="I26" s="53" t="s">
        <v>159</v>
      </c>
      <c r="J26" s="53" t="s">
        <v>38</v>
      </c>
      <c r="K26" s="53" t="s">
        <v>161</v>
      </c>
      <c r="L26" s="53">
        <v>1</v>
      </c>
      <c r="N26" s="53">
        <v>10</v>
      </c>
      <c r="O26" s="53">
        <v>0.43</v>
      </c>
      <c r="P26" s="53">
        <v>0.52</v>
      </c>
      <c r="Q26" s="110">
        <f>IF(OR(O26="",P26=""),"",AVERAGE(O26,P26))</f>
        <v>0.47499999999999998</v>
      </c>
      <c r="R26" s="53">
        <v>14</v>
      </c>
      <c r="S26" s="53">
        <v>80</v>
      </c>
      <c r="T26" s="16">
        <f>IF(H26="","",IF(OR(H26="GREEN",H26="GK"),IF(S26&gt;=$AX$2,VLOOKUP(S26,$AX$2:$AY$12,2,1),""),IF(S26&gt;=$AZ$2,VLOOKUP(S26,$AZ$2:$BA$12,2,1),"")))</f>
        <v>39</v>
      </c>
      <c r="U26" s="53">
        <v>518</v>
      </c>
      <c r="V26" s="16">
        <f>IF(J26="","",IF(OR(J26="GREEN",J26="GK"),IF(U26&gt;=$AX$2,VLOOKUP(U26,$AX$2:$AY$12,2,1),""),IF(U26&gt;=$AZ$2,VLOOKUP(U26,$AZ$2:$BA$12,2,1),"")))</f>
        <v>16</v>
      </c>
      <c r="W26" s="53">
        <v>3</v>
      </c>
      <c r="X26" s="53" t="s">
        <v>46</v>
      </c>
      <c r="Y26" s="53" t="s">
        <v>78</v>
      </c>
      <c r="Z26" s="53" t="s">
        <v>88</v>
      </c>
      <c r="AA26" s="53" t="s">
        <v>55</v>
      </c>
      <c r="AB26" s="53" t="s">
        <v>268</v>
      </c>
      <c r="AP26" s="27" t="s">
        <v>117</v>
      </c>
      <c r="AR26" s="27" t="s">
        <v>281</v>
      </c>
      <c r="AV26" s="27"/>
    </row>
    <row r="27" spans="1:48" x14ac:dyDescent="0.15">
      <c r="A27" s="53" t="s">
        <v>59</v>
      </c>
      <c r="B27" s="53" t="s">
        <v>235</v>
      </c>
      <c r="C27" s="122">
        <v>2019</v>
      </c>
      <c r="D27" s="123" t="s">
        <v>236</v>
      </c>
      <c r="E27" s="53" t="s">
        <v>280</v>
      </c>
      <c r="F27" s="53" t="s">
        <v>279</v>
      </c>
      <c r="G27" s="53" t="s">
        <v>36</v>
      </c>
      <c r="H27" s="53" t="s">
        <v>164</v>
      </c>
      <c r="I27" s="53" t="s">
        <v>159</v>
      </c>
      <c r="J27" s="53" t="s">
        <v>38</v>
      </c>
      <c r="K27" s="53" t="s">
        <v>161</v>
      </c>
      <c r="L27" s="53">
        <v>2</v>
      </c>
      <c r="N27" s="53">
        <v>10</v>
      </c>
      <c r="O27" s="53">
        <v>0.55000000000000004</v>
      </c>
      <c r="P27" s="53">
        <v>0.53</v>
      </c>
      <c r="Q27" s="110">
        <f>IF(OR(O27="",P27=""),"",AVERAGE(O27,P27))</f>
        <v>0.54</v>
      </c>
      <c r="R27" s="53">
        <v>13.9</v>
      </c>
      <c r="S27" s="53">
        <v>77</v>
      </c>
      <c r="T27" s="16">
        <f>IF(H27="","",IF(OR(H27="GREEN",H27="GK"),IF(S27&gt;=$AX$2,VLOOKUP(S27,$AX$2:$AY$12,2,1),""),IF(S27&gt;=$AZ$2,VLOOKUP(S27,$AZ$2:$BA$12,2,1),"")))</f>
        <v>39</v>
      </c>
      <c r="U27" s="53">
        <v>518</v>
      </c>
      <c r="V27" s="16">
        <f>IF(J27="","",IF(OR(J27="GREEN",J27="GK"),IF(U27&gt;=$AX$2,VLOOKUP(U27,$AX$2:$AY$12,2,1),""),IF(U27&gt;=$AZ$2,VLOOKUP(U27,$AZ$2:$BA$12,2,1),"")))</f>
        <v>16</v>
      </c>
      <c r="W27" s="53">
        <v>3</v>
      </c>
      <c r="X27" s="53" t="s">
        <v>46</v>
      </c>
      <c r="Y27" s="53" t="s">
        <v>78</v>
      </c>
      <c r="Z27" s="53" t="s">
        <v>88</v>
      </c>
      <c r="AA27" s="53" t="s">
        <v>55</v>
      </c>
      <c r="AB27" s="53" t="s">
        <v>268</v>
      </c>
      <c r="AP27" s="27" t="s">
        <v>118</v>
      </c>
      <c r="AR27" s="28" t="s">
        <v>153</v>
      </c>
      <c r="AV27" s="27"/>
    </row>
    <row r="28" spans="1:48" x14ac:dyDescent="0.15">
      <c r="A28" s="53" t="s">
        <v>59</v>
      </c>
      <c r="B28" s="53" t="s">
        <v>235</v>
      </c>
      <c r="C28" s="122">
        <v>2019</v>
      </c>
      <c r="D28" s="123" t="s">
        <v>236</v>
      </c>
      <c r="E28" s="53" t="s">
        <v>280</v>
      </c>
      <c r="F28" s="53" t="s">
        <v>279</v>
      </c>
      <c r="G28" s="53" t="s">
        <v>36</v>
      </c>
      <c r="H28" s="53" t="s">
        <v>164</v>
      </c>
      <c r="I28" s="53" t="s">
        <v>159</v>
      </c>
      <c r="J28" s="53" t="s">
        <v>38</v>
      </c>
      <c r="K28" s="53" t="s">
        <v>161</v>
      </c>
      <c r="L28" s="53">
        <v>3</v>
      </c>
      <c r="N28" s="53">
        <v>10</v>
      </c>
      <c r="O28" s="53">
        <v>0.49</v>
      </c>
      <c r="P28" s="53">
        <v>0.54</v>
      </c>
      <c r="Q28" s="110">
        <f>IF(OR(O28="",P28=""),"",AVERAGE(O28,P28))</f>
        <v>0.51500000000000001</v>
      </c>
      <c r="R28" s="53">
        <v>13.8</v>
      </c>
      <c r="S28" s="53">
        <v>72</v>
      </c>
      <c r="T28" s="16">
        <f>IF(H28="","",IF(OR(H28="GREEN",H28="GK"),IF(S28&gt;=$AX$2,VLOOKUP(S28,$AX$2:$AY$12,2,1),""),IF(S28&gt;=$AZ$2,VLOOKUP(S28,$AZ$2:$BA$12,2,1),"")))</f>
        <v>42</v>
      </c>
      <c r="U28" s="53">
        <v>518</v>
      </c>
      <c r="V28" s="16">
        <f>IF(J28="","",IF(OR(J28="GREEN",J28="GK"),IF(U28&gt;=$AX$2,VLOOKUP(U28,$AX$2:$AY$12,2,1),""),IF(U28&gt;=$AZ$2,VLOOKUP(U28,$AZ$2:$BA$12,2,1),"")))</f>
        <v>16</v>
      </c>
      <c r="W28" s="53">
        <v>3</v>
      </c>
      <c r="X28" s="53" t="s">
        <v>46</v>
      </c>
      <c r="Y28" s="53" t="s">
        <v>78</v>
      </c>
      <c r="Z28" s="53" t="s">
        <v>88</v>
      </c>
      <c r="AA28" s="53" t="s">
        <v>55</v>
      </c>
      <c r="AB28" s="53" t="s">
        <v>268</v>
      </c>
      <c r="AV28" s="27"/>
    </row>
    <row r="29" spans="1:48" x14ac:dyDescent="0.15">
      <c r="A29" s="53" t="s">
        <v>59</v>
      </c>
      <c r="B29" s="53" t="s">
        <v>235</v>
      </c>
      <c r="C29" s="122">
        <v>2019</v>
      </c>
      <c r="D29" s="123" t="s">
        <v>236</v>
      </c>
      <c r="E29" s="53" t="s">
        <v>280</v>
      </c>
      <c r="F29" s="53" t="s">
        <v>279</v>
      </c>
      <c r="G29" s="53" t="s">
        <v>36</v>
      </c>
      <c r="H29" s="53" t="s">
        <v>193</v>
      </c>
      <c r="I29" s="53" t="s">
        <v>159</v>
      </c>
      <c r="J29" s="53" t="s">
        <v>38</v>
      </c>
      <c r="K29" s="53" t="s">
        <v>161</v>
      </c>
      <c r="L29" s="53">
        <v>1</v>
      </c>
      <c r="N29" s="53">
        <v>5</v>
      </c>
      <c r="O29" s="53">
        <v>0.25</v>
      </c>
      <c r="P29" s="53">
        <v>0.28000000000000003</v>
      </c>
      <c r="Q29" s="110">
        <f>IF(OR(O29="",P29=""),"",AVERAGE(O29,P29))</f>
        <v>0.26500000000000001</v>
      </c>
      <c r="R29" s="53">
        <v>16</v>
      </c>
      <c r="S29" s="53">
        <v>84</v>
      </c>
      <c r="T29" s="16">
        <f>IF(H29="","",IF(OR(H29="GREEN",H29="GK"),IF(S29&gt;=$AX$2,VLOOKUP(S29,$AX$2:$AY$12,2,1),""),IF(S29&gt;=$AZ$2,VLOOKUP(S29,$AZ$2:$BA$12,2,1),"")))</f>
        <v>36</v>
      </c>
      <c r="U29" s="53">
        <v>302</v>
      </c>
      <c r="V29" s="16">
        <f>IF(J29="","",IF(OR(J29="GREEN",J29="GK"),IF(U29&gt;=$AX$2,VLOOKUP(U29,$AX$2:$AY$12,2,1),""),IF(U29&gt;=$AZ$2,VLOOKUP(U29,$AZ$2:$BA$12,2,1),"")))</f>
        <v>16</v>
      </c>
      <c r="W29" s="53">
        <v>1</v>
      </c>
      <c r="X29" s="53" t="s">
        <v>46</v>
      </c>
      <c r="Y29" s="53" t="s">
        <v>78</v>
      </c>
      <c r="Z29" s="53" t="s">
        <v>88</v>
      </c>
      <c r="AA29" s="53" t="s">
        <v>55</v>
      </c>
      <c r="AB29" s="53" t="s">
        <v>268</v>
      </c>
      <c r="AV29" s="27"/>
    </row>
    <row r="30" spans="1:48" x14ac:dyDescent="0.15">
      <c r="A30" s="53" t="s">
        <v>59</v>
      </c>
      <c r="B30" s="53" t="s">
        <v>235</v>
      </c>
      <c r="C30" s="122">
        <v>2019</v>
      </c>
      <c r="D30" s="123" t="s">
        <v>236</v>
      </c>
      <c r="E30" s="53" t="s">
        <v>280</v>
      </c>
      <c r="F30" s="53" t="s">
        <v>279</v>
      </c>
      <c r="G30" s="53" t="s">
        <v>36</v>
      </c>
      <c r="H30" s="53" t="s">
        <v>193</v>
      </c>
      <c r="I30" s="53" t="s">
        <v>159</v>
      </c>
      <c r="J30" s="53" t="s">
        <v>38</v>
      </c>
      <c r="K30" s="53" t="s">
        <v>161</v>
      </c>
      <c r="L30" s="53">
        <v>2</v>
      </c>
      <c r="N30" s="53">
        <v>5</v>
      </c>
      <c r="O30" s="53">
        <v>0.3</v>
      </c>
      <c r="P30" s="53">
        <v>0.27</v>
      </c>
      <c r="Q30" s="110">
        <f>IF(OR(O30="",P30=""),"",AVERAGE(O30,P30))</f>
        <v>0.28500000000000003</v>
      </c>
      <c r="R30" s="53">
        <v>15.2</v>
      </c>
      <c r="S30" s="53">
        <v>81</v>
      </c>
      <c r="T30" s="16">
        <f>IF(H30="","",IF(OR(H30="GREEN",H30="GK"),IF(S30&gt;=$AX$2,VLOOKUP(S30,$AX$2:$AY$12,2,1),""),IF(S30&gt;=$AZ$2,VLOOKUP(S30,$AZ$2:$BA$12,2,1),"")))</f>
        <v>39</v>
      </c>
      <c r="U30" s="53">
        <v>302</v>
      </c>
      <c r="V30" s="16">
        <f>IF(J30="","",IF(OR(J30="GREEN",J30="GK"),IF(U30&gt;=$AX$2,VLOOKUP(U30,$AX$2:$AY$12,2,1),""),IF(U30&gt;=$AZ$2,VLOOKUP(U30,$AZ$2:$BA$12,2,1),"")))</f>
        <v>16</v>
      </c>
      <c r="W30" s="53">
        <v>1</v>
      </c>
      <c r="X30" s="53" t="s">
        <v>46</v>
      </c>
      <c r="Y30" s="53" t="s">
        <v>78</v>
      </c>
      <c r="Z30" s="53" t="s">
        <v>88</v>
      </c>
      <c r="AA30" s="53" t="s">
        <v>55</v>
      </c>
      <c r="AB30" s="53" t="s">
        <v>268</v>
      </c>
      <c r="AV30" s="27"/>
    </row>
    <row r="31" spans="1:48" x14ac:dyDescent="0.15">
      <c r="A31" s="53" t="s">
        <v>59</v>
      </c>
      <c r="B31" s="53" t="s">
        <v>235</v>
      </c>
      <c r="C31" s="122">
        <v>2019</v>
      </c>
      <c r="D31" s="123" t="s">
        <v>236</v>
      </c>
      <c r="E31" s="53" t="s">
        <v>280</v>
      </c>
      <c r="F31" s="53" t="s">
        <v>279</v>
      </c>
      <c r="G31" s="53" t="s">
        <v>36</v>
      </c>
      <c r="H31" s="53" t="s">
        <v>193</v>
      </c>
      <c r="I31" s="53" t="s">
        <v>159</v>
      </c>
      <c r="J31" s="53" t="s">
        <v>38</v>
      </c>
      <c r="K31" s="53" t="s">
        <v>161</v>
      </c>
      <c r="L31" s="53">
        <v>3</v>
      </c>
      <c r="N31" s="53">
        <v>5</v>
      </c>
      <c r="O31" s="53">
        <v>0.33</v>
      </c>
      <c r="P31" s="53">
        <v>0.25</v>
      </c>
      <c r="Q31" s="110">
        <f>IF(OR(O31="",P31=""),"",AVERAGE(O31,P31))</f>
        <v>0.29000000000000004</v>
      </c>
      <c r="R31" s="53">
        <v>16.3</v>
      </c>
      <c r="S31" s="53">
        <v>89</v>
      </c>
      <c r="T31" s="16">
        <f>IF(H31="","",IF(OR(H31="GREEN",H31="GK"),IF(S31&gt;=$AX$2,VLOOKUP(S31,$AX$2:$AY$12,2,1),""),IF(S31&gt;=$AZ$2,VLOOKUP(S31,$AZ$2:$BA$12,2,1),"")))</f>
        <v>36</v>
      </c>
      <c r="U31" s="53">
        <v>302</v>
      </c>
      <c r="V31" s="16">
        <f>IF(J31="","",IF(OR(J31="GREEN",J31="GK"),IF(U31&gt;=$AX$2,VLOOKUP(U31,$AX$2:$AY$12,2,1),""),IF(U31&gt;=$AZ$2,VLOOKUP(U31,$AZ$2:$BA$12,2,1),"")))</f>
        <v>16</v>
      </c>
      <c r="W31" s="53">
        <v>1</v>
      </c>
      <c r="X31" s="53" t="s">
        <v>46</v>
      </c>
      <c r="Y31" s="53" t="s">
        <v>78</v>
      </c>
      <c r="Z31" s="53" t="s">
        <v>88</v>
      </c>
      <c r="AA31" s="53" t="s">
        <v>55</v>
      </c>
      <c r="AB31" s="53" t="s">
        <v>268</v>
      </c>
      <c r="AV31" s="27"/>
    </row>
    <row r="32" spans="1:48" x14ac:dyDescent="0.15">
      <c r="A32" s="53" t="s">
        <v>59</v>
      </c>
      <c r="B32" s="53" t="s">
        <v>235</v>
      </c>
      <c r="C32" s="122">
        <v>2019</v>
      </c>
      <c r="D32" s="123" t="s">
        <v>236</v>
      </c>
      <c r="E32" s="53" t="s">
        <v>278</v>
      </c>
      <c r="F32" s="53" t="s">
        <v>277</v>
      </c>
      <c r="G32" s="53" t="s">
        <v>36</v>
      </c>
      <c r="H32" s="53" t="s">
        <v>160</v>
      </c>
      <c r="I32" s="53" t="s">
        <v>159</v>
      </c>
      <c r="J32" s="53" t="s">
        <v>38</v>
      </c>
      <c r="K32" s="53" t="s">
        <v>161</v>
      </c>
      <c r="L32" s="53">
        <v>1</v>
      </c>
      <c r="N32" s="53">
        <v>4</v>
      </c>
      <c r="O32" s="53">
        <v>0.36</v>
      </c>
      <c r="P32" s="53">
        <v>0.38</v>
      </c>
      <c r="Q32" s="110">
        <f>IF(OR(O32="",P32=""),"",AVERAGE(O32,P32))</f>
        <v>0.37</v>
      </c>
      <c r="R32" s="53">
        <v>16.899999999999999</v>
      </c>
      <c r="S32" s="53">
        <v>120</v>
      </c>
      <c r="T32" s="16">
        <f>IF(H32="","",IF(OR(H32="GREEN",H32="GK"),IF(S32&gt;=$AX$2,VLOOKUP(S32,$AX$2:$AY$12,2,1),""),IF(S32&gt;=$AZ$2,VLOOKUP(S32,$AZ$2:$BA$12,2,1),"")))</f>
        <v>30</v>
      </c>
      <c r="U32" s="53">
        <v>398</v>
      </c>
      <c r="V32" s="16">
        <f>IF(J32="","",IF(OR(J32="GREEN",J32="GK"),IF(U32&gt;=$AX$2,VLOOKUP(U32,$AX$2:$AY$12,2,1),""),IF(U32&gt;=$AZ$2,VLOOKUP(U32,$AZ$2:$BA$12,2,1),"")))</f>
        <v>16</v>
      </c>
      <c r="W32" s="53">
        <v>3</v>
      </c>
      <c r="X32" s="53" t="s">
        <v>39</v>
      </c>
      <c r="Y32" s="53" t="s">
        <v>97</v>
      </c>
      <c r="Z32" s="53" t="s">
        <v>78</v>
      </c>
      <c r="AA32" s="53" t="s">
        <v>88</v>
      </c>
      <c r="AB32" s="53" t="s">
        <v>268</v>
      </c>
      <c r="AV32" s="27"/>
    </row>
    <row r="33" spans="1:48" x14ac:dyDescent="0.15">
      <c r="A33" s="53" t="s">
        <v>59</v>
      </c>
      <c r="B33" s="53" t="s">
        <v>235</v>
      </c>
      <c r="C33" s="122">
        <v>2019</v>
      </c>
      <c r="D33" s="123" t="s">
        <v>236</v>
      </c>
      <c r="E33" s="53" t="s">
        <v>278</v>
      </c>
      <c r="F33" s="53" t="s">
        <v>277</v>
      </c>
      <c r="G33" s="53" t="s">
        <v>36</v>
      </c>
      <c r="H33" s="53" t="s">
        <v>160</v>
      </c>
      <c r="I33" s="53" t="s">
        <v>159</v>
      </c>
      <c r="J33" s="53" t="s">
        <v>38</v>
      </c>
      <c r="K33" s="53" t="s">
        <v>161</v>
      </c>
      <c r="L33" s="53">
        <v>2</v>
      </c>
      <c r="N33" s="53">
        <v>4</v>
      </c>
      <c r="O33" s="53">
        <v>0.45</v>
      </c>
      <c r="P33" s="53">
        <v>0.49</v>
      </c>
      <c r="Q33" s="110">
        <f>IF(OR(O33="",P33=""),"",AVERAGE(O33,P33))</f>
        <v>0.47</v>
      </c>
      <c r="R33" s="53">
        <v>15.8</v>
      </c>
      <c r="S33" s="53">
        <v>116</v>
      </c>
      <c r="T33" s="16">
        <f>IF(H33="","",IF(OR(H33="GREEN",H33="GK"),IF(S33&gt;=$AX$2,VLOOKUP(S33,$AX$2:$AY$12,2,1),""),IF(S33&gt;=$AZ$2,VLOOKUP(S33,$AZ$2:$BA$12,2,1),"")))</f>
        <v>30</v>
      </c>
      <c r="U33" s="53">
        <v>398</v>
      </c>
      <c r="V33" s="16">
        <f>IF(J33="","",IF(OR(J33="GREEN",J33="GK"),IF(U33&gt;=$AX$2,VLOOKUP(U33,$AX$2:$AY$12,2,1),""),IF(U33&gt;=$AZ$2,VLOOKUP(U33,$AZ$2:$BA$12,2,1),"")))</f>
        <v>16</v>
      </c>
      <c r="W33" s="53">
        <v>3</v>
      </c>
      <c r="X33" s="53" t="s">
        <v>39</v>
      </c>
      <c r="Y33" s="53" t="s">
        <v>97</v>
      </c>
      <c r="Z33" s="53" t="s">
        <v>78</v>
      </c>
      <c r="AA33" s="53" t="s">
        <v>88</v>
      </c>
      <c r="AB33" s="53" t="s">
        <v>268</v>
      </c>
      <c r="AV33" s="27"/>
    </row>
    <row r="34" spans="1:48" x14ac:dyDescent="0.15">
      <c r="A34" s="53" t="s">
        <v>59</v>
      </c>
      <c r="B34" s="53" t="s">
        <v>235</v>
      </c>
      <c r="C34" s="122">
        <v>2019</v>
      </c>
      <c r="D34" s="123" t="s">
        <v>236</v>
      </c>
      <c r="E34" s="53" t="s">
        <v>278</v>
      </c>
      <c r="F34" s="53" t="s">
        <v>277</v>
      </c>
      <c r="G34" s="53" t="s">
        <v>36</v>
      </c>
      <c r="H34" s="53" t="s">
        <v>160</v>
      </c>
      <c r="I34" s="53" t="s">
        <v>159</v>
      </c>
      <c r="J34" s="53" t="s">
        <v>38</v>
      </c>
      <c r="K34" s="53" t="s">
        <v>161</v>
      </c>
      <c r="L34" s="53">
        <v>3</v>
      </c>
      <c r="N34" s="53">
        <v>4</v>
      </c>
      <c r="O34" s="53">
        <v>0.44</v>
      </c>
      <c r="P34" s="53">
        <v>0.48</v>
      </c>
      <c r="Q34" s="110">
        <f>IF(OR(O34="",P34=""),"",AVERAGE(O34,P34))</f>
        <v>0.45999999999999996</v>
      </c>
      <c r="R34" s="53">
        <v>15.9</v>
      </c>
      <c r="S34" s="53">
        <v>119</v>
      </c>
      <c r="T34" s="16">
        <f>IF(H34="","",IF(OR(H34="GREEN",H34="GK"),IF(S34&gt;=$AX$2,VLOOKUP(S34,$AX$2:$AY$12,2,1),""),IF(S34&gt;=$AZ$2,VLOOKUP(S34,$AZ$2:$BA$12,2,1),"")))</f>
        <v>30</v>
      </c>
      <c r="U34" s="53">
        <v>398</v>
      </c>
      <c r="V34" s="16">
        <f>IF(J34="","",IF(OR(J34="GREEN",J34="GK"),IF(U34&gt;=$AX$2,VLOOKUP(U34,$AX$2:$AY$12,2,1),""),IF(U34&gt;=$AZ$2,VLOOKUP(U34,$AZ$2:$BA$12,2,1),"")))</f>
        <v>16</v>
      </c>
      <c r="W34" s="53">
        <v>3</v>
      </c>
      <c r="X34" s="53" t="s">
        <v>39</v>
      </c>
      <c r="Y34" s="53" t="s">
        <v>97</v>
      </c>
      <c r="Z34" s="53" t="s">
        <v>78</v>
      </c>
      <c r="AA34" s="53" t="s">
        <v>88</v>
      </c>
      <c r="AB34" s="53" t="s">
        <v>268</v>
      </c>
      <c r="AV34" s="27"/>
    </row>
    <row r="35" spans="1:48" x14ac:dyDescent="0.15">
      <c r="A35" s="53" t="s">
        <v>59</v>
      </c>
      <c r="B35" s="53" t="s">
        <v>235</v>
      </c>
      <c r="C35" s="122">
        <v>2019</v>
      </c>
      <c r="D35" s="123" t="s">
        <v>236</v>
      </c>
      <c r="E35" s="53" t="s">
        <v>278</v>
      </c>
      <c r="F35" s="53" t="s">
        <v>277</v>
      </c>
      <c r="G35" s="53" t="s">
        <v>36</v>
      </c>
      <c r="H35" s="53" t="s">
        <v>164</v>
      </c>
      <c r="I35" s="53" t="s">
        <v>159</v>
      </c>
      <c r="J35" s="53" t="s">
        <v>38</v>
      </c>
      <c r="K35" s="53" t="s">
        <v>161</v>
      </c>
      <c r="L35" s="53">
        <v>1</v>
      </c>
      <c r="N35" s="53">
        <v>4</v>
      </c>
      <c r="O35" s="53">
        <v>0.38</v>
      </c>
      <c r="P35" s="53">
        <v>0.35</v>
      </c>
      <c r="Q35" s="110">
        <f>IF(OR(O35="",P35=""),"",AVERAGE(O35,P35))</f>
        <v>0.36499999999999999</v>
      </c>
      <c r="R35" s="53">
        <v>14.7</v>
      </c>
      <c r="S35" s="53">
        <v>103</v>
      </c>
      <c r="T35" s="16">
        <f>IF(H35="","",IF(OR(H35="GREEN",H35="GK"),IF(S35&gt;=$AX$2,VLOOKUP(S35,$AX$2:$AY$12,2,1),""),IF(S35&gt;=$AZ$2,VLOOKUP(S35,$AZ$2:$BA$12,2,1),"")))</f>
        <v>33</v>
      </c>
      <c r="U35" s="53">
        <v>398</v>
      </c>
      <c r="V35" s="16">
        <f>IF(J35="","",IF(OR(J35="GREEN",J35="GK"),IF(U35&gt;=$AX$2,VLOOKUP(U35,$AX$2:$AY$12,2,1),""),IF(U35&gt;=$AZ$2,VLOOKUP(U35,$AZ$2:$BA$12,2,1),"")))</f>
        <v>16</v>
      </c>
      <c r="W35" s="53">
        <v>3</v>
      </c>
      <c r="X35" s="53" t="s">
        <v>39</v>
      </c>
      <c r="Y35" s="53" t="s">
        <v>97</v>
      </c>
      <c r="Z35" s="53" t="s">
        <v>78</v>
      </c>
      <c r="AA35" s="53" t="s">
        <v>88</v>
      </c>
      <c r="AB35" s="53" t="s">
        <v>268</v>
      </c>
      <c r="AV35" s="27"/>
    </row>
    <row r="36" spans="1:48" x14ac:dyDescent="0.15">
      <c r="A36" s="53" t="s">
        <v>59</v>
      </c>
      <c r="B36" s="53" t="s">
        <v>235</v>
      </c>
      <c r="C36" s="122">
        <v>2019</v>
      </c>
      <c r="D36" s="123" t="s">
        <v>236</v>
      </c>
      <c r="E36" s="53" t="s">
        <v>278</v>
      </c>
      <c r="F36" s="53" t="s">
        <v>277</v>
      </c>
      <c r="G36" s="53" t="s">
        <v>36</v>
      </c>
      <c r="H36" s="53" t="s">
        <v>164</v>
      </c>
      <c r="I36" s="53" t="s">
        <v>159</v>
      </c>
      <c r="J36" s="53" t="s">
        <v>38</v>
      </c>
      <c r="K36" s="53" t="s">
        <v>161</v>
      </c>
      <c r="L36" s="53">
        <v>2</v>
      </c>
      <c r="N36" s="53">
        <v>4</v>
      </c>
      <c r="O36" s="53">
        <v>0.33</v>
      </c>
      <c r="P36" s="53">
        <v>0.35</v>
      </c>
      <c r="Q36" s="110">
        <f>IF(OR(O36="",P36=""),"",AVERAGE(O36,P36))</f>
        <v>0.33999999999999997</v>
      </c>
      <c r="R36" s="53">
        <v>13.9</v>
      </c>
      <c r="S36" s="53">
        <v>105</v>
      </c>
      <c r="T36" s="16">
        <f>IF(H36="","",IF(OR(H36="GREEN",H36="GK"),IF(S36&gt;=$AX$2,VLOOKUP(S36,$AX$2:$AY$12,2,1),""),IF(S36&gt;=$AZ$2,VLOOKUP(S36,$AZ$2:$BA$12,2,1),"")))</f>
        <v>33</v>
      </c>
      <c r="U36" s="53">
        <v>398</v>
      </c>
      <c r="V36" s="16">
        <f>IF(J36="","",IF(OR(J36="GREEN",J36="GK"),IF(U36&gt;=$AX$2,VLOOKUP(U36,$AX$2:$AY$12,2,1),""),IF(U36&gt;=$AZ$2,VLOOKUP(U36,$AZ$2:$BA$12,2,1),"")))</f>
        <v>16</v>
      </c>
      <c r="W36" s="53">
        <v>3</v>
      </c>
      <c r="X36" s="53" t="s">
        <v>39</v>
      </c>
      <c r="Y36" s="53" t="s">
        <v>97</v>
      </c>
      <c r="Z36" s="53" t="s">
        <v>78</v>
      </c>
      <c r="AA36" s="53" t="s">
        <v>88</v>
      </c>
      <c r="AB36" s="53" t="s">
        <v>268</v>
      </c>
      <c r="AV36" s="27"/>
    </row>
    <row r="37" spans="1:48" x14ac:dyDescent="0.15">
      <c r="A37" s="53" t="s">
        <v>59</v>
      </c>
      <c r="B37" s="53" t="s">
        <v>235</v>
      </c>
      <c r="C37" s="122">
        <v>2019</v>
      </c>
      <c r="D37" s="123" t="s">
        <v>236</v>
      </c>
      <c r="E37" s="53" t="s">
        <v>278</v>
      </c>
      <c r="F37" s="53" t="s">
        <v>277</v>
      </c>
      <c r="G37" s="53" t="s">
        <v>36</v>
      </c>
      <c r="H37" s="53" t="s">
        <v>164</v>
      </c>
      <c r="I37" s="53" t="s">
        <v>159</v>
      </c>
      <c r="J37" s="53" t="s">
        <v>38</v>
      </c>
      <c r="K37" s="53" t="s">
        <v>161</v>
      </c>
      <c r="L37" s="53">
        <v>3</v>
      </c>
      <c r="N37" s="53">
        <v>4</v>
      </c>
      <c r="O37" s="53">
        <v>0.37</v>
      </c>
      <c r="P37" s="53">
        <v>0.38</v>
      </c>
      <c r="Q37" s="110">
        <f>IF(OR(O37="",P37=""),"",AVERAGE(O37,P37))</f>
        <v>0.375</v>
      </c>
      <c r="R37" s="53">
        <v>14.3</v>
      </c>
      <c r="S37" s="53">
        <v>101</v>
      </c>
      <c r="T37" s="16">
        <f>IF(H37="","",IF(OR(H37="GREEN",H37="GK"),IF(S37&gt;=$AX$2,VLOOKUP(S37,$AX$2:$AY$12,2,1),""),IF(S37&gt;=$AZ$2,VLOOKUP(S37,$AZ$2:$BA$12,2,1),"")))</f>
        <v>33</v>
      </c>
      <c r="U37" s="53">
        <v>398</v>
      </c>
      <c r="V37" s="16">
        <f>IF(J37="","",IF(OR(J37="GREEN",J37="GK"),IF(U37&gt;=$AX$2,VLOOKUP(U37,$AX$2:$AY$12,2,1),""),IF(U37&gt;=$AZ$2,VLOOKUP(U37,$AZ$2:$BA$12,2,1),"")))</f>
        <v>16</v>
      </c>
      <c r="W37" s="53">
        <v>3</v>
      </c>
      <c r="X37" s="53" t="s">
        <v>39</v>
      </c>
      <c r="Y37" s="53" t="s">
        <v>97</v>
      </c>
      <c r="Z37" s="53" t="s">
        <v>78</v>
      </c>
      <c r="AA37" s="53" t="s">
        <v>88</v>
      </c>
      <c r="AB37" s="53" t="s">
        <v>268</v>
      </c>
      <c r="AV37" s="27"/>
    </row>
    <row r="38" spans="1:48" x14ac:dyDescent="0.15">
      <c r="A38" s="53" t="s">
        <v>59</v>
      </c>
      <c r="B38" s="53" t="s">
        <v>235</v>
      </c>
      <c r="C38" s="122">
        <v>2019</v>
      </c>
      <c r="D38" s="123" t="s">
        <v>236</v>
      </c>
      <c r="E38" s="53" t="s">
        <v>162</v>
      </c>
      <c r="F38" s="53" t="s">
        <v>277</v>
      </c>
      <c r="G38" s="53" t="s">
        <v>36</v>
      </c>
      <c r="H38" s="53" t="s">
        <v>160</v>
      </c>
      <c r="I38" s="53" t="s">
        <v>159</v>
      </c>
      <c r="J38" s="53" t="s">
        <v>38</v>
      </c>
      <c r="K38" s="53" t="s">
        <v>161</v>
      </c>
      <c r="L38" s="53">
        <v>1</v>
      </c>
      <c r="N38" s="53">
        <v>4</v>
      </c>
      <c r="O38" s="53">
        <v>0.24</v>
      </c>
      <c r="P38" s="53">
        <v>0.26</v>
      </c>
      <c r="Q38" s="110">
        <f>IF(OR(O38="",P38=""),"",AVERAGE(O38,P38))</f>
        <v>0.25</v>
      </c>
      <c r="R38" s="53">
        <v>15.1</v>
      </c>
      <c r="S38" s="53">
        <v>104</v>
      </c>
      <c r="T38" s="16">
        <f>IF(H38="","",IF(OR(H38="GREEN",H38="GK"),IF(S38&gt;=$AX$2,VLOOKUP(S38,$AX$2:$AY$12,2,1),""),IF(S38&gt;=$AZ$2,VLOOKUP(S38,$AZ$2:$BA$12,2,1),"")))</f>
        <v>33</v>
      </c>
      <c r="U38" s="53">
        <v>398</v>
      </c>
      <c r="V38" s="16">
        <f>IF(J38="","",IF(OR(J38="GREEN",J38="GK"),IF(U38&gt;=$AX$2,VLOOKUP(U38,$AX$2:$AY$12,2,1),""),IF(U38&gt;=$AZ$2,VLOOKUP(U38,$AZ$2:$BA$12,2,1),"")))</f>
        <v>16</v>
      </c>
      <c r="W38" s="53">
        <v>10</v>
      </c>
      <c r="X38" s="53" t="s">
        <v>46</v>
      </c>
      <c r="Y38" s="53" t="s">
        <v>55</v>
      </c>
      <c r="Z38" s="53" t="s">
        <v>69</v>
      </c>
      <c r="AA38" s="53" t="s">
        <v>78</v>
      </c>
      <c r="AB38" s="53" t="s">
        <v>268</v>
      </c>
      <c r="AV38" s="27"/>
    </row>
    <row r="39" spans="1:48" x14ac:dyDescent="0.15">
      <c r="A39" s="53" t="s">
        <v>59</v>
      </c>
      <c r="B39" s="53" t="s">
        <v>235</v>
      </c>
      <c r="C39" s="122">
        <v>2019</v>
      </c>
      <c r="D39" s="123" t="s">
        <v>236</v>
      </c>
      <c r="E39" s="53" t="s">
        <v>162</v>
      </c>
      <c r="F39" s="53" t="s">
        <v>277</v>
      </c>
      <c r="G39" s="53" t="s">
        <v>36</v>
      </c>
      <c r="H39" s="53" t="s">
        <v>160</v>
      </c>
      <c r="I39" s="53" t="s">
        <v>159</v>
      </c>
      <c r="J39" s="53" t="s">
        <v>38</v>
      </c>
      <c r="K39" s="53" t="s">
        <v>161</v>
      </c>
      <c r="L39" s="53">
        <v>2</v>
      </c>
      <c r="N39" s="53">
        <v>4</v>
      </c>
      <c r="O39" s="53">
        <v>0.28999999999999998</v>
      </c>
      <c r="P39" s="53">
        <v>0.24</v>
      </c>
      <c r="Q39" s="110">
        <f>IF(OR(O39="",P39=""),"",AVERAGE(O39,P39))</f>
        <v>0.26500000000000001</v>
      </c>
      <c r="R39" s="53">
        <v>15.5</v>
      </c>
      <c r="S39" s="53">
        <v>105</v>
      </c>
      <c r="T39" s="16">
        <f>IF(H39="","",IF(OR(H39="GREEN",H39="GK"),IF(S39&gt;=$AX$2,VLOOKUP(S39,$AX$2:$AY$12,2,1),""),IF(S39&gt;=$AZ$2,VLOOKUP(S39,$AZ$2:$BA$12,2,1),"")))</f>
        <v>33</v>
      </c>
      <c r="U39" s="53">
        <v>398</v>
      </c>
      <c r="V39" s="16">
        <f>IF(J39="","",IF(OR(J39="GREEN",J39="GK"),IF(U39&gt;=$AX$2,VLOOKUP(U39,$AX$2:$AY$12,2,1),""),IF(U39&gt;=$AZ$2,VLOOKUP(U39,$AZ$2:$BA$12,2,1),"")))</f>
        <v>16</v>
      </c>
      <c r="W39" s="53">
        <v>10</v>
      </c>
      <c r="X39" s="53" t="s">
        <v>46</v>
      </c>
      <c r="Y39" s="53" t="s">
        <v>55</v>
      </c>
      <c r="Z39" s="53" t="s">
        <v>69</v>
      </c>
      <c r="AA39" s="53" t="s">
        <v>78</v>
      </c>
      <c r="AB39" s="53" t="s">
        <v>268</v>
      </c>
      <c r="AV39" s="27"/>
    </row>
    <row r="40" spans="1:48" x14ac:dyDescent="0.15">
      <c r="A40" s="53" t="s">
        <v>59</v>
      </c>
      <c r="B40" s="53" t="s">
        <v>235</v>
      </c>
      <c r="C40" s="122">
        <v>2019</v>
      </c>
      <c r="D40" s="123" t="s">
        <v>236</v>
      </c>
      <c r="E40" s="53" t="s">
        <v>162</v>
      </c>
      <c r="F40" s="53" t="s">
        <v>277</v>
      </c>
      <c r="G40" s="53" t="s">
        <v>36</v>
      </c>
      <c r="H40" s="53" t="s">
        <v>160</v>
      </c>
      <c r="I40" s="53" t="s">
        <v>159</v>
      </c>
      <c r="J40" s="53" t="s">
        <v>38</v>
      </c>
      <c r="K40" s="53" t="s">
        <v>161</v>
      </c>
      <c r="L40" s="53">
        <v>3</v>
      </c>
      <c r="N40" s="53">
        <v>4</v>
      </c>
      <c r="O40" s="53">
        <v>0.26</v>
      </c>
      <c r="P40" s="53">
        <v>0.28000000000000003</v>
      </c>
      <c r="Q40" s="110">
        <f>IF(OR(O40="",P40=""),"",AVERAGE(O40,P40))</f>
        <v>0.27</v>
      </c>
      <c r="R40" s="53">
        <v>15.3</v>
      </c>
      <c r="S40" s="53">
        <v>99</v>
      </c>
      <c r="T40" s="16">
        <f>IF(H40="","",IF(OR(H40="GREEN",H40="GK"),IF(S40&gt;=$AX$2,VLOOKUP(S40,$AX$2:$AY$12,2,1),""),IF(S40&gt;=$AZ$2,VLOOKUP(S40,$AZ$2:$BA$12,2,1),"")))</f>
        <v>33</v>
      </c>
      <c r="U40" s="53">
        <v>398</v>
      </c>
      <c r="V40" s="16">
        <f>IF(J40="","",IF(OR(J40="GREEN",J40="GK"),IF(U40&gt;=$AX$2,VLOOKUP(U40,$AX$2:$AY$12,2,1),""),IF(U40&gt;=$AZ$2,VLOOKUP(U40,$AZ$2:$BA$12,2,1),"")))</f>
        <v>16</v>
      </c>
      <c r="W40" s="53">
        <v>10</v>
      </c>
      <c r="X40" s="53" t="s">
        <v>46</v>
      </c>
      <c r="Y40" s="53" t="s">
        <v>55</v>
      </c>
      <c r="Z40" s="53" t="s">
        <v>69</v>
      </c>
      <c r="AA40" s="53" t="s">
        <v>78</v>
      </c>
      <c r="AB40" s="53" t="s">
        <v>268</v>
      </c>
      <c r="AV40" s="27"/>
    </row>
    <row r="41" spans="1:48" x14ac:dyDescent="0.15">
      <c r="A41" s="53" t="s">
        <v>59</v>
      </c>
      <c r="B41" s="53" t="s">
        <v>235</v>
      </c>
      <c r="C41" s="122">
        <v>2019</v>
      </c>
      <c r="D41" s="123" t="s">
        <v>236</v>
      </c>
      <c r="E41" s="53" t="s">
        <v>162</v>
      </c>
      <c r="F41" s="53" t="s">
        <v>277</v>
      </c>
      <c r="G41" s="53" t="s">
        <v>36</v>
      </c>
      <c r="H41" s="53" t="s">
        <v>164</v>
      </c>
      <c r="I41" s="53" t="s">
        <v>159</v>
      </c>
      <c r="J41" s="53" t="s">
        <v>38</v>
      </c>
      <c r="K41" s="53" t="s">
        <v>161</v>
      </c>
      <c r="L41" s="53">
        <v>1</v>
      </c>
      <c r="N41" s="53">
        <v>1</v>
      </c>
      <c r="O41" s="53">
        <v>0.56000000000000005</v>
      </c>
      <c r="P41" s="53">
        <v>0.56000000000000005</v>
      </c>
      <c r="Q41" s="110">
        <f>IF(OR(O41="",P41=""),"",AVERAGE(O41,P41))</f>
        <v>0.56000000000000005</v>
      </c>
      <c r="R41" s="53">
        <v>14.6</v>
      </c>
      <c r="S41" s="53">
        <v>150</v>
      </c>
      <c r="T41" s="16">
        <f>IF(H41="","",IF(OR(H41="GREEN",H41="GK"),IF(S41&gt;=$AX$2,VLOOKUP(S41,$AX$2:$AY$12,2,1),""),IF(S41&gt;=$AZ$2,VLOOKUP(S41,$AZ$2:$BA$12,2,1),"")))</f>
        <v>22</v>
      </c>
      <c r="U41" s="53">
        <v>158</v>
      </c>
      <c r="V41" s="16">
        <f>IF(J41="","",IF(OR(J41="GREEN",J41="GK"),IF(U41&gt;=$AX$2,VLOOKUP(U41,$AX$2:$AY$12,2,1),""),IF(U41&gt;=$AZ$2,VLOOKUP(U41,$AZ$2:$BA$12,2,1),"")))</f>
        <v>18</v>
      </c>
      <c r="W41" s="53">
        <v>7</v>
      </c>
      <c r="X41" s="53" t="s">
        <v>46</v>
      </c>
      <c r="Y41" s="53" t="s">
        <v>55</v>
      </c>
      <c r="Z41" s="53" t="s">
        <v>69</v>
      </c>
      <c r="AA41" s="53" t="s">
        <v>78</v>
      </c>
      <c r="AB41" s="53" t="s">
        <v>268</v>
      </c>
      <c r="AV41" s="27"/>
    </row>
    <row r="42" spans="1:48" x14ac:dyDescent="0.15">
      <c r="A42" s="53" t="s">
        <v>59</v>
      </c>
      <c r="B42" s="53" t="s">
        <v>235</v>
      </c>
      <c r="C42" s="122">
        <v>2019</v>
      </c>
      <c r="D42" s="123" t="s">
        <v>236</v>
      </c>
      <c r="E42" s="53" t="s">
        <v>162</v>
      </c>
      <c r="F42" s="53" t="s">
        <v>277</v>
      </c>
      <c r="G42" s="53" t="s">
        <v>36</v>
      </c>
      <c r="H42" s="53" t="s">
        <v>164</v>
      </c>
      <c r="I42" s="53" t="s">
        <v>159</v>
      </c>
      <c r="J42" s="53" t="s">
        <v>38</v>
      </c>
      <c r="K42" s="53" t="s">
        <v>161</v>
      </c>
      <c r="L42" s="53">
        <v>2</v>
      </c>
      <c r="N42" s="53">
        <v>1</v>
      </c>
      <c r="O42" s="53">
        <v>0.62</v>
      </c>
      <c r="P42" s="53">
        <v>0.6</v>
      </c>
      <c r="Q42" s="110">
        <f>IF(OR(O42="",P42=""),"",AVERAGE(O42,P42))</f>
        <v>0.61</v>
      </c>
      <c r="R42" s="53">
        <v>14.8</v>
      </c>
      <c r="S42" s="53">
        <v>172</v>
      </c>
      <c r="T42" s="16">
        <f>IF(H42="","",IF(OR(H42="GREEN",H42="GK"),IF(S42&gt;=$AX$2,VLOOKUP(S42,$AX$2:$AY$12,2,1),""),IF(S42&gt;=$AZ$2,VLOOKUP(S42,$AZ$2:$BA$12,2,1),"")))</f>
        <v>18</v>
      </c>
      <c r="U42" s="53">
        <v>158</v>
      </c>
      <c r="V42" s="16">
        <f>IF(J42="","",IF(OR(J42="GREEN",J42="GK"),IF(U42&gt;=$AX$2,VLOOKUP(U42,$AX$2:$AY$12,2,1),""),IF(U42&gt;=$AZ$2,VLOOKUP(U42,$AZ$2:$BA$12,2,1),"")))</f>
        <v>18</v>
      </c>
      <c r="W42" s="53">
        <v>7</v>
      </c>
      <c r="X42" s="53" t="s">
        <v>46</v>
      </c>
      <c r="Y42" s="53" t="s">
        <v>55</v>
      </c>
      <c r="Z42" s="53" t="s">
        <v>69</v>
      </c>
      <c r="AA42" s="53" t="s">
        <v>78</v>
      </c>
      <c r="AB42" s="53" t="s">
        <v>268</v>
      </c>
      <c r="AV42" s="27"/>
    </row>
    <row r="43" spans="1:48" x14ac:dyDescent="0.15">
      <c r="A43" s="53" t="s">
        <v>59</v>
      </c>
      <c r="B43" s="53" t="s">
        <v>235</v>
      </c>
      <c r="C43" s="122">
        <v>2019</v>
      </c>
      <c r="D43" s="123" t="s">
        <v>236</v>
      </c>
      <c r="E43" s="53" t="s">
        <v>162</v>
      </c>
      <c r="F43" s="53" t="s">
        <v>277</v>
      </c>
      <c r="G43" s="53" t="s">
        <v>36</v>
      </c>
      <c r="H43" s="53" t="s">
        <v>164</v>
      </c>
      <c r="I43" s="53" t="s">
        <v>159</v>
      </c>
      <c r="J43" s="53" t="s">
        <v>38</v>
      </c>
      <c r="K43" s="53" t="s">
        <v>161</v>
      </c>
      <c r="L43" s="53">
        <v>3</v>
      </c>
      <c r="N43" s="53">
        <v>1</v>
      </c>
      <c r="O43" s="53">
        <v>0.57999999999999996</v>
      </c>
      <c r="P43" s="53">
        <v>0.61</v>
      </c>
      <c r="Q43" s="110">
        <f>IF(OR(O43="",P43=""),"",AVERAGE(O43,P43))</f>
        <v>0.59499999999999997</v>
      </c>
      <c r="R43" s="53">
        <v>14.4</v>
      </c>
      <c r="S43" s="53">
        <v>157</v>
      </c>
      <c r="T43" s="16">
        <f>IF(H43="","",IF(OR(H43="GREEN",H43="GK"),IF(S43&gt;=$AX$2,VLOOKUP(S43,$AX$2:$AY$12,2,1),""),IF(S43&gt;=$AZ$2,VLOOKUP(S43,$AZ$2:$BA$12,2,1),"")))</f>
        <v>18</v>
      </c>
      <c r="U43" s="53">
        <v>158</v>
      </c>
      <c r="V43" s="16">
        <f>IF(J43="","",IF(OR(J43="GREEN",J43="GK"),IF(U43&gt;=$AX$2,VLOOKUP(U43,$AX$2:$AY$12,2,1),""),IF(U43&gt;=$AZ$2,VLOOKUP(U43,$AZ$2:$BA$12,2,1),"")))</f>
        <v>18</v>
      </c>
      <c r="W43" s="53">
        <v>7</v>
      </c>
      <c r="X43" s="53" t="s">
        <v>46</v>
      </c>
      <c r="Y43" s="53" t="s">
        <v>55</v>
      </c>
      <c r="Z43" s="53" t="s">
        <v>69</v>
      </c>
      <c r="AA43" s="53" t="s">
        <v>78</v>
      </c>
      <c r="AB43" s="53" t="s">
        <v>268</v>
      </c>
      <c r="AV43" s="27"/>
    </row>
    <row r="44" spans="1:48" x14ac:dyDescent="0.15">
      <c r="A44" s="53" t="s">
        <v>59</v>
      </c>
      <c r="B44" s="53" t="s">
        <v>235</v>
      </c>
      <c r="C44" s="122">
        <v>2019</v>
      </c>
      <c r="D44" s="123" t="s">
        <v>236</v>
      </c>
      <c r="E44" s="53" t="s">
        <v>276</v>
      </c>
      <c r="F44" s="53" t="s">
        <v>275</v>
      </c>
      <c r="G44" s="53" t="s">
        <v>36</v>
      </c>
      <c r="H44" s="53" t="s">
        <v>160</v>
      </c>
      <c r="I44" s="53" t="s">
        <v>159</v>
      </c>
      <c r="J44" s="53" t="s">
        <v>38</v>
      </c>
      <c r="K44" s="53" t="s">
        <v>161</v>
      </c>
      <c r="L44" s="53">
        <v>1</v>
      </c>
      <c r="N44" s="53">
        <v>3</v>
      </c>
      <c r="O44" s="53">
        <v>0.46</v>
      </c>
      <c r="P44" s="53">
        <v>0.55000000000000004</v>
      </c>
      <c r="Q44" s="110">
        <f>IF(OR(O44="",P44=""),"",AVERAGE(O44,P44))</f>
        <v>0.505</v>
      </c>
      <c r="R44" s="53">
        <v>16.5</v>
      </c>
      <c r="S44" s="53">
        <v>134</v>
      </c>
      <c r="T44" s="16">
        <f>IF(H44="","",IF(OR(H44="GREEN",H44="GK"),IF(S44&gt;=$AX$2,VLOOKUP(S44,$AX$2:$AY$12,2,1),""),IF(S44&gt;=$AZ$2,VLOOKUP(S44,$AZ$2:$BA$12,2,1),"")))</f>
        <v>25</v>
      </c>
      <c r="U44" s="53">
        <v>399</v>
      </c>
      <c r="V44" s="16">
        <f>IF(J44="","",IF(OR(J44="GREEN",J44="GK"),IF(U44&gt;=$AX$2,VLOOKUP(U44,$AX$2:$AY$12,2,1),""),IF(U44&gt;=$AZ$2,VLOOKUP(U44,$AZ$2:$BA$12,2,1),"")))</f>
        <v>16</v>
      </c>
      <c r="W44" s="53">
        <v>8</v>
      </c>
      <c r="X44" s="53" t="s">
        <v>39</v>
      </c>
      <c r="Y44" s="53" t="s">
        <v>69</v>
      </c>
      <c r="Z44" s="53" t="s">
        <v>90</v>
      </c>
      <c r="AA44" s="53" t="s">
        <v>78</v>
      </c>
      <c r="AB44" s="53" t="s">
        <v>268</v>
      </c>
      <c r="AV44" s="27"/>
    </row>
    <row r="45" spans="1:48" x14ac:dyDescent="0.15">
      <c r="A45" s="53" t="s">
        <v>59</v>
      </c>
      <c r="B45" s="53" t="s">
        <v>235</v>
      </c>
      <c r="C45" s="122">
        <v>2019</v>
      </c>
      <c r="D45" s="123" t="s">
        <v>236</v>
      </c>
      <c r="E45" s="53" t="s">
        <v>276</v>
      </c>
      <c r="F45" s="53" t="s">
        <v>275</v>
      </c>
      <c r="G45" s="53" t="s">
        <v>36</v>
      </c>
      <c r="H45" s="53" t="s">
        <v>160</v>
      </c>
      <c r="I45" s="53" t="s">
        <v>159</v>
      </c>
      <c r="J45" s="53" t="s">
        <v>38</v>
      </c>
      <c r="K45" s="53" t="s">
        <v>161</v>
      </c>
      <c r="L45" s="53">
        <v>2</v>
      </c>
      <c r="N45" s="53">
        <v>3</v>
      </c>
      <c r="O45" s="53">
        <v>0.64</v>
      </c>
      <c r="P45" s="53">
        <v>0.68</v>
      </c>
      <c r="Q45" s="110">
        <f>IF(OR(O45="",P45=""),"",AVERAGE(O45,P45))</f>
        <v>0.66</v>
      </c>
      <c r="R45" s="53">
        <v>16.399999999999999</v>
      </c>
      <c r="S45" s="53">
        <v>135</v>
      </c>
      <c r="T45" s="16">
        <f>IF(H45="","",IF(OR(H45="GREEN",H45="GK"),IF(S45&gt;=$AX$2,VLOOKUP(S45,$AX$2:$AY$12,2,1),""),IF(S45&gt;=$AZ$2,VLOOKUP(S45,$AZ$2:$BA$12,2,1),"")))</f>
        <v>25</v>
      </c>
      <c r="U45" s="53">
        <v>399</v>
      </c>
      <c r="V45" s="16">
        <f>IF(J45="","",IF(OR(J45="GREEN",J45="GK"),IF(U45&gt;=$AX$2,VLOOKUP(U45,$AX$2:$AY$12,2,1),""),IF(U45&gt;=$AZ$2,VLOOKUP(U45,$AZ$2:$BA$12,2,1),"")))</f>
        <v>16</v>
      </c>
      <c r="W45" s="53">
        <v>8</v>
      </c>
      <c r="X45" s="53" t="s">
        <v>39</v>
      </c>
      <c r="Y45" s="53" t="s">
        <v>69</v>
      </c>
      <c r="Z45" s="53" t="s">
        <v>90</v>
      </c>
      <c r="AA45" s="53" t="s">
        <v>78</v>
      </c>
      <c r="AB45" s="53" t="s">
        <v>268</v>
      </c>
      <c r="AV45" s="27"/>
    </row>
    <row r="46" spans="1:48" x14ac:dyDescent="0.15">
      <c r="A46" s="53" t="s">
        <v>59</v>
      </c>
      <c r="B46" s="53" t="s">
        <v>235</v>
      </c>
      <c r="C46" s="122">
        <v>2019</v>
      </c>
      <c r="D46" s="123" t="s">
        <v>236</v>
      </c>
      <c r="E46" s="53" t="s">
        <v>276</v>
      </c>
      <c r="F46" s="53" t="s">
        <v>275</v>
      </c>
      <c r="G46" s="53" t="s">
        <v>36</v>
      </c>
      <c r="H46" s="53" t="s">
        <v>160</v>
      </c>
      <c r="I46" s="53" t="s">
        <v>159</v>
      </c>
      <c r="J46" s="53" t="s">
        <v>38</v>
      </c>
      <c r="K46" s="53" t="s">
        <v>161</v>
      </c>
      <c r="L46" s="53">
        <v>3</v>
      </c>
      <c r="N46" s="53">
        <v>3</v>
      </c>
      <c r="O46" s="53">
        <v>0.52</v>
      </c>
      <c r="P46" s="53">
        <v>0.59</v>
      </c>
      <c r="Q46" s="110">
        <f>IF(OR(O46="",P46=""),"",AVERAGE(O46,P46))</f>
        <v>0.55499999999999994</v>
      </c>
      <c r="R46" s="53">
        <v>16.100000000000001</v>
      </c>
      <c r="S46" s="53">
        <v>135</v>
      </c>
      <c r="T46" s="16">
        <f>IF(H46="","",IF(OR(H46="GREEN",H46="GK"),IF(S46&gt;=$AX$2,VLOOKUP(S46,$AX$2:$AY$12,2,1),""),IF(S46&gt;=$AZ$2,VLOOKUP(S46,$AZ$2:$BA$12,2,1),"")))</f>
        <v>25</v>
      </c>
      <c r="U46" s="53">
        <v>399</v>
      </c>
      <c r="V46" s="16">
        <f>IF(J46="","",IF(OR(J46="GREEN",J46="GK"),IF(U46&gt;=$AX$2,VLOOKUP(U46,$AX$2:$AY$12,2,1),""),IF(U46&gt;=$AZ$2,VLOOKUP(U46,$AZ$2:$BA$12,2,1),"")))</f>
        <v>16</v>
      </c>
      <c r="W46" s="53">
        <v>8</v>
      </c>
      <c r="X46" s="53" t="s">
        <v>39</v>
      </c>
      <c r="Y46" s="53" t="s">
        <v>69</v>
      </c>
      <c r="Z46" s="53" t="s">
        <v>90</v>
      </c>
      <c r="AA46" s="53" t="s">
        <v>78</v>
      </c>
      <c r="AB46" s="53" t="s">
        <v>268</v>
      </c>
      <c r="AV46" s="27"/>
    </row>
    <row r="47" spans="1:48" x14ac:dyDescent="0.15">
      <c r="A47" s="53" t="s">
        <v>59</v>
      </c>
      <c r="B47" s="53" t="s">
        <v>235</v>
      </c>
      <c r="C47" s="122">
        <v>2019</v>
      </c>
      <c r="D47" s="123" t="s">
        <v>236</v>
      </c>
      <c r="E47" s="53" t="s">
        <v>276</v>
      </c>
      <c r="F47" s="53" t="s">
        <v>275</v>
      </c>
      <c r="G47" s="53" t="s">
        <v>36</v>
      </c>
      <c r="H47" s="53" t="s">
        <v>164</v>
      </c>
      <c r="I47" s="53" t="s">
        <v>159</v>
      </c>
      <c r="J47" s="53" t="s">
        <v>38</v>
      </c>
      <c r="K47" s="53" t="s">
        <v>161</v>
      </c>
      <c r="L47" s="53">
        <v>1</v>
      </c>
      <c r="N47" s="53">
        <v>3</v>
      </c>
      <c r="O47" s="53">
        <v>0.65</v>
      </c>
      <c r="P47" s="53">
        <v>0.75</v>
      </c>
      <c r="Q47" s="110">
        <f>IF(OR(O47="",P47=""),"",AVERAGE(O47,P47))</f>
        <v>0.7</v>
      </c>
      <c r="R47" s="53">
        <v>13.8</v>
      </c>
      <c r="S47" s="53">
        <v>130</v>
      </c>
      <c r="T47" s="16">
        <f>IF(H47="","",IF(OR(H47="GREEN",H47="GK"),IF(S47&gt;=$AX$2,VLOOKUP(S47,$AX$2:$AY$12,2,1),""),IF(S47&gt;=$AZ$2,VLOOKUP(S47,$AZ$2:$BA$12,2,1),"")))</f>
        <v>25</v>
      </c>
      <c r="U47" s="53">
        <v>399</v>
      </c>
      <c r="V47" s="16">
        <f>IF(J47="","",IF(OR(J47="GREEN",J47="GK"),IF(U47&gt;=$AX$2,VLOOKUP(U47,$AX$2:$AY$12,2,1),""),IF(U47&gt;=$AZ$2,VLOOKUP(U47,$AZ$2:$BA$12,2,1),"")))</f>
        <v>16</v>
      </c>
      <c r="W47" s="53">
        <v>13</v>
      </c>
      <c r="X47" s="53" t="s">
        <v>39</v>
      </c>
      <c r="Y47" s="53" t="s">
        <v>69</v>
      </c>
      <c r="Z47" s="53" t="s">
        <v>90</v>
      </c>
      <c r="AA47" s="53" t="s">
        <v>78</v>
      </c>
      <c r="AB47" s="53" t="s">
        <v>268</v>
      </c>
      <c r="AV47" s="27"/>
    </row>
    <row r="48" spans="1:48" x14ac:dyDescent="0.15">
      <c r="A48" s="53" t="s">
        <v>59</v>
      </c>
      <c r="B48" s="53" t="s">
        <v>235</v>
      </c>
      <c r="C48" s="122">
        <v>2019</v>
      </c>
      <c r="D48" s="123" t="s">
        <v>236</v>
      </c>
      <c r="E48" s="53" t="s">
        <v>276</v>
      </c>
      <c r="F48" s="53" t="s">
        <v>275</v>
      </c>
      <c r="G48" s="53" t="s">
        <v>36</v>
      </c>
      <c r="H48" s="53" t="s">
        <v>164</v>
      </c>
      <c r="I48" s="53" t="s">
        <v>159</v>
      </c>
      <c r="J48" s="53" t="s">
        <v>38</v>
      </c>
      <c r="K48" s="53" t="s">
        <v>161</v>
      </c>
      <c r="L48" s="53">
        <v>2</v>
      </c>
      <c r="N48" s="53">
        <v>3</v>
      </c>
      <c r="O48" s="53">
        <v>0.85</v>
      </c>
      <c r="P48" s="53">
        <v>0.76</v>
      </c>
      <c r="Q48" s="110">
        <f>IF(OR(O48="",P48=""),"",AVERAGE(O48,P48))</f>
        <v>0.80499999999999994</v>
      </c>
      <c r="R48" s="53">
        <v>13.8</v>
      </c>
      <c r="S48" s="53">
        <v>137</v>
      </c>
      <c r="T48" s="16">
        <f>IF(H48="","",IF(OR(H48="GREEN",H48="GK"),IF(S48&gt;=$AX$2,VLOOKUP(S48,$AX$2:$AY$12,2,1),""),IF(S48&gt;=$AZ$2,VLOOKUP(S48,$AZ$2:$BA$12,2,1),"")))</f>
        <v>25</v>
      </c>
      <c r="U48" s="53">
        <v>399</v>
      </c>
      <c r="V48" s="16">
        <f>IF(J48="","",IF(OR(J48="GREEN",J48="GK"),IF(U48&gt;=$AX$2,VLOOKUP(U48,$AX$2:$AY$12,2,1),""),IF(U48&gt;=$AZ$2,VLOOKUP(U48,$AZ$2:$BA$12,2,1),"")))</f>
        <v>16</v>
      </c>
      <c r="W48" s="53">
        <v>13</v>
      </c>
      <c r="X48" s="53" t="s">
        <v>39</v>
      </c>
      <c r="Y48" s="53" t="s">
        <v>69</v>
      </c>
      <c r="Z48" s="53" t="s">
        <v>90</v>
      </c>
      <c r="AA48" s="53" t="s">
        <v>78</v>
      </c>
      <c r="AB48" s="53" t="s">
        <v>268</v>
      </c>
      <c r="AV48" s="27"/>
    </row>
    <row r="49" spans="1:48" x14ac:dyDescent="0.15">
      <c r="A49" s="53" t="s">
        <v>59</v>
      </c>
      <c r="B49" s="53" t="s">
        <v>235</v>
      </c>
      <c r="C49" s="122">
        <v>2019</v>
      </c>
      <c r="D49" s="123" t="s">
        <v>236</v>
      </c>
      <c r="E49" s="53" t="s">
        <v>276</v>
      </c>
      <c r="F49" s="53" t="s">
        <v>275</v>
      </c>
      <c r="G49" s="53" t="s">
        <v>36</v>
      </c>
      <c r="H49" s="53" t="s">
        <v>164</v>
      </c>
      <c r="I49" s="53" t="s">
        <v>159</v>
      </c>
      <c r="J49" s="53" t="s">
        <v>38</v>
      </c>
      <c r="K49" s="53" t="s">
        <v>161</v>
      </c>
      <c r="L49" s="53">
        <v>3</v>
      </c>
      <c r="N49" s="53">
        <v>3</v>
      </c>
      <c r="O49" s="53">
        <v>0.79</v>
      </c>
      <c r="P49" s="53">
        <v>0.74</v>
      </c>
      <c r="Q49" s="110">
        <f>IF(OR(O49="",P49=""),"",AVERAGE(O49,P49))</f>
        <v>0.76500000000000001</v>
      </c>
      <c r="R49" s="53">
        <v>13.7</v>
      </c>
      <c r="S49" s="53">
        <v>133</v>
      </c>
      <c r="T49" s="16">
        <f>IF(H49="","",IF(OR(H49="GREEN",H49="GK"),IF(S49&gt;=$AX$2,VLOOKUP(S49,$AX$2:$AY$12,2,1),""),IF(S49&gt;=$AZ$2,VLOOKUP(S49,$AZ$2:$BA$12,2,1),"")))</f>
        <v>25</v>
      </c>
      <c r="U49" s="53">
        <v>399</v>
      </c>
      <c r="V49" s="16">
        <f>IF(J49="","",IF(OR(J49="GREEN",J49="GK"),IF(U49&gt;=$AX$2,VLOOKUP(U49,$AX$2:$AY$12,2,1),""),IF(U49&gt;=$AZ$2,VLOOKUP(U49,$AZ$2:$BA$12,2,1),"")))</f>
        <v>16</v>
      </c>
      <c r="W49" s="53">
        <v>13</v>
      </c>
      <c r="X49" s="53" t="s">
        <v>39</v>
      </c>
      <c r="Y49" s="53" t="s">
        <v>69</v>
      </c>
      <c r="Z49" s="53" t="s">
        <v>90</v>
      </c>
      <c r="AA49" s="53" t="s">
        <v>78</v>
      </c>
      <c r="AB49" s="53" t="s">
        <v>268</v>
      </c>
      <c r="AV49" s="27"/>
    </row>
    <row r="50" spans="1:48" x14ac:dyDescent="0.15">
      <c r="A50" s="53" t="s">
        <v>59</v>
      </c>
      <c r="B50" s="53" t="s">
        <v>235</v>
      </c>
      <c r="C50" s="122">
        <v>2019</v>
      </c>
      <c r="D50" s="123" t="s">
        <v>236</v>
      </c>
      <c r="E50" s="53" t="s">
        <v>274</v>
      </c>
      <c r="F50" s="53" t="s">
        <v>273</v>
      </c>
      <c r="G50" s="53" t="s">
        <v>36</v>
      </c>
      <c r="H50" s="53" t="s">
        <v>160</v>
      </c>
      <c r="I50" s="53" t="s">
        <v>159</v>
      </c>
      <c r="J50" s="53" t="s">
        <v>38</v>
      </c>
      <c r="K50" s="53" t="s">
        <v>161</v>
      </c>
      <c r="L50" s="53">
        <v>1</v>
      </c>
      <c r="N50" s="53">
        <v>4</v>
      </c>
      <c r="O50" s="53">
        <v>0.44</v>
      </c>
      <c r="P50" s="53">
        <v>0.42</v>
      </c>
      <c r="Q50" s="110">
        <f>IF(OR(O50="",P50=""),"",AVERAGE(O50,P50))</f>
        <v>0.43</v>
      </c>
      <c r="R50" s="53">
        <v>14.9</v>
      </c>
      <c r="S50" s="53">
        <v>100</v>
      </c>
      <c r="T50" s="16">
        <f>IF(H50="","",IF(OR(H50="GREEN",H50="GK"),IF(S50&gt;=$AX$2,VLOOKUP(S50,$AX$2:$AY$12,2,1),""),IF(S50&gt;=$AZ$2,VLOOKUP(S50,$AZ$2:$BA$12,2,1),"")))</f>
        <v>33</v>
      </c>
      <c r="U50" s="53">
        <v>486</v>
      </c>
      <c r="V50" s="16">
        <f>IF(J50="","",IF(OR(J50="GREEN",J50="GK"),IF(U50&gt;=$AX$2,VLOOKUP(U50,$AX$2:$AY$12,2,1),""),IF(U50&gt;=$AZ$2,VLOOKUP(U50,$AZ$2:$BA$12,2,1),"")))</f>
        <v>16</v>
      </c>
      <c r="W50" s="53">
        <v>3</v>
      </c>
      <c r="X50" s="53" t="s">
        <v>46</v>
      </c>
      <c r="Y50" s="53" t="s">
        <v>69</v>
      </c>
      <c r="Z50" s="53" t="s">
        <v>55</v>
      </c>
      <c r="AA50" s="53" t="s">
        <v>78</v>
      </c>
      <c r="AB50" s="53" t="s">
        <v>268</v>
      </c>
      <c r="AV50" s="27"/>
    </row>
    <row r="51" spans="1:48" x14ac:dyDescent="0.15">
      <c r="A51" s="53" t="s">
        <v>59</v>
      </c>
      <c r="B51" s="53" t="s">
        <v>235</v>
      </c>
      <c r="C51" s="122">
        <v>2019</v>
      </c>
      <c r="D51" s="123" t="s">
        <v>236</v>
      </c>
      <c r="E51" s="53" t="s">
        <v>274</v>
      </c>
      <c r="F51" s="53" t="s">
        <v>273</v>
      </c>
      <c r="G51" s="53" t="s">
        <v>36</v>
      </c>
      <c r="H51" s="53" t="s">
        <v>160</v>
      </c>
      <c r="I51" s="53" t="s">
        <v>159</v>
      </c>
      <c r="J51" s="53" t="s">
        <v>38</v>
      </c>
      <c r="K51" s="53" t="s">
        <v>161</v>
      </c>
      <c r="L51" s="53">
        <v>2</v>
      </c>
      <c r="N51" s="53">
        <v>4</v>
      </c>
      <c r="O51" s="53">
        <v>0.49</v>
      </c>
      <c r="P51" s="53">
        <v>0.52</v>
      </c>
      <c r="Q51" s="110">
        <f>IF(OR(O51="",P51=""),"",AVERAGE(O51,P51))</f>
        <v>0.505</v>
      </c>
      <c r="R51" s="53">
        <v>14.6</v>
      </c>
      <c r="S51" s="53">
        <v>100</v>
      </c>
      <c r="T51" s="16">
        <f>IF(H51="","",IF(OR(H51="GREEN",H51="GK"),IF(S51&gt;=$AX$2,VLOOKUP(S51,$AX$2:$AY$12,2,1),""),IF(S51&gt;=$AZ$2,VLOOKUP(S51,$AZ$2:$BA$12,2,1),"")))</f>
        <v>33</v>
      </c>
      <c r="U51" s="53">
        <v>486</v>
      </c>
      <c r="V51" s="16">
        <f>IF(J51="","",IF(OR(J51="GREEN",J51="GK"),IF(U51&gt;=$AX$2,VLOOKUP(U51,$AX$2:$AY$12,2,1),""),IF(U51&gt;=$AZ$2,VLOOKUP(U51,$AZ$2:$BA$12,2,1),"")))</f>
        <v>16</v>
      </c>
      <c r="W51" s="53">
        <v>3</v>
      </c>
      <c r="X51" s="53" t="s">
        <v>46</v>
      </c>
      <c r="Y51" s="53" t="s">
        <v>69</v>
      </c>
      <c r="Z51" s="53" t="s">
        <v>55</v>
      </c>
      <c r="AA51" s="53" t="s">
        <v>78</v>
      </c>
      <c r="AB51" s="53" t="s">
        <v>268</v>
      </c>
      <c r="AV51" s="27"/>
    </row>
    <row r="52" spans="1:48" x14ac:dyDescent="0.15">
      <c r="A52" s="53" t="s">
        <v>59</v>
      </c>
      <c r="B52" s="53" t="s">
        <v>235</v>
      </c>
      <c r="C52" s="122">
        <v>2019</v>
      </c>
      <c r="D52" s="123" t="s">
        <v>236</v>
      </c>
      <c r="E52" s="53" t="s">
        <v>274</v>
      </c>
      <c r="F52" s="53" t="s">
        <v>273</v>
      </c>
      <c r="G52" s="53" t="s">
        <v>36</v>
      </c>
      <c r="H52" s="53" t="s">
        <v>160</v>
      </c>
      <c r="I52" s="53" t="s">
        <v>159</v>
      </c>
      <c r="J52" s="53" t="s">
        <v>38</v>
      </c>
      <c r="K52" s="53" t="s">
        <v>161</v>
      </c>
      <c r="L52" s="53">
        <v>3</v>
      </c>
      <c r="N52" s="53">
        <v>4</v>
      </c>
      <c r="O52" s="53">
        <v>0.51</v>
      </c>
      <c r="P52" s="53">
        <v>0.47</v>
      </c>
      <c r="Q52" s="110">
        <f>IF(OR(O52="",P52=""),"",AVERAGE(O52,P52))</f>
        <v>0.49</v>
      </c>
      <c r="R52" s="53">
        <v>14.4</v>
      </c>
      <c r="S52" s="53">
        <v>101</v>
      </c>
      <c r="T52" s="16">
        <f>IF(H52="","",IF(OR(H52="GREEN",H52="GK"),IF(S52&gt;=$AX$2,VLOOKUP(S52,$AX$2:$AY$12,2,1),""),IF(S52&gt;=$AZ$2,VLOOKUP(S52,$AZ$2:$BA$12,2,1),"")))</f>
        <v>33</v>
      </c>
      <c r="U52" s="53">
        <v>486</v>
      </c>
      <c r="V52" s="16">
        <f>IF(J52="","",IF(OR(J52="GREEN",J52="GK"),IF(U52&gt;=$AX$2,VLOOKUP(U52,$AX$2:$AY$12,2,1),""),IF(U52&gt;=$AZ$2,VLOOKUP(U52,$AZ$2:$BA$12,2,1),"")))</f>
        <v>16</v>
      </c>
      <c r="W52" s="53">
        <v>3</v>
      </c>
      <c r="X52" s="53" t="s">
        <v>46</v>
      </c>
      <c r="Y52" s="53" t="s">
        <v>69</v>
      </c>
      <c r="Z52" s="53" t="s">
        <v>55</v>
      </c>
      <c r="AA52" s="53" t="s">
        <v>78</v>
      </c>
      <c r="AB52" s="53" t="s">
        <v>268</v>
      </c>
      <c r="AV52" s="27"/>
    </row>
    <row r="53" spans="1:48" x14ac:dyDescent="0.15">
      <c r="A53" s="53" t="s">
        <v>59</v>
      </c>
      <c r="B53" s="53" t="s">
        <v>235</v>
      </c>
      <c r="C53" s="122">
        <v>2019</v>
      </c>
      <c r="D53" s="123" t="s">
        <v>236</v>
      </c>
      <c r="E53" s="53" t="s">
        <v>274</v>
      </c>
      <c r="F53" s="53" t="s">
        <v>273</v>
      </c>
      <c r="G53" s="53" t="s">
        <v>36</v>
      </c>
      <c r="H53" s="53" t="s">
        <v>164</v>
      </c>
      <c r="I53" s="53" t="s">
        <v>159</v>
      </c>
      <c r="J53" s="53" t="s">
        <v>38</v>
      </c>
      <c r="K53" s="53" t="s">
        <v>161</v>
      </c>
      <c r="L53" s="53">
        <v>1</v>
      </c>
      <c r="N53" s="53">
        <v>5</v>
      </c>
      <c r="O53" s="53">
        <v>0.57999999999999996</v>
      </c>
      <c r="P53" s="53">
        <v>0.66</v>
      </c>
      <c r="Q53" s="110">
        <f>IF(OR(O53="",P53=""),"",AVERAGE(O53,P53))</f>
        <v>0.62</v>
      </c>
      <c r="R53" s="53">
        <v>13.7</v>
      </c>
      <c r="S53" s="53">
        <v>90</v>
      </c>
      <c r="T53" s="16">
        <f>IF(H53="","",IF(OR(H53="GREEN",H53="GK"),IF(S53&gt;=$AX$2,VLOOKUP(S53,$AX$2:$AY$12,2,1),""),IF(S53&gt;=$AZ$2,VLOOKUP(S53,$AZ$2:$BA$12,2,1),"")))</f>
        <v>36</v>
      </c>
      <c r="U53" s="53">
        <v>378</v>
      </c>
      <c r="V53" s="16">
        <f>IF(J53="","",IF(OR(J53="GREEN",J53="GK"),IF(U53&gt;=$AX$2,VLOOKUP(U53,$AX$2:$AY$12,2,1),""),IF(U53&gt;=$AZ$2,VLOOKUP(U53,$AZ$2:$BA$12,2,1),"")))</f>
        <v>16</v>
      </c>
      <c r="W53" s="53">
        <v>3</v>
      </c>
      <c r="X53" s="53" t="s">
        <v>46</v>
      </c>
      <c r="Y53" s="53" t="s">
        <v>69</v>
      </c>
      <c r="Z53" s="53" t="s">
        <v>55</v>
      </c>
      <c r="AA53" s="53" t="s">
        <v>78</v>
      </c>
      <c r="AB53" s="53" t="s">
        <v>268</v>
      </c>
      <c r="AV53" s="27"/>
    </row>
    <row r="54" spans="1:48" x14ac:dyDescent="0.15">
      <c r="A54" s="53" t="s">
        <v>59</v>
      </c>
      <c r="B54" s="53" t="s">
        <v>235</v>
      </c>
      <c r="C54" s="122">
        <v>2019</v>
      </c>
      <c r="D54" s="123" t="s">
        <v>236</v>
      </c>
      <c r="E54" s="53" t="s">
        <v>274</v>
      </c>
      <c r="F54" s="53" t="s">
        <v>273</v>
      </c>
      <c r="G54" s="53" t="s">
        <v>36</v>
      </c>
      <c r="H54" s="53" t="s">
        <v>164</v>
      </c>
      <c r="I54" s="53" t="s">
        <v>159</v>
      </c>
      <c r="J54" s="53" t="s">
        <v>38</v>
      </c>
      <c r="K54" s="53" t="s">
        <v>161</v>
      </c>
      <c r="L54" s="53">
        <v>2</v>
      </c>
      <c r="N54" s="53">
        <v>5</v>
      </c>
      <c r="O54" s="53">
        <v>0.56999999999999995</v>
      </c>
      <c r="P54" s="53">
        <v>0.57999999999999996</v>
      </c>
      <c r="Q54" s="110">
        <f>IF(OR(O54="",P54=""),"",AVERAGE(O54,P54))</f>
        <v>0.57499999999999996</v>
      </c>
      <c r="R54" s="53">
        <v>13.9</v>
      </c>
      <c r="S54" s="53">
        <v>84</v>
      </c>
      <c r="T54" s="16">
        <f>IF(H54="","",IF(OR(H54="GREEN",H54="GK"),IF(S54&gt;=$AX$2,VLOOKUP(S54,$AX$2:$AY$12,2,1),""),IF(S54&gt;=$AZ$2,VLOOKUP(S54,$AZ$2:$BA$12,2,1),"")))</f>
        <v>36</v>
      </c>
      <c r="U54" s="53">
        <v>378</v>
      </c>
      <c r="V54" s="16">
        <f>IF(J54="","",IF(OR(J54="GREEN",J54="GK"),IF(U54&gt;=$AX$2,VLOOKUP(U54,$AX$2:$AY$12,2,1),""),IF(U54&gt;=$AZ$2,VLOOKUP(U54,$AZ$2:$BA$12,2,1),"")))</f>
        <v>16</v>
      </c>
      <c r="W54" s="53">
        <v>3</v>
      </c>
      <c r="X54" s="53" t="s">
        <v>46</v>
      </c>
      <c r="Y54" s="53" t="s">
        <v>69</v>
      </c>
      <c r="Z54" s="53" t="s">
        <v>55</v>
      </c>
      <c r="AA54" s="53" t="s">
        <v>78</v>
      </c>
      <c r="AB54" s="53" t="s">
        <v>268</v>
      </c>
      <c r="AV54" s="27"/>
    </row>
    <row r="55" spans="1:48" x14ac:dyDescent="0.15">
      <c r="A55" s="53" t="s">
        <v>59</v>
      </c>
      <c r="B55" s="53" t="s">
        <v>235</v>
      </c>
      <c r="C55" s="122">
        <v>2019</v>
      </c>
      <c r="D55" s="123" t="s">
        <v>236</v>
      </c>
      <c r="E55" s="53" t="s">
        <v>274</v>
      </c>
      <c r="F55" s="53" t="s">
        <v>273</v>
      </c>
      <c r="G55" s="53" t="s">
        <v>36</v>
      </c>
      <c r="H55" s="53" t="s">
        <v>164</v>
      </c>
      <c r="I55" s="53" t="s">
        <v>159</v>
      </c>
      <c r="J55" s="53" t="s">
        <v>38</v>
      </c>
      <c r="K55" s="53" t="s">
        <v>161</v>
      </c>
      <c r="L55" s="53">
        <v>3</v>
      </c>
      <c r="N55" s="53">
        <v>5</v>
      </c>
      <c r="O55" s="53">
        <v>0.59</v>
      </c>
      <c r="P55" s="53">
        <v>0.65</v>
      </c>
      <c r="Q55" s="110">
        <f>IF(OR(O55="",P55=""),"",AVERAGE(O55,P55))</f>
        <v>0.62</v>
      </c>
      <c r="R55" s="53">
        <v>13.9</v>
      </c>
      <c r="S55" s="53">
        <v>82</v>
      </c>
      <c r="T55" s="16">
        <f>IF(H55="","",IF(OR(H55="GREEN",H55="GK"),IF(S55&gt;=$AX$2,VLOOKUP(S55,$AX$2:$AY$12,2,1),""),IF(S55&gt;=$AZ$2,VLOOKUP(S55,$AZ$2:$BA$12,2,1),"")))</f>
        <v>39</v>
      </c>
      <c r="U55" s="53">
        <v>378</v>
      </c>
      <c r="V55" s="16">
        <f>IF(J55="","",IF(OR(J55="GREEN",J55="GK"),IF(U55&gt;=$AX$2,VLOOKUP(U55,$AX$2:$AY$12,2,1),""),IF(U55&gt;=$AZ$2,VLOOKUP(U55,$AZ$2:$BA$12,2,1),"")))</f>
        <v>16</v>
      </c>
      <c r="W55" s="53">
        <v>3</v>
      </c>
      <c r="X55" s="53" t="s">
        <v>46</v>
      </c>
      <c r="Y55" s="53" t="s">
        <v>69</v>
      </c>
      <c r="Z55" s="53" t="s">
        <v>55</v>
      </c>
      <c r="AA55" s="53" t="s">
        <v>78</v>
      </c>
      <c r="AB55" s="53" t="s">
        <v>268</v>
      </c>
      <c r="AV55" s="27"/>
    </row>
    <row r="56" spans="1:48" x14ac:dyDescent="0.15">
      <c r="A56" s="53" t="s">
        <v>59</v>
      </c>
      <c r="B56" s="53" t="s">
        <v>235</v>
      </c>
      <c r="C56" s="122">
        <v>2019</v>
      </c>
      <c r="D56" s="123" t="s">
        <v>236</v>
      </c>
      <c r="E56" s="53" t="s">
        <v>272</v>
      </c>
      <c r="F56" s="53" t="s">
        <v>271</v>
      </c>
      <c r="G56" s="53" t="s">
        <v>36</v>
      </c>
      <c r="H56" s="53" t="s">
        <v>160</v>
      </c>
      <c r="I56" s="53" t="s">
        <v>159</v>
      </c>
      <c r="J56" s="53" t="s">
        <v>38</v>
      </c>
      <c r="K56" s="53" t="s">
        <v>161</v>
      </c>
      <c r="L56" s="53">
        <v>1</v>
      </c>
      <c r="N56" s="53">
        <v>4</v>
      </c>
      <c r="O56" s="53">
        <v>0.45</v>
      </c>
      <c r="P56" s="53">
        <v>0.45</v>
      </c>
      <c r="Q56" s="110">
        <f>IF(OR(O56="",P56=""),"",AVERAGE(O56,P56))</f>
        <v>0.45</v>
      </c>
      <c r="R56" s="53">
        <v>18.7</v>
      </c>
      <c r="S56" s="53">
        <v>128</v>
      </c>
      <c r="T56" s="16">
        <f>IF(H56="","",IF(OR(H56="GREEN",H56="GK"),IF(S56&gt;=$AX$2,VLOOKUP(S56,$AX$2:$AY$12,2,1),""),IF(S56&gt;=$AZ$2,VLOOKUP(S56,$AZ$2:$BA$12,2,1),"")))</f>
        <v>27</v>
      </c>
      <c r="U56" s="53">
        <v>458</v>
      </c>
      <c r="V56" s="16">
        <f>IF(J56="","",IF(OR(J56="GREEN",J56="GK"),IF(U56&gt;=$AX$2,VLOOKUP(U56,$AX$2:$AY$12,2,1),""),IF(U56&gt;=$AZ$2,VLOOKUP(U56,$AZ$2:$BA$12,2,1),"")))</f>
        <v>16</v>
      </c>
      <c r="W56" s="53">
        <v>4</v>
      </c>
      <c r="X56" s="53" t="s">
        <v>46</v>
      </c>
      <c r="Y56" s="53" t="s">
        <v>97</v>
      </c>
      <c r="Z56" s="53" t="s">
        <v>88</v>
      </c>
      <c r="AA56" s="53" t="s">
        <v>55</v>
      </c>
      <c r="AB56" s="53" t="s">
        <v>268</v>
      </c>
      <c r="AV56" s="27"/>
    </row>
    <row r="57" spans="1:48" x14ac:dyDescent="0.15">
      <c r="A57" s="53" t="s">
        <v>59</v>
      </c>
      <c r="B57" s="53" t="s">
        <v>235</v>
      </c>
      <c r="C57" s="122">
        <v>2019</v>
      </c>
      <c r="D57" s="123" t="s">
        <v>236</v>
      </c>
      <c r="E57" s="53" t="s">
        <v>272</v>
      </c>
      <c r="F57" s="53" t="s">
        <v>271</v>
      </c>
      <c r="G57" s="53" t="s">
        <v>36</v>
      </c>
      <c r="H57" s="53" t="s">
        <v>160</v>
      </c>
      <c r="I57" s="53" t="s">
        <v>159</v>
      </c>
      <c r="J57" s="53" t="s">
        <v>38</v>
      </c>
      <c r="K57" s="53" t="s">
        <v>161</v>
      </c>
      <c r="L57" s="53">
        <v>2</v>
      </c>
      <c r="N57" s="53">
        <v>4</v>
      </c>
      <c r="O57" s="53">
        <v>0.39</v>
      </c>
      <c r="P57" s="53">
        <v>0.41</v>
      </c>
      <c r="Q57" s="110">
        <f>IF(OR(O57="",P57=""),"",AVERAGE(O57,P57))</f>
        <v>0.4</v>
      </c>
      <c r="R57" s="53">
        <v>17.7</v>
      </c>
      <c r="S57" s="53">
        <v>134</v>
      </c>
      <c r="T57" s="16">
        <f>IF(H57="","",IF(OR(H57="GREEN",H57="GK"),IF(S57&gt;=$AX$2,VLOOKUP(S57,$AX$2:$AY$12,2,1),""),IF(S57&gt;=$AZ$2,VLOOKUP(S57,$AZ$2:$BA$12,2,1),"")))</f>
        <v>25</v>
      </c>
      <c r="U57" s="53">
        <v>458</v>
      </c>
      <c r="V57" s="16">
        <f>IF(J57="","",IF(OR(J57="GREEN",J57="GK"),IF(U57&gt;=$AX$2,VLOOKUP(U57,$AX$2:$AY$12,2,1),""),IF(U57&gt;=$AZ$2,VLOOKUP(U57,$AZ$2:$BA$12,2,1),"")))</f>
        <v>16</v>
      </c>
      <c r="W57" s="53">
        <v>4</v>
      </c>
      <c r="X57" s="53" t="s">
        <v>46</v>
      </c>
      <c r="Y57" s="53" t="s">
        <v>97</v>
      </c>
      <c r="Z57" s="53" t="s">
        <v>88</v>
      </c>
      <c r="AA57" s="53" t="s">
        <v>55</v>
      </c>
      <c r="AB57" s="53" t="s">
        <v>268</v>
      </c>
      <c r="AV57" s="27"/>
    </row>
    <row r="58" spans="1:48" x14ac:dyDescent="0.15">
      <c r="A58" s="53" t="s">
        <v>59</v>
      </c>
      <c r="B58" s="53" t="s">
        <v>235</v>
      </c>
      <c r="C58" s="122">
        <v>2019</v>
      </c>
      <c r="D58" s="123" t="s">
        <v>236</v>
      </c>
      <c r="E58" s="53" t="s">
        <v>272</v>
      </c>
      <c r="F58" s="53" t="s">
        <v>271</v>
      </c>
      <c r="G58" s="53" t="s">
        <v>36</v>
      </c>
      <c r="H58" s="53" t="s">
        <v>160</v>
      </c>
      <c r="I58" s="53" t="s">
        <v>159</v>
      </c>
      <c r="J58" s="53" t="s">
        <v>38</v>
      </c>
      <c r="K58" s="53" t="s">
        <v>161</v>
      </c>
      <c r="L58" s="53">
        <v>3</v>
      </c>
      <c r="N58" s="53">
        <v>4</v>
      </c>
      <c r="O58" s="53">
        <v>0.46</v>
      </c>
      <c r="P58" s="53">
        <v>0.48</v>
      </c>
      <c r="Q58" s="110">
        <f>IF(OR(O58="",P58=""),"",AVERAGE(O58,P58))</f>
        <v>0.47</v>
      </c>
      <c r="R58" s="53">
        <v>18.2</v>
      </c>
      <c r="S58" s="53">
        <v>136</v>
      </c>
      <c r="T58" s="16">
        <f>IF(H58="","",IF(OR(H58="GREEN",H58="GK"),IF(S58&gt;=$AX$2,VLOOKUP(S58,$AX$2:$AY$12,2,1),""),IF(S58&gt;=$AZ$2,VLOOKUP(S58,$AZ$2:$BA$12,2,1),"")))</f>
        <v>25</v>
      </c>
      <c r="U58" s="53">
        <v>458</v>
      </c>
      <c r="V58" s="16">
        <f>IF(J58="","",IF(OR(J58="GREEN",J58="GK"),IF(U58&gt;=$AX$2,VLOOKUP(U58,$AX$2:$AY$12,2,1),""),IF(U58&gt;=$AZ$2,VLOOKUP(U58,$AZ$2:$BA$12,2,1),"")))</f>
        <v>16</v>
      </c>
      <c r="W58" s="53">
        <v>4</v>
      </c>
      <c r="X58" s="53" t="s">
        <v>46</v>
      </c>
      <c r="Y58" s="53" t="s">
        <v>97</v>
      </c>
      <c r="Z58" s="53" t="s">
        <v>88</v>
      </c>
      <c r="AA58" s="53" t="s">
        <v>55</v>
      </c>
      <c r="AB58" s="53" t="s">
        <v>268</v>
      </c>
      <c r="AV58" s="27"/>
    </row>
    <row r="59" spans="1:48" x14ac:dyDescent="0.15">
      <c r="A59" s="53" t="s">
        <v>59</v>
      </c>
      <c r="B59" s="53" t="s">
        <v>235</v>
      </c>
      <c r="C59" s="122">
        <v>2019</v>
      </c>
      <c r="D59" s="123" t="s">
        <v>236</v>
      </c>
      <c r="E59" s="53" t="s">
        <v>272</v>
      </c>
      <c r="F59" s="53" t="s">
        <v>271</v>
      </c>
      <c r="G59" s="53" t="s">
        <v>36</v>
      </c>
      <c r="H59" s="53" t="s">
        <v>164</v>
      </c>
      <c r="I59" s="53" t="s">
        <v>159</v>
      </c>
      <c r="J59" s="53" t="s">
        <v>38</v>
      </c>
      <c r="K59" s="53" t="s">
        <v>161</v>
      </c>
      <c r="L59" s="53">
        <v>1</v>
      </c>
      <c r="N59" s="53">
        <v>4</v>
      </c>
      <c r="O59" s="53">
        <v>0.27</v>
      </c>
      <c r="P59" s="53">
        <v>0.35</v>
      </c>
      <c r="Q59" s="110">
        <f>IF(OR(O59="",P59=""),"",AVERAGE(O59,P59))</f>
        <v>0.31</v>
      </c>
      <c r="R59" s="53">
        <v>15.8</v>
      </c>
      <c r="S59" s="53">
        <v>127</v>
      </c>
      <c r="T59" s="16">
        <f>IF(H59="","",IF(OR(H59="GREEN",H59="GK"),IF(S59&gt;=$AX$2,VLOOKUP(S59,$AX$2:$AY$12,2,1),""),IF(S59&gt;=$AZ$2,VLOOKUP(S59,$AZ$2:$BA$12,2,1),"")))</f>
        <v>27</v>
      </c>
      <c r="U59" s="53">
        <v>358</v>
      </c>
      <c r="V59" s="16">
        <f>IF(J59="","",IF(OR(J59="GREEN",J59="GK"),IF(U59&gt;=$AX$2,VLOOKUP(U59,$AX$2:$AY$12,2,1),""),IF(U59&gt;=$AZ$2,VLOOKUP(U59,$AZ$2:$BA$12,2,1),"")))</f>
        <v>16</v>
      </c>
      <c r="W59" s="53">
        <v>4</v>
      </c>
      <c r="X59" s="53" t="s">
        <v>46</v>
      </c>
      <c r="Y59" s="53" t="s">
        <v>97</v>
      </c>
      <c r="Z59" s="53" t="s">
        <v>88</v>
      </c>
      <c r="AA59" s="53" t="s">
        <v>55</v>
      </c>
      <c r="AB59" s="53" t="s">
        <v>268</v>
      </c>
      <c r="AV59" s="27"/>
    </row>
    <row r="60" spans="1:48" x14ac:dyDescent="0.15">
      <c r="A60" s="53" t="s">
        <v>59</v>
      </c>
      <c r="B60" s="53" t="s">
        <v>235</v>
      </c>
      <c r="C60" s="122">
        <v>2019</v>
      </c>
      <c r="D60" s="123" t="s">
        <v>236</v>
      </c>
      <c r="E60" s="53" t="s">
        <v>272</v>
      </c>
      <c r="F60" s="53" t="s">
        <v>271</v>
      </c>
      <c r="G60" s="53" t="s">
        <v>36</v>
      </c>
      <c r="H60" s="53" t="s">
        <v>164</v>
      </c>
      <c r="I60" s="53" t="s">
        <v>159</v>
      </c>
      <c r="J60" s="53" t="s">
        <v>38</v>
      </c>
      <c r="K60" s="53" t="s">
        <v>161</v>
      </c>
      <c r="L60" s="53">
        <v>2</v>
      </c>
      <c r="N60" s="53">
        <v>4</v>
      </c>
      <c r="O60" s="53">
        <v>0.38</v>
      </c>
      <c r="P60" s="53">
        <v>0.28000000000000003</v>
      </c>
      <c r="Q60" s="110">
        <f>IF(OR(O60="",P60=""),"",AVERAGE(O60,P60))</f>
        <v>0.33</v>
      </c>
      <c r="R60" s="53">
        <v>14.2</v>
      </c>
      <c r="S60" s="53">
        <v>125</v>
      </c>
      <c r="T60" s="16">
        <f>IF(H60="","",IF(OR(H60="GREEN",H60="GK"),IF(S60&gt;=$AX$2,VLOOKUP(S60,$AX$2:$AY$12,2,1),""),IF(S60&gt;=$AZ$2,VLOOKUP(S60,$AZ$2:$BA$12,2,1),"")))</f>
        <v>27</v>
      </c>
      <c r="U60" s="53">
        <v>358</v>
      </c>
      <c r="V60" s="16">
        <f>IF(J60="","",IF(OR(J60="GREEN",J60="GK"),IF(U60&gt;=$AX$2,VLOOKUP(U60,$AX$2:$AY$12,2,1),""),IF(U60&gt;=$AZ$2,VLOOKUP(U60,$AZ$2:$BA$12,2,1),"")))</f>
        <v>16</v>
      </c>
      <c r="W60" s="53">
        <v>4</v>
      </c>
      <c r="X60" s="53" t="s">
        <v>46</v>
      </c>
      <c r="Y60" s="53" t="s">
        <v>97</v>
      </c>
      <c r="Z60" s="53" t="s">
        <v>88</v>
      </c>
      <c r="AA60" s="53" t="s">
        <v>55</v>
      </c>
      <c r="AB60" s="53" t="s">
        <v>268</v>
      </c>
      <c r="AV60" s="27"/>
    </row>
    <row r="61" spans="1:48" x14ac:dyDescent="0.15">
      <c r="A61" s="53" t="s">
        <v>59</v>
      </c>
      <c r="B61" s="53" t="s">
        <v>235</v>
      </c>
      <c r="C61" s="122">
        <v>2019</v>
      </c>
      <c r="D61" s="123" t="s">
        <v>236</v>
      </c>
      <c r="E61" s="53" t="s">
        <v>272</v>
      </c>
      <c r="F61" s="53" t="s">
        <v>271</v>
      </c>
      <c r="G61" s="53" t="s">
        <v>36</v>
      </c>
      <c r="H61" s="53" t="s">
        <v>164</v>
      </c>
      <c r="I61" s="53" t="s">
        <v>159</v>
      </c>
      <c r="J61" s="53" t="s">
        <v>38</v>
      </c>
      <c r="K61" s="53" t="s">
        <v>161</v>
      </c>
      <c r="L61" s="53">
        <v>3</v>
      </c>
      <c r="N61" s="53">
        <v>4</v>
      </c>
      <c r="O61" s="53">
        <v>0.31</v>
      </c>
      <c r="P61" s="53">
        <v>0.37</v>
      </c>
      <c r="Q61" s="110">
        <f>IF(OR(O61="",P61=""),"",AVERAGE(O61,P61))</f>
        <v>0.33999999999999997</v>
      </c>
      <c r="R61" s="53">
        <v>14.4</v>
      </c>
      <c r="S61" s="53">
        <v>131</v>
      </c>
      <c r="T61" s="16">
        <f>IF(H61="","",IF(OR(H61="GREEN",H61="GK"),IF(S61&gt;=$AX$2,VLOOKUP(S61,$AX$2:$AY$12,2,1),""),IF(S61&gt;=$AZ$2,VLOOKUP(S61,$AZ$2:$BA$12,2,1),"")))</f>
        <v>25</v>
      </c>
      <c r="U61" s="53">
        <v>358</v>
      </c>
      <c r="V61" s="16">
        <f>IF(J61="","",IF(OR(J61="GREEN",J61="GK"),IF(U61&gt;=$AX$2,VLOOKUP(U61,$AX$2:$AY$12,2,1),""),IF(U61&gt;=$AZ$2,VLOOKUP(U61,$AZ$2:$BA$12,2,1),"")))</f>
        <v>16</v>
      </c>
      <c r="W61" s="53">
        <v>4</v>
      </c>
      <c r="X61" s="53" t="s">
        <v>46</v>
      </c>
      <c r="Y61" s="53" t="s">
        <v>97</v>
      </c>
      <c r="Z61" s="53" t="s">
        <v>88</v>
      </c>
      <c r="AA61" s="53" t="s">
        <v>55</v>
      </c>
      <c r="AB61" s="53" t="s">
        <v>268</v>
      </c>
      <c r="AV61" s="27"/>
    </row>
    <row r="62" spans="1:48" x14ac:dyDescent="0.15">
      <c r="A62" s="53" t="s">
        <v>59</v>
      </c>
      <c r="B62" s="53" t="s">
        <v>235</v>
      </c>
      <c r="C62" s="122">
        <v>2019</v>
      </c>
      <c r="D62" s="123" t="s">
        <v>236</v>
      </c>
      <c r="E62" s="53" t="s">
        <v>270</v>
      </c>
      <c r="F62" s="53" t="s">
        <v>269</v>
      </c>
      <c r="G62" s="53" t="s">
        <v>36</v>
      </c>
      <c r="H62" s="53" t="s">
        <v>160</v>
      </c>
      <c r="I62" s="53" t="s">
        <v>159</v>
      </c>
      <c r="J62" s="53" t="s">
        <v>38</v>
      </c>
      <c r="K62" s="53" t="s">
        <v>161</v>
      </c>
      <c r="L62" s="53">
        <v>1</v>
      </c>
      <c r="N62" s="53">
        <v>4</v>
      </c>
      <c r="O62" s="53">
        <v>0.28000000000000003</v>
      </c>
      <c r="P62" s="53">
        <v>0.33</v>
      </c>
      <c r="Q62" s="110">
        <f>IF(OR(O62="",P62=""),"",AVERAGE(O62,P62))</f>
        <v>0.30500000000000005</v>
      </c>
      <c r="R62" s="53">
        <v>17.3</v>
      </c>
      <c r="S62" s="53">
        <v>96</v>
      </c>
      <c r="T62" s="16">
        <f>IF(H62="","",IF(OR(H62="GREEN",H62="GK"),IF(S62&gt;=$AX$2,VLOOKUP(S62,$AX$2:$AY$12,2,1),""),IF(S62&gt;=$AZ$2,VLOOKUP(S62,$AZ$2:$BA$12,2,1),"")))</f>
        <v>36</v>
      </c>
      <c r="U62" s="53">
        <v>518</v>
      </c>
      <c r="V62" s="16">
        <f>IF(J62="","",IF(OR(J62="GREEN",J62="GK"),IF(U62&gt;=$AX$2,VLOOKUP(U62,$AX$2:$AY$12,2,1),""),IF(U62&gt;=$AZ$2,VLOOKUP(U62,$AZ$2:$BA$12,2,1),"")))</f>
        <v>16</v>
      </c>
      <c r="W62" s="53">
        <v>7</v>
      </c>
      <c r="X62" s="53" t="s">
        <v>39</v>
      </c>
      <c r="Y62" s="53" t="s">
        <v>55</v>
      </c>
      <c r="Z62" s="53" t="s">
        <v>69</v>
      </c>
      <c r="AA62" s="53" t="s">
        <v>90</v>
      </c>
      <c r="AB62" s="53" t="s">
        <v>268</v>
      </c>
      <c r="AV62" s="27"/>
    </row>
    <row r="63" spans="1:48" x14ac:dyDescent="0.15">
      <c r="A63" s="53" t="s">
        <v>59</v>
      </c>
      <c r="B63" s="53" t="s">
        <v>235</v>
      </c>
      <c r="C63" s="122">
        <v>2019</v>
      </c>
      <c r="D63" s="123" t="s">
        <v>236</v>
      </c>
      <c r="E63" s="53" t="s">
        <v>270</v>
      </c>
      <c r="F63" s="53" t="s">
        <v>269</v>
      </c>
      <c r="G63" s="53" t="s">
        <v>36</v>
      </c>
      <c r="H63" s="53" t="s">
        <v>160</v>
      </c>
      <c r="I63" s="53" t="s">
        <v>159</v>
      </c>
      <c r="J63" s="53" t="s">
        <v>38</v>
      </c>
      <c r="K63" s="53" t="s">
        <v>161</v>
      </c>
      <c r="L63" s="53">
        <v>2</v>
      </c>
      <c r="N63" s="53">
        <v>4</v>
      </c>
      <c r="O63" s="53">
        <v>0.24</v>
      </c>
      <c r="P63" s="53">
        <v>0.3</v>
      </c>
      <c r="Q63" s="110">
        <f>IF(OR(O63="",P63=""),"",AVERAGE(O63,P63))</f>
        <v>0.27</v>
      </c>
      <c r="R63" s="53">
        <v>17</v>
      </c>
      <c r="S63" s="53">
        <v>95</v>
      </c>
      <c r="T63" s="16">
        <f>IF(H63="","",IF(OR(H63="GREEN",H63="GK"),IF(S63&gt;=$AX$2,VLOOKUP(S63,$AX$2:$AY$12,2,1),""),IF(S63&gt;=$AZ$2,VLOOKUP(S63,$AZ$2:$BA$12,2,1),"")))</f>
        <v>36</v>
      </c>
      <c r="U63" s="53">
        <v>518</v>
      </c>
      <c r="V63" s="16">
        <f>IF(J63="","",IF(OR(J63="GREEN",J63="GK"),IF(U63&gt;=$AX$2,VLOOKUP(U63,$AX$2:$AY$12,2,1),""),IF(U63&gt;=$AZ$2,VLOOKUP(U63,$AZ$2:$BA$12,2,1),"")))</f>
        <v>16</v>
      </c>
      <c r="W63" s="53">
        <v>7</v>
      </c>
      <c r="X63" s="53" t="s">
        <v>39</v>
      </c>
      <c r="Y63" s="53" t="s">
        <v>55</v>
      </c>
      <c r="Z63" s="53" t="s">
        <v>69</v>
      </c>
      <c r="AA63" s="53" t="s">
        <v>90</v>
      </c>
      <c r="AB63" s="53" t="s">
        <v>268</v>
      </c>
      <c r="AV63" s="27"/>
    </row>
    <row r="64" spans="1:48" x14ac:dyDescent="0.15">
      <c r="A64" s="53" t="s">
        <v>59</v>
      </c>
      <c r="B64" s="53" t="s">
        <v>235</v>
      </c>
      <c r="C64" s="122">
        <v>2019</v>
      </c>
      <c r="D64" s="123" t="s">
        <v>236</v>
      </c>
      <c r="E64" s="53" t="s">
        <v>270</v>
      </c>
      <c r="F64" s="53" t="s">
        <v>269</v>
      </c>
      <c r="G64" s="53" t="s">
        <v>36</v>
      </c>
      <c r="H64" s="53" t="s">
        <v>160</v>
      </c>
      <c r="I64" s="53" t="s">
        <v>159</v>
      </c>
      <c r="J64" s="53" t="s">
        <v>38</v>
      </c>
      <c r="K64" s="53" t="s">
        <v>161</v>
      </c>
      <c r="L64" s="53">
        <v>3</v>
      </c>
      <c r="N64" s="53">
        <v>4</v>
      </c>
      <c r="O64" s="53">
        <v>0.28999999999999998</v>
      </c>
      <c r="P64" s="53">
        <v>0.33</v>
      </c>
      <c r="Q64" s="110">
        <f>IF(OR(O64="",P64=""),"",AVERAGE(O64,P64))</f>
        <v>0.31</v>
      </c>
      <c r="R64" s="53">
        <v>17.600000000000001</v>
      </c>
      <c r="S64" s="53">
        <v>100</v>
      </c>
      <c r="T64" s="16">
        <f>IF(H64="","",IF(OR(H64="GREEN",H64="GK"),IF(S64&gt;=$AX$2,VLOOKUP(S64,$AX$2:$AY$12,2,1),""),IF(S64&gt;=$AZ$2,VLOOKUP(S64,$AZ$2:$BA$12,2,1),"")))</f>
        <v>33</v>
      </c>
      <c r="U64" s="53">
        <v>518</v>
      </c>
      <c r="V64" s="16">
        <f>IF(J64="","",IF(OR(J64="GREEN",J64="GK"),IF(U64&gt;=$AX$2,VLOOKUP(U64,$AX$2:$AY$12,2,1),""),IF(U64&gt;=$AZ$2,VLOOKUP(U64,$AZ$2:$BA$12,2,1),"")))</f>
        <v>16</v>
      </c>
      <c r="W64" s="53">
        <v>7</v>
      </c>
      <c r="X64" s="53" t="s">
        <v>39</v>
      </c>
      <c r="Y64" s="53" t="s">
        <v>55</v>
      </c>
      <c r="Z64" s="53" t="s">
        <v>69</v>
      </c>
      <c r="AA64" s="53" t="s">
        <v>90</v>
      </c>
      <c r="AB64" s="53" t="s">
        <v>268</v>
      </c>
      <c r="AV64" s="27"/>
    </row>
    <row r="65" spans="1:48" x14ac:dyDescent="0.15">
      <c r="A65" s="53" t="s">
        <v>59</v>
      </c>
      <c r="B65" s="53" t="s">
        <v>235</v>
      </c>
      <c r="C65" s="122">
        <v>2019</v>
      </c>
      <c r="D65" s="123" t="s">
        <v>236</v>
      </c>
      <c r="E65" s="53" t="s">
        <v>270</v>
      </c>
      <c r="F65" s="53" t="s">
        <v>269</v>
      </c>
      <c r="G65" s="53" t="s">
        <v>36</v>
      </c>
      <c r="H65" s="53" t="s">
        <v>164</v>
      </c>
      <c r="I65" s="53" t="s">
        <v>159</v>
      </c>
      <c r="J65" s="53" t="s">
        <v>38</v>
      </c>
      <c r="K65" s="53" t="s">
        <v>161</v>
      </c>
      <c r="L65" s="53">
        <v>1</v>
      </c>
      <c r="N65" s="53">
        <v>5</v>
      </c>
      <c r="O65" s="53">
        <v>0.48</v>
      </c>
      <c r="P65" s="53">
        <v>0.49</v>
      </c>
      <c r="Q65" s="110">
        <f>IF(OR(O65="",P65=""),"",AVERAGE(O65,P65))</f>
        <v>0.48499999999999999</v>
      </c>
      <c r="R65" s="53">
        <v>13.2</v>
      </c>
      <c r="S65" s="53">
        <v>91</v>
      </c>
      <c r="T65" s="16">
        <f>IF(H65="","",IF(OR(H65="GREEN",H65="GK"),IF(S65&gt;=$AX$2,VLOOKUP(S65,$AX$2:$AY$12,2,1),""),IF(S65&gt;=$AZ$2,VLOOKUP(S65,$AZ$2:$BA$12,2,1),"")))</f>
        <v>36</v>
      </c>
      <c r="U65" s="53">
        <v>321</v>
      </c>
      <c r="V65" s="16">
        <f>IF(J65="","",IF(OR(J65="GREEN",J65="GK"),IF(U65&gt;=$AX$2,VLOOKUP(U65,$AX$2:$AY$12,2,1),""),IF(U65&gt;=$AZ$2,VLOOKUP(U65,$AZ$2:$BA$12,2,1),"")))</f>
        <v>16</v>
      </c>
      <c r="W65" s="53">
        <v>5</v>
      </c>
      <c r="X65" s="53" t="s">
        <v>39</v>
      </c>
      <c r="Y65" s="53" t="s">
        <v>55</v>
      </c>
      <c r="Z65" s="53" t="s">
        <v>69</v>
      </c>
      <c r="AA65" s="53" t="s">
        <v>90</v>
      </c>
      <c r="AB65" s="53" t="s">
        <v>268</v>
      </c>
      <c r="AV65" s="27"/>
    </row>
    <row r="66" spans="1:48" x14ac:dyDescent="0.15">
      <c r="A66" s="53" t="s">
        <v>59</v>
      </c>
      <c r="B66" s="53" t="s">
        <v>235</v>
      </c>
      <c r="C66" s="122">
        <v>2019</v>
      </c>
      <c r="D66" s="123" t="s">
        <v>236</v>
      </c>
      <c r="E66" s="53" t="s">
        <v>270</v>
      </c>
      <c r="F66" s="53" t="s">
        <v>269</v>
      </c>
      <c r="G66" s="53" t="s">
        <v>36</v>
      </c>
      <c r="H66" s="53" t="s">
        <v>164</v>
      </c>
      <c r="I66" s="53" t="s">
        <v>159</v>
      </c>
      <c r="J66" s="53" t="s">
        <v>38</v>
      </c>
      <c r="K66" s="53" t="s">
        <v>161</v>
      </c>
      <c r="L66" s="53">
        <v>2</v>
      </c>
      <c r="N66" s="53">
        <v>5</v>
      </c>
      <c r="O66" s="53">
        <v>0.56000000000000005</v>
      </c>
      <c r="P66" s="53">
        <v>0.62</v>
      </c>
      <c r="Q66" s="110">
        <f>IF(OR(O66="",P66=""),"",AVERAGE(O66,P66))</f>
        <v>0.59000000000000008</v>
      </c>
      <c r="R66" s="53">
        <v>14</v>
      </c>
      <c r="S66" s="53">
        <v>94</v>
      </c>
      <c r="T66" s="16">
        <f>IF(H66="","",IF(OR(H66="GREEN",H66="GK"),IF(S66&gt;=$AX$2,VLOOKUP(S66,$AX$2:$AY$12,2,1),""),IF(S66&gt;=$AZ$2,VLOOKUP(S66,$AZ$2:$BA$12,2,1),"")))</f>
        <v>36</v>
      </c>
      <c r="U66" s="53">
        <v>321</v>
      </c>
      <c r="V66" s="16">
        <f>IF(J66="","",IF(OR(J66="GREEN",J66="GK"),IF(U66&gt;=$AX$2,VLOOKUP(U66,$AX$2:$AY$12,2,1),""),IF(U66&gt;=$AZ$2,VLOOKUP(U66,$AZ$2:$BA$12,2,1),"")))</f>
        <v>16</v>
      </c>
      <c r="W66" s="53">
        <v>5</v>
      </c>
      <c r="X66" s="53" t="s">
        <v>39</v>
      </c>
      <c r="Y66" s="53" t="s">
        <v>55</v>
      </c>
      <c r="Z66" s="53" t="s">
        <v>69</v>
      </c>
      <c r="AA66" s="53" t="s">
        <v>90</v>
      </c>
      <c r="AB66" s="53" t="s">
        <v>268</v>
      </c>
      <c r="AV66" s="27"/>
    </row>
    <row r="67" spans="1:48" x14ac:dyDescent="0.15">
      <c r="A67" s="53" t="s">
        <v>59</v>
      </c>
      <c r="B67" s="53" t="s">
        <v>235</v>
      </c>
      <c r="C67" s="122">
        <v>2019</v>
      </c>
      <c r="D67" s="123" t="s">
        <v>236</v>
      </c>
      <c r="E67" s="53" t="s">
        <v>270</v>
      </c>
      <c r="F67" s="53" t="s">
        <v>269</v>
      </c>
      <c r="G67" s="53" t="s">
        <v>36</v>
      </c>
      <c r="H67" s="53" t="s">
        <v>164</v>
      </c>
      <c r="I67" s="53" t="s">
        <v>159</v>
      </c>
      <c r="J67" s="53" t="s">
        <v>38</v>
      </c>
      <c r="K67" s="53" t="s">
        <v>161</v>
      </c>
      <c r="L67" s="53">
        <v>3</v>
      </c>
      <c r="N67" s="53">
        <v>5</v>
      </c>
      <c r="O67" s="53">
        <v>0.52</v>
      </c>
      <c r="P67" s="53">
        <v>0.6</v>
      </c>
      <c r="Q67" s="110">
        <f>IF(OR(O67="",P67=""),"",AVERAGE(O67,P67))</f>
        <v>0.56000000000000005</v>
      </c>
      <c r="R67" s="53">
        <v>13.9</v>
      </c>
      <c r="S67" s="53">
        <v>83</v>
      </c>
      <c r="T67" s="16">
        <f>IF(H67="","",IF(OR(H67="GREEN",H67="GK"),IF(S67&gt;=$AX$2,VLOOKUP(S67,$AX$2:$AY$12,2,1),""),IF(S67&gt;=$AZ$2,VLOOKUP(S67,$AZ$2:$BA$12,2,1),"")))</f>
        <v>39</v>
      </c>
      <c r="U67" s="53">
        <v>321</v>
      </c>
      <c r="V67" s="16">
        <f>IF(J67="","",IF(OR(J67="GREEN",J67="GK"),IF(U67&gt;=$AX$2,VLOOKUP(U67,$AX$2:$AY$12,2,1),""),IF(U67&gt;=$AZ$2,VLOOKUP(U67,$AZ$2:$BA$12,2,1),"")))</f>
        <v>16</v>
      </c>
      <c r="W67" s="53">
        <v>5</v>
      </c>
      <c r="X67" s="53" t="s">
        <v>39</v>
      </c>
      <c r="Y67" s="53" t="s">
        <v>55</v>
      </c>
      <c r="Z67" s="53" t="s">
        <v>69</v>
      </c>
      <c r="AA67" s="53" t="s">
        <v>90</v>
      </c>
      <c r="AB67" s="53" t="s">
        <v>268</v>
      </c>
      <c r="AV67" s="27"/>
    </row>
    <row r="68" spans="1:48" x14ac:dyDescent="0.15">
      <c r="C68" s="122"/>
      <c r="D68" s="123"/>
      <c r="Q68" s="110"/>
      <c r="AV68" s="27"/>
    </row>
    <row r="69" spans="1:48" x14ac:dyDescent="0.15">
      <c r="C69" s="122"/>
      <c r="D69" s="123"/>
      <c r="Q69" s="110"/>
      <c r="AV69" s="27"/>
    </row>
    <row r="70" spans="1:48" x14ac:dyDescent="0.15">
      <c r="C70" s="122"/>
      <c r="D70" s="123"/>
      <c r="Q70" s="110"/>
      <c r="AV70" s="27"/>
    </row>
    <row r="71" spans="1:48" x14ac:dyDescent="0.15">
      <c r="C71" s="122"/>
      <c r="D71" s="123"/>
      <c r="Q71" s="110"/>
      <c r="AV71" s="27"/>
    </row>
    <row r="72" spans="1:48" x14ac:dyDescent="0.15">
      <c r="C72" s="122"/>
      <c r="D72" s="123"/>
      <c r="Q72" s="110"/>
      <c r="AV72" s="27"/>
    </row>
    <row r="73" spans="1:48" x14ac:dyDescent="0.15">
      <c r="C73" s="122"/>
      <c r="D73" s="123"/>
      <c r="Q73" s="110"/>
    </row>
    <row r="74" spans="1:48" x14ac:dyDescent="0.15">
      <c r="C74" s="122"/>
      <c r="D74" s="123"/>
      <c r="Q74" s="110"/>
    </row>
    <row r="75" spans="1:48" x14ac:dyDescent="0.15">
      <c r="C75" s="122"/>
      <c r="D75" s="123"/>
      <c r="Q75" s="110"/>
    </row>
    <row r="76" spans="1:48" x14ac:dyDescent="0.15">
      <c r="C76" s="122"/>
      <c r="Q76" s="110"/>
    </row>
    <row r="77" spans="1:48" x14ac:dyDescent="0.15">
      <c r="C77" s="122"/>
      <c r="Q77" s="110"/>
    </row>
    <row r="78" spans="1:48" x14ac:dyDescent="0.15">
      <c r="C78" s="122"/>
      <c r="Q78" s="110"/>
    </row>
    <row r="79" spans="1:48" x14ac:dyDescent="0.15">
      <c r="C79" s="122"/>
      <c r="Q79" s="110"/>
    </row>
    <row r="80" spans="1:48" x14ac:dyDescent="0.15">
      <c r="C80" s="122"/>
      <c r="Q80" s="110"/>
    </row>
    <row r="81" spans="3:22" x14ac:dyDescent="0.15">
      <c r="C81" s="122"/>
      <c r="Q81" s="110"/>
    </row>
    <row r="82" spans="3:22" x14ac:dyDescent="0.15">
      <c r="C82" s="122"/>
      <c r="Q82" s="110"/>
    </row>
    <row r="83" spans="3:22" x14ac:dyDescent="0.15">
      <c r="C83" s="122"/>
      <c r="Q83" s="110"/>
    </row>
    <row r="84" spans="3:22" x14ac:dyDescent="0.15">
      <c r="C84" s="122"/>
      <c r="Q84" s="110"/>
    </row>
    <row r="85" spans="3:22" x14ac:dyDescent="0.15">
      <c r="C85" s="122"/>
      <c r="Q85" s="110"/>
    </row>
    <row r="86" spans="3:22" x14ac:dyDescent="0.15">
      <c r="C86" s="122"/>
      <c r="Q86" s="110"/>
    </row>
    <row r="87" spans="3:22" x14ac:dyDescent="0.15">
      <c r="C87" s="122"/>
      <c r="Q87" s="110"/>
    </row>
    <row r="88" spans="3:22" x14ac:dyDescent="0.15">
      <c r="C88" s="122"/>
      <c r="Q88" s="110"/>
    </row>
    <row r="89" spans="3:22" x14ac:dyDescent="0.15">
      <c r="C89" s="122"/>
      <c r="Q89" s="110"/>
    </row>
    <row r="90" spans="3:22" x14ac:dyDescent="0.15">
      <c r="C90" s="122"/>
      <c r="Q90" s="110"/>
    </row>
    <row r="91" spans="3:22" x14ac:dyDescent="0.15">
      <c r="C91" s="122"/>
      <c r="Q91" s="110"/>
    </row>
    <row r="92" spans="3:22" x14ac:dyDescent="0.15">
      <c r="C92" s="122"/>
    </row>
    <row r="93" spans="3:22" x14ac:dyDescent="0.15">
      <c r="C93" s="122"/>
    </row>
    <row r="94" spans="3:22" x14ac:dyDescent="0.15">
      <c r="Q94" s="16" t="str">
        <f>IF(OR(O94="",P94=""),"",AVERAGE(O94,P94))</f>
        <v/>
      </c>
      <c r="T94" s="16" t="str">
        <f>IF(H94="","",IF(OR(H94="GREEN",H94="GK"),IF(S94&gt;=$AX$2,VLOOKUP(S94,$AX$2:$AY$12,2,1),""),IF(S94&gt;=$AZ$2,VLOOKUP(S94,$AZ$2:$BA$12,2,1),"")))</f>
        <v/>
      </c>
      <c r="V94" s="16" t="str">
        <f>IF(J94="","",IF(OR(J94="GREEN",J94="GK"),IF(U94&gt;=$AX$2,VLOOKUP(U94,$AX$2:$AY$12,2,1),""),IF(U94&gt;=$AZ$2,VLOOKUP(U94,$AZ$2:$BA$12,2,1),"")))</f>
        <v/>
      </c>
    </row>
    <row r="95" spans="3:22" x14ac:dyDescent="0.15">
      <c r="Q95" s="16" t="str">
        <f>IF(OR(O95="",P95=""),"",AVERAGE(O95,P95))</f>
        <v/>
      </c>
      <c r="T95" s="16" t="str">
        <f>IF(H95="","",IF(OR(H95="GREEN",H95="GK"),IF(S95&gt;=$AX$2,VLOOKUP(S95,$AX$2:$AY$12,2,1),""),IF(S95&gt;=$AZ$2,VLOOKUP(S95,$AZ$2:$BA$12,2,1),"")))</f>
        <v/>
      </c>
      <c r="V95" s="16" t="str">
        <f>IF(J95="","",IF(OR(J95="GREEN",J95="GK"),IF(U95&gt;=$AX$2,VLOOKUP(U95,$AX$2:$AY$12,2,1),""),IF(U95&gt;=$AZ$2,VLOOKUP(U95,$AZ$2:$BA$12,2,1),"")))</f>
        <v/>
      </c>
    </row>
    <row r="96" spans="3:22" x14ac:dyDescent="0.15">
      <c r="Q96" s="16" t="str">
        <f>IF(OR(O96="",P96=""),"",AVERAGE(O96,P96))</f>
        <v/>
      </c>
      <c r="T96" s="16" t="str">
        <f>IF(H96="","",IF(OR(H96="GREEN",H96="GK"),IF(S96&gt;=$AX$2,VLOOKUP(S96,$AX$2:$AY$12,2,1),""),IF(S96&gt;=$AZ$2,VLOOKUP(S96,$AZ$2:$BA$12,2,1),"")))</f>
        <v/>
      </c>
      <c r="V96" s="16" t="str">
        <f>IF(J96="","",IF(OR(J96="GREEN",J96="GK"),IF(U96&gt;=$AX$2,VLOOKUP(U96,$AX$2:$AY$12,2,1),""),IF(U96&gt;=$AZ$2,VLOOKUP(U96,$AZ$2:$BA$12,2,1),"")))</f>
        <v/>
      </c>
    </row>
    <row r="97" spans="17:22" x14ac:dyDescent="0.15">
      <c r="Q97" s="16" t="str">
        <f>IF(OR(O97="",P97=""),"",AVERAGE(O97,P97))</f>
        <v/>
      </c>
      <c r="T97" s="16" t="str">
        <f>IF(H97="","",IF(OR(H97="GREEN",H97="GK"),IF(S97&gt;=$AX$2,VLOOKUP(S97,$AX$2:$AY$12,2,1),""),IF(S97&gt;=$AZ$2,VLOOKUP(S97,$AZ$2:$BA$12,2,1),"")))</f>
        <v/>
      </c>
      <c r="V97" s="16" t="str">
        <f>IF(J97="","",IF(OR(J97="GREEN",J97="GK"),IF(U97&gt;=$AX$2,VLOOKUP(U97,$AX$2:$AY$12,2,1),""),IF(U97&gt;=$AZ$2,VLOOKUP(U97,$AZ$2:$BA$12,2,1),"")))</f>
        <v/>
      </c>
    </row>
    <row r="98" spans="17:22" x14ac:dyDescent="0.15">
      <c r="Q98" s="16" t="str">
        <f>IF(OR(O98="",P98=""),"",AVERAGE(O98,P98))</f>
        <v/>
      </c>
      <c r="T98" s="16" t="str">
        <f>IF(H98="","",IF(OR(H98="GREEN",H98="GK"),IF(S98&gt;=$AX$2,VLOOKUP(S98,$AX$2:$AY$12,2,1),""),IF(S98&gt;=$AZ$2,VLOOKUP(S98,$AZ$2:$BA$12,2,1),"")))</f>
        <v/>
      </c>
      <c r="V98" s="16" t="str">
        <f>IF(J98="","",IF(OR(J98="GREEN",J98="GK"),IF(U98&gt;=$AX$2,VLOOKUP(U98,$AX$2:$AY$12,2,1),""),IF(U98&gt;=$AZ$2,VLOOKUP(U98,$AZ$2:$BA$12,2,1),"")))</f>
        <v/>
      </c>
    </row>
    <row r="99" spans="17:22" x14ac:dyDescent="0.15">
      <c r="Q99" s="16" t="str">
        <f>IF(OR(O99="",P99=""),"",AVERAGE(O99,P99))</f>
        <v/>
      </c>
      <c r="T99" s="16" t="str">
        <f>IF(H99="","",IF(OR(H99="GREEN",H99="GK"),IF(S99&gt;=$AX$2,VLOOKUP(S99,$AX$2:$AY$12,2,1),""),IF(S99&gt;=$AZ$2,VLOOKUP(S99,$AZ$2:$BA$12,2,1),"")))</f>
        <v/>
      </c>
      <c r="V99" s="16" t="str">
        <f>IF(J99="","",IF(OR(J99="GREEN",J99="GK"),IF(U99&gt;=$AX$2,VLOOKUP(U99,$AX$2:$AY$12,2,1),""),IF(U99&gt;=$AZ$2,VLOOKUP(U99,$AZ$2:$BA$12,2,1),"")))</f>
        <v/>
      </c>
    </row>
    <row r="100" spans="17:22" x14ac:dyDescent="0.15">
      <c r="Q100" s="16" t="str">
        <f>IF(OR(O100="",P100=""),"",AVERAGE(O100,P100))</f>
        <v/>
      </c>
      <c r="T100" s="16" t="str">
        <f>IF(H100="","",IF(OR(H100="GREEN",H100="GK"),IF(S100&gt;=$AX$2,VLOOKUP(S100,$AX$2:$AY$12,2,1),""),IF(S100&gt;=$AZ$2,VLOOKUP(S100,$AZ$2:$BA$12,2,1),"")))</f>
        <v/>
      </c>
      <c r="V100" s="16" t="str">
        <f>IF(J100="","",IF(OR(J100="GREEN",J100="GK"),IF(U100&gt;=$AX$2,VLOOKUP(U100,$AX$2:$AY$12,2,1),""),IF(U100&gt;=$AZ$2,VLOOKUP(U100,$AZ$2:$BA$12,2,1),"")))</f>
        <v/>
      </c>
    </row>
    <row r="101" spans="17:22" x14ac:dyDescent="0.15">
      <c r="Q101" s="16" t="str">
        <f>IF(OR(O101="",P101=""),"",AVERAGE(O101,P101))</f>
        <v/>
      </c>
      <c r="T101" s="16" t="str">
        <f>IF(H101="","",IF(OR(H101="GREEN",H101="GK"),IF(S101&gt;=$AX$2,VLOOKUP(S101,$AX$2:$AY$12,2,1),""),IF(S101&gt;=$AZ$2,VLOOKUP(S101,$AZ$2:$BA$12,2,1),"")))</f>
        <v/>
      </c>
      <c r="V101" s="16" t="str">
        <f>IF(J101="","",IF(OR(J101="GREEN",J101="GK"),IF(U101&gt;=$AX$2,VLOOKUP(U101,$AX$2:$AY$12,2,1),""),IF(U101&gt;=$AZ$2,VLOOKUP(U101,$AZ$2:$BA$12,2,1),"")))</f>
        <v/>
      </c>
    </row>
    <row r="102" spans="17:22" x14ac:dyDescent="0.15">
      <c r="Q102" s="16" t="str">
        <f>IF(OR(O102="",P102=""),"",AVERAGE(O102,P102))</f>
        <v/>
      </c>
      <c r="T102" s="16" t="str">
        <f>IF(H102="","",IF(OR(H102="GREEN",H102="GK"),IF(S102&gt;=$AX$2,VLOOKUP(S102,$AX$2:$AY$12,2,1),""),IF(S102&gt;=$AZ$2,VLOOKUP(S102,$AZ$2:$BA$12,2,1),"")))</f>
        <v/>
      </c>
      <c r="V102" s="16" t="str">
        <f>IF(J102="","",IF(OR(J102="GREEN",J102="GK"),IF(U102&gt;=$AX$2,VLOOKUP(U102,$AX$2:$AY$12,2,1),""),IF(U102&gt;=$AZ$2,VLOOKUP(U102,$AZ$2:$BA$12,2,1),"")))</f>
        <v/>
      </c>
    </row>
    <row r="103" spans="17:22" x14ac:dyDescent="0.15">
      <c r="Q103" s="16" t="str">
        <f>IF(OR(O103="",P103=""),"",AVERAGE(O103,P103))</f>
        <v/>
      </c>
      <c r="T103" s="16" t="str">
        <f>IF(H103="","",IF(OR(H103="GREEN",H103="GK"),IF(S103&gt;=$AX$2,VLOOKUP(S103,$AX$2:$AY$12,2,1),""),IF(S103&gt;=$AZ$2,VLOOKUP(S103,$AZ$2:$BA$12,2,1),"")))</f>
        <v/>
      </c>
      <c r="V103" s="16" t="str">
        <f>IF(J103="","",IF(OR(J103="GREEN",J103="GK"),IF(U103&gt;=$AX$2,VLOOKUP(U103,$AX$2:$AY$12,2,1),""),IF(U103&gt;=$AZ$2,VLOOKUP(U103,$AZ$2:$BA$12,2,1),"")))</f>
        <v/>
      </c>
    </row>
    <row r="104" spans="17:22" x14ac:dyDescent="0.15">
      <c r="Q104" s="16" t="str">
        <f>IF(OR(O104="",P104=""),"",AVERAGE(O104,P104))</f>
        <v/>
      </c>
      <c r="T104" s="16" t="str">
        <f>IF(H104="","",IF(OR(H104="GREEN",H104="GK"),IF(S104&gt;=$AX$2,VLOOKUP(S104,$AX$2:$AY$12,2,1),""),IF(S104&gt;=$AZ$2,VLOOKUP(S104,$AZ$2:$BA$12,2,1),"")))</f>
        <v/>
      </c>
      <c r="V104" s="16" t="str">
        <f>IF(J104="","",IF(OR(J104="GREEN",J104="GK"),IF(U104&gt;=$AX$2,VLOOKUP(U104,$AX$2:$AY$12,2,1),""),IF(U104&gt;=$AZ$2,VLOOKUP(U104,$AZ$2:$BA$12,2,1),"")))</f>
        <v/>
      </c>
    </row>
    <row r="105" spans="17:22" x14ac:dyDescent="0.15">
      <c r="Q105" s="16" t="str">
        <f>IF(OR(O105="",P105=""),"",AVERAGE(O105,P105))</f>
        <v/>
      </c>
      <c r="T105" s="16" t="str">
        <f>IF(H105="","",IF(OR(H105="GREEN",H105="GK"),IF(S105&gt;=$AX$2,VLOOKUP(S105,$AX$2:$AY$12,2,1),""),IF(S105&gt;=$AZ$2,VLOOKUP(S105,$AZ$2:$BA$12,2,1),"")))</f>
        <v/>
      </c>
      <c r="V105" s="16" t="str">
        <f>IF(J105="","",IF(OR(J105="GREEN",J105="GK"),IF(U105&gt;=$AX$2,VLOOKUP(U105,$AX$2:$AY$12,2,1),""),IF(U105&gt;=$AZ$2,VLOOKUP(U105,$AZ$2:$BA$12,2,1),"")))</f>
        <v/>
      </c>
    </row>
    <row r="106" spans="17:22" x14ac:dyDescent="0.15">
      <c r="Q106" s="16" t="str">
        <f>IF(OR(O106="",P106=""),"",AVERAGE(O106,P106))</f>
        <v/>
      </c>
      <c r="T106" s="16" t="str">
        <f>IF(H106="","",IF(OR(H106="GREEN",H106="GK"),IF(S106&gt;=$AX$2,VLOOKUP(S106,$AX$2:$AY$12,2,1),""),IF(S106&gt;=$AZ$2,VLOOKUP(S106,$AZ$2:$BA$12,2,1),"")))</f>
        <v/>
      </c>
      <c r="V106" s="16" t="str">
        <f>IF(J106="","",IF(OR(J106="GREEN",J106="GK"),IF(U106&gt;=$AX$2,VLOOKUP(U106,$AX$2:$AY$12,2,1),""),IF(U106&gt;=$AZ$2,VLOOKUP(U106,$AZ$2:$BA$12,2,1),"")))</f>
        <v/>
      </c>
    </row>
    <row r="107" spans="17:22" x14ac:dyDescent="0.15">
      <c r="Q107" s="16" t="str">
        <f>IF(OR(O107="",P107=""),"",AVERAGE(O107,P107))</f>
        <v/>
      </c>
      <c r="T107" s="16" t="str">
        <f>IF(H107="","",IF(OR(H107="GREEN",H107="GK"),IF(S107&gt;=$AX$2,VLOOKUP(S107,$AX$2:$AY$12,2,1),""),IF(S107&gt;=$AZ$2,VLOOKUP(S107,$AZ$2:$BA$12,2,1),"")))</f>
        <v/>
      </c>
      <c r="V107" s="16" t="str">
        <f>IF(J107="","",IF(OR(J107="GREEN",J107="GK"),IF(U107&gt;=$AX$2,VLOOKUP(U107,$AX$2:$AY$12,2,1),""),IF(U107&gt;=$AZ$2,VLOOKUP(U107,$AZ$2:$BA$12,2,1),"")))</f>
        <v/>
      </c>
    </row>
    <row r="108" spans="17:22" x14ac:dyDescent="0.15">
      <c r="Q108" s="16" t="str">
        <f>IF(OR(O108="",P108=""),"",AVERAGE(O108,P108))</f>
        <v/>
      </c>
      <c r="T108" s="16" t="str">
        <f>IF(H108="","",IF(OR(H108="GREEN",H108="GK"),IF(S108&gt;=$AX$2,VLOOKUP(S108,$AX$2:$AY$12,2,1),""),IF(S108&gt;=$AZ$2,VLOOKUP(S108,$AZ$2:$BA$12,2,1),"")))</f>
        <v/>
      </c>
      <c r="V108" s="16" t="str">
        <f>IF(J108="","",IF(OR(J108="GREEN",J108="GK"),IF(U108&gt;=$AX$2,VLOOKUP(U108,$AX$2:$AY$12,2,1),""),IF(U108&gt;=$AZ$2,VLOOKUP(U108,$AZ$2:$BA$12,2,1),"")))</f>
        <v/>
      </c>
    </row>
    <row r="109" spans="17:22" x14ac:dyDescent="0.15">
      <c r="Q109" s="16" t="str">
        <f>IF(OR(O109="",P109=""),"",AVERAGE(O109,P109))</f>
        <v/>
      </c>
      <c r="T109" s="16" t="str">
        <f>IF(H109="","",IF(OR(H109="GREEN",H109="GK"),IF(S109&gt;=$AX$2,VLOOKUP(S109,$AX$2:$AY$12,2,1),""),IF(S109&gt;=$AZ$2,VLOOKUP(S109,$AZ$2:$BA$12,2,1),"")))</f>
        <v/>
      </c>
      <c r="V109" s="16" t="str">
        <f>IF(J109="","",IF(OR(J109="GREEN",J109="GK"),IF(U109&gt;=$AX$2,VLOOKUP(U109,$AX$2:$AY$12,2,1),""),IF(U109&gt;=$AZ$2,VLOOKUP(U109,$AZ$2:$BA$12,2,1),"")))</f>
        <v/>
      </c>
    </row>
    <row r="110" spans="17:22" x14ac:dyDescent="0.15">
      <c r="Q110" s="16" t="str">
        <f>IF(OR(O110="",P110=""),"",AVERAGE(O110,P110))</f>
        <v/>
      </c>
      <c r="T110" s="16" t="str">
        <f>IF(H110="","",IF(OR(H110="GREEN",H110="GK"),IF(S110&gt;=$AX$2,VLOOKUP(S110,$AX$2:$AY$12,2,1),""),IF(S110&gt;=$AZ$2,VLOOKUP(S110,$AZ$2:$BA$12,2,1),"")))</f>
        <v/>
      </c>
      <c r="V110" s="16" t="str">
        <f>IF(J110="","",IF(OR(J110="GREEN",J110="GK"),IF(U110&gt;=$AX$2,VLOOKUP(U110,$AX$2:$AY$12,2,1),""),IF(U110&gt;=$AZ$2,VLOOKUP(U110,$AZ$2:$BA$12,2,1),"")))</f>
        <v/>
      </c>
    </row>
    <row r="111" spans="17:22" x14ac:dyDescent="0.15">
      <c r="Q111" s="16" t="str">
        <f>IF(OR(O111="",P111=""),"",AVERAGE(O111,P111))</f>
        <v/>
      </c>
      <c r="T111" s="16" t="str">
        <f>IF(H111="","",IF(OR(H111="GREEN",H111="GK"),IF(S111&gt;=$AX$2,VLOOKUP(S111,$AX$2:$AY$12,2,1),""),IF(S111&gt;=$AZ$2,VLOOKUP(S111,$AZ$2:$BA$12,2,1),"")))</f>
        <v/>
      </c>
      <c r="V111" s="16" t="str">
        <f>IF(J111="","",IF(OR(J111="GREEN",J111="GK"),IF(U111&gt;=$AX$2,VLOOKUP(U111,$AX$2:$AY$12,2,1),""),IF(U111&gt;=$AZ$2,VLOOKUP(U111,$AZ$2:$BA$12,2,1),"")))</f>
        <v/>
      </c>
    </row>
    <row r="112" spans="17:22" x14ac:dyDescent="0.15">
      <c r="Q112" s="16" t="str">
        <f>IF(OR(O112="",P112=""),"",AVERAGE(O112,P112))</f>
        <v/>
      </c>
      <c r="T112" s="16" t="str">
        <f>IF(H112="","",IF(OR(H112="GREEN",H112="GK"),IF(S112&gt;=$AX$2,VLOOKUP(S112,$AX$2:$AY$12,2,1),""),IF(S112&gt;=$AZ$2,VLOOKUP(S112,$AZ$2:$BA$12,2,1),"")))</f>
        <v/>
      </c>
      <c r="V112" s="16" t="str">
        <f>IF(J112="","",IF(OR(J112="GREEN",J112="GK"),IF(U112&gt;=$AX$2,VLOOKUP(U112,$AX$2:$AY$12,2,1),""),IF(U112&gt;=$AZ$2,VLOOKUP(U112,$AZ$2:$BA$12,2,1),"")))</f>
        <v/>
      </c>
    </row>
    <row r="113" spans="17:22" x14ac:dyDescent="0.15">
      <c r="Q113" s="16" t="str">
        <f>IF(OR(O113="",P113=""),"",AVERAGE(O113,P113))</f>
        <v/>
      </c>
      <c r="T113" s="16" t="str">
        <f>IF(H113="","",IF(OR(H113="GREEN",H113="GK"),IF(S113&gt;=$AX$2,VLOOKUP(S113,$AX$2:$AY$12,2,1),""),IF(S113&gt;=$AZ$2,VLOOKUP(S113,$AZ$2:$BA$12,2,1),"")))</f>
        <v/>
      </c>
      <c r="V113" s="16" t="str">
        <f>IF(J113="","",IF(OR(J113="GREEN",J113="GK"),IF(U113&gt;=$AX$2,VLOOKUP(U113,$AX$2:$AY$12,2,1),""),IF(U113&gt;=$AZ$2,VLOOKUP(U113,$AZ$2:$BA$12,2,1),"")))</f>
        <v/>
      </c>
    </row>
    <row r="114" spans="17:22" x14ac:dyDescent="0.15">
      <c r="Q114" s="16" t="str">
        <f>IF(OR(O114="",P114=""),"",AVERAGE(O114,P114))</f>
        <v/>
      </c>
      <c r="T114" s="16" t="str">
        <f>IF(H114="","",IF(OR(H114="GREEN",H114="GK"),IF(S114&gt;=$AX$2,VLOOKUP(S114,$AX$2:$AY$12,2,1),""),IF(S114&gt;=$AZ$2,VLOOKUP(S114,$AZ$2:$BA$12,2,1),"")))</f>
        <v/>
      </c>
      <c r="V114" s="16" t="str">
        <f>IF(J114="","",IF(OR(J114="GREEN",J114="GK"),IF(U114&gt;=$AX$2,VLOOKUP(U114,$AX$2:$AY$12,2,1),""),IF(U114&gt;=$AZ$2,VLOOKUP(U114,$AZ$2:$BA$12,2,1),"")))</f>
        <v/>
      </c>
    </row>
    <row r="115" spans="17:22" x14ac:dyDescent="0.15">
      <c r="Q115" s="16" t="str">
        <f>IF(OR(O115="",P115=""),"",AVERAGE(O115,P115))</f>
        <v/>
      </c>
      <c r="T115" s="16" t="str">
        <f>IF(H115="","",IF(OR(H115="GREEN",H115="GK"),IF(S115&gt;=$AX$2,VLOOKUP(S115,$AX$2:$AY$12,2,1),""),IF(S115&gt;=$AZ$2,VLOOKUP(S115,$AZ$2:$BA$12,2,1),"")))</f>
        <v/>
      </c>
      <c r="V115" s="16" t="str">
        <f>IF(J115="","",IF(OR(J115="GREEN",J115="GK"),IF(U115&gt;=$AX$2,VLOOKUP(U115,$AX$2:$AY$12,2,1),""),IF(U115&gt;=$AZ$2,VLOOKUP(U115,$AZ$2:$BA$12,2,1),"")))</f>
        <v/>
      </c>
    </row>
    <row r="116" spans="17:22" x14ac:dyDescent="0.15">
      <c r="Q116" s="16" t="str">
        <f>IF(OR(O116="",P116=""),"",AVERAGE(O116,P116))</f>
        <v/>
      </c>
      <c r="T116" s="16" t="str">
        <f>IF(H116="","",IF(OR(H116="GREEN",H116="GK"),IF(S116&gt;=$AX$2,VLOOKUP(S116,$AX$2:$AY$12,2,1),""),IF(S116&gt;=$AZ$2,VLOOKUP(S116,$AZ$2:$BA$12,2,1),"")))</f>
        <v/>
      </c>
      <c r="V116" s="16" t="str">
        <f>IF(J116="","",IF(OR(J116="GREEN",J116="GK"),IF(U116&gt;=$AX$2,VLOOKUP(U116,$AX$2:$AY$12,2,1),""),IF(U116&gt;=$AZ$2,VLOOKUP(U116,$AZ$2:$BA$12,2,1),"")))</f>
        <v/>
      </c>
    </row>
    <row r="117" spans="17:22" x14ac:dyDescent="0.15">
      <c r="Q117" s="16" t="str">
        <f>IF(OR(O117="",P117=""),"",AVERAGE(O117,P117))</f>
        <v/>
      </c>
      <c r="T117" s="16" t="str">
        <f>IF(H117="","",IF(OR(H117="GREEN",H117="GK"),IF(S117&gt;=$AX$2,VLOOKUP(S117,$AX$2:$AY$12,2,1),""),IF(S117&gt;=$AZ$2,VLOOKUP(S117,$AZ$2:$BA$12,2,1),"")))</f>
        <v/>
      </c>
      <c r="V117" s="16" t="str">
        <f>IF(J117="","",IF(OR(J117="GREEN",J117="GK"),IF(U117&gt;=$AX$2,VLOOKUP(U117,$AX$2:$AY$12,2,1),""),IF(U117&gt;=$AZ$2,VLOOKUP(U117,$AZ$2:$BA$12,2,1),"")))</f>
        <v/>
      </c>
    </row>
    <row r="118" spans="17:22" x14ac:dyDescent="0.15">
      <c r="Q118" s="16" t="str">
        <f>IF(OR(O118="",P118=""),"",AVERAGE(O118,P118))</f>
        <v/>
      </c>
      <c r="T118" s="16" t="str">
        <f>IF(H118="","",IF(OR(H118="GREEN",H118="GK"),IF(S118&gt;=$AX$2,VLOOKUP(S118,$AX$2:$AY$12,2,1),""),IF(S118&gt;=$AZ$2,VLOOKUP(S118,$AZ$2:$BA$12,2,1),"")))</f>
        <v/>
      </c>
      <c r="V118" s="16" t="str">
        <f>IF(J118="","",IF(OR(J118="GREEN",J118="GK"),IF(U118&gt;=$AX$2,VLOOKUP(U118,$AX$2:$AY$12,2,1),""),IF(U118&gt;=$AZ$2,VLOOKUP(U118,$AZ$2:$BA$12,2,1),"")))</f>
        <v/>
      </c>
    </row>
    <row r="119" spans="17:22" x14ac:dyDescent="0.15">
      <c r="Q119" s="16" t="str">
        <f>IF(OR(O119="",P119=""),"",AVERAGE(O119,P119))</f>
        <v/>
      </c>
      <c r="T119" s="16" t="str">
        <f>IF(H119="","",IF(OR(H119="GREEN",H119="GK"),IF(S119&gt;=$AX$2,VLOOKUP(S119,$AX$2:$AY$12,2,1),""),IF(S119&gt;=$AZ$2,VLOOKUP(S119,$AZ$2:$BA$12,2,1),"")))</f>
        <v/>
      </c>
      <c r="V119" s="16" t="str">
        <f>IF(J119="","",IF(OR(J119="GREEN",J119="GK"),IF(U119&gt;=$AX$2,VLOOKUP(U119,$AX$2:$AY$12,2,1),""),IF(U119&gt;=$AZ$2,VLOOKUP(U119,$AZ$2:$BA$12,2,1),"")))</f>
        <v/>
      </c>
    </row>
    <row r="120" spans="17:22" x14ac:dyDescent="0.15">
      <c r="Q120" s="16" t="str">
        <f>IF(OR(O120="",P120=""),"",AVERAGE(O120,P120))</f>
        <v/>
      </c>
      <c r="T120" s="16" t="str">
        <f>IF(H120="","",IF(OR(H120="GREEN",H120="GK"),IF(S120&gt;=$AX$2,VLOOKUP(S120,$AX$2:$AY$12,2,1),""),IF(S120&gt;=$AZ$2,VLOOKUP(S120,$AZ$2:$BA$12,2,1),"")))</f>
        <v/>
      </c>
      <c r="V120" s="16" t="str">
        <f>IF(J120="","",IF(OR(J120="GREEN",J120="GK"),IF(U120&gt;=$AX$2,VLOOKUP(U120,$AX$2:$AY$12,2,1),""),IF(U120&gt;=$AZ$2,VLOOKUP(U120,$AZ$2:$BA$12,2,1),"")))</f>
        <v/>
      </c>
    </row>
    <row r="121" spans="17:22" x14ac:dyDescent="0.15">
      <c r="Q121" s="16" t="str">
        <f>IF(OR(O121="",P121=""),"",AVERAGE(O121,P121))</f>
        <v/>
      </c>
      <c r="T121" s="16" t="str">
        <f>IF(H121="","",IF(OR(H121="GREEN",H121="GK"),IF(S121&gt;=$AX$2,VLOOKUP(S121,$AX$2:$AY$12,2,1),""),IF(S121&gt;=$AZ$2,VLOOKUP(S121,$AZ$2:$BA$12,2,1),"")))</f>
        <v/>
      </c>
      <c r="V121" s="16" t="str">
        <f>IF(J121="","",IF(OR(J121="GREEN",J121="GK"),IF(U121&gt;=$AX$2,VLOOKUP(U121,$AX$2:$AY$12,2,1),""),IF(U121&gt;=$AZ$2,VLOOKUP(U121,$AZ$2:$BA$12,2,1),"")))</f>
        <v/>
      </c>
    </row>
    <row r="122" spans="17:22" x14ac:dyDescent="0.15">
      <c r="Q122" s="16" t="str">
        <f>IF(OR(O122="",P122=""),"",AVERAGE(O122,P122))</f>
        <v/>
      </c>
      <c r="T122" s="16" t="str">
        <f>IF(H122="","",IF(OR(H122="GREEN",H122="GK"),IF(S122&gt;=$AX$2,VLOOKUP(S122,$AX$2:$AY$12,2,1),""),IF(S122&gt;=$AZ$2,VLOOKUP(S122,$AZ$2:$BA$12,2,1),"")))</f>
        <v/>
      </c>
      <c r="V122" s="16" t="str">
        <f>IF(J122="","",IF(OR(J122="GREEN",J122="GK"),IF(U122&gt;=$AX$2,VLOOKUP(U122,$AX$2:$AY$12,2,1),""),IF(U122&gt;=$AZ$2,VLOOKUP(U122,$AZ$2:$BA$12,2,1),"")))</f>
        <v/>
      </c>
    </row>
    <row r="123" spans="17:22" x14ac:dyDescent="0.15">
      <c r="Q123" s="16" t="str">
        <f>IF(OR(O123="",P123=""),"",AVERAGE(O123,P123))</f>
        <v/>
      </c>
      <c r="T123" s="16" t="str">
        <f>IF(H123="","",IF(OR(H123="GREEN",H123="GK"),IF(S123&gt;=$AX$2,VLOOKUP(S123,$AX$2:$AY$12,2,1),""),IF(S123&gt;=$AZ$2,VLOOKUP(S123,$AZ$2:$BA$12,2,1),"")))</f>
        <v/>
      </c>
      <c r="V123" s="16" t="str">
        <f>IF(J123="","",IF(OR(J123="GREEN",J123="GK"),IF(U123&gt;=$AX$2,VLOOKUP(U123,$AX$2:$AY$12,2,1),""),IF(U123&gt;=$AZ$2,VLOOKUP(U123,$AZ$2:$BA$12,2,1),"")))</f>
        <v/>
      </c>
    </row>
    <row r="124" spans="17:22" x14ac:dyDescent="0.15">
      <c r="Q124" s="16" t="str">
        <f>IF(OR(O124="",P124=""),"",AVERAGE(O124,P124))</f>
        <v/>
      </c>
      <c r="T124" s="16" t="str">
        <f>IF(H124="","",IF(OR(H124="GREEN",H124="GK"),IF(S124&gt;=$AX$2,VLOOKUP(S124,$AX$2:$AY$12,2,1),""),IF(S124&gt;=$AZ$2,VLOOKUP(S124,$AZ$2:$BA$12,2,1),"")))</f>
        <v/>
      </c>
      <c r="V124" s="16" t="str">
        <f>IF(J124="","",IF(OR(J124="GREEN",J124="GK"),IF(U124&gt;=$AX$2,VLOOKUP(U124,$AX$2:$AY$12,2,1),""),IF(U124&gt;=$AZ$2,VLOOKUP(U124,$AZ$2:$BA$12,2,1),"")))</f>
        <v/>
      </c>
    </row>
    <row r="125" spans="17:22" x14ac:dyDescent="0.15">
      <c r="Q125" s="16" t="str">
        <f>IF(OR(O125="",P125=""),"",AVERAGE(O125,P125))</f>
        <v/>
      </c>
      <c r="T125" s="16" t="str">
        <f>IF(H125="","",IF(OR(H125="GREEN",H125="GK"),IF(S125&gt;=$AX$2,VLOOKUP(S125,$AX$2:$AY$12,2,1),""),IF(S125&gt;=$AZ$2,VLOOKUP(S125,$AZ$2:$BA$12,2,1),"")))</f>
        <v/>
      </c>
      <c r="V125" s="16" t="str">
        <f>IF(J125="","",IF(OR(J125="GREEN",J125="GK"),IF(U125&gt;=$AX$2,VLOOKUP(U125,$AX$2:$AY$12,2,1),""),IF(U125&gt;=$AZ$2,VLOOKUP(U125,$AZ$2:$BA$12,2,1),"")))</f>
        <v/>
      </c>
    </row>
    <row r="126" spans="17:22" x14ac:dyDescent="0.15">
      <c r="Q126" s="16" t="str">
        <f>IF(OR(O126="",P126=""),"",AVERAGE(O126,P126))</f>
        <v/>
      </c>
      <c r="T126" s="16" t="str">
        <f>IF(H126="","",IF(OR(H126="GREEN",H126="GK"),IF(S126&gt;=$AX$2,VLOOKUP(S126,$AX$2:$AY$12,2,1),""),IF(S126&gt;=$AZ$2,VLOOKUP(S126,$AZ$2:$BA$12,2,1),"")))</f>
        <v/>
      </c>
      <c r="V126" s="16" t="str">
        <f>IF(J126="","",IF(OR(J126="GREEN",J126="GK"),IF(U126&gt;=$AX$2,VLOOKUP(U126,$AX$2:$AY$12,2,1),""),IF(U126&gt;=$AZ$2,VLOOKUP(U126,$AZ$2:$BA$12,2,1),"")))</f>
        <v/>
      </c>
    </row>
    <row r="127" spans="17:22" x14ac:dyDescent="0.15">
      <c r="Q127" s="16" t="str">
        <f>IF(OR(O127="",P127=""),"",AVERAGE(O127,P127))</f>
        <v/>
      </c>
      <c r="T127" s="16" t="str">
        <f>IF(H127="","",IF(OR(H127="GREEN",H127="GK"),IF(S127&gt;=$AX$2,VLOOKUP(S127,$AX$2:$AY$12,2,1),""),IF(S127&gt;=$AZ$2,VLOOKUP(S127,$AZ$2:$BA$12,2,1),"")))</f>
        <v/>
      </c>
      <c r="V127" s="16" t="str">
        <f>IF(J127="","",IF(OR(J127="GREEN",J127="GK"),IF(U127&gt;=$AX$2,VLOOKUP(U127,$AX$2:$AY$12,2,1),""),IF(U127&gt;=$AZ$2,VLOOKUP(U127,$AZ$2:$BA$12,2,1),"")))</f>
        <v/>
      </c>
    </row>
    <row r="128" spans="17:22" x14ac:dyDescent="0.15">
      <c r="Q128" s="16" t="str">
        <f>IF(OR(O128="",P128=""),"",AVERAGE(O128,P128))</f>
        <v/>
      </c>
      <c r="T128" s="16" t="str">
        <f>IF(H128="","",IF(OR(H128="GREEN",H128="GK"),IF(S128&gt;=$AX$2,VLOOKUP(S128,$AX$2:$AY$12,2,1),""),IF(S128&gt;=$AZ$2,VLOOKUP(S128,$AZ$2:$BA$12,2,1),"")))</f>
        <v/>
      </c>
      <c r="V128" s="16" t="str">
        <f>IF(J128="","",IF(OR(J128="GREEN",J128="GK"),IF(U128&gt;=$AX$2,VLOOKUP(U128,$AX$2:$AY$12,2,1),""),IF(U128&gt;=$AZ$2,VLOOKUP(U128,$AZ$2:$BA$12,2,1),"")))</f>
        <v/>
      </c>
    </row>
    <row r="129" spans="17:22" x14ac:dyDescent="0.15">
      <c r="Q129" s="16" t="str">
        <f>IF(OR(O129="",P129=""),"",AVERAGE(O129,P129))</f>
        <v/>
      </c>
      <c r="T129" s="16" t="str">
        <f>IF(H129="","",IF(OR(H129="GREEN",H129="GK"),IF(S129&gt;=$AX$2,VLOOKUP(S129,$AX$2:$AY$12,2,1),""),IF(S129&gt;=$AZ$2,VLOOKUP(S129,$AZ$2:$BA$12,2,1),"")))</f>
        <v/>
      </c>
      <c r="V129" s="16" t="str">
        <f>IF(J129="","",IF(OR(J129="GREEN",J129="GK"),IF(U129&gt;=$AX$2,VLOOKUP(U129,$AX$2:$AY$12,2,1),""),IF(U129&gt;=$AZ$2,VLOOKUP(U129,$AZ$2:$BA$12,2,1),"")))</f>
        <v/>
      </c>
    </row>
    <row r="130" spans="17:22" x14ac:dyDescent="0.15">
      <c r="Q130" s="16" t="str">
        <f>IF(OR(O130="",P130=""),"",AVERAGE(O130,P130))</f>
        <v/>
      </c>
      <c r="T130" s="16" t="str">
        <f>IF(H130="","",IF(OR(H130="GREEN",H130="GK"),IF(S130&gt;=$AX$2,VLOOKUP(S130,$AX$2:$AY$12,2,1),""),IF(S130&gt;=$AZ$2,VLOOKUP(S130,$AZ$2:$BA$12,2,1),"")))</f>
        <v/>
      </c>
      <c r="V130" s="16" t="str">
        <f>IF(J130="","",IF(OR(J130="GREEN",J130="GK"),IF(U130&gt;=$AX$2,VLOOKUP(U130,$AX$2:$AY$12,2,1),""),IF(U130&gt;=$AZ$2,VLOOKUP(U130,$AZ$2:$BA$12,2,1),"")))</f>
        <v/>
      </c>
    </row>
    <row r="131" spans="17:22" x14ac:dyDescent="0.15">
      <c r="Q131" s="16" t="str">
        <f>IF(OR(O131="",P131=""),"",AVERAGE(O131,P131))</f>
        <v/>
      </c>
      <c r="T131" s="16" t="str">
        <f>IF(H131="","",IF(OR(H131="GREEN",H131="GK"),IF(S131&gt;=$AX$2,VLOOKUP(S131,$AX$2:$AY$12,2,1),""),IF(S131&gt;=$AZ$2,VLOOKUP(S131,$AZ$2:$BA$12,2,1),"")))</f>
        <v/>
      </c>
      <c r="V131" s="16" t="str">
        <f>IF(J131="","",IF(OR(J131="GREEN",J131="GK"),IF(U131&gt;=$AX$2,VLOOKUP(U131,$AX$2:$AY$12,2,1),""),IF(U131&gt;=$AZ$2,VLOOKUP(U131,$AZ$2:$BA$12,2,1),"")))</f>
        <v/>
      </c>
    </row>
    <row r="132" spans="17:22" x14ac:dyDescent="0.15">
      <c r="Q132" s="16" t="str">
        <f>IF(OR(O132="",P132=""),"",AVERAGE(O132,P132))</f>
        <v/>
      </c>
      <c r="T132" s="16" t="str">
        <f>IF(H132="","",IF(OR(H132="GREEN",H132="GK"),IF(S132&gt;=$AX$2,VLOOKUP(S132,$AX$2:$AY$12,2,1),""),IF(S132&gt;=$AZ$2,VLOOKUP(S132,$AZ$2:$BA$12,2,1),"")))</f>
        <v/>
      </c>
      <c r="V132" s="16" t="str">
        <f>IF(J132="","",IF(OR(J132="GREEN",J132="GK"),IF(U132&gt;=$AX$2,VLOOKUP(U132,$AX$2:$AY$12,2,1),""),IF(U132&gt;=$AZ$2,VLOOKUP(U132,$AZ$2:$BA$12,2,1),"")))</f>
        <v/>
      </c>
    </row>
    <row r="133" spans="17:22" x14ac:dyDescent="0.15">
      <c r="Q133" s="16" t="str">
        <f>IF(OR(O133="",P133=""),"",AVERAGE(O133,P133))</f>
        <v/>
      </c>
      <c r="T133" s="16" t="str">
        <f>IF(H133="","",IF(OR(H133="GREEN",H133="GK"),IF(S133&gt;=$AX$2,VLOOKUP(S133,$AX$2:$AY$12,2,1),""),IF(S133&gt;=$AZ$2,VLOOKUP(S133,$AZ$2:$BA$12,2,1),"")))</f>
        <v/>
      </c>
      <c r="V133" s="16" t="str">
        <f>IF(J133="","",IF(OR(J133="GREEN",J133="GK"),IF(U133&gt;=$AX$2,VLOOKUP(U133,$AX$2:$AY$12,2,1),""),IF(U133&gt;=$AZ$2,VLOOKUP(U133,$AZ$2:$BA$12,2,1),"")))</f>
        <v/>
      </c>
    </row>
    <row r="134" spans="17:22" x14ac:dyDescent="0.15">
      <c r="Q134" s="16" t="str">
        <f>IF(OR(O134="",P134=""),"",AVERAGE(O134,P134))</f>
        <v/>
      </c>
      <c r="T134" s="16" t="str">
        <f>IF(H134="","",IF(OR(H134="GREEN",H134="GK"),IF(S134&gt;=$AX$2,VLOOKUP(S134,$AX$2:$AY$12,2,1),""),IF(S134&gt;=$AZ$2,VLOOKUP(S134,$AZ$2:$BA$12,2,1),"")))</f>
        <v/>
      </c>
      <c r="V134" s="16" t="str">
        <f>IF(J134="","",IF(OR(J134="GREEN",J134="GK"),IF(U134&gt;=$AX$2,VLOOKUP(U134,$AX$2:$AY$12,2,1),""),IF(U134&gt;=$AZ$2,VLOOKUP(U134,$AZ$2:$BA$12,2,1),"")))</f>
        <v/>
      </c>
    </row>
    <row r="135" spans="17:22" x14ac:dyDescent="0.15">
      <c r="Q135" s="16" t="str">
        <f>IF(OR(O135="",P135=""),"",AVERAGE(O135,P135))</f>
        <v/>
      </c>
      <c r="T135" s="16" t="str">
        <f>IF(H135="","",IF(OR(H135="GREEN",H135="GK"),IF(S135&gt;=$AX$2,VLOOKUP(S135,$AX$2:$AY$12,2,1),""),IF(S135&gt;=$AZ$2,VLOOKUP(S135,$AZ$2:$BA$12,2,1),"")))</f>
        <v/>
      </c>
      <c r="V135" s="16" t="str">
        <f>IF(J135="","",IF(OR(J135="GREEN",J135="GK"),IF(U135&gt;=$AX$2,VLOOKUP(U135,$AX$2:$AY$12,2,1),""),IF(U135&gt;=$AZ$2,VLOOKUP(U135,$AZ$2:$BA$12,2,1),"")))</f>
        <v/>
      </c>
    </row>
    <row r="136" spans="17:22" x14ac:dyDescent="0.15">
      <c r="Q136" s="16" t="str">
        <f>IF(OR(O136="",P136=""),"",AVERAGE(O136,P136))</f>
        <v/>
      </c>
      <c r="T136" s="16" t="str">
        <f>IF(H136="","",IF(OR(H136="GREEN",H136="GK"),IF(S136&gt;=$AX$2,VLOOKUP(S136,$AX$2:$AY$12,2,1),""),IF(S136&gt;=$AZ$2,VLOOKUP(S136,$AZ$2:$BA$12,2,1),"")))</f>
        <v/>
      </c>
      <c r="V136" s="16" t="str">
        <f>IF(J136="","",IF(OR(J136="GREEN",J136="GK"),IF(U136&gt;=$AX$2,VLOOKUP(U136,$AX$2:$AY$12,2,1),""),IF(U136&gt;=$AZ$2,VLOOKUP(U136,$AZ$2:$BA$12,2,1),"")))</f>
        <v/>
      </c>
    </row>
    <row r="137" spans="17:22" x14ac:dyDescent="0.15">
      <c r="Q137" s="16" t="str">
        <f>IF(OR(O137="",P137=""),"",AVERAGE(O137,P137))</f>
        <v/>
      </c>
      <c r="T137" s="16" t="str">
        <f>IF(H137="","",IF(OR(H137="GREEN",H137="GK"),IF(S137&gt;=$AX$2,VLOOKUP(S137,$AX$2:$AY$12,2,1),""),IF(S137&gt;=$AZ$2,VLOOKUP(S137,$AZ$2:$BA$12,2,1),"")))</f>
        <v/>
      </c>
      <c r="V137" s="16" t="str">
        <f>IF(J137="","",IF(OR(J137="GREEN",J137="GK"),IF(U137&gt;=$AX$2,VLOOKUP(U137,$AX$2:$AY$12,2,1),""),IF(U137&gt;=$AZ$2,VLOOKUP(U137,$AZ$2:$BA$12,2,1),"")))</f>
        <v/>
      </c>
    </row>
    <row r="138" spans="17:22" x14ac:dyDescent="0.15">
      <c r="Q138" s="16" t="str">
        <f>IF(OR(O138="",P138=""),"",AVERAGE(O138,P138))</f>
        <v/>
      </c>
      <c r="T138" s="16" t="str">
        <f>IF(H138="","",IF(OR(H138="GREEN",H138="GK"),IF(S138&gt;=$AX$2,VLOOKUP(S138,$AX$2:$AY$12,2,1),""),IF(S138&gt;=$AZ$2,VLOOKUP(S138,$AZ$2:$BA$12,2,1),"")))</f>
        <v/>
      </c>
      <c r="V138" s="16" t="str">
        <f>IF(J138="","",IF(OR(J138="GREEN",J138="GK"),IF(U138&gt;=$AX$2,VLOOKUP(U138,$AX$2:$AY$12,2,1),""),IF(U138&gt;=$AZ$2,VLOOKUP(U138,$AZ$2:$BA$12,2,1),"")))</f>
        <v/>
      </c>
    </row>
    <row r="139" spans="17:22" x14ac:dyDescent="0.15">
      <c r="Q139" s="16" t="str">
        <f>IF(OR(O139="",P139=""),"",AVERAGE(O139,P139))</f>
        <v/>
      </c>
      <c r="T139" s="16" t="str">
        <f>IF(H139="","",IF(OR(H139="GREEN",H139="GK"),IF(S139&gt;=$AX$2,VLOOKUP(S139,$AX$2:$AY$12,2,1),""),IF(S139&gt;=$AZ$2,VLOOKUP(S139,$AZ$2:$BA$12,2,1),"")))</f>
        <v/>
      </c>
      <c r="V139" s="16" t="str">
        <f>IF(J139="","",IF(OR(J139="GREEN",J139="GK"),IF(U139&gt;=$AX$2,VLOOKUP(U139,$AX$2:$AY$12,2,1),""),IF(U139&gt;=$AZ$2,VLOOKUP(U139,$AZ$2:$BA$12,2,1),"")))</f>
        <v/>
      </c>
    </row>
    <row r="140" spans="17:22" x14ac:dyDescent="0.15">
      <c r="Q140" s="16" t="str">
        <f>IF(OR(O140="",P140=""),"",AVERAGE(O140,P140))</f>
        <v/>
      </c>
      <c r="T140" s="16" t="str">
        <f>IF(H140="","",IF(OR(H140="GREEN",H140="GK"),IF(S140&gt;=$AX$2,VLOOKUP(S140,$AX$2:$AY$12,2,1),""),IF(S140&gt;=$AZ$2,VLOOKUP(S140,$AZ$2:$BA$12,2,1),"")))</f>
        <v/>
      </c>
      <c r="V140" s="16" t="str">
        <f>IF(J140="","",IF(OR(J140="GREEN",J140="GK"),IF(U140&gt;=$AX$2,VLOOKUP(U140,$AX$2:$AY$12,2,1),""),IF(U140&gt;=$AZ$2,VLOOKUP(U140,$AZ$2:$BA$12,2,1),"")))</f>
        <v/>
      </c>
    </row>
    <row r="141" spans="17:22" x14ac:dyDescent="0.15">
      <c r="Q141" s="16" t="str">
        <f>IF(OR(O141="",P141=""),"",AVERAGE(O141,P141))</f>
        <v/>
      </c>
      <c r="T141" s="16" t="str">
        <f>IF(H141="","",IF(OR(H141="GREEN",H141="GK"),IF(S141&gt;=$AX$2,VLOOKUP(S141,$AX$2:$AY$12,2,1),""),IF(S141&gt;=$AZ$2,VLOOKUP(S141,$AZ$2:$BA$12,2,1),"")))</f>
        <v/>
      </c>
      <c r="V141" s="16" t="str">
        <f>IF(J141="","",IF(OR(J141="GREEN",J141="GK"),IF(U141&gt;=$AX$2,VLOOKUP(U141,$AX$2:$AY$12,2,1),""),IF(U141&gt;=$AZ$2,VLOOKUP(U141,$AZ$2:$BA$12,2,1),"")))</f>
        <v/>
      </c>
    </row>
    <row r="142" spans="17:22" x14ac:dyDescent="0.15">
      <c r="Q142" s="16" t="str">
        <f>IF(OR(O142="",P142=""),"",AVERAGE(O142,P142))</f>
        <v/>
      </c>
      <c r="T142" s="16" t="str">
        <f>IF(H142="","",IF(OR(H142="GREEN",H142="GK"),IF(S142&gt;=$AX$2,VLOOKUP(S142,$AX$2:$AY$12,2,1),""),IF(S142&gt;=$AZ$2,VLOOKUP(S142,$AZ$2:$BA$12,2,1),"")))</f>
        <v/>
      </c>
      <c r="V142" s="16" t="str">
        <f>IF(J142="","",IF(OR(J142="GREEN",J142="GK"),IF(U142&gt;=$AX$2,VLOOKUP(U142,$AX$2:$AY$12,2,1),""),IF(U142&gt;=$AZ$2,VLOOKUP(U142,$AZ$2:$BA$12,2,1),"")))</f>
        <v/>
      </c>
    </row>
    <row r="143" spans="17:22" x14ac:dyDescent="0.15">
      <c r="Q143" s="16" t="str">
        <f>IF(OR(O143="",P143=""),"",AVERAGE(O143,P143))</f>
        <v/>
      </c>
      <c r="T143" s="16" t="str">
        <f>IF(H143="","",IF(OR(H143="GREEN",H143="GK"),IF(S143&gt;=$AX$2,VLOOKUP(S143,$AX$2:$AY$12,2,1),""),IF(S143&gt;=$AZ$2,VLOOKUP(S143,$AZ$2:$BA$12,2,1),"")))</f>
        <v/>
      </c>
      <c r="V143" s="16" t="str">
        <f>IF(J143="","",IF(OR(J143="GREEN",J143="GK"),IF(U143&gt;=$AX$2,VLOOKUP(U143,$AX$2:$AY$12,2,1),""),IF(U143&gt;=$AZ$2,VLOOKUP(U143,$AZ$2:$BA$12,2,1),"")))</f>
        <v/>
      </c>
    </row>
    <row r="144" spans="17:22" x14ac:dyDescent="0.15">
      <c r="Q144" s="16" t="str">
        <f>IF(OR(O144="",P144=""),"",AVERAGE(O144,P144))</f>
        <v/>
      </c>
      <c r="T144" s="16" t="str">
        <f>IF(H144="","",IF(OR(H144="GREEN",H144="GK"),IF(S144&gt;=$AX$2,VLOOKUP(S144,$AX$2:$AY$12,2,1),""),IF(S144&gt;=$AZ$2,VLOOKUP(S144,$AZ$2:$BA$12,2,1),"")))</f>
        <v/>
      </c>
      <c r="V144" s="16" t="str">
        <f>IF(J144="","",IF(OR(J144="GREEN",J144="GK"),IF(U144&gt;=$AX$2,VLOOKUP(U144,$AX$2:$AY$12,2,1),""),IF(U144&gt;=$AZ$2,VLOOKUP(U144,$AZ$2:$BA$12,2,1),"")))</f>
        <v/>
      </c>
    </row>
    <row r="145" spans="17:22" x14ac:dyDescent="0.15">
      <c r="Q145" s="16" t="str">
        <f>IF(OR(O145="",P145=""),"",AVERAGE(O145,P145))</f>
        <v/>
      </c>
      <c r="T145" s="16" t="str">
        <f>IF(H145="","",IF(OR(H145="GREEN",H145="GK"),IF(S145&gt;=$AX$2,VLOOKUP(S145,$AX$2:$AY$12,2,1),""),IF(S145&gt;=$AZ$2,VLOOKUP(S145,$AZ$2:$BA$12,2,1),"")))</f>
        <v/>
      </c>
      <c r="V145" s="16" t="str">
        <f>IF(J145="","",IF(OR(J145="GREEN",J145="GK"),IF(U145&gt;=$AX$2,VLOOKUP(U145,$AX$2:$AY$12,2,1),""),IF(U145&gt;=$AZ$2,VLOOKUP(U145,$AZ$2:$BA$12,2,1),"")))</f>
        <v/>
      </c>
    </row>
  </sheetData>
  <autoFilter ref="A1:BA145" xr:uid="{00000000-0009-0000-0000-000000000000}"/>
  <phoneticPr fontId="3"/>
  <dataValidations count="19">
    <dataValidation type="list" allowBlank="1" showInputMessage="1" showErrorMessage="1" sqref="K2:K427" xr:uid="{00000000-0002-0000-0000-000012000000}">
      <formula1>$AR$2:$AR$27</formula1>
    </dataValidation>
    <dataValidation type="list" allowBlank="1" showInputMessage="1" showErrorMessage="1" sqref="E2:E485" xr:uid="{00000000-0002-0000-0000-000011000000}">
      <formula1>$AG$2:$AG$11</formula1>
    </dataValidation>
    <dataValidation type="list" allowBlank="1" showInputMessage="1" showErrorMessage="1" sqref="H2:H485" xr:uid="{00000000-0002-0000-0000-000010000000}">
      <formula1>$AL$2:$AL$8</formula1>
    </dataValidation>
    <dataValidation type="decimal" allowBlank="1" showInputMessage="1" showErrorMessage="1" error="硬度を正しく入力して下さい。" sqref="O2:P485" xr:uid="{00000000-0002-0000-0000-00000F000000}">
      <formula1>0</formula1>
      <formula2>7</formula2>
    </dataValidation>
    <dataValidation type="list" allowBlank="1" showInputMessage="1" showErrorMessage="1" sqref="F2:F1439" xr:uid="{00000000-0002-0000-0000-00000E000000}">
      <formula1>$AH$2:$AH$11</formula1>
    </dataValidation>
    <dataValidation type="list" allowBlank="1" showInputMessage="1" showErrorMessage="1" sqref="Y2:AA576" xr:uid="{00000000-0002-0000-0000-00000D000000}">
      <formula1>$AV$2:$AV$38</formula1>
    </dataValidation>
    <dataValidation type="list" allowBlank="1" showInputMessage="1" showErrorMessage="1" sqref="J2:J72" xr:uid="{00000000-0002-0000-0000-00000C000000}">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00000000-0002-0000-0000-00000B000000}">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00000000-0002-0000-0000-00000A000000}">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00000000-0002-0000-0000-000009000000}">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00000000-0002-0000-0000-000008000000}">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00000000-0002-0000-0000-000007000000}">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00000000-0002-0000-0000-000006000000}">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00000000-0002-0000-0000-000005000000}">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00000000-0002-0000-0000-000004000000}">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00000000-0002-0000-0000-000003000000}">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00000000-0002-0000-0000-000002000000}">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00000000-0002-0000-0000-000001000000}">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00000000-0002-0000-0000-00000000000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4A54-C234-4D14-83C8-6941E748446E}">
  <dimension ref="A1:BA443"/>
  <sheetViews>
    <sheetView zoomScale="85" zoomScaleNormal="85" zoomScaleSheetLayoutView="100" workbookViewId="0">
      <selection activeCell="AC48" sqref="AC48"/>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08"/>
    <col min="40" max="16384" width="9" style="53"/>
  </cols>
  <sheetData>
    <row r="1" spans="1:53" ht="45" x14ac:dyDescent="0.15">
      <c r="A1" s="44" t="s">
        <v>0</v>
      </c>
      <c r="B1" s="100" t="s">
        <v>1</v>
      </c>
      <c r="C1" s="100" t="s">
        <v>2</v>
      </c>
      <c r="D1" s="101" t="s">
        <v>3</v>
      </c>
      <c r="E1" s="45" t="s">
        <v>4</v>
      </c>
      <c r="F1" s="45" t="s">
        <v>5</v>
      </c>
      <c r="G1" s="45" t="s">
        <v>6</v>
      </c>
      <c r="H1" s="45" t="s">
        <v>7</v>
      </c>
      <c r="I1" s="45" t="s">
        <v>8</v>
      </c>
      <c r="J1" s="45" t="s">
        <v>9</v>
      </c>
      <c r="K1" s="133" t="s">
        <v>10</v>
      </c>
      <c r="L1" s="101" t="s">
        <v>11</v>
      </c>
      <c r="M1" s="101" t="s">
        <v>12</v>
      </c>
      <c r="N1" s="101" t="s">
        <v>13</v>
      </c>
      <c r="O1" s="101" t="s">
        <v>14</v>
      </c>
      <c r="P1" s="101" t="s">
        <v>15</v>
      </c>
      <c r="Q1" s="3" t="s">
        <v>16</v>
      </c>
      <c r="R1" s="101" t="s">
        <v>17</v>
      </c>
      <c r="S1" s="101" t="s">
        <v>18</v>
      </c>
      <c r="T1" s="3" t="s">
        <v>19</v>
      </c>
      <c r="U1" s="102" t="s">
        <v>108</v>
      </c>
      <c r="V1" s="5" t="s">
        <v>20</v>
      </c>
      <c r="W1" s="101" t="s">
        <v>21</v>
      </c>
      <c r="X1" s="45" t="s">
        <v>22</v>
      </c>
      <c r="Y1" s="45" t="s">
        <v>23</v>
      </c>
      <c r="Z1" s="45" t="s">
        <v>24</v>
      </c>
      <c r="AA1" s="46" t="s">
        <v>25</v>
      </c>
      <c r="AB1" s="132" t="s">
        <v>26</v>
      </c>
      <c r="AE1" s="106" t="s">
        <v>0</v>
      </c>
      <c r="AF1" s="107"/>
      <c r="AG1" s="106" t="s">
        <v>4</v>
      </c>
      <c r="AH1" s="106" t="s">
        <v>5</v>
      </c>
      <c r="AI1" s="134"/>
      <c r="AJ1" s="135" t="s">
        <v>6</v>
      </c>
      <c r="AK1" s="134"/>
      <c r="AL1" s="136" t="s">
        <v>7</v>
      </c>
      <c r="AM1" s="134"/>
      <c r="AN1" s="10" t="s">
        <v>8</v>
      </c>
      <c r="AO1" s="107"/>
      <c r="AP1" s="10" t="s">
        <v>27</v>
      </c>
      <c r="AQ1" s="107"/>
      <c r="AR1" s="10" t="s">
        <v>10</v>
      </c>
      <c r="AS1" s="107"/>
      <c r="AT1" s="11" t="s">
        <v>28</v>
      </c>
      <c r="AU1" s="107"/>
      <c r="AV1" s="10" t="s">
        <v>29</v>
      </c>
      <c r="AX1" s="12" t="s">
        <v>30</v>
      </c>
      <c r="AY1" s="13" t="s">
        <v>31</v>
      </c>
      <c r="AZ1" s="13" t="s">
        <v>32</v>
      </c>
      <c r="BA1" s="14" t="s">
        <v>33</v>
      </c>
    </row>
    <row r="2" spans="1:53" x14ac:dyDescent="0.15">
      <c r="A2" s="137" t="s">
        <v>34</v>
      </c>
      <c r="B2" s="137" t="s">
        <v>235</v>
      </c>
      <c r="C2" s="137">
        <v>2019</v>
      </c>
      <c r="D2" s="138" t="s">
        <v>312</v>
      </c>
      <c r="E2" s="137" t="s">
        <v>313</v>
      </c>
      <c r="F2" s="137" t="s">
        <v>314</v>
      </c>
      <c r="G2" s="139" t="s">
        <v>36</v>
      </c>
      <c r="H2" s="140" t="s">
        <v>164</v>
      </c>
      <c r="I2" s="108" t="s">
        <v>159</v>
      </c>
      <c r="J2" s="141" t="s">
        <v>38</v>
      </c>
      <c r="K2" s="108" t="s">
        <v>161</v>
      </c>
      <c r="L2" s="142">
        <v>1</v>
      </c>
      <c r="M2" s="143"/>
      <c r="N2" s="143">
        <v>4</v>
      </c>
      <c r="O2" s="143">
        <v>0.9</v>
      </c>
      <c r="P2" s="143">
        <v>0.8</v>
      </c>
      <c r="Q2" s="144">
        <f t="shared" ref="Q2:Q65" si="0">IF(OR(O2="",P2=""),"",AVERAGE(O2,P2))</f>
        <v>0.85000000000000009</v>
      </c>
      <c r="R2" s="145">
        <v>14.2</v>
      </c>
      <c r="S2" s="140">
        <v>79</v>
      </c>
      <c r="T2" s="146">
        <f t="shared" ref="T2:T65" si="1">IF(H2="","",IF(OR(H2="GREEN",H2="GK"),IF(S2&gt;=$AX$2,VLOOKUP(S2,$AX$2:$AY$7,2,1),""),IF(S2&gt;=$AZ$2,VLOOKUP(S2,$AZ$2:$BA$7,2,1),"")))</f>
        <v>39</v>
      </c>
      <c r="U2" s="108">
        <v>398</v>
      </c>
      <c r="V2" s="146">
        <f t="shared" ref="V2:V65" si="2">IF(OR(N2="",U2="",T2=""),"",U2/N2*T2)</f>
        <v>3880.5</v>
      </c>
      <c r="W2" s="147">
        <v>8</v>
      </c>
      <c r="X2" s="148" t="s">
        <v>46</v>
      </c>
      <c r="Y2" s="148" t="s">
        <v>78</v>
      </c>
      <c r="Z2" s="148" t="s">
        <v>90</v>
      </c>
      <c r="AA2" s="148" t="s">
        <v>88</v>
      </c>
      <c r="AB2" s="53" t="s">
        <v>239</v>
      </c>
      <c r="AE2" s="112" t="s">
        <v>35</v>
      </c>
      <c r="AG2" s="114" t="s">
        <v>313</v>
      </c>
      <c r="AH2" s="114" t="s">
        <v>314</v>
      </c>
      <c r="AJ2" s="113" t="s">
        <v>36</v>
      </c>
      <c r="AL2" s="114" t="s">
        <v>127</v>
      </c>
      <c r="AN2" s="114" t="s">
        <v>37</v>
      </c>
      <c r="AP2" s="114" t="s">
        <v>38</v>
      </c>
      <c r="AR2" s="114" t="s">
        <v>120</v>
      </c>
      <c r="AT2" s="114" t="s">
        <v>39</v>
      </c>
      <c r="AV2" s="114" t="s">
        <v>40</v>
      </c>
      <c r="AX2" s="131">
        <v>1</v>
      </c>
      <c r="AY2" s="130">
        <v>50</v>
      </c>
      <c r="AZ2" s="130">
        <v>1</v>
      </c>
      <c r="BA2" s="129">
        <v>50</v>
      </c>
    </row>
    <row r="3" spans="1:53" x14ac:dyDescent="0.15">
      <c r="A3" s="149" t="s">
        <v>34</v>
      </c>
      <c r="B3" s="149" t="s">
        <v>157</v>
      </c>
      <c r="C3" s="150">
        <v>2019</v>
      </c>
      <c r="D3" s="151" t="s">
        <v>315</v>
      </c>
      <c r="E3" s="149" t="s">
        <v>313</v>
      </c>
      <c r="F3" s="149" t="s">
        <v>314</v>
      </c>
      <c r="G3" s="152" t="s">
        <v>36</v>
      </c>
      <c r="H3" s="108" t="s">
        <v>164</v>
      </c>
      <c r="I3" s="108" t="s">
        <v>159</v>
      </c>
      <c r="J3" s="108" t="s">
        <v>38</v>
      </c>
      <c r="K3" s="108" t="s">
        <v>161</v>
      </c>
      <c r="L3" s="53">
        <v>2</v>
      </c>
      <c r="N3" s="53">
        <v>4</v>
      </c>
      <c r="O3" s="53">
        <v>0.75</v>
      </c>
      <c r="P3" s="34">
        <v>0.8</v>
      </c>
      <c r="Q3" s="153">
        <f t="shared" si="0"/>
        <v>0.77500000000000002</v>
      </c>
      <c r="R3" s="154">
        <v>14.6</v>
      </c>
      <c r="S3" s="154">
        <v>81</v>
      </c>
      <c r="T3" s="16">
        <f t="shared" si="1"/>
        <v>39</v>
      </c>
      <c r="U3" s="155">
        <v>398</v>
      </c>
      <c r="V3" s="38">
        <f t="shared" si="2"/>
        <v>3880.5</v>
      </c>
      <c r="W3" s="156">
        <v>8</v>
      </c>
      <c r="X3" s="157" t="s">
        <v>46</v>
      </c>
      <c r="Y3" s="157" t="s">
        <v>78</v>
      </c>
      <c r="Z3" s="157" t="s">
        <v>90</v>
      </c>
      <c r="AA3" s="148" t="s">
        <v>88</v>
      </c>
      <c r="AB3" s="53" t="s">
        <v>158</v>
      </c>
      <c r="AE3" s="22" t="s">
        <v>41</v>
      </c>
      <c r="AG3" s="114" t="s">
        <v>316</v>
      </c>
      <c r="AH3" s="114" t="s">
        <v>317</v>
      </c>
      <c r="AJ3" s="158" t="s">
        <v>42</v>
      </c>
      <c r="AL3" s="23" t="s">
        <v>128</v>
      </c>
      <c r="AN3" s="23" t="s">
        <v>43</v>
      </c>
      <c r="AP3" s="23" t="s">
        <v>44</v>
      </c>
      <c r="AR3" s="23" t="s">
        <v>45</v>
      </c>
      <c r="AT3" s="23" t="s">
        <v>46</v>
      </c>
      <c r="AV3" s="23" t="s">
        <v>47</v>
      </c>
      <c r="AX3" s="24">
        <v>72</v>
      </c>
      <c r="AY3" s="25">
        <v>46</v>
      </c>
      <c r="AZ3" s="25">
        <v>71</v>
      </c>
      <c r="BA3" s="26">
        <v>42</v>
      </c>
    </row>
    <row r="4" spans="1:53" x14ac:dyDescent="0.15">
      <c r="A4" s="149" t="s">
        <v>34</v>
      </c>
      <c r="B4" s="149" t="s">
        <v>157</v>
      </c>
      <c r="C4" s="149">
        <v>2019</v>
      </c>
      <c r="D4" s="151" t="s">
        <v>315</v>
      </c>
      <c r="E4" s="149" t="s">
        <v>313</v>
      </c>
      <c r="F4" s="149" t="s">
        <v>314</v>
      </c>
      <c r="G4" s="152" t="s">
        <v>36</v>
      </c>
      <c r="H4" s="108" t="s">
        <v>164</v>
      </c>
      <c r="I4" s="108" t="s">
        <v>159</v>
      </c>
      <c r="J4" s="108" t="s">
        <v>38</v>
      </c>
      <c r="K4" s="108" t="s">
        <v>161</v>
      </c>
      <c r="L4" s="53">
        <v>3</v>
      </c>
      <c r="N4" s="53">
        <v>4</v>
      </c>
      <c r="O4" s="53">
        <v>0.8</v>
      </c>
      <c r="P4" s="34">
        <v>0.7</v>
      </c>
      <c r="Q4" s="110">
        <f t="shared" si="0"/>
        <v>0.75</v>
      </c>
      <c r="R4" s="159">
        <v>14.4</v>
      </c>
      <c r="S4" s="159">
        <v>81</v>
      </c>
      <c r="T4" s="16">
        <f t="shared" si="1"/>
        <v>39</v>
      </c>
      <c r="U4" s="160">
        <v>398</v>
      </c>
      <c r="V4" s="38">
        <f t="shared" si="2"/>
        <v>3880.5</v>
      </c>
      <c r="W4" s="156">
        <v>8</v>
      </c>
      <c r="X4" s="157" t="s">
        <v>46</v>
      </c>
      <c r="Y4" s="157" t="s">
        <v>78</v>
      </c>
      <c r="Z4" s="157" t="s">
        <v>90</v>
      </c>
      <c r="AA4" s="148" t="s">
        <v>88</v>
      </c>
      <c r="AB4" s="53" t="s">
        <v>158</v>
      </c>
      <c r="AE4" s="22" t="s">
        <v>34</v>
      </c>
      <c r="AG4" s="114" t="s">
        <v>318</v>
      </c>
      <c r="AH4" s="114" t="s">
        <v>317</v>
      </c>
      <c r="AJ4" s="161" t="s">
        <v>48</v>
      </c>
      <c r="AL4" s="27" t="s">
        <v>129</v>
      </c>
      <c r="AN4" s="28" t="s">
        <v>49</v>
      </c>
      <c r="AP4" s="23" t="s">
        <v>93</v>
      </c>
      <c r="AR4" s="23" t="s">
        <v>121</v>
      </c>
      <c r="AT4" s="28"/>
      <c r="AV4" s="23" t="s">
        <v>50</v>
      </c>
      <c r="AX4" s="24">
        <v>75</v>
      </c>
      <c r="AY4" s="25">
        <v>42</v>
      </c>
      <c r="AZ4" s="25">
        <v>76</v>
      </c>
      <c r="BA4" s="26">
        <v>39</v>
      </c>
    </row>
    <row r="5" spans="1:53" x14ac:dyDescent="0.15">
      <c r="A5" s="149" t="s">
        <v>34</v>
      </c>
      <c r="B5" s="149" t="s">
        <v>157</v>
      </c>
      <c r="C5" s="150">
        <v>2019</v>
      </c>
      <c r="D5" s="151" t="s">
        <v>315</v>
      </c>
      <c r="E5" s="149" t="s">
        <v>313</v>
      </c>
      <c r="F5" s="149" t="s">
        <v>314</v>
      </c>
      <c r="G5" s="152" t="s">
        <v>36</v>
      </c>
      <c r="H5" s="108" t="s">
        <v>160</v>
      </c>
      <c r="I5" s="108" t="s">
        <v>159</v>
      </c>
      <c r="J5" s="108" t="s">
        <v>38</v>
      </c>
      <c r="K5" s="108" t="s">
        <v>161</v>
      </c>
      <c r="L5" s="53">
        <v>1</v>
      </c>
      <c r="N5" s="53">
        <v>4</v>
      </c>
      <c r="O5" s="53">
        <v>0.9</v>
      </c>
      <c r="P5" s="53">
        <v>0.75</v>
      </c>
      <c r="Q5" s="110">
        <f t="shared" si="0"/>
        <v>0.82499999999999996</v>
      </c>
      <c r="R5" s="159">
        <v>16.5</v>
      </c>
      <c r="S5" s="159">
        <v>100</v>
      </c>
      <c r="T5" s="16">
        <f t="shared" si="1"/>
        <v>33</v>
      </c>
      <c r="U5" s="160">
        <v>498</v>
      </c>
      <c r="V5" s="38">
        <f t="shared" si="2"/>
        <v>4108.5</v>
      </c>
      <c r="W5" s="156">
        <v>8</v>
      </c>
      <c r="X5" s="157" t="s">
        <v>46</v>
      </c>
      <c r="Y5" s="157" t="s">
        <v>78</v>
      </c>
      <c r="Z5" s="157" t="s">
        <v>90</v>
      </c>
      <c r="AA5" s="148" t="s">
        <v>88</v>
      </c>
      <c r="AB5" s="53" t="s">
        <v>158</v>
      </c>
      <c r="AE5" s="22" t="s">
        <v>51</v>
      </c>
      <c r="AG5" s="114" t="s">
        <v>313</v>
      </c>
      <c r="AH5" s="114" t="s">
        <v>319</v>
      </c>
      <c r="AJ5" s="162"/>
      <c r="AL5" s="118" t="s">
        <v>66</v>
      </c>
      <c r="AN5" s="118" t="s">
        <v>52</v>
      </c>
      <c r="AP5" s="23" t="s">
        <v>119</v>
      </c>
      <c r="AR5" s="23" t="s">
        <v>54</v>
      </c>
      <c r="AV5" s="23" t="s">
        <v>55</v>
      </c>
      <c r="AX5" s="24">
        <v>84</v>
      </c>
      <c r="AY5" s="25">
        <v>39</v>
      </c>
      <c r="AZ5" s="25">
        <v>84</v>
      </c>
      <c r="BA5" s="26">
        <v>36</v>
      </c>
    </row>
    <row r="6" spans="1:53" x14ac:dyDescent="0.15">
      <c r="A6" s="149" t="s">
        <v>34</v>
      </c>
      <c r="B6" s="149" t="s">
        <v>157</v>
      </c>
      <c r="C6" s="149">
        <v>2019</v>
      </c>
      <c r="D6" s="151" t="s">
        <v>315</v>
      </c>
      <c r="E6" s="149" t="s">
        <v>313</v>
      </c>
      <c r="F6" s="149" t="s">
        <v>314</v>
      </c>
      <c r="G6" s="152" t="s">
        <v>36</v>
      </c>
      <c r="H6" s="108" t="s">
        <v>160</v>
      </c>
      <c r="I6" s="108" t="s">
        <v>159</v>
      </c>
      <c r="J6" s="108" t="s">
        <v>38</v>
      </c>
      <c r="K6" s="108" t="s">
        <v>161</v>
      </c>
      <c r="L6" s="53">
        <v>2</v>
      </c>
      <c r="N6" s="53">
        <v>4</v>
      </c>
      <c r="O6" s="53">
        <v>0.8</v>
      </c>
      <c r="P6" s="53">
        <v>0.8</v>
      </c>
      <c r="Q6" s="110">
        <f t="shared" si="0"/>
        <v>0.8</v>
      </c>
      <c r="R6" s="159">
        <v>16.3</v>
      </c>
      <c r="S6" s="159">
        <v>98</v>
      </c>
      <c r="T6" s="16">
        <f t="shared" si="1"/>
        <v>36</v>
      </c>
      <c r="U6" s="160">
        <v>498</v>
      </c>
      <c r="V6" s="38">
        <f t="shared" si="2"/>
        <v>4482</v>
      </c>
      <c r="W6" s="156">
        <v>8</v>
      </c>
      <c r="X6" s="157" t="s">
        <v>46</v>
      </c>
      <c r="Y6" s="157" t="s">
        <v>78</v>
      </c>
      <c r="Z6" s="157" t="s">
        <v>90</v>
      </c>
      <c r="AA6" s="148" t="s">
        <v>88</v>
      </c>
      <c r="AB6" s="53" t="s">
        <v>158</v>
      </c>
      <c r="AE6" s="22" t="s">
        <v>56</v>
      </c>
      <c r="AG6" s="114" t="s">
        <v>210</v>
      </c>
      <c r="AH6" s="114" t="s">
        <v>320</v>
      </c>
      <c r="AL6" s="118" t="s">
        <v>99</v>
      </c>
      <c r="AN6" s="118" t="s">
        <v>57</v>
      </c>
      <c r="AP6" s="23" t="s">
        <v>53</v>
      </c>
      <c r="AR6" s="23" t="s">
        <v>59</v>
      </c>
      <c r="AV6" s="23" t="s">
        <v>60</v>
      </c>
      <c r="AX6" s="24">
        <v>97</v>
      </c>
      <c r="AY6" s="25">
        <v>36</v>
      </c>
      <c r="AZ6" s="25">
        <v>99</v>
      </c>
      <c r="BA6" s="26">
        <v>33</v>
      </c>
    </row>
    <row r="7" spans="1:53" x14ac:dyDescent="0.15">
      <c r="A7" s="149" t="s">
        <v>34</v>
      </c>
      <c r="B7" s="149" t="s">
        <v>157</v>
      </c>
      <c r="C7" s="150">
        <v>2019</v>
      </c>
      <c r="D7" s="151" t="s">
        <v>315</v>
      </c>
      <c r="E7" s="149" t="s">
        <v>313</v>
      </c>
      <c r="F7" s="149" t="s">
        <v>314</v>
      </c>
      <c r="G7" s="152" t="s">
        <v>36</v>
      </c>
      <c r="H7" s="108" t="s">
        <v>160</v>
      </c>
      <c r="I7" s="108" t="s">
        <v>159</v>
      </c>
      <c r="J7" s="108" t="s">
        <v>38</v>
      </c>
      <c r="K7" s="108" t="s">
        <v>161</v>
      </c>
      <c r="L7" s="53">
        <v>3</v>
      </c>
      <c r="N7" s="53">
        <v>4</v>
      </c>
      <c r="O7" s="53">
        <v>0.8</v>
      </c>
      <c r="P7" s="53">
        <v>0.65</v>
      </c>
      <c r="Q7" s="110">
        <f t="shared" si="0"/>
        <v>0.72500000000000009</v>
      </c>
      <c r="R7" s="159">
        <v>17</v>
      </c>
      <c r="S7" s="159">
        <v>103</v>
      </c>
      <c r="T7" s="16">
        <f t="shared" si="1"/>
        <v>33</v>
      </c>
      <c r="U7" s="160">
        <v>498</v>
      </c>
      <c r="V7" s="38">
        <f t="shared" si="2"/>
        <v>4108.5</v>
      </c>
      <c r="W7" s="156">
        <v>8</v>
      </c>
      <c r="X7" s="157" t="s">
        <v>46</v>
      </c>
      <c r="Y7" s="157" t="s">
        <v>78</v>
      </c>
      <c r="Z7" s="157" t="s">
        <v>90</v>
      </c>
      <c r="AA7" s="148" t="s">
        <v>88</v>
      </c>
      <c r="AB7" s="53" t="s">
        <v>158</v>
      </c>
      <c r="AE7" s="22" t="s">
        <v>61</v>
      </c>
      <c r="AG7" s="114" t="s">
        <v>321</v>
      </c>
      <c r="AH7" s="114" t="s">
        <v>320</v>
      </c>
      <c r="AL7" s="34" t="s">
        <v>109</v>
      </c>
      <c r="AP7" s="23" t="s">
        <v>58</v>
      </c>
      <c r="AR7" s="23" t="s">
        <v>122</v>
      </c>
      <c r="AV7" s="23" t="s">
        <v>64</v>
      </c>
      <c r="AX7" s="24">
        <v>109</v>
      </c>
      <c r="AY7" s="25">
        <v>33</v>
      </c>
      <c r="AZ7" s="25">
        <v>113</v>
      </c>
      <c r="BA7" s="26">
        <v>30</v>
      </c>
    </row>
    <row r="8" spans="1:53" x14ac:dyDescent="0.15">
      <c r="A8" s="149" t="s">
        <v>34</v>
      </c>
      <c r="B8" s="149" t="s">
        <v>157</v>
      </c>
      <c r="C8" s="149">
        <v>2019</v>
      </c>
      <c r="D8" s="151" t="s">
        <v>315</v>
      </c>
      <c r="E8" s="150" t="s">
        <v>316</v>
      </c>
      <c r="F8" s="149" t="s">
        <v>317</v>
      </c>
      <c r="G8" s="152" t="s">
        <v>36</v>
      </c>
      <c r="H8" s="108" t="s">
        <v>164</v>
      </c>
      <c r="I8" s="108" t="s">
        <v>159</v>
      </c>
      <c r="J8" s="108" t="s">
        <v>38</v>
      </c>
      <c r="K8" s="108" t="s">
        <v>161</v>
      </c>
      <c r="L8" s="53">
        <v>1</v>
      </c>
      <c r="N8" s="53">
        <v>4</v>
      </c>
      <c r="O8" s="53">
        <v>0.65</v>
      </c>
      <c r="P8" s="53">
        <v>0.55000000000000004</v>
      </c>
      <c r="Q8" s="110">
        <f t="shared" si="0"/>
        <v>0.60000000000000009</v>
      </c>
      <c r="R8" s="159">
        <v>12.6</v>
      </c>
      <c r="S8" s="159">
        <v>99</v>
      </c>
      <c r="T8" s="16">
        <f t="shared" si="1"/>
        <v>33</v>
      </c>
      <c r="U8" s="155">
        <v>398</v>
      </c>
      <c r="V8" s="38">
        <f t="shared" si="2"/>
        <v>3283.5</v>
      </c>
      <c r="W8" s="156">
        <v>6</v>
      </c>
      <c r="X8" s="157" t="s">
        <v>46</v>
      </c>
      <c r="Y8" s="163" t="s">
        <v>86</v>
      </c>
      <c r="Z8" s="157" t="s">
        <v>64</v>
      </c>
      <c r="AA8" s="148" t="s">
        <v>78</v>
      </c>
      <c r="AB8" s="53" t="s">
        <v>158</v>
      </c>
      <c r="AE8" s="22" t="s">
        <v>59</v>
      </c>
      <c r="AG8" s="114" t="s">
        <v>210</v>
      </c>
      <c r="AH8" s="114" t="s">
        <v>322</v>
      </c>
      <c r="AL8" s="34" t="s">
        <v>134</v>
      </c>
      <c r="AP8" s="23" t="s">
        <v>62</v>
      </c>
      <c r="AR8" s="23" t="s">
        <v>81</v>
      </c>
      <c r="AV8" s="23" t="s">
        <v>97</v>
      </c>
      <c r="AX8" s="24">
        <v>151</v>
      </c>
      <c r="AY8" s="25">
        <v>22</v>
      </c>
      <c r="AZ8" s="25">
        <v>152</v>
      </c>
      <c r="BA8" s="26">
        <v>18</v>
      </c>
    </row>
    <row r="9" spans="1:53" x14ac:dyDescent="0.15">
      <c r="A9" s="149" t="s">
        <v>34</v>
      </c>
      <c r="B9" s="149" t="s">
        <v>157</v>
      </c>
      <c r="C9" s="150">
        <v>2019</v>
      </c>
      <c r="D9" s="151" t="s">
        <v>315</v>
      </c>
      <c r="E9" s="150" t="s">
        <v>316</v>
      </c>
      <c r="F9" s="149" t="s">
        <v>317</v>
      </c>
      <c r="G9" s="152" t="s">
        <v>36</v>
      </c>
      <c r="H9" s="108" t="s">
        <v>164</v>
      </c>
      <c r="I9" s="108" t="s">
        <v>159</v>
      </c>
      <c r="J9" s="108" t="s">
        <v>38</v>
      </c>
      <c r="K9" s="108" t="s">
        <v>161</v>
      </c>
      <c r="L9" s="53">
        <v>2</v>
      </c>
      <c r="N9" s="53">
        <v>4</v>
      </c>
      <c r="O9" s="53">
        <v>0.7</v>
      </c>
      <c r="P9" s="53">
        <v>0.6</v>
      </c>
      <c r="Q9" s="110">
        <f t="shared" si="0"/>
        <v>0.64999999999999991</v>
      </c>
      <c r="R9" s="159">
        <v>13.3</v>
      </c>
      <c r="S9" s="159">
        <v>97</v>
      </c>
      <c r="T9" s="16">
        <f t="shared" si="1"/>
        <v>36</v>
      </c>
      <c r="U9" s="155">
        <v>398</v>
      </c>
      <c r="V9" s="38">
        <f t="shared" si="2"/>
        <v>3582</v>
      </c>
      <c r="W9" s="156">
        <v>6</v>
      </c>
      <c r="X9" s="157" t="s">
        <v>46</v>
      </c>
      <c r="Y9" s="163" t="s">
        <v>86</v>
      </c>
      <c r="Z9" s="157" t="s">
        <v>64</v>
      </c>
      <c r="AA9" s="148" t="s">
        <v>78</v>
      </c>
      <c r="AB9" s="53" t="s">
        <v>158</v>
      </c>
      <c r="AE9" s="22" t="s">
        <v>98</v>
      </c>
      <c r="AG9" s="114" t="s">
        <v>139</v>
      </c>
      <c r="AH9" s="114" t="s">
        <v>322</v>
      </c>
      <c r="AL9" s="118"/>
      <c r="AP9" s="23" t="s">
        <v>95</v>
      </c>
      <c r="AR9" s="23" t="s">
        <v>89</v>
      </c>
      <c r="AV9" s="23" t="s">
        <v>102</v>
      </c>
      <c r="AX9" s="31">
        <v>180</v>
      </c>
      <c r="AY9" s="32">
        <v>18</v>
      </c>
      <c r="AZ9" s="32">
        <v>181</v>
      </c>
      <c r="BA9" s="33">
        <v>16</v>
      </c>
    </row>
    <row r="10" spans="1:53" x14ac:dyDescent="0.15">
      <c r="A10" s="149" t="s">
        <v>34</v>
      </c>
      <c r="B10" s="149" t="s">
        <v>157</v>
      </c>
      <c r="C10" s="149">
        <v>2019</v>
      </c>
      <c r="D10" s="151" t="s">
        <v>315</v>
      </c>
      <c r="E10" s="150" t="s">
        <v>316</v>
      </c>
      <c r="F10" s="149" t="s">
        <v>317</v>
      </c>
      <c r="G10" s="152" t="s">
        <v>36</v>
      </c>
      <c r="H10" s="108" t="s">
        <v>164</v>
      </c>
      <c r="I10" s="108" t="s">
        <v>159</v>
      </c>
      <c r="J10" s="108" t="s">
        <v>38</v>
      </c>
      <c r="K10" s="108" t="s">
        <v>161</v>
      </c>
      <c r="L10" s="53">
        <v>3</v>
      </c>
      <c r="N10" s="53">
        <v>4</v>
      </c>
      <c r="O10" s="53">
        <v>0.7</v>
      </c>
      <c r="P10" s="53">
        <v>0.6</v>
      </c>
      <c r="Q10" s="110">
        <f t="shared" si="0"/>
        <v>0.64999999999999991</v>
      </c>
      <c r="R10" s="159">
        <v>13.3</v>
      </c>
      <c r="S10" s="159">
        <v>103</v>
      </c>
      <c r="T10" s="16">
        <f t="shared" si="1"/>
        <v>33</v>
      </c>
      <c r="U10" s="155">
        <v>398</v>
      </c>
      <c r="V10" s="38">
        <f t="shared" si="2"/>
        <v>3283.5</v>
      </c>
      <c r="W10" s="156">
        <v>6</v>
      </c>
      <c r="X10" s="157" t="s">
        <v>46</v>
      </c>
      <c r="Y10" s="163" t="s">
        <v>86</v>
      </c>
      <c r="Z10" s="157" t="s">
        <v>64</v>
      </c>
      <c r="AA10" s="148" t="s">
        <v>78</v>
      </c>
      <c r="AB10" s="53" t="s">
        <v>158</v>
      </c>
      <c r="AE10" s="22" t="s">
        <v>103</v>
      </c>
      <c r="AG10" s="114" t="s">
        <v>133</v>
      </c>
      <c r="AH10" s="114" t="s">
        <v>323</v>
      </c>
      <c r="AL10" s="34"/>
      <c r="AP10" s="23" t="s">
        <v>100</v>
      </c>
      <c r="AR10" s="23" t="s">
        <v>123</v>
      </c>
      <c r="AV10" s="23" t="s">
        <v>106</v>
      </c>
    </row>
    <row r="11" spans="1:53" x14ac:dyDescent="0.15">
      <c r="A11" s="149" t="s">
        <v>34</v>
      </c>
      <c r="B11" s="149" t="s">
        <v>157</v>
      </c>
      <c r="C11" s="150">
        <v>2019</v>
      </c>
      <c r="D11" s="151" t="s">
        <v>315</v>
      </c>
      <c r="E11" s="150" t="s">
        <v>316</v>
      </c>
      <c r="F11" s="149" t="s">
        <v>317</v>
      </c>
      <c r="G11" s="152" t="s">
        <v>36</v>
      </c>
      <c r="H11" s="108" t="s">
        <v>160</v>
      </c>
      <c r="I11" s="108" t="s">
        <v>159</v>
      </c>
      <c r="J11" s="108" t="s">
        <v>38</v>
      </c>
      <c r="K11" s="108" t="s">
        <v>161</v>
      </c>
      <c r="L11" s="53">
        <v>1</v>
      </c>
      <c r="N11" s="53">
        <v>4</v>
      </c>
      <c r="O11" s="53">
        <v>0.85</v>
      </c>
      <c r="P11" s="53">
        <v>0.75</v>
      </c>
      <c r="Q11" s="110">
        <f t="shared" si="0"/>
        <v>0.8</v>
      </c>
      <c r="R11" s="159">
        <v>16.399999999999999</v>
      </c>
      <c r="S11" s="159">
        <v>102</v>
      </c>
      <c r="T11" s="16">
        <f t="shared" si="1"/>
        <v>33</v>
      </c>
      <c r="U11" s="155">
        <v>498</v>
      </c>
      <c r="V11" s="38">
        <f t="shared" si="2"/>
        <v>4108.5</v>
      </c>
      <c r="W11" s="156">
        <v>6</v>
      </c>
      <c r="X11" s="157" t="s">
        <v>46</v>
      </c>
      <c r="Y11" s="163" t="s">
        <v>86</v>
      </c>
      <c r="Z11" s="157" t="s">
        <v>64</v>
      </c>
      <c r="AA11" s="163" t="s">
        <v>78</v>
      </c>
      <c r="AB11" s="53" t="s">
        <v>158</v>
      </c>
      <c r="AE11" s="22" t="s">
        <v>65</v>
      </c>
      <c r="AG11" s="23" t="s">
        <v>324</v>
      </c>
      <c r="AH11" s="23" t="s">
        <v>325</v>
      </c>
      <c r="AL11" s="34"/>
      <c r="AP11" s="23" t="s">
        <v>104</v>
      </c>
      <c r="AR11" s="23" t="s">
        <v>87</v>
      </c>
      <c r="AV11" s="23" t="s">
        <v>69</v>
      </c>
    </row>
    <row r="12" spans="1:53" x14ac:dyDescent="0.15">
      <c r="A12" s="149" t="s">
        <v>34</v>
      </c>
      <c r="B12" s="149" t="s">
        <v>157</v>
      </c>
      <c r="C12" s="149">
        <v>2019</v>
      </c>
      <c r="D12" s="151" t="s">
        <v>315</v>
      </c>
      <c r="E12" s="150" t="s">
        <v>316</v>
      </c>
      <c r="F12" s="149" t="s">
        <v>317</v>
      </c>
      <c r="G12" s="152" t="s">
        <v>36</v>
      </c>
      <c r="H12" s="108" t="s">
        <v>160</v>
      </c>
      <c r="I12" s="108" t="s">
        <v>159</v>
      </c>
      <c r="J12" s="108" t="s">
        <v>38</v>
      </c>
      <c r="K12" s="108" t="s">
        <v>161</v>
      </c>
      <c r="L12" s="53">
        <v>2</v>
      </c>
      <c r="N12" s="53">
        <v>4</v>
      </c>
      <c r="O12" s="53">
        <v>0.6</v>
      </c>
      <c r="P12" s="53">
        <v>0.65</v>
      </c>
      <c r="Q12" s="110">
        <f t="shared" si="0"/>
        <v>0.625</v>
      </c>
      <c r="R12" s="159">
        <v>17.7</v>
      </c>
      <c r="S12" s="159">
        <v>98</v>
      </c>
      <c r="T12" s="16">
        <f t="shared" si="1"/>
        <v>36</v>
      </c>
      <c r="U12" s="155">
        <v>498</v>
      </c>
      <c r="V12" s="38">
        <f t="shared" si="2"/>
        <v>4482</v>
      </c>
      <c r="W12" s="156">
        <v>6</v>
      </c>
      <c r="X12" s="157" t="s">
        <v>46</v>
      </c>
      <c r="Y12" s="163" t="s">
        <v>86</v>
      </c>
      <c r="Z12" s="157" t="s">
        <v>64</v>
      </c>
      <c r="AA12" s="163" t="s">
        <v>78</v>
      </c>
      <c r="AB12" s="53" t="s">
        <v>158</v>
      </c>
      <c r="AE12" s="22" t="s">
        <v>70</v>
      </c>
      <c r="AG12" s="23"/>
      <c r="AH12" s="23"/>
      <c r="AL12" s="34"/>
      <c r="AP12" s="23" t="s">
        <v>67</v>
      </c>
      <c r="AR12" s="23" t="s">
        <v>124</v>
      </c>
      <c r="AV12" s="23" t="s">
        <v>72</v>
      </c>
    </row>
    <row r="13" spans="1:53" x14ac:dyDescent="0.15">
      <c r="A13" s="149" t="s">
        <v>34</v>
      </c>
      <c r="B13" s="149" t="s">
        <v>157</v>
      </c>
      <c r="C13" s="150">
        <v>2019</v>
      </c>
      <c r="D13" s="151" t="s">
        <v>315</v>
      </c>
      <c r="E13" s="150" t="s">
        <v>316</v>
      </c>
      <c r="F13" s="149" t="s">
        <v>317</v>
      </c>
      <c r="G13" s="152" t="s">
        <v>36</v>
      </c>
      <c r="H13" s="108" t="s">
        <v>160</v>
      </c>
      <c r="I13" s="108" t="s">
        <v>159</v>
      </c>
      <c r="J13" s="108" t="s">
        <v>38</v>
      </c>
      <c r="K13" s="108" t="s">
        <v>161</v>
      </c>
      <c r="L13" s="53">
        <v>3</v>
      </c>
      <c r="N13" s="53">
        <v>4</v>
      </c>
      <c r="O13" s="53">
        <v>0.7</v>
      </c>
      <c r="P13" s="53">
        <v>0.55000000000000004</v>
      </c>
      <c r="Q13" s="110">
        <f t="shared" si="0"/>
        <v>0.625</v>
      </c>
      <c r="R13" s="159">
        <v>18</v>
      </c>
      <c r="S13" s="159">
        <v>98</v>
      </c>
      <c r="T13" s="16">
        <f t="shared" si="1"/>
        <v>36</v>
      </c>
      <c r="U13" s="155">
        <v>498</v>
      </c>
      <c r="V13" s="38">
        <f t="shared" si="2"/>
        <v>4482</v>
      </c>
      <c r="W13" s="156">
        <v>6</v>
      </c>
      <c r="X13" s="157" t="s">
        <v>46</v>
      </c>
      <c r="Y13" s="163" t="s">
        <v>86</v>
      </c>
      <c r="Z13" s="157" t="s">
        <v>64</v>
      </c>
      <c r="AA13" s="163" t="s">
        <v>78</v>
      </c>
      <c r="AB13" s="53" t="s">
        <v>158</v>
      </c>
      <c r="AE13" s="22" t="s">
        <v>73</v>
      </c>
      <c r="AG13" s="28"/>
      <c r="AH13" s="28"/>
      <c r="AP13" s="23" t="s">
        <v>71</v>
      </c>
      <c r="AR13" s="23" t="s">
        <v>103</v>
      </c>
      <c r="AV13" s="23" t="s">
        <v>75</v>
      </c>
    </row>
    <row r="14" spans="1:53" x14ac:dyDescent="0.15">
      <c r="A14" s="149" t="s">
        <v>34</v>
      </c>
      <c r="B14" s="149" t="s">
        <v>157</v>
      </c>
      <c r="C14" s="149">
        <v>2019</v>
      </c>
      <c r="D14" s="151" t="s">
        <v>315</v>
      </c>
      <c r="E14" s="150" t="s">
        <v>318</v>
      </c>
      <c r="F14" s="149" t="s">
        <v>317</v>
      </c>
      <c r="G14" s="152" t="s">
        <v>36</v>
      </c>
      <c r="H14" s="108" t="s">
        <v>164</v>
      </c>
      <c r="I14" s="108" t="s">
        <v>159</v>
      </c>
      <c r="J14" s="108" t="s">
        <v>38</v>
      </c>
      <c r="K14" s="108" t="s">
        <v>161</v>
      </c>
      <c r="L14" s="53">
        <v>1</v>
      </c>
      <c r="N14" s="53">
        <v>10</v>
      </c>
      <c r="O14" s="53">
        <v>0.55000000000000004</v>
      </c>
      <c r="P14" s="53">
        <v>0.45</v>
      </c>
      <c r="Q14" s="110">
        <f t="shared" si="0"/>
        <v>0.5</v>
      </c>
      <c r="R14" s="159">
        <v>13.2</v>
      </c>
      <c r="S14" s="159">
        <v>81</v>
      </c>
      <c r="T14" s="16">
        <f t="shared" si="1"/>
        <v>39</v>
      </c>
      <c r="U14" s="155">
        <v>398</v>
      </c>
      <c r="V14" s="38">
        <f t="shared" si="2"/>
        <v>1552.1999999999998</v>
      </c>
      <c r="W14" s="156">
        <v>4</v>
      </c>
      <c r="X14" s="157" t="s">
        <v>46</v>
      </c>
      <c r="Y14" s="163" t="s">
        <v>97</v>
      </c>
      <c r="Z14" s="163" t="s">
        <v>86</v>
      </c>
      <c r="AA14" s="163" t="s">
        <v>78</v>
      </c>
      <c r="AB14" s="53" t="s">
        <v>158</v>
      </c>
      <c r="AC14" s="34"/>
      <c r="AE14" s="22" t="s">
        <v>76</v>
      </c>
      <c r="AP14" s="23" t="s">
        <v>74</v>
      </c>
      <c r="AR14" s="23" t="s">
        <v>125</v>
      </c>
      <c r="AV14" s="23" t="s">
        <v>78</v>
      </c>
    </row>
    <row r="15" spans="1:53" x14ac:dyDescent="0.15">
      <c r="A15" s="149" t="s">
        <v>34</v>
      </c>
      <c r="B15" s="149" t="s">
        <v>157</v>
      </c>
      <c r="C15" s="150">
        <v>2019</v>
      </c>
      <c r="D15" s="151" t="s">
        <v>315</v>
      </c>
      <c r="E15" s="150" t="s">
        <v>318</v>
      </c>
      <c r="F15" s="149" t="s">
        <v>317</v>
      </c>
      <c r="G15" s="152" t="s">
        <v>36</v>
      </c>
      <c r="H15" s="108" t="s">
        <v>164</v>
      </c>
      <c r="I15" s="108" t="s">
        <v>159</v>
      </c>
      <c r="J15" s="108" t="s">
        <v>38</v>
      </c>
      <c r="K15" s="108" t="s">
        <v>161</v>
      </c>
      <c r="L15" s="53">
        <v>2</v>
      </c>
      <c r="N15" s="53">
        <v>10</v>
      </c>
      <c r="O15" s="53">
        <v>0.4</v>
      </c>
      <c r="P15" s="53">
        <v>0.45</v>
      </c>
      <c r="Q15" s="110">
        <f t="shared" si="0"/>
        <v>0.42500000000000004</v>
      </c>
      <c r="R15" s="159">
        <v>14.1</v>
      </c>
      <c r="S15" s="159">
        <v>123</v>
      </c>
      <c r="T15" s="16">
        <f t="shared" si="1"/>
        <v>30</v>
      </c>
      <c r="U15" s="155">
        <v>398</v>
      </c>
      <c r="V15" s="38">
        <f t="shared" si="2"/>
        <v>1194</v>
      </c>
      <c r="W15" s="156">
        <v>4</v>
      </c>
      <c r="X15" s="157" t="s">
        <v>46</v>
      </c>
      <c r="Y15" s="163" t="s">
        <v>97</v>
      </c>
      <c r="Z15" s="163" t="s">
        <v>86</v>
      </c>
      <c r="AA15" s="163" t="s">
        <v>78</v>
      </c>
      <c r="AB15" s="53" t="s">
        <v>158</v>
      </c>
      <c r="AC15" s="34"/>
      <c r="AE15" s="22" t="s">
        <v>79</v>
      </c>
      <c r="AP15" s="23" t="s">
        <v>77</v>
      </c>
      <c r="AR15" s="23" t="s">
        <v>94</v>
      </c>
      <c r="AV15" s="23" t="s">
        <v>107</v>
      </c>
    </row>
    <row r="16" spans="1:53" x14ac:dyDescent="0.15">
      <c r="A16" s="149" t="s">
        <v>34</v>
      </c>
      <c r="B16" s="149" t="s">
        <v>157</v>
      </c>
      <c r="C16" s="149">
        <v>2019</v>
      </c>
      <c r="D16" s="151" t="s">
        <v>315</v>
      </c>
      <c r="E16" s="150" t="s">
        <v>318</v>
      </c>
      <c r="F16" s="149" t="s">
        <v>317</v>
      </c>
      <c r="G16" s="152" t="s">
        <v>36</v>
      </c>
      <c r="H16" s="108" t="s">
        <v>164</v>
      </c>
      <c r="I16" s="108" t="s">
        <v>159</v>
      </c>
      <c r="J16" s="108" t="s">
        <v>38</v>
      </c>
      <c r="K16" s="108" t="s">
        <v>161</v>
      </c>
      <c r="L16" s="53">
        <v>3</v>
      </c>
      <c r="N16" s="53">
        <v>10</v>
      </c>
      <c r="O16" s="53">
        <v>0.6</v>
      </c>
      <c r="P16" s="53">
        <v>0.6</v>
      </c>
      <c r="Q16" s="110">
        <f t="shared" si="0"/>
        <v>0.6</v>
      </c>
      <c r="R16" s="159">
        <v>13.4</v>
      </c>
      <c r="S16" s="159">
        <v>78</v>
      </c>
      <c r="T16" s="16">
        <f t="shared" si="1"/>
        <v>39</v>
      </c>
      <c r="U16" s="155">
        <v>398</v>
      </c>
      <c r="V16" s="38">
        <f t="shared" si="2"/>
        <v>1552.1999999999998</v>
      </c>
      <c r="W16" s="156">
        <v>4</v>
      </c>
      <c r="X16" s="157" t="s">
        <v>46</v>
      </c>
      <c r="Y16" s="163" t="s">
        <v>97</v>
      </c>
      <c r="Z16" s="163" t="s">
        <v>86</v>
      </c>
      <c r="AA16" s="163" t="s">
        <v>78</v>
      </c>
      <c r="AB16" s="53" t="s">
        <v>158</v>
      </c>
      <c r="AC16" s="34"/>
      <c r="AE16" s="22" t="s">
        <v>82</v>
      </c>
      <c r="AP16" s="23" t="s">
        <v>80</v>
      </c>
      <c r="AR16" s="23" t="s">
        <v>63</v>
      </c>
      <c r="AV16" s="23" t="s">
        <v>84</v>
      </c>
    </row>
    <row r="17" spans="1:48" x14ac:dyDescent="0.15">
      <c r="A17" s="149" t="s">
        <v>34</v>
      </c>
      <c r="B17" s="149" t="s">
        <v>157</v>
      </c>
      <c r="C17" s="150">
        <v>2019</v>
      </c>
      <c r="D17" s="151" t="s">
        <v>315</v>
      </c>
      <c r="E17" s="150" t="s">
        <v>318</v>
      </c>
      <c r="F17" s="149" t="s">
        <v>317</v>
      </c>
      <c r="G17" s="152" t="s">
        <v>36</v>
      </c>
      <c r="H17" s="108" t="s">
        <v>160</v>
      </c>
      <c r="I17" s="108" t="s">
        <v>159</v>
      </c>
      <c r="J17" s="108" t="s">
        <v>38</v>
      </c>
      <c r="K17" s="108" t="s">
        <v>161</v>
      </c>
      <c r="L17" s="53">
        <v>1</v>
      </c>
      <c r="N17" s="53">
        <v>1</v>
      </c>
      <c r="O17" s="53">
        <v>0.45</v>
      </c>
      <c r="P17" s="53">
        <v>0.5</v>
      </c>
      <c r="Q17" s="110">
        <f t="shared" si="0"/>
        <v>0.47499999999999998</v>
      </c>
      <c r="R17" s="159">
        <v>17.399999999999999</v>
      </c>
      <c r="S17" s="159">
        <v>116</v>
      </c>
      <c r="T17" s="16">
        <f t="shared" si="1"/>
        <v>30</v>
      </c>
      <c r="U17" s="155">
        <v>98</v>
      </c>
      <c r="V17" s="38">
        <f t="shared" si="2"/>
        <v>2940</v>
      </c>
      <c r="W17" s="156">
        <v>4</v>
      </c>
      <c r="X17" s="157" t="s">
        <v>46</v>
      </c>
      <c r="Y17" s="163" t="s">
        <v>97</v>
      </c>
      <c r="Z17" s="163" t="s">
        <v>86</v>
      </c>
      <c r="AA17" s="163" t="s">
        <v>78</v>
      </c>
      <c r="AB17" s="53" t="s">
        <v>158</v>
      </c>
      <c r="AC17" s="34"/>
      <c r="AE17" s="22" t="s">
        <v>85</v>
      </c>
      <c r="AP17" s="27" t="s">
        <v>110</v>
      </c>
      <c r="AR17" s="23" t="s">
        <v>96</v>
      </c>
      <c r="AV17" s="23" t="s">
        <v>86</v>
      </c>
    </row>
    <row r="18" spans="1:48" x14ac:dyDescent="0.15">
      <c r="A18" s="149" t="s">
        <v>34</v>
      </c>
      <c r="B18" s="149" t="s">
        <v>157</v>
      </c>
      <c r="C18" s="149">
        <v>2019</v>
      </c>
      <c r="D18" s="151" t="s">
        <v>315</v>
      </c>
      <c r="E18" s="150" t="s">
        <v>318</v>
      </c>
      <c r="F18" s="149" t="s">
        <v>317</v>
      </c>
      <c r="G18" s="152" t="s">
        <v>36</v>
      </c>
      <c r="H18" s="108" t="s">
        <v>160</v>
      </c>
      <c r="I18" s="108" t="s">
        <v>159</v>
      </c>
      <c r="J18" s="108" t="s">
        <v>38</v>
      </c>
      <c r="K18" s="108" t="s">
        <v>161</v>
      </c>
      <c r="L18" s="53">
        <v>2</v>
      </c>
      <c r="N18" s="53">
        <v>1</v>
      </c>
      <c r="O18" s="53">
        <v>0.65</v>
      </c>
      <c r="P18" s="53">
        <v>0.7</v>
      </c>
      <c r="Q18" s="110">
        <f t="shared" si="0"/>
        <v>0.67500000000000004</v>
      </c>
      <c r="R18" s="159">
        <v>16.5</v>
      </c>
      <c r="S18" s="159">
        <v>117</v>
      </c>
      <c r="T18" s="16">
        <f t="shared" si="1"/>
        <v>30</v>
      </c>
      <c r="U18" s="155">
        <v>98</v>
      </c>
      <c r="V18" s="38">
        <f t="shared" si="2"/>
        <v>2940</v>
      </c>
      <c r="W18" s="156">
        <v>4</v>
      </c>
      <c r="X18" s="157" t="s">
        <v>46</v>
      </c>
      <c r="Y18" s="163" t="s">
        <v>97</v>
      </c>
      <c r="Z18" s="163" t="s">
        <v>86</v>
      </c>
      <c r="AA18" s="163" t="s">
        <v>78</v>
      </c>
      <c r="AB18" s="53" t="s">
        <v>158</v>
      </c>
      <c r="AC18" s="34"/>
      <c r="AE18" s="22" t="s">
        <v>87</v>
      </c>
      <c r="AP18" s="27" t="s">
        <v>111</v>
      </c>
      <c r="AR18" s="23" t="s">
        <v>101</v>
      </c>
      <c r="AV18" s="23" t="s">
        <v>88</v>
      </c>
    </row>
    <row r="19" spans="1:48" x14ac:dyDescent="0.15">
      <c r="A19" s="149" t="s">
        <v>34</v>
      </c>
      <c r="B19" s="149" t="s">
        <v>157</v>
      </c>
      <c r="C19" s="150">
        <v>2019</v>
      </c>
      <c r="D19" s="151" t="s">
        <v>315</v>
      </c>
      <c r="E19" s="150" t="s">
        <v>318</v>
      </c>
      <c r="F19" s="149" t="s">
        <v>317</v>
      </c>
      <c r="G19" s="152" t="s">
        <v>36</v>
      </c>
      <c r="H19" s="108" t="s">
        <v>160</v>
      </c>
      <c r="I19" s="108" t="s">
        <v>159</v>
      </c>
      <c r="J19" s="108" t="s">
        <v>38</v>
      </c>
      <c r="K19" s="108" t="s">
        <v>161</v>
      </c>
      <c r="L19" s="53">
        <v>3</v>
      </c>
      <c r="N19" s="53">
        <v>1</v>
      </c>
      <c r="O19" s="53">
        <v>0.5</v>
      </c>
      <c r="P19" s="53">
        <v>0.55000000000000004</v>
      </c>
      <c r="Q19" s="110">
        <f t="shared" si="0"/>
        <v>0.52500000000000002</v>
      </c>
      <c r="R19" s="159">
        <v>16.8</v>
      </c>
      <c r="S19" s="159">
        <v>115</v>
      </c>
      <c r="T19" s="16">
        <f t="shared" si="1"/>
        <v>30</v>
      </c>
      <c r="U19" s="155">
        <v>98</v>
      </c>
      <c r="V19" s="38">
        <f t="shared" si="2"/>
        <v>2940</v>
      </c>
      <c r="W19" s="156">
        <v>4</v>
      </c>
      <c r="X19" s="157" t="s">
        <v>46</v>
      </c>
      <c r="Y19" s="163" t="s">
        <v>97</v>
      </c>
      <c r="Z19" s="163" t="s">
        <v>86</v>
      </c>
      <c r="AA19" s="163" t="s">
        <v>78</v>
      </c>
      <c r="AB19" s="53" t="s">
        <v>158</v>
      </c>
      <c r="AC19" s="34"/>
      <c r="AE19" s="35" t="s">
        <v>89</v>
      </c>
      <c r="AP19" s="27" t="s">
        <v>112</v>
      </c>
      <c r="AR19" s="23" t="s">
        <v>126</v>
      </c>
      <c r="AV19" s="23" t="s">
        <v>90</v>
      </c>
    </row>
    <row r="20" spans="1:48" x14ac:dyDescent="0.15">
      <c r="A20" s="149" t="s">
        <v>34</v>
      </c>
      <c r="B20" s="149" t="s">
        <v>157</v>
      </c>
      <c r="C20" s="149">
        <v>2019</v>
      </c>
      <c r="D20" s="151" t="s">
        <v>315</v>
      </c>
      <c r="E20" s="150" t="s">
        <v>313</v>
      </c>
      <c r="F20" s="149" t="s">
        <v>319</v>
      </c>
      <c r="G20" s="152" t="s">
        <v>36</v>
      </c>
      <c r="H20" s="108" t="s">
        <v>164</v>
      </c>
      <c r="I20" s="108" t="s">
        <v>159</v>
      </c>
      <c r="J20" s="108" t="s">
        <v>38</v>
      </c>
      <c r="K20" s="108" t="s">
        <v>161</v>
      </c>
      <c r="L20" s="53">
        <v>1</v>
      </c>
      <c r="N20" s="53">
        <v>8</v>
      </c>
      <c r="O20" s="53">
        <v>0.9</v>
      </c>
      <c r="P20" s="53">
        <v>0.85</v>
      </c>
      <c r="Q20" s="110">
        <f t="shared" si="0"/>
        <v>0.875</v>
      </c>
      <c r="R20" s="159">
        <v>14.3</v>
      </c>
      <c r="S20" s="159">
        <v>90</v>
      </c>
      <c r="T20" s="16">
        <f t="shared" si="1"/>
        <v>36</v>
      </c>
      <c r="U20" s="155">
        <v>598</v>
      </c>
      <c r="V20" s="38">
        <f t="shared" si="2"/>
        <v>2691</v>
      </c>
      <c r="W20" s="156">
        <v>4</v>
      </c>
      <c r="X20" s="157" t="s">
        <v>46</v>
      </c>
      <c r="Y20" s="163" t="s">
        <v>69</v>
      </c>
      <c r="Z20" s="163" t="s">
        <v>78</v>
      </c>
      <c r="AA20" s="163" t="s">
        <v>97</v>
      </c>
      <c r="AB20" s="53" t="s">
        <v>158</v>
      </c>
      <c r="AE20" s="35"/>
      <c r="AP20" s="27" t="s">
        <v>113</v>
      </c>
      <c r="AR20" s="23" t="s">
        <v>105</v>
      </c>
      <c r="AV20" s="27" t="s">
        <v>135</v>
      </c>
    </row>
    <row r="21" spans="1:48" x14ac:dyDescent="0.15">
      <c r="A21" s="149" t="s">
        <v>34</v>
      </c>
      <c r="B21" s="149" t="s">
        <v>157</v>
      </c>
      <c r="C21" s="150">
        <v>2019</v>
      </c>
      <c r="D21" s="151" t="s">
        <v>315</v>
      </c>
      <c r="E21" s="150" t="s">
        <v>313</v>
      </c>
      <c r="F21" s="149" t="s">
        <v>319</v>
      </c>
      <c r="G21" s="152" t="s">
        <v>36</v>
      </c>
      <c r="H21" s="108" t="s">
        <v>164</v>
      </c>
      <c r="I21" s="108" t="s">
        <v>159</v>
      </c>
      <c r="J21" s="108" t="s">
        <v>38</v>
      </c>
      <c r="K21" s="108" t="s">
        <v>161</v>
      </c>
      <c r="L21" s="53">
        <v>2</v>
      </c>
      <c r="N21" s="53">
        <v>8</v>
      </c>
      <c r="O21" s="53">
        <v>0.75</v>
      </c>
      <c r="P21" s="53">
        <v>0.65</v>
      </c>
      <c r="Q21" s="110">
        <f t="shared" si="0"/>
        <v>0.7</v>
      </c>
      <c r="R21" s="159">
        <v>14.4</v>
      </c>
      <c r="S21" s="159">
        <v>83</v>
      </c>
      <c r="T21" s="16">
        <f t="shared" si="1"/>
        <v>39</v>
      </c>
      <c r="U21" s="155">
        <v>598</v>
      </c>
      <c r="V21" s="38">
        <f t="shared" si="2"/>
        <v>2915.25</v>
      </c>
      <c r="W21" s="156">
        <v>4</v>
      </c>
      <c r="X21" s="157" t="s">
        <v>46</v>
      </c>
      <c r="Y21" s="163" t="s">
        <v>69</v>
      </c>
      <c r="Z21" s="163" t="s">
        <v>78</v>
      </c>
      <c r="AA21" s="163" t="s">
        <v>97</v>
      </c>
      <c r="AB21" s="53" t="s">
        <v>158</v>
      </c>
      <c r="AE21" s="28"/>
      <c r="AP21" s="27" t="s">
        <v>114</v>
      </c>
      <c r="AR21" s="23" t="s">
        <v>68</v>
      </c>
      <c r="AV21" s="27" t="s">
        <v>136</v>
      </c>
    </row>
    <row r="22" spans="1:48" x14ac:dyDescent="0.15">
      <c r="A22" s="149" t="s">
        <v>34</v>
      </c>
      <c r="B22" s="149" t="s">
        <v>157</v>
      </c>
      <c r="C22" s="149">
        <v>2019</v>
      </c>
      <c r="D22" s="151" t="s">
        <v>315</v>
      </c>
      <c r="E22" s="150" t="s">
        <v>313</v>
      </c>
      <c r="F22" s="149" t="s">
        <v>319</v>
      </c>
      <c r="G22" s="152" t="s">
        <v>36</v>
      </c>
      <c r="H22" s="108" t="s">
        <v>164</v>
      </c>
      <c r="I22" s="108" t="s">
        <v>159</v>
      </c>
      <c r="J22" s="108" t="s">
        <v>38</v>
      </c>
      <c r="K22" s="108" t="s">
        <v>161</v>
      </c>
      <c r="L22" s="53">
        <v>3</v>
      </c>
      <c r="N22" s="53">
        <v>8</v>
      </c>
      <c r="O22" s="53">
        <v>0.8</v>
      </c>
      <c r="P22" s="34">
        <v>0.7</v>
      </c>
      <c r="Q22" s="110">
        <f t="shared" si="0"/>
        <v>0.75</v>
      </c>
      <c r="R22" s="159">
        <v>14.1</v>
      </c>
      <c r="S22" s="159">
        <v>85</v>
      </c>
      <c r="T22" s="16">
        <f t="shared" si="1"/>
        <v>36</v>
      </c>
      <c r="U22" s="155">
        <v>598</v>
      </c>
      <c r="V22" s="38">
        <f t="shared" si="2"/>
        <v>2691</v>
      </c>
      <c r="W22" s="156">
        <v>4</v>
      </c>
      <c r="X22" s="157" t="s">
        <v>46</v>
      </c>
      <c r="Y22" s="163" t="s">
        <v>69</v>
      </c>
      <c r="Z22" s="163" t="s">
        <v>78</v>
      </c>
      <c r="AA22" s="163" t="s">
        <v>97</v>
      </c>
      <c r="AB22" s="53" t="s">
        <v>158</v>
      </c>
      <c r="AP22" s="27" t="s">
        <v>115</v>
      </c>
      <c r="AR22" s="23" t="s">
        <v>83</v>
      </c>
      <c r="AV22" s="23"/>
    </row>
    <row r="23" spans="1:48" x14ac:dyDescent="0.15">
      <c r="A23" s="149" t="s">
        <v>34</v>
      </c>
      <c r="B23" s="149" t="s">
        <v>157</v>
      </c>
      <c r="C23" s="150">
        <v>2019</v>
      </c>
      <c r="D23" s="151" t="s">
        <v>315</v>
      </c>
      <c r="E23" s="150" t="s">
        <v>313</v>
      </c>
      <c r="F23" s="149" t="s">
        <v>319</v>
      </c>
      <c r="G23" s="152" t="s">
        <v>36</v>
      </c>
      <c r="H23" s="108" t="s">
        <v>160</v>
      </c>
      <c r="I23" s="108" t="s">
        <v>159</v>
      </c>
      <c r="J23" s="108" t="s">
        <v>38</v>
      </c>
      <c r="K23" s="108" t="s">
        <v>161</v>
      </c>
      <c r="L23" s="53">
        <v>1</v>
      </c>
      <c r="N23" s="53">
        <v>1</v>
      </c>
      <c r="O23" s="53">
        <v>1.1499999999999999</v>
      </c>
      <c r="P23" s="34">
        <v>0.9</v>
      </c>
      <c r="Q23" s="110">
        <f t="shared" si="0"/>
        <v>1.0249999999999999</v>
      </c>
      <c r="R23" s="159">
        <v>17.5</v>
      </c>
      <c r="S23" s="159">
        <v>116</v>
      </c>
      <c r="T23" s="16">
        <f t="shared" si="1"/>
        <v>30</v>
      </c>
      <c r="U23" s="155">
        <v>138</v>
      </c>
      <c r="V23" s="38">
        <f t="shared" si="2"/>
        <v>4140</v>
      </c>
      <c r="W23" s="156">
        <v>4</v>
      </c>
      <c r="X23" s="157" t="s">
        <v>46</v>
      </c>
      <c r="Y23" s="163" t="s">
        <v>69</v>
      </c>
      <c r="Z23" s="163" t="s">
        <v>78</v>
      </c>
      <c r="AA23" s="163" t="s">
        <v>97</v>
      </c>
      <c r="AB23" s="53" t="s">
        <v>158</v>
      </c>
      <c r="AP23" s="27" t="s">
        <v>137</v>
      </c>
      <c r="AR23" s="23" t="s">
        <v>61</v>
      </c>
      <c r="AV23" s="23"/>
    </row>
    <row r="24" spans="1:48" x14ac:dyDescent="0.15">
      <c r="A24" s="149" t="s">
        <v>34</v>
      </c>
      <c r="B24" s="149" t="s">
        <v>157</v>
      </c>
      <c r="C24" s="149">
        <v>2019</v>
      </c>
      <c r="D24" s="151" t="s">
        <v>315</v>
      </c>
      <c r="E24" s="150" t="s">
        <v>313</v>
      </c>
      <c r="F24" s="149" t="s">
        <v>319</v>
      </c>
      <c r="G24" s="152" t="s">
        <v>36</v>
      </c>
      <c r="H24" s="108" t="s">
        <v>160</v>
      </c>
      <c r="I24" s="108" t="s">
        <v>159</v>
      </c>
      <c r="J24" s="108" t="s">
        <v>38</v>
      </c>
      <c r="K24" s="108" t="s">
        <v>161</v>
      </c>
      <c r="L24" s="53">
        <v>2</v>
      </c>
      <c r="N24" s="53">
        <v>1</v>
      </c>
      <c r="O24" s="53">
        <v>0.95</v>
      </c>
      <c r="P24" s="34">
        <v>0.85</v>
      </c>
      <c r="Q24" s="110">
        <f t="shared" si="0"/>
        <v>0.89999999999999991</v>
      </c>
      <c r="R24" s="159">
        <v>16.8</v>
      </c>
      <c r="S24" s="159">
        <v>114</v>
      </c>
      <c r="T24" s="16">
        <f t="shared" si="1"/>
        <v>30</v>
      </c>
      <c r="U24" s="155">
        <v>138</v>
      </c>
      <c r="V24" s="38">
        <f t="shared" si="2"/>
        <v>4140</v>
      </c>
      <c r="W24" s="156">
        <v>4</v>
      </c>
      <c r="X24" s="157" t="s">
        <v>46</v>
      </c>
      <c r="Y24" s="163" t="s">
        <v>69</v>
      </c>
      <c r="Z24" s="163" t="s">
        <v>78</v>
      </c>
      <c r="AA24" s="163" t="s">
        <v>97</v>
      </c>
      <c r="AB24" s="53" t="s">
        <v>158</v>
      </c>
      <c r="AP24" s="27" t="s">
        <v>138</v>
      </c>
      <c r="AR24" s="23" t="s">
        <v>91</v>
      </c>
      <c r="AV24" s="23"/>
    </row>
    <row r="25" spans="1:48" x14ac:dyDescent="0.15">
      <c r="A25" s="149" t="s">
        <v>34</v>
      </c>
      <c r="B25" s="149" t="s">
        <v>157</v>
      </c>
      <c r="C25" s="150">
        <v>2019</v>
      </c>
      <c r="D25" s="151" t="s">
        <v>315</v>
      </c>
      <c r="E25" s="150" t="s">
        <v>313</v>
      </c>
      <c r="F25" s="149" t="s">
        <v>319</v>
      </c>
      <c r="G25" s="152" t="s">
        <v>36</v>
      </c>
      <c r="H25" s="108" t="s">
        <v>160</v>
      </c>
      <c r="I25" s="108" t="s">
        <v>159</v>
      </c>
      <c r="J25" s="108" t="s">
        <v>38</v>
      </c>
      <c r="K25" s="108" t="s">
        <v>161</v>
      </c>
      <c r="L25" s="53">
        <v>3</v>
      </c>
      <c r="N25" s="53">
        <v>1</v>
      </c>
      <c r="O25" s="53">
        <v>1</v>
      </c>
      <c r="P25" s="34">
        <v>1.05</v>
      </c>
      <c r="Q25" s="110">
        <f t="shared" si="0"/>
        <v>1.0249999999999999</v>
      </c>
      <c r="R25" s="159">
        <v>17.2</v>
      </c>
      <c r="S25" s="159">
        <v>116</v>
      </c>
      <c r="T25" s="16">
        <f t="shared" si="1"/>
        <v>30</v>
      </c>
      <c r="U25" s="155">
        <v>138</v>
      </c>
      <c r="V25" s="38">
        <f t="shared" si="2"/>
        <v>4140</v>
      </c>
      <c r="W25" s="156">
        <v>4</v>
      </c>
      <c r="X25" s="157" t="s">
        <v>46</v>
      </c>
      <c r="Y25" s="163" t="s">
        <v>69</v>
      </c>
      <c r="Z25" s="163" t="s">
        <v>78</v>
      </c>
      <c r="AA25" s="163" t="s">
        <v>97</v>
      </c>
      <c r="AB25" s="53" t="s">
        <v>158</v>
      </c>
      <c r="AP25" s="27" t="s">
        <v>116</v>
      </c>
      <c r="AR25" s="27" t="s">
        <v>92</v>
      </c>
      <c r="AV25" s="23"/>
    </row>
    <row r="26" spans="1:48" x14ac:dyDescent="0.15">
      <c r="A26" s="149" t="s">
        <v>326</v>
      </c>
      <c r="B26" s="149" t="s">
        <v>157</v>
      </c>
      <c r="C26" s="149">
        <v>2019</v>
      </c>
      <c r="D26" s="151" t="s">
        <v>315</v>
      </c>
      <c r="E26" s="150" t="s">
        <v>210</v>
      </c>
      <c r="F26" s="149" t="s">
        <v>320</v>
      </c>
      <c r="G26" s="152" t="s">
        <v>42</v>
      </c>
      <c r="H26" s="108" t="s">
        <v>164</v>
      </c>
      <c r="I26" s="108" t="s">
        <v>159</v>
      </c>
      <c r="J26" s="108" t="s">
        <v>38</v>
      </c>
      <c r="K26" s="108" t="s">
        <v>161</v>
      </c>
      <c r="L26" s="53">
        <v>1</v>
      </c>
      <c r="N26" s="53">
        <v>1</v>
      </c>
      <c r="O26" s="53">
        <v>0.65</v>
      </c>
      <c r="P26" s="53">
        <v>0.65</v>
      </c>
      <c r="Q26" s="110">
        <f t="shared" si="0"/>
        <v>0.65</v>
      </c>
      <c r="R26" s="159">
        <v>13.6</v>
      </c>
      <c r="S26" s="159">
        <v>111</v>
      </c>
      <c r="T26" s="16">
        <f t="shared" si="1"/>
        <v>33</v>
      </c>
      <c r="U26" s="155">
        <v>89</v>
      </c>
      <c r="V26" s="38">
        <f t="shared" si="2"/>
        <v>2937</v>
      </c>
      <c r="W26" s="156">
        <v>10</v>
      </c>
      <c r="X26" s="157" t="s">
        <v>46</v>
      </c>
      <c r="Y26" s="163" t="s">
        <v>64</v>
      </c>
      <c r="Z26" s="163" t="s">
        <v>69</v>
      </c>
      <c r="AA26" s="163" t="s">
        <v>78</v>
      </c>
      <c r="AB26" s="53" t="s">
        <v>158</v>
      </c>
      <c r="AP26" s="27" t="s">
        <v>117</v>
      </c>
      <c r="AR26" s="23" t="s">
        <v>153</v>
      </c>
      <c r="AV26" s="27"/>
    </row>
    <row r="27" spans="1:48" x14ac:dyDescent="0.15">
      <c r="A27" s="149" t="s">
        <v>34</v>
      </c>
      <c r="B27" s="149" t="s">
        <v>157</v>
      </c>
      <c r="C27" s="150">
        <v>2019</v>
      </c>
      <c r="D27" s="151" t="s">
        <v>315</v>
      </c>
      <c r="E27" s="150" t="s">
        <v>210</v>
      </c>
      <c r="F27" s="149" t="s">
        <v>320</v>
      </c>
      <c r="G27" s="152" t="s">
        <v>42</v>
      </c>
      <c r="H27" s="108" t="s">
        <v>164</v>
      </c>
      <c r="I27" s="108" t="s">
        <v>159</v>
      </c>
      <c r="J27" s="108" t="s">
        <v>38</v>
      </c>
      <c r="K27" s="108" t="s">
        <v>161</v>
      </c>
      <c r="L27" s="53">
        <v>2</v>
      </c>
      <c r="N27" s="53">
        <v>1</v>
      </c>
      <c r="O27" s="34">
        <v>0.7</v>
      </c>
      <c r="P27" s="53">
        <v>0.6</v>
      </c>
      <c r="Q27" s="110">
        <f t="shared" si="0"/>
        <v>0.64999999999999991</v>
      </c>
      <c r="R27" s="159">
        <v>14.2</v>
      </c>
      <c r="S27" s="159">
        <v>106</v>
      </c>
      <c r="T27" s="16">
        <f t="shared" si="1"/>
        <v>33</v>
      </c>
      <c r="U27" s="155">
        <v>89</v>
      </c>
      <c r="V27" s="38">
        <f t="shared" si="2"/>
        <v>2937</v>
      </c>
      <c r="W27" s="156">
        <v>10</v>
      </c>
      <c r="X27" s="157" t="s">
        <v>46</v>
      </c>
      <c r="Y27" s="163" t="s">
        <v>64</v>
      </c>
      <c r="Z27" s="163" t="s">
        <v>69</v>
      </c>
      <c r="AA27" s="163" t="s">
        <v>78</v>
      </c>
      <c r="AB27" s="53" t="s">
        <v>158</v>
      </c>
      <c r="AP27" s="27" t="s">
        <v>118</v>
      </c>
      <c r="AR27" s="23"/>
    </row>
    <row r="28" spans="1:48" x14ac:dyDescent="0.15">
      <c r="A28" s="149" t="s">
        <v>34</v>
      </c>
      <c r="B28" s="149" t="s">
        <v>157</v>
      </c>
      <c r="C28" s="149">
        <v>2019</v>
      </c>
      <c r="D28" s="151" t="s">
        <v>315</v>
      </c>
      <c r="E28" s="150" t="s">
        <v>210</v>
      </c>
      <c r="F28" s="149" t="s">
        <v>320</v>
      </c>
      <c r="G28" s="152" t="s">
        <v>42</v>
      </c>
      <c r="H28" s="108" t="s">
        <v>164</v>
      </c>
      <c r="I28" s="108" t="s">
        <v>159</v>
      </c>
      <c r="J28" s="108" t="s">
        <v>38</v>
      </c>
      <c r="K28" s="108" t="s">
        <v>161</v>
      </c>
      <c r="L28" s="53">
        <v>3</v>
      </c>
      <c r="N28" s="53">
        <v>1</v>
      </c>
      <c r="O28" s="34">
        <v>0.7</v>
      </c>
      <c r="P28" s="53">
        <v>0.65</v>
      </c>
      <c r="Q28" s="110">
        <f t="shared" si="0"/>
        <v>0.67500000000000004</v>
      </c>
      <c r="R28" s="159">
        <v>13.9</v>
      </c>
      <c r="S28" s="159">
        <v>107</v>
      </c>
      <c r="T28" s="16">
        <f t="shared" si="1"/>
        <v>33</v>
      </c>
      <c r="U28" s="155">
        <v>89</v>
      </c>
      <c r="V28" s="38">
        <f t="shared" si="2"/>
        <v>2937</v>
      </c>
      <c r="W28" s="156">
        <v>10</v>
      </c>
      <c r="X28" s="157" t="s">
        <v>46</v>
      </c>
      <c r="Y28" s="163" t="s">
        <v>64</v>
      </c>
      <c r="Z28" s="163" t="s">
        <v>69</v>
      </c>
      <c r="AA28" s="163" t="s">
        <v>78</v>
      </c>
      <c r="AB28" s="53" t="s">
        <v>158</v>
      </c>
      <c r="AR28" s="23"/>
    </row>
    <row r="29" spans="1:48" x14ac:dyDescent="0.15">
      <c r="A29" s="149" t="s">
        <v>34</v>
      </c>
      <c r="B29" s="149" t="s">
        <v>157</v>
      </c>
      <c r="C29" s="149">
        <v>2019</v>
      </c>
      <c r="D29" s="151" t="s">
        <v>315</v>
      </c>
      <c r="E29" s="150" t="s">
        <v>210</v>
      </c>
      <c r="F29" s="149" t="s">
        <v>320</v>
      </c>
      <c r="G29" s="152" t="s">
        <v>42</v>
      </c>
      <c r="H29" s="108" t="s">
        <v>160</v>
      </c>
      <c r="I29" s="108" t="s">
        <v>159</v>
      </c>
      <c r="J29" s="108" t="s">
        <v>38</v>
      </c>
      <c r="K29" s="108" t="s">
        <v>161</v>
      </c>
      <c r="L29" s="53">
        <v>1</v>
      </c>
      <c r="N29" s="53">
        <v>1</v>
      </c>
      <c r="O29" s="53">
        <v>0.75</v>
      </c>
      <c r="P29" s="53">
        <v>0.7</v>
      </c>
      <c r="Q29" s="110">
        <f t="shared" si="0"/>
        <v>0.72499999999999998</v>
      </c>
      <c r="R29" s="159">
        <v>15.4</v>
      </c>
      <c r="S29" s="159">
        <v>124</v>
      </c>
      <c r="T29" s="16">
        <f t="shared" si="1"/>
        <v>30</v>
      </c>
      <c r="U29" s="155">
        <v>89</v>
      </c>
      <c r="V29" s="38">
        <f t="shared" si="2"/>
        <v>2670</v>
      </c>
      <c r="W29" s="156">
        <v>10</v>
      </c>
      <c r="X29" s="157" t="s">
        <v>39</v>
      </c>
      <c r="Y29" s="163" t="s">
        <v>64</v>
      </c>
      <c r="Z29" s="163" t="s">
        <v>69</v>
      </c>
      <c r="AA29" s="163" t="s">
        <v>78</v>
      </c>
      <c r="AB29" s="53" t="s">
        <v>158</v>
      </c>
      <c r="AR29" s="28"/>
    </row>
    <row r="30" spans="1:48" x14ac:dyDescent="0.15">
      <c r="A30" s="149" t="s">
        <v>34</v>
      </c>
      <c r="B30" s="149" t="s">
        <v>157</v>
      </c>
      <c r="C30" s="150">
        <v>2019</v>
      </c>
      <c r="D30" s="151" t="s">
        <v>315</v>
      </c>
      <c r="E30" s="150" t="s">
        <v>210</v>
      </c>
      <c r="F30" s="149" t="s">
        <v>320</v>
      </c>
      <c r="G30" s="152" t="s">
        <v>42</v>
      </c>
      <c r="H30" s="108" t="s">
        <v>160</v>
      </c>
      <c r="I30" s="108" t="s">
        <v>159</v>
      </c>
      <c r="J30" s="108" t="s">
        <v>38</v>
      </c>
      <c r="K30" s="108" t="s">
        <v>161</v>
      </c>
      <c r="L30" s="53">
        <v>2</v>
      </c>
      <c r="N30" s="53">
        <v>1</v>
      </c>
      <c r="O30" s="53">
        <v>0.6</v>
      </c>
      <c r="P30" s="53">
        <v>0.55000000000000004</v>
      </c>
      <c r="Q30" s="110">
        <f t="shared" si="0"/>
        <v>0.57499999999999996</v>
      </c>
      <c r="R30" s="159">
        <v>15.8</v>
      </c>
      <c r="S30" s="159">
        <v>120</v>
      </c>
      <c r="T30" s="16">
        <f t="shared" si="1"/>
        <v>30</v>
      </c>
      <c r="U30" s="155">
        <v>89</v>
      </c>
      <c r="V30" s="38">
        <f t="shared" si="2"/>
        <v>2670</v>
      </c>
      <c r="W30" s="156">
        <v>10</v>
      </c>
      <c r="X30" s="157" t="s">
        <v>39</v>
      </c>
      <c r="Y30" s="163" t="s">
        <v>64</v>
      </c>
      <c r="Z30" s="163" t="s">
        <v>69</v>
      </c>
      <c r="AA30" s="163" t="s">
        <v>78</v>
      </c>
      <c r="AB30" s="53" t="s">
        <v>158</v>
      </c>
    </row>
    <row r="31" spans="1:48" x14ac:dyDescent="0.15">
      <c r="A31" s="149" t="s">
        <v>34</v>
      </c>
      <c r="B31" s="149" t="s">
        <v>157</v>
      </c>
      <c r="C31" s="149">
        <v>2019</v>
      </c>
      <c r="D31" s="151" t="s">
        <v>315</v>
      </c>
      <c r="E31" s="150" t="s">
        <v>210</v>
      </c>
      <c r="F31" s="149" t="s">
        <v>320</v>
      </c>
      <c r="G31" s="152" t="s">
        <v>42</v>
      </c>
      <c r="H31" s="108" t="s">
        <v>160</v>
      </c>
      <c r="I31" s="108" t="s">
        <v>159</v>
      </c>
      <c r="J31" s="108" t="s">
        <v>38</v>
      </c>
      <c r="K31" s="108" t="s">
        <v>161</v>
      </c>
      <c r="L31" s="53">
        <v>3</v>
      </c>
      <c r="N31" s="53">
        <v>1</v>
      </c>
      <c r="O31" s="53">
        <v>0.65</v>
      </c>
      <c r="P31" s="53">
        <v>0.6</v>
      </c>
      <c r="Q31" s="110">
        <f t="shared" si="0"/>
        <v>0.625</v>
      </c>
      <c r="R31" s="159">
        <v>15.3</v>
      </c>
      <c r="S31" s="159">
        <v>118</v>
      </c>
      <c r="T31" s="16">
        <f t="shared" si="1"/>
        <v>30</v>
      </c>
      <c r="U31" s="155">
        <v>89</v>
      </c>
      <c r="V31" s="38">
        <f t="shared" si="2"/>
        <v>2670</v>
      </c>
      <c r="W31" s="156">
        <v>10</v>
      </c>
      <c r="X31" s="157" t="s">
        <v>39</v>
      </c>
      <c r="Y31" s="163" t="s">
        <v>64</v>
      </c>
      <c r="Z31" s="163" t="s">
        <v>69</v>
      </c>
      <c r="AA31" s="163" t="s">
        <v>78</v>
      </c>
      <c r="AB31" s="53" t="s">
        <v>158</v>
      </c>
    </row>
    <row r="32" spans="1:48" ht="14.25" customHeight="1" x14ac:dyDescent="0.15">
      <c r="A32" s="149" t="s">
        <v>34</v>
      </c>
      <c r="B32" s="149" t="s">
        <v>157</v>
      </c>
      <c r="C32" s="150">
        <v>2019</v>
      </c>
      <c r="D32" s="151" t="s">
        <v>315</v>
      </c>
      <c r="E32" s="150" t="s">
        <v>324</v>
      </c>
      <c r="F32" s="149" t="s">
        <v>320</v>
      </c>
      <c r="G32" s="152" t="s">
        <v>42</v>
      </c>
      <c r="H32" s="108" t="s">
        <v>164</v>
      </c>
      <c r="I32" s="108" t="s">
        <v>159</v>
      </c>
      <c r="J32" s="108" t="s">
        <v>38</v>
      </c>
      <c r="K32" s="108" t="s">
        <v>161</v>
      </c>
      <c r="L32" s="53">
        <v>1</v>
      </c>
      <c r="N32" s="53">
        <v>5</v>
      </c>
      <c r="O32" s="53">
        <v>0.8</v>
      </c>
      <c r="P32" s="53">
        <v>0.75</v>
      </c>
      <c r="Q32" s="110">
        <f t="shared" si="0"/>
        <v>0.77500000000000002</v>
      </c>
      <c r="R32" s="159">
        <v>14.6</v>
      </c>
      <c r="S32" s="159">
        <v>74</v>
      </c>
      <c r="T32" s="16">
        <f t="shared" si="1"/>
        <v>42</v>
      </c>
      <c r="U32" s="155">
        <v>298</v>
      </c>
      <c r="V32" s="38">
        <f t="shared" si="2"/>
        <v>2503.2000000000003</v>
      </c>
      <c r="W32" s="156">
        <v>8</v>
      </c>
      <c r="X32" s="157" t="s">
        <v>39</v>
      </c>
      <c r="Y32" s="163" t="s">
        <v>88</v>
      </c>
      <c r="Z32" s="163" t="s">
        <v>69</v>
      </c>
      <c r="AA32" s="163" t="s">
        <v>64</v>
      </c>
      <c r="AB32" s="53" t="s">
        <v>158</v>
      </c>
    </row>
    <row r="33" spans="1:28" x14ac:dyDescent="0.15">
      <c r="A33" s="149" t="s">
        <v>34</v>
      </c>
      <c r="B33" s="149" t="s">
        <v>157</v>
      </c>
      <c r="C33" s="149">
        <v>2019</v>
      </c>
      <c r="D33" s="151" t="s">
        <v>315</v>
      </c>
      <c r="E33" s="150" t="s">
        <v>324</v>
      </c>
      <c r="F33" s="149" t="s">
        <v>320</v>
      </c>
      <c r="G33" s="152" t="s">
        <v>42</v>
      </c>
      <c r="H33" s="108" t="s">
        <v>164</v>
      </c>
      <c r="I33" s="108" t="s">
        <v>159</v>
      </c>
      <c r="J33" s="108" t="s">
        <v>38</v>
      </c>
      <c r="K33" s="108" t="s">
        <v>161</v>
      </c>
      <c r="L33" s="53">
        <v>2</v>
      </c>
      <c r="N33" s="53">
        <v>5</v>
      </c>
      <c r="O33" s="53">
        <v>0.65</v>
      </c>
      <c r="P33" s="53">
        <v>0.6</v>
      </c>
      <c r="Q33" s="110">
        <f t="shared" si="0"/>
        <v>0.625</v>
      </c>
      <c r="R33" s="159">
        <v>14.7</v>
      </c>
      <c r="S33" s="159">
        <v>80</v>
      </c>
      <c r="T33" s="16">
        <f t="shared" si="1"/>
        <v>39</v>
      </c>
      <c r="U33" s="155">
        <v>298</v>
      </c>
      <c r="V33" s="38">
        <f t="shared" si="2"/>
        <v>2324.4</v>
      </c>
      <c r="W33" s="156">
        <v>8</v>
      </c>
      <c r="X33" s="157" t="s">
        <v>39</v>
      </c>
      <c r="Y33" s="163" t="s">
        <v>88</v>
      </c>
      <c r="Z33" s="163" t="s">
        <v>69</v>
      </c>
      <c r="AA33" s="163" t="s">
        <v>64</v>
      </c>
      <c r="AB33" s="53" t="s">
        <v>158</v>
      </c>
    </row>
    <row r="34" spans="1:28" x14ac:dyDescent="0.15">
      <c r="A34" s="149" t="s">
        <v>34</v>
      </c>
      <c r="B34" s="149" t="s">
        <v>157</v>
      </c>
      <c r="C34" s="150">
        <v>2019</v>
      </c>
      <c r="D34" s="151" t="s">
        <v>315</v>
      </c>
      <c r="E34" s="150" t="s">
        <v>324</v>
      </c>
      <c r="F34" s="149" t="s">
        <v>320</v>
      </c>
      <c r="G34" s="152" t="s">
        <v>42</v>
      </c>
      <c r="H34" s="108" t="s">
        <v>164</v>
      </c>
      <c r="I34" s="108" t="s">
        <v>159</v>
      </c>
      <c r="J34" s="108" t="s">
        <v>38</v>
      </c>
      <c r="K34" s="108" t="s">
        <v>161</v>
      </c>
      <c r="L34" s="53">
        <v>3</v>
      </c>
      <c r="N34" s="53">
        <v>5</v>
      </c>
      <c r="O34" s="53">
        <v>0.8</v>
      </c>
      <c r="P34" s="34">
        <v>0.65</v>
      </c>
      <c r="Q34" s="110">
        <f t="shared" si="0"/>
        <v>0.72500000000000009</v>
      </c>
      <c r="R34" s="159">
        <v>14.5</v>
      </c>
      <c r="S34" s="159">
        <v>76</v>
      </c>
      <c r="T34" s="16">
        <f t="shared" si="1"/>
        <v>39</v>
      </c>
      <c r="U34" s="155">
        <v>298</v>
      </c>
      <c r="V34" s="38">
        <f t="shared" si="2"/>
        <v>2324.4</v>
      </c>
      <c r="W34" s="156">
        <v>8</v>
      </c>
      <c r="X34" s="157" t="s">
        <v>39</v>
      </c>
      <c r="Y34" s="163" t="s">
        <v>88</v>
      </c>
      <c r="Z34" s="163" t="s">
        <v>69</v>
      </c>
      <c r="AA34" s="163" t="s">
        <v>64</v>
      </c>
      <c r="AB34" s="53" t="s">
        <v>158</v>
      </c>
    </row>
    <row r="35" spans="1:28" x14ac:dyDescent="0.15">
      <c r="A35" s="149" t="s">
        <v>34</v>
      </c>
      <c r="B35" s="149" t="s">
        <v>157</v>
      </c>
      <c r="C35" s="149">
        <v>2019</v>
      </c>
      <c r="D35" s="151" t="s">
        <v>315</v>
      </c>
      <c r="E35" s="150" t="s">
        <v>324</v>
      </c>
      <c r="F35" s="149" t="s">
        <v>320</v>
      </c>
      <c r="G35" s="152" t="s">
        <v>42</v>
      </c>
      <c r="H35" s="108" t="s">
        <v>160</v>
      </c>
      <c r="I35" s="108" t="s">
        <v>159</v>
      </c>
      <c r="J35" s="108" t="s">
        <v>38</v>
      </c>
      <c r="K35" s="108" t="s">
        <v>161</v>
      </c>
      <c r="L35" s="53">
        <v>1</v>
      </c>
      <c r="N35" s="53">
        <v>4</v>
      </c>
      <c r="O35" s="53">
        <v>0.55000000000000004</v>
      </c>
      <c r="P35" s="53">
        <v>0.5</v>
      </c>
      <c r="Q35" s="110">
        <f t="shared" si="0"/>
        <v>0.52500000000000002</v>
      </c>
      <c r="R35" s="159">
        <v>15.4</v>
      </c>
      <c r="S35" s="159">
        <v>90</v>
      </c>
      <c r="T35" s="16">
        <f t="shared" si="1"/>
        <v>36</v>
      </c>
      <c r="U35" s="155">
        <v>480</v>
      </c>
      <c r="V35" s="38">
        <f t="shared" si="2"/>
        <v>4320</v>
      </c>
      <c r="W35" s="156">
        <v>8</v>
      </c>
      <c r="X35" s="157" t="s">
        <v>39</v>
      </c>
      <c r="Y35" s="163" t="s">
        <v>88</v>
      </c>
      <c r="Z35" s="163" t="s">
        <v>69</v>
      </c>
      <c r="AA35" s="163" t="s">
        <v>64</v>
      </c>
      <c r="AB35" s="53" t="s">
        <v>158</v>
      </c>
    </row>
    <row r="36" spans="1:28" x14ac:dyDescent="0.15">
      <c r="A36" s="149" t="s">
        <v>34</v>
      </c>
      <c r="B36" s="149" t="s">
        <v>157</v>
      </c>
      <c r="C36" s="150">
        <v>2019</v>
      </c>
      <c r="D36" s="151" t="s">
        <v>315</v>
      </c>
      <c r="E36" s="150" t="s">
        <v>324</v>
      </c>
      <c r="F36" s="149" t="s">
        <v>320</v>
      </c>
      <c r="G36" s="152" t="s">
        <v>42</v>
      </c>
      <c r="H36" s="108" t="s">
        <v>160</v>
      </c>
      <c r="I36" s="108" t="s">
        <v>159</v>
      </c>
      <c r="J36" s="108" t="s">
        <v>38</v>
      </c>
      <c r="K36" s="108" t="s">
        <v>161</v>
      </c>
      <c r="L36" s="53">
        <v>2</v>
      </c>
      <c r="N36" s="53">
        <v>4</v>
      </c>
      <c r="O36" s="53">
        <v>0.6</v>
      </c>
      <c r="P36" s="53">
        <v>0.55000000000000004</v>
      </c>
      <c r="Q36" s="110">
        <f t="shared" si="0"/>
        <v>0.57499999999999996</v>
      </c>
      <c r="R36" s="159">
        <v>14.8</v>
      </c>
      <c r="S36" s="159">
        <v>88</v>
      </c>
      <c r="T36" s="16">
        <f t="shared" si="1"/>
        <v>36</v>
      </c>
      <c r="U36" s="155">
        <v>480</v>
      </c>
      <c r="V36" s="38">
        <f t="shared" si="2"/>
        <v>4320</v>
      </c>
      <c r="W36" s="156">
        <v>8</v>
      </c>
      <c r="X36" s="157" t="s">
        <v>39</v>
      </c>
      <c r="Y36" s="163" t="s">
        <v>88</v>
      </c>
      <c r="Z36" s="163" t="s">
        <v>69</v>
      </c>
      <c r="AA36" s="163" t="s">
        <v>64</v>
      </c>
      <c r="AB36" s="53" t="s">
        <v>158</v>
      </c>
    </row>
    <row r="37" spans="1:28" x14ac:dyDescent="0.15">
      <c r="A37" s="149" t="s">
        <v>34</v>
      </c>
      <c r="B37" s="149" t="s">
        <v>157</v>
      </c>
      <c r="C37" s="149">
        <v>2019</v>
      </c>
      <c r="D37" s="151" t="s">
        <v>315</v>
      </c>
      <c r="E37" s="150" t="s">
        <v>324</v>
      </c>
      <c r="F37" s="149" t="s">
        <v>320</v>
      </c>
      <c r="G37" s="152" t="s">
        <v>42</v>
      </c>
      <c r="H37" s="108" t="s">
        <v>160</v>
      </c>
      <c r="I37" s="108" t="s">
        <v>159</v>
      </c>
      <c r="J37" s="108" t="s">
        <v>38</v>
      </c>
      <c r="K37" s="108" t="s">
        <v>161</v>
      </c>
      <c r="L37" s="53">
        <v>3</v>
      </c>
      <c r="N37" s="53">
        <v>4</v>
      </c>
      <c r="O37" s="53">
        <v>0.5</v>
      </c>
      <c r="P37" s="53">
        <v>0.6</v>
      </c>
      <c r="Q37" s="110">
        <f t="shared" si="0"/>
        <v>0.55000000000000004</v>
      </c>
      <c r="R37" s="159">
        <v>15.5</v>
      </c>
      <c r="S37" s="159">
        <v>84</v>
      </c>
      <c r="T37" s="16">
        <f t="shared" si="1"/>
        <v>36</v>
      </c>
      <c r="U37" s="155">
        <v>480</v>
      </c>
      <c r="V37" s="38">
        <f t="shared" si="2"/>
        <v>4320</v>
      </c>
      <c r="W37" s="156">
        <v>8</v>
      </c>
      <c r="X37" s="157" t="s">
        <v>39</v>
      </c>
      <c r="Y37" s="163" t="s">
        <v>88</v>
      </c>
      <c r="Z37" s="163" t="s">
        <v>69</v>
      </c>
      <c r="AA37" s="163" t="s">
        <v>64</v>
      </c>
      <c r="AB37" s="53" t="s">
        <v>158</v>
      </c>
    </row>
    <row r="38" spans="1:28" x14ac:dyDescent="0.15">
      <c r="A38" s="149" t="s">
        <v>34</v>
      </c>
      <c r="B38" s="149" t="s">
        <v>157</v>
      </c>
      <c r="C38" s="150">
        <v>2019</v>
      </c>
      <c r="D38" s="151" t="s">
        <v>315</v>
      </c>
      <c r="E38" s="150" t="s">
        <v>210</v>
      </c>
      <c r="F38" s="149" t="s">
        <v>322</v>
      </c>
      <c r="G38" s="152" t="s">
        <v>42</v>
      </c>
      <c r="H38" s="108" t="s">
        <v>164</v>
      </c>
      <c r="I38" s="108" t="s">
        <v>159</v>
      </c>
      <c r="J38" s="108" t="s">
        <v>38</v>
      </c>
      <c r="K38" s="108" t="s">
        <v>161</v>
      </c>
      <c r="L38" s="53">
        <v>1</v>
      </c>
      <c r="N38" s="53">
        <v>4</v>
      </c>
      <c r="O38" s="53">
        <v>0.6</v>
      </c>
      <c r="P38" s="53">
        <v>0.55000000000000004</v>
      </c>
      <c r="Q38" s="110">
        <f t="shared" si="0"/>
        <v>0.57499999999999996</v>
      </c>
      <c r="R38" s="159">
        <v>13.3</v>
      </c>
      <c r="S38" s="159">
        <v>92</v>
      </c>
      <c r="T38" s="16">
        <f t="shared" si="1"/>
        <v>36</v>
      </c>
      <c r="U38" s="155">
        <v>298</v>
      </c>
      <c r="V38" s="38">
        <f t="shared" si="2"/>
        <v>2682</v>
      </c>
      <c r="W38" s="156">
        <v>12</v>
      </c>
      <c r="X38" s="157" t="s">
        <v>46</v>
      </c>
      <c r="Y38" s="163" t="s">
        <v>64</v>
      </c>
      <c r="Z38" s="163" t="s">
        <v>88</v>
      </c>
      <c r="AA38" s="163" t="s">
        <v>97</v>
      </c>
      <c r="AB38" s="53" t="s">
        <v>158</v>
      </c>
    </row>
    <row r="39" spans="1:28" x14ac:dyDescent="0.15">
      <c r="A39" s="149" t="s">
        <v>34</v>
      </c>
      <c r="B39" s="149" t="s">
        <v>157</v>
      </c>
      <c r="C39" s="149">
        <v>2019</v>
      </c>
      <c r="D39" s="151" t="s">
        <v>315</v>
      </c>
      <c r="E39" s="150" t="s">
        <v>210</v>
      </c>
      <c r="F39" s="149" t="s">
        <v>322</v>
      </c>
      <c r="G39" s="152" t="s">
        <v>42</v>
      </c>
      <c r="H39" s="108" t="s">
        <v>164</v>
      </c>
      <c r="I39" s="108" t="s">
        <v>159</v>
      </c>
      <c r="J39" s="108" t="s">
        <v>38</v>
      </c>
      <c r="K39" s="108" t="s">
        <v>161</v>
      </c>
      <c r="L39" s="53">
        <v>2</v>
      </c>
      <c r="N39" s="53">
        <v>4</v>
      </c>
      <c r="O39" s="53">
        <v>0.55000000000000004</v>
      </c>
      <c r="P39" s="53">
        <v>0.5</v>
      </c>
      <c r="Q39" s="110">
        <f t="shared" si="0"/>
        <v>0.52500000000000002</v>
      </c>
      <c r="R39" s="159">
        <v>14.1</v>
      </c>
      <c r="S39" s="159">
        <v>102</v>
      </c>
      <c r="T39" s="16">
        <f t="shared" si="1"/>
        <v>33</v>
      </c>
      <c r="U39" s="155">
        <v>298</v>
      </c>
      <c r="V39" s="38">
        <f t="shared" si="2"/>
        <v>2458.5</v>
      </c>
      <c r="W39" s="156">
        <v>12</v>
      </c>
      <c r="X39" s="157" t="s">
        <v>46</v>
      </c>
      <c r="Y39" s="163" t="s">
        <v>64</v>
      </c>
      <c r="Z39" s="163" t="s">
        <v>88</v>
      </c>
      <c r="AA39" s="163" t="s">
        <v>97</v>
      </c>
      <c r="AB39" s="53" t="s">
        <v>158</v>
      </c>
    </row>
    <row r="40" spans="1:28" ht="12.75" customHeight="1" x14ac:dyDescent="0.15">
      <c r="A40" s="149" t="s">
        <v>34</v>
      </c>
      <c r="B40" s="149" t="s">
        <v>157</v>
      </c>
      <c r="C40" s="150">
        <v>2019</v>
      </c>
      <c r="D40" s="151" t="s">
        <v>315</v>
      </c>
      <c r="E40" s="150" t="s">
        <v>210</v>
      </c>
      <c r="F40" s="149" t="s">
        <v>322</v>
      </c>
      <c r="G40" s="152" t="s">
        <v>42</v>
      </c>
      <c r="H40" s="108" t="s">
        <v>164</v>
      </c>
      <c r="I40" s="108" t="s">
        <v>159</v>
      </c>
      <c r="J40" s="108" t="s">
        <v>38</v>
      </c>
      <c r="K40" s="108" t="s">
        <v>161</v>
      </c>
      <c r="L40" s="53">
        <v>3</v>
      </c>
      <c r="N40" s="53">
        <v>4</v>
      </c>
      <c r="O40" s="53">
        <v>0.5</v>
      </c>
      <c r="P40" s="53">
        <v>0.45</v>
      </c>
      <c r="Q40" s="110">
        <f t="shared" si="0"/>
        <v>0.47499999999999998</v>
      </c>
      <c r="R40" s="159">
        <v>14.6</v>
      </c>
      <c r="S40" s="159">
        <v>104</v>
      </c>
      <c r="T40" s="16">
        <f t="shared" si="1"/>
        <v>33</v>
      </c>
      <c r="U40" s="155">
        <v>298</v>
      </c>
      <c r="V40" s="38">
        <f t="shared" si="2"/>
        <v>2458.5</v>
      </c>
      <c r="W40" s="156">
        <v>12</v>
      </c>
      <c r="X40" s="157" t="s">
        <v>46</v>
      </c>
      <c r="Y40" s="163" t="s">
        <v>64</v>
      </c>
      <c r="Z40" s="163" t="s">
        <v>88</v>
      </c>
      <c r="AA40" s="163" t="s">
        <v>97</v>
      </c>
      <c r="AB40" s="53" t="s">
        <v>158</v>
      </c>
    </row>
    <row r="41" spans="1:28" ht="12.75" customHeight="1" x14ac:dyDescent="0.15">
      <c r="A41" s="108" t="s">
        <v>34</v>
      </c>
      <c r="B41" s="149" t="s">
        <v>157</v>
      </c>
      <c r="C41" s="150">
        <v>2019</v>
      </c>
      <c r="D41" s="151" t="s">
        <v>315</v>
      </c>
      <c r="E41" s="150" t="s">
        <v>210</v>
      </c>
      <c r="F41" s="149" t="s">
        <v>322</v>
      </c>
      <c r="G41" s="152" t="s">
        <v>42</v>
      </c>
      <c r="H41" s="108" t="s">
        <v>160</v>
      </c>
      <c r="I41" s="108" t="s">
        <v>159</v>
      </c>
      <c r="J41" s="108" t="s">
        <v>38</v>
      </c>
      <c r="K41" s="108" t="s">
        <v>161</v>
      </c>
      <c r="L41" s="53">
        <v>1</v>
      </c>
      <c r="N41" s="53">
        <v>1</v>
      </c>
      <c r="O41" s="53">
        <v>0.7</v>
      </c>
      <c r="P41" s="53">
        <v>0.65</v>
      </c>
      <c r="Q41" s="110">
        <f t="shared" si="0"/>
        <v>0.67500000000000004</v>
      </c>
      <c r="R41" s="159">
        <v>14.8</v>
      </c>
      <c r="S41" s="159">
        <v>120</v>
      </c>
      <c r="T41" s="16">
        <f t="shared" si="1"/>
        <v>30</v>
      </c>
      <c r="U41" s="155">
        <v>89</v>
      </c>
      <c r="V41" s="38">
        <f t="shared" si="2"/>
        <v>2670</v>
      </c>
      <c r="W41" s="53">
        <v>12</v>
      </c>
      <c r="X41" s="157" t="s">
        <v>46</v>
      </c>
      <c r="Y41" s="164" t="s">
        <v>64</v>
      </c>
      <c r="Z41" s="164" t="s">
        <v>88</v>
      </c>
      <c r="AA41" s="164" t="s">
        <v>97</v>
      </c>
      <c r="AB41" s="53" t="s">
        <v>158</v>
      </c>
    </row>
    <row r="42" spans="1:28" ht="12.75" customHeight="1" x14ac:dyDescent="0.15">
      <c r="A42" s="108" t="s">
        <v>34</v>
      </c>
      <c r="B42" s="149" t="s">
        <v>157</v>
      </c>
      <c r="C42" s="150">
        <v>2019</v>
      </c>
      <c r="D42" s="151" t="s">
        <v>315</v>
      </c>
      <c r="E42" s="150" t="s">
        <v>210</v>
      </c>
      <c r="F42" s="149" t="s">
        <v>322</v>
      </c>
      <c r="G42" s="152" t="s">
        <v>42</v>
      </c>
      <c r="H42" s="108" t="s">
        <v>160</v>
      </c>
      <c r="I42" s="108" t="s">
        <v>159</v>
      </c>
      <c r="J42" s="108" t="s">
        <v>38</v>
      </c>
      <c r="K42" s="108" t="s">
        <v>161</v>
      </c>
      <c r="L42" s="53">
        <v>2</v>
      </c>
      <c r="N42" s="53">
        <v>1</v>
      </c>
      <c r="O42" s="53">
        <v>0.55000000000000004</v>
      </c>
      <c r="P42" s="53">
        <v>0.6</v>
      </c>
      <c r="Q42" s="110">
        <f t="shared" si="0"/>
        <v>0.57499999999999996</v>
      </c>
      <c r="R42" s="159">
        <v>15.6</v>
      </c>
      <c r="S42" s="159">
        <v>119</v>
      </c>
      <c r="T42" s="16">
        <f t="shared" si="1"/>
        <v>30</v>
      </c>
      <c r="U42" s="155">
        <v>89</v>
      </c>
      <c r="V42" s="38">
        <f t="shared" si="2"/>
        <v>2670</v>
      </c>
      <c r="W42" s="53">
        <v>12</v>
      </c>
      <c r="X42" s="157" t="s">
        <v>46</v>
      </c>
      <c r="Y42" s="164" t="s">
        <v>64</v>
      </c>
      <c r="Z42" s="164" t="s">
        <v>88</v>
      </c>
      <c r="AA42" s="164" t="s">
        <v>97</v>
      </c>
      <c r="AB42" s="53" t="s">
        <v>158</v>
      </c>
    </row>
    <row r="43" spans="1:28" ht="12.75" customHeight="1" x14ac:dyDescent="0.15">
      <c r="A43" s="108" t="s">
        <v>34</v>
      </c>
      <c r="B43" s="149" t="s">
        <v>157</v>
      </c>
      <c r="C43" s="150">
        <v>2019</v>
      </c>
      <c r="D43" s="151" t="s">
        <v>315</v>
      </c>
      <c r="E43" s="150" t="s">
        <v>210</v>
      </c>
      <c r="F43" s="149" t="s">
        <v>322</v>
      </c>
      <c r="G43" s="152" t="s">
        <v>42</v>
      </c>
      <c r="H43" s="108" t="s">
        <v>160</v>
      </c>
      <c r="I43" s="108" t="s">
        <v>159</v>
      </c>
      <c r="J43" s="108" t="s">
        <v>38</v>
      </c>
      <c r="K43" s="108" t="s">
        <v>161</v>
      </c>
      <c r="L43" s="53">
        <v>3</v>
      </c>
      <c r="N43" s="53">
        <v>1</v>
      </c>
      <c r="O43" s="53">
        <v>0.6</v>
      </c>
      <c r="P43" s="53">
        <v>0.6</v>
      </c>
      <c r="Q43" s="110">
        <f t="shared" si="0"/>
        <v>0.6</v>
      </c>
      <c r="R43" s="159">
        <v>15.4</v>
      </c>
      <c r="S43" s="159">
        <v>120</v>
      </c>
      <c r="T43" s="16">
        <f t="shared" si="1"/>
        <v>30</v>
      </c>
      <c r="U43" s="155">
        <v>89</v>
      </c>
      <c r="V43" s="38">
        <f t="shared" si="2"/>
        <v>2670</v>
      </c>
      <c r="W43" s="53">
        <v>12</v>
      </c>
      <c r="X43" s="157" t="s">
        <v>46</v>
      </c>
      <c r="Y43" s="164" t="s">
        <v>64</v>
      </c>
      <c r="Z43" s="164" t="s">
        <v>88</v>
      </c>
      <c r="AA43" s="164" t="s">
        <v>97</v>
      </c>
      <c r="AB43" s="53" t="s">
        <v>158</v>
      </c>
    </row>
    <row r="44" spans="1:28" x14ac:dyDescent="0.15">
      <c r="A44" s="53" t="s">
        <v>34</v>
      </c>
      <c r="B44" s="149" t="s">
        <v>157</v>
      </c>
      <c r="C44" s="150">
        <v>2019</v>
      </c>
      <c r="D44" s="151" t="s">
        <v>315</v>
      </c>
      <c r="E44" s="150" t="s">
        <v>139</v>
      </c>
      <c r="F44" s="149" t="s">
        <v>322</v>
      </c>
      <c r="G44" s="152" t="s">
        <v>36</v>
      </c>
      <c r="H44" s="108" t="s">
        <v>164</v>
      </c>
      <c r="I44" s="108" t="s">
        <v>159</v>
      </c>
      <c r="J44" s="53" t="s">
        <v>38</v>
      </c>
      <c r="K44" s="108" t="s">
        <v>161</v>
      </c>
      <c r="L44" s="53">
        <v>1</v>
      </c>
      <c r="N44" s="53">
        <v>1</v>
      </c>
      <c r="O44" s="53">
        <v>0.8</v>
      </c>
      <c r="P44" s="53">
        <v>0.75</v>
      </c>
      <c r="Q44" s="110">
        <f t="shared" si="0"/>
        <v>0.77500000000000002</v>
      </c>
      <c r="R44" s="159">
        <v>14</v>
      </c>
      <c r="S44" s="159">
        <v>109</v>
      </c>
      <c r="T44" s="16">
        <f t="shared" si="1"/>
        <v>33</v>
      </c>
      <c r="U44" s="155">
        <v>108</v>
      </c>
      <c r="V44" s="16">
        <f t="shared" si="2"/>
        <v>3564</v>
      </c>
      <c r="W44" s="53">
        <v>8</v>
      </c>
      <c r="X44" s="157" t="s">
        <v>46</v>
      </c>
      <c r="Y44" s="164" t="s">
        <v>88</v>
      </c>
      <c r="Z44" s="164" t="s">
        <v>97</v>
      </c>
      <c r="AA44" s="164" t="s">
        <v>69</v>
      </c>
      <c r="AB44" s="53" t="s">
        <v>158</v>
      </c>
    </row>
    <row r="45" spans="1:28" x14ac:dyDescent="0.15">
      <c r="A45" s="53" t="s">
        <v>34</v>
      </c>
      <c r="B45" s="149" t="s">
        <v>157</v>
      </c>
      <c r="C45" s="149">
        <v>2019</v>
      </c>
      <c r="D45" s="151" t="s">
        <v>315</v>
      </c>
      <c r="E45" s="150" t="s">
        <v>139</v>
      </c>
      <c r="F45" s="149" t="s">
        <v>322</v>
      </c>
      <c r="G45" s="152" t="s">
        <v>36</v>
      </c>
      <c r="H45" s="108" t="s">
        <v>164</v>
      </c>
      <c r="I45" s="108" t="s">
        <v>159</v>
      </c>
      <c r="J45" s="53" t="s">
        <v>38</v>
      </c>
      <c r="K45" s="108" t="s">
        <v>161</v>
      </c>
      <c r="L45" s="53">
        <v>2</v>
      </c>
      <c r="N45" s="53">
        <v>1</v>
      </c>
      <c r="O45" s="53">
        <v>0.7</v>
      </c>
      <c r="P45" s="53">
        <v>0.8</v>
      </c>
      <c r="Q45" s="110">
        <f t="shared" si="0"/>
        <v>0.75</v>
      </c>
      <c r="R45" s="159">
        <v>14.3</v>
      </c>
      <c r="S45" s="159">
        <v>113</v>
      </c>
      <c r="T45" s="16">
        <f t="shared" si="1"/>
        <v>30</v>
      </c>
      <c r="U45" s="155">
        <v>108</v>
      </c>
      <c r="V45" s="16">
        <f t="shared" si="2"/>
        <v>3240</v>
      </c>
      <c r="W45" s="53">
        <v>8</v>
      </c>
      <c r="X45" s="157" t="s">
        <v>46</v>
      </c>
      <c r="Y45" s="164" t="s">
        <v>88</v>
      </c>
      <c r="Z45" s="164" t="s">
        <v>97</v>
      </c>
      <c r="AA45" s="164" t="s">
        <v>69</v>
      </c>
      <c r="AB45" s="53" t="s">
        <v>158</v>
      </c>
    </row>
    <row r="46" spans="1:28" x14ac:dyDescent="0.15">
      <c r="A46" s="53" t="s">
        <v>34</v>
      </c>
      <c r="B46" s="149" t="s">
        <v>157</v>
      </c>
      <c r="C46" s="150">
        <v>2019</v>
      </c>
      <c r="D46" s="151" t="s">
        <v>315</v>
      </c>
      <c r="E46" s="150" t="s">
        <v>139</v>
      </c>
      <c r="F46" s="149" t="s">
        <v>322</v>
      </c>
      <c r="G46" s="152" t="s">
        <v>36</v>
      </c>
      <c r="H46" s="108" t="s">
        <v>164</v>
      </c>
      <c r="I46" s="108" t="s">
        <v>159</v>
      </c>
      <c r="J46" s="53" t="s">
        <v>38</v>
      </c>
      <c r="K46" s="108" t="s">
        <v>161</v>
      </c>
      <c r="L46" s="53">
        <v>3</v>
      </c>
      <c r="N46" s="53">
        <v>1</v>
      </c>
      <c r="O46" s="53">
        <v>0.7</v>
      </c>
      <c r="P46" s="53">
        <v>0.65</v>
      </c>
      <c r="Q46" s="110">
        <f t="shared" si="0"/>
        <v>0.67500000000000004</v>
      </c>
      <c r="R46" s="159">
        <v>14.5</v>
      </c>
      <c r="S46" s="159">
        <v>109</v>
      </c>
      <c r="T46" s="16">
        <f t="shared" si="1"/>
        <v>33</v>
      </c>
      <c r="U46" s="155">
        <v>108</v>
      </c>
      <c r="V46" s="16">
        <f t="shared" si="2"/>
        <v>3564</v>
      </c>
      <c r="W46" s="53">
        <v>8</v>
      </c>
      <c r="X46" s="157" t="s">
        <v>46</v>
      </c>
      <c r="Y46" s="164" t="s">
        <v>88</v>
      </c>
      <c r="Z46" s="164" t="s">
        <v>97</v>
      </c>
      <c r="AA46" s="164" t="s">
        <v>69</v>
      </c>
      <c r="AB46" s="53" t="s">
        <v>158</v>
      </c>
    </row>
    <row r="47" spans="1:28" x14ac:dyDescent="0.15">
      <c r="A47" s="53" t="s">
        <v>34</v>
      </c>
      <c r="B47" s="34" t="s">
        <v>157</v>
      </c>
      <c r="C47" s="53">
        <v>2019</v>
      </c>
      <c r="D47" s="165" t="s">
        <v>315</v>
      </c>
      <c r="E47" s="53" t="s">
        <v>139</v>
      </c>
      <c r="F47" s="149" t="s">
        <v>322</v>
      </c>
      <c r="G47" s="152" t="s">
        <v>36</v>
      </c>
      <c r="H47" s="108" t="s">
        <v>160</v>
      </c>
      <c r="I47" s="108" t="s">
        <v>159</v>
      </c>
      <c r="J47" s="53" t="s">
        <v>38</v>
      </c>
      <c r="K47" s="108" t="s">
        <v>161</v>
      </c>
      <c r="L47" s="53">
        <v>1</v>
      </c>
      <c r="N47" s="53">
        <v>1</v>
      </c>
      <c r="O47" s="53">
        <v>0.8</v>
      </c>
      <c r="P47" s="53">
        <v>0.7</v>
      </c>
      <c r="Q47" s="110">
        <f t="shared" si="0"/>
        <v>0.75</v>
      </c>
      <c r="R47" s="159">
        <v>15</v>
      </c>
      <c r="S47" s="159">
        <v>120</v>
      </c>
      <c r="T47" s="16">
        <f t="shared" si="1"/>
        <v>30</v>
      </c>
      <c r="U47" s="53">
        <v>160</v>
      </c>
      <c r="V47" s="16">
        <f t="shared" si="2"/>
        <v>4800</v>
      </c>
      <c r="W47" s="53">
        <v>8</v>
      </c>
      <c r="X47" s="157" t="s">
        <v>46</v>
      </c>
      <c r="Y47" s="53" t="s">
        <v>88</v>
      </c>
      <c r="Z47" s="53" t="s">
        <v>97</v>
      </c>
      <c r="AA47" s="53" t="s">
        <v>69</v>
      </c>
      <c r="AB47" s="53" t="s">
        <v>158</v>
      </c>
    </row>
    <row r="48" spans="1:28" x14ac:dyDescent="0.15">
      <c r="A48" s="53" t="s">
        <v>34</v>
      </c>
      <c r="B48" s="34" t="s">
        <v>157</v>
      </c>
      <c r="C48" s="53">
        <v>2019</v>
      </c>
      <c r="D48" s="165" t="s">
        <v>315</v>
      </c>
      <c r="E48" s="53" t="s">
        <v>139</v>
      </c>
      <c r="F48" s="149" t="s">
        <v>322</v>
      </c>
      <c r="G48" s="152" t="s">
        <v>36</v>
      </c>
      <c r="H48" s="108" t="s">
        <v>160</v>
      </c>
      <c r="I48" s="108" t="s">
        <v>159</v>
      </c>
      <c r="J48" s="53" t="s">
        <v>38</v>
      </c>
      <c r="K48" s="108" t="s">
        <v>161</v>
      </c>
      <c r="L48" s="53">
        <v>2</v>
      </c>
      <c r="N48" s="53">
        <v>1</v>
      </c>
      <c r="O48" s="53">
        <v>0.85</v>
      </c>
      <c r="P48" s="53">
        <v>0.7</v>
      </c>
      <c r="Q48" s="110">
        <f t="shared" si="0"/>
        <v>0.77499999999999991</v>
      </c>
      <c r="R48" s="159">
        <v>15.3</v>
      </c>
      <c r="S48" s="159">
        <v>114</v>
      </c>
      <c r="T48" s="16">
        <f t="shared" si="1"/>
        <v>30</v>
      </c>
      <c r="U48" s="53">
        <v>160</v>
      </c>
      <c r="V48" s="16">
        <f t="shared" si="2"/>
        <v>4800</v>
      </c>
      <c r="W48" s="53">
        <v>8</v>
      </c>
      <c r="X48" s="157" t="s">
        <v>46</v>
      </c>
      <c r="Y48" s="53" t="s">
        <v>88</v>
      </c>
      <c r="Z48" s="53" t="s">
        <v>97</v>
      </c>
      <c r="AA48" s="53" t="s">
        <v>69</v>
      </c>
      <c r="AB48" s="53" t="s">
        <v>158</v>
      </c>
    </row>
    <row r="49" spans="1:28" x14ac:dyDescent="0.15">
      <c r="A49" s="53" t="s">
        <v>34</v>
      </c>
      <c r="B49" s="34" t="s">
        <v>157</v>
      </c>
      <c r="C49" s="53">
        <v>2019</v>
      </c>
      <c r="D49" s="165" t="s">
        <v>315</v>
      </c>
      <c r="E49" s="53" t="s">
        <v>139</v>
      </c>
      <c r="F49" s="149" t="s">
        <v>322</v>
      </c>
      <c r="G49" s="152" t="s">
        <v>36</v>
      </c>
      <c r="H49" s="108" t="s">
        <v>160</v>
      </c>
      <c r="I49" s="108" t="s">
        <v>159</v>
      </c>
      <c r="J49" s="53" t="s">
        <v>38</v>
      </c>
      <c r="K49" s="108" t="s">
        <v>161</v>
      </c>
      <c r="L49" s="53">
        <v>3</v>
      </c>
      <c r="N49" s="53">
        <v>1</v>
      </c>
      <c r="O49" s="53">
        <v>0.75</v>
      </c>
      <c r="P49" s="53">
        <v>0.7</v>
      </c>
      <c r="Q49" s="110">
        <f t="shared" si="0"/>
        <v>0.72499999999999998</v>
      </c>
      <c r="R49" s="159">
        <v>14.9</v>
      </c>
      <c r="S49" s="159">
        <v>114</v>
      </c>
      <c r="T49" s="16">
        <f t="shared" si="1"/>
        <v>30</v>
      </c>
      <c r="U49" s="53">
        <v>160</v>
      </c>
      <c r="V49" s="16">
        <f t="shared" si="2"/>
        <v>4800</v>
      </c>
      <c r="W49" s="53">
        <v>8</v>
      </c>
      <c r="X49" s="157" t="s">
        <v>46</v>
      </c>
      <c r="Y49" s="53" t="s">
        <v>88</v>
      </c>
      <c r="Z49" s="53" t="s">
        <v>97</v>
      </c>
      <c r="AA49" s="53" t="s">
        <v>69</v>
      </c>
      <c r="AB49" s="53" t="s">
        <v>158</v>
      </c>
    </row>
    <row r="50" spans="1:28" x14ac:dyDescent="0.15">
      <c r="A50" s="53" t="s">
        <v>34</v>
      </c>
      <c r="B50" s="53" t="s">
        <v>157</v>
      </c>
      <c r="C50" s="53">
        <v>2019</v>
      </c>
      <c r="D50" s="165" t="s">
        <v>315</v>
      </c>
      <c r="E50" s="53" t="s">
        <v>133</v>
      </c>
      <c r="F50" s="149" t="s">
        <v>323</v>
      </c>
      <c r="G50" s="152" t="s">
        <v>36</v>
      </c>
      <c r="H50" s="53" t="s">
        <v>164</v>
      </c>
      <c r="I50" s="53" t="s">
        <v>159</v>
      </c>
      <c r="J50" s="53" t="s">
        <v>38</v>
      </c>
      <c r="K50" s="108" t="s">
        <v>161</v>
      </c>
      <c r="L50" s="53">
        <v>1</v>
      </c>
      <c r="N50" s="53">
        <v>1</v>
      </c>
      <c r="O50" s="53">
        <v>0.8</v>
      </c>
      <c r="P50" s="53">
        <v>0.65</v>
      </c>
      <c r="Q50" s="110">
        <f t="shared" si="0"/>
        <v>0.72500000000000009</v>
      </c>
      <c r="R50" s="53">
        <v>15.8</v>
      </c>
      <c r="S50" s="53">
        <v>125</v>
      </c>
      <c r="T50" s="16">
        <f t="shared" si="1"/>
        <v>30</v>
      </c>
      <c r="U50" s="53">
        <v>98</v>
      </c>
      <c r="V50" s="16">
        <f t="shared" si="2"/>
        <v>2940</v>
      </c>
      <c r="W50" s="53">
        <v>24</v>
      </c>
      <c r="X50" s="157" t="s">
        <v>46</v>
      </c>
      <c r="Y50" s="53" t="s">
        <v>97</v>
      </c>
      <c r="Z50" s="53" t="s">
        <v>90</v>
      </c>
      <c r="AA50" s="53" t="s">
        <v>78</v>
      </c>
      <c r="AB50" s="53" t="s">
        <v>158</v>
      </c>
    </row>
    <row r="51" spans="1:28" x14ac:dyDescent="0.15">
      <c r="A51" s="53" t="s">
        <v>34</v>
      </c>
      <c r="B51" s="53" t="s">
        <v>157</v>
      </c>
      <c r="C51" s="53">
        <v>2019</v>
      </c>
      <c r="D51" s="165" t="s">
        <v>315</v>
      </c>
      <c r="E51" s="53" t="s">
        <v>133</v>
      </c>
      <c r="F51" s="149" t="s">
        <v>323</v>
      </c>
      <c r="G51" s="152" t="s">
        <v>36</v>
      </c>
      <c r="H51" s="53" t="s">
        <v>164</v>
      </c>
      <c r="I51" s="53" t="s">
        <v>159</v>
      </c>
      <c r="J51" s="53" t="s">
        <v>38</v>
      </c>
      <c r="K51" s="108" t="s">
        <v>161</v>
      </c>
      <c r="L51" s="53">
        <v>2</v>
      </c>
      <c r="N51" s="53">
        <v>1</v>
      </c>
      <c r="O51" s="53">
        <v>0.65</v>
      </c>
      <c r="P51" s="53">
        <v>0.7</v>
      </c>
      <c r="Q51" s="110">
        <f t="shared" si="0"/>
        <v>0.67500000000000004</v>
      </c>
      <c r="R51" s="53">
        <v>15.1</v>
      </c>
      <c r="S51" s="53">
        <v>115</v>
      </c>
      <c r="T51" s="16">
        <f t="shared" si="1"/>
        <v>30</v>
      </c>
      <c r="U51" s="53">
        <v>98</v>
      </c>
      <c r="V51" s="16">
        <f t="shared" si="2"/>
        <v>2940</v>
      </c>
      <c r="W51" s="53">
        <v>24</v>
      </c>
      <c r="X51" s="157" t="s">
        <v>46</v>
      </c>
      <c r="Y51" s="53" t="s">
        <v>97</v>
      </c>
      <c r="Z51" s="53" t="s">
        <v>90</v>
      </c>
      <c r="AA51" s="53" t="s">
        <v>78</v>
      </c>
      <c r="AB51" s="53" t="s">
        <v>158</v>
      </c>
    </row>
    <row r="52" spans="1:28" x14ac:dyDescent="0.15">
      <c r="A52" s="53" t="s">
        <v>34</v>
      </c>
      <c r="B52" s="53" t="s">
        <v>157</v>
      </c>
      <c r="C52" s="53">
        <v>2019</v>
      </c>
      <c r="D52" s="165" t="s">
        <v>315</v>
      </c>
      <c r="E52" s="53" t="s">
        <v>133</v>
      </c>
      <c r="F52" s="149" t="s">
        <v>323</v>
      </c>
      <c r="G52" s="152" t="s">
        <v>36</v>
      </c>
      <c r="H52" s="53" t="s">
        <v>164</v>
      </c>
      <c r="I52" s="53" t="s">
        <v>159</v>
      </c>
      <c r="J52" s="53" t="s">
        <v>38</v>
      </c>
      <c r="K52" s="108" t="s">
        <v>161</v>
      </c>
      <c r="L52" s="53">
        <v>3</v>
      </c>
      <c r="N52" s="53">
        <v>1</v>
      </c>
      <c r="O52" s="53">
        <v>0.75</v>
      </c>
      <c r="P52" s="53">
        <v>0.7</v>
      </c>
      <c r="Q52" s="110">
        <f t="shared" si="0"/>
        <v>0.72499999999999998</v>
      </c>
      <c r="R52" s="53">
        <v>15.5</v>
      </c>
      <c r="S52" s="53">
        <v>120</v>
      </c>
      <c r="T52" s="16">
        <f t="shared" si="1"/>
        <v>30</v>
      </c>
      <c r="U52" s="53">
        <v>98</v>
      </c>
      <c r="V52" s="16">
        <f t="shared" si="2"/>
        <v>2940</v>
      </c>
      <c r="W52" s="53">
        <v>24</v>
      </c>
      <c r="X52" s="157" t="s">
        <v>46</v>
      </c>
      <c r="Y52" s="53" t="s">
        <v>97</v>
      </c>
      <c r="Z52" s="53" t="s">
        <v>90</v>
      </c>
      <c r="AA52" s="53" t="s">
        <v>78</v>
      </c>
      <c r="AB52" s="53" t="s">
        <v>158</v>
      </c>
    </row>
    <row r="53" spans="1:28" x14ac:dyDescent="0.15">
      <c r="A53" s="53" t="s">
        <v>34</v>
      </c>
      <c r="B53" s="53" t="s">
        <v>157</v>
      </c>
      <c r="C53" s="53">
        <v>2019</v>
      </c>
      <c r="D53" s="165" t="s">
        <v>315</v>
      </c>
      <c r="E53" s="53" t="s">
        <v>133</v>
      </c>
      <c r="F53" s="149" t="s">
        <v>323</v>
      </c>
      <c r="G53" s="152" t="s">
        <v>36</v>
      </c>
      <c r="H53" s="53" t="s">
        <v>160</v>
      </c>
      <c r="I53" s="53" t="s">
        <v>159</v>
      </c>
      <c r="J53" s="53" t="s">
        <v>38</v>
      </c>
      <c r="K53" s="108" t="s">
        <v>161</v>
      </c>
      <c r="L53" s="53">
        <v>1</v>
      </c>
      <c r="N53" s="53">
        <v>8</v>
      </c>
      <c r="O53" s="53">
        <v>0.5</v>
      </c>
      <c r="P53" s="53">
        <v>0.45</v>
      </c>
      <c r="Q53" s="110">
        <f t="shared" si="0"/>
        <v>0.47499999999999998</v>
      </c>
      <c r="R53" s="53">
        <v>16.3</v>
      </c>
      <c r="S53" s="53">
        <v>95</v>
      </c>
      <c r="T53" s="16">
        <f t="shared" si="1"/>
        <v>36</v>
      </c>
      <c r="U53" s="53">
        <v>698</v>
      </c>
      <c r="V53" s="16">
        <f t="shared" si="2"/>
        <v>3141</v>
      </c>
      <c r="W53" s="53">
        <v>24</v>
      </c>
      <c r="X53" s="157" t="s">
        <v>46</v>
      </c>
      <c r="Y53" s="53" t="s">
        <v>97</v>
      </c>
      <c r="Z53" s="53" t="s">
        <v>90</v>
      </c>
      <c r="AA53" s="53" t="s">
        <v>78</v>
      </c>
      <c r="AB53" s="53" t="s">
        <v>158</v>
      </c>
    </row>
    <row r="54" spans="1:28" x14ac:dyDescent="0.15">
      <c r="A54" s="53" t="s">
        <v>34</v>
      </c>
      <c r="B54" s="53" t="s">
        <v>157</v>
      </c>
      <c r="C54" s="53">
        <v>2019</v>
      </c>
      <c r="D54" s="165" t="s">
        <v>315</v>
      </c>
      <c r="E54" s="53" t="s">
        <v>133</v>
      </c>
      <c r="F54" s="149" t="s">
        <v>323</v>
      </c>
      <c r="G54" s="152" t="s">
        <v>36</v>
      </c>
      <c r="H54" s="53" t="s">
        <v>160</v>
      </c>
      <c r="I54" s="53" t="s">
        <v>159</v>
      </c>
      <c r="J54" s="53" t="s">
        <v>38</v>
      </c>
      <c r="K54" s="108" t="s">
        <v>161</v>
      </c>
      <c r="L54" s="53">
        <v>2</v>
      </c>
      <c r="N54" s="53">
        <v>8</v>
      </c>
      <c r="O54" s="53">
        <v>0.45</v>
      </c>
      <c r="P54" s="53">
        <v>0.4</v>
      </c>
      <c r="Q54" s="110">
        <f t="shared" si="0"/>
        <v>0.42500000000000004</v>
      </c>
      <c r="R54" s="53">
        <v>16.7</v>
      </c>
      <c r="S54" s="53">
        <v>93</v>
      </c>
      <c r="T54" s="16">
        <f t="shared" si="1"/>
        <v>36</v>
      </c>
      <c r="U54" s="53">
        <v>698</v>
      </c>
      <c r="V54" s="16">
        <f t="shared" si="2"/>
        <v>3141</v>
      </c>
      <c r="W54" s="53">
        <v>24</v>
      </c>
      <c r="X54" s="157" t="s">
        <v>46</v>
      </c>
      <c r="Y54" s="53" t="s">
        <v>97</v>
      </c>
      <c r="Z54" s="53" t="s">
        <v>90</v>
      </c>
      <c r="AA54" s="53" t="s">
        <v>78</v>
      </c>
      <c r="AB54" s="53" t="s">
        <v>158</v>
      </c>
    </row>
    <row r="55" spans="1:28" x14ac:dyDescent="0.15">
      <c r="A55" s="53" t="s">
        <v>34</v>
      </c>
      <c r="B55" s="53" t="s">
        <v>157</v>
      </c>
      <c r="C55" s="53">
        <v>2019</v>
      </c>
      <c r="D55" s="165" t="s">
        <v>315</v>
      </c>
      <c r="E55" s="53" t="s">
        <v>133</v>
      </c>
      <c r="F55" s="149" t="s">
        <v>323</v>
      </c>
      <c r="G55" s="152" t="s">
        <v>36</v>
      </c>
      <c r="H55" s="53" t="s">
        <v>160</v>
      </c>
      <c r="I55" s="53" t="s">
        <v>159</v>
      </c>
      <c r="J55" s="53" t="s">
        <v>38</v>
      </c>
      <c r="K55" s="108" t="s">
        <v>161</v>
      </c>
      <c r="L55" s="53">
        <v>3</v>
      </c>
      <c r="N55" s="53">
        <v>8</v>
      </c>
      <c r="O55" s="53">
        <v>0.5</v>
      </c>
      <c r="P55" s="53">
        <v>0.45</v>
      </c>
      <c r="Q55" s="110">
        <f t="shared" si="0"/>
        <v>0.47499999999999998</v>
      </c>
      <c r="R55" s="53">
        <v>16.5</v>
      </c>
      <c r="S55" s="53">
        <v>99</v>
      </c>
      <c r="T55" s="16">
        <f t="shared" si="1"/>
        <v>33</v>
      </c>
      <c r="U55" s="53">
        <v>698</v>
      </c>
      <c r="V55" s="16">
        <f t="shared" si="2"/>
        <v>2879.25</v>
      </c>
      <c r="W55" s="53">
        <v>24</v>
      </c>
      <c r="X55" s="157" t="s">
        <v>46</v>
      </c>
      <c r="Y55" s="53" t="s">
        <v>97</v>
      </c>
      <c r="Z55" s="53" t="s">
        <v>90</v>
      </c>
      <c r="AA55" s="53" t="s">
        <v>78</v>
      </c>
      <c r="AB55" s="53" t="s">
        <v>158</v>
      </c>
    </row>
    <row r="56" spans="1:28" x14ac:dyDescent="0.15">
      <c r="A56" s="53" t="s">
        <v>34</v>
      </c>
      <c r="B56" s="53" t="s">
        <v>157</v>
      </c>
      <c r="C56" s="53">
        <v>2019</v>
      </c>
      <c r="D56" s="165" t="s">
        <v>315</v>
      </c>
      <c r="E56" s="53" t="s">
        <v>324</v>
      </c>
      <c r="F56" s="149" t="s">
        <v>325</v>
      </c>
      <c r="G56" s="152" t="s">
        <v>36</v>
      </c>
      <c r="H56" s="53" t="s">
        <v>164</v>
      </c>
      <c r="I56" s="53" t="s">
        <v>159</v>
      </c>
      <c r="J56" s="53" t="s">
        <v>38</v>
      </c>
      <c r="K56" s="108" t="s">
        <v>161</v>
      </c>
      <c r="L56" s="53">
        <v>1</v>
      </c>
      <c r="N56" s="53">
        <v>5</v>
      </c>
      <c r="O56" s="53">
        <v>0.4</v>
      </c>
      <c r="P56" s="53">
        <v>0.5</v>
      </c>
      <c r="Q56" s="110">
        <f t="shared" si="0"/>
        <v>0.45</v>
      </c>
      <c r="R56" s="53">
        <v>14.8</v>
      </c>
      <c r="S56" s="53">
        <v>81</v>
      </c>
      <c r="T56" s="16">
        <f t="shared" si="1"/>
        <v>39</v>
      </c>
      <c r="U56" s="53">
        <v>398</v>
      </c>
      <c r="V56" s="16">
        <f t="shared" si="2"/>
        <v>3104.3999999999996</v>
      </c>
      <c r="W56" s="53">
        <v>4</v>
      </c>
      <c r="X56" s="157" t="s">
        <v>46</v>
      </c>
      <c r="Y56" s="53" t="s">
        <v>78</v>
      </c>
      <c r="Z56" s="53" t="s">
        <v>69</v>
      </c>
      <c r="AA56" s="53" t="s">
        <v>88</v>
      </c>
      <c r="AB56" s="53" t="s">
        <v>158</v>
      </c>
    </row>
    <row r="57" spans="1:28" x14ac:dyDescent="0.15">
      <c r="A57" s="53" t="s">
        <v>34</v>
      </c>
      <c r="B57" s="53" t="s">
        <v>157</v>
      </c>
      <c r="C57" s="53">
        <v>2019</v>
      </c>
      <c r="D57" s="165" t="s">
        <v>315</v>
      </c>
      <c r="E57" s="53" t="s">
        <v>324</v>
      </c>
      <c r="F57" s="149" t="s">
        <v>325</v>
      </c>
      <c r="G57" s="152" t="s">
        <v>36</v>
      </c>
      <c r="H57" s="53" t="s">
        <v>164</v>
      </c>
      <c r="I57" s="53" t="s">
        <v>159</v>
      </c>
      <c r="J57" s="53" t="s">
        <v>38</v>
      </c>
      <c r="K57" s="108" t="s">
        <v>161</v>
      </c>
      <c r="L57" s="53">
        <v>2</v>
      </c>
      <c r="N57" s="53">
        <v>5</v>
      </c>
      <c r="O57" s="53">
        <v>0.45</v>
      </c>
      <c r="P57" s="53">
        <v>0.5</v>
      </c>
      <c r="Q57" s="110">
        <f t="shared" si="0"/>
        <v>0.47499999999999998</v>
      </c>
      <c r="R57" s="53">
        <v>14.8</v>
      </c>
      <c r="S57" s="53">
        <v>80</v>
      </c>
      <c r="T57" s="16">
        <f t="shared" si="1"/>
        <v>39</v>
      </c>
      <c r="U57" s="53">
        <v>398</v>
      </c>
      <c r="V57" s="16">
        <f t="shared" si="2"/>
        <v>3104.3999999999996</v>
      </c>
      <c r="W57" s="53">
        <v>4</v>
      </c>
      <c r="X57" s="157" t="s">
        <v>46</v>
      </c>
      <c r="Y57" s="53" t="s">
        <v>78</v>
      </c>
      <c r="Z57" s="53" t="s">
        <v>69</v>
      </c>
      <c r="AA57" s="53" t="s">
        <v>88</v>
      </c>
      <c r="AB57" s="53" t="s">
        <v>158</v>
      </c>
    </row>
    <row r="58" spans="1:28" x14ac:dyDescent="0.15">
      <c r="A58" s="53" t="s">
        <v>34</v>
      </c>
      <c r="B58" s="53" t="s">
        <v>157</v>
      </c>
      <c r="C58" s="53">
        <v>2019</v>
      </c>
      <c r="D58" s="165" t="s">
        <v>315</v>
      </c>
      <c r="E58" s="53" t="s">
        <v>324</v>
      </c>
      <c r="F58" s="149" t="s">
        <v>325</v>
      </c>
      <c r="G58" s="152" t="s">
        <v>36</v>
      </c>
      <c r="H58" s="53" t="s">
        <v>164</v>
      </c>
      <c r="I58" s="53" t="s">
        <v>159</v>
      </c>
      <c r="J58" s="53" t="s">
        <v>38</v>
      </c>
      <c r="K58" s="108" t="s">
        <v>161</v>
      </c>
      <c r="L58" s="53">
        <v>3</v>
      </c>
      <c r="N58" s="53">
        <v>5</v>
      </c>
      <c r="O58" s="53">
        <v>0.4</v>
      </c>
      <c r="P58" s="53">
        <v>0.45</v>
      </c>
      <c r="Q58" s="110">
        <f t="shared" si="0"/>
        <v>0.42500000000000004</v>
      </c>
      <c r="R58" s="53">
        <v>14.5</v>
      </c>
      <c r="S58" s="53">
        <v>77</v>
      </c>
      <c r="T58" s="16">
        <f t="shared" si="1"/>
        <v>39</v>
      </c>
      <c r="U58" s="53">
        <v>398</v>
      </c>
      <c r="V58" s="16">
        <f t="shared" si="2"/>
        <v>3104.3999999999996</v>
      </c>
      <c r="W58" s="53">
        <v>4</v>
      </c>
      <c r="X58" s="157" t="s">
        <v>46</v>
      </c>
      <c r="Y58" s="53" t="s">
        <v>78</v>
      </c>
      <c r="Z58" s="53" t="s">
        <v>69</v>
      </c>
      <c r="AA58" s="53" t="s">
        <v>88</v>
      </c>
      <c r="AB58" s="53" t="s">
        <v>158</v>
      </c>
    </row>
    <row r="59" spans="1:28" x14ac:dyDescent="0.15">
      <c r="A59" s="53" t="s">
        <v>34</v>
      </c>
      <c r="B59" s="53" t="s">
        <v>157</v>
      </c>
      <c r="C59" s="53">
        <v>2019</v>
      </c>
      <c r="D59" s="165" t="s">
        <v>315</v>
      </c>
      <c r="E59" s="53" t="s">
        <v>324</v>
      </c>
      <c r="F59" s="149" t="s">
        <v>325</v>
      </c>
      <c r="G59" s="152" t="s">
        <v>36</v>
      </c>
      <c r="H59" s="53" t="s">
        <v>160</v>
      </c>
      <c r="I59" s="53" t="s">
        <v>159</v>
      </c>
      <c r="J59" s="53" t="s">
        <v>38</v>
      </c>
      <c r="K59" s="108" t="s">
        <v>161</v>
      </c>
      <c r="L59" s="53">
        <v>1</v>
      </c>
      <c r="N59" s="53">
        <v>1</v>
      </c>
      <c r="O59" s="53">
        <v>0.55000000000000004</v>
      </c>
      <c r="P59" s="53">
        <v>0.55000000000000004</v>
      </c>
      <c r="Q59" s="110">
        <f t="shared" si="0"/>
        <v>0.55000000000000004</v>
      </c>
      <c r="R59" s="53">
        <v>16.8</v>
      </c>
      <c r="S59" s="53">
        <v>134</v>
      </c>
      <c r="T59" s="16">
        <f t="shared" si="1"/>
        <v>30</v>
      </c>
      <c r="U59" s="53">
        <v>158</v>
      </c>
      <c r="V59" s="16">
        <f t="shared" si="2"/>
        <v>4740</v>
      </c>
      <c r="W59" s="53">
        <v>4</v>
      </c>
      <c r="X59" s="157" t="s">
        <v>46</v>
      </c>
      <c r="Y59" s="53" t="s">
        <v>78</v>
      </c>
      <c r="Z59" s="53" t="s">
        <v>69</v>
      </c>
      <c r="AA59" s="53" t="s">
        <v>88</v>
      </c>
      <c r="AB59" s="53" t="s">
        <v>158</v>
      </c>
    </row>
    <row r="60" spans="1:28" x14ac:dyDescent="0.15">
      <c r="A60" s="53" t="s">
        <v>34</v>
      </c>
      <c r="B60" s="53" t="s">
        <v>157</v>
      </c>
      <c r="C60" s="53">
        <v>2019</v>
      </c>
      <c r="D60" s="165" t="s">
        <v>315</v>
      </c>
      <c r="E60" s="53" t="s">
        <v>324</v>
      </c>
      <c r="F60" s="149" t="s">
        <v>325</v>
      </c>
      <c r="G60" s="152" t="s">
        <v>36</v>
      </c>
      <c r="H60" s="53" t="s">
        <v>160</v>
      </c>
      <c r="I60" s="53" t="s">
        <v>159</v>
      </c>
      <c r="J60" s="53" t="s">
        <v>38</v>
      </c>
      <c r="K60" s="108" t="s">
        <v>161</v>
      </c>
      <c r="L60" s="53">
        <v>2</v>
      </c>
      <c r="N60" s="53">
        <v>1</v>
      </c>
      <c r="O60" s="53">
        <v>0.45</v>
      </c>
      <c r="P60" s="53">
        <v>0.5</v>
      </c>
      <c r="Q60" s="110">
        <f t="shared" si="0"/>
        <v>0.47499999999999998</v>
      </c>
      <c r="R60" s="53">
        <v>17.5</v>
      </c>
      <c r="S60" s="53">
        <v>129</v>
      </c>
      <c r="T60" s="16">
        <f t="shared" si="1"/>
        <v>30</v>
      </c>
      <c r="U60" s="53">
        <v>158</v>
      </c>
      <c r="V60" s="16">
        <f t="shared" si="2"/>
        <v>4740</v>
      </c>
      <c r="W60" s="53">
        <v>4</v>
      </c>
      <c r="X60" s="157" t="s">
        <v>46</v>
      </c>
      <c r="Y60" s="53" t="s">
        <v>78</v>
      </c>
      <c r="Z60" s="53" t="s">
        <v>69</v>
      </c>
      <c r="AA60" s="53" t="s">
        <v>88</v>
      </c>
      <c r="AB60" s="53" t="s">
        <v>158</v>
      </c>
    </row>
    <row r="61" spans="1:28" x14ac:dyDescent="0.15">
      <c r="A61" s="53" t="s">
        <v>34</v>
      </c>
      <c r="B61" s="53" t="s">
        <v>157</v>
      </c>
      <c r="C61" s="53">
        <v>2019</v>
      </c>
      <c r="D61" s="165" t="s">
        <v>315</v>
      </c>
      <c r="E61" s="53" t="s">
        <v>324</v>
      </c>
      <c r="F61" s="149" t="s">
        <v>325</v>
      </c>
      <c r="G61" s="152" t="s">
        <v>36</v>
      </c>
      <c r="H61" s="53" t="s">
        <v>160</v>
      </c>
      <c r="I61" s="53" t="s">
        <v>159</v>
      </c>
      <c r="J61" s="53" t="s">
        <v>38</v>
      </c>
      <c r="K61" s="108" t="s">
        <v>161</v>
      </c>
      <c r="L61" s="53">
        <v>3</v>
      </c>
      <c r="N61" s="53">
        <v>1</v>
      </c>
      <c r="O61" s="53">
        <v>0.5</v>
      </c>
      <c r="P61" s="53">
        <v>0.45</v>
      </c>
      <c r="Q61" s="110">
        <f t="shared" si="0"/>
        <v>0.47499999999999998</v>
      </c>
      <c r="R61" s="53">
        <v>17.7</v>
      </c>
      <c r="S61" s="53">
        <v>133</v>
      </c>
      <c r="T61" s="16">
        <f t="shared" si="1"/>
        <v>30</v>
      </c>
      <c r="U61" s="53">
        <v>158</v>
      </c>
      <c r="V61" s="16">
        <f t="shared" si="2"/>
        <v>4740</v>
      </c>
      <c r="W61" s="53">
        <v>4</v>
      </c>
      <c r="X61" s="157" t="s">
        <v>46</v>
      </c>
      <c r="Y61" s="53" t="s">
        <v>78</v>
      </c>
      <c r="Z61" s="53" t="s">
        <v>69</v>
      </c>
      <c r="AA61" s="53" t="s">
        <v>88</v>
      </c>
      <c r="AB61" s="53" t="s">
        <v>158</v>
      </c>
    </row>
    <row r="62" spans="1:28" x14ac:dyDescent="0.15">
      <c r="D62" s="165"/>
      <c r="F62" s="149"/>
      <c r="G62" s="152"/>
      <c r="K62" s="108"/>
      <c r="Q62" s="110" t="str">
        <f t="shared" si="0"/>
        <v/>
      </c>
      <c r="T62" s="16" t="str">
        <f t="shared" si="1"/>
        <v/>
      </c>
      <c r="V62" s="16" t="str">
        <f t="shared" si="2"/>
        <v/>
      </c>
      <c r="X62" s="157"/>
    </row>
    <row r="63" spans="1:28" x14ac:dyDescent="0.15">
      <c r="D63" s="165"/>
      <c r="F63" s="149"/>
      <c r="G63" s="152"/>
      <c r="K63" s="108"/>
      <c r="Q63" s="110" t="str">
        <f t="shared" si="0"/>
        <v/>
      </c>
      <c r="T63" s="16" t="str">
        <f t="shared" si="1"/>
        <v/>
      </c>
      <c r="V63" s="16" t="str">
        <f t="shared" si="2"/>
        <v/>
      </c>
      <c r="X63" s="157"/>
    </row>
    <row r="64" spans="1:28" x14ac:dyDescent="0.15">
      <c r="D64" s="165"/>
      <c r="F64" s="149"/>
      <c r="G64" s="152"/>
      <c r="K64" s="108"/>
      <c r="Q64" s="110" t="str">
        <f t="shared" si="0"/>
        <v/>
      </c>
      <c r="T64" s="16" t="str">
        <f t="shared" si="1"/>
        <v/>
      </c>
      <c r="V64" s="16" t="str">
        <f t="shared" si="2"/>
        <v/>
      </c>
      <c r="X64" s="157"/>
    </row>
    <row r="65" spans="4:24" x14ac:dyDescent="0.15">
      <c r="D65" s="165"/>
      <c r="F65" s="149"/>
      <c r="G65" s="152"/>
      <c r="K65" s="108"/>
      <c r="Q65" s="110" t="str">
        <f t="shared" si="0"/>
        <v/>
      </c>
      <c r="T65" s="16" t="str">
        <f t="shared" si="1"/>
        <v/>
      </c>
      <c r="V65" s="16" t="str">
        <f t="shared" si="2"/>
        <v/>
      </c>
      <c r="X65" s="157"/>
    </row>
    <row r="66" spans="4:24" x14ac:dyDescent="0.15">
      <c r="D66" s="165"/>
      <c r="F66" s="149"/>
      <c r="G66" s="152"/>
      <c r="K66" s="108"/>
      <c r="Q66" s="110" t="str">
        <f t="shared" ref="Q66:Q91" si="3">IF(OR(O66="",P66=""),"",AVERAGE(O66,P66))</f>
        <v/>
      </c>
      <c r="T66" s="16" t="str">
        <f t="shared" ref="T66:T91" si="4">IF(H66="","",IF(OR(H66="GREEN",H66="GK"),IF(S66&gt;=$AX$2,VLOOKUP(S66,$AX$2:$AY$7,2,1),""),IF(S66&gt;=$AZ$2,VLOOKUP(S66,$AZ$2:$BA$7,2,1),"")))</f>
        <v/>
      </c>
      <c r="V66" s="16" t="str">
        <f t="shared" ref="V66:V91" si="5">IF(OR(N66="",U66="",T66=""),"",U66/N66*T66)</f>
        <v/>
      </c>
      <c r="X66" s="157"/>
    </row>
    <row r="67" spans="4:24" x14ac:dyDescent="0.15">
      <c r="D67" s="165"/>
      <c r="F67" s="149"/>
      <c r="G67" s="152"/>
      <c r="K67" s="108"/>
      <c r="Q67" s="110" t="str">
        <f t="shared" si="3"/>
        <v/>
      </c>
      <c r="T67" s="16" t="str">
        <f t="shared" si="4"/>
        <v/>
      </c>
      <c r="V67" s="16" t="str">
        <f t="shared" si="5"/>
        <v/>
      </c>
      <c r="X67" s="157"/>
    </row>
    <row r="68" spans="4:24" x14ac:dyDescent="0.15">
      <c r="D68" s="165"/>
      <c r="F68" s="149"/>
      <c r="G68" s="152"/>
      <c r="K68" s="108"/>
      <c r="Q68" s="110" t="str">
        <f t="shared" si="3"/>
        <v/>
      </c>
      <c r="T68" s="16" t="str">
        <f t="shared" si="4"/>
        <v/>
      </c>
      <c r="V68" s="16" t="str">
        <f t="shared" si="5"/>
        <v/>
      </c>
      <c r="X68" s="157"/>
    </row>
    <row r="69" spans="4:24" x14ac:dyDescent="0.15">
      <c r="D69" s="165"/>
      <c r="F69" s="149"/>
      <c r="G69" s="152"/>
      <c r="K69" s="108"/>
      <c r="Q69" s="110" t="str">
        <f t="shared" si="3"/>
        <v/>
      </c>
      <c r="T69" s="16" t="str">
        <f t="shared" si="4"/>
        <v/>
      </c>
      <c r="V69" s="16" t="str">
        <f t="shared" si="5"/>
        <v/>
      </c>
      <c r="X69" s="157"/>
    </row>
    <row r="70" spans="4:24" x14ac:dyDescent="0.15">
      <c r="D70" s="165"/>
      <c r="F70" s="149"/>
      <c r="G70" s="152"/>
      <c r="K70" s="108"/>
      <c r="Q70" s="110" t="str">
        <f t="shared" si="3"/>
        <v/>
      </c>
      <c r="T70" s="16" t="str">
        <f t="shared" si="4"/>
        <v/>
      </c>
      <c r="V70" s="16" t="str">
        <f t="shared" si="5"/>
        <v/>
      </c>
      <c r="X70" s="157"/>
    </row>
    <row r="71" spans="4:24" x14ac:dyDescent="0.15">
      <c r="D71" s="165"/>
      <c r="F71" s="149"/>
      <c r="G71" s="152"/>
      <c r="K71" s="108"/>
      <c r="Q71" s="110" t="str">
        <f t="shared" si="3"/>
        <v/>
      </c>
      <c r="T71" s="16" t="str">
        <f t="shared" si="4"/>
        <v/>
      </c>
      <c r="V71" s="16" t="str">
        <f t="shared" si="5"/>
        <v/>
      </c>
      <c r="X71" s="157"/>
    </row>
    <row r="72" spans="4:24" x14ac:dyDescent="0.15">
      <c r="D72" s="165"/>
      <c r="F72" s="149"/>
      <c r="G72" s="152"/>
      <c r="K72" s="108"/>
      <c r="Q72" s="110" t="str">
        <f t="shared" si="3"/>
        <v/>
      </c>
      <c r="T72" s="16" t="str">
        <f t="shared" si="4"/>
        <v/>
      </c>
      <c r="V72" s="16" t="str">
        <f t="shared" si="5"/>
        <v/>
      </c>
      <c r="X72" s="157"/>
    </row>
    <row r="73" spans="4:24" x14ac:dyDescent="0.15">
      <c r="D73" s="165"/>
      <c r="F73" s="149"/>
      <c r="G73" s="152"/>
      <c r="K73" s="108"/>
      <c r="Q73" s="110" t="str">
        <f t="shared" si="3"/>
        <v/>
      </c>
      <c r="T73" s="16" t="str">
        <f t="shared" si="4"/>
        <v/>
      </c>
      <c r="V73" s="16" t="str">
        <f t="shared" si="5"/>
        <v/>
      </c>
      <c r="X73" s="157"/>
    </row>
    <row r="74" spans="4:24" x14ac:dyDescent="0.15">
      <c r="D74" s="165"/>
      <c r="F74" s="149"/>
      <c r="G74" s="152"/>
      <c r="K74" s="108"/>
      <c r="Q74" s="110" t="str">
        <f t="shared" si="3"/>
        <v/>
      </c>
      <c r="T74" s="16" t="str">
        <f t="shared" si="4"/>
        <v/>
      </c>
      <c r="V74" s="16" t="str">
        <f t="shared" si="5"/>
        <v/>
      </c>
      <c r="X74" s="157"/>
    </row>
    <row r="75" spans="4:24" x14ac:dyDescent="0.15">
      <c r="D75" s="165"/>
      <c r="F75" s="149"/>
      <c r="G75" s="152"/>
      <c r="K75" s="108"/>
      <c r="Q75" s="110" t="str">
        <f t="shared" si="3"/>
        <v/>
      </c>
      <c r="T75" s="16" t="str">
        <f t="shared" si="4"/>
        <v/>
      </c>
      <c r="V75" s="16" t="str">
        <f t="shared" si="5"/>
        <v/>
      </c>
      <c r="X75" s="157"/>
    </row>
    <row r="76" spans="4:24" x14ac:dyDescent="0.15">
      <c r="D76" s="165"/>
      <c r="F76" s="149"/>
      <c r="G76" s="152"/>
      <c r="K76" s="108"/>
      <c r="Q76" s="110" t="str">
        <f t="shared" si="3"/>
        <v/>
      </c>
      <c r="T76" s="16" t="str">
        <f t="shared" si="4"/>
        <v/>
      </c>
      <c r="V76" s="16" t="str">
        <f t="shared" si="5"/>
        <v/>
      </c>
      <c r="X76" s="157"/>
    </row>
    <row r="77" spans="4:24" x14ac:dyDescent="0.15">
      <c r="D77" s="165"/>
      <c r="F77" s="149"/>
      <c r="G77" s="152"/>
      <c r="K77" s="108"/>
      <c r="Q77" s="110" t="str">
        <f t="shared" si="3"/>
        <v/>
      </c>
      <c r="T77" s="16" t="str">
        <f t="shared" si="4"/>
        <v/>
      </c>
      <c r="V77" s="16" t="str">
        <f t="shared" si="5"/>
        <v/>
      </c>
      <c r="X77" s="157"/>
    </row>
    <row r="78" spans="4:24" x14ac:dyDescent="0.15">
      <c r="D78" s="165"/>
      <c r="F78" s="149"/>
      <c r="G78" s="152"/>
      <c r="K78" s="108"/>
      <c r="Q78" s="110" t="str">
        <f t="shared" si="3"/>
        <v/>
      </c>
      <c r="T78" s="16" t="str">
        <f t="shared" si="4"/>
        <v/>
      </c>
      <c r="V78" s="16" t="str">
        <f t="shared" si="5"/>
        <v/>
      </c>
      <c r="X78" s="157"/>
    </row>
    <row r="79" spans="4:24" x14ac:dyDescent="0.15">
      <c r="D79" s="165"/>
      <c r="F79" s="149"/>
      <c r="G79" s="152"/>
      <c r="K79" s="108"/>
      <c r="Q79" s="110" t="str">
        <f t="shared" si="3"/>
        <v/>
      </c>
      <c r="T79" s="16" t="str">
        <f t="shared" si="4"/>
        <v/>
      </c>
      <c r="V79" s="16" t="str">
        <f t="shared" si="5"/>
        <v/>
      </c>
      <c r="X79" s="157"/>
    </row>
    <row r="80" spans="4:24" x14ac:dyDescent="0.15">
      <c r="K80" s="108"/>
      <c r="Q80" s="110" t="str">
        <f t="shared" si="3"/>
        <v/>
      </c>
      <c r="T80" s="16" t="str">
        <f t="shared" si="4"/>
        <v/>
      </c>
      <c r="V80" s="16" t="str">
        <f t="shared" si="5"/>
        <v/>
      </c>
    </row>
    <row r="81" spans="11:22" x14ac:dyDescent="0.15">
      <c r="K81" s="108"/>
      <c r="Q81" s="110" t="str">
        <f t="shared" si="3"/>
        <v/>
      </c>
      <c r="T81" s="16" t="str">
        <f t="shared" si="4"/>
        <v/>
      </c>
      <c r="V81" s="16" t="str">
        <f t="shared" si="5"/>
        <v/>
      </c>
    </row>
    <row r="82" spans="11:22" x14ac:dyDescent="0.15">
      <c r="K82" s="108"/>
      <c r="Q82" s="110" t="str">
        <f t="shared" si="3"/>
        <v/>
      </c>
      <c r="T82" s="16" t="str">
        <f t="shared" si="4"/>
        <v/>
      </c>
      <c r="V82" s="16" t="str">
        <f t="shared" si="5"/>
        <v/>
      </c>
    </row>
    <row r="83" spans="11:22" x14ac:dyDescent="0.15">
      <c r="K83" s="108"/>
      <c r="Q83" s="110" t="str">
        <f t="shared" si="3"/>
        <v/>
      </c>
      <c r="T83" s="16" t="str">
        <f t="shared" si="4"/>
        <v/>
      </c>
      <c r="V83" s="16" t="str">
        <f t="shared" si="5"/>
        <v/>
      </c>
    </row>
    <row r="84" spans="11:22" x14ac:dyDescent="0.15">
      <c r="K84" s="108"/>
      <c r="Q84" s="110" t="str">
        <f t="shared" si="3"/>
        <v/>
      </c>
      <c r="T84" s="16" t="str">
        <f t="shared" si="4"/>
        <v/>
      </c>
      <c r="V84" s="16" t="str">
        <f t="shared" si="5"/>
        <v/>
      </c>
    </row>
    <row r="85" spans="11:22" x14ac:dyDescent="0.15">
      <c r="K85" s="108"/>
      <c r="Q85" s="110" t="str">
        <f t="shared" si="3"/>
        <v/>
      </c>
      <c r="T85" s="16" t="str">
        <f t="shared" si="4"/>
        <v/>
      </c>
      <c r="V85" s="16" t="str">
        <f t="shared" si="5"/>
        <v/>
      </c>
    </row>
    <row r="86" spans="11:22" x14ac:dyDescent="0.15">
      <c r="K86" s="108"/>
      <c r="Q86" s="110" t="str">
        <f t="shared" si="3"/>
        <v/>
      </c>
      <c r="T86" s="16" t="str">
        <f t="shared" si="4"/>
        <v/>
      </c>
      <c r="V86" s="16" t="str">
        <f t="shared" si="5"/>
        <v/>
      </c>
    </row>
    <row r="87" spans="11:22" x14ac:dyDescent="0.15">
      <c r="K87" s="108"/>
      <c r="Q87" s="110" t="str">
        <f t="shared" si="3"/>
        <v/>
      </c>
      <c r="T87" s="16" t="str">
        <f t="shared" si="4"/>
        <v/>
      </c>
      <c r="V87" s="16" t="str">
        <f t="shared" si="5"/>
        <v/>
      </c>
    </row>
    <row r="88" spans="11:22" x14ac:dyDescent="0.15">
      <c r="K88" s="108"/>
      <c r="Q88" s="110" t="str">
        <f t="shared" si="3"/>
        <v/>
      </c>
      <c r="T88" s="16" t="str">
        <f t="shared" si="4"/>
        <v/>
      </c>
      <c r="V88" s="16" t="str">
        <f t="shared" si="5"/>
        <v/>
      </c>
    </row>
    <row r="89" spans="11:22" x14ac:dyDescent="0.15">
      <c r="K89" s="108"/>
      <c r="Q89" s="110" t="str">
        <f t="shared" si="3"/>
        <v/>
      </c>
      <c r="T89" s="16" t="str">
        <f t="shared" si="4"/>
        <v/>
      </c>
      <c r="V89" s="16" t="str">
        <f t="shared" si="5"/>
        <v/>
      </c>
    </row>
    <row r="90" spans="11:22" x14ac:dyDescent="0.15">
      <c r="K90" s="108"/>
      <c r="Q90" s="110" t="str">
        <f t="shared" si="3"/>
        <v/>
      </c>
      <c r="T90" s="16" t="str">
        <f t="shared" si="4"/>
        <v/>
      </c>
      <c r="V90" s="16" t="str">
        <f t="shared" si="5"/>
        <v/>
      </c>
    </row>
    <row r="91" spans="11:22" x14ac:dyDescent="0.15">
      <c r="K91" s="108"/>
      <c r="Q91" s="110" t="str">
        <f t="shared" si="3"/>
        <v/>
      </c>
      <c r="T91" s="16" t="str">
        <f t="shared" si="4"/>
        <v/>
      </c>
      <c r="V91" s="16" t="str">
        <f t="shared" si="5"/>
        <v/>
      </c>
    </row>
    <row r="92" spans="11:22" x14ac:dyDescent="0.15">
      <c r="K92" s="108"/>
      <c r="Q92" s="110"/>
    </row>
    <row r="93" spans="11:22" x14ac:dyDescent="0.15">
      <c r="K93" s="108"/>
      <c r="Q93" s="110"/>
    </row>
    <row r="94" spans="11:22" x14ac:dyDescent="0.15">
      <c r="K94" s="108"/>
      <c r="Q94" s="110"/>
    </row>
    <row r="95" spans="11:22" x14ac:dyDescent="0.15">
      <c r="K95" s="108"/>
      <c r="Q95" s="110"/>
    </row>
    <row r="96" spans="11:22" x14ac:dyDescent="0.15">
      <c r="K96" s="108"/>
      <c r="Q96" s="110"/>
    </row>
    <row r="97" spans="11:17" x14ac:dyDescent="0.15">
      <c r="K97" s="108"/>
      <c r="Q97" s="110"/>
    </row>
    <row r="98" spans="11:17" x14ac:dyDescent="0.15">
      <c r="K98" s="108"/>
      <c r="Q98" s="110"/>
    </row>
    <row r="99" spans="11:17" x14ac:dyDescent="0.15">
      <c r="K99" s="108"/>
      <c r="Q99" s="110"/>
    </row>
    <row r="100" spans="11:17" x14ac:dyDescent="0.15">
      <c r="K100" s="108"/>
      <c r="Q100" s="110"/>
    </row>
    <row r="101" spans="11:17" x14ac:dyDescent="0.15">
      <c r="K101" s="108"/>
      <c r="Q101" s="110"/>
    </row>
    <row r="102" spans="11:17" x14ac:dyDescent="0.15">
      <c r="K102" s="108"/>
      <c r="Q102" s="110"/>
    </row>
    <row r="103" spans="11:17" x14ac:dyDescent="0.15">
      <c r="K103" s="108"/>
      <c r="Q103" s="110"/>
    </row>
    <row r="104" spans="11:17" x14ac:dyDescent="0.15">
      <c r="K104" s="108"/>
      <c r="Q104" s="110"/>
    </row>
    <row r="105" spans="11:17" x14ac:dyDescent="0.15">
      <c r="K105" s="108"/>
      <c r="Q105" s="110"/>
    </row>
    <row r="106" spans="11:17" x14ac:dyDescent="0.15">
      <c r="K106" s="108"/>
      <c r="Q106" s="110"/>
    </row>
    <row r="107" spans="11:17" x14ac:dyDescent="0.15">
      <c r="K107" s="108"/>
      <c r="Q107" s="110"/>
    </row>
    <row r="108" spans="11:17" x14ac:dyDescent="0.15">
      <c r="K108" s="108"/>
      <c r="Q108" s="110"/>
    </row>
    <row r="109" spans="11:17" x14ac:dyDescent="0.15">
      <c r="K109" s="108"/>
      <c r="Q109" s="110"/>
    </row>
    <row r="110" spans="11:17" x14ac:dyDescent="0.15">
      <c r="K110" s="108"/>
      <c r="Q110" s="110"/>
    </row>
    <row r="111" spans="11:17" x14ac:dyDescent="0.15">
      <c r="K111" s="108"/>
      <c r="Q111" s="110"/>
    </row>
    <row r="112" spans="11:17" x14ac:dyDescent="0.15">
      <c r="K112" s="108"/>
      <c r="Q112" s="110"/>
    </row>
    <row r="113" spans="11:17" x14ac:dyDescent="0.15">
      <c r="K113" s="108"/>
      <c r="Q113" s="110"/>
    </row>
    <row r="114" spans="11:17" x14ac:dyDescent="0.15">
      <c r="K114" s="108"/>
      <c r="Q114" s="110"/>
    </row>
    <row r="115" spans="11:17" x14ac:dyDescent="0.15">
      <c r="K115" s="108"/>
      <c r="Q115" s="110"/>
    </row>
    <row r="116" spans="11:17" x14ac:dyDescent="0.15">
      <c r="K116" s="108"/>
      <c r="Q116" s="110"/>
    </row>
    <row r="117" spans="11:17" x14ac:dyDescent="0.15">
      <c r="K117" s="108"/>
      <c r="Q117" s="110"/>
    </row>
    <row r="118" spans="11:17" x14ac:dyDescent="0.15">
      <c r="K118" s="108"/>
      <c r="Q118" s="110"/>
    </row>
    <row r="119" spans="11:17" x14ac:dyDescent="0.15">
      <c r="K119" s="108"/>
      <c r="Q119" s="110"/>
    </row>
    <row r="120" spans="11:17" x14ac:dyDescent="0.15">
      <c r="K120" s="108"/>
      <c r="Q120" s="110"/>
    </row>
    <row r="121" spans="11:17" x14ac:dyDescent="0.15">
      <c r="K121" s="108"/>
      <c r="Q121" s="110"/>
    </row>
    <row r="122" spans="11:17" x14ac:dyDescent="0.15">
      <c r="K122" s="108"/>
      <c r="Q122" s="110"/>
    </row>
    <row r="123" spans="11:17" x14ac:dyDescent="0.15">
      <c r="K123" s="108"/>
      <c r="Q123" s="110"/>
    </row>
    <row r="124" spans="11:17" x14ac:dyDescent="0.15">
      <c r="K124" s="108"/>
      <c r="Q124" s="110"/>
    </row>
    <row r="125" spans="11:17" x14ac:dyDescent="0.15">
      <c r="K125" s="108"/>
      <c r="Q125" s="110"/>
    </row>
    <row r="126" spans="11:17" x14ac:dyDescent="0.15">
      <c r="K126" s="108"/>
      <c r="Q126" s="110"/>
    </row>
    <row r="127" spans="11:17" x14ac:dyDescent="0.15">
      <c r="K127" s="108"/>
      <c r="Q127" s="110"/>
    </row>
    <row r="128" spans="11:17" x14ac:dyDescent="0.15">
      <c r="K128" s="108"/>
      <c r="Q128" s="110"/>
    </row>
    <row r="129" spans="11:17" x14ac:dyDescent="0.15">
      <c r="K129" s="108"/>
      <c r="Q129" s="110"/>
    </row>
    <row r="130" spans="11:17" x14ac:dyDescent="0.15">
      <c r="K130" s="108"/>
      <c r="Q130" s="110"/>
    </row>
    <row r="131" spans="11:17" x14ac:dyDescent="0.15">
      <c r="K131" s="108"/>
      <c r="Q131" s="110"/>
    </row>
    <row r="132" spans="11:17" x14ac:dyDescent="0.15">
      <c r="K132" s="108"/>
      <c r="Q132" s="110"/>
    </row>
    <row r="133" spans="11:17" x14ac:dyDescent="0.15">
      <c r="K133" s="108"/>
      <c r="Q133" s="110"/>
    </row>
    <row r="134" spans="11:17" x14ac:dyDescent="0.15">
      <c r="K134" s="108"/>
      <c r="Q134" s="110"/>
    </row>
    <row r="135" spans="11:17" x14ac:dyDescent="0.15">
      <c r="K135" s="108"/>
      <c r="Q135" s="110"/>
    </row>
    <row r="136" spans="11:17" x14ac:dyDescent="0.15">
      <c r="K136" s="108"/>
      <c r="Q136" s="110"/>
    </row>
    <row r="137" spans="11:17" x14ac:dyDescent="0.15">
      <c r="K137" s="108"/>
      <c r="Q137" s="110"/>
    </row>
    <row r="138" spans="11:17" x14ac:dyDescent="0.15">
      <c r="K138" s="108"/>
      <c r="Q138" s="110"/>
    </row>
    <row r="139" spans="11:17" x14ac:dyDescent="0.15">
      <c r="K139" s="108"/>
      <c r="Q139" s="110"/>
    </row>
    <row r="140" spans="11:17" x14ac:dyDescent="0.15">
      <c r="K140" s="108"/>
      <c r="Q140" s="110"/>
    </row>
    <row r="141" spans="11:17" x14ac:dyDescent="0.15">
      <c r="K141" s="108"/>
      <c r="Q141" s="110"/>
    </row>
    <row r="142" spans="11:17" x14ac:dyDescent="0.15">
      <c r="K142" s="108"/>
      <c r="Q142" s="110"/>
    </row>
    <row r="143" spans="11:17" x14ac:dyDescent="0.15">
      <c r="K143" s="108"/>
      <c r="Q143" s="110"/>
    </row>
    <row r="144" spans="11:17" x14ac:dyDescent="0.15">
      <c r="K144" s="108"/>
      <c r="Q144" s="110"/>
    </row>
    <row r="145" spans="11:17" x14ac:dyDescent="0.15">
      <c r="K145" s="108"/>
      <c r="Q145" s="110"/>
    </row>
    <row r="146" spans="11:17" x14ac:dyDescent="0.15">
      <c r="K146" s="108"/>
      <c r="Q146" s="110"/>
    </row>
    <row r="147" spans="11:17" x14ac:dyDescent="0.15">
      <c r="K147" s="108"/>
      <c r="Q147" s="110"/>
    </row>
    <row r="148" spans="11:17" x14ac:dyDescent="0.15">
      <c r="K148" s="108"/>
      <c r="Q148" s="110"/>
    </row>
    <row r="149" spans="11:17" x14ac:dyDescent="0.15">
      <c r="K149" s="108"/>
      <c r="Q149" s="110"/>
    </row>
    <row r="150" spans="11:17" x14ac:dyDescent="0.15">
      <c r="K150" s="108"/>
      <c r="Q150" s="110"/>
    </row>
    <row r="151" spans="11:17" x14ac:dyDescent="0.15">
      <c r="K151" s="108"/>
      <c r="Q151" s="110"/>
    </row>
    <row r="152" spans="11:17" x14ac:dyDescent="0.15">
      <c r="K152" s="108"/>
      <c r="Q152" s="110"/>
    </row>
    <row r="153" spans="11:17" x14ac:dyDescent="0.15">
      <c r="K153" s="108"/>
      <c r="Q153" s="110"/>
    </row>
    <row r="154" spans="11:17" x14ac:dyDescent="0.15">
      <c r="K154" s="108"/>
      <c r="Q154" s="110"/>
    </row>
    <row r="155" spans="11:17" x14ac:dyDescent="0.15">
      <c r="K155" s="108"/>
      <c r="Q155" s="110"/>
    </row>
    <row r="156" spans="11:17" x14ac:dyDescent="0.15">
      <c r="K156" s="108"/>
      <c r="Q156" s="110"/>
    </row>
    <row r="157" spans="11:17" x14ac:dyDescent="0.15">
      <c r="K157" s="108"/>
      <c r="Q157" s="110"/>
    </row>
    <row r="158" spans="11:17" x14ac:dyDescent="0.15">
      <c r="K158" s="108"/>
      <c r="Q158" s="110"/>
    </row>
    <row r="159" spans="11:17" x14ac:dyDescent="0.15">
      <c r="K159" s="108"/>
      <c r="Q159" s="110"/>
    </row>
    <row r="160" spans="11:17" x14ac:dyDescent="0.15">
      <c r="K160" s="108"/>
      <c r="Q160" s="110"/>
    </row>
    <row r="161" spans="11:17" x14ac:dyDescent="0.15">
      <c r="K161" s="108"/>
      <c r="Q161" s="110"/>
    </row>
    <row r="162" spans="11:17" x14ac:dyDescent="0.15">
      <c r="K162" s="108"/>
      <c r="Q162" s="110"/>
    </row>
    <row r="163" spans="11:17" x14ac:dyDescent="0.15">
      <c r="K163" s="108"/>
      <c r="Q163" s="110"/>
    </row>
    <row r="164" spans="11:17" x14ac:dyDescent="0.15">
      <c r="K164" s="108"/>
      <c r="Q164" s="110"/>
    </row>
    <row r="165" spans="11:17" x14ac:dyDescent="0.15">
      <c r="K165" s="108"/>
      <c r="Q165" s="110"/>
    </row>
    <row r="166" spans="11:17" x14ac:dyDescent="0.15">
      <c r="K166" s="108"/>
      <c r="Q166" s="110"/>
    </row>
    <row r="167" spans="11:17" x14ac:dyDescent="0.15">
      <c r="K167" s="108"/>
      <c r="Q167" s="110"/>
    </row>
    <row r="168" spans="11:17" x14ac:dyDescent="0.15">
      <c r="K168" s="108"/>
      <c r="Q168" s="110"/>
    </row>
    <row r="169" spans="11:17" x14ac:dyDescent="0.15">
      <c r="K169" s="108"/>
      <c r="Q169" s="110"/>
    </row>
    <row r="170" spans="11:17" x14ac:dyDescent="0.15">
      <c r="K170" s="108"/>
      <c r="Q170" s="110"/>
    </row>
    <row r="171" spans="11:17" x14ac:dyDescent="0.15">
      <c r="K171" s="108"/>
      <c r="Q171" s="110"/>
    </row>
    <row r="172" spans="11:17" x14ac:dyDescent="0.15">
      <c r="K172" s="108"/>
      <c r="Q172" s="110"/>
    </row>
    <row r="173" spans="11:17" x14ac:dyDescent="0.15">
      <c r="K173" s="108"/>
      <c r="Q173" s="110"/>
    </row>
    <row r="174" spans="11:17" x14ac:dyDescent="0.15">
      <c r="K174" s="108"/>
      <c r="Q174" s="110"/>
    </row>
    <row r="175" spans="11:17" x14ac:dyDescent="0.15">
      <c r="K175" s="108"/>
      <c r="Q175" s="110"/>
    </row>
    <row r="176" spans="11:17" x14ac:dyDescent="0.15">
      <c r="K176" s="108"/>
      <c r="Q176" s="110"/>
    </row>
    <row r="177" spans="11:17" x14ac:dyDescent="0.15">
      <c r="K177" s="108"/>
      <c r="Q177" s="110"/>
    </row>
    <row r="178" spans="11:17" x14ac:dyDescent="0.15">
      <c r="K178" s="108"/>
      <c r="Q178" s="110"/>
    </row>
    <row r="179" spans="11:17" x14ac:dyDescent="0.15">
      <c r="K179" s="108"/>
      <c r="Q179" s="110"/>
    </row>
    <row r="180" spans="11:17" x14ac:dyDescent="0.15">
      <c r="K180" s="108"/>
      <c r="Q180" s="110"/>
    </row>
    <row r="181" spans="11:17" x14ac:dyDescent="0.15">
      <c r="K181" s="108"/>
      <c r="Q181" s="110"/>
    </row>
    <row r="182" spans="11:17" x14ac:dyDescent="0.15">
      <c r="K182" s="108"/>
      <c r="Q182" s="110"/>
    </row>
    <row r="183" spans="11:17" x14ac:dyDescent="0.15">
      <c r="K183" s="108"/>
      <c r="Q183" s="110"/>
    </row>
    <row r="184" spans="11:17" x14ac:dyDescent="0.15">
      <c r="K184" s="108"/>
      <c r="Q184" s="110"/>
    </row>
    <row r="185" spans="11:17" x14ac:dyDescent="0.15">
      <c r="K185" s="108"/>
      <c r="Q185" s="110"/>
    </row>
    <row r="186" spans="11:17" x14ac:dyDescent="0.15">
      <c r="K186" s="108"/>
      <c r="Q186" s="110"/>
    </row>
    <row r="187" spans="11:17" x14ac:dyDescent="0.15">
      <c r="K187" s="108"/>
      <c r="Q187" s="110"/>
    </row>
    <row r="188" spans="11:17" x14ac:dyDescent="0.15">
      <c r="K188" s="108"/>
      <c r="Q188" s="110"/>
    </row>
    <row r="189" spans="11:17" x14ac:dyDescent="0.15">
      <c r="K189" s="108"/>
      <c r="Q189" s="110"/>
    </row>
    <row r="190" spans="11:17" x14ac:dyDescent="0.15">
      <c r="K190" s="108"/>
      <c r="Q190" s="110"/>
    </row>
    <row r="191" spans="11:17" x14ac:dyDescent="0.15">
      <c r="K191" s="108"/>
      <c r="Q191" s="110"/>
    </row>
    <row r="192" spans="11:17" x14ac:dyDescent="0.15">
      <c r="K192" s="108"/>
      <c r="Q192" s="110"/>
    </row>
    <row r="193" spans="11:17" x14ac:dyDescent="0.15">
      <c r="K193" s="108"/>
      <c r="Q193" s="110"/>
    </row>
    <row r="194" spans="11:17" x14ac:dyDescent="0.15">
      <c r="K194" s="108"/>
      <c r="Q194" s="110"/>
    </row>
    <row r="195" spans="11:17" x14ac:dyDescent="0.15">
      <c r="K195" s="108"/>
      <c r="Q195" s="110"/>
    </row>
    <row r="196" spans="11:17" x14ac:dyDescent="0.15">
      <c r="K196" s="108"/>
      <c r="Q196" s="110"/>
    </row>
    <row r="197" spans="11:17" x14ac:dyDescent="0.15">
      <c r="K197" s="108"/>
      <c r="Q197" s="110"/>
    </row>
    <row r="198" spans="11:17" x14ac:dyDescent="0.15">
      <c r="K198" s="108"/>
      <c r="Q198" s="110"/>
    </row>
    <row r="199" spans="11:17" x14ac:dyDescent="0.15">
      <c r="K199" s="108"/>
      <c r="Q199" s="110"/>
    </row>
    <row r="200" spans="11:17" x14ac:dyDescent="0.15">
      <c r="K200" s="108"/>
      <c r="Q200" s="110"/>
    </row>
    <row r="201" spans="11:17" x14ac:dyDescent="0.15">
      <c r="K201" s="108"/>
      <c r="Q201" s="110"/>
    </row>
    <row r="202" spans="11:17" x14ac:dyDescent="0.15">
      <c r="K202" s="108"/>
      <c r="Q202" s="110"/>
    </row>
    <row r="203" spans="11:17" x14ac:dyDescent="0.15">
      <c r="K203" s="108"/>
      <c r="Q203" s="110"/>
    </row>
    <row r="204" spans="11:17" x14ac:dyDescent="0.15">
      <c r="K204" s="108"/>
      <c r="Q204" s="110"/>
    </row>
    <row r="205" spans="11:17" x14ac:dyDescent="0.15">
      <c r="K205" s="108"/>
      <c r="Q205" s="110"/>
    </row>
    <row r="206" spans="11:17" x14ac:dyDescent="0.15">
      <c r="K206" s="108"/>
      <c r="Q206" s="110"/>
    </row>
    <row r="207" spans="11:17" x14ac:dyDescent="0.15">
      <c r="K207" s="108"/>
      <c r="Q207" s="110"/>
    </row>
    <row r="208" spans="11:17" x14ac:dyDescent="0.15">
      <c r="K208" s="108"/>
      <c r="Q208" s="110"/>
    </row>
    <row r="209" spans="11:17" x14ac:dyDescent="0.15">
      <c r="K209" s="108"/>
      <c r="Q209" s="110"/>
    </row>
    <row r="210" spans="11:17" x14ac:dyDescent="0.15">
      <c r="K210" s="108"/>
      <c r="Q210" s="110"/>
    </row>
    <row r="211" spans="11:17" x14ac:dyDescent="0.15">
      <c r="K211" s="108"/>
      <c r="Q211" s="110"/>
    </row>
    <row r="212" spans="11:17" x14ac:dyDescent="0.15">
      <c r="K212" s="108"/>
      <c r="Q212" s="110"/>
    </row>
    <row r="213" spans="11:17" x14ac:dyDescent="0.15">
      <c r="K213" s="108"/>
      <c r="Q213" s="110"/>
    </row>
    <row r="214" spans="11:17" x14ac:dyDescent="0.15">
      <c r="K214" s="108"/>
      <c r="Q214" s="110"/>
    </row>
    <row r="215" spans="11:17" x14ac:dyDescent="0.15">
      <c r="K215" s="108"/>
      <c r="Q215" s="110"/>
    </row>
    <row r="216" spans="11:17" x14ac:dyDescent="0.15">
      <c r="K216" s="108"/>
      <c r="Q216" s="110"/>
    </row>
    <row r="217" spans="11:17" x14ac:dyDescent="0.15">
      <c r="K217" s="108"/>
      <c r="Q217" s="110"/>
    </row>
    <row r="218" spans="11:17" x14ac:dyDescent="0.15">
      <c r="K218" s="108"/>
      <c r="Q218" s="110"/>
    </row>
    <row r="219" spans="11:17" x14ac:dyDescent="0.15">
      <c r="K219" s="108"/>
      <c r="Q219" s="110"/>
    </row>
    <row r="220" spans="11:17" x14ac:dyDescent="0.15">
      <c r="K220" s="108"/>
      <c r="Q220" s="110"/>
    </row>
    <row r="221" spans="11:17" x14ac:dyDescent="0.15">
      <c r="K221" s="108"/>
      <c r="Q221" s="110"/>
    </row>
    <row r="222" spans="11:17" x14ac:dyDescent="0.15">
      <c r="K222" s="108"/>
      <c r="Q222" s="110"/>
    </row>
    <row r="223" spans="11:17" x14ac:dyDescent="0.15">
      <c r="K223" s="108"/>
      <c r="Q223" s="110"/>
    </row>
    <row r="224" spans="11:17" x14ac:dyDescent="0.15">
      <c r="K224" s="108"/>
      <c r="Q224" s="110"/>
    </row>
    <row r="225" spans="11:17" x14ac:dyDescent="0.15">
      <c r="K225" s="108"/>
      <c r="Q225" s="110"/>
    </row>
    <row r="226" spans="11:17" x14ac:dyDescent="0.15">
      <c r="K226" s="108"/>
      <c r="Q226" s="110"/>
    </row>
    <row r="227" spans="11:17" x14ac:dyDescent="0.15">
      <c r="K227" s="108"/>
      <c r="Q227" s="110"/>
    </row>
    <row r="228" spans="11:17" x14ac:dyDescent="0.15">
      <c r="K228" s="108"/>
      <c r="Q228" s="110"/>
    </row>
    <row r="229" spans="11:17" x14ac:dyDescent="0.15">
      <c r="K229" s="108"/>
      <c r="Q229" s="110"/>
    </row>
    <row r="230" spans="11:17" x14ac:dyDescent="0.15">
      <c r="K230" s="108"/>
      <c r="Q230" s="110"/>
    </row>
    <row r="231" spans="11:17" x14ac:dyDescent="0.15">
      <c r="K231" s="108"/>
      <c r="Q231" s="110"/>
    </row>
    <row r="232" spans="11:17" x14ac:dyDescent="0.15">
      <c r="K232" s="108"/>
      <c r="Q232" s="110"/>
    </row>
    <row r="233" spans="11:17" x14ac:dyDescent="0.15">
      <c r="K233" s="108"/>
      <c r="Q233" s="110"/>
    </row>
    <row r="234" spans="11:17" x14ac:dyDescent="0.15">
      <c r="K234" s="108"/>
      <c r="Q234" s="110"/>
    </row>
    <row r="235" spans="11:17" x14ac:dyDescent="0.15">
      <c r="K235" s="108"/>
      <c r="Q235" s="110"/>
    </row>
    <row r="236" spans="11:17" x14ac:dyDescent="0.15">
      <c r="K236" s="108"/>
      <c r="Q236" s="110"/>
    </row>
    <row r="237" spans="11:17" x14ac:dyDescent="0.15">
      <c r="K237" s="108"/>
      <c r="Q237" s="110"/>
    </row>
    <row r="238" spans="11:17" x14ac:dyDescent="0.15">
      <c r="K238" s="108"/>
      <c r="Q238" s="110"/>
    </row>
    <row r="239" spans="11:17" x14ac:dyDescent="0.15">
      <c r="K239" s="108"/>
      <c r="Q239" s="110"/>
    </row>
    <row r="240" spans="11:17" x14ac:dyDescent="0.15">
      <c r="K240" s="108"/>
      <c r="Q240" s="110"/>
    </row>
    <row r="241" spans="11:17" x14ac:dyDescent="0.15">
      <c r="K241" s="108"/>
      <c r="Q241" s="110"/>
    </row>
    <row r="242" spans="11:17" x14ac:dyDescent="0.15">
      <c r="K242" s="108"/>
      <c r="Q242" s="110"/>
    </row>
    <row r="243" spans="11:17" x14ac:dyDescent="0.15">
      <c r="K243" s="108"/>
      <c r="Q243" s="110"/>
    </row>
    <row r="244" spans="11:17" x14ac:dyDescent="0.15">
      <c r="K244" s="108"/>
      <c r="Q244" s="110"/>
    </row>
    <row r="245" spans="11:17" x14ac:dyDescent="0.15">
      <c r="K245" s="108"/>
      <c r="Q245" s="110"/>
    </row>
    <row r="246" spans="11:17" x14ac:dyDescent="0.15">
      <c r="K246" s="108"/>
      <c r="Q246" s="110"/>
    </row>
    <row r="247" spans="11:17" x14ac:dyDescent="0.15">
      <c r="K247" s="108"/>
      <c r="Q247" s="110"/>
    </row>
    <row r="248" spans="11:17" x14ac:dyDescent="0.15">
      <c r="K248" s="108"/>
      <c r="Q248" s="110"/>
    </row>
    <row r="249" spans="11:17" x14ac:dyDescent="0.15">
      <c r="K249" s="108"/>
      <c r="Q249" s="110"/>
    </row>
    <row r="250" spans="11:17" x14ac:dyDescent="0.15">
      <c r="K250" s="108"/>
      <c r="Q250" s="110"/>
    </row>
    <row r="251" spans="11:17" x14ac:dyDescent="0.15">
      <c r="K251" s="108"/>
      <c r="Q251" s="110"/>
    </row>
    <row r="252" spans="11:17" x14ac:dyDescent="0.15">
      <c r="K252" s="108"/>
      <c r="Q252" s="110"/>
    </row>
    <row r="253" spans="11:17" x14ac:dyDescent="0.15">
      <c r="K253" s="108"/>
      <c r="Q253" s="110"/>
    </row>
    <row r="254" spans="11:17" x14ac:dyDescent="0.15">
      <c r="K254" s="108"/>
      <c r="Q254" s="110"/>
    </row>
    <row r="255" spans="11:17" x14ac:dyDescent="0.15">
      <c r="K255" s="108"/>
      <c r="Q255" s="110"/>
    </row>
    <row r="256" spans="11:17" x14ac:dyDescent="0.15">
      <c r="K256" s="108"/>
      <c r="Q256" s="110"/>
    </row>
    <row r="257" spans="11:17" x14ac:dyDescent="0.15">
      <c r="K257" s="108"/>
      <c r="Q257" s="110"/>
    </row>
    <row r="258" spans="11:17" x14ac:dyDescent="0.15">
      <c r="K258" s="108"/>
      <c r="Q258" s="110"/>
    </row>
    <row r="259" spans="11:17" x14ac:dyDescent="0.15">
      <c r="K259" s="108"/>
      <c r="Q259" s="110"/>
    </row>
    <row r="260" spans="11:17" x14ac:dyDescent="0.15">
      <c r="K260" s="108"/>
      <c r="Q260" s="110"/>
    </row>
    <row r="261" spans="11:17" x14ac:dyDescent="0.15">
      <c r="K261" s="108"/>
      <c r="Q261" s="110"/>
    </row>
    <row r="262" spans="11:17" x14ac:dyDescent="0.15">
      <c r="K262" s="108"/>
      <c r="Q262" s="110"/>
    </row>
    <row r="263" spans="11:17" x14ac:dyDescent="0.15">
      <c r="K263" s="108"/>
      <c r="Q263" s="110"/>
    </row>
    <row r="264" spans="11:17" x14ac:dyDescent="0.15">
      <c r="K264" s="108"/>
      <c r="Q264" s="110"/>
    </row>
    <row r="265" spans="11:17" x14ac:dyDescent="0.15">
      <c r="K265" s="108"/>
      <c r="Q265" s="110"/>
    </row>
    <row r="266" spans="11:17" x14ac:dyDescent="0.15">
      <c r="K266" s="108"/>
      <c r="Q266" s="110"/>
    </row>
    <row r="267" spans="11:17" x14ac:dyDescent="0.15">
      <c r="K267" s="108"/>
      <c r="Q267" s="110"/>
    </row>
    <row r="268" spans="11:17" x14ac:dyDescent="0.15">
      <c r="K268" s="108"/>
      <c r="Q268" s="110"/>
    </row>
    <row r="269" spans="11:17" x14ac:dyDescent="0.15">
      <c r="K269" s="108"/>
      <c r="Q269" s="110"/>
    </row>
    <row r="270" spans="11:17" x14ac:dyDescent="0.15">
      <c r="K270" s="108"/>
      <c r="Q270" s="110"/>
    </row>
    <row r="271" spans="11:17" x14ac:dyDescent="0.15">
      <c r="K271" s="108"/>
      <c r="Q271" s="110"/>
    </row>
    <row r="272" spans="11:17" x14ac:dyDescent="0.15">
      <c r="K272" s="108"/>
      <c r="Q272" s="110"/>
    </row>
    <row r="273" spans="11:17" x14ac:dyDescent="0.15">
      <c r="K273" s="108"/>
      <c r="Q273" s="110"/>
    </row>
    <row r="274" spans="11:17" x14ac:dyDescent="0.15">
      <c r="K274" s="108"/>
      <c r="Q274" s="110"/>
    </row>
    <row r="275" spans="11:17" x14ac:dyDescent="0.15">
      <c r="K275" s="108"/>
      <c r="Q275" s="110"/>
    </row>
    <row r="276" spans="11:17" x14ac:dyDescent="0.15">
      <c r="K276" s="108"/>
      <c r="Q276" s="110"/>
    </row>
    <row r="277" spans="11:17" x14ac:dyDescent="0.15">
      <c r="K277" s="108"/>
      <c r="Q277" s="110"/>
    </row>
    <row r="278" spans="11:17" x14ac:dyDescent="0.15">
      <c r="K278" s="108"/>
      <c r="Q278" s="110"/>
    </row>
    <row r="279" spans="11:17" x14ac:dyDescent="0.15">
      <c r="K279" s="108"/>
      <c r="Q279" s="110"/>
    </row>
    <row r="280" spans="11:17" x14ac:dyDescent="0.15">
      <c r="K280" s="108"/>
      <c r="Q280" s="110"/>
    </row>
    <row r="281" spans="11:17" x14ac:dyDescent="0.15">
      <c r="K281" s="108"/>
      <c r="Q281" s="110"/>
    </row>
    <row r="282" spans="11:17" x14ac:dyDescent="0.15">
      <c r="K282" s="108"/>
      <c r="Q282" s="110"/>
    </row>
    <row r="283" spans="11:17" x14ac:dyDescent="0.15">
      <c r="K283" s="108"/>
      <c r="Q283" s="110"/>
    </row>
    <row r="284" spans="11:17" x14ac:dyDescent="0.15">
      <c r="K284" s="108"/>
      <c r="Q284" s="110"/>
    </row>
    <row r="285" spans="11:17" x14ac:dyDescent="0.15">
      <c r="K285" s="108"/>
      <c r="Q285" s="110"/>
    </row>
    <row r="286" spans="11:17" x14ac:dyDescent="0.15">
      <c r="K286" s="108"/>
      <c r="Q286" s="110"/>
    </row>
    <row r="287" spans="11:17" x14ac:dyDescent="0.15">
      <c r="K287" s="108"/>
      <c r="Q287" s="110"/>
    </row>
    <row r="288" spans="11:17" x14ac:dyDescent="0.15">
      <c r="K288" s="108"/>
      <c r="Q288" s="110"/>
    </row>
    <row r="289" spans="11:17" x14ac:dyDescent="0.15">
      <c r="K289" s="108"/>
      <c r="Q289" s="110"/>
    </row>
    <row r="290" spans="11:17" x14ac:dyDescent="0.15">
      <c r="K290" s="108"/>
      <c r="Q290" s="110"/>
    </row>
    <row r="291" spans="11:17" x14ac:dyDescent="0.15">
      <c r="K291" s="108"/>
      <c r="Q291" s="110"/>
    </row>
    <row r="292" spans="11:17" x14ac:dyDescent="0.15">
      <c r="K292" s="108"/>
    </row>
    <row r="293" spans="11:17" x14ac:dyDescent="0.15">
      <c r="K293" s="108"/>
    </row>
    <row r="294" spans="11:17" x14ac:dyDescent="0.15">
      <c r="K294" s="108"/>
    </row>
    <row r="295" spans="11:17" x14ac:dyDescent="0.15">
      <c r="K295" s="108"/>
    </row>
    <row r="296" spans="11:17" x14ac:dyDescent="0.15">
      <c r="K296" s="108"/>
    </row>
    <row r="297" spans="11:17" x14ac:dyDescent="0.15">
      <c r="K297" s="108"/>
    </row>
    <row r="298" spans="11:17" x14ac:dyDescent="0.15">
      <c r="K298" s="108"/>
    </row>
    <row r="299" spans="11:17" x14ac:dyDescent="0.15">
      <c r="K299" s="108"/>
    </row>
    <row r="300" spans="11:17" x14ac:dyDescent="0.15">
      <c r="K300" s="108"/>
    </row>
    <row r="301" spans="11:17" x14ac:dyDescent="0.15">
      <c r="K301" s="108"/>
    </row>
    <row r="302" spans="11:17" x14ac:dyDescent="0.15">
      <c r="K302" s="108"/>
    </row>
    <row r="303" spans="11:17" x14ac:dyDescent="0.15">
      <c r="K303" s="108"/>
    </row>
    <row r="304" spans="11:17" x14ac:dyDescent="0.15">
      <c r="K304" s="108"/>
    </row>
    <row r="305" spans="11:11" x14ac:dyDescent="0.15">
      <c r="K305" s="108"/>
    </row>
    <row r="306" spans="11:11" x14ac:dyDescent="0.15">
      <c r="K306" s="108"/>
    </row>
    <row r="307" spans="11:11" x14ac:dyDescent="0.15">
      <c r="K307" s="108"/>
    </row>
    <row r="308" spans="11:11" x14ac:dyDescent="0.15">
      <c r="K308" s="108"/>
    </row>
    <row r="309" spans="11:11" x14ac:dyDescent="0.15">
      <c r="K309" s="108"/>
    </row>
    <row r="310" spans="11:11" x14ac:dyDescent="0.15">
      <c r="K310" s="108"/>
    </row>
    <row r="311" spans="11:11" x14ac:dyDescent="0.15">
      <c r="K311" s="108"/>
    </row>
    <row r="312" spans="11:11" x14ac:dyDescent="0.15">
      <c r="K312" s="108"/>
    </row>
    <row r="313" spans="11:11" x14ac:dyDescent="0.15">
      <c r="K313" s="108"/>
    </row>
    <row r="314" spans="11:11" x14ac:dyDescent="0.15">
      <c r="K314" s="108"/>
    </row>
    <row r="315" spans="11:11" x14ac:dyDescent="0.15">
      <c r="K315" s="108"/>
    </row>
    <row r="316" spans="11:11" x14ac:dyDescent="0.15">
      <c r="K316" s="108"/>
    </row>
    <row r="317" spans="11:11" x14ac:dyDescent="0.15">
      <c r="K317" s="108"/>
    </row>
    <row r="318" spans="11:11" x14ac:dyDescent="0.15">
      <c r="K318" s="108"/>
    </row>
    <row r="319" spans="11:11" x14ac:dyDescent="0.15">
      <c r="K319" s="108"/>
    </row>
    <row r="320" spans="11:11" x14ac:dyDescent="0.15">
      <c r="K320" s="108"/>
    </row>
    <row r="321" spans="11:11" x14ac:dyDescent="0.15">
      <c r="K321" s="108"/>
    </row>
    <row r="322" spans="11:11" x14ac:dyDescent="0.15">
      <c r="K322" s="108"/>
    </row>
    <row r="323" spans="11:11" x14ac:dyDescent="0.15">
      <c r="K323" s="108"/>
    </row>
    <row r="324" spans="11:11" x14ac:dyDescent="0.15">
      <c r="K324" s="108"/>
    </row>
    <row r="325" spans="11:11" x14ac:dyDescent="0.15">
      <c r="K325" s="108"/>
    </row>
    <row r="326" spans="11:11" x14ac:dyDescent="0.15">
      <c r="K326" s="108"/>
    </row>
    <row r="327" spans="11:11" x14ac:dyDescent="0.15">
      <c r="K327" s="108"/>
    </row>
    <row r="328" spans="11:11" x14ac:dyDescent="0.15">
      <c r="K328" s="108"/>
    </row>
    <row r="329" spans="11:11" x14ac:dyDescent="0.15">
      <c r="K329" s="108"/>
    </row>
    <row r="330" spans="11:11" x14ac:dyDescent="0.15">
      <c r="K330" s="108"/>
    </row>
    <row r="331" spans="11:11" x14ac:dyDescent="0.15">
      <c r="K331" s="108"/>
    </row>
    <row r="332" spans="11:11" x14ac:dyDescent="0.15">
      <c r="K332" s="108"/>
    </row>
    <row r="333" spans="11:11" x14ac:dyDescent="0.15">
      <c r="K333" s="108"/>
    </row>
    <row r="334" spans="11:11" x14ac:dyDescent="0.15">
      <c r="K334" s="108"/>
    </row>
    <row r="335" spans="11:11" x14ac:dyDescent="0.15">
      <c r="K335" s="108"/>
    </row>
    <row r="336" spans="11:11" x14ac:dyDescent="0.15">
      <c r="K336" s="108"/>
    </row>
    <row r="337" spans="11:11" x14ac:dyDescent="0.15">
      <c r="K337" s="108"/>
    </row>
    <row r="338" spans="11:11" x14ac:dyDescent="0.15">
      <c r="K338" s="108"/>
    </row>
    <row r="339" spans="11:11" x14ac:dyDescent="0.15">
      <c r="K339" s="108"/>
    </row>
    <row r="340" spans="11:11" x14ac:dyDescent="0.15">
      <c r="K340" s="108"/>
    </row>
    <row r="341" spans="11:11" x14ac:dyDescent="0.15">
      <c r="K341" s="108"/>
    </row>
    <row r="342" spans="11:11" x14ac:dyDescent="0.15">
      <c r="K342" s="108"/>
    </row>
    <row r="343" spans="11:11" x14ac:dyDescent="0.15">
      <c r="K343" s="108"/>
    </row>
    <row r="344" spans="11:11" x14ac:dyDescent="0.15">
      <c r="K344" s="108"/>
    </row>
    <row r="345" spans="11:11" x14ac:dyDescent="0.15">
      <c r="K345" s="108"/>
    </row>
    <row r="346" spans="11:11" x14ac:dyDescent="0.15">
      <c r="K346" s="108"/>
    </row>
    <row r="347" spans="11:11" x14ac:dyDescent="0.15">
      <c r="K347" s="108"/>
    </row>
    <row r="348" spans="11:11" x14ac:dyDescent="0.15">
      <c r="K348" s="108"/>
    </row>
    <row r="349" spans="11:11" x14ac:dyDescent="0.15">
      <c r="K349" s="108"/>
    </row>
    <row r="350" spans="11:11" x14ac:dyDescent="0.15">
      <c r="K350" s="108"/>
    </row>
    <row r="351" spans="11:11" x14ac:dyDescent="0.15">
      <c r="K351" s="108"/>
    </row>
    <row r="352" spans="11:11" x14ac:dyDescent="0.15">
      <c r="K352" s="108"/>
    </row>
    <row r="353" spans="11:11" x14ac:dyDescent="0.15">
      <c r="K353" s="108"/>
    </row>
    <row r="354" spans="11:11" x14ac:dyDescent="0.15">
      <c r="K354" s="108"/>
    </row>
    <row r="355" spans="11:11" x14ac:dyDescent="0.15">
      <c r="K355" s="108"/>
    </row>
    <row r="356" spans="11:11" x14ac:dyDescent="0.15">
      <c r="K356" s="108"/>
    </row>
    <row r="357" spans="11:11" x14ac:dyDescent="0.15">
      <c r="K357" s="108"/>
    </row>
    <row r="358" spans="11:11" x14ac:dyDescent="0.15">
      <c r="K358" s="108"/>
    </row>
    <row r="359" spans="11:11" x14ac:dyDescent="0.15">
      <c r="K359" s="108"/>
    </row>
    <row r="360" spans="11:11" x14ac:dyDescent="0.15">
      <c r="K360" s="108"/>
    </row>
    <row r="361" spans="11:11" x14ac:dyDescent="0.15">
      <c r="K361" s="108"/>
    </row>
    <row r="362" spans="11:11" x14ac:dyDescent="0.15">
      <c r="K362" s="108"/>
    </row>
    <row r="363" spans="11:11" x14ac:dyDescent="0.15">
      <c r="K363" s="108"/>
    </row>
    <row r="364" spans="11:11" x14ac:dyDescent="0.15">
      <c r="K364" s="108"/>
    </row>
    <row r="365" spans="11:11" x14ac:dyDescent="0.15">
      <c r="K365" s="108"/>
    </row>
    <row r="366" spans="11:11" x14ac:dyDescent="0.15">
      <c r="K366" s="108"/>
    </row>
    <row r="367" spans="11:11" x14ac:dyDescent="0.15">
      <c r="K367" s="108"/>
    </row>
    <row r="368" spans="11:11" x14ac:dyDescent="0.15">
      <c r="K368" s="108"/>
    </row>
    <row r="369" spans="11:11" x14ac:dyDescent="0.15">
      <c r="K369" s="108"/>
    </row>
    <row r="370" spans="11:11" x14ac:dyDescent="0.15">
      <c r="K370" s="108"/>
    </row>
    <row r="371" spans="11:11" x14ac:dyDescent="0.15">
      <c r="K371" s="108"/>
    </row>
    <row r="372" spans="11:11" x14ac:dyDescent="0.15">
      <c r="K372" s="108"/>
    </row>
    <row r="373" spans="11:11" x14ac:dyDescent="0.15">
      <c r="K373" s="108"/>
    </row>
    <row r="374" spans="11:11" x14ac:dyDescent="0.15">
      <c r="K374" s="108"/>
    </row>
    <row r="375" spans="11:11" x14ac:dyDescent="0.15">
      <c r="K375" s="108"/>
    </row>
    <row r="376" spans="11:11" x14ac:dyDescent="0.15">
      <c r="K376" s="108"/>
    </row>
    <row r="377" spans="11:11" x14ac:dyDescent="0.15">
      <c r="K377" s="108"/>
    </row>
    <row r="378" spans="11:11" x14ac:dyDescent="0.15">
      <c r="K378" s="108"/>
    </row>
    <row r="379" spans="11:11" x14ac:dyDescent="0.15">
      <c r="K379" s="108"/>
    </row>
    <row r="380" spans="11:11" x14ac:dyDescent="0.15">
      <c r="K380" s="108"/>
    </row>
    <row r="381" spans="11:11" x14ac:dyDescent="0.15">
      <c r="K381" s="108"/>
    </row>
    <row r="382" spans="11:11" x14ac:dyDescent="0.15">
      <c r="K382" s="108"/>
    </row>
    <row r="383" spans="11:11" x14ac:dyDescent="0.15">
      <c r="K383" s="108"/>
    </row>
    <row r="384" spans="11:11" x14ac:dyDescent="0.15">
      <c r="K384" s="108"/>
    </row>
    <row r="385" spans="11:11" x14ac:dyDescent="0.15">
      <c r="K385" s="108"/>
    </row>
    <row r="386" spans="11:11" x14ac:dyDescent="0.15">
      <c r="K386" s="108"/>
    </row>
    <row r="387" spans="11:11" x14ac:dyDescent="0.15">
      <c r="K387" s="108"/>
    </row>
    <row r="388" spans="11:11" x14ac:dyDescent="0.15">
      <c r="K388" s="108"/>
    </row>
    <row r="389" spans="11:11" x14ac:dyDescent="0.15">
      <c r="K389" s="108"/>
    </row>
    <row r="390" spans="11:11" x14ac:dyDescent="0.15">
      <c r="K390" s="108"/>
    </row>
    <row r="391" spans="11:11" x14ac:dyDescent="0.15">
      <c r="K391" s="108"/>
    </row>
    <row r="392" spans="11:11" x14ac:dyDescent="0.15">
      <c r="K392" s="108"/>
    </row>
    <row r="393" spans="11:11" x14ac:dyDescent="0.15">
      <c r="K393" s="108"/>
    </row>
    <row r="394" spans="11:11" x14ac:dyDescent="0.15">
      <c r="K394" s="108"/>
    </row>
    <row r="395" spans="11:11" x14ac:dyDescent="0.15">
      <c r="K395" s="108"/>
    </row>
    <row r="396" spans="11:11" x14ac:dyDescent="0.15">
      <c r="K396" s="108"/>
    </row>
    <row r="397" spans="11:11" x14ac:dyDescent="0.15">
      <c r="K397" s="108"/>
    </row>
    <row r="398" spans="11:11" x14ac:dyDescent="0.15">
      <c r="K398" s="108"/>
    </row>
    <row r="399" spans="11:11" x14ac:dyDescent="0.15">
      <c r="K399" s="108"/>
    </row>
    <row r="400" spans="11:11" x14ac:dyDescent="0.15">
      <c r="K400" s="108"/>
    </row>
    <row r="401" spans="11:11" x14ac:dyDescent="0.15">
      <c r="K401" s="108"/>
    </row>
    <row r="402" spans="11:11" x14ac:dyDescent="0.15">
      <c r="K402" s="108"/>
    </row>
    <row r="403" spans="11:11" x14ac:dyDescent="0.15">
      <c r="K403" s="108"/>
    </row>
    <row r="404" spans="11:11" x14ac:dyDescent="0.15">
      <c r="K404" s="108"/>
    </row>
    <row r="405" spans="11:11" x14ac:dyDescent="0.15">
      <c r="K405" s="108"/>
    </row>
    <row r="406" spans="11:11" x14ac:dyDescent="0.15">
      <c r="K406" s="108"/>
    </row>
    <row r="407" spans="11:11" x14ac:dyDescent="0.15">
      <c r="K407" s="108"/>
    </row>
    <row r="408" spans="11:11" x14ac:dyDescent="0.15">
      <c r="K408" s="108"/>
    </row>
    <row r="409" spans="11:11" x14ac:dyDescent="0.15">
      <c r="K409" s="108"/>
    </row>
    <row r="410" spans="11:11" x14ac:dyDescent="0.15">
      <c r="K410" s="108"/>
    </row>
    <row r="411" spans="11:11" x14ac:dyDescent="0.15">
      <c r="K411" s="108"/>
    </row>
    <row r="412" spans="11:11" x14ac:dyDescent="0.15">
      <c r="K412" s="108"/>
    </row>
    <row r="413" spans="11:11" x14ac:dyDescent="0.15">
      <c r="K413" s="108"/>
    </row>
    <row r="414" spans="11:11" x14ac:dyDescent="0.15">
      <c r="K414" s="108"/>
    </row>
    <row r="415" spans="11:11" x14ac:dyDescent="0.15">
      <c r="K415" s="108"/>
    </row>
    <row r="416" spans="11:11" x14ac:dyDescent="0.15">
      <c r="K416" s="108"/>
    </row>
    <row r="417" spans="11:11" x14ac:dyDescent="0.15">
      <c r="K417" s="108"/>
    </row>
    <row r="418" spans="11:11" x14ac:dyDescent="0.15">
      <c r="K418" s="108"/>
    </row>
    <row r="419" spans="11:11" x14ac:dyDescent="0.15">
      <c r="K419" s="108"/>
    </row>
    <row r="420" spans="11:11" x14ac:dyDescent="0.15">
      <c r="K420" s="108"/>
    </row>
    <row r="421" spans="11:11" x14ac:dyDescent="0.15">
      <c r="K421" s="108"/>
    </row>
    <row r="422" spans="11:11" x14ac:dyDescent="0.15">
      <c r="K422" s="108"/>
    </row>
    <row r="423" spans="11:11" x14ac:dyDescent="0.15">
      <c r="K423" s="108"/>
    </row>
    <row r="424" spans="11:11" x14ac:dyDescent="0.15">
      <c r="K424" s="108"/>
    </row>
    <row r="425" spans="11:11" x14ac:dyDescent="0.15">
      <c r="K425" s="108"/>
    </row>
    <row r="426" spans="11:11" x14ac:dyDescent="0.15">
      <c r="K426" s="108"/>
    </row>
    <row r="427" spans="11:11" x14ac:dyDescent="0.15">
      <c r="K427" s="108"/>
    </row>
    <row r="428" spans="11:11" x14ac:dyDescent="0.15">
      <c r="K428" s="108"/>
    </row>
    <row r="429" spans="11:11" x14ac:dyDescent="0.15">
      <c r="K429" s="108"/>
    </row>
    <row r="430" spans="11:11" x14ac:dyDescent="0.15">
      <c r="K430" s="108"/>
    </row>
    <row r="431" spans="11:11" x14ac:dyDescent="0.15">
      <c r="K431" s="108"/>
    </row>
    <row r="432" spans="11:11" x14ac:dyDescent="0.15">
      <c r="K432" s="108"/>
    </row>
    <row r="433" spans="11:11" x14ac:dyDescent="0.15">
      <c r="K433" s="108"/>
    </row>
    <row r="434" spans="11:11" x14ac:dyDescent="0.15">
      <c r="K434" s="108"/>
    </row>
    <row r="435" spans="11:11" x14ac:dyDescent="0.15">
      <c r="K435" s="108"/>
    </row>
    <row r="436" spans="11:11" x14ac:dyDescent="0.15">
      <c r="K436" s="108"/>
    </row>
    <row r="437" spans="11:11" x14ac:dyDescent="0.15">
      <c r="K437" s="108"/>
    </row>
    <row r="438" spans="11:11" x14ac:dyDescent="0.15">
      <c r="K438" s="108"/>
    </row>
    <row r="439" spans="11:11" x14ac:dyDescent="0.15">
      <c r="K439" s="108"/>
    </row>
    <row r="440" spans="11:11" x14ac:dyDescent="0.15">
      <c r="K440" s="108"/>
    </row>
    <row r="441" spans="11:11" x14ac:dyDescent="0.15">
      <c r="K441" s="108"/>
    </row>
    <row r="442" spans="11:11" x14ac:dyDescent="0.15">
      <c r="K442" s="108"/>
    </row>
    <row r="443" spans="11:11" x14ac:dyDescent="0.15">
      <c r="K443" s="108"/>
    </row>
  </sheetData>
  <autoFilter ref="A1:BA1" xr:uid="{00000000-0009-0000-0000-000000000000}"/>
  <phoneticPr fontId="3"/>
  <dataValidations count="20">
    <dataValidation type="list" allowBlank="1" showInputMessage="1" showErrorMessage="1" sqref="F2:F491" xr:uid="{4A2887BB-5B89-4D96-9051-5B8055C89E20}">
      <formula1>$AH$2:$AH$11</formula1>
    </dataValidation>
    <dataValidation type="list" allowBlank="1" showInputMessage="1" showErrorMessage="1" sqref="E2:E491" xr:uid="{5D4B920C-6326-4DC2-9050-8B9291657FC1}">
      <formula1>$AG$2:$AG$11</formula1>
    </dataValidation>
    <dataValidation type="decimal" allowBlank="1" showInputMessage="1" showErrorMessage="1" error="硬度を正しく入力して下さい。" sqref="O2:P491" xr:uid="{DFC62444-5192-4AC5-8CF6-52621458DAEF}">
      <formula1>0</formula1>
      <formula2>7</formula2>
    </dataValidation>
    <dataValidation type="list" allowBlank="1" showInputMessage="1" showErrorMessage="1" sqref="Y2:AA491" xr:uid="{15FD069B-421C-4915-A3C3-CFDDD1CA212E}">
      <formula1>$AV$2:$AV$21</formula1>
    </dataValidation>
    <dataValidation type="list" allowBlank="1" showInputMessage="1" showErrorMessage="1" sqref="K444:K491" xr:uid="{AF535DD6-EC26-48EF-BF49-3B032F6D3959}">
      <formula1>$AR$2:$AR$25</formula1>
    </dataValidation>
    <dataValidation type="list" allowBlank="1" showInputMessage="1" showErrorMessage="1" sqref="I2:I491" xr:uid="{ACE4A83C-E624-491E-8013-9D735D9505F0}">
      <formula1>$AN$5:$AN$6</formula1>
    </dataValidation>
    <dataValidation type="list" allowBlank="1" showInputMessage="1" showErrorMessage="1" sqref="H2:H491" xr:uid="{606A55F7-E675-447E-8E31-B8059FC596FA}">
      <formula1>$AL$2:$AL$8</formula1>
    </dataValidation>
    <dataValidation type="list" allowBlank="1" showInputMessage="1" showErrorMessage="1" sqref="A2:A491" xr:uid="{C3558232-22AA-49D2-822A-6DD609A58C32}">
      <formula1>$AE$2:$AE$19</formula1>
    </dataValidation>
    <dataValidation type="list" allowBlank="1" showInputMessage="1" showErrorMessage="1" sqref="X2:X491" xr:uid="{A840294A-9E62-4A3F-986C-DE1B9D446234}">
      <formula1>$AT$2:$AT$3</formula1>
    </dataValidation>
    <dataValidation type="list" allowBlank="1" showInputMessage="1" showErrorMessage="1" sqref="G2:G491" xr:uid="{1A1A098D-796B-4A00-A218-C3E770CC0ECC}">
      <formula1>$AJ$2:$AJ$4</formula1>
    </dataValidation>
    <dataValidation type="list" allowBlank="1" showInputMessage="1" showErrorMessage="1" sqref="J2:J491" xr:uid="{A32849B9-248D-4B90-9F1D-FF07B30286B0}">
      <formula1>$AP$2:$AP$27</formula1>
    </dataValidation>
    <dataValidation operator="equal" allowBlank="1" showInputMessage="1" showErrorMessage="1" sqref="B2:B46" xr:uid="{9ACE6F02-AC43-4D3B-9BB9-970CCD28AC76}"/>
    <dataValidation type="list" allowBlank="1" showInputMessage="1" showErrorMessage="1" sqref="F492:F64242" xr:uid="{B6299231-7567-47B1-87C5-7582799B1202}">
      <formula1>$AH$2:$AH$8</formula1>
    </dataValidation>
    <dataValidation type="list" allowBlank="1" showInputMessage="1" showErrorMessage="1" sqref="E492:E64242" xr:uid="{5EFB0F27-D2A3-4D93-91CA-97571E7B5490}">
      <formula1>$AG$2:$AG$9</formula1>
    </dataValidation>
    <dataValidation type="list" allowBlank="1" showInputMessage="1" showErrorMessage="1" sqref="H492:H64242" xr:uid="{8BD0EA7F-10CB-461A-94E8-75B43C3D2FEA}">
      <formula1>$AL$2:$AL$10</formula1>
    </dataValidation>
    <dataValidation type="list" allowBlank="1" showInputMessage="1" showErrorMessage="1" sqref="K492:K64242" xr:uid="{556E30DF-70E2-412C-8858-B6ACD4A4A19C}">
      <formula1>$AR$2:$AR$28</formula1>
    </dataValidation>
    <dataValidation type="list" allowBlank="1" showInputMessage="1" showErrorMessage="1" sqref="Y492:AA64242" xr:uid="{A87E9BDF-2FA9-4E02-B94F-7E129E27C088}">
      <formula1>$AV$2:$AV$26</formula1>
    </dataValidation>
    <dataValidation type="list" allowBlank="1" showInputMessage="1" showErrorMessage="1" sqref="I492:I64242" xr:uid="{E592B0AE-AB2C-4B69-9D9D-0C32E1D9D23B}">
      <formula1>$AN$2:$AN$6</formula1>
    </dataValidation>
    <dataValidation type="list" allowBlank="1" showInputMessage="1" showErrorMessage="1" sqref="J492:J64242" xr:uid="{E0A3EC5B-A150-495B-A9F1-0821D756D558}">
      <formula1>$AP$2:$AP$16</formula1>
    </dataValidation>
    <dataValidation type="list" allowBlank="1" showInputMessage="1" showErrorMessage="1" sqref="K2:K443" xr:uid="{F11CC466-521B-47F4-9538-DF1CCC144D72}">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32E2-F70D-4164-9C85-9056CE812E01}">
  <dimension ref="A1:BA127"/>
  <sheetViews>
    <sheetView zoomScale="70" zoomScaleNormal="70" workbookViewId="0">
      <selection activeCell="AB2" sqref="AB2"/>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100" t="s">
        <v>1</v>
      </c>
      <c r="C1" s="100" t="s">
        <v>2</v>
      </c>
      <c r="D1" s="101" t="s">
        <v>3</v>
      </c>
      <c r="E1" s="45" t="s">
        <v>4</v>
      </c>
      <c r="F1" s="45" t="s">
        <v>5</v>
      </c>
      <c r="G1" s="45" t="s">
        <v>6</v>
      </c>
      <c r="H1" s="45" t="s">
        <v>7</v>
      </c>
      <c r="I1" s="45" t="s">
        <v>8</v>
      </c>
      <c r="J1" s="45" t="s">
        <v>9</v>
      </c>
      <c r="K1" s="45" t="s">
        <v>10</v>
      </c>
      <c r="L1" s="101" t="s">
        <v>11</v>
      </c>
      <c r="M1" s="101" t="s">
        <v>12</v>
      </c>
      <c r="N1" s="101" t="s">
        <v>13</v>
      </c>
      <c r="O1" s="101" t="s">
        <v>14</v>
      </c>
      <c r="P1" s="101" t="s">
        <v>15</v>
      </c>
      <c r="Q1" s="3" t="s">
        <v>16</v>
      </c>
      <c r="R1" s="101" t="s">
        <v>17</v>
      </c>
      <c r="S1" s="101" t="s">
        <v>18</v>
      </c>
      <c r="T1" s="3" t="s">
        <v>19</v>
      </c>
      <c r="U1" s="102" t="s">
        <v>310</v>
      </c>
      <c r="V1" s="5" t="s">
        <v>20</v>
      </c>
      <c r="W1" s="101" t="s">
        <v>21</v>
      </c>
      <c r="X1" s="45" t="s">
        <v>22</v>
      </c>
      <c r="Y1" s="45" t="s">
        <v>23</v>
      </c>
      <c r="Z1" s="45" t="s">
        <v>327</v>
      </c>
      <c r="AA1" s="46" t="s">
        <v>25</v>
      </c>
      <c r="AB1" s="132" t="s">
        <v>26</v>
      </c>
      <c r="AE1" s="106" t="s">
        <v>0</v>
      </c>
      <c r="AF1" s="107"/>
      <c r="AG1" s="166" t="s">
        <v>4</v>
      </c>
      <c r="AH1" s="106" t="s">
        <v>5</v>
      </c>
      <c r="AI1" s="107"/>
      <c r="AJ1" s="106" t="s">
        <v>6</v>
      </c>
      <c r="AK1" s="107"/>
      <c r="AL1" s="10" t="s">
        <v>7</v>
      </c>
      <c r="AM1" s="107"/>
      <c r="AN1" s="10" t="s">
        <v>8</v>
      </c>
      <c r="AO1" s="107"/>
      <c r="AP1" s="10" t="s">
        <v>27</v>
      </c>
      <c r="AQ1" s="107"/>
      <c r="AR1" s="10" t="s">
        <v>10</v>
      </c>
      <c r="AS1" s="107"/>
      <c r="AT1" s="11" t="s">
        <v>28</v>
      </c>
      <c r="AU1" s="107"/>
      <c r="AV1" s="10" t="s">
        <v>29</v>
      </c>
      <c r="AX1" s="12" t="s">
        <v>30</v>
      </c>
      <c r="AY1" s="13" t="s">
        <v>31</v>
      </c>
      <c r="AZ1" s="13" t="s">
        <v>32</v>
      </c>
      <c r="BA1" s="14" t="s">
        <v>33</v>
      </c>
    </row>
    <row r="2" spans="1:53" x14ac:dyDescent="0.15">
      <c r="A2" s="53" t="s">
        <v>34</v>
      </c>
      <c r="B2" s="53" t="s">
        <v>235</v>
      </c>
      <c r="C2" s="53">
        <v>2019</v>
      </c>
      <c r="D2" s="167" t="s">
        <v>166</v>
      </c>
      <c r="E2" s="53" t="s">
        <v>328</v>
      </c>
      <c r="F2" s="53" t="s">
        <v>329</v>
      </c>
      <c r="G2" s="53" t="s">
        <v>36</v>
      </c>
      <c r="H2" s="53" t="s">
        <v>164</v>
      </c>
      <c r="I2" s="53" t="s">
        <v>159</v>
      </c>
      <c r="J2" s="53" t="s">
        <v>38</v>
      </c>
      <c r="K2" s="53" t="s">
        <v>161</v>
      </c>
      <c r="L2" s="53">
        <v>1</v>
      </c>
      <c r="N2" s="53">
        <v>1</v>
      </c>
      <c r="O2" s="53">
        <v>0.5</v>
      </c>
      <c r="P2" s="53">
        <v>0.45</v>
      </c>
      <c r="Q2" s="110">
        <f t="shared" ref="Q2:Q82" si="0">IF(OR(O2="",P2=""),"",AVERAGE(O2,P2))</f>
        <v>0.47499999999999998</v>
      </c>
      <c r="R2" s="53">
        <v>17</v>
      </c>
      <c r="S2" s="53">
        <v>102</v>
      </c>
      <c r="T2" s="16">
        <f t="shared" ref="T2:T82" si="1">IF(H2="","",IF(OR(H2="GREEN",H2="GK"),IF(S2&gt;=$AX$2,VLOOKUP(S2,$AX$2:$AY$9,2,1),""),IF(S2&gt;=$AZ$2,VLOOKUP(S2,$AZ$2:$BA$9,2,1),"")))</f>
        <v>33</v>
      </c>
      <c r="U2" s="53">
        <v>100</v>
      </c>
      <c r="V2" s="16">
        <f t="shared" ref="V2:V82" si="2">IF(OR(N2="",U2="",T2=""),"",U2/N2*T2)</f>
        <v>3300</v>
      </c>
      <c r="W2" s="53">
        <v>2</v>
      </c>
      <c r="X2" s="53" t="s">
        <v>46</v>
      </c>
      <c r="Y2" s="53" t="s">
        <v>69</v>
      </c>
      <c r="Z2" s="53" t="s">
        <v>60</v>
      </c>
      <c r="AA2" s="53" t="s">
        <v>55</v>
      </c>
      <c r="AB2" s="53" t="s">
        <v>239</v>
      </c>
      <c r="AE2" s="112" t="s">
        <v>35</v>
      </c>
      <c r="AG2" s="168" t="s">
        <v>318</v>
      </c>
      <c r="AH2" s="114" t="s">
        <v>330</v>
      </c>
      <c r="AJ2" s="114" t="s">
        <v>36</v>
      </c>
      <c r="AL2" s="114" t="s">
        <v>127</v>
      </c>
      <c r="AN2" s="114" t="s">
        <v>37</v>
      </c>
      <c r="AP2" s="114" t="s">
        <v>38</v>
      </c>
      <c r="AR2" s="114" t="s">
        <v>120</v>
      </c>
      <c r="AT2" s="114" t="s">
        <v>39</v>
      </c>
      <c r="AV2" s="114" t="s">
        <v>40</v>
      </c>
      <c r="AX2" s="131">
        <v>1</v>
      </c>
      <c r="AY2" s="130">
        <v>50</v>
      </c>
      <c r="AZ2" s="130">
        <v>1</v>
      </c>
      <c r="BA2" s="129">
        <v>50</v>
      </c>
    </row>
    <row r="3" spans="1:53" x14ac:dyDescent="0.15">
      <c r="A3" s="53" t="s">
        <v>34</v>
      </c>
      <c r="B3" s="53" t="s">
        <v>235</v>
      </c>
      <c r="C3" s="53">
        <v>2019</v>
      </c>
      <c r="D3" s="167" t="s">
        <v>166</v>
      </c>
      <c r="E3" s="53" t="s">
        <v>328</v>
      </c>
      <c r="F3" s="53" t="s">
        <v>329</v>
      </c>
      <c r="G3" s="53" t="s">
        <v>36</v>
      </c>
      <c r="H3" s="53" t="s">
        <v>164</v>
      </c>
      <c r="I3" s="53" t="s">
        <v>159</v>
      </c>
      <c r="J3" s="53" t="s">
        <v>38</v>
      </c>
      <c r="K3" s="53" t="s">
        <v>161</v>
      </c>
      <c r="L3" s="53">
        <v>2</v>
      </c>
      <c r="N3" s="53">
        <v>1</v>
      </c>
      <c r="O3" s="53">
        <v>0.6</v>
      </c>
      <c r="P3" s="53">
        <v>0.6</v>
      </c>
      <c r="Q3" s="110">
        <f t="shared" si="0"/>
        <v>0.6</v>
      </c>
      <c r="R3" s="53">
        <v>17.100000000000001</v>
      </c>
      <c r="S3" s="53">
        <v>108</v>
      </c>
      <c r="T3" s="16">
        <f t="shared" si="1"/>
        <v>33</v>
      </c>
      <c r="U3" s="53">
        <v>100</v>
      </c>
      <c r="V3" s="16">
        <f t="shared" si="2"/>
        <v>3300</v>
      </c>
      <c r="W3" s="53">
        <v>2</v>
      </c>
      <c r="X3" s="53" t="s">
        <v>46</v>
      </c>
      <c r="Y3" s="53" t="s">
        <v>69</v>
      </c>
      <c r="Z3" s="53" t="s">
        <v>60</v>
      </c>
      <c r="AA3" s="53" t="s">
        <v>55</v>
      </c>
      <c r="AB3" s="53" t="s">
        <v>239</v>
      </c>
      <c r="AE3" s="22" t="s">
        <v>41</v>
      </c>
      <c r="AG3" s="169" t="s">
        <v>331</v>
      </c>
      <c r="AH3" s="114" t="s">
        <v>330</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235</v>
      </c>
      <c r="C4" s="53">
        <v>2019</v>
      </c>
      <c r="D4" s="167" t="s">
        <v>166</v>
      </c>
      <c r="E4" s="53" t="s">
        <v>328</v>
      </c>
      <c r="F4" s="53" t="s">
        <v>329</v>
      </c>
      <c r="G4" s="53" t="s">
        <v>36</v>
      </c>
      <c r="H4" s="53" t="s">
        <v>164</v>
      </c>
      <c r="I4" s="53" t="s">
        <v>159</v>
      </c>
      <c r="J4" s="53" t="s">
        <v>38</v>
      </c>
      <c r="K4" s="53" t="s">
        <v>161</v>
      </c>
      <c r="L4" s="53">
        <v>3</v>
      </c>
      <c r="N4" s="53">
        <v>1</v>
      </c>
      <c r="O4" s="53">
        <v>0.65</v>
      </c>
      <c r="P4" s="53">
        <v>0.65</v>
      </c>
      <c r="Q4" s="110">
        <f t="shared" si="0"/>
        <v>0.65</v>
      </c>
      <c r="R4" s="53">
        <v>17.100000000000001</v>
      </c>
      <c r="S4" s="53">
        <v>105</v>
      </c>
      <c r="T4" s="16">
        <f t="shared" si="1"/>
        <v>33</v>
      </c>
      <c r="U4" s="53">
        <v>100</v>
      </c>
      <c r="V4" s="16">
        <f t="shared" si="2"/>
        <v>3300</v>
      </c>
      <c r="W4" s="53">
        <v>2</v>
      </c>
      <c r="X4" s="53" t="s">
        <v>46</v>
      </c>
      <c r="Y4" s="53" t="s">
        <v>69</v>
      </c>
      <c r="Z4" s="53" t="s">
        <v>60</v>
      </c>
      <c r="AA4" s="53" t="s">
        <v>55</v>
      </c>
      <c r="AB4" s="53" t="s">
        <v>239</v>
      </c>
      <c r="AE4" s="22" t="s">
        <v>34</v>
      </c>
      <c r="AG4" s="169" t="s">
        <v>332</v>
      </c>
      <c r="AH4" s="114" t="s">
        <v>333</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235</v>
      </c>
      <c r="C5" s="53">
        <v>2019</v>
      </c>
      <c r="D5" s="167" t="s">
        <v>166</v>
      </c>
      <c r="E5" s="53" t="s">
        <v>328</v>
      </c>
      <c r="F5" s="53" t="s">
        <v>329</v>
      </c>
      <c r="G5" s="53" t="s">
        <v>36</v>
      </c>
      <c r="H5" s="53" t="s">
        <v>164</v>
      </c>
      <c r="I5" s="53" t="s">
        <v>159</v>
      </c>
      <c r="J5" s="53" t="s">
        <v>38</v>
      </c>
      <c r="K5" s="53" t="s">
        <v>161</v>
      </c>
      <c r="L5" s="53">
        <v>1</v>
      </c>
      <c r="N5" s="53">
        <v>4</v>
      </c>
      <c r="O5" s="53">
        <v>0.2</v>
      </c>
      <c r="P5" s="53">
        <v>0.2</v>
      </c>
      <c r="Q5" s="110">
        <f t="shared" si="0"/>
        <v>0.2</v>
      </c>
      <c r="R5" s="53">
        <v>17.2</v>
      </c>
      <c r="S5" s="53">
        <v>75</v>
      </c>
      <c r="T5" s="16">
        <f t="shared" si="1"/>
        <v>42</v>
      </c>
      <c r="U5" s="53">
        <v>319</v>
      </c>
      <c r="V5" s="16">
        <f t="shared" si="2"/>
        <v>3349.5</v>
      </c>
      <c r="W5" s="53">
        <v>2</v>
      </c>
      <c r="X5" s="53" t="s">
        <v>46</v>
      </c>
      <c r="Y5" s="53" t="s">
        <v>69</v>
      </c>
      <c r="Z5" s="53" t="s">
        <v>60</v>
      </c>
      <c r="AA5" s="53" t="s">
        <v>55</v>
      </c>
      <c r="AB5" s="53" t="s">
        <v>239</v>
      </c>
      <c r="AE5" s="22" t="s">
        <v>51</v>
      </c>
      <c r="AG5" s="169" t="s">
        <v>334</v>
      </c>
      <c r="AH5" s="114" t="s">
        <v>335</v>
      </c>
      <c r="AJ5" s="28"/>
      <c r="AL5" s="118" t="s">
        <v>66</v>
      </c>
      <c r="AN5" s="118" t="s">
        <v>52</v>
      </c>
      <c r="AP5" s="23" t="s">
        <v>119</v>
      </c>
      <c r="AR5" s="23" t="s">
        <v>54</v>
      </c>
      <c r="AV5" s="23" t="s">
        <v>55</v>
      </c>
      <c r="AX5" s="24">
        <v>84</v>
      </c>
      <c r="AY5" s="25">
        <v>39</v>
      </c>
      <c r="AZ5" s="25">
        <v>84</v>
      </c>
      <c r="BA5" s="26">
        <v>36</v>
      </c>
    </row>
    <row r="6" spans="1:53" x14ac:dyDescent="0.15">
      <c r="A6" s="53" t="s">
        <v>34</v>
      </c>
      <c r="B6" s="53" t="s">
        <v>235</v>
      </c>
      <c r="C6" s="53">
        <v>2019</v>
      </c>
      <c r="D6" s="167" t="s">
        <v>166</v>
      </c>
      <c r="E6" s="53" t="s">
        <v>328</v>
      </c>
      <c r="F6" s="53" t="s">
        <v>329</v>
      </c>
      <c r="G6" s="53" t="s">
        <v>36</v>
      </c>
      <c r="H6" s="53" t="s">
        <v>164</v>
      </c>
      <c r="I6" s="53" t="s">
        <v>159</v>
      </c>
      <c r="J6" s="53" t="s">
        <v>336</v>
      </c>
      <c r="K6" s="53" t="s">
        <v>161</v>
      </c>
      <c r="L6" s="53">
        <v>2</v>
      </c>
      <c r="N6" s="53">
        <v>4</v>
      </c>
      <c r="O6" s="53">
        <v>0.5</v>
      </c>
      <c r="P6" s="53">
        <v>0.5</v>
      </c>
      <c r="Q6" s="110">
        <f t="shared" si="0"/>
        <v>0.5</v>
      </c>
      <c r="R6" s="53">
        <v>17.100000000000001</v>
      </c>
      <c r="S6" s="53">
        <v>77</v>
      </c>
      <c r="T6" s="16">
        <f t="shared" si="1"/>
        <v>39</v>
      </c>
      <c r="U6" s="53">
        <v>319</v>
      </c>
      <c r="V6" s="16">
        <f t="shared" si="2"/>
        <v>3110.25</v>
      </c>
      <c r="W6" s="53">
        <v>2</v>
      </c>
      <c r="X6" s="53" t="s">
        <v>46</v>
      </c>
      <c r="Y6" s="53" t="s">
        <v>69</v>
      </c>
      <c r="Z6" s="53" t="s">
        <v>60</v>
      </c>
      <c r="AA6" s="53" t="s">
        <v>55</v>
      </c>
      <c r="AB6" s="53" t="s">
        <v>239</v>
      </c>
      <c r="AE6" s="22" t="s">
        <v>56</v>
      </c>
      <c r="AG6" s="169" t="s">
        <v>337</v>
      </c>
      <c r="AH6" s="114" t="s">
        <v>338</v>
      </c>
      <c r="AL6" s="118" t="s">
        <v>99</v>
      </c>
      <c r="AN6" s="118" t="s">
        <v>57</v>
      </c>
      <c r="AP6" s="23" t="s">
        <v>53</v>
      </c>
      <c r="AR6" s="23" t="s">
        <v>59</v>
      </c>
      <c r="AV6" s="23" t="s">
        <v>60</v>
      </c>
      <c r="AX6" s="24">
        <v>97</v>
      </c>
      <c r="AY6" s="25">
        <v>36</v>
      </c>
      <c r="AZ6" s="25">
        <v>99</v>
      </c>
      <c r="BA6" s="26">
        <v>33</v>
      </c>
    </row>
    <row r="7" spans="1:53" x14ac:dyDescent="0.15">
      <c r="A7" s="53" t="s">
        <v>34</v>
      </c>
      <c r="B7" s="53" t="s">
        <v>235</v>
      </c>
      <c r="C7" s="53">
        <v>2019</v>
      </c>
      <c r="D7" s="167" t="s">
        <v>166</v>
      </c>
      <c r="E7" s="53" t="s">
        <v>328</v>
      </c>
      <c r="F7" s="53" t="s">
        <v>329</v>
      </c>
      <c r="G7" s="53" t="s">
        <v>36</v>
      </c>
      <c r="H7" s="53" t="s">
        <v>164</v>
      </c>
      <c r="I7" s="53" t="s">
        <v>159</v>
      </c>
      <c r="J7" s="53" t="s">
        <v>38</v>
      </c>
      <c r="K7" s="53" t="s">
        <v>161</v>
      </c>
      <c r="L7" s="53">
        <v>3</v>
      </c>
      <c r="N7" s="53">
        <v>4</v>
      </c>
      <c r="O7" s="53">
        <v>0.6</v>
      </c>
      <c r="P7" s="53">
        <v>0.7</v>
      </c>
      <c r="Q7" s="110">
        <f t="shared" si="0"/>
        <v>0.64999999999999991</v>
      </c>
      <c r="R7" s="53">
        <v>17.100000000000001</v>
      </c>
      <c r="S7" s="53">
        <v>78</v>
      </c>
      <c r="T7" s="16">
        <f t="shared" si="1"/>
        <v>39</v>
      </c>
      <c r="U7" s="53">
        <v>319</v>
      </c>
      <c r="V7" s="16">
        <f t="shared" si="2"/>
        <v>3110.25</v>
      </c>
      <c r="W7" s="53">
        <v>2</v>
      </c>
      <c r="X7" s="53" t="s">
        <v>46</v>
      </c>
      <c r="Y7" s="53" t="s">
        <v>69</v>
      </c>
      <c r="Z7" s="53" t="s">
        <v>60</v>
      </c>
      <c r="AA7" s="53" t="s">
        <v>55</v>
      </c>
      <c r="AB7" s="53" t="s">
        <v>239</v>
      </c>
      <c r="AE7" s="22" t="s">
        <v>61</v>
      </c>
      <c r="AG7" s="169" t="s">
        <v>324</v>
      </c>
      <c r="AH7" s="114" t="s">
        <v>339</v>
      </c>
      <c r="AL7" s="34" t="s">
        <v>109</v>
      </c>
      <c r="AP7" s="23" t="s">
        <v>58</v>
      </c>
      <c r="AR7" s="23" t="s">
        <v>122</v>
      </c>
      <c r="AV7" s="23" t="s">
        <v>64</v>
      </c>
      <c r="AX7" s="24">
        <v>109</v>
      </c>
      <c r="AY7" s="25">
        <v>33</v>
      </c>
      <c r="AZ7" s="25">
        <v>113</v>
      </c>
      <c r="BA7" s="26">
        <v>30</v>
      </c>
    </row>
    <row r="8" spans="1:53" x14ac:dyDescent="0.15">
      <c r="A8" s="53" t="s">
        <v>34</v>
      </c>
      <c r="B8" s="53" t="s">
        <v>235</v>
      </c>
      <c r="C8" s="53">
        <v>2019</v>
      </c>
      <c r="D8" s="167" t="s">
        <v>166</v>
      </c>
      <c r="E8" s="53" t="s">
        <v>328</v>
      </c>
      <c r="F8" s="53" t="s">
        <v>329</v>
      </c>
      <c r="G8" s="53" t="s">
        <v>36</v>
      </c>
      <c r="H8" s="53" t="s">
        <v>160</v>
      </c>
      <c r="I8" s="53" t="s">
        <v>159</v>
      </c>
      <c r="J8" s="53" t="s">
        <v>38</v>
      </c>
      <c r="K8" s="53" t="s">
        <v>161</v>
      </c>
      <c r="L8" s="53">
        <v>1</v>
      </c>
      <c r="N8" s="53">
        <v>1</v>
      </c>
      <c r="O8" s="53">
        <v>0.65</v>
      </c>
      <c r="P8" s="53">
        <v>0.55000000000000004</v>
      </c>
      <c r="Q8" s="110">
        <f t="shared" si="0"/>
        <v>0.60000000000000009</v>
      </c>
      <c r="R8" s="53">
        <v>18</v>
      </c>
      <c r="S8" s="53">
        <v>124</v>
      </c>
      <c r="T8" s="16">
        <f t="shared" si="1"/>
        <v>30</v>
      </c>
      <c r="U8" s="53">
        <v>100</v>
      </c>
      <c r="V8" s="16">
        <f t="shared" si="2"/>
        <v>3000</v>
      </c>
      <c r="W8" s="53">
        <v>1</v>
      </c>
      <c r="X8" s="53" t="s">
        <v>46</v>
      </c>
      <c r="Y8" s="53" t="s">
        <v>69</v>
      </c>
      <c r="Z8" s="53" t="s">
        <v>60</v>
      </c>
      <c r="AA8" s="53" t="s">
        <v>55</v>
      </c>
      <c r="AB8" s="53" t="s">
        <v>239</v>
      </c>
      <c r="AE8" s="22" t="s">
        <v>59</v>
      </c>
      <c r="AG8" s="169" t="s">
        <v>340</v>
      </c>
      <c r="AH8" s="114" t="s">
        <v>341</v>
      </c>
      <c r="AL8" s="34" t="s">
        <v>134</v>
      </c>
      <c r="AP8" s="23" t="s">
        <v>62</v>
      </c>
      <c r="AR8" s="23" t="s">
        <v>81</v>
      </c>
      <c r="AV8" s="23" t="s">
        <v>97</v>
      </c>
      <c r="AX8" s="24">
        <v>151</v>
      </c>
      <c r="AY8" s="25">
        <v>22</v>
      </c>
      <c r="AZ8" s="25">
        <v>152</v>
      </c>
      <c r="BA8" s="26">
        <v>18</v>
      </c>
    </row>
    <row r="9" spans="1:53" x14ac:dyDescent="0.15">
      <c r="A9" s="53" t="s">
        <v>34</v>
      </c>
      <c r="B9" s="53" t="s">
        <v>235</v>
      </c>
      <c r="C9" s="53">
        <v>2019</v>
      </c>
      <c r="D9" s="167" t="s">
        <v>166</v>
      </c>
      <c r="E9" s="53" t="s">
        <v>328</v>
      </c>
      <c r="F9" s="53" t="s">
        <v>329</v>
      </c>
      <c r="G9" s="53" t="s">
        <v>36</v>
      </c>
      <c r="H9" s="53" t="s">
        <v>160</v>
      </c>
      <c r="I9" s="53" t="s">
        <v>159</v>
      </c>
      <c r="J9" s="53" t="s">
        <v>38</v>
      </c>
      <c r="K9" s="53" t="s">
        <v>161</v>
      </c>
      <c r="L9" s="53">
        <v>2</v>
      </c>
      <c r="N9" s="53">
        <v>1</v>
      </c>
      <c r="O9" s="53">
        <v>0.6</v>
      </c>
      <c r="P9" s="53">
        <v>0.5</v>
      </c>
      <c r="Q9" s="110">
        <f t="shared" si="0"/>
        <v>0.55000000000000004</v>
      </c>
      <c r="R9" s="53">
        <v>18.8</v>
      </c>
      <c r="S9" s="53">
        <v>121</v>
      </c>
      <c r="T9" s="16">
        <f t="shared" si="1"/>
        <v>30</v>
      </c>
      <c r="U9" s="53">
        <v>100</v>
      </c>
      <c r="V9" s="16">
        <f t="shared" si="2"/>
        <v>3000</v>
      </c>
      <c r="W9" s="53">
        <v>1</v>
      </c>
      <c r="X9" s="53" t="s">
        <v>46</v>
      </c>
      <c r="Y9" s="53" t="s">
        <v>69</v>
      </c>
      <c r="Z9" s="53" t="s">
        <v>60</v>
      </c>
      <c r="AA9" s="53" t="s">
        <v>55</v>
      </c>
      <c r="AB9" s="53" t="s">
        <v>239</v>
      </c>
      <c r="AE9" s="22" t="s">
        <v>98</v>
      </c>
      <c r="AG9" s="169" t="s">
        <v>342</v>
      </c>
      <c r="AH9" s="114" t="s">
        <v>343</v>
      </c>
      <c r="AL9" s="118"/>
      <c r="AP9" s="23" t="s">
        <v>95</v>
      </c>
      <c r="AR9" s="23" t="s">
        <v>89</v>
      </c>
      <c r="AV9" s="23" t="s">
        <v>102</v>
      </c>
      <c r="AX9" s="31">
        <v>180</v>
      </c>
      <c r="AY9" s="32">
        <v>18</v>
      </c>
      <c r="AZ9" s="32">
        <v>181</v>
      </c>
      <c r="BA9" s="33">
        <v>16</v>
      </c>
    </row>
    <row r="10" spans="1:53" x14ac:dyDescent="0.15">
      <c r="A10" s="53" t="s">
        <v>34</v>
      </c>
      <c r="B10" s="53" t="s">
        <v>235</v>
      </c>
      <c r="C10" s="53">
        <v>2019</v>
      </c>
      <c r="D10" s="167" t="s">
        <v>166</v>
      </c>
      <c r="E10" s="53" t="s">
        <v>328</v>
      </c>
      <c r="F10" s="53" t="s">
        <v>329</v>
      </c>
      <c r="G10" s="53" t="s">
        <v>36</v>
      </c>
      <c r="H10" s="53" t="s">
        <v>160</v>
      </c>
      <c r="I10" s="53" t="s">
        <v>159</v>
      </c>
      <c r="J10" s="53" t="s">
        <v>38</v>
      </c>
      <c r="K10" s="53" t="s">
        <v>161</v>
      </c>
      <c r="L10" s="53">
        <v>3</v>
      </c>
      <c r="N10" s="53">
        <v>1</v>
      </c>
      <c r="O10" s="53">
        <v>0.55000000000000004</v>
      </c>
      <c r="P10" s="53">
        <v>0.5</v>
      </c>
      <c r="Q10" s="110">
        <f t="shared" si="0"/>
        <v>0.52500000000000002</v>
      </c>
      <c r="R10" s="53">
        <v>20.2</v>
      </c>
      <c r="S10" s="53">
        <v>118</v>
      </c>
      <c r="T10" s="16">
        <f t="shared" si="1"/>
        <v>30</v>
      </c>
      <c r="U10" s="53">
        <v>100</v>
      </c>
      <c r="V10" s="16">
        <f t="shared" si="2"/>
        <v>3000</v>
      </c>
      <c r="W10" s="53">
        <v>1</v>
      </c>
      <c r="X10" s="53" t="s">
        <v>46</v>
      </c>
      <c r="Y10" s="53" t="s">
        <v>69</v>
      </c>
      <c r="Z10" s="53" t="s">
        <v>60</v>
      </c>
      <c r="AA10" s="53" t="s">
        <v>55</v>
      </c>
      <c r="AB10" s="53" t="s">
        <v>239</v>
      </c>
      <c r="AE10" s="22" t="s">
        <v>103</v>
      </c>
      <c r="AG10" s="169" t="s">
        <v>328</v>
      </c>
      <c r="AH10" s="114" t="s">
        <v>329</v>
      </c>
      <c r="AL10" s="34"/>
      <c r="AP10" s="23" t="s">
        <v>100</v>
      </c>
      <c r="AR10" s="23" t="s">
        <v>123</v>
      </c>
      <c r="AV10" s="23" t="s">
        <v>106</v>
      </c>
    </row>
    <row r="11" spans="1:53" x14ac:dyDescent="0.15">
      <c r="A11" s="53" t="s">
        <v>34</v>
      </c>
      <c r="B11" s="53" t="s">
        <v>235</v>
      </c>
      <c r="C11" s="53">
        <v>2019</v>
      </c>
      <c r="D11" s="167" t="s">
        <v>166</v>
      </c>
      <c r="E11" s="53" t="s">
        <v>340</v>
      </c>
      <c r="F11" s="53" t="s">
        <v>341</v>
      </c>
      <c r="G11" s="53" t="s">
        <v>36</v>
      </c>
      <c r="H11" s="53" t="s">
        <v>164</v>
      </c>
      <c r="I11" s="53" t="s">
        <v>159</v>
      </c>
      <c r="J11" s="53" t="s">
        <v>38</v>
      </c>
      <c r="K11" s="53" t="s">
        <v>161</v>
      </c>
      <c r="L11" s="53">
        <v>1</v>
      </c>
      <c r="N11" s="53">
        <v>1</v>
      </c>
      <c r="O11" s="53">
        <v>0.7</v>
      </c>
      <c r="P11" s="53">
        <v>0.7</v>
      </c>
      <c r="Q11" s="110">
        <f t="shared" si="0"/>
        <v>0.7</v>
      </c>
      <c r="R11" s="53">
        <v>18.5</v>
      </c>
      <c r="S11" s="53">
        <v>127</v>
      </c>
      <c r="T11" s="16">
        <f t="shared" si="1"/>
        <v>30</v>
      </c>
      <c r="U11" s="53">
        <v>105</v>
      </c>
      <c r="V11" s="16">
        <f t="shared" si="2"/>
        <v>3150</v>
      </c>
      <c r="W11" s="53">
        <v>3</v>
      </c>
      <c r="X11" s="53" t="s">
        <v>46</v>
      </c>
      <c r="Y11" s="53" t="s">
        <v>69</v>
      </c>
      <c r="Z11" s="53" t="s">
        <v>88</v>
      </c>
      <c r="AA11" s="53" t="s">
        <v>55</v>
      </c>
      <c r="AB11" s="53" t="s">
        <v>239</v>
      </c>
      <c r="AE11" s="22" t="s">
        <v>65</v>
      </c>
      <c r="AG11" s="169" t="s">
        <v>210</v>
      </c>
      <c r="AH11" s="114" t="s">
        <v>344</v>
      </c>
      <c r="AL11" s="34"/>
      <c r="AP11" s="23" t="s">
        <v>104</v>
      </c>
      <c r="AR11" s="23" t="s">
        <v>87</v>
      </c>
      <c r="AV11" s="23" t="s">
        <v>69</v>
      </c>
    </row>
    <row r="12" spans="1:53" x14ac:dyDescent="0.15">
      <c r="A12" s="53" t="s">
        <v>34</v>
      </c>
      <c r="B12" s="53" t="s">
        <v>235</v>
      </c>
      <c r="C12" s="53">
        <v>2019</v>
      </c>
      <c r="D12" s="167" t="s">
        <v>166</v>
      </c>
      <c r="E12" s="53" t="s">
        <v>340</v>
      </c>
      <c r="F12" s="53" t="s">
        <v>341</v>
      </c>
      <c r="G12" s="53" t="s">
        <v>36</v>
      </c>
      <c r="H12" s="53" t="s">
        <v>164</v>
      </c>
      <c r="I12" s="53" t="s">
        <v>159</v>
      </c>
      <c r="J12" s="53" t="s">
        <v>38</v>
      </c>
      <c r="K12" s="53" t="s">
        <v>161</v>
      </c>
      <c r="L12" s="53">
        <v>2</v>
      </c>
      <c r="N12" s="53">
        <v>1</v>
      </c>
      <c r="O12" s="53">
        <v>0.7</v>
      </c>
      <c r="P12" s="53">
        <v>0.65</v>
      </c>
      <c r="Q12" s="110">
        <f t="shared" si="0"/>
        <v>0.67500000000000004</v>
      </c>
      <c r="R12" s="53">
        <v>17.8</v>
      </c>
      <c r="S12" s="53">
        <v>130</v>
      </c>
      <c r="T12" s="16">
        <f t="shared" si="1"/>
        <v>30</v>
      </c>
      <c r="U12" s="53">
        <v>105</v>
      </c>
      <c r="V12" s="16">
        <f t="shared" si="2"/>
        <v>3150</v>
      </c>
      <c r="W12" s="53">
        <v>3</v>
      </c>
      <c r="X12" s="53" t="s">
        <v>46</v>
      </c>
      <c r="Y12" s="53" t="s">
        <v>69</v>
      </c>
      <c r="Z12" s="53" t="s">
        <v>88</v>
      </c>
      <c r="AA12" s="53" t="s">
        <v>55</v>
      </c>
      <c r="AB12" s="53" t="s">
        <v>239</v>
      </c>
      <c r="AE12" s="22" t="s">
        <v>70</v>
      </c>
      <c r="AG12" s="28"/>
      <c r="AH12" s="23"/>
      <c r="AL12" s="34"/>
      <c r="AP12" s="23" t="s">
        <v>67</v>
      </c>
      <c r="AR12" s="23" t="s">
        <v>124</v>
      </c>
      <c r="AV12" s="23" t="s">
        <v>72</v>
      </c>
    </row>
    <row r="13" spans="1:53" x14ac:dyDescent="0.15">
      <c r="A13" s="53" t="s">
        <v>34</v>
      </c>
      <c r="B13" s="53" t="s">
        <v>235</v>
      </c>
      <c r="C13" s="53">
        <v>2019</v>
      </c>
      <c r="D13" s="167" t="s">
        <v>166</v>
      </c>
      <c r="E13" s="53" t="s">
        <v>340</v>
      </c>
      <c r="F13" s="53" t="s">
        <v>341</v>
      </c>
      <c r="G13" s="53" t="s">
        <v>36</v>
      </c>
      <c r="H13" s="53" t="s">
        <v>164</v>
      </c>
      <c r="I13" s="53" t="s">
        <v>159</v>
      </c>
      <c r="J13" s="53" t="s">
        <v>38</v>
      </c>
      <c r="K13" s="53" t="s">
        <v>161</v>
      </c>
      <c r="L13" s="53">
        <v>3</v>
      </c>
      <c r="N13" s="53">
        <v>1</v>
      </c>
      <c r="O13" s="53">
        <v>0.7</v>
      </c>
      <c r="P13" s="53">
        <v>0.65</v>
      </c>
      <c r="Q13" s="110">
        <f t="shared" si="0"/>
        <v>0.67500000000000004</v>
      </c>
      <c r="R13" s="53">
        <v>17.8</v>
      </c>
      <c r="S13" s="53">
        <v>131</v>
      </c>
      <c r="T13" s="16">
        <f t="shared" si="1"/>
        <v>30</v>
      </c>
      <c r="U13" s="53">
        <v>105</v>
      </c>
      <c r="V13" s="16">
        <f t="shared" si="2"/>
        <v>3150</v>
      </c>
      <c r="W13" s="53">
        <v>3</v>
      </c>
      <c r="X13" s="53" t="s">
        <v>46</v>
      </c>
      <c r="Y13" s="53" t="s">
        <v>69</v>
      </c>
      <c r="Z13" s="53" t="s">
        <v>88</v>
      </c>
      <c r="AA13" s="53" t="s">
        <v>55</v>
      </c>
      <c r="AB13" s="53" t="s">
        <v>239</v>
      </c>
      <c r="AE13" s="22" t="s">
        <v>73</v>
      </c>
      <c r="AH13" s="28"/>
      <c r="AP13" s="23" t="s">
        <v>71</v>
      </c>
      <c r="AR13" s="23" t="s">
        <v>103</v>
      </c>
      <c r="AV13" s="23" t="s">
        <v>75</v>
      </c>
    </row>
    <row r="14" spans="1:53" x14ac:dyDescent="0.15">
      <c r="A14" s="53" t="s">
        <v>34</v>
      </c>
      <c r="B14" s="53" t="s">
        <v>235</v>
      </c>
      <c r="C14" s="53">
        <v>2019</v>
      </c>
      <c r="D14" s="167" t="s">
        <v>166</v>
      </c>
      <c r="E14" s="53" t="s">
        <v>340</v>
      </c>
      <c r="F14" s="53" t="s">
        <v>341</v>
      </c>
      <c r="G14" s="53" t="s">
        <v>36</v>
      </c>
      <c r="H14" s="53" t="s">
        <v>164</v>
      </c>
      <c r="I14" s="53" t="s">
        <v>159</v>
      </c>
      <c r="J14" s="53" t="s">
        <v>38</v>
      </c>
      <c r="K14" s="53" t="s">
        <v>161</v>
      </c>
      <c r="L14" s="53">
        <v>1</v>
      </c>
      <c r="N14" s="53">
        <v>8</v>
      </c>
      <c r="O14" s="53">
        <v>1</v>
      </c>
      <c r="P14" s="53">
        <v>0.9</v>
      </c>
      <c r="Q14" s="110">
        <f t="shared" si="0"/>
        <v>0.95</v>
      </c>
      <c r="R14" s="53">
        <v>18.3</v>
      </c>
      <c r="S14" s="53">
        <v>92</v>
      </c>
      <c r="T14" s="16">
        <f t="shared" si="1"/>
        <v>36</v>
      </c>
      <c r="U14" s="53">
        <v>410</v>
      </c>
      <c r="V14" s="16">
        <f t="shared" si="2"/>
        <v>1845</v>
      </c>
      <c r="W14" s="53">
        <v>3</v>
      </c>
      <c r="X14" s="53" t="s">
        <v>39</v>
      </c>
      <c r="Y14" s="53" t="s">
        <v>69</v>
      </c>
      <c r="Z14" s="53" t="s">
        <v>88</v>
      </c>
      <c r="AA14" s="53" t="s">
        <v>55</v>
      </c>
      <c r="AB14" s="53" t="s">
        <v>239</v>
      </c>
      <c r="AE14" s="22" t="s">
        <v>76</v>
      </c>
      <c r="AG14" s="170"/>
      <c r="AP14" s="23" t="s">
        <v>74</v>
      </c>
      <c r="AR14" s="23" t="s">
        <v>125</v>
      </c>
      <c r="AV14" s="23" t="s">
        <v>78</v>
      </c>
    </row>
    <row r="15" spans="1:53" x14ac:dyDescent="0.15">
      <c r="A15" s="53" t="s">
        <v>34</v>
      </c>
      <c r="B15" s="53" t="s">
        <v>235</v>
      </c>
      <c r="C15" s="53">
        <v>2019</v>
      </c>
      <c r="D15" s="167" t="s">
        <v>166</v>
      </c>
      <c r="E15" s="53" t="s">
        <v>340</v>
      </c>
      <c r="F15" s="53" t="s">
        <v>341</v>
      </c>
      <c r="G15" s="53" t="s">
        <v>36</v>
      </c>
      <c r="H15" s="53" t="s">
        <v>164</v>
      </c>
      <c r="I15" s="53" t="s">
        <v>159</v>
      </c>
      <c r="J15" s="53" t="s">
        <v>38</v>
      </c>
      <c r="K15" s="53" t="s">
        <v>161</v>
      </c>
      <c r="L15" s="53">
        <v>2</v>
      </c>
      <c r="N15" s="53">
        <v>8</v>
      </c>
      <c r="O15" s="53">
        <v>0.85</v>
      </c>
      <c r="P15" s="53">
        <v>0.75</v>
      </c>
      <c r="Q15" s="110">
        <f t="shared" si="0"/>
        <v>0.8</v>
      </c>
      <c r="R15" s="53">
        <v>17.3</v>
      </c>
      <c r="S15" s="53">
        <v>87</v>
      </c>
      <c r="T15" s="16">
        <f t="shared" si="1"/>
        <v>36</v>
      </c>
      <c r="U15" s="53">
        <v>410</v>
      </c>
      <c r="V15" s="16">
        <f t="shared" si="2"/>
        <v>1845</v>
      </c>
      <c r="W15" s="53">
        <v>3</v>
      </c>
      <c r="X15" s="53" t="s">
        <v>39</v>
      </c>
      <c r="Y15" s="53" t="s">
        <v>69</v>
      </c>
      <c r="Z15" s="53" t="s">
        <v>88</v>
      </c>
      <c r="AA15" s="53" t="s">
        <v>55</v>
      </c>
      <c r="AB15" s="53" t="s">
        <v>239</v>
      </c>
      <c r="AE15" s="22" t="s">
        <v>79</v>
      </c>
      <c r="AP15" s="23" t="s">
        <v>77</v>
      </c>
      <c r="AR15" s="23" t="s">
        <v>94</v>
      </c>
      <c r="AV15" s="23" t="s">
        <v>107</v>
      </c>
    </row>
    <row r="16" spans="1:53" x14ac:dyDescent="0.15">
      <c r="A16" s="53" t="s">
        <v>34</v>
      </c>
      <c r="B16" s="53" t="s">
        <v>235</v>
      </c>
      <c r="C16" s="53">
        <v>2019</v>
      </c>
      <c r="D16" s="167" t="s">
        <v>166</v>
      </c>
      <c r="E16" s="53" t="s">
        <v>340</v>
      </c>
      <c r="F16" s="53" t="s">
        <v>341</v>
      </c>
      <c r="G16" s="53" t="s">
        <v>36</v>
      </c>
      <c r="H16" s="53" t="s">
        <v>164</v>
      </c>
      <c r="I16" s="53" t="s">
        <v>159</v>
      </c>
      <c r="J16" s="53" t="s">
        <v>38</v>
      </c>
      <c r="K16" s="53" t="s">
        <v>161</v>
      </c>
      <c r="L16" s="53">
        <v>3</v>
      </c>
      <c r="N16" s="53">
        <v>8</v>
      </c>
      <c r="O16" s="53">
        <v>0.95</v>
      </c>
      <c r="P16" s="53">
        <v>0.75</v>
      </c>
      <c r="Q16" s="110">
        <f t="shared" si="0"/>
        <v>0.85</v>
      </c>
      <c r="R16" s="53">
        <v>16.5</v>
      </c>
      <c r="S16" s="53">
        <v>93</v>
      </c>
      <c r="T16" s="16">
        <f t="shared" si="1"/>
        <v>36</v>
      </c>
      <c r="U16" s="53">
        <v>410</v>
      </c>
      <c r="V16" s="16">
        <f t="shared" si="2"/>
        <v>1845</v>
      </c>
      <c r="W16" s="53">
        <v>3</v>
      </c>
      <c r="X16" s="53" t="s">
        <v>39</v>
      </c>
      <c r="Y16" s="53" t="s">
        <v>69</v>
      </c>
      <c r="Z16" s="53" t="s">
        <v>88</v>
      </c>
      <c r="AA16" s="53" t="s">
        <v>55</v>
      </c>
      <c r="AB16" s="53" t="s">
        <v>239</v>
      </c>
      <c r="AE16" s="22" t="s">
        <v>82</v>
      </c>
      <c r="AP16" s="23" t="s">
        <v>80</v>
      </c>
      <c r="AR16" s="23" t="s">
        <v>63</v>
      </c>
      <c r="AV16" s="23" t="s">
        <v>84</v>
      </c>
    </row>
    <row r="17" spans="1:48" x14ac:dyDescent="0.15">
      <c r="A17" s="53" t="s">
        <v>34</v>
      </c>
      <c r="B17" s="53" t="s">
        <v>235</v>
      </c>
      <c r="C17" s="53">
        <v>2019</v>
      </c>
      <c r="D17" s="167" t="s">
        <v>166</v>
      </c>
      <c r="E17" s="53" t="s">
        <v>340</v>
      </c>
      <c r="F17" s="53" t="s">
        <v>341</v>
      </c>
      <c r="G17" s="53" t="s">
        <v>36</v>
      </c>
      <c r="H17" s="53" t="s">
        <v>160</v>
      </c>
      <c r="I17" s="53" t="s">
        <v>159</v>
      </c>
      <c r="J17" s="53" t="s">
        <v>38</v>
      </c>
      <c r="K17" s="53" t="s">
        <v>161</v>
      </c>
      <c r="L17" s="53">
        <v>1</v>
      </c>
      <c r="N17" s="53">
        <v>1</v>
      </c>
      <c r="O17" s="53">
        <v>0.5</v>
      </c>
      <c r="P17" s="53">
        <v>0.65</v>
      </c>
      <c r="Q17" s="110">
        <f t="shared" si="0"/>
        <v>0.57499999999999996</v>
      </c>
      <c r="R17" s="53">
        <v>17.100000000000001</v>
      </c>
      <c r="S17" s="53">
        <v>126</v>
      </c>
      <c r="T17" s="16">
        <f t="shared" si="1"/>
        <v>30</v>
      </c>
      <c r="U17" s="53">
        <v>105</v>
      </c>
      <c r="V17" s="16">
        <f t="shared" si="2"/>
        <v>3150</v>
      </c>
      <c r="W17" s="53">
        <v>9</v>
      </c>
      <c r="X17" s="53" t="s">
        <v>46</v>
      </c>
      <c r="Y17" s="53" t="s">
        <v>69</v>
      </c>
      <c r="Z17" s="53" t="s">
        <v>88</v>
      </c>
      <c r="AA17" s="53" t="s">
        <v>55</v>
      </c>
      <c r="AB17" s="53" t="s">
        <v>239</v>
      </c>
      <c r="AE17" s="22" t="s">
        <v>85</v>
      </c>
      <c r="AP17" s="27" t="s">
        <v>110</v>
      </c>
      <c r="AR17" s="23" t="s">
        <v>96</v>
      </c>
      <c r="AV17" s="23" t="s">
        <v>86</v>
      </c>
    </row>
    <row r="18" spans="1:48" x14ac:dyDescent="0.15">
      <c r="A18" s="53" t="s">
        <v>34</v>
      </c>
      <c r="B18" s="53" t="s">
        <v>235</v>
      </c>
      <c r="C18" s="53">
        <v>2019</v>
      </c>
      <c r="D18" s="167" t="s">
        <v>166</v>
      </c>
      <c r="E18" s="53" t="s">
        <v>340</v>
      </c>
      <c r="F18" s="53" t="s">
        <v>341</v>
      </c>
      <c r="G18" s="53" t="s">
        <v>36</v>
      </c>
      <c r="H18" s="53" t="s">
        <v>160</v>
      </c>
      <c r="I18" s="53" t="s">
        <v>159</v>
      </c>
      <c r="J18" s="53" t="s">
        <v>38</v>
      </c>
      <c r="K18" s="53" t="s">
        <v>161</v>
      </c>
      <c r="L18" s="53">
        <v>2</v>
      </c>
      <c r="N18" s="53">
        <v>1</v>
      </c>
      <c r="O18" s="53">
        <v>0.55000000000000004</v>
      </c>
      <c r="P18" s="53">
        <v>0.5</v>
      </c>
      <c r="Q18" s="110">
        <f t="shared" si="0"/>
        <v>0.52500000000000002</v>
      </c>
      <c r="R18" s="53">
        <v>12.9</v>
      </c>
      <c r="S18" s="53">
        <v>125</v>
      </c>
      <c r="T18" s="16">
        <f t="shared" si="1"/>
        <v>30</v>
      </c>
      <c r="U18" s="53">
        <v>105</v>
      </c>
      <c r="V18" s="16">
        <f t="shared" si="2"/>
        <v>3150</v>
      </c>
      <c r="W18" s="53">
        <v>9</v>
      </c>
      <c r="X18" s="53" t="s">
        <v>46</v>
      </c>
      <c r="Y18" s="53" t="s">
        <v>69</v>
      </c>
      <c r="Z18" s="53" t="s">
        <v>88</v>
      </c>
      <c r="AA18" s="53" t="s">
        <v>55</v>
      </c>
      <c r="AB18" s="53" t="s">
        <v>239</v>
      </c>
      <c r="AE18" s="22" t="s">
        <v>87</v>
      </c>
      <c r="AP18" s="27" t="s">
        <v>111</v>
      </c>
      <c r="AR18" s="23" t="s">
        <v>101</v>
      </c>
      <c r="AV18" s="23" t="s">
        <v>88</v>
      </c>
    </row>
    <row r="19" spans="1:48" x14ac:dyDescent="0.15">
      <c r="A19" s="53" t="s">
        <v>34</v>
      </c>
      <c r="B19" s="53" t="s">
        <v>235</v>
      </c>
      <c r="C19" s="53">
        <v>2019</v>
      </c>
      <c r="D19" s="167" t="s">
        <v>166</v>
      </c>
      <c r="E19" s="53" t="s">
        <v>340</v>
      </c>
      <c r="F19" s="53" t="s">
        <v>341</v>
      </c>
      <c r="G19" s="53" t="s">
        <v>36</v>
      </c>
      <c r="H19" s="53" t="s">
        <v>160</v>
      </c>
      <c r="I19" s="53" t="s">
        <v>159</v>
      </c>
      <c r="J19" s="53" t="s">
        <v>38</v>
      </c>
      <c r="K19" s="53" t="s">
        <v>161</v>
      </c>
      <c r="L19" s="53">
        <v>3</v>
      </c>
      <c r="N19" s="53">
        <v>1</v>
      </c>
      <c r="O19" s="53">
        <v>0.55000000000000004</v>
      </c>
      <c r="P19" s="53">
        <v>0.55000000000000004</v>
      </c>
      <c r="Q19" s="110">
        <f t="shared" si="0"/>
        <v>0.55000000000000004</v>
      </c>
      <c r="R19" s="53">
        <v>19.2</v>
      </c>
      <c r="S19" s="53">
        <v>129</v>
      </c>
      <c r="T19" s="16">
        <f t="shared" si="1"/>
        <v>30</v>
      </c>
      <c r="U19" s="53">
        <v>105</v>
      </c>
      <c r="V19" s="16">
        <f t="shared" si="2"/>
        <v>3150</v>
      </c>
      <c r="W19" s="53">
        <v>9</v>
      </c>
      <c r="X19" s="53" t="s">
        <v>46</v>
      </c>
      <c r="Y19" s="53" t="s">
        <v>69</v>
      </c>
      <c r="Z19" s="53" t="s">
        <v>88</v>
      </c>
      <c r="AA19" s="53" t="s">
        <v>55</v>
      </c>
      <c r="AB19" s="53" t="s">
        <v>239</v>
      </c>
      <c r="AE19" s="35" t="s">
        <v>89</v>
      </c>
      <c r="AP19" s="27" t="s">
        <v>112</v>
      </c>
      <c r="AR19" s="23" t="s">
        <v>126</v>
      </c>
      <c r="AV19" s="23" t="s">
        <v>90</v>
      </c>
    </row>
    <row r="20" spans="1:48" x14ac:dyDescent="0.15">
      <c r="A20" s="53" t="s">
        <v>34</v>
      </c>
      <c r="B20" s="53" t="s">
        <v>235</v>
      </c>
      <c r="C20" s="53">
        <v>2019</v>
      </c>
      <c r="D20" s="167" t="s">
        <v>166</v>
      </c>
      <c r="E20" s="53" t="s">
        <v>340</v>
      </c>
      <c r="F20" s="53" t="s">
        <v>341</v>
      </c>
      <c r="G20" s="53" t="s">
        <v>36</v>
      </c>
      <c r="H20" s="53" t="s">
        <v>160</v>
      </c>
      <c r="I20" s="53" t="s">
        <v>198</v>
      </c>
      <c r="J20" s="53" t="s">
        <v>38</v>
      </c>
      <c r="K20" s="53" t="s">
        <v>161</v>
      </c>
      <c r="L20" s="53">
        <v>1</v>
      </c>
      <c r="N20" s="53">
        <v>1</v>
      </c>
      <c r="O20" s="53">
        <v>0.55000000000000004</v>
      </c>
      <c r="P20" s="53">
        <v>0.55000000000000004</v>
      </c>
      <c r="Q20" s="110">
        <f t="shared" si="0"/>
        <v>0.55000000000000004</v>
      </c>
      <c r="R20" s="53">
        <v>19.7</v>
      </c>
      <c r="S20" s="53">
        <v>128</v>
      </c>
      <c r="T20" s="16">
        <f t="shared" si="1"/>
        <v>30</v>
      </c>
      <c r="U20" s="53">
        <v>105</v>
      </c>
      <c r="V20" s="16">
        <f t="shared" si="2"/>
        <v>3150</v>
      </c>
      <c r="W20" s="53">
        <v>9</v>
      </c>
      <c r="X20" s="53" t="s">
        <v>46</v>
      </c>
      <c r="Y20" s="53" t="s">
        <v>69</v>
      </c>
      <c r="Z20" s="53" t="s">
        <v>88</v>
      </c>
      <c r="AA20" s="53" t="s">
        <v>55</v>
      </c>
      <c r="AB20" s="53" t="s">
        <v>239</v>
      </c>
      <c r="AP20" s="27" t="s">
        <v>113</v>
      </c>
      <c r="AR20" s="23" t="s">
        <v>105</v>
      </c>
      <c r="AV20" s="27" t="s">
        <v>135</v>
      </c>
    </row>
    <row r="21" spans="1:48" x14ac:dyDescent="0.15">
      <c r="A21" s="53" t="s">
        <v>34</v>
      </c>
      <c r="B21" s="53" t="s">
        <v>235</v>
      </c>
      <c r="C21" s="53">
        <v>2019</v>
      </c>
      <c r="D21" s="167" t="s">
        <v>166</v>
      </c>
      <c r="E21" s="53" t="s">
        <v>340</v>
      </c>
      <c r="F21" s="53" t="s">
        <v>341</v>
      </c>
      <c r="G21" s="53" t="s">
        <v>36</v>
      </c>
      <c r="H21" s="53" t="s">
        <v>160</v>
      </c>
      <c r="I21" s="53" t="s">
        <v>198</v>
      </c>
      <c r="J21" s="53" t="s">
        <v>38</v>
      </c>
      <c r="K21" s="53" t="s">
        <v>161</v>
      </c>
      <c r="L21" s="53">
        <v>2</v>
      </c>
      <c r="N21" s="53">
        <v>1</v>
      </c>
      <c r="O21" s="53">
        <v>0.65</v>
      </c>
      <c r="P21" s="53">
        <v>0.6</v>
      </c>
      <c r="Q21" s="110">
        <f t="shared" si="0"/>
        <v>0.625</v>
      </c>
      <c r="R21" s="53">
        <v>18.899999999999999</v>
      </c>
      <c r="S21" s="53">
        <v>128</v>
      </c>
      <c r="T21" s="16">
        <f t="shared" si="1"/>
        <v>30</v>
      </c>
      <c r="U21" s="53">
        <v>105</v>
      </c>
      <c r="V21" s="16">
        <f t="shared" si="2"/>
        <v>3150</v>
      </c>
      <c r="W21" s="53">
        <v>9</v>
      </c>
      <c r="X21" s="53" t="s">
        <v>46</v>
      </c>
      <c r="Y21" s="53" t="s">
        <v>69</v>
      </c>
      <c r="Z21" s="53" t="s">
        <v>88</v>
      </c>
      <c r="AA21" s="53" t="s">
        <v>55</v>
      </c>
      <c r="AB21" s="53" t="s">
        <v>239</v>
      </c>
      <c r="AP21" s="27" t="s">
        <v>114</v>
      </c>
      <c r="AR21" s="23" t="s">
        <v>68</v>
      </c>
      <c r="AV21" s="27" t="s">
        <v>136</v>
      </c>
    </row>
    <row r="22" spans="1:48" x14ac:dyDescent="0.15">
      <c r="A22" s="53" t="s">
        <v>34</v>
      </c>
      <c r="B22" s="53" t="s">
        <v>235</v>
      </c>
      <c r="C22" s="53">
        <v>2019</v>
      </c>
      <c r="D22" s="167" t="s">
        <v>166</v>
      </c>
      <c r="E22" s="53" t="s">
        <v>340</v>
      </c>
      <c r="F22" s="53" t="s">
        <v>341</v>
      </c>
      <c r="G22" s="53" t="s">
        <v>36</v>
      </c>
      <c r="H22" s="53" t="s">
        <v>345</v>
      </c>
      <c r="I22" s="53" t="s">
        <v>198</v>
      </c>
      <c r="J22" s="53" t="s">
        <v>38</v>
      </c>
      <c r="K22" s="53" t="s">
        <v>161</v>
      </c>
      <c r="L22" s="53">
        <v>3</v>
      </c>
      <c r="N22" s="53">
        <v>1</v>
      </c>
      <c r="O22" s="53">
        <v>0.75</v>
      </c>
      <c r="P22" s="53">
        <v>0.75</v>
      </c>
      <c r="Q22" s="110">
        <f t="shared" si="0"/>
        <v>0.75</v>
      </c>
      <c r="R22" s="53">
        <v>17.2</v>
      </c>
      <c r="S22" s="53">
        <v>132</v>
      </c>
      <c r="T22" s="16">
        <f t="shared" si="1"/>
        <v>30</v>
      </c>
      <c r="U22" s="53">
        <v>105</v>
      </c>
      <c r="V22" s="16">
        <f t="shared" si="2"/>
        <v>3150</v>
      </c>
      <c r="W22" s="53">
        <v>9</v>
      </c>
      <c r="X22" s="53" t="s">
        <v>46</v>
      </c>
      <c r="Y22" s="53" t="s">
        <v>69</v>
      </c>
      <c r="Z22" s="53" t="s">
        <v>88</v>
      </c>
      <c r="AA22" s="53" t="s">
        <v>55</v>
      </c>
      <c r="AB22" s="53" t="s">
        <v>239</v>
      </c>
      <c r="AP22" s="27" t="s">
        <v>115</v>
      </c>
      <c r="AR22" s="23" t="s">
        <v>83</v>
      </c>
      <c r="AV22" s="27"/>
    </row>
    <row r="23" spans="1:48" x14ac:dyDescent="0.15">
      <c r="A23" s="53" t="s">
        <v>34</v>
      </c>
      <c r="B23" s="53" t="s">
        <v>235</v>
      </c>
      <c r="C23" s="53">
        <v>2019</v>
      </c>
      <c r="D23" s="167" t="s">
        <v>166</v>
      </c>
      <c r="E23" s="53" t="s">
        <v>340</v>
      </c>
      <c r="F23" s="53" t="s">
        <v>341</v>
      </c>
      <c r="G23" s="53" t="s">
        <v>36</v>
      </c>
      <c r="H23" s="53" t="s">
        <v>345</v>
      </c>
      <c r="I23" s="53" t="s">
        <v>159</v>
      </c>
      <c r="J23" s="53" t="s">
        <v>38</v>
      </c>
      <c r="K23" s="53" t="s">
        <v>161</v>
      </c>
      <c r="L23" s="53">
        <v>1</v>
      </c>
      <c r="N23" s="53">
        <v>8</v>
      </c>
      <c r="O23" s="53">
        <v>0.5</v>
      </c>
      <c r="P23" s="53">
        <v>0.5</v>
      </c>
      <c r="Q23" s="110">
        <f t="shared" si="0"/>
        <v>0.5</v>
      </c>
      <c r="R23" s="53">
        <v>17.899999999999999</v>
      </c>
      <c r="S23" s="53">
        <v>85</v>
      </c>
      <c r="T23" s="16">
        <f t="shared" si="1"/>
        <v>36</v>
      </c>
      <c r="U23" s="53">
        <v>537</v>
      </c>
      <c r="V23" s="16">
        <f t="shared" si="2"/>
        <v>2416.5</v>
      </c>
      <c r="W23" s="53">
        <v>9</v>
      </c>
      <c r="X23" s="53" t="s">
        <v>46</v>
      </c>
      <c r="Y23" s="53" t="s">
        <v>69</v>
      </c>
      <c r="Z23" s="53" t="s">
        <v>88</v>
      </c>
      <c r="AA23" s="53" t="s">
        <v>55</v>
      </c>
      <c r="AB23" s="53" t="s">
        <v>239</v>
      </c>
      <c r="AP23" s="27" t="s">
        <v>117</v>
      </c>
      <c r="AR23" s="23" t="s">
        <v>153</v>
      </c>
    </row>
    <row r="24" spans="1:48" x14ac:dyDescent="0.15">
      <c r="A24" s="53" t="s">
        <v>34</v>
      </c>
      <c r="B24" s="53" t="s">
        <v>235</v>
      </c>
      <c r="C24" s="53">
        <v>2019</v>
      </c>
      <c r="D24" s="167" t="s">
        <v>166</v>
      </c>
      <c r="E24" s="53" t="s">
        <v>340</v>
      </c>
      <c r="F24" s="53" t="s">
        <v>341</v>
      </c>
      <c r="G24" s="53" t="s">
        <v>36</v>
      </c>
      <c r="H24" s="53" t="s">
        <v>345</v>
      </c>
      <c r="I24" s="53" t="s">
        <v>159</v>
      </c>
      <c r="J24" s="53" t="s">
        <v>38</v>
      </c>
      <c r="K24" s="53" t="s">
        <v>161</v>
      </c>
      <c r="L24" s="53">
        <v>2</v>
      </c>
      <c r="N24" s="53">
        <v>8</v>
      </c>
      <c r="O24" s="53">
        <v>0.6</v>
      </c>
      <c r="P24" s="53">
        <v>0.75</v>
      </c>
      <c r="Q24" s="110">
        <f t="shared" si="0"/>
        <v>0.67500000000000004</v>
      </c>
      <c r="R24" s="53">
        <v>17.5</v>
      </c>
      <c r="S24" s="53">
        <v>84</v>
      </c>
      <c r="T24" s="16">
        <f t="shared" si="1"/>
        <v>36</v>
      </c>
      <c r="U24" s="53">
        <v>537</v>
      </c>
      <c r="V24" s="16">
        <f t="shared" si="2"/>
        <v>2416.5</v>
      </c>
      <c r="W24" s="53">
        <v>9</v>
      </c>
      <c r="X24" s="53" t="s">
        <v>46</v>
      </c>
      <c r="Y24" s="53" t="s">
        <v>69</v>
      </c>
      <c r="Z24" s="53" t="s">
        <v>88</v>
      </c>
      <c r="AA24" s="53" t="s">
        <v>55</v>
      </c>
      <c r="AB24" s="53" t="s">
        <v>239</v>
      </c>
      <c r="AP24" s="27" t="s">
        <v>118</v>
      </c>
    </row>
    <row r="25" spans="1:48" x14ac:dyDescent="0.15">
      <c r="A25" s="53" t="s">
        <v>34</v>
      </c>
      <c r="B25" s="53" t="s">
        <v>235</v>
      </c>
      <c r="C25" s="53">
        <v>2019</v>
      </c>
      <c r="D25" s="167" t="s">
        <v>166</v>
      </c>
      <c r="E25" s="53" t="s">
        <v>340</v>
      </c>
      <c r="F25" s="53" t="s">
        <v>341</v>
      </c>
      <c r="G25" s="53" t="s">
        <v>36</v>
      </c>
      <c r="H25" s="53" t="s">
        <v>345</v>
      </c>
      <c r="I25" s="53" t="s">
        <v>159</v>
      </c>
      <c r="J25" s="53" t="s">
        <v>38</v>
      </c>
      <c r="K25" s="53" t="s">
        <v>161</v>
      </c>
      <c r="L25" s="53">
        <v>3</v>
      </c>
      <c r="N25" s="53">
        <v>8</v>
      </c>
      <c r="O25" s="53">
        <v>0.7</v>
      </c>
      <c r="P25" s="53">
        <v>0.65</v>
      </c>
      <c r="Q25" s="110">
        <f t="shared" si="0"/>
        <v>0.67500000000000004</v>
      </c>
      <c r="R25" s="53">
        <v>19.600000000000001</v>
      </c>
      <c r="S25" s="53">
        <v>91</v>
      </c>
      <c r="T25" s="16">
        <f t="shared" si="1"/>
        <v>36</v>
      </c>
      <c r="U25" s="53">
        <v>537</v>
      </c>
      <c r="V25" s="16">
        <f t="shared" si="2"/>
        <v>2416.5</v>
      </c>
      <c r="W25" s="53">
        <v>9</v>
      </c>
      <c r="X25" s="53" t="s">
        <v>46</v>
      </c>
      <c r="Y25" s="53" t="s">
        <v>69</v>
      </c>
      <c r="Z25" s="53" t="s">
        <v>88</v>
      </c>
      <c r="AA25" s="53" t="s">
        <v>55</v>
      </c>
      <c r="AB25" s="53" t="s">
        <v>239</v>
      </c>
    </row>
    <row r="26" spans="1:48" x14ac:dyDescent="0.15">
      <c r="A26" s="53" t="s">
        <v>34</v>
      </c>
      <c r="B26" s="53" t="s">
        <v>235</v>
      </c>
      <c r="C26" s="53">
        <v>2019</v>
      </c>
      <c r="D26" s="167" t="s">
        <v>166</v>
      </c>
      <c r="E26" s="53" t="s">
        <v>210</v>
      </c>
      <c r="F26" s="53" t="s">
        <v>344</v>
      </c>
      <c r="G26" s="53" t="s">
        <v>36</v>
      </c>
      <c r="H26" s="53" t="s">
        <v>164</v>
      </c>
      <c r="I26" s="53" t="s">
        <v>159</v>
      </c>
      <c r="J26" s="53" t="s">
        <v>38</v>
      </c>
      <c r="K26" s="53" t="s">
        <v>161</v>
      </c>
      <c r="L26" s="53">
        <v>1</v>
      </c>
      <c r="N26" s="53">
        <v>1</v>
      </c>
      <c r="O26" s="53">
        <v>0.65</v>
      </c>
      <c r="P26" s="53">
        <v>0.65</v>
      </c>
      <c r="Q26" s="110">
        <f t="shared" si="0"/>
        <v>0.65</v>
      </c>
      <c r="R26" s="53">
        <v>18.2</v>
      </c>
      <c r="S26" s="53">
        <v>116</v>
      </c>
      <c r="T26" s="16">
        <f t="shared" si="1"/>
        <v>30</v>
      </c>
      <c r="U26" s="53">
        <v>96</v>
      </c>
      <c r="V26" s="16">
        <f t="shared" si="2"/>
        <v>2880</v>
      </c>
      <c r="W26" s="53">
        <v>3</v>
      </c>
      <c r="X26" s="53" t="s">
        <v>46</v>
      </c>
      <c r="Y26" s="53" t="s">
        <v>88</v>
      </c>
      <c r="Z26" s="53" t="s">
        <v>97</v>
      </c>
      <c r="AA26" s="53" t="s">
        <v>55</v>
      </c>
      <c r="AB26" s="53" t="s">
        <v>239</v>
      </c>
    </row>
    <row r="27" spans="1:48" x14ac:dyDescent="0.15">
      <c r="A27" s="53" t="s">
        <v>34</v>
      </c>
      <c r="B27" s="53" t="s">
        <v>235</v>
      </c>
      <c r="C27" s="53">
        <v>2019</v>
      </c>
      <c r="D27" s="167" t="s">
        <v>166</v>
      </c>
      <c r="E27" s="53" t="s">
        <v>210</v>
      </c>
      <c r="F27" s="53" t="s">
        <v>344</v>
      </c>
      <c r="G27" s="53" t="s">
        <v>36</v>
      </c>
      <c r="H27" s="53" t="s">
        <v>164</v>
      </c>
      <c r="I27" s="53" t="s">
        <v>159</v>
      </c>
      <c r="J27" s="53" t="s">
        <v>38</v>
      </c>
      <c r="K27" s="53" t="s">
        <v>161</v>
      </c>
      <c r="L27" s="53">
        <v>2</v>
      </c>
      <c r="N27" s="53">
        <v>1</v>
      </c>
      <c r="O27" s="53">
        <v>0.7</v>
      </c>
      <c r="P27" s="53">
        <v>0.7</v>
      </c>
      <c r="Q27" s="110">
        <f t="shared" si="0"/>
        <v>0.7</v>
      </c>
      <c r="R27" s="53">
        <v>16.8</v>
      </c>
      <c r="S27" s="53">
        <v>107</v>
      </c>
      <c r="T27" s="16">
        <f t="shared" si="1"/>
        <v>33</v>
      </c>
      <c r="U27" s="53">
        <v>96</v>
      </c>
      <c r="V27" s="16">
        <f t="shared" si="2"/>
        <v>3168</v>
      </c>
      <c r="W27" s="53">
        <v>3</v>
      </c>
      <c r="X27" s="53" t="s">
        <v>46</v>
      </c>
      <c r="Y27" s="53" t="s">
        <v>88</v>
      </c>
      <c r="Z27" s="53" t="s">
        <v>97</v>
      </c>
      <c r="AA27" s="53" t="s">
        <v>55</v>
      </c>
      <c r="AB27" s="53" t="s">
        <v>239</v>
      </c>
    </row>
    <row r="28" spans="1:48" x14ac:dyDescent="0.15">
      <c r="A28" s="53" t="s">
        <v>34</v>
      </c>
      <c r="B28" s="53" t="s">
        <v>235</v>
      </c>
      <c r="C28" s="53">
        <v>2019</v>
      </c>
      <c r="D28" s="167" t="s">
        <v>166</v>
      </c>
      <c r="E28" s="53" t="s">
        <v>210</v>
      </c>
      <c r="F28" s="53" t="s">
        <v>344</v>
      </c>
      <c r="G28" s="53" t="s">
        <v>36</v>
      </c>
      <c r="H28" s="53" t="s">
        <v>164</v>
      </c>
      <c r="I28" s="53" t="s">
        <v>159</v>
      </c>
      <c r="J28" s="53" t="s">
        <v>38</v>
      </c>
      <c r="K28" s="53" t="s">
        <v>161</v>
      </c>
      <c r="L28" s="53">
        <v>3</v>
      </c>
      <c r="N28" s="53">
        <v>1</v>
      </c>
      <c r="O28" s="53">
        <v>0.2</v>
      </c>
      <c r="P28" s="53">
        <v>0.2</v>
      </c>
      <c r="Q28" s="110">
        <f>IF(OR(O28="",P28=""),"",AVERAGE(O28,P28))</f>
        <v>0.2</v>
      </c>
      <c r="R28" s="53">
        <v>17.399999999999999</v>
      </c>
      <c r="S28" s="53">
        <v>109</v>
      </c>
      <c r="T28" s="16">
        <f t="shared" si="1"/>
        <v>33</v>
      </c>
      <c r="U28" s="53">
        <v>96</v>
      </c>
      <c r="V28" s="16">
        <f t="shared" si="2"/>
        <v>3168</v>
      </c>
      <c r="W28" s="53">
        <v>3</v>
      </c>
      <c r="X28" s="53" t="s">
        <v>46</v>
      </c>
      <c r="Y28" s="53" t="s">
        <v>88</v>
      </c>
      <c r="Z28" s="53" t="s">
        <v>97</v>
      </c>
      <c r="AA28" s="53" t="s">
        <v>55</v>
      </c>
      <c r="AB28" s="53" t="s">
        <v>239</v>
      </c>
    </row>
    <row r="29" spans="1:48" x14ac:dyDescent="0.15">
      <c r="A29" s="53" t="s">
        <v>34</v>
      </c>
      <c r="B29" s="53" t="s">
        <v>235</v>
      </c>
      <c r="C29" s="53">
        <v>2019</v>
      </c>
      <c r="D29" s="167" t="s">
        <v>166</v>
      </c>
      <c r="E29" s="53" t="s">
        <v>210</v>
      </c>
      <c r="F29" s="53" t="s">
        <v>344</v>
      </c>
      <c r="G29" s="53" t="s">
        <v>36</v>
      </c>
      <c r="H29" s="53" t="s">
        <v>164</v>
      </c>
      <c r="I29" s="53" t="s">
        <v>159</v>
      </c>
      <c r="J29" s="53" t="s">
        <v>38</v>
      </c>
      <c r="K29" s="53" t="s">
        <v>161</v>
      </c>
      <c r="L29" s="53">
        <v>1</v>
      </c>
      <c r="N29" s="53">
        <v>4</v>
      </c>
      <c r="O29" s="53">
        <v>0.55000000000000004</v>
      </c>
      <c r="P29" s="53">
        <v>0.65</v>
      </c>
      <c r="Q29" s="110">
        <f t="shared" si="0"/>
        <v>0.60000000000000009</v>
      </c>
      <c r="R29" s="53">
        <v>18.2</v>
      </c>
      <c r="S29" s="53">
        <v>97</v>
      </c>
      <c r="T29" s="16">
        <f t="shared" si="1"/>
        <v>36</v>
      </c>
      <c r="U29" s="53">
        <v>320</v>
      </c>
      <c r="V29" s="16">
        <f t="shared" si="2"/>
        <v>2880</v>
      </c>
      <c r="W29" s="53">
        <v>3</v>
      </c>
      <c r="X29" s="53" t="s">
        <v>46</v>
      </c>
      <c r="Y29" s="53" t="s">
        <v>88</v>
      </c>
      <c r="Z29" s="53" t="s">
        <v>97</v>
      </c>
      <c r="AA29" s="53" t="s">
        <v>55</v>
      </c>
      <c r="AB29" s="53" t="s">
        <v>239</v>
      </c>
    </row>
    <row r="30" spans="1:48" x14ac:dyDescent="0.15">
      <c r="A30" s="53" t="s">
        <v>34</v>
      </c>
      <c r="B30" s="53" t="s">
        <v>235</v>
      </c>
      <c r="C30" s="53">
        <v>2019</v>
      </c>
      <c r="D30" s="167" t="s">
        <v>166</v>
      </c>
      <c r="E30" s="53" t="s">
        <v>210</v>
      </c>
      <c r="F30" s="53" t="s">
        <v>344</v>
      </c>
      <c r="G30" s="53" t="s">
        <v>36</v>
      </c>
      <c r="H30" s="53" t="s">
        <v>164</v>
      </c>
      <c r="I30" s="53" t="s">
        <v>159</v>
      </c>
      <c r="J30" s="53" t="s">
        <v>38</v>
      </c>
      <c r="K30" s="53" t="s">
        <v>161</v>
      </c>
      <c r="L30" s="53">
        <v>2</v>
      </c>
      <c r="N30" s="53">
        <v>4</v>
      </c>
      <c r="O30" s="53">
        <v>0.55000000000000004</v>
      </c>
      <c r="P30" s="53">
        <v>0.65</v>
      </c>
      <c r="Q30" s="110">
        <f t="shared" si="0"/>
        <v>0.60000000000000009</v>
      </c>
      <c r="R30" s="53">
        <v>16</v>
      </c>
      <c r="S30" s="53">
        <v>101</v>
      </c>
      <c r="T30" s="16">
        <f t="shared" si="1"/>
        <v>33</v>
      </c>
      <c r="U30" s="53">
        <v>320</v>
      </c>
      <c r="V30" s="16">
        <f t="shared" si="2"/>
        <v>2640</v>
      </c>
      <c r="W30" s="53">
        <v>3</v>
      </c>
      <c r="X30" s="53" t="s">
        <v>46</v>
      </c>
      <c r="Y30" s="53" t="s">
        <v>88</v>
      </c>
      <c r="Z30" s="53" t="s">
        <v>97</v>
      </c>
      <c r="AA30" s="53" t="s">
        <v>55</v>
      </c>
      <c r="AB30" s="53" t="s">
        <v>239</v>
      </c>
    </row>
    <row r="31" spans="1:48" x14ac:dyDescent="0.15">
      <c r="A31" s="53" t="s">
        <v>34</v>
      </c>
      <c r="B31" s="53" t="s">
        <v>235</v>
      </c>
      <c r="C31" s="53">
        <v>2019</v>
      </c>
      <c r="D31" s="167" t="s">
        <v>166</v>
      </c>
      <c r="E31" s="53" t="s">
        <v>210</v>
      </c>
      <c r="F31" s="53" t="s">
        <v>344</v>
      </c>
      <c r="G31" s="53" t="s">
        <v>36</v>
      </c>
      <c r="H31" s="53" t="s">
        <v>164</v>
      </c>
      <c r="I31" s="53" t="s">
        <v>159</v>
      </c>
      <c r="J31" s="53" t="s">
        <v>38</v>
      </c>
      <c r="K31" s="53" t="s">
        <v>161</v>
      </c>
      <c r="L31" s="53">
        <v>3</v>
      </c>
      <c r="N31" s="53">
        <v>4</v>
      </c>
      <c r="O31" s="53">
        <v>0.5</v>
      </c>
      <c r="P31" s="53">
        <v>0.5</v>
      </c>
      <c r="Q31" s="110">
        <f t="shared" si="0"/>
        <v>0.5</v>
      </c>
      <c r="R31" s="53">
        <v>17.100000000000001</v>
      </c>
      <c r="S31" s="53">
        <v>101</v>
      </c>
      <c r="T31" s="16">
        <f t="shared" si="1"/>
        <v>33</v>
      </c>
      <c r="U31" s="53">
        <v>320</v>
      </c>
      <c r="V31" s="16">
        <f t="shared" si="2"/>
        <v>2640</v>
      </c>
      <c r="W31" s="53">
        <v>3</v>
      </c>
      <c r="X31" s="53" t="s">
        <v>46</v>
      </c>
      <c r="Y31" s="53" t="s">
        <v>88</v>
      </c>
      <c r="Z31" s="53" t="s">
        <v>97</v>
      </c>
      <c r="AA31" s="53" t="s">
        <v>55</v>
      </c>
      <c r="AB31" s="53" t="s">
        <v>239</v>
      </c>
    </row>
    <row r="32" spans="1:48" x14ac:dyDescent="0.15">
      <c r="A32" s="53" t="s">
        <v>34</v>
      </c>
      <c r="B32" s="53" t="s">
        <v>235</v>
      </c>
      <c r="C32" s="53">
        <v>2019</v>
      </c>
      <c r="D32" s="167" t="s">
        <v>166</v>
      </c>
      <c r="E32" s="53" t="s">
        <v>210</v>
      </c>
      <c r="F32" s="53" t="s">
        <v>344</v>
      </c>
      <c r="G32" s="53" t="s">
        <v>36</v>
      </c>
      <c r="H32" s="53" t="s">
        <v>160</v>
      </c>
      <c r="I32" s="53" t="s">
        <v>159</v>
      </c>
      <c r="J32" s="53" t="s">
        <v>38</v>
      </c>
      <c r="K32" s="53" t="s">
        <v>161</v>
      </c>
      <c r="L32" s="53">
        <v>1</v>
      </c>
      <c r="N32" s="53">
        <v>1</v>
      </c>
      <c r="O32" s="53">
        <v>0.45</v>
      </c>
      <c r="P32" s="53">
        <v>0.5</v>
      </c>
      <c r="Q32" s="110">
        <f t="shared" si="0"/>
        <v>0.47499999999999998</v>
      </c>
      <c r="R32" s="53">
        <v>19.8</v>
      </c>
      <c r="S32" s="53">
        <v>123</v>
      </c>
      <c r="T32" s="16">
        <f t="shared" si="1"/>
        <v>30</v>
      </c>
      <c r="U32" s="53">
        <v>96</v>
      </c>
      <c r="V32" s="16">
        <f t="shared" si="2"/>
        <v>2880</v>
      </c>
      <c r="W32" s="53">
        <v>6</v>
      </c>
      <c r="X32" s="53" t="s">
        <v>46</v>
      </c>
      <c r="Y32" s="53" t="s">
        <v>88</v>
      </c>
      <c r="Z32" s="53" t="s">
        <v>97</v>
      </c>
      <c r="AA32" s="53" t="s">
        <v>55</v>
      </c>
      <c r="AB32" s="53" t="s">
        <v>239</v>
      </c>
    </row>
    <row r="33" spans="1:28" x14ac:dyDescent="0.15">
      <c r="A33" s="53" t="s">
        <v>34</v>
      </c>
      <c r="B33" s="53" t="s">
        <v>235</v>
      </c>
      <c r="C33" s="53">
        <v>2019</v>
      </c>
      <c r="D33" s="167" t="s">
        <v>166</v>
      </c>
      <c r="E33" s="53" t="s">
        <v>210</v>
      </c>
      <c r="F33" s="53" t="s">
        <v>344</v>
      </c>
      <c r="G33" s="53" t="s">
        <v>36</v>
      </c>
      <c r="H33" s="53" t="s">
        <v>160</v>
      </c>
      <c r="I33" s="53" t="s">
        <v>159</v>
      </c>
      <c r="J33" s="53" t="s">
        <v>38</v>
      </c>
      <c r="K33" s="53" t="s">
        <v>161</v>
      </c>
      <c r="L33" s="53">
        <v>2</v>
      </c>
      <c r="N33" s="53">
        <v>1</v>
      </c>
      <c r="O33" s="53">
        <v>0.55000000000000004</v>
      </c>
      <c r="P33" s="53">
        <v>0.5</v>
      </c>
      <c r="Q33" s="110">
        <f t="shared" si="0"/>
        <v>0.52500000000000002</v>
      </c>
      <c r="R33" s="53">
        <v>20.2</v>
      </c>
      <c r="S33" s="53">
        <v>121</v>
      </c>
      <c r="T33" s="16">
        <f t="shared" si="1"/>
        <v>30</v>
      </c>
      <c r="U33" s="53">
        <v>96</v>
      </c>
      <c r="V33" s="16">
        <f t="shared" si="2"/>
        <v>2880</v>
      </c>
      <c r="W33" s="53">
        <v>6</v>
      </c>
      <c r="X33" s="53" t="s">
        <v>46</v>
      </c>
      <c r="Y33" s="53" t="s">
        <v>88</v>
      </c>
      <c r="Z33" s="53" t="s">
        <v>97</v>
      </c>
      <c r="AA33" s="53" t="s">
        <v>55</v>
      </c>
      <c r="AB33" s="53" t="s">
        <v>239</v>
      </c>
    </row>
    <row r="34" spans="1:28" x14ac:dyDescent="0.15">
      <c r="A34" s="53" t="s">
        <v>34</v>
      </c>
      <c r="B34" s="53" t="s">
        <v>235</v>
      </c>
      <c r="C34" s="53">
        <v>2019</v>
      </c>
      <c r="D34" s="167" t="s">
        <v>166</v>
      </c>
      <c r="E34" s="53" t="s">
        <v>210</v>
      </c>
      <c r="F34" s="53" t="s">
        <v>344</v>
      </c>
      <c r="G34" s="53" t="s">
        <v>36</v>
      </c>
      <c r="H34" s="53" t="s">
        <v>160</v>
      </c>
      <c r="I34" s="53" t="s">
        <v>159</v>
      </c>
      <c r="J34" s="53" t="s">
        <v>38</v>
      </c>
      <c r="K34" s="53" t="s">
        <v>161</v>
      </c>
      <c r="L34" s="53">
        <v>3</v>
      </c>
      <c r="N34" s="53">
        <v>1</v>
      </c>
      <c r="O34" s="53">
        <v>0.65</v>
      </c>
      <c r="P34" s="53">
        <v>0.5</v>
      </c>
      <c r="Q34" s="110">
        <f>IF(OR(O34="",P34=""),"",AVERAGE(O34,P34))</f>
        <v>0.57499999999999996</v>
      </c>
      <c r="R34" s="53">
        <v>18.899999999999999</v>
      </c>
      <c r="S34" s="53">
        <v>123</v>
      </c>
      <c r="T34" s="16">
        <f t="shared" si="1"/>
        <v>30</v>
      </c>
      <c r="U34" s="53">
        <v>96</v>
      </c>
      <c r="V34" s="16">
        <f t="shared" si="2"/>
        <v>2880</v>
      </c>
      <c r="W34" s="53">
        <v>6</v>
      </c>
      <c r="X34" s="53" t="s">
        <v>46</v>
      </c>
      <c r="Y34" s="53" t="s">
        <v>88</v>
      </c>
      <c r="Z34" s="53" t="s">
        <v>97</v>
      </c>
      <c r="AA34" s="53" t="s">
        <v>55</v>
      </c>
      <c r="AB34" s="53" t="s">
        <v>239</v>
      </c>
    </row>
    <row r="35" spans="1:28" x14ac:dyDescent="0.15">
      <c r="A35" s="53" t="s">
        <v>34</v>
      </c>
      <c r="B35" s="53" t="s">
        <v>235</v>
      </c>
      <c r="C35" s="53">
        <v>2019</v>
      </c>
      <c r="D35" s="167" t="s">
        <v>166</v>
      </c>
      <c r="E35" s="53" t="s">
        <v>210</v>
      </c>
      <c r="F35" s="53" t="s">
        <v>344</v>
      </c>
      <c r="G35" s="53" t="s">
        <v>36</v>
      </c>
      <c r="H35" s="53" t="s">
        <v>160</v>
      </c>
      <c r="I35" s="53" t="s">
        <v>159</v>
      </c>
      <c r="J35" s="53" t="s">
        <v>38</v>
      </c>
      <c r="K35" s="53" t="s">
        <v>161</v>
      </c>
      <c r="L35" s="53">
        <v>1</v>
      </c>
      <c r="N35" s="53">
        <v>4</v>
      </c>
      <c r="O35" s="53">
        <v>0.5</v>
      </c>
      <c r="P35" s="53">
        <v>0.6</v>
      </c>
      <c r="Q35" s="110">
        <f t="shared" ref="Q35:Q36" si="3">IF(OR(O35="",P35=""),"",AVERAGE(O35,P35))</f>
        <v>0.55000000000000004</v>
      </c>
      <c r="R35" s="53">
        <v>18.899999999999999</v>
      </c>
      <c r="S35" s="53">
        <v>96</v>
      </c>
      <c r="T35" s="16">
        <f t="shared" si="1"/>
        <v>36</v>
      </c>
      <c r="U35" s="53">
        <v>320</v>
      </c>
      <c r="V35" s="16">
        <f t="shared" si="2"/>
        <v>2880</v>
      </c>
      <c r="W35" s="53">
        <v>6</v>
      </c>
      <c r="X35" s="53" t="s">
        <v>46</v>
      </c>
      <c r="Y35" s="53" t="s">
        <v>88</v>
      </c>
      <c r="Z35" s="53" t="s">
        <v>97</v>
      </c>
      <c r="AA35" s="53" t="s">
        <v>55</v>
      </c>
      <c r="AB35" s="53" t="s">
        <v>239</v>
      </c>
    </row>
    <row r="36" spans="1:28" x14ac:dyDescent="0.15">
      <c r="A36" s="53" t="s">
        <v>34</v>
      </c>
      <c r="B36" s="53" t="s">
        <v>235</v>
      </c>
      <c r="C36" s="53">
        <v>2019</v>
      </c>
      <c r="D36" s="167" t="s">
        <v>166</v>
      </c>
      <c r="E36" s="53" t="s">
        <v>210</v>
      </c>
      <c r="F36" s="53" t="s">
        <v>344</v>
      </c>
      <c r="G36" s="53" t="s">
        <v>36</v>
      </c>
      <c r="H36" s="53" t="s">
        <v>160</v>
      </c>
      <c r="I36" s="53" t="s">
        <v>159</v>
      </c>
      <c r="J36" s="53" t="s">
        <v>38</v>
      </c>
      <c r="K36" s="53" t="s">
        <v>161</v>
      </c>
      <c r="L36" s="53">
        <v>2</v>
      </c>
      <c r="N36" s="53">
        <v>4</v>
      </c>
      <c r="O36" s="53">
        <v>0.6</v>
      </c>
      <c r="P36" s="53">
        <v>0.6</v>
      </c>
      <c r="Q36" s="110">
        <f t="shared" si="3"/>
        <v>0.6</v>
      </c>
      <c r="R36" s="53">
        <v>16.100000000000001</v>
      </c>
      <c r="S36" s="53">
        <v>92</v>
      </c>
      <c r="T36" s="16">
        <f t="shared" si="1"/>
        <v>36</v>
      </c>
      <c r="U36" s="53">
        <v>320</v>
      </c>
      <c r="V36" s="16">
        <f t="shared" si="2"/>
        <v>2880</v>
      </c>
      <c r="W36" s="53">
        <v>6</v>
      </c>
      <c r="X36" s="53" t="s">
        <v>46</v>
      </c>
      <c r="Y36" s="53" t="s">
        <v>88</v>
      </c>
      <c r="Z36" s="53" t="s">
        <v>97</v>
      </c>
      <c r="AA36" s="53" t="s">
        <v>55</v>
      </c>
      <c r="AB36" s="53" t="s">
        <v>239</v>
      </c>
    </row>
    <row r="37" spans="1:28" x14ac:dyDescent="0.15">
      <c r="A37" s="53" t="s">
        <v>34</v>
      </c>
      <c r="B37" s="53" t="s">
        <v>235</v>
      </c>
      <c r="C37" s="53">
        <v>2019</v>
      </c>
      <c r="D37" s="167" t="s">
        <v>166</v>
      </c>
      <c r="E37" s="53" t="s">
        <v>210</v>
      </c>
      <c r="F37" s="53" t="s">
        <v>344</v>
      </c>
      <c r="G37" s="53" t="s">
        <v>36</v>
      </c>
      <c r="H37" s="53" t="s">
        <v>160</v>
      </c>
      <c r="I37" s="53" t="s">
        <v>159</v>
      </c>
      <c r="J37" s="53" t="s">
        <v>38</v>
      </c>
      <c r="K37" s="53" t="s">
        <v>161</v>
      </c>
      <c r="L37" s="53">
        <v>3</v>
      </c>
      <c r="N37" s="53">
        <v>4</v>
      </c>
      <c r="O37" s="53">
        <v>0.45</v>
      </c>
      <c r="P37" s="53">
        <v>0.5</v>
      </c>
      <c r="Q37" s="110">
        <f>IF(OR(O37="",P37=""),"",AVERAGE(O37,P37))</f>
        <v>0.47499999999999998</v>
      </c>
      <c r="R37" s="53">
        <v>17.899999999999999</v>
      </c>
      <c r="S37" s="53">
        <v>90</v>
      </c>
      <c r="T37" s="16">
        <f t="shared" si="1"/>
        <v>36</v>
      </c>
      <c r="U37" s="53">
        <v>320</v>
      </c>
      <c r="V37" s="16">
        <f t="shared" si="2"/>
        <v>2880</v>
      </c>
      <c r="W37" s="53">
        <v>6</v>
      </c>
      <c r="X37" s="53" t="s">
        <v>46</v>
      </c>
      <c r="Y37" s="53" t="s">
        <v>88</v>
      </c>
      <c r="Z37" s="53" t="s">
        <v>97</v>
      </c>
      <c r="AA37" s="53" t="s">
        <v>55</v>
      </c>
      <c r="AB37" s="53" t="s">
        <v>239</v>
      </c>
    </row>
    <row r="38" spans="1:28" x14ac:dyDescent="0.15">
      <c r="A38" s="53" t="s">
        <v>34</v>
      </c>
      <c r="B38" s="53" t="s">
        <v>235</v>
      </c>
      <c r="C38" s="53">
        <v>2019</v>
      </c>
      <c r="D38" s="167" t="s">
        <v>166</v>
      </c>
      <c r="E38" s="53" t="s">
        <v>332</v>
      </c>
      <c r="F38" s="53" t="s">
        <v>333</v>
      </c>
      <c r="G38" s="53" t="s">
        <v>36</v>
      </c>
      <c r="H38" s="53" t="s">
        <v>164</v>
      </c>
      <c r="I38" s="53" t="s">
        <v>159</v>
      </c>
      <c r="J38" s="53" t="s">
        <v>38</v>
      </c>
      <c r="K38" s="53" t="s">
        <v>161</v>
      </c>
      <c r="L38" s="53">
        <v>1</v>
      </c>
      <c r="N38" s="53">
        <v>1</v>
      </c>
      <c r="O38" s="53">
        <v>0.6</v>
      </c>
      <c r="P38" s="53">
        <v>0.65</v>
      </c>
      <c r="Q38" s="110">
        <f t="shared" ref="Q38:Q39" si="4">IF(OR(O38="",P38=""),"",AVERAGE(O38,P38))</f>
        <v>0.625</v>
      </c>
      <c r="R38" s="53">
        <v>17.3</v>
      </c>
      <c r="S38" s="53">
        <v>138</v>
      </c>
      <c r="T38" s="16">
        <f t="shared" si="1"/>
        <v>30</v>
      </c>
      <c r="U38" s="53">
        <v>108</v>
      </c>
      <c r="V38" s="16">
        <f t="shared" si="2"/>
        <v>3240</v>
      </c>
      <c r="W38" s="53">
        <v>4</v>
      </c>
      <c r="X38" s="53" t="s">
        <v>46</v>
      </c>
      <c r="Y38" s="53" t="s">
        <v>88</v>
      </c>
      <c r="Z38" s="53" t="s">
        <v>97</v>
      </c>
      <c r="AA38" s="53" t="s">
        <v>86</v>
      </c>
      <c r="AB38" s="53" t="s">
        <v>239</v>
      </c>
    </row>
    <row r="39" spans="1:28" x14ac:dyDescent="0.15">
      <c r="A39" s="53" t="s">
        <v>34</v>
      </c>
      <c r="B39" s="53" t="s">
        <v>235</v>
      </c>
      <c r="C39" s="53">
        <v>2019</v>
      </c>
      <c r="D39" s="167" t="s">
        <v>166</v>
      </c>
      <c r="E39" s="53" t="s">
        <v>332</v>
      </c>
      <c r="F39" s="53" t="s">
        <v>333</v>
      </c>
      <c r="G39" s="53" t="s">
        <v>36</v>
      </c>
      <c r="H39" s="53" t="s">
        <v>164</v>
      </c>
      <c r="I39" s="53" t="s">
        <v>159</v>
      </c>
      <c r="J39" s="53" t="s">
        <v>38</v>
      </c>
      <c r="K39" s="53" t="s">
        <v>161</v>
      </c>
      <c r="L39" s="53">
        <v>2</v>
      </c>
      <c r="N39" s="53">
        <v>1</v>
      </c>
      <c r="O39" s="53">
        <v>0.6</v>
      </c>
      <c r="P39" s="53">
        <v>0.7</v>
      </c>
      <c r="Q39" s="110">
        <f t="shared" si="4"/>
        <v>0.64999999999999991</v>
      </c>
      <c r="R39" s="53">
        <v>17.3</v>
      </c>
      <c r="S39" s="53">
        <v>140</v>
      </c>
      <c r="T39" s="16">
        <f t="shared" si="1"/>
        <v>30</v>
      </c>
      <c r="U39" s="53">
        <v>108</v>
      </c>
      <c r="V39" s="16">
        <f t="shared" si="2"/>
        <v>3240</v>
      </c>
      <c r="W39" s="53">
        <v>4</v>
      </c>
      <c r="X39" s="53" t="s">
        <v>46</v>
      </c>
      <c r="Y39" s="53" t="s">
        <v>88</v>
      </c>
      <c r="Z39" s="53" t="s">
        <v>97</v>
      </c>
      <c r="AA39" s="53" t="s">
        <v>86</v>
      </c>
      <c r="AB39" s="53" t="s">
        <v>239</v>
      </c>
    </row>
    <row r="40" spans="1:28" x14ac:dyDescent="0.15">
      <c r="A40" s="53" t="s">
        <v>34</v>
      </c>
      <c r="B40" s="53" t="s">
        <v>235</v>
      </c>
      <c r="C40" s="53">
        <v>2019</v>
      </c>
      <c r="D40" s="167" t="s">
        <v>166</v>
      </c>
      <c r="E40" s="53" t="s">
        <v>332</v>
      </c>
      <c r="F40" s="53" t="s">
        <v>333</v>
      </c>
      <c r="G40" s="53" t="s">
        <v>36</v>
      </c>
      <c r="H40" s="53" t="s">
        <v>164</v>
      </c>
      <c r="I40" s="53" t="s">
        <v>159</v>
      </c>
      <c r="J40" s="53" t="s">
        <v>38</v>
      </c>
      <c r="K40" s="53" t="s">
        <v>161</v>
      </c>
      <c r="L40" s="53">
        <v>3</v>
      </c>
      <c r="N40" s="53">
        <v>1</v>
      </c>
      <c r="O40" s="53">
        <v>0.55000000000000004</v>
      </c>
      <c r="P40" s="53">
        <v>0.55000000000000004</v>
      </c>
      <c r="Q40" s="110">
        <f>IF(OR(O40="",P40=""),"",AVERAGE(O40,P40))</f>
        <v>0.55000000000000004</v>
      </c>
      <c r="R40" s="53">
        <v>17</v>
      </c>
      <c r="S40" s="53">
        <v>150</v>
      </c>
      <c r="T40" s="16">
        <f t="shared" si="1"/>
        <v>30</v>
      </c>
      <c r="U40" s="53">
        <v>108</v>
      </c>
      <c r="V40" s="16">
        <f t="shared" si="2"/>
        <v>3240</v>
      </c>
      <c r="W40" s="53">
        <v>4</v>
      </c>
      <c r="X40" s="53" t="s">
        <v>46</v>
      </c>
      <c r="Y40" s="53" t="s">
        <v>88</v>
      </c>
      <c r="Z40" s="53" t="s">
        <v>97</v>
      </c>
      <c r="AA40" s="53" t="s">
        <v>86</v>
      </c>
      <c r="AB40" s="53" t="s">
        <v>239</v>
      </c>
    </row>
    <row r="41" spans="1:28" x14ac:dyDescent="0.15">
      <c r="A41" s="53" t="s">
        <v>34</v>
      </c>
      <c r="B41" s="53" t="s">
        <v>235</v>
      </c>
      <c r="C41" s="53">
        <v>2019</v>
      </c>
      <c r="D41" s="167" t="s">
        <v>166</v>
      </c>
      <c r="E41" s="53" t="s">
        <v>332</v>
      </c>
      <c r="F41" s="53" t="s">
        <v>333</v>
      </c>
      <c r="G41" s="53" t="s">
        <v>36</v>
      </c>
      <c r="H41" s="53" t="s">
        <v>164</v>
      </c>
      <c r="I41" s="53" t="s">
        <v>159</v>
      </c>
      <c r="J41" s="53" t="s">
        <v>38</v>
      </c>
      <c r="K41" s="53" t="s">
        <v>161</v>
      </c>
      <c r="L41" s="53">
        <v>1</v>
      </c>
      <c r="N41" s="53">
        <v>4</v>
      </c>
      <c r="O41" s="53">
        <v>0.2</v>
      </c>
      <c r="P41" s="53">
        <v>0.2</v>
      </c>
      <c r="Q41" s="110">
        <f t="shared" si="0"/>
        <v>0.2</v>
      </c>
      <c r="R41" s="53">
        <v>17</v>
      </c>
      <c r="S41" s="53">
        <v>103</v>
      </c>
      <c r="T41" s="16">
        <f t="shared" si="1"/>
        <v>33</v>
      </c>
      <c r="U41" s="53">
        <v>321</v>
      </c>
      <c r="V41" s="16">
        <f t="shared" si="2"/>
        <v>2648.25</v>
      </c>
      <c r="W41" s="53">
        <v>4</v>
      </c>
      <c r="X41" s="53" t="s">
        <v>46</v>
      </c>
      <c r="Y41" s="53" t="s">
        <v>88</v>
      </c>
      <c r="Z41" s="53" t="s">
        <v>97</v>
      </c>
      <c r="AA41" s="53" t="s">
        <v>86</v>
      </c>
      <c r="AB41" s="53" t="s">
        <v>239</v>
      </c>
    </row>
    <row r="42" spans="1:28" x14ac:dyDescent="0.15">
      <c r="A42" s="53" t="s">
        <v>34</v>
      </c>
      <c r="B42" s="53" t="s">
        <v>235</v>
      </c>
      <c r="C42" s="53">
        <v>2019</v>
      </c>
      <c r="D42" s="167" t="s">
        <v>166</v>
      </c>
      <c r="E42" s="53" t="s">
        <v>332</v>
      </c>
      <c r="F42" s="53" t="s">
        <v>333</v>
      </c>
      <c r="G42" s="53" t="s">
        <v>36</v>
      </c>
      <c r="H42" s="53" t="s">
        <v>164</v>
      </c>
      <c r="I42" s="53" t="s">
        <v>159</v>
      </c>
      <c r="J42" s="53" t="s">
        <v>38</v>
      </c>
      <c r="K42" s="53" t="s">
        <v>161</v>
      </c>
      <c r="L42" s="53">
        <v>2</v>
      </c>
      <c r="N42" s="53">
        <v>4</v>
      </c>
      <c r="O42" s="53">
        <v>0.2</v>
      </c>
      <c r="P42" s="53">
        <v>0.2</v>
      </c>
      <c r="Q42" s="110">
        <f t="shared" si="0"/>
        <v>0.2</v>
      </c>
      <c r="R42" s="53">
        <v>17.2</v>
      </c>
      <c r="S42" s="53">
        <v>95</v>
      </c>
      <c r="T42" s="16">
        <f t="shared" si="1"/>
        <v>36</v>
      </c>
      <c r="U42" s="53">
        <v>321</v>
      </c>
      <c r="V42" s="16">
        <f t="shared" si="2"/>
        <v>2889</v>
      </c>
      <c r="W42" s="53">
        <v>4</v>
      </c>
      <c r="X42" s="53" t="s">
        <v>46</v>
      </c>
      <c r="Y42" s="53" t="s">
        <v>88</v>
      </c>
      <c r="Z42" s="53" t="s">
        <v>97</v>
      </c>
      <c r="AA42" s="53" t="s">
        <v>86</v>
      </c>
      <c r="AB42" s="53" t="s">
        <v>239</v>
      </c>
    </row>
    <row r="43" spans="1:28" x14ac:dyDescent="0.15">
      <c r="A43" s="53" t="s">
        <v>34</v>
      </c>
      <c r="B43" s="53" t="s">
        <v>235</v>
      </c>
      <c r="C43" s="53">
        <v>2019</v>
      </c>
      <c r="D43" s="167" t="s">
        <v>166</v>
      </c>
      <c r="E43" s="53" t="s">
        <v>332</v>
      </c>
      <c r="F43" s="53" t="s">
        <v>333</v>
      </c>
      <c r="G43" s="53" t="s">
        <v>36</v>
      </c>
      <c r="H43" s="53" t="s">
        <v>164</v>
      </c>
      <c r="I43" s="53" t="s">
        <v>159</v>
      </c>
      <c r="J43" s="53" t="s">
        <v>38</v>
      </c>
      <c r="K43" s="53" t="s">
        <v>161</v>
      </c>
      <c r="L43" s="53">
        <v>3</v>
      </c>
      <c r="N43" s="53">
        <v>4</v>
      </c>
      <c r="O43" s="53">
        <v>0.2</v>
      </c>
      <c r="P43" s="53">
        <v>0.2</v>
      </c>
      <c r="Q43" s="110">
        <f t="shared" si="0"/>
        <v>0.2</v>
      </c>
      <c r="R43" s="53">
        <v>17.100000000000001</v>
      </c>
      <c r="S43" s="53">
        <v>103</v>
      </c>
      <c r="T43" s="16">
        <f t="shared" si="1"/>
        <v>33</v>
      </c>
      <c r="U43" s="53">
        <v>321</v>
      </c>
      <c r="V43" s="16">
        <f t="shared" si="2"/>
        <v>2648.25</v>
      </c>
      <c r="W43" s="53">
        <v>4</v>
      </c>
      <c r="X43" s="53" t="s">
        <v>46</v>
      </c>
      <c r="Y43" s="53" t="s">
        <v>88</v>
      </c>
      <c r="Z43" s="53" t="s">
        <v>97</v>
      </c>
      <c r="AA43" s="53" t="s">
        <v>86</v>
      </c>
      <c r="AB43" s="53" t="s">
        <v>239</v>
      </c>
    </row>
    <row r="44" spans="1:28" x14ac:dyDescent="0.15">
      <c r="A44" s="53" t="s">
        <v>34</v>
      </c>
      <c r="B44" s="53" t="s">
        <v>235</v>
      </c>
      <c r="C44" s="53">
        <v>2019</v>
      </c>
      <c r="D44" s="167" t="s">
        <v>166</v>
      </c>
      <c r="E44" s="53" t="s">
        <v>332</v>
      </c>
      <c r="F44" s="53" t="s">
        <v>333</v>
      </c>
      <c r="G44" s="53" t="s">
        <v>36</v>
      </c>
      <c r="H44" s="53" t="s">
        <v>160</v>
      </c>
      <c r="I44" s="53" t="s">
        <v>159</v>
      </c>
      <c r="J44" s="53" t="s">
        <v>38</v>
      </c>
      <c r="K44" s="53" t="s">
        <v>161</v>
      </c>
      <c r="L44" s="53">
        <v>1</v>
      </c>
      <c r="N44" s="53">
        <v>1</v>
      </c>
      <c r="O44" s="53">
        <v>0.5</v>
      </c>
      <c r="P44" s="53">
        <v>0.55000000000000004</v>
      </c>
      <c r="Q44" s="110">
        <f t="shared" si="0"/>
        <v>0.52500000000000002</v>
      </c>
      <c r="R44" s="53">
        <v>20.3</v>
      </c>
      <c r="S44" s="53">
        <v>142</v>
      </c>
      <c r="T44" s="16">
        <f t="shared" si="1"/>
        <v>30</v>
      </c>
      <c r="U44" s="53">
        <v>138</v>
      </c>
      <c r="V44" s="16">
        <f t="shared" si="2"/>
        <v>4140</v>
      </c>
      <c r="W44" s="53">
        <v>3</v>
      </c>
      <c r="X44" s="53" t="s">
        <v>46</v>
      </c>
      <c r="Y44" s="53" t="s">
        <v>88</v>
      </c>
      <c r="Z44" s="53" t="s">
        <v>97</v>
      </c>
      <c r="AA44" s="53" t="s">
        <v>86</v>
      </c>
      <c r="AB44" s="53" t="s">
        <v>239</v>
      </c>
    </row>
    <row r="45" spans="1:28" x14ac:dyDescent="0.15">
      <c r="A45" s="53" t="s">
        <v>34</v>
      </c>
      <c r="B45" s="53" t="s">
        <v>235</v>
      </c>
      <c r="C45" s="53">
        <v>2019</v>
      </c>
      <c r="D45" s="167" t="s">
        <v>166</v>
      </c>
      <c r="E45" s="53" t="s">
        <v>332</v>
      </c>
      <c r="F45" s="53" t="s">
        <v>333</v>
      </c>
      <c r="G45" s="53" t="s">
        <v>36</v>
      </c>
      <c r="H45" s="53" t="s">
        <v>160</v>
      </c>
      <c r="I45" s="53" t="s">
        <v>159</v>
      </c>
      <c r="J45" s="53" t="s">
        <v>38</v>
      </c>
      <c r="K45" s="53" t="s">
        <v>161</v>
      </c>
      <c r="L45" s="53">
        <v>2</v>
      </c>
      <c r="N45" s="53">
        <v>1</v>
      </c>
      <c r="O45" s="53">
        <v>0.6</v>
      </c>
      <c r="P45" s="53">
        <v>0.55000000000000004</v>
      </c>
      <c r="Q45" s="110">
        <f t="shared" si="0"/>
        <v>0.57499999999999996</v>
      </c>
      <c r="R45" s="53">
        <v>19.8</v>
      </c>
      <c r="S45" s="53">
        <v>140</v>
      </c>
      <c r="T45" s="16">
        <f t="shared" si="1"/>
        <v>30</v>
      </c>
      <c r="U45" s="53">
        <v>138</v>
      </c>
      <c r="V45" s="16">
        <f t="shared" si="2"/>
        <v>4140</v>
      </c>
      <c r="W45" s="53">
        <v>3</v>
      </c>
      <c r="X45" s="53" t="s">
        <v>46</v>
      </c>
      <c r="Y45" s="53" t="s">
        <v>88</v>
      </c>
      <c r="Z45" s="53" t="s">
        <v>97</v>
      </c>
      <c r="AA45" s="53" t="s">
        <v>86</v>
      </c>
      <c r="AB45" s="53" t="s">
        <v>239</v>
      </c>
    </row>
    <row r="46" spans="1:28" x14ac:dyDescent="0.15">
      <c r="A46" s="53" t="s">
        <v>34</v>
      </c>
      <c r="B46" s="53" t="s">
        <v>235</v>
      </c>
      <c r="C46" s="53">
        <v>2019</v>
      </c>
      <c r="D46" s="167" t="s">
        <v>166</v>
      </c>
      <c r="E46" s="53" t="s">
        <v>332</v>
      </c>
      <c r="F46" s="53" t="s">
        <v>333</v>
      </c>
      <c r="G46" s="53" t="s">
        <v>36</v>
      </c>
      <c r="H46" s="53" t="s">
        <v>160</v>
      </c>
      <c r="I46" s="53" t="s">
        <v>159</v>
      </c>
      <c r="J46" s="53" t="s">
        <v>38</v>
      </c>
      <c r="K46" s="53" t="s">
        <v>161</v>
      </c>
      <c r="L46" s="53">
        <v>3</v>
      </c>
      <c r="N46" s="53">
        <v>1</v>
      </c>
      <c r="O46" s="53">
        <v>0.6</v>
      </c>
      <c r="P46" s="53">
        <v>0.5</v>
      </c>
      <c r="Q46" s="110">
        <f t="shared" si="0"/>
        <v>0.55000000000000004</v>
      </c>
      <c r="R46" s="53">
        <v>23.4</v>
      </c>
      <c r="S46" s="53">
        <v>138</v>
      </c>
      <c r="T46" s="16">
        <f t="shared" si="1"/>
        <v>30</v>
      </c>
      <c r="U46" s="53">
        <v>138</v>
      </c>
      <c r="V46" s="16">
        <f t="shared" si="2"/>
        <v>4140</v>
      </c>
      <c r="W46" s="53">
        <v>3</v>
      </c>
      <c r="X46" s="53" t="s">
        <v>46</v>
      </c>
      <c r="Y46" s="53" t="s">
        <v>88</v>
      </c>
      <c r="Z46" s="53" t="s">
        <v>97</v>
      </c>
      <c r="AA46" s="53" t="s">
        <v>86</v>
      </c>
      <c r="AB46" s="53" t="s">
        <v>239</v>
      </c>
    </row>
    <row r="47" spans="1:28" x14ac:dyDescent="0.15">
      <c r="A47" s="53" t="s">
        <v>34</v>
      </c>
      <c r="B47" s="53" t="s">
        <v>235</v>
      </c>
      <c r="C47" s="53">
        <v>2019</v>
      </c>
      <c r="D47" s="167" t="s">
        <v>166</v>
      </c>
      <c r="E47" s="53" t="s">
        <v>332</v>
      </c>
      <c r="F47" s="53" t="s">
        <v>333</v>
      </c>
      <c r="G47" s="53" t="s">
        <v>36</v>
      </c>
      <c r="H47" s="53" t="s">
        <v>160</v>
      </c>
      <c r="I47" s="53" t="s">
        <v>159</v>
      </c>
      <c r="J47" s="53" t="s">
        <v>38</v>
      </c>
      <c r="K47" s="53" t="s">
        <v>161</v>
      </c>
      <c r="L47" s="53">
        <v>1</v>
      </c>
      <c r="N47" s="53">
        <v>4</v>
      </c>
      <c r="O47" s="53">
        <v>0.5</v>
      </c>
      <c r="P47" s="53">
        <v>0.5</v>
      </c>
      <c r="Q47" s="110">
        <f t="shared" si="0"/>
        <v>0.5</v>
      </c>
      <c r="R47" s="53">
        <v>18.399999999999999</v>
      </c>
      <c r="S47" s="53">
        <v>110</v>
      </c>
      <c r="T47" s="16">
        <f t="shared" si="1"/>
        <v>33</v>
      </c>
      <c r="U47" s="53">
        <v>429</v>
      </c>
      <c r="V47" s="16">
        <f t="shared" si="2"/>
        <v>3539.25</v>
      </c>
      <c r="W47" s="53">
        <v>3</v>
      </c>
      <c r="X47" s="53" t="s">
        <v>46</v>
      </c>
      <c r="Y47" s="53" t="s">
        <v>88</v>
      </c>
      <c r="Z47" s="53" t="s">
        <v>97</v>
      </c>
      <c r="AA47" s="53" t="s">
        <v>86</v>
      </c>
      <c r="AB47" s="53" t="s">
        <v>239</v>
      </c>
    </row>
    <row r="48" spans="1:28" x14ac:dyDescent="0.15">
      <c r="A48" s="53" t="s">
        <v>34</v>
      </c>
      <c r="B48" s="53" t="s">
        <v>235</v>
      </c>
      <c r="C48" s="53">
        <v>2019</v>
      </c>
      <c r="D48" s="167" t="s">
        <v>166</v>
      </c>
      <c r="E48" s="53" t="s">
        <v>332</v>
      </c>
      <c r="F48" s="53" t="s">
        <v>333</v>
      </c>
      <c r="G48" s="53" t="s">
        <v>36</v>
      </c>
      <c r="H48" s="53" t="s">
        <v>160</v>
      </c>
      <c r="I48" s="53" t="s">
        <v>159</v>
      </c>
      <c r="J48" s="53" t="s">
        <v>38</v>
      </c>
      <c r="K48" s="53" t="s">
        <v>161</v>
      </c>
      <c r="L48" s="53">
        <v>2</v>
      </c>
      <c r="N48" s="53">
        <v>4</v>
      </c>
      <c r="O48" s="53">
        <v>0.5</v>
      </c>
      <c r="P48" s="53">
        <v>0.55000000000000004</v>
      </c>
      <c r="Q48" s="110">
        <f t="shared" si="0"/>
        <v>0.52500000000000002</v>
      </c>
      <c r="R48" s="53">
        <v>17.2</v>
      </c>
      <c r="S48" s="53">
        <v>113</v>
      </c>
      <c r="T48" s="16">
        <f t="shared" si="1"/>
        <v>30</v>
      </c>
      <c r="U48" s="53">
        <v>429</v>
      </c>
      <c r="V48" s="16">
        <f t="shared" si="2"/>
        <v>3217.5</v>
      </c>
      <c r="W48" s="53">
        <v>3</v>
      </c>
      <c r="X48" s="53" t="s">
        <v>46</v>
      </c>
      <c r="Y48" s="53" t="s">
        <v>88</v>
      </c>
      <c r="Z48" s="53" t="s">
        <v>97</v>
      </c>
      <c r="AA48" s="53" t="s">
        <v>86</v>
      </c>
      <c r="AB48" s="53" t="s">
        <v>239</v>
      </c>
    </row>
    <row r="49" spans="1:28" x14ac:dyDescent="0.15">
      <c r="A49" s="53" t="s">
        <v>34</v>
      </c>
      <c r="B49" s="53" t="s">
        <v>235</v>
      </c>
      <c r="C49" s="53">
        <v>2019</v>
      </c>
      <c r="D49" s="167" t="s">
        <v>166</v>
      </c>
      <c r="E49" s="53" t="s">
        <v>332</v>
      </c>
      <c r="F49" s="53" t="s">
        <v>333</v>
      </c>
      <c r="G49" s="53" t="s">
        <v>36</v>
      </c>
      <c r="H49" s="53" t="s">
        <v>160</v>
      </c>
      <c r="I49" s="53" t="s">
        <v>159</v>
      </c>
      <c r="J49" s="53" t="s">
        <v>38</v>
      </c>
      <c r="K49" s="53" t="s">
        <v>161</v>
      </c>
      <c r="L49" s="53">
        <v>3</v>
      </c>
      <c r="N49" s="53">
        <v>4</v>
      </c>
      <c r="O49" s="53">
        <v>0.55000000000000004</v>
      </c>
      <c r="P49" s="53">
        <v>0.55000000000000004</v>
      </c>
      <c r="Q49" s="110">
        <f t="shared" si="0"/>
        <v>0.55000000000000004</v>
      </c>
      <c r="R49" s="53">
        <v>17.399999999999999</v>
      </c>
      <c r="S49" s="53">
        <v>111</v>
      </c>
      <c r="T49" s="16">
        <f t="shared" si="1"/>
        <v>33</v>
      </c>
      <c r="U49" s="53">
        <v>429</v>
      </c>
      <c r="V49" s="16">
        <f t="shared" si="2"/>
        <v>3539.25</v>
      </c>
      <c r="W49" s="53">
        <v>3</v>
      </c>
      <c r="X49" s="53" t="s">
        <v>46</v>
      </c>
      <c r="Y49" s="53" t="s">
        <v>88</v>
      </c>
      <c r="Z49" s="53" t="s">
        <v>97</v>
      </c>
      <c r="AA49" s="53" t="s">
        <v>86</v>
      </c>
      <c r="AB49" s="53" t="s">
        <v>239</v>
      </c>
    </row>
    <row r="50" spans="1:28" x14ac:dyDescent="0.15">
      <c r="A50" s="53" t="s">
        <v>34</v>
      </c>
      <c r="B50" s="53" t="s">
        <v>235</v>
      </c>
      <c r="C50" s="53">
        <v>2019</v>
      </c>
      <c r="D50" s="167" t="s">
        <v>166</v>
      </c>
      <c r="E50" s="53" t="s">
        <v>342</v>
      </c>
      <c r="F50" s="53" t="s">
        <v>343</v>
      </c>
      <c r="G50" s="53" t="s">
        <v>36</v>
      </c>
      <c r="H50" s="53" t="s">
        <v>164</v>
      </c>
      <c r="I50" s="53" t="s">
        <v>159</v>
      </c>
      <c r="J50" s="53" t="s">
        <v>38</v>
      </c>
      <c r="K50" s="53" t="s">
        <v>161</v>
      </c>
      <c r="L50" s="53">
        <v>1</v>
      </c>
      <c r="N50" s="53">
        <v>1</v>
      </c>
      <c r="O50" s="53">
        <v>0.65</v>
      </c>
      <c r="P50" s="53">
        <v>0.75</v>
      </c>
      <c r="Q50" s="110">
        <f t="shared" si="0"/>
        <v>0.7</v>
      </c>
      <c r="R50" s="53">
        <v>19</v>
      </c>
      <c r="S50" s="53">
        <v>115</v>
      </c>
      <c r="T50" s="16">
        <f t="shared" si="1"/>
        <v>30</v>
      </c>
      <c r="U50" s="53">
        <v>138</v>
      </c>
      <c r="V50" s="16">
        <f t="shared" si="2"/>
        <v>4140</v>
      </c>
      <c r="W50" s="53">
        <v>8</v>
      </c>
      <c r="X50" s="53" t="s">
        <v>46</v>
      </c>
      <c r="Y50" s="53" t="s">
        <v>88</v>
      </c>
      <c r="Z50" s="53" t="s">
        <v>55</v>
      </c>
      <c r="AA50" s="53" t="s">
        <v>78</v>
      </c>
      <c r="AB50" s="53" t="s">
        <v>239</v>
      </c>
    </row>
    <row r="51" spans="1:28" x14ac:dyDescent="0.15">
      <c r="A51" s="53" t="s">
        <v>34</v>
      </c>
      <c r="B51" s="53" t="s">
        <v>235</v>
      </c>
      <c r="C51" s="53">
        <v>2019</v>
      </c>
      <c r="D51" s="167" t="s">
        <v>166</v>
      </c>
      <c r="E51" s="53" t="s">
        <v>342</v>
      </c>
      <c r="F51" s="53" t="s">
        <v>343</v>
      </c>
      <c r="G51" s="53" t="s">
        <v>36</v>
      </c>
      <c r="H51" s="53" t="s">
        <v>164</v>
      </c>
      <c r="I51" s="53" t="s">
        <v>159</v>
      </c>
      <c r="J51" s="53" t="s">
        <v>38</v>
      </c>
      <c r="K51" s="53" t="s">
        <v>161</v>
      </c>
      <c r="L51" s="53">
        <v>2</v>
      </c>
      <c r="N51" s="53">
        <v>1</v>
      </c>
      <c r="O51" s="53">
        <v>0.65</v>
      </c>
      <c r="P51" s="53">
        <v>0.65</v>
      </c>
      <c r="Q51" s="110">
        <f t="shared" si="0"/>
        <v>0.65</v>
      </c>
      <c r="R51" s="53">
        <v>18</v>
      </c>
      <c r="S51" s="53">
        <v>117</v>
      </c>
      <c r="T51" s="16">
        <f t="shared" si="1"/>
        <v>30</v>
      </c>
      <c r="U51" s="53">
        <v>138</v>
      </c>
      <c r="V51" s="16">
        <f t="shared" si="2"/>
        <v>4140</v>
      </c>
      <c r="W51" s="53">
        <v>8</v>
      </c>
      <c r="X51" s="53" t="s">
        <v>46</v>
      </c>
      <c r="Y51" s="53" t="s">
        <v>88</v>
      </c>
      <c r="Z51" s="53" t="s">
        <v>55</v>
      </c>
      <c r="AA51" s="53" t="s">
        <v>78</v>
      </c>
      <c r="AB51" s="53" t="s">
        <v>239</v>
      </c>
    </row>
    <row r="52" spans="1:28" x14ac:dyDescent="0.15">
      <c r="A52" s="53" t="s">
        <v>34</v>
      </c>
      <c r="B52" s="53" t="s">
        <v>235</v>
      </c>
      <c r="C52" s="53">
        <v>2019</v>
      </c>
      <c r="D52" s="167" t="s">
        <v>166</v>
      </c>
      <c r="E52" s="53" t="s">
        <v>342</v>
      </c>
      <c r="F52" s="53" t="s">
        <v>343</v>
      </c>
      <c r="G52" s="53" t="s">
        <v>36</v>
      </c>
      <c r="H52" s="53" t="s">
        <v>164</v>
      </c>
      <c r="I52" s="53" t="s">
        <v>159</v>
      </c>
      <c r="J52" s="53" t="s">
        <v>38</v>
      </c>
      <c r="K52" s="53" t="s">
        <v>161</v>
      </c>
      <c r="L52" s="53">
        <v>3</v>
      </c>
      <c r="N52" s="53">
        <v>1</v>
      </c>
      <c r="O52" s="53">
        <v>0.45</v>
      </c>
      <c r="P52" s="53">
        <v>0.6</v>
      </c>
      <c r="Q52" s="110">
        <f t="shared" si="0"/>
        <v>0.52500000000000002</v>
      </c>
      <c r="R52" s="53">
        <v>17.600000000000001</v>
      </c>
      <c r="S52" s="53">
        <v>121</v>
      </c>
      <c r="T52" s="16">
        <f t="shared" si="1"/>
        <v>30</v>
      </c>
      <c r="U52" s="53">
        <v>138</v>
      </c>
      <c r="V52" s="16">
        <f t="shared" si="2"/>
        <v>4140</v>
      </c>
      <c r="W52" s="53">
        <v>8</v>
      </c>
      <c r="X52" s="53" t="s">
        <v>46</v>
      </c>
      <c r="Y52" s="53" t="s">
        <v>88</v>
      </c>
      <c r="Z52" s="53" t="s">
        <v>55</v>
      </c>
      <c r="AA52" s="53" t="s">
        <v>78</v>
      </c>
      <c r="AB52" s="53" t="s">
        <v>239</v>
      </c>
    </row>
    <row r="53" spans="1:28" x14ac:dyDescent="0.15">
      <c r="A53" s="53" t="s">
        <v>34</v>
      </c>
      <c r="B53" s="53" t="s">
        <v>235</v>
      </c>
      <c r="C53" s="53">
        <v>2019</v>
      </c>
      <c r="D53" s="167" t="s">
        <v>166</v>
      </c>
      <c r="E53" s="53" t="s">
        <v>342</v>
      </c>
      <c r="F53" s="53" t="s">
        <v>343</v>
      </c>
      <c r="G53" s="53" t="s">
        <v>36</v>
      </c>
      <c r="H53" s="53" t="s">
        <v>164</v>
      </c>
      <c r="I53" s="53" t="s">
        <v>159</v>
      </c>
      <c r="J53" s="53" t="s">
        <v>38</v>
      </c>
      <c r="K53" s="53" t="s">
        <v>161</v>
      </c>
      <c r="L53" s="53">
        <v>1</v>
      </c>
      <c r="N53" s="53">
        <v>4</v>
      </c>
      <c r="O53" s="53">
        <v>0.45</v>
      </c>
      <c r="P53" s="53">
        <v>0.2</v>
      </c>
      <c r="Q53" s="110">
        <f t="shared" si="0"/>
        <v>0.32500000000000001</v>
      </c>
      <c r="R53" s="53">
        <v>14.4</v>
      </c>
      <c r="S53" s="53">
        <v>93</v>
      </c>
      <c r="T53" s="16">
        <f t="shared" si="1"/>
        <v>36</v>
      </c>
      <c r="U53" s="53">
        <v>429</v>
      </c>
      <c r="V53" s="16">
        <f t="shared" si="2"/>
        <v>3861</v>
      </c>
      <c r="W53" s="53">
        <v>8</v>
      </c>
      <c r="X53" s="53" t="s">
        <v>46</v>
      </c>
      <c r="Y53" s="53" t="s">
        <v>88</v>
      </c>
      <c r="Z53" s="53" t="s">
        <v>55</v>
      </c>
      <c r="AA53" s="53" t="s">
        <v>78</v>
      </c>
      <c r="AB53" s="53" t="s">
        <v>239</v>
      </c>
    </row>
    <row r="54" spans="1:28" x14ac:dyDescent="0.15">
      <c r="A54" s="53" t="s">
        <v>34</v>
      </c>
      <c r="B54" s="53" t="s">
        <v>235</v>
      </c>
      <c r="C54" s="53">
        <v>2019</v>
      </c>
      <c r="D54" s="167" t="s">
        <v>166</v>
      </c>
      <c r="E54" s="53" t="s">
        <v>342</v>
      </c>
      <c r="F54" s="53" t="s">
        <v>343</v>
      </c>
      <c r="G54" s="53" t="s">
        <v>36</v>
      </c>
      <c r="H54" s="53" t="s">
        <v>164</v>
      </c>
      <c r="I54" s="53" t="s">
        <v>159</v>
      </c>
      <c r="J54" s="53" t="s">
        <v>38</v>
      </c>
      <c r="K54" s="53" t="s">
        <v>161</v>
      </c>
      <c r="L54" s="53">
        <v>2</v>
      </c>
      <c r="N54" s="53">
        <v>4</v>
      </c>
      <c r="O54" s="53">
        <v>0.45</v>
      </c>
      <c r="P54" s="53">
        <v>0.45</v>
      </c>
      <c r="Q54" s="110">
        <f t="shared" si="0"/>
        <v>0.45</v>
      </c>
      <c r="R54" s="53">
        <v>15.3</v>
      </c>
      <c r="S54" s="53">
        <v>93</v>
      </c>
      <c r="T54" s="16">
        <f t="shared" si="1"/>
        <v>36</v>
      </c>
      <c r="U54" s="53">
        <v>429</v>
      </c>
      <c r="V54" s="16">
        <f t="shared" si="2"/>
        <v>3861</v>
      </c>
      <c r="W54" s="53">
        <v>8</v>
      </c>
      <c r="X54" s="53" t="s">
        <v>46</v>
      </c>
      <c r="Y54" s="53" t="s">
        <v>88</v>
      </c>
      <c r="Z54" s="53" t="s">
        <v>55</v>
      </c>
      <c r="AA54" s="53" t="s">
        <v>78</v>
      </c>
      <c r="AB54" s="53" t="s">
        <v>239</v>
      </c>
    </row>
    <row r="55" spans="1:28" x14ac:dyDescent="0.15">
      <c r="A55" s="53" t="s">
        <v>34</v>
      </c>
      <c r="B55" s="53" t="s">
        <v>235</v>
      </c>
      <c r="C55" s="53">
        <v>2019</v>
      </c>
      <c r="D55" s="167" t="s">
        <v>166</v>
      </c>
      <c r="E55" s="53" t="s">
        <v>342</v>
      </c>
      <c r="F55" s="53" t="s">
        <v>343</v>
      </c>
      <c r="G55" s="53" t="s">
        <v>36</v>
      </c>
      <c r="H55" s="53" t="s">
        <v>164</v>
      </c>
      <c r="I55" s="53" t="s">
        <v>159</v>
      </c>
      <c r="J55" s="53" t="s">
        <v>38</v>
      </c>
      <c r="K55" s="53" t="s">
        <v>161</v>
      </c>
      <c r="L55" s="53">
        <v>3</v>
      </c>
      <c r="N55" s="53">
        <v>4</v>
      </c>
      <c r="O55" s="53">
        <v>0.2</v>
      </c>
      <c r="P55" s="53">
        <v>0.5</v>
      </c>
      <c r="Q55" s="110">
        <f t="shared" si="0"/>
        <v>0.35</v>
      </c>
      <c r="R55" s="53">
        <v>16.100000000000001</v>
      </c>
      <c r="S55" s="53">
        <v>93</v>
      </c>
      <c r="T55" s="16">
        <f t="shared" si="1"/>
        <v>36</v>
      </c>
      <c r="U55" s="53">
        <v>429</v>
      </c>
      <c r="V55" s="16">
        <f t="shared" si="2"/>
        <v>3861</v>
      </c>
      <c r="W55" s="53">
        <v>8</v>
      </c>
      <c r="X55" s="53" t="s">
        <v>46</v>
      </c>
      <c r="Y55" s="53" t="s">
        <v>88</v>
      </c>
      <c r="Z55" s="53" t="s">
        <v>55</v>
      </c>
      <c r="AA55" s="53" t="s">
        <v>78</v>
      </c>
      <c r="AB55" s="53" t="s">
        <v>239</v>
      </c>
    </row>
    <row r="56" spans="1:28" x14ac:dyDescent="0.15">
      <c r="A56" s="53" t="s">
        <v>34</v>
      </c>
      <c r="B56" s="53" t="s">
        <v>235</v>
      </c>
      <c r="C56" s="53">
        <v>2019</v>
      </c>
      <c r="D56" s="167" t="s">
        <v>166</v>
      </c>
      <c r="E56" s="53" t="s">
        <v>342</v>
      </c>
      <c r="F56" s="53" t="s">
        <v>343</v>
      </c>
      <c r="G56" s="53" t="s">
        <v>36</v>
      </c>
      <c r="H56" s="53" t="s">
        <v>164</v>
      </c>
      <c r="I56" s="53" t="s">
        <v>159</v>
      </c>
      <c r="J56" s="53" t="s">
        <v>38</v>
      </c>
      <c r="K56" s="53" t="s">
        <v>161</v>
      </c>
      <c r="L56" s="53">
        <v>1</v>
      </c>
      <c r="N56" s="53">
        <v>8</v>
      </c>
      <c r="O56" s="53">
        <v>0.45</v>
      </c>
      <c r="P56" s="53">
        <v>0.5</v>
      </c>
      <c r="Q56" s="110">
        <f t="shared" si="0"/>
        <v>0.47499999999999998</v>
      </c>
      <c r="R56" s="53">
        <v>13</v>
      </c>
      <c r="S56" s="53">
        <v>90</v>
      </c>
      <c r="T56" s="16">
        <f t="shared" si="1"/>
        <v>36</v>
      </c>
      <c r="U56" s="53">
        <v>645</v>
      </c>
      <c r="V56" s="16">
        <f t="shared" si="2"/>
        <v>2902.5</v>
      </c>
      <c r="W56" s="53">
        <v>8</v>
      </c>
      <c r="X56" s="53" t="s">
        <v>46</v>
      </c>
      <c r="Y56" s="53" t="s">
        <v>88</v>
      </c>
      <c r="Z56" s="53" t="s">
        <v>55</v>
      </c>
      <c r="AA56" s="53" t="s">
        <v>78</v>
      </c>
      <c r="AB56" s="53" t="s">
        <v>239</v>
      </c>
    </row>
    <row r="57" spans="1:28" x14ac:dyDescent="0.15">
      <c r="A57" s="53" t="s">
        <v>34</v>
      </c>
      <c r="B57" s="53" t="s">
        <v>235</v>
      </c>
      <c r="C57" s="53">
        <v>2019</v>
      </c>
      <c r="D57" s="167" t="s">
        <v>166</v>
      </c>
      <c r="E57" s="53" t="s">
        <v>342</v>
      </c>
      <c r="F57" s="53" t="s">
        <v>343</v>
      </c>
      <c r="G57" s="53" t="s">
        <v>36</v>
      </c>
      <c r="H57" s="53" t="s">
        <v>164</v>
      </c>
      <c r="I57" s="53" t="s">
        <v>159</v>
      </c>
      <c r="J57" s="53" t="s">
        <v>38</v>
      </c>
      <c r="K57" s="53" t="s">
        <v>161</v>
      </c>
      <c r="L57" s="53">
        <v>2</v>
      </c>
      <c r="N57" s="53">
        <v>8</v>
      </c>
      <c r="O57" s="53">
        <v>0.2</v>
      </c>
      <c r="P57" s="53">
        <v>0.5</v>
      </c>
      <c r="Q57" s="110">
        <f t="shared" si="0"/>
        <v>0.35</v>
      </c>
      <c r="R57" s="53">
        <v>14.7</v>
      </c>
      <c r="S57" s="53">
        <v>82</v>
      </c>
      <c r="T57" s="16">
        <f t="shared" si="1"/>
        <v>39</v>
      </c>
      <c r="U57" s="53">
        <v>645</v>
      </c>
      <c r="V57" s="16">
        <f t="shared" si="2"/>
        <v>3144.375</v>
      </c>
      <c r="W57" s="53">
        <v>8</v>
      </c>
      <c r="X57" s="53" t="s">
        <v>46</v>
      </c>
      <c r="Y57" s="53" t="s">
        <v>88</v>
      </c>
      <c r="Z57" s="53" t="s">
        <v>55</v>
      </c>
      <c r="AA57" s="53" t="s">
        <v>78</v>
      </c>
      <c r="AB57" s="53" t="s">
        <v>239</v>
      </c>
    </row>
    <row r="58" spans="1:28" x14ac:dyDescent="0.15">
      <c r="A58" s="53" t="s">
        <v>34</v>
      </c>
      <c r="B58" s="53" t="s">
        <v>235</v>
      </c>
      <c r="C58" s="53">
        <v>2019</v>
      </c>
      <c r="D58" s="167" t="s">
        <v>166</v>
      </c>
      <c r="E58" s="53" t="s">
        <v>342</v>
      </c>
      <c r="F58" s="53" t="s">
        <v>343</v>
      </c>
      <c r="G58" s="53" t="s">
        <v>36</v>
      </c>
      <c r="H58" s="53" t="s">
        <v>164</v>
      </c>
      <c r="I58" s="53" t="s">
        <v>159</v>
      </c>
      <c r="J58" s="53" t="s">
        <v>38</v>
      </c>
      <c r="K58" s="53" t="s">
        <v>161</v>
      </c>
      <c r="L58" s="53">
        <v>3</v>
      </c>
      <c r="N58" s="53">
        <v>8</v>
      </c>
      <c r="O58" s="53">
        <v>0.2</v>
      </c>
      <c r="P58" s="53">
        <v>0.2</v>
      </c>
      <c r="Q58" s="110">
        <f t="shared" si="0"/>
        <v>0.2</v>
      </c>
      <c r="R58" s="53">
        <v>16.7</v>
      </c>
      <c r="S58" s="53">
        <v>92</v>
      </c>
      <c r="T58" s="16">
        <f t="shared" si="1"/>
        <v>36</v>
      </c>
      <c r="U58" s="53">
        <v>645</v>
      </c>
      <c r="V58" s="16">
        <f t="shared" si="2"/>
        <v>2902.5</v>
      </c>
      <c r="W58" s="53">
        <v>8</v>
      </c>
      <c r="X58" s="53" t="s">
        <v>46</v>
      </c>
      <c r="Y58" s="53" t="s">
        <v>88</v>
      </c>
      <c r="Z58" s="53" t="s">
        <v>55</v>
      </c>
      <c r="AA58" s="53" t="s">
        <v>78</v>
      </c>
      <c r="AB58" s="53" t="s">
        <v>239</v>
      </c>
    </row>
    <row r="59" spans="1:28" x14ac:dyDescent="0.15">
      <c r="A59" s="53" t="s">
        <v>34</v>
      </c>
      <c r="B59" s="53" t="s">
        <v>235</v>
      </c>
      <c r="C59" s="53">
        <v>2019</v>
      </c>
      <c r="D59" s="167" t="s">
        <v>166</v>
      </c>
      <c r="E59" s="53" t="s">
        <v>342</v>
      </c>
      <c r="F59" s="53" t="s">
        <v>343</v>
      </c>
      <c r="G59" s="53" t="s">
        <v>36</v>
      </c>
      <c r="H59" s="53" t="s">
        <v>160</v>
      </c>
      <c r="I59" s="53" t="s">
        <v>159</v>
      </c>
      <c r="J59" s="53" t="s">
        <v>38</v>
      </c>
      <c r="K59" s="53" t="s">
        <v>161</v>
      </c>
      <c r="L59" s="53">
        <v>1</v>
      </c>
      <c r="N59" s="53">
        <v>1</v>
      </c>
      <c r="O59" s="53">
        <v>0.5</v>
      </c>
      <c r="P59" s="53">
        <v>0.55000000000000004</v>
      </c>
      <c r="Q59" s="110">
        <f t="shared" si="0"/>
        <v>0.52500000000000002</v>
      </c>
      <c r="R59" s="53">
        <v>19.5</v>
      </c>
      <c r="S59" s="53">
        <v>119</v>
      </c>
      <c r="T59" s="16">
        <f t="shared" si="1"/>
        <v>30</v>
      </c>
      <c r="U59" s="53">
        <v>108</v>
      </c>
      <c r="V59" s="16">
        <f t="shared" si="2"/>
        <v>3240</v>
      </c>
      <c r="W59" s="53">
        <v>7</v>
      </c>
      <c r="X59" s="53" t="s">
        <v>46</v>
      </c>
      <c r="Y59" s="53" t="s">
        <v>88</v>
      </c>
      <c r="Z59" s="53" t="s">
        <v>55</v>
      </c>
      <c r="AA59" s="53" t="s">
        <v>78</v>
      </c>
      <c r="AB59" s="53" t="s">
        <v>239</v>
      </c>
    </row>
    <row r="60" spans="1:28" x14ac:dyDescent="0.15">
      <c r="A60" s="53" t="s">
        <v>34</v>
      </c>
      <c r="B60" s="53" t="s">
        <v>235</v>
      </c>
      <c r="C60" s="53">
        <v>2019</v>
      </c>
      <c r="D60" s="167" t="s">
        <v>166</v>
      </c>
      <c r="E60" s="53" t="s">
        <v>342</v>
      </c>
      <c r="F60" s="53" t="s">
        <v>343</v>
      </c>
      <c r="G60" s="53" t="s">
        <v>36</v>
      </c>
      <c r="H60" s="53" t="s">
        <v>160</v>
      </c>
      <c r="I60" s="53" t="s">
        <v>159</v>
      </c>
      <c r="J60" s="53" t="s">
        <v>38</v>
      </c>
      <c r="K60" s="53" t="s">
        <v>161</v>
      </c>
      <c r="L60" s="53">
        <v>2</v>
      </c>
      <c r="N60" s="53">
        <v>1</v>
      </c>
      <c r="O60" s="53">
        <v>0.65</v>
      </c>
      <c r="P60" s="53">
        <v>0.6</v>
      </c>
      <c r="Q60" s="110">
        <f t="shared" si="0"/>
        <v>0.625</v>
      </c>
      <c r="R60" s="53">
        <v>18.399999999999999</v>
      </c>
      <c r="S60" s="53">
        <v>118</v>
      </c>
      <c r="T60" s="16">
        <f t="shared" si="1"/>
        <v>30</v>
      </c>
      <c r="U60" s="53">
        <v>108</v>
      </c>
      <c r="V60" s="16">
        <f t="shared" si="2"/>
        <v>3240</v>
      </c>
      <c r="W60" s="53">
        <v>7</v>
      </c>
      <c r="X60" s="53" t="s">
        <v>46</v>
      </c>
      <c r="Y60" s="53" t="s">
        <v>88</v>
      </c>
      <c r="Z60" s="53" t="s">
        <v>55</v>
      </c>
      <c r="AA60" s="53" t="s">
        <v>78</v>
      </c>
      <c r="AB60" s="53" t="s">
        <v>239</v>
      </c>
    </row>
    <row r="61" spans="1:28" x14ac:dyDescent="0.15">
      <c r="A61" s="53" t="s">
        <v>34</v>
      </c>
      <c r="B61" s="53" t="s">
        <v>235</v>
      </c>
      <c r="C61" s="53">
        <v>2019</v>
      </c>
      <c r="D61" s="167" t="s">
        <v>166</v>
      </c>
      <c r="E61" s="53" t="s">
        <v>342</v>
      </c>
      <c r="F61" s="53" t="s">
        <v>343</v>
      </c>
      <c r="G61" s="53" t="s">
        <v>36</v>
      </c>
      <c r="H61" s="53" t="s">
        <v>160</v>
      </c>
      <c r="I61" s="53" t="s">
        <v>159</v>
      </c>
      <c r="J61" s="53" t="s">
        <v>38</v>
      </c>
      <c r="K61" s="53" t="s">
        <v>161</v>
      </c>
      <c r="L61" s="53">
        <v>3</v>
      </c>
      <c r="N61" s="53">
        <v>1</v>
      </c>
      <c r="O61" s="53">
        <v>0.5</v>
      </c>
      <c r="P61" s="53">
        <v>0.55000000000000004</v>
      </c>
      <c r="Q61" s="110">
        <f t="shared" si="0"/>
        <v>0.52500000000000002</v>
      </c>
      <c r="R61" s="53">
        <v>18.5</v>
      </c>
      <c r="S61" s="53">
        <v>118</v>
      </c>
      <c r="T61" s="16">
        <f t="shared" si="1"/>
        <v>30</v>
      </c>
      <c r="U61" s="53">
        <v>108</v>
      </c>
      <c r="V61" s="16">
        <f t="shared" si="2"/>
        <v>3240</v>
      </c>
      <c r="W61" s="53">
        <v>7</v>
      </c>
      <c r="X61" s="53" t="s">
        <v>46</v>
      </c>
      <c r="Y61" s="53" t="s">
        <v>88</v>
      </c>
      <c r="Z61" s="53" t="s">
        <v>55</v>
      </c>
      <c r="AA61" s="53" t="s">
        <v>78</v>
      </c>
      <c r="AB61" s="53" t="s">
        <v>239</v>
      </c>
    </row>
    <row r="62" spans="1:28" x14ac:dyDescent="0.15">
      <c r="A62" s="53" t="s">
        <v>34</v>
      </c>
      <c r="B62" s="53" t="s">
        <v>235</v>
      </c>
      <c r="C62" s="53">
        <v>2019</v>
      </c>
      <c r="D62" s="167" t="s">
        <v>166</v>
      </c>
      <c r="E62" s="53" t="s">
        <v>342</v>
      </c>
      <c r="F62" s="53" t="s">
        <v>343</v>
      </c>
      <c r="G62" s="53" t="s">
        <v>36</v>
      </c>
      <c r="H62" s="53" t="s">
        <v>160</v>
      </c>
      <c r="I62" s="53" t="s">
        <v>159</v>
      </c>
      <c r="J62" s="53" t="s">
        <v>38</v>
      </c>
      <c r="K62" s="53" t="s">
        <v>161</v>
      </c>
      <c r="L62" s="53">
        <v>1</v>
      </c>
      <c r="N62" s="53">
        <v>4</v>
      </c>
      <c r="O62" s="53">
        <v>0.5</v>
      </c>
      <c r="P62" s="53">
        <v>0.65</v>
      </c>
      <c r="Q62" s="110">
        <f t="shared" si="0"/>
        <v>0.57499999999999996</v>
      </c>
      <c r="R62" s="53">
        <v>18.899999999999999</v>
      </c>
      <c r="S62" s="53">
        <v>102</v>
      </c>
      <c r="T62" s="16">
        <f t="shared" si="1"/>
        <v>33</v>
      </c>
      <c r="U62" s="53">
        <v>537</v>
      </c>
      <c r="V62" s="16">
        <f t="shared" si="2"/>
        <v>4430.25</v>
      </c>
      <c r="W62" s="53">
        <v>7</v>
      </c>
      <c r="X62" s="53" t="s">
        <v>46</v>
      </c>
      <c r="Y62" s="53" t="s">
        <v>88</v>
      </c>
      <c r="Z62" s="53" t="s">
        <v>55</v>
      </c>
      <c r="AA62" s="53" t="s">
        <v>78</v>
      </c>
      <c r="AB62" s="53" t="s">
        <v>239</v>
      </c>
    </row>
    <row r="63" spans="1:28" x14ac:dyDescent="0.15">
      <c r="A63" s="53" t="s">
        <v>34</v>
      </c>
      <c r="B63" s="53" t="s">
        <v>235</v>
      </c>
      <c r="C63" s="53">
        <v>2019</v>
      </c>
      <c r="D63" s="167" t="s">
        <v>166</v>
      </c>
      <c r="E63" s="53" t="s">
        <v>342</v>
      </c>
      <c r="F63" s="53" t="s">
        <v>343</v>
      </c>
      <c r="G63" s="53" t="s">
        <v>36</v>
      </c>
      <c r="H63" s="53" t="s">
        <v>160</v>
      </c>
      <c r="I63" s="53" t="s">
        <v>159</v>
      </c>
      <c r="J63" s="53" t="s">
        <v>38</v>
      </c>
      <c r="K63" s="53" t="s">
        <v>161</v>
      </c>
      <c r="L63" s="53">
        <v>2</v>
      </c>
      <c r="N63" s="53">
        <v>4</v>
      </c>
      <c r="O63" s="53">
        <v>0.2</v>
      </c>
      <c r="P63" s="53">
        <v>0.45</v>
      </c>
      <c r="Q63" s="110">
        <f t="shared" si="0"/>
        <v>0.32500000000000001</v>
      </c>
      <c r="R63" s="53">
        <v>18.2</v>
      </c>
      <c r="S63" s="53">
        <v>95</v>
      </c>
      <c r="T63" s="16">
        <f t="shared" si="1"/>
        <v>36</v>
      </c>
      <c r="U63" s="53">
        <v>537</v>
      </c>
      <c r="V63" s="16">
        <f t="shared" si="2"/>
        <v>4833</v>
      </c>
      <c r="W63" s="53">
        <v>7</v>
      </c>
      <c r="X63" s="53" t="s">
        <v>46</v>
      </c>
      <c r="Y63" s="53" t="s">
        <v>88</v>
      </c>
      <c r="Z63" s="53" t="s">
        <v>55</v>
      </c>
      <c r="AA63" s="53" t="s">
        <v>78</v>
      </c>
      <c r="AB63" s="53" t="s">
        <v>239</v>
      </c>
    </row>
    <row r="64" spans="1:28" x14ac:dyDescent="0.15">
      <c r="A64" s="53" t="s">
        <v>34</v>
      </c>
      <c r="B64" s="53" t="s">
        <v>235</v>
      </c>
      <c r="C64" s="53">
        <v>2019</v>
      </c>
      <c r="D64" s="167" t="s">
        <v>166</v>
      </c>
      <c r="E64" s="53" t="s">
        <v>342</v>
      </c>
      <c r="F64" s="53" t="s">
        <v>343</v>
      </c>
      <c r="G64" s="53" t="s">
        <v>36</v>
      </c>
      <c r="H64" s="53" t="s">
        <v>160</v>
      </c>
      <c r="I64" s="53" t="s">
        <v>159</v>
      </c>
      <c r="J64" s="53" t="s">
        <v>38</v>
      </c>
      <c r="K64" s="53" t="s">
        <v>161</v>
      </c>
      <c r="L64" s="53">
        <v>3</v>
      </c>
      <c r="N64" s="53">
        <v>4</v>
      </c>
      <c r="O64" s="53">
        <v>0.2</v>
      </c>
      <c r="P64" s="53">
        <v>0.55000000000000004</v>
      </c>
      <c r="Q64" s="110">
        <f t="shared" si="0"/>
        <v>0.375</v>
      </c>
      <c r="R64" s="53">
        <v>18.600000000000001</v>
      </c>
      <c r="S64" s="53">
        <v>97</v>
      </c>
      <c r="T64" s="16">
        <f t="shared" si="1"/>
        <v>36</v>
      </c>
      <c r="U64" s="53">
        <v>537</v>
      </c>
      <c r="V64" s="16">
        <f t="shared" si="2"/>
        <v>4833</v>
      </c>
      <c r="W64" s="53">
        <v>7</v>
      </c>
      <c r="X64" s="53" t="s">
        <v>46</v>
      </c>
      <c r="Y64" s="53" t="s">
        <v>88</v>
      </c>
      <c r="Z64" s="53" t="s">
        <v>55</v>
      </c>
      <c r="AA64" s="53" t="s">
        <v>78</v>
      </c>
      <c r="AB64" s="53" t="s">
        <v>239</v>
      </c>
    </row>
    <row r="65" spans="1:28" x14ac:dyDescent="0.15">
      <c r="A65" s="53" t="s">
        <v>34</v>
      </c>
      <c r="B65" s="53" t="s">
        <v>235</v>
      </c>
      <c r="C65" s="53">
        <v>2019</v>
      </c>
      <c r="D65" s="167" t="s">
        <v>166</v>
      </c>
      <c r="E65" s="53" t="s">
        <v>342</v>
      </c>
      <c r="F65" s="53" t="s">
        <v>343</v>
      </c>
      <c r="G65" s="53" t="s">
        <v>36</v>
      </c>
      <c r="H65" s="53" t="s">
        <v>160</v>
      </c>
      <c r="I65" s="53" t="s">
        <v>159</v>
      </c>
      <c r="J65" s="53" t="s">
        <v>38</v>
      </c>
      <c r="K65" s="53" t="s">
        <v>161</v>
      </c>
      <c r="L65" s="53">
        <v>1</v>
      </c>
      <c r="N65" s="53">
        <v>8</v>
      </c>
      <c r="O65" s="53">
        <v>0.55000000000000004</v>
      </c>
      <c r="P65" s="53">
        <v>0.55000000000000004</v>
      </c>
      <c r="Q65" s="110">
        <f t="shared" si="0"/>
        <v>0.55000000000000004</v>
      </c>
      <c r="R65" s="53">
        <v>20.2</v>
      </c>
      <c r="S65" s="53">
        <v>105</v>
      </c>
      <c r="T65" s="16">
        <f t="shared" si="1"/>
        <v>33</v>
      </c>
      <c r="U65" s="53">
        <v>861</v>
      </c>
      <c r="V65" s="16">
        <f t="shared" si="2"/>
        <v>3551.625</v>
      </c>
      <c r="W65" s="53">
        <v>7</v>
      </c>
      <c r="X65" s="53" t="s">
        <v>46</v>
      </c>
      <c r="Y65" s="53" t="s">
        <v>88</v>
      </c>
      <c r="Z65" s="53" t="s">
        <v>55</v>
      </c>
      <c r="AA65" s="53" t="s">
        <v>78</v>
      </c>
      <c r="AB65" s="53" t="s">
        <v>239</v>
      </c>
    </row>
    <row r="66" spans="1:28" x14ac:dyDescent="0.15">
      <c r="A66" s="53" t="s">
        <v>34</v>
      </c>
      <c r="B66" s="53" t="s">
        <v>235</v>
      </c>
      <c r="C66" s="53">
        <v>2019</v>
      </c>
      <c r="D66" s="167" t="s">
        <v>166</v>
      </c>
      <c r="E66" s="53" t="s">
        <v>342</v>
      </c>
      <c r="F66" s="53" t="s">
        <v>343</v>
      </c>
      <c r="G66" s="53" t="s">
        <v>36</v>
      </c>
      <c r="H66" s="53" t="s">
        <v>160</v>
      </c>
      <c r="I66" s="53" t="s">
        <v>159</v>
      </c>
      <c r="J66" s="53" t="s">
        <v>38</v>
      </c>
      <c r="K66" s="53" t="s">
        <v>161</v>
      </c>
      <c r="L66" s="53">
        <v>2</v>
      </c>
      <c r="N66" s="53">
        <v>8</v>
      </c>
      <c r="O66" s="53">
        <v>0.5</v>
      </c>
      <c r="P66" s="53">
        <v>0.45</v>
      </c>
      <c r="Q66" s="110">
        <f t="shared" si="0"/>
        <v>0.47499999999999998</v>
      </c>
      <c r="R66" s="53">
        <v>18.399999999999999</v>
      </c>
      <c r="S66" s="53">
        <v>98</v>
      </c>
      <c r="T66" s="16">
        <f t="shared" si="1"/>
        <v>36</v>
      </c>
      <c r="U66" s="53">
        <v>861</v>
      </c>
      <c r="V66" s="16">
        <f t="shared" si="2"/>
        <v>3874.5</v>
      </c>
      <c r="W66" s="53">
        <v>7</v>
      </c>
      <c r="X66" s="53" t="s">
        <v>46</v>
      </c>
      <c r="Y66" s="53" t="s">
        <v>88</v>
      </c>
      <c r="Z66" s="53" t="s">
        <v>55</v>
      </c>
      <c r="AA66" s="53" t="s">
        <v>78</v>
      </c>
      <c r="AB66" s="53" t="s">
        <v>239</v>
      </c>
    </row>
    <row r="67" spans="1:28" x14ac:dyDescent="0.15">
      <c r="A67" s="53" t="s">
        <v>34</v>
      </c>
      <c r="B67" s="53" t="s">
        <v>235</v>
      </c>
      <c r="C67" s="53">
        <v>2019</v>
      </c>
      <c r="D67" s="167" t="s">
        <v>166</v>
      </c>
      <c r="E67" s="53" t="s">
        <v>342</v>
      </c>
      <c r="F67" s="53" t="s">
        <v>343</v>
      </c>
      <c r="G67" s="53" t="s">
        <v>36</v>
      </c>
      <c r="H67" s="53" t="s">
        <v>160</v>
      </c>
      <c r="I67" s="53" t="s">
        <v>159</v>
      </c>
      <c r="J67" s="53" t="s">
        <v>38</v>
      </c>
      <c r="K67" s="53" t="s">
        <v>161</v>
      </c>
      <c r="L67" s="53">
        <v>3</v>
      </c>
      <c r="N67" s="53">
        <v>8</v>
      </c>
      <c r="O67" s="53">
        <v>0.5</v>
      </c>
      <c r="P67" s="53">
        <v>0.2</v>
      </c>
      <c r="Q67" s="110">
        <f t="shared" si="0"/>
        <v>0.35</v>
      </c>
      <c r="R67" s="53">
        <v>20.5</v>
      </c>
      <c r="S67" s="53">
        <v>93</v>
      </c>
      <c r="T67" s="16">
        <f t="shared" si="1"/>
        <v>36</v>
      </c>
      <c r="U67" s="53">
        <v>861</v>
      </c>
      <c r="V67" s="16">
        <f t="shared" si="2"/>
        <v>3874.5</v>
      </c>
      <c r="W67" s="53">
        <v>7</v>
      </c>
      <c r="X67" s="53" t="s">
        <v>46</v>
      </c>
      <c r="Y67" s="53" t="s">
        <v>88</v>
      </c>
      <c r="Z67" s="53" t="s">
        <v>55</v>
      </c>
      <c r="AA67" s="53" t="s">
        <v>78</v>
      </c>
      <c r="AB67" s="53" t="s">
        <v>239</v>
      </c>
    </row>
    <row r="68" spans="1:28" x14ac:dyDescent="0.15">
      <c r="A68" s="53" t="s">
        <v>34</v>
      </c>
      <c r="B68" s="53" t="s">
        <v>235</v>
      </c>
      <c r="C68" s="53">
        <v>2019</v>
      </c>
      <c r="D68" s="167" t="s">
        <v>166</v>
      </c>
      <c r="E68" s="53" t="s">
        <v>331</v>
      </c>
      <c r="F68" s="53" t="s">
        <v>330</v>
      </c>
      <c r="G68" s="53" t="s">
        <v>36</v>
      </c>
      <c r="H68" s="53" t="s">
        <v>164</v>
      </c>
      <c r="I68" s="53" t="s">
        <v>159</v>
      </c>
      <c r="J68" s="53" t="s">
        <v>38</v>
      </c>
      <c r="K68" s="53" t="s">
        <v>161</v>
      </c>
      <c r="L68" s="53">
        <v>1</v>
      </c>
      <c r="N68" s="53">
        <v>1</v>
      </c>
      <c r="O68" s="53">
        <v>0.75</v>
      </c>
      <c r="P68" s="53">
        <v>0.7</v>
      </c>
      <c r="Q68" s="110">
        <f t="shared" si="0"/>
        <v>0.72499999999999998</v>
      </c>
      <c r="R68" s="53">
        <v>18.8</v>
      </c>
      <c r="S68" s="53">
        <v>133</v>
      </c>
      <c r="T68" s="16">
        <f t="shared" si="1"/>
        <v>30</v>
      </c>
      <c r="U68" s="53">
        <v>105</v>
      </c>
      <c r="V68" s="16">
        <f t="shared" si="2"/>
        <v>3150</v>
      </c>
      <c r="W68" s="53">
        <v>1</v>
      </c>
      <c r="X68" s="53" t="s">
        <v>46</v>
      </c>
      <c r="Y68" s="53" t="s">
        <v>88</v>
      </c>
      <c r="Z68" s="53" t="s">
        <v>86</v>
      </c>
      <c r="AA68" s="53" t="s">
        <v>97</v>
      </c>
      <c r="AB68" s="53" t="s">
        <v>239</v>
      </c>
    </row>
    <row r="69" spans="1:28" x14ac:dyDescent="0.15">
      <c r="A69" s="53" t="s">
        <v>34</v>
      </c>
      <c r="B69" s="53" t="s">
        <v>235</v>
      </c>
      <c r="C69" s="53">
        <v>2019</v>
      </c>
      <c r="D69" s="167" t="s">
        <v>166</v>
      </c>
      <c r="E69" s="53" t="s">
        <v>331</v>
      </c>
      <c r="F69" s="53" t="s">
        <v>330</v>
      </c>
      <c r="G69" s="53" t="s">
        <v>36</v>
      </c>
      <c r="H69" s="53" t="s">
        <v>164</v>
      </c>
      <c r="I69" s="53" t="s">
        <v>159</v>
      </c>
      <c r="J69" s="53" t="s">
        <v>38</v>
      </c>
      <c r="K69" s="53" t="s">
        <v>161</v>
      </c>
      <c r="L69" s="53">
        <v>2</v>
      </c>
      <c r="N69" s="53">
        <v>1</v>
      </c>
      <c r="O69" s="53">
        <v>0.95</v>
      </c>
      <c r="P69" s="53">
        <v>0.65</v>
      </c>
      <c r="Q69" s="110">
        <f t="shared" si="0"/>
        <v>0.8</v>
      </c>
      <c r="R69" s="53">
        <v>18.8</v>
      </c>
      <c r="S69" s="53">
        <v>121</v>
      </c>
      <c r="T69" s="16">
        <f t="shared" si="1"/>
        <v>30</v>
      </c>
      <c r="U69" s="53">
        <v>105</v>
      </c>
      <c r="V69" s="16">
        <f t="shared" si="2"/>
        <v>3150</v>
      </c>
      <c r="W69" s="53">
        <v>1</v>
      </c>
      <c r="X69" s="53" t="s">
        <v>46</v>
      </c>
      <c r="Y69" s="53" t="s">
        <v>88</v>
      </c>
      <c r="Z69" s="53" t="s">
        <v>86</v>
      </c>
      <c r="AA69" s="53" t="s">
        <v>97</v>
      </c>
      <c r="AB69" s="53" t="s">
        <v>239</v>
      </c>
    </row>
    <row r="70" spans="1:28" x14ac:dyDescent="0.15">
      <c r="A70" s="53" t="s">
        <v>34</v>
      </c>
      <c r="B70" s="53" t="s">
        <v>235</v>
      </c>
      <c r="C70" s="53">
        <v>2019</v>
      </c>
      <c r="D70" s="167" t="s">
        <v>166</v>
      </c>
      <c r="E70" s="53" t="s">
        <v>331</v>
      </c>
      <c r="F70" s="53" t="s">
        <v>330</v>
      </c>
      <c r="G70" s="53" t="s">
        <v>36</v>
      </c>
      <c r="H70" s="53" t="s">
        <v>164</v>
      </c>
      <c r="I70" s="53" t="s">
        <v>159</v>
      </c>
      <c r="J70" s="53" t="s">
        <v>38</v>
      </c>
      <c r="K70" s="53" t="s">
        <v>161</v>
      </c>
      <c r="L70" s="53">
        <v>3</v>
      </c>
      <c r="N70" s="53">
        <v>1</v>
      </c>
      <c r="O70" s="53">
        <v>0.8</v>
      </c>
      <c r="P70" s="53">
        <v>0.75</v>
      </c>
      <c r="Q70" s="110">
        <f t="shared" si="0"/>
        <v>0.77500000000000002</v>
      </c>
      <c r="R70" s="53">
        <v>20</v>
      </c>
      <c r="S70" s="53">
        <v>130</v>
      </c>
      <c r="T70" s="16">
        <f t="shared" si="1"/>
        <v>30</v>
      </c>
      <c r="U70" s="53">
        <v>105</v>
      </c>
      <c r="V70" s="16">
        <f t="shared" si="2"/>
        <v>3150</v>
      </c>
      <c r="W70" s="53">
        <v>1</v>
      </c>
      <c r="X70" s="53" t="s">
        <v>46</v>
      </c>
      <c r="Y70" s="53" t="s">
        <v>88</v>
      </c>
      <c r="Z70" s="53" t="s">
        <v>86</v>
      </c>
      <c r="AA70" s="53" t="s">
        <v>97</v>
      </c>
      <c r="AB70" s="53" t="s">
        <v>239</v>
      </c>
    </row>
    <row r="71" spans="1:28" x14ac:dyDescent="0.15">
      <c r="A71" s="53" t="s">
        <v>34</v>
      </c>
      <c r="B71" s="53" t="s">
        <v>235</v>
      </c>
      <c r="C71" s="53">
        <v>2019</v>
      </c>
      <c r="D71" s="167" t="s">
        <v>166</v>
      </c>
      <c r="E71" s="53" t="s">
        <v>331</v>
      </c>
      <c r="F71" s="53" t="s">
        <v>330</v>
      </c>
      <c r="G71" s="53" t="s">
        <v>36</v>
      </c>
      <c r="H71" s="53" t="s">
        <v>160</v>
      </c>
      <c r="I71" s="53" t="s">
        <v>159</v>
      </c>
      <c r="J71" s="53" t="s">
        <v>38</v>
      </c>
      <c r="K71" s="53" t="s">
        <v>161</v>
      </c>
      <c r="L71" s="53">
        <v>1</v>
      </c>
      <c r="N71" s="53">
        <v>1</v>
      </c>
      <c r="O71" s="53">
        <v>0.7</v>
      </c>
      <c r="P71" s="53">
        <v>0.75</v>
      </c>
      <c r="Q71" s="110">
        <f t="shared" si="0"/>
        <v>0.72499999999999998</v>
      </c>
      <c r="R71" s="53">
        <v>18.600000000000001</v>
      </c>
      <c r="S71" s="53">
        <v>123</v>
      </c>
      <c r="T71" s="16">
        <f t="shared" si="1"/>
        <v>30</v>
      </c>
      <c r="U71" s="53">
        <v>105</v>
      </c>
      <c r="V71" s="16">
        <f t="shared" si="2"/>
        <v>3150</v>
      </c>
      <c r="W71" s="53">
        <v>6</v>
      </c>
      <c r="X71" s="53" t="s">
        <v>46</v>
      </c>
      <c r="Y71" s="53" t="s">
        <v>88</v>
      </c>
      <c r="Z71" s="53" t="s">
        <v>86</v>
      </c>
      <c r="AA71" s="53" t="s">
        <v>97</v>
      </c>
      <c r="AB71" s="53" t="s">
        <v>239</v>
      </c>
    </row>
    <row r="72" spans="1:28" x14ac:dyDescent="0.15">
      <c r="A72" s="53" t="s">
        <v>34</v>
      </c>
      <c r="B72" s="53" t="s">
        <v>235</v>
      </c>
      <c r="C72" s="53">
        <v>2019</v>
      </c>
      <c r="D72" s="167" t="s">
        <v>166</v>
      </c>
      <c r="E72" s="53" t="s">
        <v>331</v>
      </c>
      <c r="F72" s="53" t="s">
        <v>330</v>
      </c>
      <c r="G72" s="53" t="s">
        <v>36</v>
      </c>
      <c r="H72" s="53" t="s">
        <v>160</v>
      </c>
      <c r="I72" s="53" t="s">
        <v>159</v>
      </c>
      <c r="J72" s="53" t="s">
        <v>38</v>
      </c>
      <c r="K72" s="53" t="s">
        <v>161</v>
      </c>
      <c r="L72" s="53">
        <v>2</v>
      </c>
      <c r="N72" s="53">
        <v>1</v>
      </c>
      <c r="O72" s="53">
        <v>0.8</v>
      </c>
      <c r="P72" s="53">
        <v>0.7</v>
      </c>
      <c r="Q72" s="110">
        <f t="shared" si="0"/>
        <v>0.75</v>
      </c>
      <c r="R72" s="53">
        <v>18.5</v>
      </c>
      <c r="S72" s="53">
        <v>121</v>
      </c>
      <c r="T72" s="16">
        <f t="shared" si="1"/>
        <v>30</v>
      </c>
      <c r="U72" s="53">
        <v>105</v>
      </c>
      <c r="V72" s="16">
        <f t="shared" si="2"/>
        <v>3150</v>
      </c>
      <c r="W72" s="53">
        <v>6</v>
      </c>
      <c r="X72" s="53" t="s">
        <v>46</v>
      </c>
      <c r="Y72" s="53" t="s">
        <v>88</v>
      </c>
      <c r="Z72" s="53" t="s">
        <v>86</v>
      </c>
      <c r="AA72" s="53" t="s">
        <v>97</v>
      </c>
      <c r="AB72" s="53" t="s">
        <v>239</v>
      </c>
    </row>
    <row r="73" spans="1:28" x14ac:dyDescent="0.15">
      <c r="A73" s="53" t="s">
        <v>34</v>
      </c>
      <c r="B73" s="53" t="s">
        <v>235</v>
      </c>
      <c r="C73" s="53">
        <v>2019</v>
      </c>
      <c r="D73" s="167" t="s">
        <v>166</v>
      </c>
      <c r="E73" s="53" t="s">
        <v>331</v>
      </c>
      <c r="F73" s="53" t="s">
        <v>330</v>
      </c>
      <c r="G73" s="53" t="s">
        <v>36</v>
      </c>
      <c r="H73" s="53" t="s">
        <v>160</v>
      </c>
      <c r="I73" s="53" t="s">
        <v>159</v>
      </c>
      <c r="J73" s="53" t="s">
        <v>38</v>
      </c>
      <c r="K73" s="53" t="s">
        <v>161</v>
      </c>
      <c r="L73" s="53">
        <v>3</v>
      </c>
      <c r="N73" s="53">
        <v>1</v>
      </c>
      <c r="O73" s="53">
        <v>0.75</v>
      </c>
      <c r="P73" s="53">
        <v>0.6</v>
      </c>
      <c r="Q73" s="110">
        <f t="shared" si="0"/>
        <v>0.67500000000000004</v>
      </c>
      <c r="R73" s="53">
        <v>18.399999999999999</v>
      </c>
      <c r="S73" s="53">
        <v>127</v>
      </c>
      <c r="T73" s="16">
        <f t="shared" si="1"/>
        <v>30</v>
      </c>
      <c r="U73" s="53">
        <v>105</v>
      </c>
      <c r="V73" s="16">
        <f t="shared" si="2"/>
        <v>3150</v>
      </c>
      <c r="W73" s="53">
        <v>6</v>
      </c>
      <c r="X73" s="53" t="s">
        <v>46</v>
      </c>
      <c r="Y73" s="53" t="s">
        <v>88</v>
      </c>
      <c r="Z73" s="53" t="s">
        <v>86</v>
      </c>
      <c r="AA73" s="53" t="s">
        <v>97</v>
      </c>
      <c r="AB73" s="53" t="s">
        <v>239</v>
      </c>
    </row>
    <row r="74" spans="1:28" x14ac:dyDescent="0.15">
      <c r="A74" s="53" t="s">
        <v>34</v>
      </c>
      <c r="B74" s="53" t="s">
        <v>235</v>
      </c>
      <c r="C74" s="53">
        <v>2019</v>
      </c>
      <c r="D74" s="167" t="s">
        <v>166</v>
      </c>
      <c r="E74" s="53" t="s">
        <v>331</v>
      </c>
      <c r="F74" s="53" t="s">
        <v>330</v>
      </c>
      <c r="G74" s="53" t="s">
        <v>36</v>
      </c>
      <c r="H74" s="53" t="s">
        <v>160</v>
      </c>
      <c r="I74" s="53" t="s">
        <v>159</v>
      </c>
      <c r="J74" s="53" t="s">
        <v>38</v>
      </c>
      <c r="K74" s="53" t="s">
        <v>161</v>
      </c>
      <c r="L74" s="53">
        <v>1</v>
      </c>
      <c r="N74" s="53">
        <v>4</v>
      </c>
      <c r="O74" s="53">
        <v>0.55000000000000004</v>
      </c>
      <c r="P74" s="53">
        <v>0.6</v>
      </c>
      <c r="Q74" s="110">
        <f t="shared" si="0"/>
        <v>0.57499999999999996</v>
      </c>
      <c r="R74" s="53">
        <v>19.600000000000001</v>
      </c>
      <c r="S74" s="53">
        <v>104</v>
      </c>
      <c r="T74" s="16">
        <f t="shared" si="1"/>
        <v>33</v>
      </c>
      <c r="U74" s="53">
        <v>429</v>
      </c>
      <c r="V74" s="16">
        <f t="shared" si="2"/>
        <v>3539.25</v>
      </c>
      <c r="W74" s="53">
        <v>6</v>
      </c>
      <c r="X74" s="53" t="s">
        <v>46</v>
      </c>
      <c r="Y74" s="53" t="s">
        <v>88</v>
      </c>
      <c r="Z74" s="53" t="s">
        <v>86</v>
      </c>
      <c r="AA74" s="53" t="s">
        <v>97</v>
      </c>
      <c r="AB74" s="53" t="s">
        <v>239</v>
      </c>
    </row>
    <row r="75" spans="1:28" x14ac:dyDescent="0.15">
      <c r="A75" s="53" t="s">
        <v>34</v>
      </c>
      <c r="B75" s="53" t="s">
        <v>235</v>
      </c>
      <c r="C75" s="53">
        <v>2019</v>
      </c>
      <c r="D75" s="167" t="s">
        <v>166</v>
      </c>
      <c r="E75" s="53" t="s">
        <v>331</v>
      </c>
      <c r="F75" s="53" t="s">
        <v>330</v>
      </c>
      <c r="G75" s="53" t="s">
        <v>36</v>
      </c>
      <c r="H75" s="53" t="s">
        <v>160</v>
      </c>
      <c r="I75" s="53" t="s">
        <v>159</v>
      </c>
      <c r="J75" s="53" t="s">
        <v>38</v>
      </c>
      <c r="K75" s="53" t="s">
        <v>161</v>
      </c>
      <c r="L75" s="53">
        <v>2</v>
      </c>
      <c r="N75" s="53">
        <v>4</v>
      </c>
      <c r="O75" s="53">
        <v>0.75</v>
      </c>
      <c r="P75" s="53">
        <v>0.65</v>
      </c>
      <c r="Q75" s="110">
        <f t="shared" si="0"/>
        <v>0.7</v>
      </c>
      <c r="R75" s="53">
        <v>18.399999999999999</v>
      </c>
      <c r="S75" s="53">
        <v>104</v>
      </c>
      <c r="T75" s="16">
        <f t="shared" si="1"/>
        <v>33</v>
      </c>
      <c r="U75" s="53">
        <v>429</v>
      </c>
      <c r="V75" s="16">
        <f t="shared" si="2"/>
        <v>3539.25</v>
      </c>
      <c r="W75" s="53">
        <v>6</v>
      </c>
      <c r="X75" s="53" t="s">
        <v>46</v>
      </c>
      <c r="Y75" s="53" t="s">
        <v>88</v>
      </c>
      <c r="Z75" s="53" t="s">
        <v>86</v>
      </c>
      <c r="AA75" s="53" t="s">
        <v>97</v>
      </c>
      <c r="AB75" s="53" t="s">
        <v>239</v>
      </c>
    </row>
    <row r="76" spans="1:28" x14ac:dyDescent="0.15">
      <c r="A76" s="53" t="s">
        <v>34</v>
      </c>
      <c r="B76" s="53" t="s">
        <v>235</v>
      </c>
      <c r="C76" s="53">
        <v>2019</v>
      </c>
      <c r="D76" s="167" t="s">
        <v>166</v>
      </c>
      <c r="E76" s="53" t="s">
        <v>331</v>
      </c>
      <c r="F76" s="53" t="s">
        <v>330</v>
      </c>
      <c r="G76" s="53" t="s">
        <v>36</v>
      </c>
      <c r="H76" s="53" t="s">
        <v>345</v>
      </c>
      <c r="I76" s="53" t="s">
        <v>159</v>
      </c>
      <c r="J76" s="53" t="s">
        <v>38</v>
      </c>
      <c r="K76" s="53" t="s">
        <v>161</v>
      </c>
      <c r="L76" s="53">
        <v>3</v>
      </c>
      <c r="N76" s="53">
        <v>4</v>
      </c>
      <c r="O76" s="53">
        <v>0.6</v>
      </c>
      <c r="P76" s="53">
        <v>0.6</v>
      </c>
      <c r="Q76" s="110">
        <f t="shared" si="0"/>
        <v>0.6</v>
      </c>
      <c r="R76" s="53">
        <v>19.899999999999999</v>
      </c>
      <c r="S76" s="53">
        <v>105</v>
      </c>
      <c r="T76" s="16">
        <f t="shared" si="1"/>
        <v>33</v>
      </c>
      <c r="U76" s="53">
        <v>429</v>
      </c>
      <c r="V76" s="16">
        <f t="shared" si="2"/>
        <v>3539.25</v>
      </c>
      <c r="W76" s="53">
        <v>6</v>
      </c>
      <c r="X76" s="53" t="s">
        <v>46</v>
      </c>
      <c r="Y76" s="53" t="s">
        <v>88</v>
      </c>
      <c r="Z76" s="53" t="s">
        <v>86</v>
      </c>
      <c r="AA76" s="53" t="s">
        <v>97</v>
      </c>
      <c r="AB76" s="53" t="s">
        <v>239</v>
      </c>
    </row>
    <row r="77" spans="1:28" x14ac:dyDescent="0.15">
      <c r="A77" s="53" t="s">
        <v>34</v>
      </c>
      <c r="B77" s="53" t="s">
        <v>235</v>
      </c>
      <c r="C77" s="53">
        <v>2019</v>
      </c>
      <c r="D77" s="167" t="s">
        <v>166</v>
      </c>
      <c r="E77" s="53" t="s">
        <v>318</v>
      </c>
      <c r="F77" s="53" t="s">
        <v>330</v>
      </c>
      <c r="G77" s="53" t="s">
        <v>36</v>
      </c>
      <c r="H77" s="53" t="s">
        <v>164</v>
      </c>
      <c r="I77" s="53" t="s">
        <v>159</v>
      </c>
      <c r="J77" s="53" t="s">
        <v>38</v>
      </c>
      <c r="K77" s="53" t="s">
        <v>161</v>
      </c>
      <c r="L77" s="53">
        <v>1</v>
      </c>
      <c r="N77" s="53">
        <v>1</v>
      </c>
      <c r="O77" s="53">
        <v>0.7</v>
      </c>
      <c r="P77" s="53">
        <v>0.75</v>
      </c>
      <c r="Q77" s="110">
        <f t="shared" si="0"/>
        <v>0.72499999999999998</v>
      </c>
      <c r="R77" s="53">
        <v>18.8</v>
      </c>
      <c r="S77" s="53">
        <v>119</v>
      </c>
      <c r="T77" s="16">
        <f t="shared" si="1"/>
        <v>30</v>
      </c>
      <c r="U77" s="53">
        <v>85</v>
      </c>
      <c r="V77" s="16">
        <f t="shared" si="2"/>
        <v>2550</v>
      </c>
      <c r="W77" s="53">
        <v>3</v>
      </c>
      <c r="X77" s="53" t="s">
        <v>46</v>
      </c>
      <c r="Y77" s="53" t="s">
        <v>88</v>
      </c>
      <c r="Z77" s="53" t="s">
        <v>69</v>
      </c>
      <c r="AA77" s="53" t="s">
        <v>90</v>
      </c>
      <c r="AB77" s="53" t="s">
        <v>239</v>
      </c>
    </row>
    <row r="78" spans="1:28" x14ac:dyDescent="0.15">
      <c r="A78" s="53" t="s">
        <v>34</v>
      </c>
      <c r="B78" s="53" t="s">
        <v>235</v>
      </c>
      <c r="C78" s="53">
        <v>2019</v>
      </c>
      <c r="D78" s="167" t="s">
        <v>166</v>
      </c>
      <c r="E78" s="53" t="s">
        <v>318</v>
      </c>
      <c r="F78" s="53" t="s">
        <v>330</v>
      </c>
      <c r="G78" s="53" t="s">
        <v>36</v>
      </c>
      <c r="H78" s="53" t="s">
        <v>164</v>
      </c>
      <c r="I78" s="53" t="s">
        <v>159</v>
      </c>
      <c r="J78" s="53" t="s">
        <v>38</v>
      </c>
      <c r="K78" s="53" t="s">
        <v>161</v>
      </c>
      <c r="L78" s="53">
        <v>2</v>
      </c>
      <c r="N78" s="53">
        <v>1</v>
      </c>
      <c r="O78" s="53">
        <v>1</v>
      </c>
      <c r="P78" s="53">
        <v>1</v>
      </c>
      <c r="Q78" s="110">
        <f t="shared" si="0"/>
        <v>1</v>
      </c>
      <c r="R78" s="53">
        <v>17.8</v>
      </c>
      <c r="S78" s="53">
        <v>127</v>
      </c>
      <c r="T78" s="16">
        <f t="shared" si="1"/>
        <v>30</v>
      </c>
      <c r="U78" s="53">
        <v>85</v>
      </c>
      <c r="V78" s="16">
        <f t="shared" si="2"/>
        <v>2550</v>
      </c>
      <c r="W78" s="53">
        <v>3</v>
      </c>
      <c r="X78" s="53" t="s">
        <v>46</v>
      </c>
      <c r="Y78" s="53" t="s">
        <v>88</v>
      </c>
      <c r="Z78" s="53" t="s">
        <v>69</v>
      </c>
      <c r="AA78" s="53" t="s">
        <v>90</v>
      </c>
      <c r="AB78" s="53" t="s">
        <v>239</v>
      </c>
    </row>
    <row r="79" spans="1:28" x14ac:dyDescent="0.15">
      <c r="A79" s="53" t="s">
        <v>34</v>
      </c>
      <c r="B79" s="53" t="s">
        <v>235</v>
      </c>
      <c r="C79" s="53">
        <v>2019</v>
      </c>
      <c r="D79" s="167" t="s">
        <v>166</v>
      </c>
      <c r="E79" s="53" t="s">
        <v>318</v>
      </c>
      <c r="F79" s="53" t="s">
        <v>330</v>
      </c>
      <c r="G79" s="53" t="s">
        <v>36</v>
      </c>
      <c r="H79" s="53" t="s">
        <v>164</v>
      </c>
      <c r="I79" s="53" t="s">
        <v>159</v>
      </c>
      <c r="J79" s="53" t="s">
        <v>38</v>
      </c>
      <c r="K79" s="53" t="s">
        <v>161</v>
      </c>
      <c r="L79" s="53">
        <v>3</v>
      </c>
      <c r="N79" s="53">
        <v>1</v>
      </c>
      <c r="O79" s="53">
        <v>0.8</v>
      </c>
      <c r="P79" s="53">
        <v>0.7</v>
      </c>
      <c r="Q79" s="110">
        <f t="shared" si="0"/>
        <v>0.75</v>
      </c>
      <c r="R79" s="53">
        <v>18.399999999999999</v>
      </c>
      <c r="S79" s="53">
        <v>126</v>
      </c>
      <c r="T79" s="16">
        <f t="shared" si="1"/>
        <v>30</v>
      </c>
      <c r="U79" s="53">
        <v>85</v>
      </c>
      <c r="V79" s="16">
        <f t="shared" si="2"/>
        <v>2550</v>
      </c>
      <c r="W79" s="53">
        <v>3</v>
      </c>
      <c r="X79" s="53" t="s">
        <v>46</v>
      </c>
      <c r="Y79" s="53" t="s">
        <v>88</v>
      </c>
      <c r="Z79" s="53" t="s">
        <v>69</v>
      </c>
      <c r="AA79" s="53" t="s">
        <v>90</v>
      </c>
      <c r="AB79" s="53" t="s">
        <v>239</v>
      </c>
    </row>
    <row r="80" spans="1:28" x14ac:dyDescent="0.15">
      <c r="A80" s="53" t="s">
        <v>34</v>
      </c>
      <c r="B80" s="53" t="s">
        <v>235</v>
      </c>
      <c r="C80" s="53">
        <v>2019</v>
      </c>
      <c r="D80" s="167" t="s">
        <v>166</v>
      </c>
      <c r="E80" s="53" t="s">
        <v>318</v>
      </c>
      <c r="F80" s="53" t="s">
        <v>330</v>
      </c>
      <c r="G80" s="53" t="s">
        <v>36</v>
      </c>
      <c r="H80" s="53" t="s">
        <v>164</v>
      </c>
      <c r="I80" s="53" t="s">
        <v>159</v>
      </c>
      <c r="J80" s="53" t="s">
        <v>38</v>
      </c>
      <c r="K80" s="53" t="s">
        <v>161</v>
      </c>
      <c r="L80" s="53">
        <v>1</v>
      </c>
      <c r="N80" s="53">
        <v>10</v>
      </c>
      <c r="O80" s="53">
        <v>0.65</v>
      </c>
      <c r="P80" s="53">
        <v>0.65</v>
      </c>
      <c r="Q80" s="110">
        <f t="shared" si="0"/>
        <v>0.65</v>
      </c>
      <c r="R80" s="53">
        <v>16</v>
      </c>
      <c r="S80" s="53">
        <v>83</v>
      </c>
      <c r="T80" s="16">
        <f t="shared" si="1"/>
        <v>39</v>
      </c>
      <c r="U80" s="53">
        <v>537</v>
      </c>
      <c r="V80" s="16">
        <f t="shared" si="2"/>
        <v>2094.3000000000002</v>
      </c>
      <c r="W80" s="53">
        <v>3</v>
      </c>
      <c r="X80" s="53" t="s">
        <v>46</v>
      </c>
      <c r="Y80" s="53" t="s">
        <v>88</v>
      </c>
      <c r="Z80" s="53" t="s">
        <v>69</v>
      </c>
      <c r="AA80" s="53" t="s">
        <v>90</v>
      </c>
      <c r="AB80" s="53" t="s">
        <v>239</v>
      </c>
    </row>
    <row r="81" spans="1:28" x14ac:dyDescent="0.15">
      <c r="A81" s="53" t="s">
        <v>34</v>
      </c>
      <c r="B81" s="53" t="s">
        <v>235</v>
      </c>
      <c r="C81" s="53">
        <v>2019</v>
      </c>
      <c r="D81" s="167" t="s">
        <v>166</v>
      </c>
      <c r="E81" s="53" t="s">
        <v>318</v>
      </c>
      <c r="F81" s="53" t="s">
        <v>330</v>
      </c>
      <c r="G81" s="53" t="s">
        <v>36</v>
      </c>
      <c r="H81" s="53" t="s">
        <v>164</v>
      </c>
      <c r="I81" s="53" t="s">
        <v>159</v>
      </c>
      <c r="J81" s="53" t="s">
        <v>38</v>
      </c>
      <c r="K81" s="53" t="s">
        <v>161</v>
      </c>
      <c r="L81" s="53">
        <v>2</v>
      </c>
      <c r="N81" s="53">
        <v>10</v>
      </c>
      <c r="O81" s="53">
        <v>0.55000000000000004</v>
      </c>
      <c r="P81" s="53">
        <v>0.55000000000000004</v>
      </c>
      <c r="Q81" s="110">
        <f t="shared" si="0"/>
        <v>0.55000000000000004</v>
      </c>
      <c r="R81" s="53">
        <v>15</v>
      </c>
      <c r="S81" s="53">
        <v>80</v>
      </c>
      <c r="T81" s="16">
        <f t="shared" si="1"/>
        <v>39</v>
      </c>
      <c r="U81" s="53">
        <v>537</v>
      </c>
      <c r="V81" s="16">
        <f t="shared" si="2"/>
        <v>2094.3000000000002</v>
      </c>
      <c r="W81" s="53">
        <v>3</v>
      </c>
      <c r="X81" s="53" t="s">
        <v>46</v>
      </c>
      <c r="Y81" s="53" t="s">
        <v>88</v>
      </c>
      <c r="Z81" s="53" t="s">
        <v>69</v>
      </c>
      <c r="AA81" s="53" t="s">
        <v>90</v>
      </c>
      <c r="AB81" s="53" t="s">
        <v>239</v>
      </c>
    </row>
    <row r="82" spans="1:28" x14ac:dyDescent="0.15">
      <c r="A82" s="53" t="s">
        <v>34</v>
      </c>
      <c r="B82" s="53" t="s">
        <v>235</v>
      </c>
      <c r="C82" s="53">
        <v>2019</v>
      </c>
      <c r="D82" s="167" t="s">
        <v>166</v>
      </c>
      <c r="E82" s="53" t="s">
        <v>318</v>
      </c>
      <c r="F82" s="53" t="s">
        <v>330</v>
      </c>
      <c r="G82" s="53" t="s">
        <v>36</v>
      </c>
      <c r="H82" s="53" t="s">
        <v>164</v>
      </c>
      <c r="I82" s="53" t="s">
        <v>159</v>
      </c>
      <c r="J82" s="53" t="s">
        <v>38</v>
      </c>
      <c r="K82" s="53" t="s">
        <v>161</v>
      </c>
      <c r="L82" s="53">
        <v>3</v>
      </c>
      <c r="N82" s="53">
        <v>10</v>
      </c>
      <c r="O82" s="53">
        <v>0.55000000000000004</v>
      </c>
      <c r="P82" s="53">
        <v>0.75</v>
      </c>
      <c r="Q82" s="110">
        <f t="shared" si="0"/>
        <v>0.65</v>
      </c>
      <c r="R82" s="53">
        <v>14.7</v>
      </c>
      <c r="S82" s="53">
        <v>75</v>
      </c>
      <c r="T82" s="16">
        <f t="shared" si="1"/>
        <v>42</v>
      </c>
      <c r="U82" s="53">
        <v>537</v>
      </c>
      <c r="V82" s="16">
        <f t="shared" si="2"/>
        <v>2255.4</v>
      </c>
      <c r="W82" s="53">
        <v>3</v>
      </c>
      <c r="X82" s="53" t="s">
        <v>46</v>
      </c>
      <c r="Y82" s="53" t="s">
        <v>88</v>
      </c>
      <c r="Z82" s="53" t="s">
        <v>69</v>
      </c>
      <c r="AA82" s="53" t="s">
        <v>90</v>
      </c>
      <c r="AB82" s="53" t="s">
        <v>239</v>
      </c>
    </row>
    <row r="83" spans="1:28" x14ac:dyDescent="0.15">
      <c r="A83" s="53" t="s">
        <v>34</v>
      </c>
      <c r="B83" s="53" t="s">
        <v>235</v>
      </c>
      <c r="C83" s="53">
        <v>2019</v>
      </c>
      <c r="D83" s="167" t="s">
        <v>166</v>
      </c>
      <c r="E83" s="53" t="s">
        <v>334</v>
      </c>
      <c r="F83" s="53" t="s">
        <v>335</v>
      </c>
      <c r="G83" s="53" t="s">
        <v>36</v>
      </c>
      <c r="H83" s="53" t="s">
        <v>164</v>
      </c>
      <c r="I83" s="53" t="s">
        <v>198</v>
      </c>
      <c r="J83" s="53" t="s">
        <v>38</v>
      </c>
      <c r="K83" s="53" t="s">
        <v>161</v>
      </c>
      <c r="L83" s="53">
        <v>1</v>
      </c>
      <c r="N83" s="53">
        <v>1</v>
      </c>
      <c r="O83" s="53">
        <v>0.9</v>
      </c>
      <c r="P83" s="53">
        <v>0.9</v>
      </c>
      <c r="Q83" s="110">
        <f t="shared" ref="Q83:Q127" si="5">IF(OR(O83="",P83=""),"",AVERAGE(O83,P83))</f>
        <v>0.9</v>
      </c>
      <c r="R83" s="53">
        <v>16.899999999999999</v>
      </c>
      <c r="S83" s="53">
        <v>135</v>
      </c>
      <c r="T83" s="16">
        <f t="shared" ref="T83:T127" si="6">IF(H83="","",IF(OR(H83="GREEN",H83="GK"),IF(S83&gt;=$AX$2,VLOOKUP(S83,$AX$2:$AY$9,2,1),""),IF(S83&gt;=$AZ$2,VLOOKUP(S83,$AZ$2:$BA$9,2,1),"")))</f>
        <v>30</v>
      </c>
      <c r="U83" s="53">
        <v>127</v>
      </c>
      <c r="V83" s="16">
        <f t="shared" ref="V83:V127" si="7">IF(OR(N83="",U83="",T83=""),"",U83/N83*T83)</f>
        <v>3810</v>
      </c>
      <c r="W83" s="53">
        <v>8</v>
      </c>
      <c r="X83" s="53" t="s">
        <v>46</v>
      </c>
      <c r="Y83" s="53" t="s">
        <v>55</v>
      </c>
      <c r="Z83" s="53" t="s">
        <v>69</v>
      </c>
      <c r="AA83" s="53" t="s">
        <v>90</v>
      </c>
      <c r="AB83" s="53" t="s">
        <v>239</v>
      </c>
    </row>
    <row r="84" spans="1:28" x14ac:dyDescent="0.15">
      <c r="A84" s="53" t="s">
        <v>34</v>
      </c>
      <c r="B84" s="53" t="s">
        <v>235</v>
      </c>
      <c r="C84" s="53">
        <v>2019</v>
      </c>
      <c r="D84" s="167" t="s">
        <v>166</v>
      </c>
      <c r="E84" s="53" t="s">
        <v>334</v>
      </c>
      <c r="F84" s="53" t="s">
        <v>335</v>
      </c>
      <c r="G84" s="53" t="s">
        <v>36</v>
      </c>
      <c r="H84" s="53" t="s">
        <v>164</v>
      </c>
      <c r="I84" s="53" t="s">
        <v>198</v>
      </c>
      <c r="J84" s="53" t="s">
        <v>38</v>
      </c>
      <c r="K84" s="53" t="s">
        <v>161</v>
      </c>
      <c r="L84" s="53">
        <v>2</v>
      </c>
      <c r="N84" s="53">
        <v>1</v>
      </c>
      <c r="O84" s="53">
        <v>0.2</v>
      </c>
      <c r="P84" s="53">
        <v>0.5</v>
      </c>
      <c r="Q84" s="110">
        <f t="shared" si="5"/>
        <v>0.35</v>
      </c>
      <c r="R84" s="53">
        <v>16.7</v>
      </c>
      <c r="S84" s="53">
        <v>120</v>
      </c>
      <c r="T84" s="16">
        <f t="shared" si="6"/>
        <v>30</v>
      </c>
      <c r="U84" s="53">
        <v>127</v>
      </c>
      <c r="V84" s="16">
        <f t="shared" si="7"/>
        <v>3810</v>
      </c>
      <c r="W84" s="53">
        <v>8</v>
      </c>
      <c r="X84" s="53" t="s">
        <v>46</v>
      </c>
      <c r="Y84" s="53" t="s">
        <v>55</v>
      </c>
      <c r="Z84" s="53" t="s">
        <v>69</v>
      </c>
      <c r="AA84" s="53" t="s">
        <v>90</v>
      </c>
      <c r="AB84" s="53" t="s">
        <v>239</v>
      </c>
    </row>
    <row r="85" spans="1:28" x14ac:dyDescent="0.15">
      <c r="A85" s="53" t="s">
        <v>34</v>
      </c>
      <c r="B85" s="53" t="s">
        <v>235</v>
      </c>
      <c r="C85" s="53">
        <v>2019</v>
      </c>
      <c r="D85" s="167" t="s">
        <v>166</v>
      </c>
      <c r="E85" s="53" t="s">
        <v>334</v>
      </c>
      <c r="F85" s="53" t="s">
        <v>335</v>
      </c>
      <c r="G85" s="53" t="s">
        <v>36</v>
      </c>
      <c r="H85" s="53" t="s">
        <v>164</v>
      </c>
      <c r="I85" s="53" t="s">
        <v>198</v>
      </c>
      <c r="J85" s="53" t="s">
        <v>38</v>
      </c>
      <c r="K85" s="53" t="s">
        <v>161</v>
      </c>
      <c r="L85" s="53">
        <v>3</v>
      </c>
      <c r="N85" s="53">
        <v>1</v>
      </c>
      <c r="O85" s="53">
        <v>0.2</v>
      </c>
      <c r="P85" s="53">
        <v>0.2</v>
      </c>
      <c r="Q85" s="110">
        <f t="shared" si="5"/>
        <v>0.2</v>
      </c>
      <c r="R85" s="53">
        <v>18.600000000000001</v>
      </c>
      <c r="S85" s="53">
        <v>126</v>
      </c>
      <c r="T85" s="16">
        <f t="shared" si="6"/>
        <v>30</v>
      </c>
      <c r="U85" s="53">
        <v>127</v>
      </c>
      <c r="V85" s="16">
        <f t="shared" si="7"/>
        <v>3810</v>
      </c>
      <c r="W85" s="53">
        <v>8</v>
      </c>
      <c r="X85" s="53" t="s">
        <v>46</v>
      </c>
      <c r="Y85" s="53" t="s">
        <v>55</v>
      </c>
      <c r="Z85" s="53" t="s">
        <v>69</v>
      </c>
      <c r="AA85" s="53" t="s">
        <v>90</v>
      </c>
      <c r="AB85" s="53" t="s">
        <v>239</v>
      </c>
    </row>
    <row r="86" spans="1:28" x14ac:dyDescent="0.15">
      <c r="A86" s="53" t="s">
        <v>34</v>
      </c>
      <c r="B86" s="53" t="s">
        <v>235</v>
      </c>
      <c r="C86" s="53">
        <v>2019</v>
      </c>
      <c r="D86" s="167" t="s">
        <v>166</v>
      </c>
      <c r="E86" s="53" t="s">
        <v>334</v>
      </c>
      <c r="F86" s="53" t="s">
        <v>335</v>
      </c>
      <c r="G86" s="53" t="s">
        <v>36</v>
      </c>
      <c r="H86" s="53" t="s">
        <v>164</v>
      </c>
      <c r="I86" s="53" t="s">
        <v>159</v>
      </c>
      <c r="J86" s="53" t="s">
        <v>38</v>
      </c>
      <c r="K86" s="53" t="s">
        <v>161</v>
      </c>
      <c r="L86" s="53">
        <v>1</v>
      </c>
      <c r="N86" s="53">
        <v>4</v>
      </c>
      <c r="O86" s="53">
        <v>0.75</v>
      </c>
      <c r="P86" s="53">
        <v>0.7</v>
      </c>
      <c r="Q86" s="110">
        <f t="shared" si="5"/>
        <v>0.72499999999999998</v>
      </c>
      <c r="R86" s="53">
        <v>15.8</v>
      </c>
      <c r="S86" s="53">
        <v>81</v>
      </c>
      <c r="T86" s="16">
        <f t="shared" si="6"/>
        <v>39</v>
      </c>
      <c r="U86" s="53">
        <v>429</v>
      </c>
      <c r="V86" s="16">
        <f t="shared" si="7"/>
        <v>4182.75</v>
      </c>
      <c r="W86" s="53">
        <v>8</v>
      </c>
      <c r="X86" s="53" t="s">
        <v>46</v>
      </c>
      <c r="Y86" s="53" t="s">
        <v>55</v>
      </c>
      <c r="Z86" s="53" t="s">
        <v>69</v>
      </c>
      <c r="AA86" s="53" t="s">
        <v>90</v>
      </c>
      <c r="AB86" s="53" t="s">
        <v>239</v>
      </c>
    </row>
    <row r="87" spans="1:28" x14ac:dyDescent="0.15">
      <c r="A87" s="53" t="s">
        <v>34</v>
      </c>
      <c r="B87" s="53" t="s">
        <v>235</v>
      </c>
      <c r="C87" s="53">
        <v>2019</v>
      </c>
      <c r="D87" s="167" t="s">
        <v>166</v>
      </c>
      <c r="E87" s="53" t="s">
        <v>334</v>
      </c>
      <c r="F87" s="53" t="s">
        <v>335</v>
      </c>
      <c r="G87" s="53" t="s">
        <v>36</v>
      </c>
      <c r="H87" s="53" t="s">
        <v>164</v>
      </c>
      <c r="I87" s="53" t="s">
        <v>159</v>
      </c>
      <c r="J87" s="53" t="s">
        <v>38</v>
      </c>
      <c r="K87" s="53" t="s">
        <v>161</v>
      </c>
      <c r="L87" s="53">
        <v>2</v>
      </c>
      <c r="N87" s="53">
        <v>4</v>
      </c>
      <c r="O87" s="53">
        <v>0.6</v>
      </c>
      <c r="P87" s="53">
        <v>0.6</v>
      </c>
      <c r="Q87" s="110">
        <f t="shared" si="5"/>
        <v>0.6</v>
      </c>
      <c r="R87" s="53">
        <v>13.8</v>
      </c>
      <c r="S87" s="53">
        <v>87</v>
      </c>
      <c r="T87" s="16">
        <f t="shared" si="6"/>
        <v>36</v>
      </c>
      <c r="U87" s="53">
        <v>429</v>
      </c>
      <c r="V87" s="16">
        <f t="shared" si="7"/>
        <v>3861</v>
      </c>
      <c r="W87" s="53">
        <v>8</v>
      </c>
      <c r="X87" s="53" t="s">
        <v>46</v>
      </c>
      <c r="Y87" s="53" t="s">
        <v>55</v>
      </c>
      <c r="Z87" s="53" t="s">
        <v>69</v>
      </c>
      <c r="AA87" s="53" t="s">
        <v>90</v>
      </c>
      <c r="AB87" s="53" t="s">
        <v>239</v>
      </c>
    </row>
    <row r="88" spans="1:28" x14ac:dyDescent="0.15">
      <c r="A88" s="53" t="s">
        <v>34</v>
      </c>
      <c r="B88" s="53" t="s">
        <v>235</v>
      </c>
      <c r="C88" s="53">
        <v>2019</v>
      </c>
      <c r="D88" s="167" t="s">
        <v>166</v>
      </c>
      <c r="E88" s="53" t="s">
        <v>334</v>
      </c>
      <c r="F88" s="53" t="s">
        <v>335</v>
      </c>
      <c r="G88" s="53" t="s">
        <v>36</v>
      </c>
      <c r="H88" s="53" t="s">
        <v>164</v>
      </c>
      <c r="I88" s="53" t="s">
        <v>159</v>
      </c>
      <c r="J88" s="53" t="s">
        <v>38</v>
      </c>
      <c r="K88" s="53" t="s">
        <v>161</v>
      </c>
      <c r="L88" s="53">
        <v>3</v>
      </c>
      <c r="N88" s="53">
        <v>4</v>
      </c>
      <c r="O88" s="53">
        <v>0.45</v>
      </c>
      <c r="P88" s="53">
        <v>0.2</v>
      </c>
      <c r="Q88" s="110">
        <f t="shared" si="5"/>
        <v>0.32500000000000001</v>
      </c>
      <c r="R88" s="53">
        <v>14.9</v>
      </c>
      <c r="S88" s="53">
        <v>88</v>
      </c>
      <c r="T88" s="16">
        <f t="shared" si="6"/>
        <v>36</v>
      </c>
      <c r="U88" s="53">
        <v>429</v>
      </c>
      <c r="V88" s="16">
        <f t="shared" si="7"/>
        <v>3861</v>
      </c>
      <c r="W88" s="53">
        <v>8</v>
      </c>
      <c r="X88" s="53" t="s">
        <v>46</v>
      </c>
      <c r="Y88" s="53" t="s">
        <v>55</v>
      </c>
      <c r="Z88" s="53" t="s">
        <v>69</v>
      </c>
      <c r="AA88" s="53" t="s">
        <v>90</v>
      </c>
      <c r="AB88" s="53" t="s">
        <v>239</v>
      </c>
    </row>
    <row r="89" spans="1:28" x14ac:dyDescent="0.15">
      <c r="A89" s="53" t="s">
        <v>34</v>
      </c>
      <c r="B89" s="53" t="s">
        <v>235</v>
      </c>
      <c r="C89" s="53">
        <v>2019</v>
      </c>
      <c r="D89" s="167" t="s">
        <v>166</v>
      </c>
      <c r="E89" s="53" t="s">
        <v>334</v>
      </c>
      <c r="F89" s="53" t="s">
        <v>335</v>
      </c>
      <c r="G89" s="53" t="s">
        <v>36</v>
      </c>
      <c r="H89" s="53" t="s">
        <v>164</v>
      </c>
      <c r="I89" s="53" t="s">
        <v>159</v>
      </c>
      <c r="J89" s="53" t="s">
        <v>38</v>
      </c>
      <c r="K89" s="53" t="s">
        <v>161</v>
      </c>
      <c r="L89" s="53">
        <v>1</v>
      </c>
      <c r="N89" s="53">
        <v>10</v>
      </c>
      <c r="O89" s="53">
        <v>0.65</v>
      </c>
      <c r="P89" s="53">
        <v>0.75</v>
      </c>
      <c r="Q89" s="110">
        <f t="shared" si="5"/>
        <v>0.7</v>
      </c>
      <c r="R89" s="53">
        <v>14.1</v>
      </c>
      <c r="S89" s="53">
        <v>79</v>
      </c>
      <c r="T89" s="16">
        <f t="shared" si="6"/>
        <v>39</v>
      </c>
      <c r="U89" s="53">
        <v>824</v>
      </c>
      <c r="V89" s="16">
        <f t="shared" si="7"/>
        <v>3213.6000000000004</v>
      </c>
      <c r="W89" s="53">
        <v>8</v>
      </c>
      <c r="X89" s="53" t="s">
        <v>46</v>
      </c>
      <c r="Y89" s="53" t="s">
        <v>55</v>
      </c>
      <c r="Z89" s="53" t="s">
        <v>69</v>
      </c>
      <c r="AA89" s="53" t="s">
        <v>90</v>
      </c>
      <c r="AB89" s="53" t="s">
        <v>239</v>
      </c>
    </row>
    <row r="90" spans="1:28" x14ac:dyDescent="0.15">
      <c r="A90" s="53" t="s">
        <v>34</v>
      </c>
      <c r="B90" s="53" t="s">
        <v>235</v>
      </c>
      <c r="C90" s="53">
        <v>2019</v>
      </c>
      <c r="D90" s="167" t="s">
        <v>166</v>
      </c>
      <c r="E90" s="53" t="s">
        <v>334</v>
      </c>
      <c r="F90" s="53" t="s">
        <v>335</v>
      </c>
      <c r="G90" s="53" t="s">
        <v>36</v>
      </c>
      <c r="H90" s="53" t="s">
        <v>164</v>
      </c>
      <c r="I90" s="53" t="s">
        <v>159</v>
      </c>
      <c r="J90" s="53" t="s">
        <v>38</v>
      </c>
      <c r="K90" s="53" t="s">
        <v>161</v>
      </c>
      <c r="L90" s="53">
        <v>2</v>
      </c>
      <c r="N90" s="53">
        <v>10</v>
      </c>
      <c r="O90" s="53">
        <v>0.65</v>
      </c>
      <c r="P90" s="53">
        <v>0.55000000000000004</v>
      </c>
      <c r="Q90" s="110">
        <f t="shared" si="5"/>
        <v>0.60000000000000009</v>
      </c>
      <c r="R90" s="53">
        <v>14.4</v>
      </c>
      <c r="S90" s="53">
        <v>80</v>
      </c>
      <c r="T90" s="16">
        <f t="shared" si="6"/>
        <v>39</v>
      </c>
      <c r="U90" s="53">
        <v>824</v>
      </c>
      <c r="V90" s="16">
        <f t="shared" si="7"/>
        <v>3213.6000000000004</v>
      </c>
      <c r="W90" s="53">
        <v>8</v>
      </c>
      <c r="X90" s="53" t="s">
        <v>46</v>
      </c>
      <c r="Y90" s="53" t="s">
        <v>55</v>
      </c>
      <c r="Z90" s="53" t="s">
        <v>69</v>
      </c>
      <c r="AA90" s="53" t="s">
        <v>90</v>
      </c>
      <c r="AB90" s="53" t="s">
        <v>239</v>
      </c>
    </row>
    <row r="91" spans="1:28" x14ac:dyDescent="0.15">
      <c r="A91" s="53" t="s">
        <v>34</v>
      </c>
      <c r="B91" s="53" t="s">
        <v>235</v>
      </c>
      <c r="C91" s="53">
        <v>2019</v>
      </c>
      <c r="D91" s="167" t="s">
        <v>166</v>
      </c>
      <c r="E91" s="53" t="s">
        <v>334</v>
      </c>
      <c r="F91" s="53" t="s">
        <v>335</v>
      </c>
      <c r="G91" s="53" t="s">
        <v>36</v>
      </c>
      <c r="H91" s="53" t="s">
        <v>164</v>
      </c>
      <c r="I91" s="53" t="s">
        <v>159</v>
      </c>
      <c r="J91" s="53" t="s">
        <v>38</v>
      </c>
      <c r="K91" s="53" t="s">
        <v>161</v>
      </c>
      <c r="L91" s="53">
        <v>3</v>
      </c>
      <c r="N91" s="53">
        <v>10</v>
      </c>
      <c r="O91" s="53">
        <v>0.85</v>
      </c>
      <c r="P91" s="53">
        <v>0.75</v>
      </c>
      <c r="Q91" s="110">
        <f t="shared" si="5"/>
        <v>0.8</v>
      </c>
      <c r="R91" s="53">
        <v>13.1</v>
      </c>
      <c r="S91" s="53">
        <v>75</v>
      </c>
      <c r="T91" s="16">
        <f t="shared" si="6"/>
        <v>42</v>
      </c>
      <c r="U91" s="53">
        <v>824</v>
      </c>
      <c r="V91" s="16">
        <f t="shared" si="7"/>
        <v>3460.8</v>
      </c>
      <c r="W91" s="53">
        <v>8</v>
      </c>
      <c r="X91" s="53" t="s">
        <v>46</v>
      </c>
      <c r="Y91" s="53" t="s">
        <v>55</v>
      </c>
      <c r="Z91" s="53" t="s">
        <v>69</v>
      </c>
      <c r="AA91" s="53" t="s">
        <v>90</v>
      </c>
      <c r="AB91" s="53" t="s">
        <v>239</v>
      </c>
    </row>
    <row r="92" spans="1:28" x14ac:dyDescent="0.15">
      <c r="A92" s="53" t="s">
        <v>34</v>
      </c>
      <c r="B92" s="53" t="s">
        <v>235</v>
      </c>
      <c r="C92" s="53">
        <v>2019</v>
      </c>
      <c r="D92" s="167" t="s">
        <v>166</v>
      </c>
      <c r="E92" s="53" t="s">
        <v>334</v>
      </c>
      <c r="F92" s="53" t="s">
        <v>335</v>
      </c>
      <c r="G92" s="53" t="s">
        <v>36</v>
      </c>
      <c r="H92" s="53" t="s">
        <v>160</v>
      </c>
      <c r="I92" s="53" t="s">
        <v>159</v>
      </c>
      <c r="J92" s="53" t="s">
        <v>38</v>
      </c>
      <c r="K92" s="53" t="s">
        <v>161</v>
      </c>
      <c r="L92" s="53">
        <v>1</v>
      </c>
      <c r="N92" s="53">
        <v>1</v>
      </c>
      <c r="O92" s="53">
        <v>0.55000000000000004</v>
      </c>
      <c r="P92" s="53">
        <v>0.6</v>
      </c>
      <c r="Q92" s="110">
        <f t="shared" si="5"/>
        <v>0.57499999999999996</v>
      </c>
      <c r="R92" s="53">
        <v>18.600000000000001</v>
      </c>
      <c r="S92" s="53">
        <v>125</v>
      </c>
      <c r="T92" s="16">
        <f t="shared" si="6"/>
        <v>30</v>
      </c>
      <c r="U92" s="53">
        <v>138</v>
      </c>
      <c r="V92" s="16">
        <f t="shared" si="7"/>
        <v>4140</v>
      </c>
      <c r="W92" s="53">
        <v>9</v>
      </c>
      <c r="X92" s="53" t="s">
        <v>46</v>
      </c>
      <c r="Y92" s="53" t="s">
        <v>55</v>
      </c>
      <c r="Z92" s="53" t="s">
        <v>69</v>
      </c>
      <c r="AA92" s="53" t="s">
        <v>90</v>
      </c>
      <c r="AB92" s="53" t="s">
        <v>239</v>
      </c>
    </row>
    <row r="93" spans="1:28" x14ac:dyDescent="0.15">
      <c r="A93" s="53" t="s">
        <v>34</v>
      </c>
      <c r="B93" s="53" t="s">
        <v>235</v>
      </c>
      <c r="C93" s="53">
        <v>2019</v>
      </c>
      <c r="D93" s="167" t="s">
        <v>166</v>
      </c>
      <c r="E93" s="53" t="s">
        <v>334</v>
      </c>
      <c r="F93" s="53" t="s">
        <v>335</v>
      </c>
      <c r="G93" s="53" t="s">
        <v>36</v>
      </c>
      <c r="H93" s="53" t="s">
        <v>160</v>
      </c>
      <c r="I93" s="53" t="s">
        <v>159</v>
      </c>
      <c r="J93" s="53" t="s">
        <v>38</v>
      </c>
      <c r="K93" s="53" t="s">
        <v>161</v>
      </c>
      <c r="L93" s="53">
        <v>2</v>
      </c>
      <c r="N93" s="53">
        <v>1</v>
      </c>
      <c r="O93" s="53">
        <v>0.55000000000000004</v>
      </c>
      <c r="P93" s="53">
        <v>0.5</v>
      </c>
      <c r="Q93" s="110">
        <f t="shared" si="5"/>
        <v>0.52500000000000002</v>
      </c>
      <c r="R93" s="53">
        <v>16.8</v>
      </c>
      <c r="S93" s="53">
        <v>121</v>
      </c>
      <c r="T93" s="16">
        <f t="shared" si="6"/>
        <v>30</v>
      </c>
      <c r="U93" s="53">
        <v>138</v>
      </c>
      <c r="V93" s="16">
        <f t="shared" si="7"/>
        <v>4140</v>
      </c>
      <c r="W93" s="53">
        <v>9</v>
      </c>
      <c r="X93" s="53" t="s">
        <v>46</v>
      </c>
      <c r="Y93" s="53" t="s">
        <v>55</v>
      </c>
      <c r="Z93" s="53" t="s">
        <v>69</v>
      </c>
      <c r="AA93" s="53" t="s">
        <v>90</v>
      </c>
      <c r="AB93" s="53" t="s">
        <v>239</v>
      </c>
    </row>
    <row r="94" spans="1:28" x14ac:dyDescent="0.15">
      <c r="A94" s="53" t="s">
        <v>34</v>
      </c>
      <c r="B94" s="53" t="s">
        <v>235</v>
      </c>
      <c r="C94" s="53">
        <v>2019</v>
      </c>
      <c r="D94" s="167" t="s">
        <v>166</v>
      </c>
      <c r="E94" s="53" t="s">
        <v>334</v>
      </c>
      <c r="F94" s="53" t="s">
        <v>335</v>
      </c>
      <c r="G94" s="53" t="s">
        <v>36</v>
      </c>
      <c r="H94" s="53" t="s">
        <v>160</v>
      </c>
      <c r="I94" s="53" t="s">
        <v>159</v>
      </c>
      <c r="J94" s="53" t="s">
        <v>38</v>
      </c>
      <c r="K94" s="53" t="s">
        <v>161</v>
      </c>
      <c r="L94" s="53">
        <v>3</v>
      </c>
      <c r="N94" s="53">
        <v>1</v>
      </c>
      <c r="O94" s="53">
        <v>0.55000000000000004</v>
      </c>
      <c r="P94" s="53">
        <v>0.5</v>
      </c>
      <c r="Q94" s="110">
        <f t="shared" si="5"/>
        <v>0.52500000000000002</v>
      </c>
      <c r="R94" s="53">
        <v>20.9</v>
      </c>
      <c r="S94" s="53">
        <v>131</v>
      </c>
      <c r="T94" s="16">
        <f t="shared" si="6"/>
        <v>30</v>
      </c>
      <c r="U94" s="53">
        <v>138</v>
      </c>
      <c r="V94" s="16">
        <f t="shared" si="7"/>
        <v>4140</v>
      </c>
      <c r="W94" s="53">
        <v>9</v>
      </c>
      <c r="X94" s="53" t="s">
        <v>46</v>
      </c>
      <c r="Y94" s="53" t="s">
        <v>55</v>
      </c>
      <c r="Z94" s="53" t="s">
        <v>69</v>
      </c>
      <c r="AA94" s="53" t="s">
        <v>90</v>
      </c>
      <c r="AB94" s="53" t="s">
        <v>239</v>
      </c>
    </row>
    <row r="95" spans="1:28" x14ac:dyDescent="0.15">
      <c r="A95" s="53" t="s">
        <v>34</v>
      </c>
      <c r="B95" s="53" t="s">
        <v>235</v>
      </c>
      <c r="C95" s="53">
        <v>2019</v>
      </c>
      <c r="D95" s="167" t="s">
        <v>166</v>
      </c>
      <c r="E95" s="53" t="s">
        <v>334</v>
      </c>
      <c r="F95" s="53" t="s">
        <v>335</v>
      </c>
      <c r="G95" s="53" t="s">
        <v>36</v>
      </c>
      <c r="H95" s="53" t="s">
        <v>160</v>
      </c>
      <c r="I95" s="53" t="s">
        <v>198</v>
      </c>
      <c r="J95" s="53" t="s">
        <v>38</v>
      </c>
      <c r="K95" s="53" t="s">
        <v>161</v>
      </c>
      <c r="L95" s="53">
        <v>1</v>
      </c>
      <c r="N95" s="53">
        <v>1</v>
      </c>
      <c r="O95" s="53">
        <v>0.5</v>
      </c>
      <c r="P95" s="53">
        <v>0.55000000000000004</v>
      </c>
      <c r="Q95" s="110">
        <f t="shared" si="5"/>
        <v>0.52500000000000002</v>
      </c>
      <c r="R95" s="53">
        <v>20.399999999999999</v>
      </c>
      <c r="S95" s="53">
        <v>126</v>
      </c>
      <c r="T95" s="16">
        <f t="shared" si="6"/>
        <v>30</v>
      </c>
      <c r="U95" s="53">
        <v>138</v>
      </c>
      <c r="V95" s="16">
        <f t="shared" si="7"/>
        <v>4140</v>
      </c>
      <c r="W95" s="53">
        <v>9</v>
      </c>
      <c r="X95" s="53" t="s">
        <v>46</v>
      </c>
      <c r="Y95" s="53" t="s">
        <v>55</v>
      </c>
      <c r="Z95" s="53" t="s">
        <v>69</v>
      </c>
      <c r="AA95" s="53" t="s">
        <v>90</v>
      </c>
      <c r="AB95" s="53" t="s">
        <v>239</v>
      </c>
    </row>
    <row r="96" spans="1:28" x14ac:dyDescent="0.15">
      <c r="A96" s="53" t="s">
        <v>34</v>
      </c>
      <c r="B96" s="53" t="s">
        <v>235</v>
      </c>
      <c r="C96" s="53">
        <v>2019</v>
      </c>
      <c r="D96" s="167" t="s">
        <v>166</v>
      </c>
      <c r="E96" s="53" t="s">
        <v>334</v>
      </c>
      <c r="F96" s="53" t="s">
        <v>335</v>
      </c>
      <c r="G96" s="53" t="s">
        <v>36</v>
      </c>
      <c r="H96" s="53" t="s">
        <v>160</v>
      </c>
      <c r="I96" s="53" t="s">
        <v>198</v>
      </c>
      <c r="J96" s="53" t="s">
        <v>38</v>
      </c>
      <c r="K96" s="53" t="s">
        <v>161</v>
      </c>
      <c r="L96" s="53">
        <v>2</v>
      </c>
      <c r="N96" s="53">
        <v>1</v>
      </c>
      <c r="O96" s="53">
        <v>0.2</v>
      </c>
      <c r="P96" s="53">
        <v>0.45</v>
      </c>
      <c r="Q96" s="110">
        <f t="shared" si="5"/>
        <v>0.32500000000000001</v>
      </c>
      <c r="R96" s="53">
        <v>20.9</v>
      </c>
      <c r="S96" s="53">
        <v>125</v>
      </c>
      <c r="T96" s="16">
        <f t="shared" si="6"/>
        <v>30</v>
      </c>
      <c r="U96" s="53">
        <v>138</v>
      </c>
      <c r="V96" s="16">
        <f t="shared" si="7"/>
        <v>4140</v>
      </c>
      <c r="W96" s="53">
        <v>9</v>
      </c>
      <c r="X96" s="53" t="s">
        <v>46</v>
      </c>
      <c r="Y96" s="53" t="s">
        <v>55</v>
      </c>
      <c r="Z96" s="53" t="s">
        <v>69</v>
      </c>
      <c r="AA96" s="53" t="s">
        <v>90</v>
      </c>
      <c r="AB96" s="53" t="s">
        <v>239</v>
      </c>
    </row>
    <row r="97" spans="1:28" x14ac:dyDescent="0.15">
      <c r="A97" s="53" t="s">
        <v>34</v>
      </c>
      <c r="B97" s="53" t="s">
        <v>235</v>
      </c>
      <c r="C97" s="53">
        <v>2019</v>
      </c>
      <c r="D97" s="167" t="s">
        <v>166</v>
      </c>
      <c r="E97" s="53" t="s">
        <v>334</v>
      </c>
      <c r="F97" s="53" t="s">
        <v>335</v>
      </c>
      <c r="G97" s="53" t="s">
        <v>36</v>
      </c>
      <c r="H97" s="53" t="s">
        <v>160</v>
      </c>
      <c r="I97" s="53" t="s">
        <v>198</v>
      </c>
      <c r="J97" s="53" t="s">
        <v>38</v>
      </c>
      <c r="K97" s="53" t="s">
        <v>161</v>
      </c>
      <c r="L97" s="53">
        <v>3</v>
      </c>
      <c r="N97" s="53">
        <v>1</v>
      </c>
      <c r="O97" s="53">
        <v>0.5</v>
      </c>
      <c r="P97" s="53">
        <v>0.5</v>
      </c>
      <c r="Q97" s="110">
        <f t="shared" si="5"/>
        <v>0.5</v>
      </c>
      <c r="R97" s="53">
        <v>23.9</v>
      </c>
      <c r="S97" s="53">
        <v>123</v>
      </c>
      <c r="T97" s="16">
        <f t="shared" si="6"/>
        <v>30</v>
      </c>
      <c r="U97" s="53">
        <v>138</v>
      </c>
      <c r="V97" s="16">
        <f t="shared" si="7"/>
        <v>4140</v>
      </c>
      <c r="W97" s="53">
        <v>9</v>
      </c>
      <c r="X97" s="53" t="s">
        <v>46</v>
      </c>
      <c r="Y97" s="53" t="s">
        <v>55</v>
      </c>
      <c r="Z97" s="53" t="s">
        <v>69</v>
      </c>
      <c r="AA97" s="53" t="s">
        <v>90</v>
      </c>
      <c r="AB97" s="53" t="s">
        <v>239</v>
      </c>
    </row>
    <row r="98" spans="1:28" x14ac:dyDescent="0.15">
      <c r="A98" s="53" t="s">
        <v>34</v>
      </c>
      <c r="B98" s="53" t="s">
        <v>235</v>
      </c>
      <c r="C98" s="53">
        <v>2019</v>
      </c>
      <c r="D98" s="167" t="s">
        <v>166</v>
      </c>
      <c r="E98" s="53" t="s">
        <v>334</v>
      </c>
      <c r="F98" s="53" t="s">
        <v>335</v>
      </c>
      <c r="G98" s="53" t="s">
        <v>36</v>
      </c>
      <c r="H98" s="53" t="s">
        <v>160</v>
      </c>
      <c r="I98" s="53" t="s">
        <v>159</v>
      </c>
      <c r="J98" s="53" t="s">
        <v>38</v>
      </c>
      <c r="K98" s="53" t="s">
        <v>161</v>
      </c>
      <c r="L98" s="53">
        <v>1</v>
      </c>
      <c r="N98" s="53">
        <v>4</v>
      </c>
      <c r="O98" s="53">
        <v>0.5</v>
      </c>
      <c r="P98" s="53">
        <v>0.45</v>
      </c>
      <c r="Q98" s="110">
        <f t="shared" si="5"/>
        <v>0.47499999999999998</v>
      </c>
      <c r="R98" s="53">
        <v>17.899999999999999</v>
      </c>
      <c r="S98" s="53">
        <v>101</v>
      </c>
      <c r="T98" s="16">
        <f t="shared" si="6"/>
        <v>33</v>
      </c>
      <c r="U98" s="53">
        <v>537</v>
      </c>
      <c r="V98" s="16">
        <f t="shared" si="7"/>
        <v>4430.25</v>
      </c>
      <c r="W98" s="53">
        <v>9</v>
      </c>
      <c r="X98" s="53" t="s">
        <v>46</v>
      </c>
      <c r="Y98" s="53" t="s">
        <v>55</v>
      </c>
      <c r="Z98" s="53" t="s">
        <v>69</v>
      </c>
      <c r="AA98" s="53" t="s">
        <v>90</v>
      </c>
      <c r="AB98" s="53" t="s">
        <v>239</v>
      </c>
    </row>
    <row r="99" spans="1:28" x14ac:dyDescent="0.15">
      <c r="A99" s="53" t="s">
        <v>34</v>
      </c>
      <c r="B99" s="53" t="s">
        <v>235</v>
      </c>
      <c r="C99" s="53">
        <v>2019</v>
      </c>
      <c r="D99" s="167" t="s">
        <v>166</v>
      </c>
      <c r="E99" s="53" t="s">
        <v>334</v>
      </c>
      <c r="F99" s="53" t="s">
        <v>335</v>
      </c>
      <c r="G99" s="53" t="s">
        <v>36</v>
      </c>
      <c r="H99" s="53" t="s">
        <v>160</v>
      </c>
      <c r="I99" s="53" t="s">
        <v>159</v>
      </c>
      <c r="J99" s="53" t="s">
        <v>38</v>
      </c>
      <c r="K99" s="53" t="s">
        <v>161</v>
      </c>
      <c r="L99" s="53">
        <v>2</v>
      </c>
      <c r="N99" s="53">
        <v>4</v>
      </c>
      <c r="O99" s="53">
        <v>0.6</v>
      </c>
      <c r="P99" s="53">
        <v>0.55000000000000004</v>
      </c>
      <c r="Q99" s="110">
        <f t="shared" si="5"/>
        <v>0.57499999999999996</v>
      </c>
      <c r="R99" s="53">
        <v>19.2</v>
      </c>
      <c r="S99" s="53">
        <v>101</v>
      </c>
      <c r="T99" s="16">
        <f t="shared" si="6"/>
        <v>33</v>
      </c>
      <c r="U99" s="53">
        <v>537</v>
      </c>
      <c r="V99" s="16">
        <f t="shared" si="7"/>
        <v>4430.25</v>
      </c>
      <c r="W99" s="53">
        <v>9</v>
      </c>
      <c r="X99" s="53" t="s">
        <v>46</v>
      </c>
      <c r="Y99" s="53" t="s">
        <v>55</v>
      </c>
      <c r="Z99" s="53" t="s">
        <v>69</v>
      </c>
      <c r="AA99" s="53" t="s">
        <v>90</v>
      </c>
      <c r="AB99" s="53" t="s">
        <v>239</v>
      </c>
    </row>
    <row r="100" spans="1:28" x14ac:dyDescent="0.15">
      <c r="A100" s="53" t="s">
        <v>34</v>
      </c>
      <c r="B100" s="53" t="s">
        <v>235</v>
      </c>
      <c r="C100" s="53">
        <v>2019</v>
      </c>
      <c r="D100" s="167" t="s">
        <v>166</v>
      </c>
      <c r="E100" s="53" t="s">
        <v>334</v>
      </c>
      <c r="F100" s="53" t="s">
        <v>335</v>
      </c>
      <c r="G100" s="53" t="s">
        <v>36</v>
      </c>
      <c r="H100" s="53" t="s">
        <v>160</v>
      </c>
      <c r="I100" s="53" t="s">
        <v>159</v>
      </c>
      <c r="J100" s="53" t="s">
        <v>38</v>
      </c>
      <c r="K100" s="53" t="s">
        <v>161</v>
      </c>
      <c r="L100" s="53">
        <v>3</v>
      </c>
      <c r="N100" s="53">
        <v>4</v>
      </c>
      <c r="O100" s="53">
        <v>0.5</v>
      </c>
      <c r="P100" s="53">
        <v>0.45</v>
      </c>
      <c r="Q100" s="110">
        <f t="shared" si="5"/>
        <v>0.47499999999999998</v>
      </c>
      <c r="R100" s="53">
        <v>18.5</v>
      </c>
      <c r="S100" s="53">
        <v>103</v>
      </c>
      <c r="T100" s="16">
        <f t="shared" si="6"/>
        <v>33</v>
      </c>
      <c r="U100" s="53">
        <v>537</v>
      </c>
      <c r="V100" s="16">
        <f t="shared" si="7"/>
        <v>4430.25</v>
      </c>
      <c r="W100" s="53">
        <v>9</v>
      </c>
      <c r="X100" s="53" t="s">
        <v>46</v>
      </c>
      <c r="Y100" s="53" t="s">
        <v>55</v>
      </c>
      <c r="Z100" s="53" t="s">
        <v>69</v>
      </c>
      <c r="AA100" s="53" t="s">
        <v>90</v>
      </c>
      <c r="AB100" s="53" t="s">
        <v>239</v>
      </c>
    </row>
    <row r="101" spans="1:28" x14ac:dyDescent="0.15">
      <c r="A101" s="53" t="s">
        <v>34</v>
      </c>
      <c r="B101" s="53" t="s">
        <v>235</v>
      </c>
      <c r="C101" s="53">
        <v>2019</v>
      </c>
      <c r="D101" s="167" t="s">
        <v>166</v>
      </c>
      <c r="E101" s="53" t="s">
        <v>334</v>
      </c>
      <c r="F101" s="53" t="s">
        <v>335</v>
      </c>
      <c r="G101" s="53" t="s">
        <v>36</v>
      </c>
      <c r="H101" s="53" t="s">
        <v>160</v>
      </c>
      <c r="I101" s="53" t="s">
        <v>159</v>
      </c>
      <c r="J101" s="53" t="s">
        <v>38</v>
      </c>
      <c r="K101" s="53" t="s">
        <v>161</v>
      </c>
      <c r="L101" s="53">
        <v>1</v>
      </c>
      <c r="N101" s="53">
        <v>10</v>
      </c>
      <c r="O101" s="53">
        <v>0.55000000000000004</v>
      </c>
      <c r="P101" s="53">
        <v>0.55000000000000004</v>
      </c>
      <c r="Q101" s="110">
        <f t="shared" si="5"/>
        <v>0.55000000000000004</v>
      </c>
      <c r="R101" s="53">
        <v>18.7</v>
      </c>
      <c r="S101" s="53">
        <v>82</v>
      </c>
      <c r="T101" s="16">
        <f t="shared" si="6"/>
        <v>39</v>
      </c>
      <c r="U101" s="53">
        <v>950</v>
      </c>
      <c r="V101" s="16">
        <f t="shared" si="7"/>
        <v>3705</v>
      </c>
      <c r="W101" s="53">
        <v>9</v>
      </c>
      <c r="X101" s="53" t="s">
        <v>46</v>
      </c>
      <c r="Y101" s="53" t="s">
        <v>55</v>
      </c>
      <c r="Z101" s="53" t="s">
        <v>69</v>
      </c>
      <c r="AA101" s="53" t="s">
        <v>90</v>
      </c>
      <c r="AB101" s="53" t="s">
        <v>239</v>
      </c>
    </row>
    <row r="102" spans="1:28" x14ac:dyDescent="0.15">
      <c r="A102" s="53" t="s">
        <v>34</v>
      </c>
      <c r="B102" s="53" t="s">
        <v>235</v>
      </c>
      <c r="C102" s="53">
        <v>2019</v>
      </c>
      <c r="D102" s="167" t="s">
        <v>166</v>
      </c>
      <c r="E102" s="53" t="s">
        <v>334</v>
      </c>
      <c r="F102" s="53" t="s">
        <v>335</v>
      </c>
      <c r="G102" s="53" t="s">
        <v>36</v>
      </c>
      <c r="H102" s="53" t="s">
        <v>160</v>
      </c>
      <c r="I102" s="53" t="s">
        <v>159</v>
      </c>
      <c r="J102" s="53" t="s">
        <v>38</v>
      </c>
      <c r="K102" s="53" t="s">
        <v>161</v>
      </c>
      <c r="L102" s="53">
        <v>2</v>
      </c>
      <c r="N102" s="53">
        <v>10</v>
      </c>
      <c r="O102" s="53">
        <v>0.55000000000000004</v>
      </c>
      <c r="P102" s="53">
        <v>0.7</v>
      </c>
      <c r="Q102" s="110">
        <f t="shared" si="5"/>
        <v>0.625</v>
      </c>
      <c r="R102" s="53">
        <v>17.7</v>
      </c>
      <c r="S102" s="53">
        <v>89</v>
      </c>
      <c r="T102" s="16">
        <f t="shared" si="6"/>
        <v>36</v>
      </c>
      <c r="U102" s="53">
        <v>950</v>
      </c>
      <c r="V102" s="16">
        <f t="shared" si="7"/>
        <v>3420</v>
      </c>
      <c r="W102" s="53">
        <v>9</v>
      </c>
      <c r="X102" s="53" t="s">
        <v>46</v>
      </c>
      <c r="Y102" s="53" t="s">
        <v>55</v>
      </c>
      <c r="Z102" s="53" t="s">
        <v>69</v>
      </c>
      <c r="AA102" s="53" t="s">
        <v>90</v>
      </c>
      <c r="AB102" s="53" t="s">
        <v>239</v>
      </c>
    </row>
    <row r="103" spans="1:28" x14ac:dyDescent="0.15">
      <c r="A103" s="53" t="s">
        <v>34</v>
      </c>
      <c r="B103" s="53" t="s">
        <v>235</v>
      </c>
      <c r="C103" s="53">
        <v>2019</v>
      </c>
      <c r="D103" s="167" t="s">
        <v>166</v>
      </c>
      <c r="E103" s="53" t="s">
        <v>334</v>
      </c>
      <c r="F103" s="53" t="s">
        <v>335</v>
      </c>
      <c r="G103" s="53" t="s">
        <v>36</v>
      </c>
      <c r="H103" s="53" t="s">
        <v>160</v>
      </c>
      <c r="I103" s="53" t="s">
        <v>159</v>
      </c>
      <c r="J103" s="53" t="s">
        <v>38</v>
      </c>
      <c r="K103" s="53" t="s">
        <v>161</v>
      </c>
      <c r="L103" s="53">
        <v>3</v>
      </c>
      <c r="N103" s="53">
        <v>10</v>
      </c>
      <c r="O103" s="53">
        <v>0.6</v>
      </c>
      <c r="P103" s="53">
        <v>0.55000000000000004</v>
      </c>
      <c r="Q103" s="110">
        <f t="shared" si="5"/>
        <v>0.57499999999999996</v>
      </c>
      <c r="R103" s="53">
        <v>18.3</v>
      </c>
      <c r="S103" s="53">
        <v>89</v>
      </c>
      <c r="T103" s="16">
        <f t="shared" si="6"/>
        <v>36</v>
      </c>
      <c r="U103" s="53">
        <v>950</v>
      </c>
      <c r="V103" s="16">
        <f t="shared" si="7"/>
        <v>3420</v>
      </c>
      <c r="W103" s="53">
        <v>9</v>
      </c>
      <c r="X103" s="53" t="s">
        <v>46</v>
      </c>
      <c r="Y103" s="53" t="s">
        <v>55</v>
      </c>
      <c r="Z103" s="53" t="s">
        <v>69</v>
      </c>
      <c r="AA103" s="53" t="s">
        <v>90</v>
      </c>
      <c r="AB103" s="53" t="s">
        <v>239</v>
      </c>
    </row>
    <row r="104" spans="1:28" x14ac:dyDescent="0.15">
      <c r="A104" s="53" t="s">
        <v>34</v>
      </c>
      <c r="B104" s="53" t="s">
        <v>235</v>
      </c>
      <c r="C104" s="53">
        <v>2019</v>
      </c>
      <c r="D104" s="167" t="s">
        <v>166</v>
      </c>
      <c r="E104" s="53" t="s">
        <v>337</v>
      </c>
      <c r="F104" s="53" t="s">
        <v>338</v>
      </c>
      <c r="G104" s="53" t="s">
        <v>36</v>
      </c>
      <c r="H104" s="53" t="s">
        <v>164</v>
      </c>
      <c r="I104" s="53" t="s">
        <v>159</v>
      </c>
      <c r="J104" s="53" t="s">
        <v>38</v>
      </c>
      <c r="K104" s="53" t="s">
        <v>161</v>
      </c>
      <c r="L104" s="53">
        <v>1</v>
      </c>
      <c r="N104" s="53">
        <v>1</v>
      </c>
      <c r="O104" s="53">
        <v>0.75</v>
      </c>
      <c r="P104" s="53">
        <v>0.8</v>
      </c>
      <c r="Q104" s="110">
        <f t="shared" si="5"/>
        <v>0.77500000000000002</v>
      </c>
      <c r="R104" s="53">
        <v>16.8</v>
      </c>
      <c r="S104" s="53">
        <v>115</v>
      </c>
      <c r="T104" s="16">
        <f t="shared" si="6"/>
        <v>30</v>
      </c>
      <c r="U104" s="53">
        <v>105</v>
      </c>
      <c r="V104" s="16">
        <f t="shared" si="7"/>
        <v>3150</v>
      </c>
      <c r="W104" s="53">
        <v>8</v>
      </c>
      <c r="X104" s="53" t="s">
        <v>46</v>
      </c>
      <c r="Y104" s="53" t="s">
        <v>88</v>
      </c>
      <c r="Z104" s="53" t="s">
        <v>97</v>
      </c>
      <c r="AA104" s="53" t="s">
        <v>69</v>
      </c>
      <c r="AB104" s="53" t="s">
        <v>239</v>
      </c>
    </row>
    <row r="105" spans="1:28" x14ac:dyDescent="0.15">
      <c r="A105" s="53" t="s">
        <v>34</v>
      </c>
      <c r="B105" s="53" t="s">
        <v>235</v>
      </c>
      <c r="C105" s="53">
        <v>2019</v>
      </c>
      <c r="D105" s="167" t="s">
        <v>166</v>
      </c>
      <c r="E105" s="53" t="s">
        <v>337</v>
      </c>
      <c r="F105" s="53" t="s">
        <v>338</v>
      </c>
      <c r="G105" s="53" t="s">
        <v>36</v>
      </c>
      <c r="H105" s="53" t="s">
        <v>164</v>
      </c>
      <c r="I105" s="53" t="s">
        <v>159</v>
      </c>
      <c r="J105" s="53" t="s">
        <v>38</v>
      </c>
      <c r="K105" s="53" t="s">
        <v>161</v>
      </c>
      <c r="L105" s="53">
        <v>2</v>
      </c>
      <c r="N105" s="53">
        <v>1</v>
      </c>
      <c r="O105" s="53">
        <v>0.65</v>
      </c>
      <c r="P105" s="53">
        <v>0.8</v>
      </c>
      <c r="Q105" s="110">
        <f t="shared" si="5"/>
        <v>0.72500000000000009</v>
      </c>
      <c r="R105" s="53">
        <v>18</v>
      </c>
      <c r="S105" s="53">
        <v>117</v>
      </c>
      <c r="T105" s="16">
        <f t="shared" si="6"/>
        <v>30</v>
      </c>
      <c r="U105" s="53">
        <v>105</v>
      </c>
      <c r="V105" s="16">
        <f t="shared" si="7"/>
        <v>3150</v>
      </c>
      <c r="W105" s="53">
        <v>8</v>
      </c>
      <c r="X105" s="53" t="s">
        <v>46</v>
      </c>
      <c r="Y105" s="53" t="s">
        <v>88</v>
      </c>
      <c r="Z105" s="53" t="s">
        <v>97</v>
      </c>
      <c r="AA105" s="53" t="s">
        <v>69</v>
      </c>
      <c r="AB105" s="53" t="s">
        <v>239</v>
      </c>
    </row>
    <row r="106" spans="1:28" x14ac:dyDescent="0.15">
      <c r="A106" s="53" t="s">
        <v>34</v>
      </c>
      <c r="B106" s="53" t="s">
        <v>235</v>
      </c>
      <c r="C106" s="53">
        <v>2019</v>
      </c>
      <c r="D106" s="167" t="s">
        <v>166</v>
      </c>
      <c r="E106" s="53" t="s">
        <v>337</v>
      </c>
      <c r="F106" s="53" t="s">
        <v>338</v>
      </c>
      <c r="G106" s="53" t="s">
        <v>36</v>
      </c>
      <c r="H106" s="53" t="s">
        <v>164</v>
      </c>
      <c r="I106" s="53" t="s">
        <v>159</v>
      </c>
      <c r="J106" s="53" t="s">
        <v>38</v>
      </c>
      <c r="K106" s="53" t="s">
        <v>161</v>
      </c>
      <c r="L106" s="53">
        <v>3</v>
      </c>
      <c r="N106" s="53">
        <v>1</v>
      </c>
      <c r="O106" s="53">
        <v>0.5</v>
      </c>
      <c r="P106" s="53">
        <v>0.2</v>
      </c>
      <c r="Q106" s="110">
        <f t="shared" si="5"/>
        <v>0.35</v>
      </c>
      <c r="R106" s="53">
        <v>19</v>
      </c>
      <c r="S106" s="53">
        <v>117</v>
      </c>
      <c r="T106" s="16">
        <f t="shared" si="6"/>
        <v>30</v>
      </c>
      <c r="U106" s="53">
        <v>105</v>
      </c>
      <c r="V106" s="16">
        <f t="shared" si="7"/>
        <v>3150</v>
      </c>
      <c r="W106" s="53">
        <v>8</v>
      </c>
      <c r="X106" s="53" t="s">
        <v>46</v>
      </c>
      <c r="Y106" s="53" t="s">
        <v>88</v>
      </c>
      <c r="Z106" s="53" t="s">
        <v>97</v>
      </c>
      <c r="AA106" s="53" t="s">
        <v>69</v>
      </c>
      <c r="AB106" s="53" t="s">
        <v>239</v>
      </c>
    </row>
    <row r="107" spans="1:28" x14ac:dyDescent="0.15">
      <c r="A107" s="53" t="s">
        <v>34</v>
      </c>
      <c r="B107" s="53" t="s">
        <v>235</v>
      </c>
      <c r="C107" s="53">
        <v>2019</v>
      </c>
      <c r="D107" s="167" t="s">
        <v>166</v>
      </c>
      <c r="E107" s="53" t="s">
        <v>337</v>
      </c>
      <c r="F107" s="53" t="s">
        <v>338</v>
      </c>
      <c r="G107" s="53" t="s">
        <v>36</v>
      </c>
      <c r="H107" s="53" t="s">
        <v>164</v>
      </c>
      <c r="I107" s="53" t="s">
        <v>198</v>
      </c>
      <c r="J107" s="53" t="s">
        <v>38</v>
      </c>
      <c r="K107" s="53" t="s">
        <v>161</v>
      </c>
      <c r="L107" s="53">
        <v>1</v>
      </c>
      <c r="N107" s="53">
        <v>4</v>
      </c>
      <c r="O107" s="53">
        <v>1.05</v>
      </c>
      <c r="P107" s="53">
        <v>0.75</v>
      </c>
      <c r="Q107" s="110">
        <f t="shared" si="5"/>
        <v>0.9</v>
      </c>
      <c r="R107" s="53">
        <v>17.100000000000001</v>
      </c>
      <c r="S107" s="53">
        <v>98</v>
      </c>
      <c r="T107" s="16">
        <f t="shared" si="6"/>
        <v>36</v>
      </c>
      <c r="U107" s="53">
        <v>378</v>
      </c>
      <c r="V107" s="16">
        <f t="shared" si="7"/>
        <v>3402</v>
      </c>
      <c r="W107" s="53">
        <v>8</v>
      </c>
      <c r="X107" s="53" t="s">
        <v>46</v>
      </c>
      <c r="Y107" s="53" t="s">
        <v>88</v>
      </c>
      <c r="Z107" s="53" t="s">
        <v>97</v>
      </c>
      <c r="AA107" s="53" t="s">
        <v>69</v>
      </c>
      <c r="AB107" s="53" t="s">
        <v>239</v>
      </c>
    </row>
    <row r="108" spans="1:28" x14ac:dyDescent="0.15">
      <c r="A108" s="53" t="s">
        <v>34</v>
      </c>
      <c r="B108" s="53" t="s">
        <v>235</v>
      </c>
      <c r="C108" s="53">
        <v>2019</v>
      </c>
      <c r="D108" s="167" t="s">
        <v>166</v>
      </c>
      <c r="E108" s="53" t="s">
        <v>337</v>
      </c>
      <c r="F108" s="53" t="s">
        <v>338</v>
      </c>
      <c r="G108" s="53" t="s">
        <v>36</v>
      </c>
      <c r="H108" s="53" t="s">
        <v>164</v>
      </c>
      <c r="I108" s="53" t="s">
        <v>198</v>
      </c>
      <c r="J108" s="53" t="s">
        <v>38</v>
      </c>
      <c r="K108" s="53" t="s">
        <v>161</v>
      </c>
      <c r="L108" s="53">
        <v>2</v>
      </c>
      <c r="N108" s="53">
        <v>4</v>
      </c>
      <c r="O108" s="53">
        <v>0.9</v>
      </c>
      <c r="P108" s="53">
        <v>0.85</v>
      </c>
      <c r="Q108" s="110">
        <f t="shared" si="5"/>
        <v>0.875</v>
      </c>
      <c r="R108" s="53">
        <v>17.100000000000001</v>
      </c>
      <c r="S108" s="53">
        <v>99</v>
      </c>
      <c r="T108" s="16">
        <f t="shared" si="6"/>
        <v>33</v>
      </c>
      <c r="U108" s="53">
        <v>378</v>
      </c>
      <c r="V108" s="16">
        <f t="shared" si="7"/>
        <v>3118.5</v>
      </c>
      <c r="W108" s="53">
        <v>8</v>
      </c>
      <c r="X108" s="53" t="s">
        <v>46</v>
      </c>
      <c r="Y108" s="53" t="s">
        <v>88</v>
      </c>
      <c r="Z108" s="53" t="s">
        <v>97</v>
      </c>
      <c r="AA108" s="53" t="s">
        <v>69</v>
      </c>
      <c r="AB108" s="53" t="s">
        <v>239</v>
      </c>
    </row>
    <row r="109" spans="1:28" x14ac:dyDescent="0.15">
      <c r="A109" s="53" t="s">
        <v>34</v>
      </c>
      <c r="B109" s="53" t="s">
        <v>235</v>
      </c>
      <c r="C109" s="53">
        <v>2019</v>
      </c>
      <c r="D109" s="167" t="s">
        <v>166</v>
      </c>
      <c r="E109" s="53" t="s">
        <v>337</v>
      </c>
      <c r="F109" s="53" t="s">
        <v>338</v>
      </c>
      <c r="G109" s="53" t="s">
        <v>36</v>
      </c>
      <c r="H109" s="53" t="s">
        <v>164</v>
      </c>
      <c r="I109" s="53" t="s">
        <v>198</v>
      </c>
      <c r="J109" s="53" t="s">
        <v>38</v>
      </c>
      <c r="K109" s="53" t="s">
        <v>161</v>
      </c>
      <c r="L109" s="53">
        <v>3</v>
      </c>
      <c r="N109" s="53">
        <v>4</v>
      </c>
      <c r="O109" s="53">
        <v>0.9</v>
      </c>
      <c r="P109" s="53">
        <v>0.95</v>
      </c>
      <c r="Q109" s="110">
        <f t="shared" si="5"/>
        <v>0.92500000000000004</v>
      </c>
      <c r="R109" s="53">
        <v>17.2</v>
      </c>
      <c r="S109" s="53">
        <v>106</v>
      </c>
      <c r="T109" s="16">
        <f t="shared" si="6"/>
        <v>33</v>
      </c>
      <c r="U109" s="53">
        <v>378</v>
      </c>
      <c r="V109" s="16">
        <f t="shared" si="7"/>
        <v>3118.5</v>
      </c>
      <c r="W109" s="53">
        <v>8</v>
      </c>
      <c r="X109" s="53" t="s">
        <v>46</v>
      </c>
      <c r="Y109" s="53" t="s">
        <v>88</v>
      </c>
      <c r="Z109" s="53" t="s">
        <v>97</v>
      </c>
      <c r="AA109" s="53" t="s">
        <v>69</v>
      </c>
      <c r="AB109" s="53" t="s">
        <v>239</v>
      </c>
    </row>
    <row r="110" spans="1:28" x14ac:dyDescent="0.15">
      <c r="A110" s="53" t="s">
        <v>34</v>
      </c>
      <c r="B110" s="53" t="s">
        <v>235</v>
      </c>
      <c r="C110" s="53">
        <v>2019</v>
      </c>
      <c r="D110" s="167" t="s">
        <v>166</v>
      </c>
      <c r="E110" s="53" t="s">
        <v>337</v>
      </c>
      <c r="F110" s="53" t="s">
        <v>338</v>
      </c>
      <c r="G110" s="53" t="s">
        <v>36</v>
      </c>
      <c r="H110" s="53" t="s">
        <v>164</v>
      </c>
      <c r="I110" s="53" t="s">
        <v>159</v>
      </c>
      <c r="J110" s="53" t="s">
        <v>38</v>
      </c>
      <c r="K110" s="53" t="s">
        <v>161</v>
      </c>
      <c r="L110" s="53">
        <v>1</v>
      </c>
      <c r="N110" s="53">
        <v>4</v>
      </c>
      <c r="O110" s="53">
        <v>0.7</v>
      </c>
      <c r="P110" s="53">
        <v>0.6</v>
      </c>
      <c r="Q110" s="110">
        <f t="shared" si="5"/>
        <v>0.64999999999999991</v>
      </c>
      <c r="R110" s="53">
        <v>16.8</v>
      </c>
      <c r="S110" s="53">
        <v>109</v>
      </c>
      <c r="T110" s="16">
        <f t="shared" si="6"/>
        <v>33</v>
      </c>
      <c r="U110" s="53">
        <v>410</v>
      </c>
      <c r="V110" s="16">
        <f t="shared" si="7"/>
        <v>3382.5</v>
      </c>
      <c r="W110" s="53">
        <v>8</v>
      </c>
      <c r="X110" s="53" t="s">
        <v>46</v>
      </c>
      <c r="Y110" s="53" t="s">
        <v>88</v>
      </c>
      <c r="Z110" s="53" t="s">
        <v>97</v>
      </c>
      <c r="AA110" s="53" t="s">
        <v>69</v>
      </c>
      <c r="AB110" s="53" t="s">
        <v>239</v>
      </c>
    </row>
    <row r="111" spans="1:28" x14ac:dyDescent="0.15">
      <c r="A111" s="53" t="s">
        <v>34</v>
      </c>
      <c r="B111" s="53" t="s">
        <v>235</v>
      </c>
      <c r="C111" s="53">
        <v>2019</v>
      </c>
      <c r="D111" s="167" t="s">
        <v>166</v>
      </c>
      <c r="E111" s="53" t="s">
        <v>337</v>
      </c>
      <c r="F111" s="53" t="s">
        <v>338</v>
      </c>
      <c r="G111" s="53" t="s">
        <v>36</v>
      </c>
      <c r="H111" s="53" t="s">
        <v>164</v>
      </c>
      <c r="I111" s="53" t="s">
        <v>159</v>
      </c>
      <c r="J111" s="53" t="s">
        <v>38</v>
      </c>
      <c r="K111" s="53" t="s">
        <v>161</v>
      </c>
      <c r="L111" s="53">
        <v>2</v>
      </c>
      <c r="N111" s="53">
        <v>4</v>
      </c>
      <c r="O111" s="53">
        <v>0.75</v>
      </c>
      <c r="P111" s="53">
        <v>0.65</v>
      </c>
      <c r="Q111" s="110">
        <f t="shared" si="5"/>
        <v>0.7</v>
      </c>
      <c r="R111" s="53">
        <v>17</v>
      </c>
      <c r="S111" s="53">
        <v>109</v>
      </c>
      <c r="T111" s="16">
        <f t="shared" si="6"/>
        <v>33</v>
      </c>
      <c r="U111" s="53">
        <v>410</v>
      </c>
      <c r="V111" s="16">
        <f t="shared" si="7"/>
        <v>3382.5</v>
      </c>
      <c r="W111" s="53">
        <v>8</v>
      </c>
      <c r="X111" s="53" t="s">
        <v>46</v>
      </c>
      <c r="Y111" s="53" t="s">
        <v>88</v>
      </c>
      <c r="Z111" s="53" t="s">
        <v>97</v>
      </c>
      <c r="AA111" s="53" t="s">
        <v>69</v>
      </c>
      <c r="AB111" s="53" t="s">
        <v>239</v>
      </c>
    </row>
    <row r="112" spans="1:28" x14ac:dyDescent="0.15">
      <c r="A112" s="53" t="s">
        <v>34</v>
      </c>
      <c r="B112" s="53" t="s">
        <v>235</v>
      </c>
      <c r="C112" s="53">
        <v>2019</v>
      </c>
      <c r="D112" s="167" t="s">
        <v>166</v>
      </c>
      <c r="E112" s="53" t="s">
        <v>337</v>
      </c>
      <c r="F112" s="53" t="s">
        <v>338</v>
      </c>
      <c r="G112" s="53" t="s">
        <v>36</v>
      </c>
      <c r="H112" s="53" t="s">
        <v>164</v>
      </c>
      <c r="I112" s="53" t="s">
        <v>159</v>
      </c>
      <c r="J112" s="53" t="s">
        <v>38</v>
      </c>
      <c r="K112" s="53" t="s">
        <v>161</v>
      </c>
      <c r="L112" s="53">
        <v>3</v>
      </c>
      <c r="N112" s="53">
        <v>4</v>
      </c>
      <c r="O112" s="53">
        <v>0.6</v>
      </c>
      <c r="P112" s="53">
        <v>0.6</v>
      </c>
      <c r="Q112" s="110">
        <f t="shared" si="5"/>
        <v>0.6</v>
      </c>
      <c r="R112" s="53">
        <v>16.899999999999999</v>
      </c>
      <c r="S112" s="53">
        <v>107</v>
      </c>
      <c r="T112" s="16">
        <f t="shared" si="6"/>
        <v>33</v>
      </c>
      <c r="U112" s="53">
        <v>410</v>
      </c>
      <c r="V112" s="16">
        <f t="shared" si="7"/>
        <v>3382.5</v>
      </c>
      <c r="W112" s="53">
        <v>8</v>
      </c>
      <c r="X112" s="53" t="s">
        <v>46</v>
      </c>
      <c r="Y112" s="53" t="s">
        <v>88</v>
      </c>
      <c r="Z112" s="53" t="s">
        <v>97</v>
      </c>
      <c r="AA112" s="53" t="s">
        <v>69</v>
      </c>
      <c r="AB112" s="53" t="s">
        <v>239</v>
      </c>
    </row>
    <row r="113" spans="1:28" x14ac:dyDescent="0.15">
      <c r="A113" s="53" t="s">
        <v>34</v>
      </c>
      <c r="B113" s="53" t="s">
        <v>235</v>
      </c>
      <c r="C113" s="53">
        <v>2019</v>
      </c>
      <c r="D113" s="167" t="s">
        <v>166</v>
      </c>
      <c r="E113" s="53" t="s">
        <v>337</v>
      </c>
      <c r="F113" s="53" t="s">
        <v>338</v>
      </c>
      <c r="G113" s="53" t="s">
        <v>36</v>
      </c>
      <c r="H113" s="53" t="s">
        <v>160</v>
      </c>
      <c r="I113" s="53" t="s">
        <v>159</v>
      </c>
      <c r="J113" s="53" t="s">
        <v>38</v>
      </c>
      <c r="K113" s="53" t="s">
        <v>161</v>
      </c>
      <c r="L113" s="53">
        <v>1</v>
      </c>
      <c r="N113" s="53">
        <v>1</v>
      </c>
      <c r="O113" s="53">
        <v>0.8</v>
      </c>
      <c r="P113" s="53">
        <v>0.9</v>
      </c>
      <c r="Q113" s="16">
        <f t="shared" si="5"/>
        <v>0.85000000000000009</v>
      </c>
      <c r="R113" s="53">
        <v>18.100000000000001</v>
      </c>
      <c r="S113" s="53">
        <v>104</v>
      </c>
      <c r="T113" s="16">
        <f t="shared" si="6"/>
        <v>33</v>
      </c>
      <c r="U113" s="53">
        <v>105</v>
      </c>
      <c r="V113" s="16">
        <f t="shared" si="7"/>
        <v>3465</v>
      </c>
      <c r="W113" s="53">
        <v>7</v>
      </c>
      <c r="X113" s="53" t="s">
        <v>46</v>
      </c>
      <c r="Y113" s="53" t="s">
        <v>88</v>
      </c>
      <c r="Z113" s="53" t="s">
        <v>97</v>
      </c>
      <c r="AA113" s="53" t="s">
        <v>69</v>
      </c>
      <c r="AB113" s="53" t="s">
        <v>239</v>
      </c>
    </row>
    <row r="114" spans="1:28" x14ac:dyDescent="0.15">
      <c r="A114" s="53" t="s">
        <v>34</v>
      </c>
      <c r="B114" s="53" t="s">
        <v>235</v>
      </c>
      <c r="C114" s="53">
        <v>2019</v>
      </c>
      <c r="D114" s="167" t="s">
        <v>166</v>
      </c>
      <c r="E114" s="53" t="s">
        <v>337</v>
      </c>
      <c r="F114" s="53" t="s">
        <v>338</v>
      </c>
      <c r="G114" s="53" t="s">
        <v>36</v>
      </c>
      <c r="H114" s="53" t="s">
        <v>160</v>
      </c>
      <c r="I114" s="53" t="s">
        <v>159</v>
      </c>
      <c r="J114" s="53" t="s">
        <v>38</v>
      </c>
      <c r="K114" s="53" t="s">
        <v>161</v>
      </c>
      <c r="L114" s="53">
        <v>2</v>
      </c>
      <c r="N114" s="53">
        <v>1</v>
      </c>
      <c r="O114" s="53">
        <v>0.65</v>
      </c>
      <c r="P114" s="53">
        <v>0.6</v>
      </c>
      <c r="Q114" s="16">
        <f t="shared" si="5"/>
        <v>0.625</v>
      </c>
      <c r="R114" s="53">
        <v>18.2</v>
      </c>
      <c r="S114" s="53">
        <v>107</v>
      </c>
      <c r="T114" s="16">
        <f t="shared" si="6"/>
        <v>33</v>
      </c>
      <c r="U114" s="53">
        <v>105</v>
      </c>
      <c r="V114" s="16">
        <f t="shared" si="7"/>
        <v>3465</v>
      </c>
      <c r="W114" s="53">
        <v>7</v>
      </c>
      <c r="X114" s="53" t="s">
        <v>46</v>
      </c>
      <c r="Y114" s="53" t="s">
        <v>88</v>
      </c>
      <c r="Z114" s="53" t="s">
        <v>97</v>
      </c>
      <c r="AA114" s="53" t="s">
        <v>69</v>
      </c>
      <c r="AB114" s="53" t="s">
        <v>239</v>
      </c>
    </row>
    <row r="115" spans="1:28" x14ac:dyDescent="0.15">
      <c r="A115" s="53" t="s">
        <v>34</v>
      </c>
      <c r="B115" s="53" t="s">
        <v>235</v>
      </c>
      <c r="C115" s="53">
        <v>2019</v>
      </c>
      <c r="D115" s="167" t="s">
        <v>166</v>
      </c>
      <c r="E115" s="53" t="s">
        <v>337</v>
      </c>
      <c r="F115" s="53" t="s">
        <v>338</v>
      </c>
      <c r="G115" s="53" t="s">
        <v>36</v>
      </c>
      <c r="H115" s="53" t="s">
        <v>160</v>
      </c>
      <c r="I115" s="53" t="s">
        <v>159</v>
      </c>
      <c r="J115" s="53" t="s">
        <v>38</v>
      </c>
      <c r="K115" s="53" t="s">
        <v>161</v>
      </c>
      <c r="L115" s="53">
        <v>3</v>
      </c>
      <c r="N115" s="53">
        <v>1</v>
      </c>
      <c r="O115" s="53">
        <v>0.45</v>
      </c>
      <c r="P115" s="53">
        <v>0.6</v>
      </c>
      <c r="Q115" s="16">
        <f t="shared" si="5"/>
        <v>0.52500000000000002</v>
      </c>
      <c r="R115" s="53">
        <v>18.5</v>
      </c>
      <c r="S115" s="53">
        <v>102</v>
      </c>
      <c r="T115" s="16">
        <f t="shared" si="6"/>
        <v>33</v>
      </c>
      <c r="U115" s="53">
        <v>105</v>
      </c>
      <c r="V115" s="16">
        <f t="shared" si="7"/>
        <v>3465</v>
      </c>
      <c r="W115" s="53">
        <v>7</v>
      </c>
      <c r="X115" s="53" t="s">
        <v>46</v>
      </c>
      <c r="Y115" s="53" t="s">
        <v>88</v>
      </c>
      <c r="Z115" s="53" t="s">
        <v>97</v>
      </c>
      <c r="AA115" s="53" t="s">
        <v>69</v>
      </c>
      <c r="AB115" s="53" t="s">
        <v>239</v>
      </c>
    </row>
    <row r="116" spans="1:28" x14ac:dyDescent="0.15">
      <c r="A116" s="53" t="s">
        <v>34</v>
      </c>
      <c r="B116" s="53" t="s">
        <v>235</v>
      </c>
      <c r="C116" s="53">
        <v>2019</v>
      </c>
      <c r="D116" s="167" t="s">
        <v>166</v>
      </c>
      <c r="E116" s="53" t="s">
        <v>337</v>
      </c>
      <c r="F116" s="53" t="s">
        <v>338</v>
      </c>
      <c r="G116" s="53" t="s">
        <v>36</v>
      </c>
      <c r="H116" s="53" t="s">
        <v>160</v>
      </c>
      <c r="I116" s="53" t="s">
        <v>159</v>
      </c>
      <c r="J116" s="53" t="s">
        <v>38</v>
      </c>
      <c r="K116" s="53" t="s">
        <v>161</v>
      </c>
      <c r="L116" s="53">
        <v>1</v>
      </c>
      <c r="N116" s="53">
        <v>4</v>
      </c>
      <c r="O116" s="53">
        <v>0.5</v>
      </c>
      <c r="P116" s="53">
        <v>0.5</v>
      </c>
      <c r="Q116" s="16">
        <f t="shared" si="5"/>
        <v>0.5</v>
      </c>
      <c r="R116" s="53">
        <v>20.100000000000001</v>
      </c>
      <c r="S116" s="53">
        <v>113</v>
      </c>
      <c r="T116" s="16">
        <f t="shared" si="6"/>
        <v>30</v>
      </c>
      <c r="U116" s="53">
        <v>410</v>
      </c>
      <c r="V116" s="16">
        <f t="shared" si="7"/>
        <v>3075</v>
      </c>
      <c r="W116" s="53">
        <v>7</v>
      </c>
      <c r="X116" s="53" t="s">
        <v>46</v>
      </c>
      <c r="Y116" s="53" t="s">
        <v>88</v>
      </c>
      <c r="Z116" s="53" t="s">
        <v>97</v>
      </c>
      <c r="AA116" s="53" t="s">
        <v>69</v>
      </c>
      <c r="AB116" s="53" t="s">
        <v>239</v>
      </c>
    </row>
    <row r="117" spans="1:28" x14ac:dyDescent="0.15">
      <c r="A117" s="53" t="s">
        <v>34</v>
      </c>
      <c r="B117" s="53" t="s">
        <v>235</v>
      </c>
      <c r="C117" s="53">
        <v>2019</v>
      </c>
      <c r="D117" s="167" t="s">
        <v>166</v>
      </c>
      <c r="E117" s="53" t="s">
        <v>337</v>
      </c>
      <c r="F117" s="53" t="s">
        <v>338</v>
      </c>
      <c r="G117" s="53" t="s">
        <v>36</v>
      </c>
      <c r="H117" s="53" t="s">
        <v>160</v>
      </c>
      <c r="I117" s="53" t="s">
        <v>159</v>
      </c>
      <c r="J117" s="53" t="s">
        <v>38</v>
      </c>
      <c r="K117" s="53" t="s">
        <v>161</v>
      </c>
      <c r="L117" s="53">
        <v>2</v>
      </c>
      <c r="N117" s="53">
        <v>4</v>
      </c>
      <c r="O117" s="53">
        <v>0.5</v>
      </c>
      <c r="P117" s="53">
        <v>0.5</v>
      </c>
      <c r="Q117" s="16">
        <f t="shared" si="5"/>
        <v>0.5</v>
      </c>
      <c r="R117" s="53">
        <v>19.5</v>
      </c>
      <c r="S117" s="53">
        <v>110</v>
      </c>
      <c r="T117" s="16">
        <f t="shared" si="6"/>
        <v>33</v>
      </c>
      <c r="U117" s="53">
        <v>410</v>
      </c>
      <c r="V117" s="16">
        <f t="shared" si="7"/>
        <v>3382.5</v>
      </c>
      <c r="W117" s="53">
        <v>7</v>
      </c>
      <c r="X117" s="53" t="s">
        <v>46</v>
      </c>
      <c r="Y117" s="53" t="s">
        <v>88</v>
      </c>
      <c r="Z117" s="53" t="s">
        <v>97</v>
      </c>
      <c r="AA117" s="53" t="s">
        <v>69</v>
      </c>
      <c r="AB117" s="53" t="s">
        <v>239</v>
      </c>
    </row>
    <row r="118" spans="1:28" x14ac:dyDescent="0.15">
      <c r="A118" s="53" t="s">
        <v>34</v>
      </c>
      <c r="B118" s="53" t="s">
        <v>235</v>
      </c>
      <c r="C118" s="53">
        <v>2019</v>
      </c>
      <c r="D118" s="167" t="s">
        <v>166</v>
      </c>
      <c r="E118" s="53" t="s">
        <v>337</v>
      </c>
      <c r="F118" s="53" t="s">
        <v>338</v>
      </c>
      <c r="G118" s="53" t="s">
        <v>36</v>
      </c>
      <c r="H118" s="53" t="s">
        <v>160</v>
      </c>
      <c r="I118" s="53" t="s">
        <v>159</v>
      </c>
      <c r="J118" s="53" t="s">
        <v>38</v>
      </c>
      <c r="K118" s="53" t="s">
        <v>161</v>
      </c>
      <c r="L118" s="53">
        <v>3</v>
      </c>
      <c r="N118" s="53">
        <v>4</v>
      </c>
      <c r="O118" s="53">
        <v>0.65</v>
      </c>
      <c r="P118" s="53">
        <v>0.55000000000000004</v>
      </c>
      <c r="Q118" s="16">
        <f t="shared" si="5"/>
        <v>0.60000000000000009</v>
      </c>
      <c r="R118" s="53">
        <v>19.3</v>
      </c>
      <c r="S118" s="53">
        <v>102</v>
      </c>
      <c r="T118" s="16">
        <f t="shared" si="6"/>
        <v>33</v>
      </c>
      <c r="U118" s="53">
        <v>410</v>
      </c>
      <c r="V118" s="16">
        <f t="shared" si="7"/>
        <v>3382.5</v>
      </c>
      <c r="W118" s="53">
        <v>7</v>
      </c>
      <c r="X118" s="53" t="s">
        <v>46</v>
      </c>
      <c r="Y118" s="53" t="s">
        <v>88</v>
      </c>
      <c r="Z118" s="53" t="s">
        <v>97</v>
      </c>
      <c r="AA118" s="53" t="s">
        <v>69</v>
      </c>
      <c r="AB118" s="53" t="s">
        <v>239</v>
      </c>
    </row>
    <row r="119" spans="1:28" x14ac:dyDescent="0.15">
      <c r="A119" s="53" t="s">
        <v>34</v>
      </c>
      <c r="B119" s="53" t="s">
        <v>235</v>
      </c>
      <c r="C119" s="53">
        <v>2019</v>
      </c>
      <c r="D119" s="167" t="s">
        <v>166</v>
      </c>
      <c r="E119" s="53" t="s">
        <v>324</v>
      </c>
      <c r="F119" s="53" t="s">
        <v>339</v>
      </c>
      <c r="G119" s="53" t="s">
        <v>36</v>
      </c>
      <c r="H119" s="53" t="s">
        <v>164</v>
      </c>
      <c r="I119" s="53" t="s">
        <v>159</v>
      </c>
      <c r="J119" s="53" t="s">
        <v>38</v>
      </c>
      <c r="K119" s="53" t="s">
        <v>161</v>
      </c>
      <c r="L119" s="53">
        <v>1</v>
      </c>
      <c r="N119" s="53">
        <v>1</v>
      </c>
      <c r="O119" s="53">
        <v>0.5</v>
      </c>
      <c r="P119" s="53">
        <v>0.65</v>
      </c>
      <c r="Q119" s="16">
        <f t="shared" si="5"/>
        <v>0.57499999999999996</v>
      </c>
      <c r="R119" s="53">
        <v>16.8</v>
      </c>
      <c r="S119" s="53">
        <v>124</v>
      </c>
      <c r="T119" s="16">
        <f t="shared" si="6"/>
        <v>30</v>
      </c>
      <c r="U119" s="53">
        <v>138</v>
      </c>
      <c r="V119" s="16">
        <f t="shared" si="7"/>
        <v>4140</v>
      </c>
      <c r="W119" s="53">
        <v>3</v>
      </c>
      <c r="X119" s="53" t="s">
        <v>46</v>
      </c>
      <c r="Y119" s="53" t="s">
        <v>88</v>
      </c>
      <c r="Z119" s="53" t="s">
        <v>97</v>
      </c>
      <c r="AA119" s="53" t="s">
        <v>90</v>
      </c>
      <c r="AB119" s="53" t="s">
        <v>239</v>
      </c>
    </row>
    <row r="120" spans="1:28" x14ac:dyDescent="0.15">
      <c r="A120" s="53" t="s">
        <v>34</v>
      </c>
      <c r="B120" s="53" t="s">
        <v>235</v>
      </c>
      <c r="C120" s="53">
        <v>2019</v>
      </c>
      <c r="D120" s="167" t="s">
        <v>166</v>
      </c>
      <c r="E120" s="53" t="s">
        <v>324</v>
      </c>
      <c r="F120" s="53" t="s">
        <v>339</v>
      </c>
      <c r="G120" s="53" t="s">
        <v>36</v>
      </c>
      <c r="H120" s="53" t="s">
        <v>164</v>
      </c>
      <c r="I120" s="53" t="s">
        <v>159</v>
      </c>
      <c r="J120" s="53" t="s">
        <v>38</v>
      </c>
      <c r="K120" s="53" t="s">
        <v>161</v>
      </c>
      <c r="L120" s="53">
        <v>2</v>
      </c>
      <c r="N120" s="53">
        <v>1</v>
      </c>
      <c r="O120" s="53">
        <v>0.7</v>
      </c>
      <c r="P120" s="53">
        <v>0.7</v>
      </c>
      <c r="Q120" s="16">
        <f t="shared" si="5"/>
        <v>0.7</v>
      </c>
      <c r="R120" s="53">
        <v>17.100000000000001</v>
      </c>
      <c r="S120" s="53">
        <v>122</v>
      </c>
      <c r="T120" s="16">
        <f t="shared" si="6"/>
        <v>30</v>
      </c>
      <c r="U120" s="53">
        <v>138</v>
      </c>
      <c r="V120" s="16">
        <f t="shared" si="7"/>
        <v>4140</v>
      </c>
      <c r="W120" s="53">
        <v>3</v>
      </c>
      <c r="X120" s="53" t="s">
        <v>46</v>
      </c>
      <c r="Y120" s="53" t="s">
        <v>88</v>
      </c>
      <c r="Z120" s="53" t="s">
        <v>97</v>
      </c>
      <c r="AA120" s="53" t="s">
        <v>90</v>
      </c>
      <c r="AB120" s="53" t="s">
        <v>239</v>
      </c>
    </row>
    <row r="121" spans="1:28" x14ac:dyDescent="0.15">
      <c r="A121" s="53" t="s">
        <v>34</v>
      </c>
      <c r="B121" s="53" t="s">
        <v>235</v>
      </c>
      <c r="C121" s="53">
        <v>2019</v>
      </c>
      <c r="D121" s="167" t="s">
        <v>166</v>
      </c>
      <c r="E121" s="53" t="s">
        <v>324</v>
      </c>
      <c r="F121" s="53" t="s">
        <v>339</v>
      </c>
      <c r="G121" s="53" t="s">
        <v>36</v>
      </c>
      <c r="H121" s="53" t="s">
        <v>164</v>
      </c>
      <c r="I121" s="53" t="s">
        <v>159</v>
      </c>
      <c r="J121" s="53" t="s">
        <v>38</v>
      </c>
      <c r="K121" s="53" t="s">
        <v>161</v>
      </c>
      <c r="L121" s="53">
        <v>3</v>
      </c>
      <c r="N121" s="53">
        <v>1</v>
      </c>
      <c r="O121" s="53">
        <v>0.85</v>
      </c>
      <c r="P121" s="53">
        <v>0.85</v>
      </c>
      <c r="Q121" s="16">
        <f t="shared" si="5"/>
        <v>0.85</v>
      </c>
      <c r="R121" s="53">
        <v>17.2</v>
      </c>
      <c r="S121" s="53">
        <v>127</v>
      </c>
      <c r="T121" s="16">
        <f t="shared" si="6"/>
        <v>30</v>
      </c>
      <c r="U121" s="53">
        <v>138</v>
      </c>
      <c r="V121" s="16">
        <f t="shared" si="7"/>
        <v>4140</v>
      </c>
      <c r="W121" s="53">
        <v>3</v>
      </c>
      <c r="X121" s="53" t="s">
        <v>46</v>
      </c>
      <c r="Y121" s="53" t="s">
        <v>88</v>
      </c>
      <c r="Z121" s="53" t="s">
        <v>97</v>
      </c>
      <c r="AA121" s="53" t="s">
        <v>90</v>
      </c>
      <c r="AB121" s="53" t="s">
        <v>239</v>
      </c>
    </row>
    <row r="122" spans="1:28" x14ac:dyDescent="0.15">
      <c r="A122" s="53" t="s">
        <v>34</v>
      </c>
      <c r="B122" s="53" t="s">
        <v>235</v>
      </c>
      <c r="C122" s="53">
        <v>2019</v>
      </c>
      <c r="D122" s="167" t="s">
        <v>166</v>
      </c>
      <c r="E122" s="53" t="s">
        <v>324</v>
      </c>
      <c r="F122" s="53" t="s">
        <v>339</v>
      </c>
      <c r="G122" s="53" t="s">
        <v>36</v>
      </c>
      <c r="H122" s="53" t="s">
        <v>164</v>
      </c>
      <c r="I122" s="53" t="s">
        <v>159</v>
      </c>
      <c r="J122" s="53" t="s">
        <v>38</v>
      </c>
      <c r="K122" s="53" t="s">
        <v>161</v>
      </c>
      <c r="L122" s="53">
        <v>1</v>
      </c>
      <c r="N122" s="53">
        <v>5</v>
      </c>
      <c r="O122" s="53">
        <v>0.55000000000000004</v>
      </c>
      <c r="P122" s="53">
        <v>0.55000000000000004</v>
      </c>
      <c r="Q122" s="16">
        <f t="shared" si="5"/>
        <v>0.55000000000000004</v>
      </c>
      <c r="R122" s="53">
        <v>13.8</v>
      </c>
      <c r="S122" s="53">
        <v>80</v>
      </c>
      <c r="T122" s="16">
        <f t="shared" si="6"/>
        <v>39</v>
      </c>
      <c r="U122" s="53">
        <v>378</v>
      </c>
      <c r="V122" s="16">
        <f t="shared" si="7"/>
        <v>2948.3999999999996</v>
      </c>
      <c r="W122" s="53">
        <v>3</v>
      </c>
      <c r="X122" s="53" t="s">
        <v>46</v>
      </c>
      <c r="Y122" s="53" t="s">
        <v>88</v>
      </c>
      <c r="Z122" s="53" t="s">
        <v>97</v>
      </c>
      <c r="AA122" s="53" t="s">
        <v>90</v>
      </c>
      <c r="AB122" s="53" t="s">
        <v>239</v>
      </c>
    </row>
    <row r="123" spans="1:28" x14ac:dyDescent="0.15">
      <c r="A123" s="53" t="s">
        <v>34</v>
      </c>
      <c r="B123" s="53" t="s">
        <v>235</v>
      </c>
      <c r="C123" s="53">
        <v>2019</v>
      </c>
      <c r="D123" s="167" t="s">
        <v>166</v>
      </c>
      <c r="E123" s="53" t="s">
        <v>324</v>
      </c>
      <c r="F123" s="53" t="s">
        <v>339</v>
      </c>
      <c r="G123" s="53" t="s">
        <v>36</v>
      </c>
      <c r="H123" s="53" t="s">
        <v>164</v>
      </c>
      <c r="I123" s="53" t="s">
        <v>159</v>
      </c>
      <c r="J123" s="53" t="s">
        <v>38</v>
      </c>
      <c r="K123" s="53" t="s">
        <v>161</v>
      </c>
      <c r="L123" s="53">
        <v>2</v>
      </c>
      <c r="N123" s="53">
        <v>5</v>
      </c>
      <c r="O123" s="53">
        <v>0.55000000000000004</v>
      </c>
      <c r="P123" s="53">
        <v>0.55000000000000004</v>
      </c>
      <c r="Q123" s="16">
        <f t="shared" si="5"/>
        <v>0.55000000000000004</v>
      </c>
      <c r="R123" s="53">
        <v>13.9</v>
      </c>
      <c r="S123" s="53">
        <v>76</v>
      </c>
      <c r="T123" s="16">
        <f t="shared" si="6"/>
        <v>39</v>
      </c>
      <c r="U123" s="53">
        <v>378</v>
      </c>
      <c r="V123" s="16">
        <f t="shared" si="7"/>
        <v>2948.3999999999996</v>
      </c>
      <c r="W123" s="53">
        <v>3</v>
      </c>
      <c r="X123" s="53" t="s">
        <v>46</v>
      </c>
      <c r="Y123" s="53" t="s">
        <v>88</v>
      </c>
      <c r="Z123" s="53" t="s">
        <v>97</v>
      </c>
      <c r="AA123" s="53" t="s">
        <v>90</v>
      </c>
      <c r="AB123" s="53" t="s">
        <v>239</v>
      </c>
    </row>
    <row r="124" spans="1:28" x14ac:dyDescent="0.15">
      <c r="A124" s="53" t="s">
        <v>34</v>
      </c>
      <c r="B124" s="53" t="s">
        <v>235</v>
      </c>
      <c r="C124" s="53">
        <v>2019</v>
      </c>
      <c r="D124" s="167" t="s">
        <v>166</v>
      </c>
      <c r="E124" s="53" t="s">
        <v>324</v>
      </c>
      <c r="F124" s="53" t="s">
        <v>339</v>
      </c>
      <c r="G124" s="53" t="s">
        <v>36</v>
      </c>
      <c r="H124" s="53" t="s">
        <v>164</v>
      </c>
      <c r="I124" s="53" t="s">
        <v>159</v>
      </c>
      <c r="J124" s="53" t="s">
        <v>38</v>
      </c>
      <c r="K124" s="53" t="s">
        <v>161</v>
      </c>
      <c r="L124" s="53">
        <v>3</v>
      </c>
      <c r="N124" s="53">
        <v>5</v>
      </c>
      <c r="O124" s="53">
        <v>0.65</v>
      </c>
      <c r="P124" s="53">
        <v>0.8</v>
      </c>
      <c r="Q124" s="16">
        <f t="shared" si="5"/>
        <v>0.72500000000000009</v>
      </c>
      <c r="R124" s="53">
        <v>18.2</v>
      </c>
      <c r="S124" s="53">
        <v>80</v>
      </c>
      <c r="T124" s="16">
        <f t="shared" si="6"/>
        <v>39</v>
      </c>
      <c r="U124" s="53">
        <v>378</v>
      </c>
      <c r="V124" s="16">
        <f t="shared" si="7"/>
        <v>2948.3999999999996</v>
      </c>
      <c r="W124" s="53">
        <v>3</v>
      </c>
      <c r="X124" s="53" t="s">
        <v>46</v>
      </c>
      <c r="Y124" s="53" t="s">
        <v>88</v>
      </c>
      <c r="Z124" s="53" t="s">
        <v>97</v>
      </c>
      <c r="AA124" s="53" t="s">
        <v>90</v>
      </c>
      <c r="AB124" s="53" t="s">
        <v>239</v>
      </c>
    </row>
    <row r="125" spans="1:28" x14ac:dyDescent="0.15">
      <c r="A125" s="53" t="s">
        <v>34</v>
      </c>
      <c r="B125" s="53" t="s">
        <v>235</v>
      </c>
      <c r="C125" s="53">
        <v>2019</v>
      </c>
      <c r="D125" s="167" t="s">
        <v>166</v>
      </c>
      <c r="E125" s="53" t="s">
        <v>324</v>
      </c>
      <c r="F125" s="53" t="s">
        <v>339</v>
      </c>
      <c r="G125" s="53" t="s">
        <v>36</v>
      </c>
      <c r="H125" s="53" t="s">
        <v>160</v>
      </c>
      <c r="I125" s="53" t="s">
        <v>159</v>
      </c>
      <c r="J125" s="53" t="s">
        <v>38</v>
      </c>
      <c r="K125" s="53" t="s">
        <v>161</v>
      </c>
      <c r="L125" s="53">
        <v>1</v>
      </c>
      <c r="N125" s="53">
        <v>1</v>
      </c>
      <c r="O125" s="53">
        <v>0.2</v>
      </c>
      <c r="P125" s="53">
        <v>0.45</v>
      </c>
      <c r="Q125" s="16">
        <f t="shared" si="5"/>
        <v>0.32500000000000001</v>
      </c>
      <c r="R125" s="53">
        <v>22.4</v>
      </c>
      <c r="S125" s="53">
        <v>128</v>
      </c>
      <c r="T125" s="16">
        <f t="shared" si="6"/>
        <v>30</v>
      </c>
      <c r="U125" s="53">
        <v>159</v>
      </c>
      <c r="V125" s="16">
        <f t="shared" si="7"/>
        <v>4770</v>
      </c>
      <c r="W125" s="53">
        <v>1</v>
      </c>
      <c r="X125" s="53" t="s">
        <v>46</v>
      </c>
      <c r="Y125" s="53" t="s">
        <v>88</v>
      </c>
      <c r="Z125" s="53" t="s">
        <v>97</v>
      </c>
      <c r="AA125" s="53" t="s">
        <v>90</v>
      </c>
      <c r="AB125" s="53" t="s">
        <v>239</v>
      </c>
    </row>
    <row r="126" spans="1:28" x14ac:dyDescent="0.15">
      <c r="A126" s="53" t="s">
        <v>34</v>
      </c>
      <c r="B126" s="53" t="s">
        <v>235</v>
      </c>
      <c r="C126" s="53">
        <v>2019</v>
      </c>
      <c r="D126" s="167" t="s">
        <v>166</v>
      </c>
      <c r="E126" s="53" t="s">
        <v>324</v>
      </c>
      <c r="F126" s="53" t="s">
        <v>339</v>
      </c>
      <c r="G126" s="53" t="s">
        <v>36</v>
      </c>
      <c r="H126" s="53" t="s">
        <v>160</v>
      </c>
      <c r="I126" s="53" t="s">
        <v>159</v>
      </c>
      <c r="J126" s="53" t="s">
        <v>38</v>
      </c>
      <c r="K126" s="53" t="s">
        <v>161</v>
      </c>
      <c r="L126" s="53">
        <v>2</v>
      </c>
      <c r="N126" s="53">
        <v>1</v>
      </c>
      <c r="O126" s="53">
        <v>0.55000000000000004</v>
      </c>
      <c r="P126" s="53">
        <v>0.55000000000000004</v>
      </c>
      <c r="Q126" s="16">
        <f t="shared" si="5"/>
        <v>0.55000000000000004</v>
      </c>
      <c r="R126" s="53">
        <v>21</v>
      </c>
      <c r="S126" s="53">
        <v>122</v>
      </c>
      <c r="T126" s="16">
        <f t="shared" si="6"/>
        <v>30</v>
      </c>
      <c r="U126" s="53">
        <v>159</v>
      </c>
      <c r="V126" s="16">
        <f t="shared" si="7"/>
        <v>4770</v>
      </c>
      <c r="W126" s="53">
        <v>1</v>
      </c>
      <c r="X126" s="53" t="s">
        <v>46</v>
      </c>
      <c r="Y126" s="53" t="s">
        <v>88</v>
      </c>
      <c r="Z126" s="53" t="s">
        <v>97</v>
      </c>
      <c r="AA126" s="53" t="s">
        <v>90</v>
      </c>
      <c r="AB126" s="53" t="s">
        <v>239</v>
      </c>
    </row>
    <row r="127" spans="1:28" x14ac:dyDescent="0.15">
      <c r="A127" s="53" t="s">
        <v>34</v>
      </c>
      <c r="B127" s="53" t="s">
        <v>235</v>
      </c>
      <c r="C127" s="53">
        <v>2019</v>
      </c>
      <c r="D127" s="167" t="s">
        <v>166</v>
      </c>
      <c r="E127" s="53" t="s">
        <v>324</v>
      </c>
      <c r="F127" s="53" t="s">
        <v>339</v>
      </c>
      <c r="G127" s="53" t="s">
        <v>36</v>
      </c>
      <c r="H127" s="53" t="s">
        <v>160</v>
      </c>
      <c r="I127" s="53" t="s">
        <v>159</v>
      </c>
      <c r="J127" s="53" t="s">
        <v>38</v>
      </c>
      <c r="K127" s="53" t="s">
        <v>161</v>
      </c>
      <c r="L127" s="53">
        <v>3</v>
      </c>
      <c r="N127" s="53">
        <v>1</v>
      </c>
      <c r="O127" s="53">
        <v>0.55000000000000004</v>
      </c>
      <c r="P127" s="53">
        <v>0.55000000000000004</v>
      </c>
      <c r="Q127" s="16">
        <f t="shared" si="5"/>
        <v>0.55000000000000004</v>
      </c>
      <c r="R127" s="53">
        <v>22.1</v>
      </c>
      <c r="S127" s="53">
        <v>131</v>
      </c>
      <c r="T127" s="16">
        <f t="shared" si="6"/>
        <v>30</v>
      </c>
      <c r="U127" s="53">
        <v>159</v>
      </c>
      <c r="V127" s="16">
        <f t="shared" si="7"/>
        <v>4770</v>
      </c>
      <c r="W127" s="53">
        <v>1</v>
      </c>
      <c r="X127" s="53" t="s">
        <v>46</v>
      </c>
      <c r="Y127" s="53" t="s">
        <v>88</v>
      </c>
      <c r="Z127" s="53" t="s">
        <v>97</v>
      </c>
      <c r="AA127" s="53" t="s">
        <v>90</v>
      </c>
      <c r="AB127" s="53" t="s">
        <v>239</v>
      </c>
    </row>
  </sheetData>
  <autoFilter ref="A1:BA82" xr:uid="{00000000-0009-0000-0000-000000000000}"/>
  <phoneticPr fontId="3"/>
  <dataValidations count="12">
    <dataValidation type="list" allowBlank="1" showInputMessage="1" showErrorMessage="1" sqref="K2:K717" xr:uid="{8B06801A-0B5E-4224-BD6B-4F3D0E01E1E4}">
      <formula1>$AR$2:$AR$23</formula1>
    </dataValidation>
    <dataValidation type="list" allowBlank="1" showInputMessage="1" showErrorMessage="1" sqref="A2:A404" xr:uid="{6D0012C8-F249-45F1-8ED3-6EDA7FC3F129}">
      <formula1>$AE$2:$AE$19</formula1>
    </dataValidation>
    <dataValidation type="list" allowBlank="1" showInputMessage="1" showErrorMessage="1" sqref="Y2:AA405" xr:uid="{B8D15A20-2EF9-485B-8FCA-B9B67DF4855E}">
      <formula1>$AV$2:$AV$21</formula1>
    </dataValidation>
    <dataValidation type="list" allowBlank="1" showInputMessage="1" showErrorMessage="1" sqref="H2:H405" xr:uid="{DF1F73C0-070D-480E-88AF-423DA15A62E5}">
      <formula1>$AL$2:$AL$8</formula1>
    </dataValidation>
    <dataValidation type="list" allowBlank="1" showInputMessage="1" showErrorMessage="1" sqref="X2:X405" xr:uid="{45689367-FA52-49B9-B5E3-679403488144}">
      <formula1>$AT$2:$AT$3</formula1>
    </dataValidation>
    <dataValidation type="list" allowBlank="1" showInputMessage="1" showErrorMessage="1" sqref="G2:G405" xr:uid="{566476D7-AAC6-425B-97E8-E9DD7931A9C2}">
      <formula1>$AJ$2:$AJ$4</formula1>
    </dataValidation>
    <dataValidation type="list" allowBlank="1" showInputMessage="1" showErrorMessage="1" sqref="I2:I405" xr:uid="{B95DC588-F822-493C-A851-ABB7454F7182}">
      <formula1>$AN$5:$AN$6</formula1>
    </dataValidation>
    <dataValidation type="list" allowBlank="1" showInputMessage="1" showErrorMessage="1" sqref="J2:J405" xr:uid="{B45B0A6C-AFCE-4580-AA3D-61757FBD4E91}">
      <formula1>$AP$2:$AP$24</formula1>
    </dataValidation>
    <dataValidation type="list" allowBlank="1" showInputMessage="1" showErrorMessage="1" sqref="F2:F405" xr:uid="{B1B8318F-4D6E-46D7-B494-79617F641FED}">
      <formula1>$AH$2:$AH$11</formula1>
    </dataValidation>
    <dataValidation type="list" allowBlank="1" showInputMessage="1" showErrorMessage="1" sqref="E2:E405" xr:uid="{E5AD719E-236F-43C3-A537-436EEFEF7EB3}">
      <formula1>$AG$2:$AG$11</formula1>
    </dataValidation>
    <dataValidation type="decimal" allowBlank="1" showInputMessage="1" showErrorMessage="1" error="硬度を正しく入力して下さい。" sqref="O2:P49 O59:P405" xr:uid="{8B0BAAE9-5F4F-4074-B581-AC9EC42219F0}">
      <formula1>0</formula1>
      <formula2>7</formula2>
    </dataValidation>
    <dataValidation operator="equal" allowBlank="1" showInputMessage="1" showErrorMessage="1" sqref="B2:B127" xr:uid="{C1F7993A-1705-4EEC-A040-234B9E46798F}"/>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50DBD4-026E-41F5-AB3C-4DA1D9875260}"/>
</file>

<file path=customXml/itemProps2.xml><?xml version="1.0" encoding="utf-8"?>
<ds:datastoreItem xmlns:ds="http://schemas.openxmlformats.org/officeDocument/2006/customXml" ds:itemID="{75083929-39AE-4C32-9415-491F24AD135B}"/>
</file>

<file path=customXml/itemProps3.xml><?xml version="1.0" encoding="utf-8"?>
<ds:datastoreItem xmlns:ds="http://schemas.openxmlformats.org/officeDocument/2006/customXml" ds:itemID="{DD339C6A-D56F-4F0A-B76B-C60307C019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2019-07-19T08:17:32Z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